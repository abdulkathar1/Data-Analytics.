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8_{1CBB8D98-DF6B-4F76-A5BC-595C03BC0E8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Dashboard" sheetId="1" r:id="rId1"/>
    <sheet name="Sales_Transactions" sheetId="2" r:id="rId2"/>
    <sheet name="Customers" sheetId="3" r:id="rId3"/>
    <sheet name="Products" sheetId="4" r:id="rId4"/>
    <sheet name="Stores" sheetId="5" r:id="rId5"/>
    <sheet name="Employees" sheetId="6" r:id="rId6"/>
    <sheet name="Suppliers" sheetId="7" r:id="rId7"/>
    <sheet name="Data_Cleaning_Log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B3001" i="2" l="1"/>
  <c r="AA3001" i="2"/>
  <c r="Z3001" i="2"/>
  <c r="Y3001" i="2"/>
  <c r="X3001" i="2"/>
  <c r="W3001" i="2"/>
  <c r="V3001" i="2"/>
  <c r="AB3000" i="2"/>
  <c r="AA3000" i="2"/>
  <c r="Z3000" i="2"/>
  <c r="Y3000" i="2"/>
  <c r="X3000" i="2"/>
  <c r="W3000" i="2"/>
  <c r="V3000" i="2"/>
  <c r="AB2999" i="2"/>
  <c r="AA2999" i="2"/>
  <c r="Z2999" i="2"/>
  <c r="Y2999" i="2"/>
  <c r="X2999" i="2"/>
  <c r="W2999" i="2"/>
  <c r="V2999" i="2"/>
  <c r="AB2998" i="2"/>
  <c r="AA2998" i="2"/>
  <c r="Z2998" i="2"/>
  <c r="Y2998" i="2"/>
  <c r="X2998" i="2"/>
  <c r="W2998" i="2"/>
  <c r="V2998" i="2"/>
  <c r="AB2997" i="2"/>
  <c r="AA2997" i="2"/>
  <c r="Z2997" i="2"/>
  <c r="Y2997" i="2"/>
  <c r="X2997" i="2"/>
  <c r="W2997" i="2"/>
  <c r="V2997" i="2"/>
  <c r="AB2996" i="2"/>
  <c r="AA2996" i="2"/>
  <c r="Z2996" i="2"/>
  <c r="Y2996" i="2"/>
  <c r="X2996" i="2"/>
  <c r="W2996" i="2"/>
  <c r="V2996" i="2"/>
  <c r="AB2995" i="2"/>
  <c r="AA2995" i="2"/>
  <c r="Z2995" i="2"/>
  <c r="Y2995" i="2"/>
  <c r="X2995" i="2"/>
  <c r="W2995" i="2"/>
  <c r="V2995" i="2"/>
  <c r="AB2994" i="2"/>
  <c r="AA2994" i="2"/>
  <c r="Z2994" i="2"/>
  <c r="Y2994" i="2"/>
  <c r="X2994" i="2"/>
  <c r="W2994" i="2"/>
  <c r="V2994" i="2"/>
  <c r="AB2993" i="2"/>
  <c r="AA2993" i="2"/>
  <c r="Z2993" i="2"/>
  <c r="Y2993" i="2"/>
  <c r="X2993" i="2"/>
  <c r="W2993" i="2"/>
  <c r="V2993" i="2"/>
  <c r="AB2992" i="2"/>
  <c r="AA2992" i="2"/>
  <c r="Z2992" i="2"/>
  <c r="Y2992" i="2"/>
  <c r="X2992" i="2"/>
  <c r="W2992" i="2"/>
  <c r="V2992" i="2"/>
  <c r="AB2991" i="2"/>
  <c r="AA2991" i="2"/>
  <c r="Z2991" i="2"/>
  <c r="Y2991" i="2"/>
  <c r="X2991" i="2"/>
  <c r="W2991" i="2"/>
  <c r="V2991" i="2"/>
  <c r="AB2990" i="2"/>
  <c r="AA2990" i="2"/>
  <c r="Z2990" i="2"/>
  <c r="Y2990" i="2"/>
  <c r="X2990" i="2"/>
  <c r="W2990" i="2"/>
  <c r="V2990" i="2"/>
  <c r="AB2989" i="2"/>
  <c r="AA2989" i="2"/>
  <c r="Z2989" i="2"/>
  <c r="Y2989" i="2"/>
  <c r="X2989" i="2"/>
  <c r="W2989" i="2"/>
  <c r="V2989" i="2"/>
  <c r="AB2988" i="2"/>
  <c r="AA2988" i="2"/>
  <c r="Z2988" i="2"/>
  <c r="Y2988" i="2"/>
  <c r="X2988" i="2"/>
  <c r="W2988" i="2"/>
  <c r="V2988" i="2"/>
  <c r="AB2987" i="2"/>
  <c r="AA2987" i="2"/>
  <c r="Z2987" i="2"/>
  <c r="Y2987" i="2"/>
  <c r="X2987" i="2"/>
  <c r="W2987" i="2"/>
  <c r="V2987" i="2"/>
  <c r="AB2986" i="2"/>
  <c r="AA2986" i="2"/>
  <c r="Z2986" i="2"/>
  <c r="Y2986" i="2"/>
  <c r="X2986" i="2"/>
  <c r="W2986" i="2"/>
  <c r="V2986" i="2"/>
  <c r="AB2985" i="2"/>
  <c r="AA2985" i="2"/>
  <c r="Z2985" i="2"/>
  <c r="Y2985" i="2"/>
  <c r="X2985" i="2"/>
  <c r="W2985" i="2"/>
  <c r="V2985" i="2"/>
  <c r="AB2984" i="2"/>
  <c r="AA2984" i="2"/>
  <c r="Z2984" i="2"/>
  <c r="Y2984" i="2"/>
  <c r="X2984" i="2"/>
  <c r="W2984" i="2"/>
  <c r="V2984" i="2"/>
  <c r="AB2983" i="2"/>
  <c r="AA2983" i="2"/>
  <c r="Z2983" i="2"/>
  <c r="Y2983" i="2"/>
  <c r="X2983" i="2"/>
  <c r="W2983" i="2"/>
  <c r="V2983" i="2"/>
  <c r="AB2982" i="2"/>
  <c r="AA2982" i="2"/>
  <c r="Z2982" i="2"/>
  <c r="Y2982" i="2"/>
  <c r="X2982" i="2"/>
  <c r="W2982" i="2"/>
  <c r="V2982" i="2"/>
  <c r="AB2981" i="2"/>
  <c r="AA2981" i="2"/>
  <c r="Z2981" i="2"/>
  <c r="Y2981" i="2"/>
  <c r="X2981" i="2"/>
  <c r="W2981" i="2"/>
  <c r="V2981" i="2"/>
  <c r="AB2980" i="2"/>
  <c r="AA2980" i="2"/>
  <c r="Z2980" i="2"/>
  <c r="Y2980" i="2"/>
  <c r="X2980" i="2"/>
  <c r="W2980" i="2"/>
  <c r="V2980" i="2"/>
  <c r="AB2979" i="2"/>
  <c r="AA2979" i="2"/>
  <c r="Z2979" i="2"/>
  <c r="Y2979" i="2"/>
  <c r="X2979" i="2"/>
  <c r="W2979" i="2"/>
  <c r="V2979" i="2"/>
  <c r="AB2978" i="2"/>
  <c r="AA2978" i="2"/>
  <c r="Z2978" i="2"/>
  <c r="Y2978" i="2"/>
  <c r="X2978" i="2"/>
  <c r="W2978" i="2"/>
  <c r="V2978" i="2"/>
  <c r="AB2977" i="2"/>
  <c r="AA2977" i="2"/>
  <c r="Z2977" i="2"/>
  <c r="Y2977" i="2"/>
  <c r="X2977" i="2"/>
  <c r="W2977" i="2"/>
  <c r="V2977" i="2"/>
  <c r="AB2976" i="2"/>
  <c r="AA2976" i="2"/>
  <c r="Z2976" i="2"/>
  <c r="Y2976" i="2"/>
  <c r="X2976" i="2"/>
  <c r="W2976" i="2"/>
  <c r="V2976" i="2"/>
  <c r="AB2975" i="2"/>
  <c r="AA2975" i="2"/>
  <c r="Z2975" i="2"/>
  <c r="Y2975" i="2"/>
  <c r="X2975" i="2"/>
  <c r="W2975" i="2"/>
  <c r="V2975" i="2"/>
  <c r="AB2974" i="2"/>
  <c r="AA2974" i="2"/>
  <c r="Z2974" i="2"/>
  <c r="Y2974" i="2"/>
  <c r="X2974" i="2"/>
  <c r="W2974" i="2"/>
  <c r="V2974" i="2"/>
  <c r="AB2973" i="2"/>
  <c r="AA2973" i="2"/>
  <c r="Z2973" i="2"/>
  <c r="Y2973" i="2"/>
  <c r="X2973" i="2"/>
  <c r="W2973" i="2"/>
  <c r="V2973" i="2"/>
  <c r="AB2972" i="2"/>
  <c r="AA2972" i="2"/>
  <c r="Z2972" i="2"/>
  <c r="Y2972" i="2"/>
  <c r="X2972" i="2"/>
  <c r="W2972" i="2"/>
  <c r="V2972" i="2"/>
  <c r="AB2971" i="2"/>
  <c r="AA2971" i="2"/>
  <c r="Z2971" i="2"/>
  <c r="Y2971" i="2"/>
  <c r="X2971" i="2"/>
  <c r="W2971" i="2"/>
  <c r="V2971" i="2"/>
  <c r="AB2970" i="2"/>
  <c r="AA2970" i="2"/>
  <c r="Z2970" i="2"/>
  <c r="Y2970" i="2"/>
  <c r="X2970" i="2"/>
  <c r="W2970" i="2"/>
  <c r="V2970" i="2"/>
  <c r="AB2969" i="2"/>
  <c r="AA2969" i="2"/>
  <c r="Z2969" i="2"/>
  <c r="Y2969" i="2"/>
  <c r="X2969" i="2"/>
  <c r="W2969" i="2"/>
  <c r="V2969" i="2"/>
  <c r="AB2968" i="2"/>
  <c r="AA2968" i="2"/>
  <c r="Z2968" i="2"/>
  <c r="Y2968" i="2"/>
  <c r="X2968" i="2"/>
  <c r="W2968" i="2"/>
  <c r="V2968" i="2"/>
  <c r="AB2967" i="2"/>
  <c r="AA2967" i="2"/>
  <c r="Z2967" i="2"/>
  <c r="Y2967" i="2"/>
  <c r="X2967" i="2"/>
  <c r="W2967" i="2"/>
  <c r="V2967" i="2"/>
  <c r="AB2966" i="2"/>
  <c r="AA2966" i="2"/>
  <c r="Z2966" i="2"/>
  <c r="Y2966" i="2"/>
  <c r="X2966" i="2"/>
  <c r="W2966" i="2"/>
  <c r="V2966" i="2"/>
  <c r="AB2965" i="2"/>
  <c r="AA2965" i="2"/>
  <c r="Z2965" i="2"/>
  <c r="Y2965" i="2"/>
  <c r="X2965" i="2"/>
  <c r="W2965" i="2"/>
  <c r="V2965" i="2"/>
  <c r="AB2964" i="2"/>
  <c r="AA2964" i="2"/>
  <c r="Z2964" i="2"/>
  <c r="Y2964" i="2"/>
  <c r="X2964" i="2"/>
  <c r="W2964" i="2"/>
  <c r="V2964" i="2"/>
  <c r="AB2963" i="2"/>
  <c r="AA2963" i="2"/>
  <c r="Z2963" i="2"/>
  <c r="Y2963" i="2"/>
  <c r="X2963" i="2"/>
  <c r="W2963" i="2"/>
  <c r="V2963" i="2"/>
  <c r="AB2962" i="2"/>
  <c r="AA2962" i="2"/>
  <c r="Z2962" i="2"/>
  <c r="Y2962" i="2"/>
  <c r="X2962" i="2"/>
  <c r="W2962" i="2"/>
  <c r="V2962" i="2"/>
  <c r="AB2961" i="2"/>
  <c r="AA2961" i="2"/>
  <c r="Z2961" i="2"/>
  <c r="Y2961" i="2"/>
  <c r="X2961" i="2"/>
  <c r="W2961" i="2"/>
  <c r="V2961" i="2"/>
  <c r="AB2960" i="2"/>
  <c r="AA2960" i="2"/>
  <c r="Z2960" i="2"/>
  <c r="Y2960" i="2"/>
  <c r="X2960" i="2"/>
  <c r="W2960" i="2"/>
  <c r="V2960" i="2"/>
  <c r="AB2959" i="2"/>
  <c r="AA2959" i="2"/>
  <c r="Z2959" i="2"/>
  <c r="Y2959" i="2"/>
  <c r="X2959" i="2"/>
  <c r="W2959" i="2"/>
  <c r="V2959" i="2"/>
  <c r="AB2958" i="2"/>
  <c r="AA2958" i="2"/>
  <c r="Z2958" i="2"/>
  <c r="Y2958" i="2"/>
  <c r="X2958" i="2"/>
  <c r="W2958" i="2"/>
  <c r="V2958" i="2"/>
  <c r="AB2957" i="2"/>
  <c r="AA2957" i="2"/>
  <c r="Z2957" i="2"/>
  <c r="Y2957" i="2"/>
  <c r="X2957" i="2"/>
  <c r="W2957" i="2"/>
  <c r="V2957" i="2"/>
  <c r="AB2956" i="2"/>
  <c r="AA2956" i="2"/>
  <c r="Z2956" i="2"/>
  <c r="Y2956" i="2"/>
  <c r="X2956" i="2"/>
  <c r="W2956" i="2"/>
  <c r="V2956" i="2"/>
  <c r="AB2955" i="2"/>
  <c r="AA2955" i="2"/>
  <c r="Z2955" i="2"/>
  <c r="Y2955" i="2"/>
  <c r="X2955" i="2"/>
  <c r="W2955" i="2"/>
  <c r="V2955" i="2"/>
  <c r="AB2954" i="2"/>
  <c r="AA2954" i="2"/>
  <c r="Z2954" i="2"/>
  <c r="Y2954" i="2"/>
  <c r="X2954" i="2"/>
  <c r="W2954" i="2"/>
  <c r="V2954" i="2"/>
  <c r="AB2953" i="2"/>
  <c r="AA2953" i="2"/>
  <c r="Z2953" i="2"/>
  <c r="Y2953" i="2"/>
  <c r="X2953" i="2"/>
  <c r="W2953" i="2"/>
  <c r="V2953" i="2"/>
  <c r="AB2952" i="2"/>
  <c r="AA2952" i="2"/>
  <c r="Z2952" i="2"/>
  <c r="Y2952" i="2"/>
  <c r="X2952" i="2"/>
  <c r="W2952" i="2"/>
  <c r="V2952" i="2"/>
  <c r="AB2951" i="2"/>
  <c r="AA2951" i="2"/>
  <c r="Z2951" i="2"/>
  <c r="Y2951" i="2"/>
  <c r="X2951" i="2"/>
  <c r="W2951" i="2"/>
  <c r="V2951" i="2"/>
  <c r="AB2950" i="2"/>
  <c r="AA2950" i="2"/>
  <c r="Z2950" i="2"/>
  <c r="Y2950" i="2"/>
  <c r="X2950" i="2"/>
  <c r="W2950" i="2"/>
  <c r="V2950" i="2"/>
  <c r="AB2949" i="2"/>
  <c r="AA2949" i="2"/>
  <c r="Z2949" i="2"/>
  <c r="Y2949" i="2"/>
  <c r="X2949" i="2"/>
  <c r="W2949" i="2"/>
  <c r="V2949" i="2"/>
  <c r="AB2948" i="2"/>
  <c r="AA2948" i="2"/>
  <c r="Z2948" i="2"/>
  <c r="Y2948" i="2"/>
  <c r="X2948" i="2"/>
  <c r="W2948" i="2"/>
  <c r="V2948" i="2"/>
  <c r="AB2947" i="2"/>
  <c r="AA2947" i="2"/>
  <c r="Z2947" i="2"/>
  <c r="Y2947" i="2"/>
  <c r="X2947" i="2"/>
  <c r="W2947" i="2"/>
  <c r="V2947" i="2"/>
  <c r="AB2946" i="2"/>
  <c r="AA2946" i="2"/>
  <c r="Z2946" i="2"/>
  <c r="Y2946" i="2"/>
  <c r="X2946" i="2"/>
  <c r="W2946" i="2"/>
  <c r="V2946" i="2"/>
  <c r="AB2945" i="2"/>
  <c r="AA2945" i="2"/>
  <c r="Z2945" i="2"/>
  <c r="Y2945" i="2"/>
  <c r="X2945" i="2"/>
  <c r="W2945" i="2"/>
  <c r="V2945" i="2"/>
  <c r="AB2944" i="2"/>
  <c r="AA2944" i="2"/>
  <c r="Z2944" i="2"/>
  <c r="Y2944" i="2"/>
  <c r="X2944" i="2"/>
  <c r="W2944" i="2"/>
  <c r="V2944" i="2"/>
  <c r="AB2943" i="2"/>
  <c r="AA2943" i="2"/>
  <c r="Z2943" i="2"/>
  <c r="Y2943" i="2"/>
  <c r="X2943" i="2"/>
  <c r="W2943" i="2"/>
  <c r="V2943" i="2"/>
  <c r="AB2942" i="2"/>
  <c r="AA2942" i="2"/>
  <c r="Z2942" i="2"/>
  <c r="Y2942" i="2"/>
  <c r="X2942" i="2"/>
  <c r="W2942" i="2"/>
  <c r="V2942" i="2"/>
  <c r="AB2941" i="2"/>
  <c r="AA2941" i="2"/>
  <c r="Z2941" i="2"/>
  <c r="Y2941" i="2"/>
  <c r="X2941" i="2"/>
  <c r="W2941" i="2"/>
  <c r="V2941" i="2"/>
  <c r="AB2940" i="2"/>
  <c r="AA2940" i="2"/>
  <c r="Z2940" i="2"/>
  <c r="Y2940" i="2"/>
  <c r="X2940" i="2"/>
  <c r="W2940" i="2"/>
  <c r="V2940" i="2"/>
  <c r="AB2939" i="2"/>
  <c r="AA2939" i="2"/>
  <c r="Z2939" i="2"/>
  <c r="Y2939" i="2"/>
  <c r="X2939" i="2"/>
  <c r="W2939" i="2"/>
  <c r="V2939" i="2"/>
  <c r="AB2938" i="2"/>
  <c r="AA2938" i="2"/>
  <c r="Z2938" i="2"/>
  <c r="Y2938" i="2"/>
  <c r="X2938" i="2"/>
  <c r="W2938" i="2"/>
  <c r="V2938" i="2"/>
  <c r="AB2937" i="2"/>
  <c r="AA2937" i="2"/>
  <c r="Z2937" i="2"/>
  <c r="Y2937" i="2"/>
  <c r="X2937" i="2"/>
  <c r="W2937" i="2"/>
  <c r="V2937" i="2"/>
  <c r="AB2936" i="2"/>
  <c r="AA2936" i="2"/>
  <c r="Z2936" i="2"/>
  <c r="Y2936" i="2"/>
  <c r="X2936" i="2"/>
  <c r="W2936" i="2"/>
  <c r="V2936" i="2"/>
  <c r="AB2935" i="2"/>
  <c r="AA2935" i="2"/>
  <c r="Z2935" i="2"/>
  <c r="Y2935" i="2"/>
  <c r="X2935" i="2"/>
  <c r="W2935" i="2"/>
  <c r="V2935" i="2"/>
  <c r="AB2934" i="2"/>
  <c r="AA2934" i="2"/>
  <c r="Z2934" i="2"/>
  <c r="Y2934" i="2"/>
  <c r="X2934" i="2"/>
  <c r="W2934" i="2"/>
  <c r="V2934" i="2"/>
  <c r="AB2933" i="2"/>
  <c r="AA2933" i="2"/>
  <c r="Z2933" i="2"/>
  <c r="Y2933" i="2"/>
  <c r="X2933" i="2"/>
  <c r="W2933" i="2"/>
  <c r="V2933" i="2"/>
  <c r="AB2932" i="2"/>
  <c r="AA2932" i="2"/>
  <c r="Z2932" i="2"/>
  <c r="Y2932" i="2"/>
  <c r="X2932" i="2"/>
  <c r="W2932" i="2"/>
  <c r="V2932" i="2"/>
  <c r="AB2931" i="2"/>
  <c r="AA2931" i="2"/>
  <c r="Z2931" i="2"/>
  <c r="Y2931" i="2"/>
  <c r="X2931" i="2"/>
  <c r="W2931" i="2"/>
  <c r="V2931" i="2"/>
  <c r="AB2930" i="2"/>
  <c r="AA2930" i="2"/>
  <c r="Z2930" i="2"/>
  <c r="Y2930" i="2"/>
  <c r="X2930" i="2"/>
  <c r="W2930" i="2"/>
  <c r="V2930" i="2"/>
  <c r="AB2929" i="2"/>
  <c r="AA2929" i="2"/>
  <c r="Z2929" i="2"/>
  <c r="Y2929" i="2"/>
  <c r="X2929" i="2"/>
  <c r="W2929" i="2"/>
  <c r="V2929" i="2"/>
  <c r="AB2928" i="2"/>
  <c r="AA2928" i="2"/>
  <c r="Z2928" i="2"/>
  <c r="Y2928" i="2"/>
  <c r="X2928" i="2"/>
  <c r="W2928" i="2"/>
  <c r="V2928" i="2"/>
  <c r="AB2927" i="2"/>
  <c r="AA2927" i="2"/>
  <c r="Z2927" i="2"/>
  <c r="Y2927" i="2"/>
  <c r="X2927" i="2"/>
  <c r="W2927" i="2"/>
  <c r="V2927" i="2"/>
  <c r="AB2926" i="2"/>
  <c r="AA2926" i="2"/>
  <c r="Z2926" i="2"/>
  <c r="Y2926" i="2"/>
  <c r="X2926" i="2"/>
  <c r="W2926" i="2"/>
  <c r="V2926" i="2"/>
  <c r="AB2925" i="2"/>
  <c r="AA2925" i="2"/>
  <c r="Z2925" i="2"/>
  <c r="Y2925" i="2"/>
  <c r="X2925" i="2"/>
  <c r="W2925" i="2"/>
  <c r="V2925" i="2"/>
  <c r="AB2924" i="2"/>
  <c r="AA2924" i="2"/>
  <c r="Z2924" i="2"/>
  <c r="Y2924" i="2"/>
  <c r="X2924" i="2"/>
  <c r="W2924" i="2"/>
  <c r="V2924" i="2"/>
  <c r="AB2923" i="2"/>
  <c r="AA2923" i="2"/>
  <c r="Z2923" i="2"/>
  <c r="Y2923" i="2"/>
  <c r="X2923" i="2"/>
  <c r="W2923" i="2"/>
  <c r="V2923" i="2"/>
  <c r="AB2922" i="2"/>
  <c r="AA2922" i="2"/>
  <c r="Z2922" i="2"/>
  <c r="Y2922" i="2"/>
  <c r="X2922" i="2"/>
  <c r="W2922" i="2"/>
  <c r="V2922" i="2"/>
  <c r="AB2921" i="2"/>
  <c r="AA2921" i="2"/>
  <c r="Z2921" i="2"/>
  <c r="Y2921" i="2"/>
  <c r="X2921" i="2"/>
  <c r="W2921" i="2"/>
  <c r="V2921" i="2"/>
  <c r="AB2920" i="2"/>
  <c r="AA2920" i="2"/>
  <c r="Z2920" i="2"/>
  <c r="Y2920" i="2"/>
  <c r="X2920" i="2"/>
  <c r="W2920" i="2"/>
  <c r="V2920" i="2"/>
  <c r="AB2919" i="2"/>
  <c r="AA2919" i="2"/>
  <c r="Z2919" i="2"/>
  <c r="Y2919" i="2"/>
  <c r="X2919" i="2"/>
  <c r="W2919" i="2"/>
  <c r="V2919" i="2"/>
  <c r="AB2918" i="2"/>
  <c r="AA2918" i="2"/>
  <c r="Z2918" i="2"/>
  <c r="Y2918" i="2"/>
  <c r="X2918" i="2"/>
  <c r="W2918" i="2"/>
  <c r="V2918" i="2"/>
  <c r="AB2917" i="2"/>
  <c r="AA2917" i="2"/>
  <c r="Z2917" i="2"/>
  <c r="Y2917" i="2"/>
  <c r="X2917" i="2"/>
  <c r="W2917" i="2"/>
  <c r="V2917" i="2"/>
  <c r="AB2916" i="2"/>
  <c r="AA2916" i="2"/>
  <c r="Z2916" i="2"/>
  <c r="Y2916" i="2"/>
  <c r="X2916" i="2"/>
  <c r="W2916" i="2"/>
  <c r="V2916" i="2"/>
  <c r="AB2915" i="2"/>
  <c r="AA2915" i="2"/>
  <c r="Z2915" i="2"/>
  <c r="Y2915" i="2"/>
  <c r="X2915" i="2"/>
  <c r="W2915" i="2"/>
  <c r="V2915" i="2"/>
  <c r="AB2914" i="2"/>
  <c r="AA2914" i="2"/>
  <c r="Z2914" i="2"/>
  <c r="Y2914" i="2"/>
  <c r="X2914" i="2"/>
  <c r="W2914" i="2"/>
  <c r="V2914" i="2"/>
  <c r="AB2913" i="2"/>
  <c r="AA2913" i="2"/>
  <c r="Z2913" i="2"/>
  <c r="Y2913" i="2"/>
  <c r="X2913" i="2"/>
  <c r="W2913" i="2"/>
  <c r="V2913" i="2"/>
  <c r="AB2912" i="2"/>
  <c r="AA2912" i="2"/>
  <c r="Z2912" i="2"/>
  <c r="Y2912" i="2"/>
  <c r="X2912" i="2"/>
  <c r="W2912" i="2"/>
  <c r="V2912" i="2"/>
  <c r="AB2911" i="2"/>
  <c r="AA2911" i="2"/>
  <c r="Z2911" i="2"/>
  <c r="Y2911" i="2"/>
  <c r="X2911" i="2"/>
  <c r="W2911" i="2"/>
  <c r="V2911" i="2"/>
  <c r="AB2910" i="2"/>
  <c r="AA2910" i="2"/>
  <c r="Z2910" i="2"/>
  <c r="Y2910" i="2"/>
  <c r="X2910" i="2"/>
  <c r="W2910" i="2"/>
  <c r="V2910" i="2"/>
  <c r="AB2909" i="2"/>
  <c r="AA2909" i="2"/>
  <c r="Z2909" i="2"/>
  <c r="Y2909" i="2"/>
  <c r="X2909" i="2"/>
  <c r="W2909" i="2"/>
  <c r="V2909" i="2"/>
  <c r="AB2908" i="2"/>
  <c r="AA2908" i="2"/>
  <c r="Z2908" i="2"/>
  <c r="Y2908" i="2"/>
  <c r="X2908" i="2"/>
  <c r="W2908" i="2"/>
  <c r="V2908" i="2"/>
  <c r="AB2907" i="2"/>
  <c r="AA2907" i="2"/>
  <c r="Z2907" i="2"/>
  <c r="Y2907" i="2"/>
  <c r="X2907" i="2"/>
  <c r="W2907" i="2"/>
  <c r="V2907" i="2"/>
  <c r="AB2906" i="2"/>
  <c r="AA2906" i="2"/>
  <c r="Z2906" i="2"/>
  <c r="Y2906" i="2"/>
  <c r="X2906" i="2"/>
  <c r="W2906" i="2"/>
  <c r="V2906" i="2"/>
  <c r="AB2905" i="2"/>
  <c r="AA2905" i="2"/>
  <c r="Z2905" i="2"/>
  <c r="Y2905" i="2"/>
  <c r="X2905" i="2"/>
  <c r="W2905" i="2"/>
  <c r="V2905" i="2"/>
  <c r="AB2904" i="2"/>
  <c r="AA2904" i="2"/>
  <c r="Z2904" i="2"/>
  <c r="Y2904" i="2"/>
  <c r="X2904" i="2"/>
  <c r="W2904" i="2"/>
  <c r="V2904" i="2"/>
  <c r="AB2903" i="2"/>
  <c r="AA2903" i="2"/>
  <c r="Z2903" i="2"/>
  <c r="Y2903" i="2"/>
  <c r="X2903" i="2"/>
  <c r="W2903" i="2"/>
  <c r="V2903" i="2"/>
  <c r="AB2902" i="2"/>
  <c r="AA2902" i="2"/>
  <c r="Z2902" i="2"/>
  <c r="Y2902" i="2"/>
  <c r="X2902" i="2"/>
  <c r="W2902" i="2"/>
  <c r="V2902" i="2"/>
  <c r="AB2901" i="2"/>
  <c r="AA2901" i="2"/>
  <c r="Z2901" i="2"/>
  <c r="Y2901" i="2"/>
  <c r="X2901" i="2"/>
  <c r="W2901" i="2"/>
  <c r="V2901" i="2"/>
  <c r="AB2900" i="2"/>
  <c r="AA2900" i="2"/>
  <c r="Z2900" i="2"/>
  <c r="Y2900" i="2"/>
  <c r="X2900" i="2"/>
  <c r="W2900" i="2"/>
  <c r="V2900" i="2"/>
  <c r="AB2899" i="2"/>
  <c r="AA2899" i="2"/>
  <c r="Z2899" i="2"/>
  <c r="Y2899" i="2"/>
  <c r="X2899" i="2"/>
  <c r="W2899" i="2"/>
  <c r="V2899" i="2"/>
  <c r="AB2898" i="2"/>
  <c r="AA2898" i="2"/>
  <c r="Z2898" i="2"/>
  <c r="Y2898" i="2"/>
  <c r="X2898" i="2"/>
  <c r="W2898" i="2"/>
  <c r="V2898" i="2"/>
  <c r="AB2897" i="2"/>
  <c r="AA2897" i="2"/>
  <c r="Z2897" i="2"/>
  <c r="Y2897" i="2"/>
  <c r="X2897" i="2"/>
  <c r="W2897" i="2"/>
  <c r="V2897" i="2"/>
  <c r="AB2896" i="2"/>
  <c r="AA2896" i="2"/>
  <c r="Z2896" i="2"/>
  <c r="Y2896" i="2"/>
  <c r="X2896" i="2"/>
  <c r="W2896" i="2"/>
  <c r="V2896" i="2"/>
  <c r="AB2895" i="2"/>
  <c r="AA2895" i="2"/>
  <c r="Z2895" i="2"/>
  <c r="Y2895" i="2"/>
  <c r="X2895" i="2"/>
  <c r="W2895" i="2"/>
  <c r="V2895" i="2"/>
  <c r="AB2894" i="2"/>
  <c r="AA2894" i="2"/>
  <c r="Z2894" i="2"/>
  <c r="Y2894" i="2"/>
  <c r="X2894" i="2"/>
  <c r="W2894" i="2"/>
  <c r="V2894" i="2"/>
  <c r="AB2893" i="2"/>
  <c r="AA2893" i="2"/>
  <c r="Z2893" i="2"/>
  <c r="Y2893" i="2"/>
  <c r="X2893" i="2"/>
  <c r="W2893" i="2"/>
  <c r="V2893" i="2"/>
  <c r="AB2892" i="2"/>
  <c r="AA2892" i="2"/>
  <c r="Z2892" i="2"/>
  <c r="Y2892" i="2"/>
  <c r="X2892" i="2"/>
  <c r="W2892" i="2"/>
  <c r="V2892" i="2"/>
  <c r="AB2891" i="2"/>
  <c r="AA2891" i="2"/>
  <c r="Z2891" i="2"/>
  <c r="Y2891" i="2"/>
  <c r="X2891" i="2"/>
  <c r="W2891" i="2"/>
  <c r="V2891" i="2"/>
  <c r="AB2890" i="2"/>
  <c r="AA2890" i="2"/>
  <c r="Z2890" i="2"/>
  <c r="Y2890" i="2"/>
  <c r="X2890" i="2"/>
  <c r="W2890" i="2"/>
  <c r="V2890" i="2"/>
  <c r="AB2889" i="2"/>
  <c r="AA2889" i="2"/>
  <c r="Z2889" i="2"/>
  <c r="Y2889" i="2"/>
  <c r="X2889" i="2"/>
  <c r="W2889" i="2"/>
  <c r="V2889" i="2"/>
  <c r="AB2888" i="2"/>
  <c r="AA2888" i="2"/>
  <c r="Z2888" i="2"/>
  <c r="Y2888" i="2"/>
  <c r="X2888" i="2"/>
  <c r="W2888" i="2"/>
  <c r="V2888" i="2"/>
  <c r="AB2887" i="2"/>
  <c r="AA2887" i="2"/>
  <c r="Z2887" i="2"/>
  <c r="Y2887" i="2"/>
  <c r="X2887" i="2"/>
  <c r="W2887" i="2"/>
  <c r="V2887" i="2"/>
  <c r="AB2886" i="2"/>
  <c r="AA2886" i="2"/>
  <c r="Z2886" i="2"/>
  <c r="Y2886" i="2"/>
  <c r="X2886" i="2"/>
  <c r="W2886" i="2"/>
  <c r="V2886" i="2"/>
  <c r="AB2885" i="2"/>
  <c r="AA2885" i="2"/>
  <c r="Z2885" i="2"/>
  <c r="Y2885" i="2"/>
  <c r="X2885" i="2"/>
  <c r="W2885" i="2"/>
  <c r="V2885" i="2"/>
  <c r="AB2884" i="2"/>
  <c r="AA2884" i="2"/>
  <c r="Z2884" i="2"/>
  <c r="Y2884" i="2"/>
  <c r="X2884" i="2"/>
  <c r="W2884" i="2"/>
  <c r="V2884" i="2"/>
  <c r="AB2883" i="2"/>
  <c r="AA2883" i="2"/>
  <c r="Z2883" i="2"/>
  <c r="Y2883" i="2"/>
  <c r="X2883" i="2"/>
  <c r="W2883" i="2"/>
  <c r="V2883" i="2"/>
  <c r="AB2882" i="2"/>
  <c r="AA2882" i="2"/>
  <c r="Z2882" i="2"/>
  <c r="Y2882" i="2"/>
  <c r="X2882" i="2"/>
  <c r="W2882" i="2"/>
  <c r="V2882" i="2"/>
  <c r="AB2881" i="2"/>
  <c r="AA2881" i="2"/>
  <c r="Z2881" i="2"/>
  <c r="Y2881" i="2"/>
  <c r="X2881" i="2"/>
  <c r="W2881" i="2"/>
  <c r="V2881" i="2"/>
  <c r="AB2880" i="2"/>
  <c r="AA2880" i="2"/>
  <c r="Z2880" i="2"/>
  <c r="Y2880" i="2"/>
  <c r="X2880" i="2"/>
  <c r="W2880" i="2"/>
  <c r="V2880" i="2"/>
  <c r="AB2879" i="2"/>
  <c r="AA2879" i="2"/>
  <c r="Z2879" i="2"/>
  <c r="Y2879" i="2"/>
  <c r="X2879" i="2"/>
  <c r="W2879" i="2"/>
  <c r="V2879" i="2"/>
  <c r="AB2878" i="2"/>
  <c r="AA2878" i="2"/>
  <c r="Z2878" i="2"/>
  <c r="Y2878" i="2"/>
  <c r="X2878" i="2"/>
  <c r="W2878" i="2"/>
  <c r="V2878" i="2"/>
  <c r="AB2877" i="2"/>
  <c r="AA2877" i="2"/>
  <c r="Z2877" i="2"/>
  <c r="Y2877" i="2"/>
  <c r="X2877" i="2"/>
  <c r="W2877" i="2"/>
  <c r="V2877" i="2"/>
  <c r="AB2876" i="2"/>
  <c r="AA2876" i="2"/>
  <c r="Z2876" i="2"/>
  <c r="Y2876" i="2"/>
  <c r="X2876" i="2"/>
  <c r="W2876" i="2"/>
  <c r="V2876" i="2"/>
  <c r="AB2875" i="2"/>
  <c r="AA2875" i="2"/>
  <c r="Z2875" i="2"/>
  <c r="Y2875" i="2"/>
  <c r="X2875" i="2"/>
  <c r="W2875" i="2"/>
  <c r="V2875" i="2"/>
  <c r="AB2874" i="2"/>
  <c r="AA2874" i="2"/>
  <c r="Z2874" i="2"/>
  <c r="Y2874" i="2"/>
  <c r="X2874" i="2"/>
  <c r="W2874" i="2"/>
  <c r="V2874" i="2"/>
  <c r="AB2873" i="2"/>
  <c r="AA2873" i="2"/>
  <c r="Z2873" i="2"/>
  <c r="Y2873" i="2"/>
  <c r="X2873" i="2"/>
  <c r="W2873" i="2"/>
  <c r="V2873" i="2"/>
  <c r="AB2872" i="2"/>
  <c r="AA2872" i="2"/>
  <c r="Z2872" i="2"/>
  <c r="Y2872" i="2"/>
  <c r="X2872" i="2"/>
  <c r="W2872" i="2"/>
  <c r="V2872" i="2"/>
  <c r="AB2871" i="2"/>
  <c r="AA2871" i="2"/>
  <c r="Z2871" i="2"/>
  <c r="Y2871" i="2"/>
  <c r="X2871" i="2"/>
  <c r="W2871" i="2"/>
  <c r="V2871" i="2"/>
  <c r="AB2870" i="2"/>
  <c r="AA2870" i="2"/>
  <c r="Z2870" i="2"/>
  <c r="Y2870" i="2"/>
  <c r="X2870" i="2"/>
  <c r="W2870" i="2"/>
  <c r="V2870" i="2"/>
  <c r="AB2869" i="2"/>
  <c r="AA2869" i="2"/>
  <c r="Z2869" i="2"/>
  <c r="Y2869" i="2"/>
  <c r="X2869" i="2"/>
  <c r="W2869" i="2"/>
  <c r="V2869" i="2"/>
  <c r="AB2868" i="2"/>
  <c r="AA2868" i="2"/>
  <c r="Z2868" i="2"/>
  <c r="Y2868" i="2"/>
  <c r="X2868" i="2"/>
  <c r="W2868" i="2"/>
  <c r="V2868" i="2"/>
  <c r="AB2867" i="2"/>
  <c r="AA2867" i="2"/>
  <c r="Z2867" i="2"/>
  <c r="Y2867" i="2"/>
  <c r="X2867" i="2"/>
  <c r="W2867" i="2"/>
  <c r="V2867" i="2"/>
  <c r="AB2866" i="2"/>
  <c r="AA2866" i="2"/>
  <c r="Z2866" i="2"/>
  <c r="Y2866" i="2"/>
  <c r="X2866" i="2"/>
  <c r="W2866" i="2"/>
  <c r="V2866" i="2"/>
  <c r="AB2865" i="2"/>
  <c r="AA2865" i="2"/>
  <c r="Z2865" i="2"/>
  <c r="Y2865" i="2"/>
  <c r="X2865" i="2"/>
  <c r="W2865" i="2"/>
  <c r="V2865" i="2"/>
  <c r="AB2864" i="2"/>
  <c r="AA2864" i="2"/>
  <c r="Z2864" i="2"/>
  <c r="Y2864" i="2"/>
  <c r="X2864" i="2"/>
  <c r="W2864" i="2"/>
  <c r="V2864" i="2"/>
  <c r="AB2863" i="2"/>
  <c r="AA2863" i="2"/>
  <c r="Z2863" i="2"/>
  <c r="Y2863" i="2"/>
  <c r="X2863" i="2"/>
  <c r="W2863" i="2"/>
  <c r="V2863" i="2"/>
  <c r="AB2862" i="2"/>
  <c r="AA2862" i="2"/>
  <c r="Z2862" i="2"/>
  <c r="Y2862" i="2"/>
  <c r="X2862" i="2"/>
  <c r="W2862" i="2"/>
  <c r="V2862" i="2"/>
  <c r="AB2861" i="2"/>
  <c r="AA2861" i="2"/>
  <c r="Z2861" i="2"/>
  <c r="Y2861" i="2"/>
  <c r="X2861" i="2"/>
  <c r="W2861" i="2"/>
  <c r="V2861" i="2"/>
  <c r="AB2860" i="2"/>
  <c r="AA2860" i="2"/>
  <c r="Z2860" i="2"/>
  <c r="Y2860" i="2"/>
  <c r="X2860" i="2"/>
  <c r="W2860" i="2"/>
  <c r="V2860" i="2"/>
  <c r="AB2859" i="2"/>
  <c r="AA2859" i="2"/>
  <c r="Z2859" i="2"/>
  <c r="Y2859" i="2"/>
  <c r="X2859" i="2"/>
  <c r="W2859" i="2"/>
  <c r="V2859" i="2"/>
  <c r="AB2858" i="2"/>
  <c r="AA2858" i="2"/>
  <c r="Z2858" i="2"/>
  <c r="Y2858" i="2"/>
  <c r="X2858" i="2"/>
  <c r="W2858" i="2"/>
  <c r="V2858" i="2"/>
  <c r="AB2857" i="2"/>
  <c r="AA2857" i="2"/>
  <c r="Z2857" i="2"/>
  <c r="Y2857" i="2"/>
  <c r="X2857" i="2"/>
  <c r="W2857" i="2"/>
  <c r="V2857" i="2"/>
  <c r="AB2856" i="2"/>
  <c r="AA2856" i="2"/>
  <c r="Z2856" i="2"/>
  <c r="Y2856" i="2"/>
  <c r="X2856" i="2"/>
  <c r="W2856" i="2"/>
  <c r="V2856" i="2"/>
  <c r="AB2855" i="2"/>
  <c r="AA2855" i="2"/>
  <c r="Z2855" i="2"/>
  <c r="Y2855" i="2"/>
  <c r="X2855" i="2"/>
  <c r="W2855" i="2"/>
  <c r="V2855" i="2"/>
  <c r="AB2854" i="2"/>
  <c r="AA2854" i="2"/>
  <c r="Z2854" i="2"/>
  <c r="Y2854" i="2"/>
  <c r="X2854" i="2"/>
  <c r="W2854" i="2"/>
  <c r="V2854" i="2"/>
  <c r="AB2853" i="2"/>
  <c r="AA2853" i="2"/>
  <c r="Z2853" i="2"/>
  <c r="Y2853" i="2"/>
  <c r="X2853" i="2"/>
  <c r="W2853" i="2"/>
  <c r="V2853" i="2"/>
  <c r="AB2852" i="2"/>
  <c r="AA2852" i="2"/>
  <c r="Z2852" i="2"/>
  <c r="Y2852" i="2"/>
  <c r="X2852" i="2"/>
  <c r="W2852" i="2"/>
  <c r="V2852" i="2"/>
  <c r="AB2851" i="2"/>
  <c r="AA2851" i="2"/>
  <c r="Z2851" i="2"/>
  <c r="Y2851" i="2"/>
  <c r="X2851" i="2"/>
  <c r="W2851" i="2"/>
  <c r="V2851" i="2"/>
  <c r="AB2850" i="2"/>
  <c r="AA2850" i="2"/>
  <c r="Z2850" i="2"/>
  <c r="Y2850" i="2"/>
  <c r="X2850" i="2"/>
  <c r="W2850" i="2"/>
  <c r="V2850" i="2"/>
  <c r="AB2849" i="2"/>
  <c r="AA2849" i="2"/>
  <c r="Z2849" i="2"/>
  <c r="Y2849" i="2"/>
  <c r="X2849" i="2"/>
  <c r="W2849" i="2"/>
  <c r="V2849" i="2"/>
  <c r="AB2848" i="2"/>
  <c r="AA2848" i="2"/>
  <c r="Z2848" i="2"/>
  <c r="Y2848" i="2"/>
  <c r="X2848" i="2"/>
  <c r="W2848" i="2"/>
  <c r="V2848" i="2"/>
  <c r="AB2847" i="2"/>
  <c r="AA2847" i="2"/>
  <c r="Z2847" i="2"/>
  <c r="Y2847" i="2"/>
  <c r="X2847" i="2"/>
  <c r="W2847" i="2"/>
  <c r="V2847" i="2"/>
  <c r="AB2846" i="2"/>
  <c r="AA2846" i="2"/>
  <c r="Z2846" i="2"/>
  <c r="Y2846" i="2"/>
  <c r="X2846" i="2"/>
  <c r="W2846" i="2"/>
  <c r="V2846" i="2"/>
  <c r="AB2845" i="2"/>
  <c r="AA2845" i="2"/>
  <c r="Z2845" i="2"/>
  <c r="Y2845" i="2"/>
  <c r="X2845" i="2"/>
  <c r="W2845" i="2"/>
  <c r="V2845" i="2"/>
  <c r="AB2844" i="2"/>
  <c r="AA2844" i="2"/>
  <c r="Z2844" i="2"/>
  <c r="Y2844" i="2"/>
  <c r="X2844" i="2"/>
  <c r="W2844" i="2"/>
  <c r="V2844" i="2"/>
  <c r="AB2843" i="2"/>
  <c r="AA2843" i="2"/>
  <c r="Z2843" i="2"/>
  <c r="Y2843" i="2"/>
  <c r="X2843" i="2"/>
  <c r="W2843" i="2"/>
  <c r="V2843" i="2"/>
  <c r="AB2842" i="2"/>
  <c r="AA2842" i="2"/>
  <c r="Z2842" i="2"/>
  <c r="Y2842" i="2"/>
  <c r="X2842" i="2"/>
  <c r="W2842" i="2"/>
  <c r="V2842" i="2"/>
  <c r="AB2841" i="2"/>
  <c r="AA2841" i="2"/>
  <c r="Z2841" i="2"/>
  <c r="Y2841" i="2"/>
  <c r="X2841" i="2"/>
  <c r="W2841" i="2"/>
  <c r="V2841" i="2"/>
  <c r="AB2840" i="2"/>
  <c r="AA2840" i="2"/>
  <c r="Z2840" i="2"/>
  <c r="Y2840" i="2"/>
  <c r="X2840" i="2"/>
  <c r="W2840" i="2"/>
  <c r="V2840" i="2"/>
  <c r="AB2839" i="2"/>
  <c r="AA2839" i="2"/>
  <c r="Z2839" i="2"/>
  <c r="Y2839" i="2"/>
  <c r="X2839" i="2"/>
  <c r="W2839" i="2"/>
  <c r="V2839" i="2"/>
  <c r="AB2838" i="2"/>
  <c r="AA2838" i="2"/>
  <c r="Z2838" i="2"/>
  <c r="Y2838" i="2"/>
  <c r="X2838" i="2"/>
  <c r="W2838" i="2"/>
  <c r="V2838" i="2"/>
  <c r="AB2837" i="2"/>
  <c r="AA2837" i="2"/>
  <c r="Z2837" i="2"/>
  <c r="Y2837" i="2"/>
  <c r="X2837" i="2"/>
  <c r="W2837" i="2"/>
  <c r="V2837" i="2"/>
  <c r="AB2836" i="2"/>
  <c r="AA2836" i="2"/>
  <c r="Z2836" i="2"/>
  <c r="Y2836" i="2"/>
  <c r="X2836" i="2"/>
  <c r="W2836" i="2"/>
  <c r="V2836" i="2"/>
  <c r="AB2835" i="2"/>
  <c r="AA2835" i="2"/>
  <c r="Z2835" i="2"/>
  <c r="Y2835" i="2"/>
  <c r="X2835" i="2"/>
  <c r="W2835" i="2"/>
  <c r="V2835" i="2"/>
  <c r="AB2834" i="2"/>
  <c r="AA2834" i="2"/>
  <c r="Z2834" i="2"/>
  <c r="Y2834" i="2"/>
  <c r="X2834" i="2"/>
  <c r="W2834" i="2"/>
  <c r="V2834" i="2"/>
  <c r="AB2833" i="2"/>
  <c r="AA2833" i="2"/>
  <c r="Z2833" i="2"/>
  <c r="Y2833" i="2"/>
  <c r="X2833" i="2"/>
  <c r="W2833" i="2"/>
  <c r="V2833" i="2"/>
  <c r="AB2832" i="2"/>
  <c r="AA2832" i="2"/>
  <c r="Z2832" i="2"/>
  <c r="Y2832" i="2"/>
  <c r="X2832" i="2"/>
  <c r="W2832" i="2"/>
  <c r="V2832" i="2"/>
  <c r="AB2831" i="2"/>
  <c r="AA2831" i="2"/>
  <c r="Z2831" i="2"/>
  <c r="Y2831" i="2"/>
  <c r="X2831" i="2"/>
  <c r="W2831" i="2"/>
  <c r="V2831" i="2"/>
  <c r="AB2830" i="2"/>
  <c r="AA2830" i="2"/>
  <c r="Z2830" i="2"/>
  <c r="Y2830" i="2"/>
  <c r="X2830" i="2"/>
  <c r="W2830" i="2"/>
  <c r="V2830" i="2"/>
  <c r="AB2829" i="2"/>
  <c r="AA2829" i="2"/>
  <c r="Z2829" i="2"/>
  <c r="Y2829" i="2"/>
  <c r="X2829" i="2"/>
  <c r="W2829" i="2"/>
  <c r="V2829" i="2"/>
  <c r="AB2828" i="2"/>
  <c r="AA2828" i="2"/>
  <c r="Z2828" i="2"/>
  <c r="Y2828" i="2"/>
  <c r="X2828" i="2"/>
  <c r="W2828" i="2"/>
  <c r="V2828" i="2"/>
  <c r="AB2827" i="2"/>
  <c r="AA2827" i="2"/>
  <c r="Z2827" i="2"/>
  <c r="Y2827" i="2"/>
  <c r="X2827" i="2"/>
  <c r="W2827" i="2"/>
  <c r="V2827" i="2"/>
  <c r="AB2826" i="2"/>
  <c r="AA2826" i="2"/>
  <c r="Z2826" i="2"/>
  <c r="Y2826" i="2"/>
  <c r="X2826" i="2"/>
  <c r="W2826" i="2"/>
  <c r="V2826" i="2"/>
  <c r="AB2825" i="2"/>
  <c r="AA2825" i="2"/>
  <c r="Z2825" i="2"/>
  <c r="Y2825" i="2"/>
  <c r="X2825" i="2"/>
  <c r="W2825" i="2"/>
  <c r="V2825" i="2"/>
  <c r="AB2824" i="2"/>
  <c r="AA2824" i="2"/>
  <c r="Z2824" i="2"/>
  <c r="Y2824" i="2"/>
  <c r="X2824" i="2"/>
  <c r="W2824" i="2"/>
  <c r="V2824" i="2"/>
  <c r="AB2823" i="2"/>
  <c r="AA2823" i="2"/>
  <c r="Z2823" i="2"/>
  <c r="Y2823" i="2"/>
  <c r="X2823" i="2"/>
  <c r="W2823" i="2"/>
  <c r="V2823" i="2"/>
  <c r="AB2822" i="2"/>
  <c r="AA2822" i="2"/>
  <c r="Z2822" i="2"/>
  <c r="Y2822" i="2"/>
  <c r="X2822" i="2"/>
  <c r="W2822" i="2"/>
  <c r="V2822" i="2"/>
  <c r="AB2821" i="2"/>
  <c r="AA2821" i="2"/>
  <c r="Z2821" i="2"/>
  <c r="Y2821" i="2"/>
  <c r="X2821" i="2"/>
  <c r="W2821" i="2"/>
  <c r="V2821" i="2"/>
  <c r="AB2820" i="2"/>
  <c r="AA2820" i="2"/>
  <c r="Z2820" i="2"/>
  <c r="Y2820" i="2"/>
  <c r="X2820" i="2"/>
  <c r="W2820" i="2"/>
  <c r="V2820" i="2"/>
  <c r="AB2819" i="2"/>
  <c r="AA2819" i="2"/>
  <c r="Z2819" i="2"/>
  <c r="Y2819" i="2"/>
  <c r="X2819" i="2"/>
  <c r="W2819" i="2"/>
  <c r="V2819" i="2"/>
  <c r="AB2818" i="2"/>
  <c r="AA2818" i="2"/>
  <c r="Z2818" i="2"/>
  <c r="Y2818" i="2"/>
  <c r="X2818" i="2"/>
  <c r="W2818" i="2"/>
  <c r="V2818" i="2"/>
  <c r="AB2817" i="2"/>
  <c r="AA2817" i="2"/>
  <c r="Z2817" i="2"/>
  <c r="Y2817" i="2"/>
  <c r="X2817" i="2"/>
  <c r="W2817" i="2"/>
  <c r="V2817" i="2"/>
  <c r="AB2816" i="2"/>
  <c r="AA2816" i="2"/>
  <c r="Z2816" i="2"/>
  <c r="Y2816" i="2"/>
  <c r="X2816" i="2"/>
  <c r="W2816" i="2"/>
  <c r="V2816" i="2"/>
  <c r="AB2815" i="2"/>
  <c r="AA2815" i="2"/>
  <c r="Z2815" i="2"/>
  <c r="Y2815" i="2"/>
  <c r="X2815" i="2"/>
  <c r="W2815" i="2"/>
  <c r="V2815" i="2"/>
  <c r="AB2814" i="2"/>
  <c r="AA2814" i="2"/>
  <c r="Z2814" i="2"/>
  <c r="Y2814" i="2"/>
  <c r="X2814" i="2"/>
  <c r="W2814" i="2"/>
  <c r="V2814" i="2"/>
  <c r="AB2813" i="2"/>
  <c r="AA2813" i="2"/>
  <c r="Z2813" i="2"/>
  <c r="Y2813" i="2"/>
  <c r="X2813" i="2"/>
  <c r="W2813" i="2"/>
  <c r="V2813" i="2"/>
  <c r="AB2812" i="2"/>
  <c r="AA2812" i="2"/>
  <c r="Z2812" i="2"/>
  <c r="Y2812" i="2"/>
  <c r="X2812" i="2"/>
  <c r="W2812" i="2"/>
  <c r="V2812" i="2"/>
  <c r="AB2811" i="2"/>
  <c r="AA2811" i="2"/>
  <c r="Z2811" i="2"/>
  <c r="Y2811" i="2"/>
  <c r="X2811" i="2"/>
  <c r="W2811" i="2"/>
  <c r="V2811" i="2"/>
  <c r="AB2810" i="2"/>
  <c r="AA2810" i="2"/>
  <c r="Z2810" i="2"/>
  <c r="Y2810" i="2"/>
  <c r="X2810" i="2"/>
  <c r="W2810" i="2"/>
  <c r="V2810" i="2"/>
  <c r="AB2809" i="2"/>
  <c r="AA2809" i="2"/>
  <c r="Z2809" i="2"/>
  <c r="Y2809" i="2"/>
  <c r="X2809" i="2"/>
  <c r="W2809" i="2"/>
  <c r="V2809" i="2"/>
  <c r="AB2808" i="2"/>
  <c r="AA2808" i="2"/>
  <c r="Z2808" i="2"/>
  <c r="Y2808" i="2"/>
  <c r="X2808" i="2"/>
  <c r="W2808" i="2"/>
  <c r="V2808" i="2"/>
  <c r="AB2807" i="2"/>
  <c r="AA2807" i="2"/>
  <c r="Z2807" i="2"/>
  <c r="Y2807" i="2"/>
  <c r="X2807" i="2"/>
  <c r="W2807" i="2"/>
  <c r="V2807" i="2"/>
  <c r="AB2806" i="2"/>
  <c r="AA2806" i="2"/>
  <c r="Z2806" i="2"/>
  <c r="Y2806" i="2"/>
  <c r="X2806" i="2"/>
  <c r="W2806" i="2"/>
  <c r="V2806" i="2"/>
  <c r="AB2805" i="2"/>
  <c r="AA2805" i="2"/>
  <c r="Z2805" i="2"/>
  <c r="Y2805" i="2"/>
  <c r="X2805" i="2"/>
  <c r="W2805" i="2"/>
  <c r="V2805" i="2"/>
  <c r="AB2804" i="2"/>
  <c r="AA2804" i="2"/>
  <c r="Z2804" i="2"/>
  <c r="Y2804" i="2"/>
  <c r="X2804" i="2"/>
  <c r="W2804" i="2"/>
  <c r="V2804" i="2"/>
  <c r="AB2803" i="2"/>
  <c r="AA2803" i="2"/>
  <c r="Z2803" i="2"/>
  <c r="Y2803" i="2"/>
  <c r="X2803" i="2"/>
  <c r="W2803" i="2"/>
  <c r="V2803" i="2"/>
  <c r="AB2802" i="2"/>
  <c r="AA2802" i="2"/>
  <c r="Z2802" i="2"/>
  <c r="Y2802" i="2"/>
  <c r="X2802" i="2"/>
  <c r="W2802" i="2"/>
  <c r="V2802" i="2"/>
  <c r="AB2801" i="2"/>
  <c r="AA2801" i="2"/>
  <c r="Z2801" i="2"/>
  <c r="Y2801" i="2"/>
  <c r="X2801" i="2"/>
  <c r="W2801" i="2"/>
  <c r="V2801" i="2"/>
  <c r="AB2800" i="2"/>
  <c r="AA2800" i="2"/>
  <c r="Z2800" i="2"/>
  <c r="Y2800" i="2"/>
  <c r="X2800" i="2"/>
  <c r="W2800" i="2"/>
  <c r="V2800" i="2"/>
  <c r="AB2799" i="2"/>
  <c r="AA2799" i="2"/>
  <c r="Z2799" i="2"/>
  <c r="Y2799" i="2"/>
  <c r="X2799" i="2"/>
  <c r="W2799" i="2"/>
  <c r="V2799" i="2"/>
  <c r="AB2798" i="2"/>
  <c r="AA2798" i="2"/>
  <c r="Z2798" i="2"/>
  <c r="Y2798" i="2"/>
  <c r="X2798" i="2"/>
  <c r="W2798" i="2"/>
  <c r="V2798" i="2"/>
  <c r="AB2797" i="2"/>
  <c r="AA2797" i="2"/>
  <c r="Z2797" i="2"/>
  <c r="Y2797" i="2"/>
  <c r="X2797" i="2"/>
  <c r="W2797" i="2"/>
  <c r="V2797" i="2"/>
  <c r="AB2796" i="2"/>
  <c r="AA2796" i="2"/>
  <c r="Z2796" i="2"/>
  <c r="Y2796" i="2"/>
  <c r="X2796" i="2"/>
  <c r="W2796" i="2"/>
  <c r="V2796" i="2"/>
  <c r="AB2795" i="2"/>
  <c r="AA2795" i="2"/>
  <c r="Z2795" i="2"/>
  <c r="Y2795" i="2"/>
  <c r="X2795" i="2"/>
  <c r="W2795" i="2"/>
  <c r="V2795" i="2"/>
  <c r="AB2794" i="2"/>
  <c r="AA2794" i="2"/>
  <c r="Z2794" i="2"/>
  <c r="Y2794" i="2"/>
  <c r="X2794" i="2"/>
  <c r="W2794" i="2"/>
  <c r="V2794" i="2"/>
  <c r="AB2793" i="2"/>
  <c r="AA2793" i="2"/>
  <c r="Z2793" i="2"/>
  <c r="Y2793" i="2"/>
  <c r="X2793" i="2"/>
  <c r="W2793" i="2"/>
  <c r="V2793" i="2"/>
  <c r="AB2792" i="2"/>
  <c r="AA2792" i="2"/>
  <c r="Z2792" i="2"/>
  <c r="Y2792" i="2"/>
  <c r="X2792" i="2"/>
  <c r="W2792" i="2"/>
  <c r="V2792" i="2"/>
  <c r="AB2791" i="2"/>
  <c r="AA2791" i="2"/>
  <c r="Z2791" i="2"/>
  <c r="Y2791" i="2"/>
  <c r="X2791" i="2"/>
  <c r="W2791" i="2"/>
  <c r="V2791" i="2"/>
  <c r="AB2790" i="2"/>
  <c r="AA2790" i="2"/>
  <c r="Z2790" i="2"/>
  <c r="Y2790" i="2"/>
  <c r="X2790" i="2"/>
  <c r="W2790" i="2"/>
  <c r="V2790" i="2"/>
  <c r="AB2789" i="2"/>
  <c r="AA2789" i="2"/>
  <c r="Z2789" i="2"/>
  <c r="Y2789" i="2"/>
  <c r="X2789" i="2"/>
  <c r="W2789" i="2"/>
  <c r="V2789" i="2"/>
  <c r="AB2788" i="2"/>
  <c r="AA2788" i="2"/>
  <c r="Z2788" i="2"/>
  <c r="Y2788" i="2"/>
  <c r="X2788" i="2"/>
  <c r="W2788" i="2"/>
  <c r="V2788" i="2"/>
  <c r="AB2787" i="2"/>
  <c r="AA2787" i="2"/>
  <c r="Z2787" i="2"/>
  <c r="Y2787" i="2"/>
  <c r="X2787" i="2"/>
  <c r="W2787" i="2"/>
  <c r="V2787" i="2"/>
  <c r="AB2786" i="2"/>
  <c r="AA2786" i="2"/>
  <c r="Z2786" i="2"/>
  <c r="Y2786" i="2"/>
  <c r="X2786" i="2"/>
  <c r="W2786" i="2"/>
  <c r="V2786" i="2"/>
  <c r="AB2785" i="2"/>
  <c r="AA2785" i="2"/>
  <c r="Z2785" i="2"/>
  <c r="Y2785" i="2"/>
  <c r="X2785" i="2"/>
  <c r="W2785" i="2"/>
  <c r="V2785" i="2"/>
  <c r="AB2784" i="2"/>
  <c r="AA2784" i="2"/>
  <c r="Z2784" i="2"/>
  <c r="Y2784" i="2"/>
  <c r="X2784" i="2"/>
  <c r="W2784" i="2"/>
  <c r="V2784" i="2"/>
  <c r="AB2783" i="2"/>
  <c r="AA2783" i="2"/>
  <c r="Z2783" i="2"/>
  <c r="Y2783" i="2"/>
  <c r="X2783" i="2"/>
  <c r="W2783" i="2"/>
  <c r="V2783" i="2"/>
  <c r="AB2782" i="2"/>
  <c r="AA2782" i="2"/>
  <c r="Z2782" i="2"/>
  <c r="Y2782" i="2"/>
  <c r="X2782" i="2"/>
  <c r="W2782" i="2"/>
  <c r="V2782" i="2"/>
  <c r="AB2781" i="2"/>
  <c r="AA2781" i="2"/>
  <c r="Z2781" i="2"/>
  <c r="Y2781" i="2"/>
  <c r="X2781" i="2"/>
  <c r="W2781" i="2"/>
  <c r="V2781" i="2"/>
  <c r="AB2780" i="2"/>
  <c r="AA2780" i="2"/>
  <c r="Z2780" i="2"/>
  <c r="Y2780" i="2"/>
  <c r="X2780" i="2"/>
  <c r="W2780" i="2"/>
  <c r="V2780" i="2"/>
  <c r="AB2779" i="2"/>
  <c r="AA2779" i="2"/>
  <c r="Z2779" i="2"/>
  <c r="Y2779" i="2"/>
  <c r="X2779" i="2"/>
  <c r="W2779" i="2"/>
  <c r="V2779" i="2"/>
  <c r="AB2778" i="2"/>
  <c r="AA2778" i="2"/>
  <c r="Z2778" i="2"/>
  <c r="Y2778" i="2"/>
  <c r="X2778" i="2"/>
  <c r="W2778" i="2"/>
  <c r="V2778" i="2"/>
  <c r="AB2777" i="2"/>
  <c r="AA2777" i="2"/>
  <c r="Z2777" i="2"/>
  <c r="Y2777" i="2"/>
  <c r="X2777" i="2"/>
  <c r="W2777" i="2"/>
  <c r="V2777" i="2"/>
  <c r="AB2776" i="2"/>
  <c r="AA2776" i="2"/>
  <c r="Z2776" i="2"/>
  <c r="Y2776" i="2"/>
  <c r="X2776" i="2"/>
  <c r="W2776" i="2"/>
  <c r="V2776" i="2"/>
  <c r="AB2775" i="2"/>
  <c r="AA2775" i="2"/>
  <c r="Z2775" i="2"/>
  <c r="Y2775" i="2"/>
  <c r="X2775" i="2"/>
  <c r="W2775" i="2"/>
  <c r="V2775" i="2"/>
  <c r="AB2774" i="2"/>
  <c r="AA2774" i="2"/>
  <c r="Z2774" i="2"/>
  <c r="Y2774" i="2"/>
  <c r="X2774" i="2"/>
  <c r="W2774" i="2"/>
  <c r="V2774" i="2"/>
  <c r="AB2773" i="2"/>
  <c r="AA2773" i="2"/>
  <c r="Z2773" i="2"/>
  <c r="Y2773" i="2"/>
  <c r="X2773" i="2"/>
  <c r="W2773" i="2"/>
  <c r="V2773" i="2"/>
  <c r="AB2772" i="2"/>
  <c r="AA2772" i="2"/>
  <c r="Z2772" i="2"/>
  <c r="Y2772" i="2"/>
  <c r="X2772" i="2"/>
  <c r="W2772" i="2"/>
  <c r="V2772" i="2"/>
  <c r="AB2771" i="2"/>
  <c r="AA2771" i="2"/>
  <c r="Z2771" i="2"/>
  <c r="Y2771" i="2"/>
  <c r="X2771" i="2"/>
  <c r="W2771" i="2"/>
  <c r="V2771" i="2"/>
  <c r="AB2770" i="2"/>
  <c r="AA2770" i="2"/>
  <c r="Z2770" i="2"/>
  <c r="Y2770" i="2"/>
  <c r="X2770" i="2"/>
  <c r="W2770" i="2"/>
  <c r="V2770" i="2"/>
  <c r="AB2769" i="2"/>
  <c r="AA2769" i="2"/>
  <c r="Z2769" i="2"/>
  <c r="Y2769" i="2"/>
  <c r="X2769" i="2"/>
  <c r="W2769" i="2"/>
  <c r="V2769" i="2"/>
  <c r="AB2768" i="2"/>
  <c r="AA2768" i="2"/>
  <c r="Z2768" i="2"/>
  <c r="Y2768" i="2"/>
  <c r="X2768" i="2"/>
  <c r="W2768" i="2"/>
  <c r="V2768" i="2"/>
  <c r="AB2767" i="2"/>
  <c r="AA2767" i="2"/>
  <c r="Z2767" i="2"/>
  <c r="Y2767" i="2"/>
  <c r="X2767" i="2"/>
  <c r="W2767" i="2"/>
  <c r="V2767" i="2"/>
  <c r="AB2766" i="2"/>
  <c r="AA2766" i="2"/>
  <c r="Z2766" i="2"/>
  <c r="Y2766" i="2"/>
  <c r="X2766" i="2"/>
  <c r="W2766" i="2"/>
  <c r="V2766" i="2"/>
  <c r="AB2765" i="2"/>
  <c r="AA2765" i="2"/>
  <c r="Z2765" i="2"/>
  <c r="Y2765" i="2"/>
  <c r="X2765" i="2"/>
  <c r="W2765" i="2"/>
  <c r="V2765" i="2"/>
  <c r="AB2764" i="2"/>
  <c r="AA2764" i="2"/>
  <c r="Z2764" i="2"/>
  <c r="Y2764" i="2"/>
  <c r="X2764" i="2"/>
  <c r="W2764" i="2"/>
  <c r="V2764" i="2"/>
  <c r="AB2763" i="2"/>
  <c r="AA2763" i="2"/>
  <c r="Z2763" i="2"/>
  <c r="Y2763" i="2"/>
  <c r="X2763" i="2"/>
  <c r="W2763" i="2"/>
  <c r="V2763" i="2"/>
  <c r="AB2762" i="2"/>
  <c r="AA2762" i="2"/>
  <c r="Z2762" i="2"/>
  <c r="Y2762" i="2"/>
  <c r="X2762" i="2"/>
  <c r="W2762" i="2"/>
  <c r="V2762" i="2"/>
  <c r="AB2761" i="2"/>
  <c r="AA2761" i="2"/>
  <c r="Z2761" i="2"/>
  <c r="Y2761" i="2"/>
  <c r="X2761" i="2"/>
  <c r="W2761" i="2"/>
  <c r="V2761" i="2"/>
  <c r="AB2760" i="2"/>
  <c r="AA2760" i="2"/>
  <c r="Z2760" i="2"/>
  <c r="Y2760" i="2"/>
  <c r="X2760" i="2"/>
  <c r="W2760" i="2"/>
  <c r="V2760" i="2"/>
  <c r="AB2759" i="2"/>
  <c r="AA2759" i="2"/>
  <c r="Z2759" i="2"/>
  <c r="Y2759" i="2"/>
  <c r="X2759" i="2"/>
  <c r="W2759" i="2"/>
  <c r="V2759" i="2"/>
  <c r="AB2758" i="2"/>
  <c r="AA2758" i="2"/>
  <c r="Z2758" i="2"/>
  <c r="Y2758" i="2"/>
  <c r="X2758" i="2"/>
  <c r="W2758" i="2"/>
  <c r="V2758" i="2"/>
  <c r="AB2757" i="2"/>
  <c r="AA2757" i="2"/>
  <c r="Z2757" i="2"/>
  <c r="Y2757" i="2"/>
  <c r="X2757" i="2"/>
  <c r="W2757" i="2"/>
  <c r="V2757" i="2"/>
  <c r="AB2756" i="2"/>
  <c r="AA2756" i="2"/>
  <c r="Z2756" i="2"/>
  <c r="Y2756" i="2"/>
  <c r="X2756" i="2"/>
  <c r="W2756" i="2"/>
  <c r="V2756" i="2"/>
  <c r="AB2755" i="2"/>
  <c r="AA2755" i="2"/>
  <c r="Z2755" i="2"/>
  <c r="Y2755" i="2"/>
  <c r="X2755" i="2"/>
  <c r="W2755" i="2"/>
  <c r="V2755" i="2"/>
  <c r="AB2754" i="2"/>
  <c r="AA2754" i="2"/>
  <c r="Z2754" i="2"/>
  <c r="Y2754" i="2"/>
  <c r="X2754" i="2"/>
  <c r="W2754" i="2"/>
  <c r="V2754" i="2"/>
  <c r="AB2753" i="2"/>
  <c r="AA2753" i="2"/>
  <c r="Z2753" i="2"/>
  <c r="Y2753" i="2"/>
  <c r="X2753" i="2"/>
  <c r="W2753" i="2"/>
  <c r="V2753" i="2"/>
  <c r="AB2752" i="2"/>
  <c r="AA2752" i="2"/>
  <c r="Z2752" i="2"/>
  <c r="Y2752" i="2"/>
  <c r="X2752" i="2"/>
  <c r="W2752" i="2"/>
  <c r="V2752" i="2"/>
  <c r="AB2751" i="2"/>
  <c r="AA2751" i="2"/>
  <c r="Z2751" i="2"/>
  <c r="Y2751" i="2"/>
  <c r="X2751" i="2"/>
  <c r="W2751" i="2"/>
  <c r="V2751" i="2"/>
  <c r="AB2750" i="2"/>
  <c r="AA2750" i="2"/>
  <c r="Z2750" i="2"/>
  <c r="Y2750" i="2"/>
  <c r="X2750" i="2"/>
  <c r="W2750" i="2"/>
  <c r="V2750" i="2"/>
  <c r="AB2749" i="2"/>
  <c r="AA2749" i="2"/>
  <c r="Z2749" i="2"/>
  <c r="Y2749" i="2"/>
  <c r="X2749" i="2"/>
  <c r="W2749" i="2"/>
  <c r="V2749" i="2"/>
  <c r="AB2748" i="2"/>
  <c r="AA2748" i="2"/>
  <c r="Z2748" i="2"/>
  <c r="Y2748" i="2"/>
  <c r="X2748" i="2"/>
  <c r="W2748" i="2"/>
  <c r="V2748" i="2"/>
  <c r="AB2747" i="2"/>
  <c r="AA2747" i="2"/>
  <c r="Z2747" i="2"/>
  <c r="Y2747" i="2"/>
  <c r="X2747" i="2"/>
  <c r="W2747" i="2"/>
  <c r="V2747" i="2"/>
  <c r="AB2746" i="2"/>
  <c r="AA2746" i="2"/>
  <c r="Z2746" i="2"/>
  <c r="Y2746" i="2"/>
  <c r="X2746" i="2"/>
  <c r="W2746" i="2"/>
  <c r="V2746" i="2"/>
  <c r="AB2745" i="2"/>
  <c r="AA2745" i="2"/>
  <c r="Z2745" i="2"/>
  <c r="Y2745" i="2"/>
  <c r="X2745" i="2"/>
  <c r="W2745" i="2"/>
  <c r="V2745" i="2"/>
  <c r="AB2744" i="2"/>
  <c r="AA2744" i="2"/>
  <c r="Z2744" i="2"/>
  <c r="Y2744" i="2"/>
  <c r="X2744" i="2"/>
  <c r="W2744" i="2"/>
  <c r="V2744" i="2"/>
  <c r="AB2743" i="2"/>
  <c r="AA2743" i="2"/>
  <c r="Z2743" i="2"/>
  <c r="Y2743" i="2"/>
  <c r="X2743" i="2"/>
  <c r="W2743" i="2"/>
  <c r="V2743" i="2"/>
  <c r="AB2742" i="2"/>
  <c r="AA2742" i="2"/>
  <c r="Z2742" i="2"/>
  <c r="Y2742" i="2"/>
  <c r="X2742" i="2"/>
  <c r="W2742" i="2"/>
  <c r="V2742" i="2"/>
  <c r="AB2741" i="2"/>
  <c r="AA2741" i="2"/>
  <c r="Z2741" i="2"/>
  <c r="Y2741" i="2"/>
  <c r="X2741" i="2"/>
  <c r="W2741" i="2"/>
  <c r="V2741" i="2"/>
  <c r="AB2740" i="2"/>
  <c r="AA2740" i="2"/>
  <c r="Z2740" i="2"/>
  <c r="Y2740" i="2"/>
  <c r="X2740" i="2"/>
  <c r="W2740" i="2"/>
  <c r="V2740" i="2"/>
  <c r="AB2739" i="2"/>
  <c r="AA2739" i="2"/>
  <c r="Z2739" i="2"/>
  <c r="Y2739" i="2"/>
  <c r="X2739" i="2"/>
  <c r="W2739" i="2"/>
  <c r="V2739" i="2"/>
  <c r="AB2738" i="2"/>
  <c r="AA2738" i="2"/>
  <c r="Z2738" i="2"/>
  <c r="Y2738" i="2"/>
  <c r="X2738" i="2"/>
  <c r="W2738" i="2"/>
  <c r="V2738" i="2"/>
  <c r="AB2737" i="2"/>
  <c r="AA2737" i="2"/>
  <c r="Z2737" i="2"/>
  <c r="Y2737" i="2"/>
  <c r="X2737" i="2"/>
  <c r="W2737" i="2"/>
  <c r="V2737" i="2"/>
  <c r="AB2736" i="2"/>
  <c r="AA2736" i="2"/>
  <c r="Z2736" i="2"/>
  <c r="Y2736" i="2"/>
  <c r="X2736" i="2"/>
  <c r="W2736" i="2"/>
  <c r="V2736" i="2"/>
  <c r="AB2735" i="2"/>
  <c r="AA2735" i="2"/>
  <c r="Z2735" i="2"/>
  <c r="Y2735" i="2"/>
  <c r="X2735" i="2"/>
  <c r="W2735" i="2"/>
  <c r="V2735" i="2"/>
  <c r="AB2734" i="2"/>
  <c r="AA2734" i="2"/>
  <c r="Z2734" i="2"/>
  <c r="Y2734" i="2"/>
  <c r="X2734" i="2"/>
  <c r="W2734" i="2"/>
  <c r="V2734" i="2"/>
  <c r="AB2733" i="2"/>
  <c r="AA2733" i="2"/>
  <c r="Z2733" i="2"/>
  <c r="Y2733" i="2"/>
  <c r="X2733" i="2"/>
  <c r="W2733" i="2"/>
  <c r="V2733" i="2"/>
  <c r="AB2732" i="2"/>
  <c r="AA2732" i="2"/>
  <c r="Z2732" i="2"/>
  <c r="Y2732" i="2"/>
  <c r="X2732" i="2"/>
  <c r="W2732" i="2"/>
  <c r="V2732" i="2"/>
  <c r="AB2731" i="2"/>
  <c r="AA2731" i="2"/>
  <c r="Z2731" i="2"/>
  <c r="Y2731" i="2"/>
  <c r="X2731" i="2"/>
  <c r="W2731" i="2"/>
  <c r="V2731" i="2"/>
  <c r="AB2730" i="2"/>
  <c r="AA2730" i="2"/>
  <c r="Z2730" i="2"/>
  <c r="Y2730" i="2"/>
  <c r="X2730" i="2"/>
  <c r="W2730" i="2"/>
  <c r="V2730" i="2"/>
  <c r="AB2729" i="2"/>
  <c r="AA2729" i="2"/>
  <c r="Z2729" i="2"/>
  <c r="Y2729" i="2"/>
  <c r="X2729" i="2"/>
  <c r="W2729" i="2"/>
  <c r="V2729" i="2"/>
  <c r="AB2728" i="2"/>
  <c r="AA2728" i="2"/>
  <c r="Z2728" i="2"/>
  <c r="Y2728" i="2"/>
  <c r="X2728" i="2"/>
  <c r="W2728" i="2"/>
  <c r="V2728" i="2"/>
  <c r="AB2727" i="2"/>
  <c r="AA2727" i="2"/>
  <c r="Z2727" i="2"/>
  <c r="Y2727" i="2"/>
  <c r="X2727" i="2"/>
  <c r="W2727" i="2"/>
  <c r="V2727" i="2"/>
  <c r="AB2726" i="2"/>
  <c r="AA2726" i="2"/>
  <c r="Z2726" i="2"/>
  <c r="Y2726" i="2"/>
  <c r="X2726" i="2"/>
  <c r="W2726" i="2"/>
  <c r="V2726" i="2"/>
  <c r="AB2725" i="2"/>
  <c r="AA2725" i="2"/>
  <c r="Z2725" i="2"/>
  <c r="Y2725" i="2"/>
  <c r="X2725" i="2"/>
  <c r="W2725" i="2"/>
  <c r="V2725" i="2"/>
  <c r="AB2724" i="2"/>
  <c r="AA2724" i="2"/>
  <c r="Z2724" i="2"/>
  <c r="Y2724" i="2"/>
  <c r="X2724" i="2"/>
  <c r="W2724" i="2"/>
  <c r="V2724" i="2"/>
  <c r="AB2723" i="2"/>
  <c r="AA2723" i="2"/>
  <c r="Z2723" i="2"/>
  <c r="Y2723" i="2"/>
  <c r="X2723" i="2"/>
  <c r="W2723" i="2"/>
  <c r="V2723" i="2"/>
  <c r="AB2722" i="2"/>
  <c r="AA2722" i="2"/>
  <c r="Z2722" i="2"/>
  <c r="Y2722" i="2"/>
  <c r="X2722" i="2"/>
  <c r="W2722" i="2"/>
  <c r="V2722" i="2"/>
  <c r="AB2721" i="2"/>
  <c r="AA2721" i="2"/>
  <c r="Z2721" i="2"/>
  <c r="Y2721" i="2"/>
  <c r="X2721" i="2"/>
  <c r="W2721" i="2"/>
  <c r="V2721" i="2"/>
  <c r="AB2720" i="2"/>
  <c r="AA2720" i="2"/>
  <c r="Z2720" i="2"/>
  <c r="Y2720" i="2"/>
  <c r="X2720" i="2"/>
  <c r="W2720" i="2"/>
  <c r="V2720" i="2"/>
  <c r="AB2719" i="2"/>
  <c r="AA2719" i="2"/>
  <c r="Z2719" i="2"/>
  <c r="Y2719" i="2"/>
  <c r="X2719" i="2"/>
  <c r="W2719" i="2"/>
  <c r="V2719" i="2"/>
  <c r="AB2718" i="2"/>
  <c r="AA2718" i="2"/>
  <c r="Z2718" i="2"/>
  <c r="Y2718" i="2"/>
  <c r="X2718" i="2"/>
  <c r="W2718" i="2"/>
  <c r="V2718" i="2"/>
  <c r="AB2717" i="2"/>
  <c r="AA2717" i="2"/>
  <c r="Z2717" i="2"/>
  <c r="Y2717" i="2"/>
  <c r="X2717" i="2"/>
  <c r="W2717" i="2"/>
  <c r="V2717" i="2"/>
  <c r="AB2716" i="2"/>
  <c r="AA2716" i="2"/>
  <c r="Z2716" i="2"/>
  <c r="Y2716" i="2"/>
  <c r="X2716" i="2"/>
  <c r="W2716" i="2"/>
  <c r="V2716" i="2"/>
  <c r="AB2715" i="2"/>
  <c r="AA2715" i="2"/>
  <c r="Z2715" i="2"/>
  <c r="Y2715" i="2"/>
  <c r="X2715" i="2"/>
  <c r="W2715" i="2"/>
  <c r="V2715" i="2"/>
  <c r="AB2714" i="2"/>
  <c r="AA2714" i="2"/>
  <c r="Z2714" i="2"/>
  <c r="Y2714" i="2"/>
  <c r="X2714" i="2"/>
  <c r="W2714" i="2"/>
  <c r="V2714" i="2"/>
  <c r="AB2713" i="2"/>
  <c r="AA2713" i="2"/>
  <c r="Z2713" i="2"/>
  <c r="Y2713" i="2"/>
  <c r="X2713" i="2"/>
  <c r="W2713" i="2"/>
  <c r="V2713" i="2"/>
  <c r="AB2712" i="2"/>
  <c r="AA2712" i="2"/>
  <c r="Z2712" i="2"/>
  <c r="Y2712" i="2"/>
  <c r="X2712" i="2"/>
  <c r="W2712" i="2"/>
  <c r="V2712" i="2"/>
  <c r="AB2711" i="2"/>
  <c r="AA2711" i="2"/>
  <c r="Z2711" i="2"/>
  <c r="Y2711" i="2"/>
  <c r="X2711" i="2"/>
  <c r="W2711" i="2"/>
  <c r="V2711" i="2"/>
  <c r="AB2710" i="2"/>
  <c r="AA2710" i="2"/>
  <c r="Z2710" i="2"/>
  <c r="Y2710" i="2"/>
  <c r="X2710" i="2"/>
  <c r="W2710" i="2"/>
  <c r="V2710" i="2"/>
  <c r="AB2709" i="2"/>
  <c r="AA2709" i="2"/>
  <c r="Z2709" i="2"/>
  <c r="Y2709" i="2"/>
  <c r="X2709" i="2"/>
  <c r="W2709" i="2"/>
  <c r="V2709" i="2"/>
  <c r="AB2708" i="2"/>
  <c r="AA2708" i="2"/>
  <c r="Z2708" i="2"/>
  <c r="Y2708" i="2"/>
  <c r="X2708" i="2"/>
  <c r="W2708" i="2"/>
  <c r="V2708" i="2"/>
  <c r="AB2707" i="2"/>
  <c r="AA2707" i="2"/>
  <c r="Z2707" i="2"/>
  <c r="Y2707" i="2"/>
  <c r="X2707" i="2"/>
  <c r="W2707" i="2"/>
  <c r="V2707" i="2"/>
  <c r="AB2706" i="2"/>
  <c r="AA2706" i="2"/>
  <c r="Z2706" i="2"/>
  <c r="Y2706" i="2"/>
  <c r="X2706" i="2"/>
  <c r="W2706" i="2"/>
  <c r="V2706" i="2"/>
  <c r="AB2705" i="2"/>
  <c r="AA2705" i="2"/>
  <c r="Z2705" i="2"/>
  <c r="Y2705" i="2"/>
  <c r="X2705" i="2"/>
  <c r="W2705" i="2"/>
  <c r="V2705" i="2"/>
  <c r="AB2704" i="2"/>
  <c r="AA2704" i="2"/>
  <c r="Z2704" i="2"/>
  <c r="Y2704" i="2"/>
  <c r="X2704" i="2"/>
  <c r="W2704" i="2"/>
  <c r="V2704" i="2"/>
  <c r="AB2703" i="2"/>
  <c r="AA2703" i="2"/>
  <c r="Z2703" i="2"/>
  <c r="Y2703" i="2"/>
  <c r="X2703" i="2"/>
  <c r="W2703" i="2"/>
  <c r="V2703" i="2"/>
  <c r="AB2702" i="2"/>
  <c r="AA2702" i="2"/>
  <c r="Z2702" i="2"/>
  <c r="Y2702" i="2"/>
  <c r="X2702" i="2"/>
  <c r="W2702" i="2"/>
  <c r="V2702" i="2"/>
  <c r="AB2701" i="2"/>
  <c r="AA2701" i="2"/>
  <c r="Z2701" i="2"/>
  <c r="Y2701" i="2"/>
  <c r="X2701" i="2"/>
  <c r="W2701" i="2"/>
  <c r="V2701" i="2"/>
  <c r="AB2700" i="2"/>
  <c r="AA2700" i="2"/>
  <c r="Z2700" i="2"/>
  <c r="Y2700" i="2"/>
  <c r="X2700" i="2"/>
  <c r="W2700" i="2"/>
  <c r="V2700" i="2"/>
  <c r="AB2699" i="2"/>
  <c r="AA2699" i="2"/>
  <c r="Z2699" i="2"/>
  <c r="Y2699" i="2"/>
  <c r="X2699" i="2"/>
  <c r="W2699" i="2"/>
  <c r="V2699" i="2"/>
  <c r="AB2698" i="2"/>
  <c r="AA2698" i="2"/>
  <c r="Z2698" i="2"/>
  <c r="Y2698" i="2"/>
  <c r="X2698" i="2"/>
  <c r="W2698" i="2"/>
  <c r="V2698" i="2"/>
  <c r="AB2697" i="2"/>
  <c r="AA2697" i="2"/>
  <c r="Z2697" i="2"/>
  <c r="Y2697" i="2"/>
  <c r="X2697" i="2"/>
  <c r="W2697" i="2"/>
  <c r="V2697" i="2"/>
  <c r="AB2696" i="2"/>
  <c r="AA2696" i="2"/>
  <c r="Z2696" i="2"/>
  <c r="Y2696" i="2"/>
  <c r="X2696" i="2"/>
  <c r="W2696" i="2"/>
  <c r="V2696" i="2"/>
  <c r="AB2695" i="2"/>
  <c r="AA2695" i="2"/>
  <c r="Z2695" i="2"/>
  <c r="Y2695" i="2"/>
  <c r="X2695" i="2"/>
  <c r="W2695" i="2"/>
  <c r="V2695" i="2"/>
  <c r="AB2694" i="2"/>
  <c r="AA2694" i="2"/>
  <c r="Z2694" i="2"/>
  <c r="Y2694" i="2"/>
  <c r="X2694" i="2"/>
  <c r="W2694" i="2"/>
  <c r="V2694" i="2"/>
  <c r="AB2693" i="2"/>
  <c r="AA2693" i="2"/>
  <c r="Z2693" i="2"/>
  <c r="Y2693" i="2"/>
  <c r="X2693" i="2"/>
  <c r="W2693" i="2"/>
  <c r="V2693" i="2"/>
  <c r="AB2692" i="2"/>
  <c r="AA2692" i="2"/>
  <c r="Z2692" i="2"/>
  <c r="Y2692" i="2"/>
  <c r="X2692" i="2"/>
  <c r="W2692" i="2"/>
  <c r="V2692" i="2"/>
  <c r="AB2691" i="2"/>
  <c r="AA2691" i="2"/>
  <c r="Z2691" i="2"/>
  <c r="Y2691" i="2"/>
  <c r="X2691" i="2"/>
  <c r="W2691" i="2"/>
  <c r="V2691" i="2"/>
  <c r="AB2690" i="2"/>
  <c r="AA2690" i="2"/>
  <c r="Z2690" i="2"/>
  <c r="Y2690" i="2"/>
  <c r="X2690" i="2"/>
  <c r="W2690" i="2"/>
  <c r="V2690" i="2"/>
  <c r="AB2689" i="2"/>
  <c r="AA2689" i="2"/>
  <c r="Z2689" i="2"/>
  <c r="Y2689" i="2"/>
  <c r="X2689" i="2"/>
  <c r="W2689" i="2"/>
  <c r="V2689" i="2"/>
  <c r="AB2688" i="2"/>
  <c r="AA2688" i="2"/>
  <c r="Z2688" i="2"/>
  <c r="Y2688" i="2"/>
  <c r="X2688" i="2"/>
  <c r="W2688" i="2"/>
  <c r="V2688" i="2"/>
  <c r="AB2687" i="2"/>
  <c r="AA2687" i="2"/>
  <c r="Z2687" i="2"/>
  <c r="Y2687" i="2"/>
  <c r="X2687" i="2"/>
  <c r="W2687" i="2"/>
  <c r="V2687" i="2"/>
  <c r="AB2686" i="2"/>
  <c r="AA2686" i="2"/>
  <c r="Z2686" i="2"/>
  <c r="Y2686" i="2"/>
  <c r="X2686" i="2"/>
  <c r="W2686" i="2"/>
  <c r="V2686" i="2"/>
  <c r="AB2685" i="2"/>
  <c r="AA2685" i="2"/>
  <c r="Z2685" i="2"/>
  <c r="Y2685" i="2"/>
  <c r="X2685" i="2"/>
  <c r="W2685" i="2"/>
  <c r="V2685" i="2"/>
  <c r="AB2684" i="2"/>
  <c r="AA2684" i="2"/>
  <c r="Z2684" i="2"/>
  <c r="Y2684" i="2"/>
  <c r="X2684" i="2"/>
  <c r="W2684" i="2"/>
  <c r="V2684" i="2"/>
  <c r="AB2683" i="2"/>
  <c r="AA2683" i="2"/>
  <c r="Z2683" i="2"/>
  <c r="Y2683" i="2"/>
  <c r="X2683" i="2"/>
  <c r="W2683" i="2"/>
  <c r="V2683" i="2"/>
  <c r="AB2682" i="2"/>
  <c r="AA2682" i="2"/>
  <c r="Z2682" i="2"/>
  <c r="Y2682" i="2"/>
  <c r="X2682" i="2"/>
  <c r="W2682" i="2"/>
  <c r="V2682" i="2"/>
  <c r="AB2681" i="2"/>
  <c r="AA2681" i="2"/>
  <c r="Z2681" i="2"/>
  <c r="Y2681" i="2"/>
  <c r="X2681" i="2"/>
  <c r="W2681" i="2"/>
  <c r="V2681" i="2"/>
  <c r="AB2680" i="2"/>
  <c r="AA2680" i="2"/>
  <c r="Z2680" i="2"/>
  <c r="Y2680" i="2"/>
  <c r="X2680" i="2"/>
  <c r="W2680" i="2"/>
  <c r="V2680" i="2"/>
  <c r="AB2679" i="2"/>
  <c r="AA2679" i="2"/>
  <c r="Z2679" i="2"/>
  <c r="Y2679" i="2"/>
  <c r="X2679" i="2"/>
  <c r="W2679" i="2"/>
  <c r="V2679" i="2"/>
  <c r="AB2678" i="2"/>
  <c r="AA2678" i="2"/>
  <c r="Z2678" i="2"/>
  <c r="Y2678" i="2"/>
  <c r="X2678" i="2"/>
  <c r="W2678" i="2"/>
  <c r="V2678" i="2"/>
  <c r="AB2677" i="2"/>
  <c r="AA2677" i="2"/>
  <c r="Z2677" i="2"/>
  <c r="Y2677" i="2"/>
  <c r="X2677" i="2"/>
  <c r="W2677" i="2"/>
  <c r="V2677" i="2"/>
  <c r="AB2676" i="2"/>
  <c r="AA2676" i="2"/>
  <c r="Z2676" i="2"/>
  <c r="Y2676" i="2"/>
  <c r="X2676" i="2"/>
  <c r="W2676" i="2"/>
  <c r="V2676" i="2"/>
  <c r="AB2675" i="2"/>
  <c r="AA2675" i="2"/>
  <c r="Z2675" i="2"/>
  <c r="Y2675" i="2"/>
  <c r="X2675" i="2"/>
  <c r="W2675" i="2"/>
  <c r="V2675" i="2"/>
  <c r="AB2674" i="2"/>
  <c r="AA2674" i="2"/>
  <c r="Z2674" i="2"/>
  <c r="Y2674" i="2"/>
  <c r="X2674" i="2"/>
  <c r="W2674" i="2"/>
  <c r="V2674" i="2"/>
  <c r="AB2673" i="2"/>
  <c r="AA2673" i="2"/>
  <c r="Z2673" i="2"/>
  <c r="Y2673" i="2"/>
  <c r="X2673" i="2"/>
  <c r="W2673" i="2"/>
  <c r="V2673" i="2"/>
  <c r="AB2672" i="2"/>
  <c r="AA2672" i="2"/>
  <c r="Z2672" i="2"/>
  <c r="Y2672" i="2"/>
  <c r="X2672" i="2"/>
  <c r="W2672" i="2"/>
  <c r="V2672" i="2"/>
  <c r="AB2671" i="2"/>
  <c r="AA2671" i="2"/>
  <c r="Z2671" i="2"/>
  <c r="Y2671" i="2"/>
  <c r="X2671" i="2"/>
  <c r="W2671" i="2"/>
  <c r="V2671" i="2"/>
  <c r="AB2670" i="2"/>
  <c r="AA2670" i="2"/>
  <c r="Z2670" i="2"/>
  <c r="Y2670" i="2"/>
  <c r="X2670" i="2"/>
  <c r="W2670" i="2"/>
  <c r="V2670" i="2"/>
  <c r="AB2669" i="2"/>
  <c r="AA2669" i="2"/>
  <c r="Z2669" i="2"/>
  <c r="Y2669" i="2"/>
  <c r="X2669" i="2"/>
  <c r="W2669" i="2"/>
  <c r="V2669" i="2"/>
  <c r="AB2668" i="2"/>
  <c r="AA2668" i="2"/>
  <c r="Z2668" i="2"/>
  <c r="Y2668" i="2"/>
  <c r="X2668" i="2"/>
  <c r="W2668" i="2"/>
  <c r="V2668" i="2"/>
  <c r="AB2667" i="2"/>
  <c r="AA2667" i="2"/>
  <c r="Z2667" i="2"/>
  <c r="Y2667" i="2"/>
  <c r="X2667" i="2"/>
  <c r="W2667" i="2"/>
  <c r="V2667" i="2"/>
  <c r="AB2666" i="2"/>
  <c r="AA2666" i="2"/>
  <c r="Z2666" i="2"/>
  <c r="Y2666" i="2"/>
  <c r="X2666" i="2"/>
  <c r="W2666" i="2"/>
  <c r="V2666" i="2"/>
  <c r="AB2665" i="2"/>
  <c r="AA2665" i="2"/>
  <c r="Z2665" i="2"/>
  <c r="Y2665" i="2"/>
  <c r="X2665" i="2"/>
  <c r="W2665" i="2"/>
  <c r="V2665" i="2"/>
  <c r="AB2664" i="2"/>
  <c r="AA2664" i="2"/>
  <c r="Z2664" i="2"/>
  <c r="Y2664" i="2"/>
  <c r="X2664" i="2"/>
  <c r="W2664" i="2"/>
  <c r="V2664" i="2"/>
  <c r="AB2663" i="2"/>
  <c r="AA2663" i="2"/>
  <c r="Z2663" i="2"/>
  <c r="Y2663" i="2"/>
  <c r="X2663" i="2"/>
  <c r="W2663" i="2"/>
  <c r="V2663" i="2"/>
  <c r="AB2662" i="2"/>
  <c r="AA2662" i="2"/>
  <c r="Z2662" i="2"/>
  <c r="Y2662" i="2"/>
  <c r="X2662" i="2"/>
  <c r="W2662" i="2"/>
  <c r="V2662" i="2"/>
  <c r="AB2661" i="2"/>
  <c r="AA2661" i="2"/>
  <c r="Z2661" i="2"/>
  <c r="Y2661" i="2"/>
  <c r="X2661" i="2"/>
  <c r="W2661" i="2"/>
  <c r="V2661" i="2"/>
  <c r="AB2660" i="2"/>
  <c r="AA2660" i="2"/>
  <c r="Z2660" i="2"/>
  <c r="Y2660" i="2"/>
  <c r="X2660" i="2"/>
  <c r="W2660" i="2"/>
  <c r="V2660" i="2"/>
  <c r="AB2659" i="2"/>
  <c r="AA2659" i="2"/>
  <c r="Z2659" i="2"/>
  <c r="Y2659" i="2"/>
  <c r="X2659" i="2"/>
  <c r="W2659" i="2"/>
  <c r="V2659" i="2"/>
  <c r="AB2658" i="2"/>
  <c r="AA2658" i="2"/>
  <c r="Z2658" i="2"/>
  <c r="Y2658" i="2"/>
  <c r="X2658" i="2"/>
  <c r="W2658" i="2"/>
  <c r="V2658" i="2"/>
  <c r="AB2657" i="2"/>
  <c r="AA2657" i="2"/>
  <c r="Z2657" i="2"/>
  <c r="Y2657" i="2"/>
  <c r="X2657" i="2"/>
  <c r="W2657" i="2"/>
  <c r="V2657" i="2"/>
  <c r="AB2656" i="2"/>
  <c r="AA2656" i="2"/>
  <c r="Z2656" i="2"/>
  <c r="Y2656" i="2"/>
  <c r="X2656" i="2"/>
  <c r="W2656" i="2"/>
  <c r="V2656" i="2"/>
  <c r="AB2655" i="2"/>
  <c r="AA2655" i="2"/>
  <c r="Z2655" i="2"/>
  <c r="Y2655" i="2"/>
  <c r="X2655" i="2"/>
  <c r="W2655" i="2"/>
  <c r="V2655" i="2"/>
  <c r="AB2654" i="2"/>
  <c r="AA2654" i="2"/>
  <c r="Z2654" i="2"/>
  <c r="Y2654" i="2"/>
  <c r="X2654" i="2"/>
  <c r="W2654" i="2"/>
  <c r="V2654" i="2"/>
  <c r="AB2653" i="2"/>
  <c r="AA2653" i="2"/>
  <c r="Z2653" i="2"/>
  <c r="Y2653" i="2"/>
  <c r="X2653" i="2"/>
  <c r="W2653" i="2"/>
  <c r="V2653" i="2"/>
  <c r="AB2652" i="2"/>
  <c r="AA2652" i="2"/>
  <c r="Z2652" i="2"/>
  <c r="Y2652" i="2"/>
  <c r="X2652" i="2"/>
  <c r="W2652" i="2"/>
  <c r="V2652" i="2"/>
  <c r="AB2651" i="2"/>
  <c r="AA2651" i="2"/>
  <c r="Z2651" i="2"/>
  <c r="Y2651" i="2"/>
  <c r="X2651" i="2"/>
  <c r="W2651" i="2"/>
  <c r="V2651" i="2"/>
  <c r="AB2650" i="2"/>
  <c r="AA2650" i="2"/>
  <c r="Z2650" i="2"/>
  <c r="Y2650" i="2"/>
  <c r="X2650" i="2"/>
  <c r="W2650" i="2"/>
  <c r="V2650" i="2"/>
  <c r="AB2649" i="2"/>
  <c r="AA2649" i="2"/>
  <c r="Z2649" i="2"/>
  <c r="Y2649" i="2"/>
  <c r="X2649" i="2"/>
  <c r="W2649" i="2"/>
  <c r="V2649" i="2"/>
  <c r="AB2648" i="2"/>
  <c r="AA2648" i="2"/>
  <c r="Z2648" i="2"/>
  <c r="Y2648" i="2"/>
  <c r="X2648" i="2"/>
  <c r="W2648" i="2"/>
  <c r="V2648" i="2"/>
  <c r="AB2647" i="2"/>
  <c r="AA2647" i="2"/>
  <c r="Z2647" i="2"/>
  <c r="Y2647" i="2"/>
  <c r="X2647" i="2"/>
  <c r="W2647" i="2"/>
  <c r="V2647" i="2"/>
  <c r="AB2646" i="2"/>
  <c r="AA2646" i="2"/>
  <c r="Z2646" i="2"/>
  <c r="Y2646" i="2"/>
  <c r="X2646" i="2"/>
  <c r="W2646" i="2"/>
  <c r="V2646" i="2"/>
  <c r="AB2645" i="2"/>
  <c r="AA2645" i="2"/>
  <c r="Z2645" i="2"/>
  <c r="Y2645" i="2"/>
  <c r="X2645" i="2"/>
  <c r="W2645" i="2"/>
  <c r="V2645" i="2"/>
  <c r="AB2644" i="2"/>
  <c r="AA2644" i="2"/>
  <c r="Z2644" i="2"/>
  <c r="Y2644" i="2"/>
  <c r="X2644" i="2"/>
  <c r="W2644" i="2"/>
  <c r="V2644" i="2"/>
  <c r="AB2643" i="2"/>
  <c r="AA2643" i="2"/>
  <c r="Z2643" i="2"/>
  <c r="Y2643" i="2"/>
  <c r="X2643" i="2"/>
  <c r="W2643" i="2"/>
  <c r="V2643" i="2"/>
  <c r="AB2642" i="2"/>
  <c r="AA2642" i="2"/>
  <c r="Z2642" i="2"/>
  <c r="Y2642" i="2"/>
  <c r="X2642" i="2"/>
  <c r="W2642" i="2"/>
  <c r="V2642" i="2"/>
  <c r="AB2641" i="2"/>
  <c r="AA2641" i="2"/>
  <c r="Z2641" i="2"/>
  <c r="Y2641" i="2"/>
  <c r="X2641" i="2"/>
  <c r="W2641" i="2"/>
  <c r="V2641" i="2"/>
  <c r="AB2640" i="2"/>
  <c r="AA2640" i="2"/>
  <c r="Z2640" i="2"/>
  <c r="Y2640" i="2"/>
  <c r="X2640" i="2"/>
  <c r="W2640" i="2"/>
  <c r="V2640" i="2"/>
  <c r="AB2639" i="2"/>
  <c r="AA2639" i="2"/>
  <c r="Z2639" i="2"/>
  <c r="Y2639" i="2"/>
  <c r="X2639" i="2"/>
  <c r="W2639" i="2"/>
  <c r="V2639" i="2"/>
  <c r="AB2638" i="2"/>
  <c r="AA2638" i="2"/>
  <c r="Z2638" i="2"/>
  <c r="Y2638" i="2"/>
  <c r="X2638" i="2"/>
  <c r="W2638" i="2"/>
  <c r="V2638" i="2"/>
  <c r="AB2637" i="2"/>
  <c r="AA2637" i="2"/>
  <c r="Z2637" i="2"/>
  <c r="Y2637" i="2"/>
  <c r="X2637" i="2"/>
  <c r="W2637" i="2"/>
  <c r="V2637" i="2"/>
  <c r="AB2636" i="2"/>
  <c r="AA2636" i="2"/>
  <c r="Z2636" i="2"/>
  <c r="Y2636" i="2"/>
  <c r="X2636" i="2"/>
  <c r="W2636" i="2"/>
  <c r="V2636" i="2"/>
  <c r="AB2635" i="2"/>
  <c r="AA2635" i="2"/>
  <c r="Z2635" i="2"/>
  <c r="Y2635" i="2"/>
  <c r="X2635" i="2"/>
  <c r="W2635" i="2"/>
  <c r="V2635" i="2"/>
  <c r="AB2634" i="2"/>
  <c r="AA2634" i="2"/>
  <c r="Z2634" i="2"/>
  <c r="Y2634" i="2"/>
  <c r="X2634" i="2"/>
  <c r="W2634" i="2"/>
  <c r="V2634" i="2"/>
  <c r="AB2633" i="2"/>
  <c r="AA2633" i="2"/>
  <c r="Z2633" i="2"/>
  <c r="Y2633" i="2"/>
  <c r="X2633" i="2"/>
  <c r="W2633" i="2"/>
  <c r="V2633" i="2"/>
  <c r="AB2632" i="2"/>
  <c r="AA2632" i="2"/>
  <c r="Z2632" i="2"/>
  <c r="Y2632" i="2"/>
  <c r="X2632" i="2"/>
  <c r="W2632" i="2"/>
  <c r="V2632" i="2"/>
  <c r="AB2631" i="2"/>
  <c r="AA2631" i="2"/>
  <c r="Z2631" i="2"/>
  <c r="Y2631" i="2"/>
  <c r="X2631" i="2"/>
  <c r="W2631" i="2"/>
  <c r="V2631" i="2"/>
  <c r="AB2630" i="2"/>
  <c r="AA2630" i="2"/>
  <c r="Z2630" i="2"/>
  <c r="Y2630" i="2"/>
  <c r="X2630" i="2"/>
  <c r="W2630" i="2"/>
  <c r="V2630" i="2"/>
  <c r="AB2629" i="2"/>
  <c r="AA2629" i="2"/>
  <c r="Z2629" i="2"/>
  <c r="Y2629" i="2"/>
  <c r="X2629" i="2"/>
  <c r="W2629" i="2"/>
  <c r="V2629" i="2"/>
  <c r="AB2628" i="2"/>
  <c r="AA2628" i="2"/>
  <c r="Z2628" i="2"/>
  <c r="Y2628" i="2"/>
  <c r="X2628" i="2"/>
  <c r="W2628" i="2"/>
  <c r="V2628" i="2"/>
  <c r="AB2627" i="2"/>
  <c r="AA2627" i="2"/>
  <c r="Z2627" i="2"/>
  <c r="Y2627" i="2"/>
  <c r="X2627" i="2"/>
  <c r="W2627" i="2"/>
  <c r="V2627" i="2"/>
  <c r="AB2626" i="2"/>
  <c r="AA2626" i="2"/>
  <c r="Z2626" i="2"/>
  <c r="Y2626" i="2"/>
  <c r="X2626" i="2"/>
  <c r="W2626" i="2"/>
  <c r="V2626" i="2"/>
  <c r="AB2625" i="2"/>
  <c r="AA2625" i="2"/>
  <c r="Z2625" i="2"/>
  <c r="Y2625" i="2"/>
  <c r="X2625" i="2"/>
  <c r="W2625" i="2"/>
  <c r="V2625" i="2"/>
  <c r="AB2624" i="2"/>
  <c r="AA2624" i="2"/>
  <c r="Z2624" i="2"/>
  <c r="Y2624" i="2"/>
  <c r="X2624" i="2"/>
  <c r="W2624" i="2"/>
  <c r="V2624" i="2"/>
  <c r="AB2623" i="2"/>
  <c r="AA2623" i="2"/>
  <c r="Z2623" i="2"/>
  <c r="Y2623" i="2"/>
  <c r="X2623" i="2"/>
  <c r="W2623" i="2"/>
  <c r="V2623" i="2"/>
  <c r="AB2622" i="2"/>
  <c r="AA2622" i="2"/>
  <c r="Z2622" i="2"/>
  <c r="Y2622" i="2"/>
  <c r="X2622" i="2"/>
  <c r="W2622" i="2"/>
  <c r="V2622" i="2"/>
  <c r="AB2621" i="2"/>
  <c r="AA2621" i="2"/>
  <c r="Z2621" i="2"/>
  <c r="Y2621" i="2"/>
  <c r="X2621" i="2"/>
  <c r="W2621" i="2"/>
  <c r="V2621" i="2"/>
  <c r="AB2620" i="2"/>
  <c r="AA2620" i="2"/>
  <c r="Z2620" i="2"/>
  <c r="Y2620" i="2"/>
  <c r="X2620" i="2"/>
  <c r="W2620" i="2"/>
  <c r="V2620" i="2"/>
  <c r="AB2619" i="2"/>
  <c r="AA2619" i="2"/>
  <c r="Z2619" i="2"/>
  <c r="Y2619" i="2"/>
  <c r="X2619" i="2"/>
  <c r="W2619" i="2"/>
  <c r="V2619" i="2"/>
  <c r="AB2618" i="2"/>
  <c r="AA2618" i="2"/>
  <c r="Z2618" i="2"/>
  <c r="Y2618" i="2"/>
  <c r="X2618" i="2"/>
  <c r="W2618" i="2"/>
  <c r="V2618" i="2"/>
  <c r="AB2617" i="2"/>
  <c r="AA2617" i="2"/>
  <c r="Z2617" i="2"/>
  <c r="Y2617" i="2"/>
  <c r="X2617" i="2"/>
  <c r="W2617" i="2"/>
  <c r="V2617" i="2"/>
  <c r="AB2616" i="2"/>
  <c r="AA2616" i="2"/>
  <c r="Z2616" i="2"/>
  <c r="Y2616" i="2"/>
  <c r="X2616" i="2"/>
  <c r="W2616" i="2"/>
  <c r="V2616" i="2"/>
  <c r="AB2615" i="2"/>
  <c r="AA2615" i="2"/>
  <c r="Z2615" i="2"/>
  <c r="Y2615" i="2"/>
  <c r="X2615" i="2"/>
  <c r="W2615" i="2"/>
  <c r="V2615" i="2"/>
  <c r="AB2614" i="2"/>
  <c r="AA2614" i="2"/>
  <c r="Z2614" i="2"/>
  <c r="Y2614" i="2"/>
  <c r="X2614" i="2"/>
  <c r="W2614" i="2"/>
  <c r="V2614" i="2"/>
  <c r="AB2613" i="2"/>
  <c r="AA2613" i="2"/>
  <c r="Z2613" i="2"/>
  <c r="Y2613" i="2"/>
  <c r="X2613" i="2"/>
  <c r="W2613" i="2"/>
  <c r="V2613" i="2"/>
  <c r="AB2612" i="2"/>
  <c r="AA2612" i="2"/>
  <c r="Z2612" i="2"/>
  <c r="Y2612" i="2"/>
  <c r="X2612" i="2"/>
  <c r="W2612" i="2"/>
  <c r="V2612" i="2"/>
  <c r="AB2611" i="2"/>
  <c r="AA2611" i="2"/>
  <c r="Z2611" i="2"/>
  <c r="Y2611" i="2"/>
  <c r="X2611" i="2"/>
  <c r="W2611" i="2"/>
  <c r="V2611" i="2"/>
  <c r="AB2610" i="2"/>
  <c r="AA2610" i="2"/>
  <c r="Z2610" i="2"/>
  <c r="Y2610" i="2"/>
  <c r="X2610" i="2"/>
  <c r="W2610" i="2"/>
  <c r="V2610" i="2"/>
  <c r="AB2609" i="2"/>
  <c r="AA2609" i="2"/>
  <c r="Z2609" i="2"/>
  <c r="Y2609" i="2"/>
  <c r="X2609" i="2"/>
  <c r="W2609" i="2"/>
  <c r="V2609" i="2"/>
  <c r="AB2608" i="2"/>
  <c r="AA2608" i="2"/>
  <c r="Z2608" i="2"/>
  <c r="Y2608" i="2"/>
  <c r="X2608" i="2"/>
  <c r="W2608" i="2"/>
  <c r="V2608" i="2"/>
  <c r="AB2607" i="2"/>
  <c r="AA2607" i="2"/>
  <c r="Z2607" i="2"/>
  <c r="Y2607" i="2"/>
  <c r="X2607" i="2"/>
  <c r="W2607" i="2"/>
  <c r="V2607" i="2"/>
  <c r="AB2606" i="2"/>
  <c r="AA2606" i="2"/>
  <c r="Z2606" i="2"/>
  <c r="Y2606" i="2"/>
  <c r="X2606" i="2"/>
  <c r="W2606" i="2"/>
  <c r="V2606" i="2"/>
  <c r="AB2605" i="2"/>
  <c r="AA2605" i="2"/>
  <c r="Z2605" i="2"/>
  <c r="Y2605" i="2"/>
  <c r="X2605" i="2"/>
  <c r="W2605" i="2"/>
  <c r="V2605" i="2"/>
  <c r="AB2604" i="2"/>
  <c r="AA2604" i="2"/>
  <c r="Z2604" i="2"/>
  <c r="Y2604" i="2"/>
  <c r="X2604" i="2"/>
  <c r="W2604" i="2"/>
  <c r="V2604" i="2"/>
  <c r="AB2603" i="2"/>
  <c r="AA2603" i="2"/>
  <c r="Z2603" i="2"/>
  <c r="Y2603" i="2"/>
  <c r="X2603" i="2"/>
  <c r="W2603" i="2"/>
  <c r="V2603" i="2"/>
  <c r="AB2602" i="2"/>
  <c r="AA2602" i="2"/>
  <c r="Z2602" i="2"/>
  <c r="Y2602" i="2"/>
  <c r="X2602" i="2"/>
  <c r="W2602" i="2"/>
  <c r="V2602" i="2"/>
  <c r="AB2601" i="2"/>
  <c r="AA2601" i="2"/>
  <c r="Z2601" i="2"/>
  <c r="Y2601" i="2"/>
  <c r="X2601" i="2"/>
  <c r="W2601" i="2"/>
  <c r="V2601" i="2"/>
  <c r="AB2600" i="2"/>
  <c r="AA2600" i="2"/>
  <c r="Z2600" i="2"/>
  <c r="Y2600" i="2"/>
  <c r="X2600" i="2"/>
  <c r="W2600" i="2"/>
  <c r="V2600" i="2"/>
  <c r="AB2599" i="2"/>
  <c r="AA2599" i="2"/>
  <c r="Z2599" i="2"/>
  <c r="Y2599" i="2"/>
  <c r="X2599" i="2"/>
  <c r="W2599" i="2"/>
  <c r="V2599" i="2"/>
  <c r="AB2598" i="2"/>
  <c r="AA2598" i="2"/>
  <c r="Z2598" i="2"/>
  <c r="Y2598" i="2"/>
  <c r="X2598" i="2"/>
  <c r="W2598" i="2"/>
  <c r="V2598" i="2"/>
  <c r="AB2597" i="2"/>
  <c r="AA2597" i="2"/>
  <c r="Z2597" i="2"/>
  <c r="Y2597" i="2"/>
  <c r="X2597" i="2"/>
  <c r="W2597" i="2"/>
  <c r="V2597" i="2"/>
  <c r="AB2596" i="2"/>
  <c r="AA2596" i="2"/>
  <c r="Z2596" i="2"/>
  <c r="Y2596" i="2"/>
  <c r="X2596" i="2"/>
  <c r="W2596" i="2"/>
  <c r="V2596" i="2"/>
  <c r="AB2595" i="2"/>
  <c r="AA2595" i="2"/>
  <c r="Z2595" i="2"/>
  <c r="Y2595" i="2"/>
  <c r="X2595" i="2"/>
  <c r="W2595" i="2"/>
  <c r="V2595" i="2"/>
  <c r="AB2594" i="2"/>
  <c r="AA2594" i="2"/>
  <c r="Z2594" i="2"/>
  <c r="Y2594" i="2"/>
  <c r="X2594" i="2"/>
  <c r="W2594" i="2"/>
  <c r="V2594" i="2"/>
  <c r="AB2593" i="2"/>
  <c r="AA2593" i="2"/>
  <c r="Z2593" i="2"/>
  <c r="Y2593" i="2"/>
  <c r="X2593" i="2"/>
  <c r="W2593" i="2"/>
  <c r="V2593" i="2"/>
  <c r="AB2592" i="2"/>
  <c r="AA2592" i="2"/>
  <c r="Z2592" i="2"/>
  <c r="Y2592" i="2"/>
  <c r="X2592" i="2"/>
  <c r="W2592" i="2"/>
  <c r="V2592" i="2"/>
  <c r="AB2591" i="2"/>
  <c r="AA2591" i="2"/>
  <c r="Z2591" i="2"/>
  <c r="Y2591" i="2"/>
  <c r="X2591" i="2"/>
  <c r="W2591" i="2"/>
  <c r="V2591" i="2"/>
  <c r="AB2590" i="2"/>
  <c r="AA2590" i="2"/>
  <c r="Z2590" i="2"/>
  <c r="Y2590" i="2"/>
  <c r="X2590" i="2"/>
  <c r="W2590" i="2"/>
  <c r="V2590" i="2"/>
  <c r="AB2589" i="2"/>
  <c r="AA2589" i="2"/>
  <c r="Z2589" i="2"/>
  <c r="Y2589" i="2"/>
  <c r="X2589" i="2"/>
  <c r="W2589" i="2"/>
  <c r="V2589" i="2"/>
  <c r="AB2588" i="2"/>
  <c r="AA2588" i="2"/>
  <c r="Z2588" i="2"/>
  <c r="Y2588" i="2"/>
  <c r="X2588" i="2"/>
  <c r="W2588" i="2"/>
  <c r="V2588" i="2"/>
  <c r="AB2587" i="2"/>
  <c r="AA2587" i="2"/>
  <c r="Z2587" i="2"/>
  <c r="Y2587" i="2"/>
  <c r="X2587" i="2"/>
  <c r="W2587" i="2"/>
  <c r="V2587" i="2"/>
  <c r="AB2586" i="2"/>
  <c r="AA2586" i="2"/>
  <c r="Z2586" i="2"/>
  <c r="Y2586" i="2"/>
  <c r="X2586" i="2"/>
  <c r="W2586" i="2"/>
  <c r="V2586" i="2"/>
  <c r="AB2585" i="2"/>
  <c r="AA2585" i="2"/>
  <c r="Z2585" i="2"/>
  <c r="Y2585" i="2"/>
  <c r="X2585" i="2"/>
  <c r="W2585" i="2"/>
  <c r="V2585" i="2"/>
  <c r="AB2584" i="2"/>
  <c r="AA2584" i="2"/>
  <c r="Z2584" i="2"/>
  <c r="Y2584" i="2"/>
  <c r="X2584" i="2"/>
  <c r="W2584" i="2"/>
  <c r="V2584" i="2"/>
  <c r="AB2583" i="2"/>
  <c r="AA2583" i="2"/>
  <c r="Z2583" i="2"/>
  <c r="Y2583" i="2"/>
  <c r="X2583" i="2"/>
  <c r="W2583" i="2"/>
  <c r="V2583" i="2"/>
  <c r="AB2582" i="2"/>
  <c r="AA2582" i="2"/>
  <c r="Z2582" i="2"/>
  <c r="Y2582" i="2"/>
  <c r="X2582" i="2"/>
  <c r="W2582" i="2"/>
  <c r="V2582" i="2"/>
  <c r="AB2581" i="2"/>
  <c r="AA2581" i="2"/>
  <c r="Z2581" i="2"/>
  <c r="Y2581" i="2"/>
  <c r="X2581" i="2"/>
  <c r="W2581" i="2"/>
  <c r="V2581" i="2"/>
  <c r="AB2580" i="2"/>
  <c r="AA2580" i="2"/>
  <c r="Z2580" i="2"/>
  <c r="Y2580" i="2"/>
  <c r="X2580" i="2"/>
  <c r="W2580" i="2"/>
  <c r="V2580" i="2"/>
  <c r="AB2579" i="2"/>
  <c r="AA2579" i="2"/>
  <c r="Z2579" i="2"/>
  <c r="Y2579" i="2"/>
  <c r="X2579" i="2"/>
  <c r="W2579" i="2"/>
  <c r="V2579" i="2"/>
  <c r="AB2578" i="2"/>
  <c r="AA2578" i="2"/>
  <c r="Z2578" i="2"/>
  <c r="Y2578" i="2"/>
  <c r="X2578" i="2"/>
  <c r="W2578" i="2"/>
  <c r="V2578" i="2"/>
  <c r="AB2577" i="2"/>
  <c r="AA2577" i="2"/>
  <c r="Z2577" i="2"/>
  <c r="Y2577" i="2"/>
  <c r="X2577" i="2"/>
  <c r="W2577" i="2"/>
  <c r="V2577" i="2"/>
  <c r="AB2576" i="2"/>
  <c r="AA2576" i="2"/>
  <c r="Z2576" i="2"/>
  <c r="Y2576" i="2"/>
  <c r="X2576" i="2"/>
  <c r="W2576" i="2"/>
  <c r="V2576" i="2"/>
  <c r="AB2575" i="2"/>
  <c r="AA2575" i="2"/>
  <c r="Z2575" i="2"/>
  <c r="Y2575" i="2"/>
  <c r="X2575" i="2"/>
  <c r="W2575" i="2"/>
  <c r="V2575" i="2"/>
  <c r="AB2574" i="2"/>
  <c r="AA2574" i="2"/>
  <c r="Z2574" i="2"/>
  <c r="Y2574" i="2"/>
  <c r="X2574" i="2"/>
  <c r="W2574" i="2"/>
  <c r="V2574" i="2"/>
  <c r="AB2573" i="2"/>
  <c r="AA2573" i="2"/>
  <c r="Z2573" i="2"/>
  <c r="Y2573" i="2"/>
  <c r="X2573" i="2"/>
  <c r="W2573" i="2"/>
  <c r="V2573" i="2"/>
  <c r="AB2572" i="2"/>
  <c r="AA2572" i="2"/>
  <c r="Z2572" i="2"/>
  <c r="Y2572" i="2"/>
  <c r="X2572" i="2"/>
  <c r="W2572" i="2"/>
  <c r="V2572" i="2"/>
  <c r="AB2571" i="2"/>
  <c r="AA2571" i="2"/>
  <c r="Z2571" i="2"/>
  <c r="Y2571" i="2"/>
  <c r="X2571" i="2"/>
  <c r="W2571" i="2"/>
  <c r="V2571" i="2"/>
  <c r="AB2570" i="2"/>
  <c r="AA2570" i="2"/>
  <c r="Z2570" i="2"/>
  <c r="Y2570" i="2"/>
  <c r="X2570" i="2"/>
  <c r="W2570" i="2"/>
  <c r="V2570" i="2"/>
  <c r="AB2569" i="2"/>
  <c r="AA2569" i="2"/>
  <c r="Z2569" i="2"/>
  <c r="Y2569" i="2"/>
  <c r="X2569" i="2"/>
  <c r="W2569" i="2"/>
  <c r="V2569" i="2"/>
  <c r="AB2568" i="2"/>
  <c r="AA2568" i="2"/>
  <c r="Z2568" i="2"/>
  <c r="Y2568" i="2"/>
  <c r="X2568" i="2"/>
  <c r="W2568" i="2"/>
  <c r="V2568" i="2"/>
  <c r="AB2567" i="2"/>
  <c r="AA2567" i="2"/>
  <c r="Z2567" i="2"/>
  <c r="Y2567" i="2"/>
  <c r="X2567" i="2"/>
  <c r="W2567" i="2"/>
  <c r="V2567" i="2"/>
  <c r="AB2566" i="2"/>
  <c r="AA2566" i="2"/>
  <c r="Z2566" i="2"/>
  <c r="Y2566" i="2"/>
  <c r="X2566" i="2"/>
  <c r="W2566" i="2"/>
  <c r="V2566" i="2"/>
  <c r="AB2565" i="2"/>
  <c r="AA2565" i="2"/>
  <c r="Z2565" i="2"/>
  <c r="Y2565" i="2"/>
  <c r="X2565" i="2"/>
  <c r="W2565" i="2"/>
  <c r="V2565" i="2"/>
  <c r="AB2564" i="2"/>
  <c r="AA2564" i="2"/>
  <c r="Z2564" i="2"/>
  <c r="Y2564" i="2"/>
  <c r="X2564" i="2"/>
  <c r="W2564" i="2"/>
  <c r="V2564" i="2"/>
  <c r="AB2563" i="2"/>
  <c r="AA2563" i="2"/>
  <c r="Z2563" i="2"/>
  <c r="Y2563" i="2"/>
  <c r="X2563" i="2"/>
  <c r="W2563" i="2"/>
  <c r="V2563" i="2"/>
  <c r="AB2562" i="2"/>
  <c r="AA2562" i="2"/>
  <c r="Z2562" i="2"/>
  <c r="Y2562" i="2"/>
  <c r="X2562" i="2"/>
  <c r="W2562" i="2"/>
  <c r="V2562" i="2"/>
  <c r="AB2561" i="2"/>
  <c r="AA2561" i="2"/>
  <c r="Z2561" i="2"/>
  <c r="Y2561" i="2"/>
  <c r="X2561" i="2"/>
  <c r="W2561" i="2"/>
  <c r="V2561" i="2"/>
  <c r="AB2560" i="2"/>
  <c r="AA2560" i="2"/>
  <c r="Z2560" i="2"/>
  <c r="Y2560" i="2"/>
  <c r="X2560" i="2"/>
  <c r="W2560" i="2"/>
  <c r="V2560" i="2"/>
  <c r="AB2559" i="2"/>
  <c r="AA2559" i="2"/>
  <c r="Z2559" i="2"/>
  <c r="Y2559" i="2"/>
  <c r="X2559" i="2"/>
  <c r="W2559" i="2"/>
  <c r="V2559" i="2"/>
  <c r="AB2558" i="2"/>
  <c r="AA2558" i="2"/>
  <c r="Z2558" i="2"/>
  <c r="Y2558" i="2"/>
  <c r="X2558" i="2"/>
  <c r="W2558" i="2"/>
  <c r="V2558" i="2"/>
  <c r="AB2557" i="2"/>
  <c r="AA2557" i="2"/>
  <c r="Z2557" i="2"/>
  <c r="Y2557" i="2"/>
  <c r="X2557" i="2"/>
  <c r="W2557" i="2"/>
  <c r="V2557" i="2"/>
  <c r="AB2556" i="2"/>
  <c r="AA2556" i="2"/>
  <c r="Z2556" i="2"/>
  <c r="Y2556" i="2"/>
  <c r="X2556" i="2"/>
  <c r="W2556" i="2"/>
  <c r="V2556" i="2"/>
  <c r="AB2555" i="2"/>
  <c r="AA2555" i="2"/>
  <c r="Z2555" i="2"/>
  <c r="Y2555" i="2"/>
  <c r="X2555" i="2"/>
  <c r="W2555" i="2"/>
  <c r="V2555" i="2"/>
  <c r="AB2554" i="2"/>
  <c r="AA2554" i="2"/>
  <c r="Z2554" i="2"/>
  <c r="Y2554" i="2"/>
  <c r="X2554" i="2"/>
  <c r="W2554" i="2"/>
  <c r="V2554" i="2"/>
  <c r="AB2553" i="2"/>
  <c r="AA2553" i="2"/>
  <c r="Z2553" i="2"/>
  <c r="Y2553" i="2"/>
  <c r="X2553" i="2"/>
  <c r="W2553" i="2"/>
  <c r="V2553" i="2"/>
  <c r="AB2552" i="2"/>
  <c r="AA2552" i="2"/>
  <c r="Z2552" i="2"/>
  <c r="Y2552" i="2"/>
  <c r="X2552" i="2"/>
  <c r="W2552" i="2"/>
  <c r="V2552" i="2"/>
  <c r="AB2551" i="2"/>
  <c r="AA2551" i="2"/>
  <c r="Z2551" i="2"/>
  <c r="Y2551" i="2"/>
  <c r="X2551" i="2"/>
  <c r="W2551" i="2"/>
  <c r="V2551" i="2"/>
  <c r="AB2550" i="2"/>
  <c r="AA2550" i="2"/>
  <c r="Z2550" i="2"/>
  <c r="Y2550" i="2"/>
  <c r="X2550" i="2"/>
  <c r="W2550" i="2"/>
  <c r="V2550" i="2"/>
  <c r="AB2549" i="2"/>
  <c r="AA2549" i="2"/>
  <c r="Z2549" i="2"/>
  <c r="Y2549" i="2"/>
  <c r="X2549" i="2"/>
  <c r="W2549" i="2"/>
  <c r="V2549" i="2"/>
  <c r="AB2548" i="2"/>
  <c r="AA2548" i="2"/>
  <c r="Z2548" i="2"/>
  <c r="Y2548" i="2"/>
  <c r="X2548" i="2"/>
  <c r="W2548" i="2"/>
  <c r="V2548" i="2"/>
  <c r="AB2547" i="2"/>
  <c r="AA2547" i="2"/>
  <c r="Z2547" i="2"/>
  <c r="Y2547" i="2"/>
  <c r="X2547" i="2"/>
  <c r="W2547" i="2"/>
  <c r="V2547" i="2"/>
  <c r="AB2546" i="2"/>
  <c r="AA2546" i="2"/>
  <c r="Z2546" i="2"/>
  <c r="Y2546" i="2"/>
  <c r="X2546" i="2"/>
  <c r="W2546" i="2"/>
  <c r="V2546" i="2"/>
  <c r="AB2545" i="2"/>
  <c r="AA2545" i="2"/>
  <c r="Z2545" i="2"/>
  <c r="Y2545" i="2"/>
  <c r="X2545" i="2"/>
  <c r="W2545" i="2"/>
  <c r="V2545" i="2"/>
  <c r="AB2544" i="2"/>
  <c r="AA2544" i="2"/>
  <c r="Z2544" i="2"/>
  <c r="Y2544" i="2"/>
  <c r="X2544" i="2"/>
  <c r="W2544" i="2"/>
  <c r="V2544" i="2"/>
  <c r="AB2543" i="2"/>
  <c r="AA2543" i="2"/>
  <c r="Z2543" i="2"/>
  <c r="Y2543" i="2"/>
  <c r="X2543" i="2"/>
  <c r="W2543" i="2"/>
  <c r="V2543" i="2"/>
  <c r="AB2542" i="2"/>
  <c r="AA2542" i="2"/>
  <c r="Z2542" i="2"/>
  <c r="Y2542" i="2"/>
  <c r="X2542" i="2"/>
  <c r="W2542" i="2"/>
  <c r="V2542" i="2"/>
  <c r="AB2541" i="2"/>
  <c r="AA2541" i="2"/>
  <c r="Z2541" i="2"/>
  <c r="Y2541" i="2"/>
  <c r="X2541" i="2"/>
  <c r="W2541" i="2"/>
  <c r="V2541" i="2"/>
  <c r="AB2540" i="2"/>
  <c r="AA2540" i="2"/>
  <c r="Z2540" i="2"/>
  <c r="Y2540" i="2"/>
  <c r="X2540" i="2"/>
  <c r="W2540" i="2"/>
  <c r="V2540" i="2"/>
  <c r="AB2539" i="2"/>
  <c r="AA2539" i="2"/>
  <c r="Z2539" i="2"/>
  <c r="Y2539" i="2"/>
  <c r="X2539" i="2"/>
  <c r="W2539" i="2"/>
  <c r="V2539" i="2"/>
  <c r="AB2538" i="2"/>
  <c r="AA2538" i="2"/>
  <c r="Z2538" i="2"/>
  <c r="Y2538" i="2"/>
  <c r="X2538" i="2"/>
  <c r="W2538" i="2"/>
  <c r="V2538" i="2"/>
  <c r="AB2537" i="2"/>
  <c r="AA2537" i="2"/>
  <c r="Z2537" i="2"/>
  <c r="Y2537" i="2"/>
  <c r="X2537" i="2"/>
  <c r="W2537" i="2"/>
  <c r="V2537" i="2"/>
  <c r="AB2536" i="2"/>
  <c r="AA2536" i="2"/>
  <c r="Z2536" i="2"/>
  <c r="Y2536" i="2"/>
  <c r="X2536" i="2"/>
  <c r="W2536" i="2"/>
  <c r="V2536" i="2"/>
  <c r="AB2535" i="2"/>
  <c r="AA2535" i="2"/>
  <c r="Z2535" i="2"/>
  <c r="Y2535" i="2"/>
  <c r="X2535" i="2"/>
  <c r="W2535" i="2"/>
  <c r="V2535" i="2"/>
  <c r="AB2534" i="2"/>
  <c r="AA2534" i="2"/>
  <c r="Z2534" i="2"/>
  <c r="Y2534" i="2"/>
  <c r="X2534" i="2"/>
  <c r="W2534" i="2"/>
  <c r="V2534" i="2"/>
  <c r="AB2533" i="2"/>
  <c r="AA2533" i="2"/>
  <c r="Z2533" i="2"/>
  <c r="Y2533" i="2"/>
  <c r="X2533" i="2"/>
  <c r="W2533" i="2"/>
  <c r="V2533" i="2"/>
  <c r="AB2532" i="2"/>
  <c r="AA2532" i="2"/>
  <c r="Z2532" i="2"/>
  <c r="Y2532" i="2"/>
  <c r="X2532" i="2"/>
  <c r="W2532" i="2"/>
  <c r="V2532" i="2"/>
  <c r="AB2531" i="2"/>
  <c r="AA2531" i="2"/>
  <c r="Z2531" i="2"/>
  <c r="Y2531" i="2"/>
  <c r="X2531" i="2"/>
  <c r="W2531" i="2"/>
  <c r="V2531" i="2"/>
  <c r="AB2530" i="2"/>
  <c r="AA2530" i="2"/>
  <c r="Z2530" i="2"/>
  <c r="Y2530" i="2"/>
  <c r="X2530" i="2"/>
  <c r="W2530" i="2"/>
  <c r="V2530" i="2"/>
  <c r="AB2529" i="2"/>
  <c r="AA2529" i="2"/>
  <c r="Z2529" i="2"/>
  <c r="Y2529" i="2"/>
  <c r="X2529" i="2"/>
  <c r="W2529" i="2"/>
  <c r="V2529" i="2"/>
  <c r="AB2528" i="2"/>
  <c r="AA2528" i="2"/>
  <c r="Z2528" i="2"/>
  <c r="Y2528" i="2"/>
  <c r="X2528" i="2"/>
  <c r="W2528" i="2"/>
  <c r="V2528" i="2"/>
  <c r="AB2527" i="2"/>
  <c r="AA2527" i="2"/>
  <c r="Z2527" i="2"/>
  <c r="Y2527" i="2"/>
  <c r="X2527" i="2"/>
  <c r="W2527" i="2"/>
  <c r="V2527" i="2"/>
  <c r="AB2526" i="2"/>
  <c r="AA2526" i="2"/>
  <c r="Z2526" i="2"/>
  <c r="Y2526" i="2"/>
  <c r="X2526" i="2"/>
  <c r="W2526" i="2"/>
  <c r="V2526" i="2"/>
  <c r="AB2525" i="2"/>
  <c r="AA2525" i="2"/>
  <c r="Z2525" i="2"/>
  <c r="Y2525" i="2"/>
  <c r="X2525" i="2"/>
  <c r="W2525" i="2"/>
  <c r="V2525" i="2"/>
  <c r="AB2524" i="2"/>
  <c r="AA2524" i="2"/>
  <c r="Z2524" i="2"/>
  <c r="Y2524" i="2"/>
  <c r="X2524" i="2"/>
  <c r="W2524" i="2"/>
  <c r="V2524" i="2"/>
  <c r="AB2523" i="2"/>
  <c r="AA2523" i="2"/>
  <c r="Z2523" i="2"/>
  <c r="Y2523" i="2"/>
  <c r="X2523" i="2"/>
  <c r="W2523" i="2"/>
  <c r="V2523" i="2"/>
  <c r="AB2522" i="2"/>
  <c r="AA2522" i="2"/>
  <c r="Z2522" i="2"/>
  <c r="Y2522" i="2"/>
  <c r="X2522" i="2"/>
  <c r="W2522" i="2"/>
  <c r="V2522" i="2"/>
  <c r="AB2521" i="2"/>
  <c r="AA2521" i="2"/>
  <c r="Z2521" i="2"/>
  <c r="Y2521" i="2"/>
  <c r="X2521" i="2"/>
  <c r="W2521" i="2"/>
  <c r="V2521" i="2"/>
  <c r="AB2520" i="2"/>
  <c r="AA2520" i="2"/>
  <c r="Z2520" i="2"/>
  <c r="Y2520" i="2"/>
  <c r="X2520" i="2"/>
  <c r="W2520" i="2"/>
  <c r="V2520" i="2"/>
  <c r="AB2519" i="2"/>
  <c r="AA2519" i="2"/>
  <c r="Z2519" i="2"/>
  <c r="Y2519" i="2"/>
  <c r="X2519" i="2"/>
  <c r="W2519" i="2"/>
  <c r="V2519" i="2"/>
  <c r="AB2518" i="2"/>
  <c r="AA2518" i="2"/>
  <c r="Z2518" i="2"/>
  <c r="Y2518" i="2"/>
  <c r="X2518" i="2"/>
  <c r="W2518" i="2"/>
  <c r="V2518" i="2"/>
  <c r="AB2517" i="2"/>
  <c r="AA2517" i="2"/>
  <c r="Z2517" i="2"/>
  <c r="Y2517" i="2"/>
  <c r="X2517" i="2"/>
  <c r="W2517" i="2"/>
  <c r="V2517" i="2"/>
  <c r="AB2516" i="2"/>
  <c r="AA2516" i="2"/>
  <c r="Z2516" i="2"/>
  <c r="Y2516" i="2"/>
  <c r="X2516" i="2"/>
  <c r="W2516" i="2"/>
  <c r="V2516" i="2"/>
  <c r="AB2515" i="2"/>
  <c r="AA2515" i="2"/>
  <c r="Z2515" i="2"/>
  <c r="Y2515" i="2"/>
  <c r="X2515" i="2"/>
  <c r="W2515" i="2"/>
  <c r="V2515" i="2"/>
  <c r="AB2514" i="2"/>
  <c r="AA2514" i="2"/>
  <c r="Z2514" i="2"/>
  <c r="Y2514" i="2"/>
  <c r="X2514" i="2"/>
  <c r="W2514" i="2"/>
  <c r="V2514" i="2"/>
  <c r="AB2513" i="2"/>
  <c r="AA2513" i="2"/>
  <c r="Z2513" i="2"/>
  <c r="Y2513" i="2"/>
  <c r="X2513" i="2"/>
  <c r="W2513" i="2"/>
  <c r="V2513" i="2"/>
  <c r="AB2512" i="2"/>
  <c r="AA2512" i="2"/>
  <c r="Z2512" i="2"/>
  <c r="Y2512" i="2"/>
  <c r="X2512" i="2"/>
  <c r="W2512" i="2"/>
  <c r="V2512" i="2"/>
  <c r="AB2511" i="2"/>
  <c r="AA2511" i="2"/>
  <c r="Z2511" i="2"/>
  <c r="Y2511" i="2"/>
  <c r="X2511" i="2"/>
  <c r="W2511" i="2"/>
  <c r="V2511" i="2"/>
  <c r="AB2510" i="2"/>
  <c r="AA2510" i="2"/>
  <c r="Z2510" i="2"/>
  <c r="Y2510" i="2"/>
  <c r="X2510" i="2"/>
  <c r="W2510" i="2"/>
  <c r="V2510" i="2"/>
  <c r="AB2509" i="2"/>
  <c r="AA2509" i="2"/>
  <c r="Z2509" i="2"/>
  <c r="Y2509" i="2"/>
  <c r="X2509" i="2"/>
  <c r="W2509" i="2"/>
  <c r="V2509" i="2"/>
  <c r="AB2508" i="2"/>
  <c r="AA2508" i="2"/>
  <c r="Z2508" i="2"/>
  <c r="Y2508" i="2"/>
  <c r="X2508" i="2"/>
  <c r="W2508" i="2"/>
  <c r="V2508" i="2"/>
  <c r="AB2507" i="2"/>
  <c r="AA2507" i="2"/>
  <c r="Z2507" i="2"/>
  <c r="Y2507" i="2"/>
  <c r="X2507" i="2"/>
  <c r="W2507" i="2"/>
  <c r="V2507" i="2"/>
  <c r="AB2506" i="2"/>
  <c r="AA2506" i="2"/>
  <c r="Z2506" i="2"/>
  <c r="Y2506" i="2"/>
  <c r="X2506" i="2"/>
  <c r="W2506" i="2"/>
  <c r="V2506" i="2"/>
  <c r="AB2505" i="2"/>
  <c r="AA2505" i="2"/>
  <c r="Z2505" i="2"/>
  <c r="Y2505" i="2"/>
  <c r="X2505" i="2"/>
  <c r="W2505" i="2"/>
  <c r="V2505" i="2"/>
  <c r="AB2504" i="2"/>
  <c r="AA2504" i="2"/>
  <c r="Z2504" i="2"/>
  <c r="Y2504" i="2"/>
  <c r="X2504" i="2"/>
  <c r="W2504" i="2"/>
  <c r="V2504" i="2"/>
  <c r="AB2503" i="2"/>
  <c r="AA2503" i="2"/>
  <c r="Z2503" i="2"/>
  <c r="Y2503" i="2"/>
  <c r="X2503" i="2"/>
  <c r="W2503" i="2"/>
  <c r="V2503" i="2"/>
  <c r="AB2502" i="2"/>
  <c r="AA2502" i="2"/>
  <c r="Z2502" i="2"/>
  <c r="Y2502" i="2"/>
  <c r="X2502" i="2"/>
  <c r="W2502" i="2"/>
  <c r="V2502" i="2"/>
  <c r="AB2501" i="2"/>
  <c r="AA2501" i="2"/>
  <c r="Z2501" i="2"/>
  <c r="Y2501" i="2"/>
  <c r="X2501" i="2"/>
  <c r="W2501" i="2"/>
  <c r="V2501" i="2"/>
  <c r="AB2500" i="2"/>
  <c r="AA2500" i="2"/>
  <c r="Z2500" i="2"/>
  <c r="Y2500" i="2"/>
  <c r="X2500" i="2"/>
  <c r="W2500" i="2"/>
  <c r="V2500" i="2"/>
  <c r="AB2499" i="2"/>
  <c r="AA2499" i="2"/>
  <c r="Z2499" i="2"/>
  <c r="Y2499" i="2"/>
  <c r="X2499" i="2"/>
  <c r="W2499" i="2"/>
  <c r="V2499" i="2"/>
  <c r="AB2498" i="2"/>
  <c r="AA2498" i="2"/>
  <c r="Z2498" i="2"/>
  <c r="Y2498" i="2"/>
  <c r="X2498" i="2"/>
  <c r="W2498" i="2"/>
  <c r="V2498" i="2"/>
  <c r="AB2497" i="2"/>
  <c r="AA2497" i="2"/>
  <c r="Z2497" i="2"/>
  <c r="Y2497" i="2"/>
  <c r="X2497" i="2"/>
  <c r="W2497" i="2"/>
  <c r="V2497" i="2"/>
  <c r="AB2496" i="2"/>
  <c r="AA2496" i="2"/>
  <c r="Z2496" i="2"/>
  <c r="Y2496" i="2"/>
  <c r="X2496" i="2"/>
  <c r="W2496" i="2"/>
  <c r="V2496" i="2"/>
  <c r="AB2495" i="2"/>
  <c r="AA2495" i="2"/>
  <c r="Z2495" i="2"/>
  <c r="Y2495" i="2"/>
  <c r="X2495" i="2"/>
  <c r="W2495" i="2"/>
  <c r="V2495" i="2"/>
  <c r="AB2494" i="2"/>
  <c r="AA2494" i="2"/>
  <c r="Z2494" i="2"/>
  <c r="Y2494" i="2"/>
  <c r="X2494" i="2"/>
  <c r="W2494" i="2"/>
  <c r="V2494" i="2"/>
  <c r="AB2493" i="2"/>
  <c r="AA2493" i="2"/>
  <c r="Z2493" i="2"/>
  <c r="Y2493" i="2"/>
  <c r="X2493" i="2"/>
  <c r="W2493" i="2"/>
  <c r="V2493" i="2"/>
  <c r="AB2492" i="2"/>
  <c r="AA2492" i="2"/>
  <c r="Z2492" i="2"/>
  <c r="Y2492" i="2"/>
  <c r="X2492" i="2"/>
  <c r="W2492" i="2"/>
  <c r="V2492" i="2"/>
  <c r="AB2491" i="2"/>
  <c r="AA2491" i="2"/>
  <c r="Z2491" i="2"/>
  <c r="Y2491" i="2"/>
  <c r="X2491" i="2"/>
  <c r="W2491" i="2"/>
  <c r="V2491" i="2"/>
  <c r="AB2490" i="2"/>
  <c r="AA2490" i="2"/>
  <c r="Z2490" i="2"/>
  <c r="Y2490" i="2"/>
  <c r="X2490" i="2"/>
  <c r="W2490" i="2"/>
  <c r="V2490" i="2"/>
  <c r="AB2489" i="2"/>
  <c r="AA2489" i="2"/>
  <c r="Z2489" i="2"/>
  <c r="Y2489" i="2"/>
  <c r="X2489" i="2"/>
  <c r="W2489" i="2"/>
  <c r="V2489" i="2"/>
  <c r="AB2488" i="2"/>
  <c r="AA2488" i="2"/>
  <c r="Z2488" i="2"/>
  <c r="Y2488" i="2"/>
  <c r="X2488" i="2"/>
  <c r="W2488" i="2"/>
  <c r="V2488" i="2"/>
  <c r="AB2487" i="2"/>
  <c r="AA2487" i="2"/>
  <c r="Z2487" i="2"/>
  <c r="Y2487" i="2"/>
  <c r="X2487" i="2"/>
  <c r="W2487" i="2"/>
  <c r="V2487" i="2"/>
  <c r="AB2486" i="2"/>
  <c r="AA2486" i="2"/>
  <c r="Z2486" i="2"/>
  <c r="Y2486" i="2"/>
  <c r="X2486" i="2"/>
  <c r="W2486" i="2"/>
  <c r="V2486" i="2"/>
  <c r="AB2485" i="2"/>
  <c r="AA2485" i="2"/>
  <c r="Z2485" i="2"/>
  <c r="Y2485" i="2"/>
  <c r="X2485" i="2"/>
  <c r="W2485" i="2"/>
  <c r="V2485" i="2"/>
  <c r="AB2484" i="2"/>
  <c r="AA2484" i="2"/>
  <c r="Z2484" i="2"/>
  <c r="Y2484" i="2"/>
  <c r="X2484" i="2"/>
  <c r="W2484" i="2"/>
  <c r="V2484" i="2"/>
  <c r="AB2483" i="2"/>
  <c r="AA2483" i="2"/>
  <c r="Z2483" i="2"/>
  <c r="Y2483" i="2"/>
  <c r="X2483" i="2"/>
  <c r="W2483" i="2"/>
  <c r="V2483" i="2"/>
  <c r="AB2482" i="2"/>
  <c r="AA2482" i="2"/>
  <c r="Z2482" i="2"/>
  <c r="Y2482" i="2"/>
  <c r="X2482" i="2"/>
  <c r="W2482" i="2"/>
  <c r="V2482" i="2"/>
  <c r="AB2481" i="2"/>
  <c r="AA2481" i="2"/>
  <c r="Z2481" i="2"/>
  <c r="Y2481" i="2"/>
  <c r="X2481" i="2"/>
  <c r="W2481" i="2"/>
  <c r="V2481" i="2"/>
  <c r="AB2480" i="2"/>
  <c r="AA2480" i="2"/>
  <c r="Z2480" i="2"/>
  <c r="Y2480" i="2"/>
  <c r="X2480" i="2"/>
  <c r="W2480" i="2"/>
  <c r="V2480" i="2"/>
  <c r="AB2479" i="2"/>
  <c r="AA2479" i="2"/>
  <c r="Z2479" i="2"/>
  <c r="Y2479" i="2"/>
  <c r="X2479" i="2"/>
  <c r="W2479" i="2"/>
  <c r="V2479" i="2"/>
  <c r="AB2478" i="2"/>
  <c r="AA2478" i="2"/>
  <c r="Z2478" i="2"/>
  <c r="Y2478" i="2"/>
  <c r="X2478" i="2"/>
  <c r="W2478" i="2"/>
  <c r="V2478" i="2"/>
  <c r="AB2477" i="2"/>
  <c r="AA2477" i="2"/>
  <c r="Z2477" i="2"/>
  <c r="Y2477" i="2"/>
  <c r="X2477" i="2"/>
  <c r="W2477" i="2"/>
  <c r="V2477" i="2"/>
  <c r="AB2476" i="2"/>
  <c r="AA2476" i="2"/>
  <c r="Z2476" i="2"/>
  <c r="Y2476" i="2"/>
  <c r="X2476" i="2"/>
  <c r="W2476" i="2"/>
  <c r="V2476" i="2"/>
  <c r="AB2475" i="2"/>
  <c r="AA2475" i="2"/>
  <c r="Z2475" i="2"/>
  <c r="Y2475" i="2"/>
  <c r="X2475" i="2"/>
  <c r="W2475" i="2"/>
  <c r="V2475" i="2"/>
  <c r="AB2474" i="2"/>
  <c r="AA2474" i="2"/>
  <c r="Z2474" i="2"/>
  <c r="Y2474" i="2"/>
  <c r="X2474" i="2"/>
  <c r="W2474" i="2"/>
  <c r="V2474" i="2"/>
  <c r="AB2473" i="2"/>
  <c r="AA2473" i="2"/>
  <c r="Z2473" i="2"/>
  <c r="Y2473" i="2"/>
  <c r="X2473" i="2"/>
  <c r="W2473" i="2"/>
  <c r="V2473" i="2"/>
  <c r="AB2472" i="2"/>
  <c r="AA2472" i="2"/>
  <c r="Z2472" i="2"/>
  <c r="Y2472" i="2"/>
  <c r="X2472" i="2"/>
  <c r="W2472" i="2"/>
  <c r="V2472" i="2"/>
  <c r="AB2471" i="2"/>
  <c r="AA2471" i="2"/>
  <c r="Z2471" i="2"/>
  <c r="Y2471" i="2"/>
  <c r="X2471" i="2"/>
  <c r="W2471" i="2"/>
  <c r="V2471" i="2"/>
  <c r="AB2470" i="2"/>
  <c r="AA2470" i="2"/>
  <c r="Z2470" i="2"/>
  <c r="Y2470" i="2"/>
  <c r="X2470" i="2"/>
  <c r="W2470" i="2"/>
  <c r="V2470" i="2"/>
  <c r="AB2469" i="2"/>
  <c r="AA2469" i="2"/>
  <c r="Z2469" i="2"/>
  <c r="Y2469" i="2"/>
  <c r="X2469" i="2"/>
  <c r="W2469" i="2"/>
  <c r="V2469" i="2"/>
  <c r="AB2468" i="2"/>
  <c r="AA2468" i="2"/>
  <c r="Z2468" i="2"/>
  <c r="Y2468" i="2"/>
  <c r="X2468" i="2"/>
  <c r="W2468" i="2"/>
  <c r="V2468" i="2"/>
  <c r="AB2467" i="2"/>
  <c r="AA2467" i="2"/>
  <c r="Z2467" i="2"/>
  <c r="Y2467" i="2"/>
  <c r="X2467" i="2"/>
  <c r="W2467" i="2"/>
  <c r="V2467" i="2"/>
  <c r="AB2466" i="2"/>
  <c r="AA2466" i="2"/>
  <c r="Z2466" i="2"/>
  <c r="Y2466" i="2"/>
  <c r="X2466" i="2"/>
  <c r="W2466" i="2"/>
  <c r="V2466" i="2"/>
  <c r="AB2465" i="2"/>
  <c r="AA2465" i="2"/>
  <c r="Z2465" i="2"/>
  <c r="Y2465" i="2"/>
  <c r="X2465" i="2"/>
  <c r="W2465" i="2"/>
  <c r="V2465" i="2"/>
  <c r="AB2464" i="2"/>
  <c r="AA2464" i="2"/>
  <c r="Z2464" i="2"/>
  <c r="Y2464" i="2"/>
  <c r="X2464" i="2"/>
  <c r="W2464" i="2"/>
  <c r="V2464" i="2"/>
  <c r="AB2463" i="2"/>
  <c r="AA2463" i="2"/>
  <c r="Z2463" i="2"/>
  <c r="Y2463" i="2"/>
  <c r="X2463" i="2"/>
  <c r="W2463" i="2"/>
  <c r="V2463" i="2"/>
  <c r="AB2462" i="2"/>
  <c r="AA2462" i="2"/>
  <c r="Z2462" i="2"/>
  <c r="Y2462" i="2"/>
  <c r="X2462" i="2"/>
  <c r="W2462" i="2"/>
  <c r="V2462" i="2"/>
  <c r="AB2461" i="2"/>
  <c r="AA2461" i="2"/>
  <c r="Z2461" i="2"/>
  <c r="Y2461" i="2"/>
  <c r="X2461" i="2"/>
  <c r="W2461" i="2"/>
  <c r="V2461" i="2"/>
  <c r="AB2460" i="2"/>
  <c r="AA2460" i="2"/>
  <c r="Z2460" i="2"/>
  <c r="Y2460" i="2"/>
  <c r="X2460" i="2"/>
  <c r="W2460" i="2"/>
  <c r="V2460" i="2"/>
  <c r="AB2459" i="2"/>
  <c r="AA2459" i="2"/>
  <c r="Z2459" i="2"/>
  <c r="Y2459" i="2"/>
  <c r="X2459" i="2"/>
  <c r="W2459" i="2"/>
  <c r="V2459" i="2"/>
  <c r="AB2458" i="2"/>
  <c r="AA2458" i="2"/>
  <c r="Z2458" i="2"/>
  <c r="Y2458" i="2"/>
  <c r="X2458" i="2"/>
  <c r="W2458" i="2"/>
  <c r="V2458" i="2"/>
  <c r="AB2457" i="2"/>
  <c r="AA2457" i="2"/>
  <c r="Z2457" i="2"/>
  <c r="Y2457" i="2"/>
  <c r="X2457" i="2"/>
  <c r="W2457" i="2"/>
  <c r="V2457" i="2"/>
  <c r="AB2456" i="2"/>
  <c r="AA2456" i="2"/>
  <c r="Z2456" i="2"/>
  <c r="Y2456" i="2"/>
  <c r="X2456" i="2"/>
  <c r="W2456" i="2"/>
  <c r="V2456" i="2"/>
  <c r="AB2455" i="2"/>
  <c r="AA2455" i="2"/>
  <c r="Z2455" i="2"/>
  <c r="Y2455" i="2"/>
  <c r="X2455" i="2"/>
  <c r="W2455" i="2"/>
  <c r="V2455" i="2"/>
  <c r="AB2454" i="2"/>
  <c r="AA2454" i="2"/>
  <c r="Z2454" i="2"/>
  <c r="Y2454" i="2"/>
  <c r="X2454" i="2"/>
  <c r="W2454" i="2"/>
  <c r="V2454" i="2"/>
  <c r="AB2453" i="2"/>
  <c r="AA2453" i="2"/>
  <c r="Z2453" i="2"/>
  <c r="Y2453" i="2"/>
  <c r="X2453" i="2"/>
  <c r="W2453" i="2"/>
  <c r="V2453" i="2"/>
  <c r="AB2452" i="2"/>
  <c r="AA2452" i="2"/>
  <c r="Z2452" i="2"/>
  <c r="Y2452" i="2"/>
  <c r="X2452" i="2"/>
  <c r="W2452" i="2"/>
  <c r="V2452" i="2"/>
  <c r="AB2451" i="2"/>
  <c r="AA2451" i="2"/>
  <c r="Z2451" i="2"/>
  <c r="Y2451" i="2"/>
  <c r="X2451" i="2"/>
  <c r="W2451" i="2"/>
  <c r="V2451" i="2"/>
  <c r="AB2450" i="2"/>
  <c r="AA2450" i="2"/>
  <c r="Z2450" i="2"/>
  <c r="Y2450" i="2"/>
  <c r="X2450" i="2"/>
  <c r="W2450" i="2"/>
  <c r="V2450" i="2"/>
  <c r="AB2449" i="2"/>
  <c r="AA2449" i="2"/>
  <c r="Z2449" i="2"/>
  <c r="Y2449" i="2"/>
  <c r="X2449" i="2"/>
  <c r="W2449" i="2"/>
  <c r="V2449" i="2"/>
  <c r="AB2448" i="2"/>
  <c r="AA2448" i="2"/>
  <c r="Z2448" i="2"/>
  <c r="Y2448" i="2"/>
  <c r="X2448" i="2"/>
  <c r="W2448" i="2"/>
  <c r="V2448" i="2"/>
  <c r="AB2447" i="2"/>
  <c r="AA2447" i="2"/>
  <c r="Z2447" i="2"/>
  <c r="Y2447" i="2"/>
  <c r="X2447" i="2"/>
  <c r="W2447" i="2"/>
  <c r="V2447" i="2"/>
  <c r="AB2446" i="2"/>
  <c r="AA2446" i="2"/>
  <c r="Z2446" i="2"/>
  <c r="Y2446" i="2"/>
  <c r="X2446" i="2"/>
  <c r="W2446" i="2"/>
  <c r="V2446" i="2"/>
  <c r="AB2445" i="2"/>
  <c r="AA2445" i="2"/>
  <c r="Z2445" i="2"/>
  <c r="Y2445" i="2"/>
  <c r="X2445" i="2"/>
  <c r="W2445" i="2"/>
  <c r="V2445" i="2"/>
  <c r="AB2444" i="2"/>
  <c r="AA2444" i="2"/>
  <c r="Z2444" i="2"/>
  <c r="Y2444" i="2"/>
  <c r="X2444" i="2"/>
  <c r="W2444" i="2"/>
  <c r="V2444" i="2"/>
  <c r="AB2443" i="2"/>
  <c r="AA2443" i="2"/>
  <c r="Z2443" i="2"/>
  <c r="Y2443" i="2"/>
  <c r="X2443" i="2"/>
  <c r="W2443" i="2"/>
  <c r="V2443" i="2"/>
  <c r="AB2442" i="2"/>
  <c r="AA2442" i="2"/>
  <c r="Z2442" i="2"/>
  <c r="Y2442" i="2"/>
  <c r="X2442" i="2"/>
  <c r="W2442" i="2"/>
  <c r="V2442" i="2"/>
  <c r="AB2441" i="2"/>
  <c r="AA2441" i="2"/>
  <c r="Z2441" i="2"/>
  <c r="Y2441" i="2"/>
  <c r="X2441" i="2"/>
  <c r="W2441" i="2"/>
  <c r="V2441" i="2"/>
  <c r="AB2440" i="2"/>
  <c r="AA2440" i="2"/>
  <c r="Z2440" i="2"/>
  <c r="Y2440" i="2"/>
  <c r="X2440" i="2"/>
  <c r="W2440" i="2"/>
  <c r="V2440" i="2"/>
  <c r="AB2439" i="2"/>
  <c r="AA2439" i="2"/>
  <c r="Z2439" i="2"/>
  <c r="Y2439" i="2"/>
  <c r="X2439" i="2"/>
  <c r="W2439" i="2"/>
  <c r="V2439" i="2"/>
  <c r="AB2438" i="2"/>
  <c r="AA2438" i="2"/>
  <c r="Z2438" i="2"/>
  <c r="Y2438" i="2"/>
  <c r="X2438" i="2"/>
  <c r="W2438" i="2"/>
  <c r="V2438" i="2"/>
  <c r="AB2437" i="2"/>
  <c r="AA2437" i="2"/>
  <c r="Z2437" i="2"/>
  <c r="Y2437" i="2"/>
  <c r="X2437" i="2"/>
  <c r="W2437" i="2"/>
  <c r="V2437" i="2"/>
  <c r="AB2436" i="2"/>
  <c r="AA2436" i="2"/>
  <c r="Z2436" i="2"/>
  <c r="Y2436" i="2"/>
  <c r="X2436" i="2"/>
  <c r="W2436" i="2"/>
  <c r="V2436" i="2"/>
  <c r="AB2435" i="2"/>
  <c r="AA2435" i="2"/>
  <c r="Z2435" i="2"/>
  <c r="Y2435" i="2"/>
  <c r="X2435" i="2"/>
  <c r="W2435" i="2"/>
  <c r="V2435" i="2"/>
  <c r="AB2434" i="2"/>
  <c r="AA2434" i="2"/>
  <c r="Z2434" i="2"/>
  <c r="Y2434" i="2"/>
  <c r="X2434" i="2"/>
  <c r="W2434" i="2"/>
  <c r="V2434" i="2"/>
  <c r="AB2433" i="2"/>
  <c r="AA2433" i="2"/>
  <c r="Z2433" i="2"/>
  <c r="Y2433" i="2"/>
  <c r="X2433" i="2"/>
  <c r="W2433" i="2"/>
  <c r="V2433" i="2"/>
  <c r="AB2432" i="2"/>
  <c r="AA2432" i="2"/>
  <c r="Z2432" i="2"/>
  <c r="Y2432" i="2"/>
  <c r="X2432" i="2"/>
  <c r="W2432" i="2"/>
  <c r="V2432" i="2"/>
  <c r="AB2431" i="2"/>
  <c r="AA2431" i="2"/>
  <c r="Z2431" i="2"/>
  <c r="Y2431" i="2"/>
  <c r="X2431" i="2"/>
  <c r="W2431" i="2"/>
  <c r="V2431" i="2"/>
  <c r="AB2430" i="2"/>
  <c r="AA2430" i="2"/>
  <c r="Z2430" i="2"/>
  <c r="Y2430" i="2"/>
  <c r="X2430" i="2"/>
  <c r="W2430" i="2"/>
  <c r="V2430" i="2"/>
  <c r="AB2429" i="2"/>
  <c r="AA2429" i="2"/>
  <c r="Z2429" i="2"/>
  <c r="Y2429" i="2"/>
  <c r="X2429" i="2"/>
  <c r="W2429" i="2"/>
  <c r="V2429" i="2"/>
  <c r="AB2428" i="2"/>
  <c r="AA2428" i="2"/>
  <c r="Z2428" i="2"/>
  <c r="Y2428" i="2"/>
  <c r="X2428" i="2"/>
  <c r="W2428" i="2"/>
  <c r="V2428" i="2"/>
  <c r="AB2427" i="2"/>
  <c r="AA2427" i="2"/>
  <c r="Z2427" i="2"/>
  <c r="Y2427" i="2"/>
  <c r="X2427" i="2"/>
  <c r="W2427" i="2"/>
  <c r="V2427" i="2"/>
  <c r="AB2426" i="2"/>
  <c r="AA2426" i="2"/>
  <c r="Z2426" i="2"/>
  <c r="Y2426" i="2"/>
  <c r="X2426" i="2"/>
  <c r="W2426" i="2"/>
  <c r="V2426" i="2"/>
  <c r="AB2425" i="2"/>
  <c r="AA2425" i="2"/>
  <c r="Z2425" i="2"/>
  <c r="Y2425" i="2"/>
  <c r="X2425" i="2"/>
  <c r="W2425" i="2"/>
  <c r="V2425" i="2"/>
  <c r="AB2424" i="2"/>
  <c r="AA2424" i="2"/>
  <c r="Z2424" i="2"/>
  <c r="Y2424" i="2"/>
  <c r="X2424" i="2"/>
  <c r="W2424" i="2"/>
  <c r="V2424" i="2"/>
  <c r="AB2423" i="2"/>
  <c r="AA2423" i="2"/>
  <c r="Z2423" i="2"/>
  <c r="Y2423" i="2"/>
  <c r="X2423" i="2"/>
  <c r="W2423" i="2"/>
  <c r="V2423" i="2"/>
  <c r="AB2422" i="2"/>
  <c r="AA2422" i="2"/>
  <c r="Z2422" i="2"/>
  <c r="Y2422" i="2"/>
  <c r="X2422" i="2"/>
  <c r="W2422" i="2"/>
  <c r="V2422" i="2"/>
  <c r="AB2421" i="2"/>
  <c r="AA2421" i="2"/>
  <c r="Z2421" i="2"/>
  <c r="Y2421" i="2"/>
  <c r="X2421" i="2"/>
  <c r="W2421" i="2"/>
  <c r="V2421" i="2"/>
  <c r="AB2420" i="2"/>
  <c r="AA2420" i="2"/>
  <c r="Z2420" i="2"/>
  <c r="Y2420" i="2"/>
  <c r="X2420" i="2"/>
  <c r="W2420" i="2"/>
  <c r="V2420" i="2"/>
  <c r="AB2419" i="2"/>
  <c r="AA2419" i="2"/>
  <c r="Z2419" i="2"/>
  <c r="Y2419" i="2"/>
  <c r="X2419" i="2"/>
  <c r="W2419" i="2"/>
  <c r="V2419" i="2"/>
  <c r="AB2418" i="2"/>
  <c r="AA2418" i="2"/>
  <c r="Z2418" i="2"/>
  <c r="Y2418" i="2"/>
  <c r="X2418" i="2"/>
  <c r="W2418" i="2"/>
  <c r="V2418" i="2"/>
  <c r="AB2417" i="2"/>
  <c r="AA2417" i="2"/>
  <c r="Z2417" i="2"/>
  <c r="Y2417" i="2"/>
  <c r="X2417" i="2"/>
  <c r="W2417" i="2"/>
  <c r="V2417" i="2"/>
  <c r="AB2416" i="2"/>
  <c r="AA2416" i="2"/>
  <c r="Z2416" i="2"/>
  <c r="Y2416" i="2"/>
  <c r="X2416" i="2"/>
  <c r="W2416" i="2"/>
  <c r="V2416" i="2"/>
  <c r="AB2415" i="2"/>
  <c r="AA2415" i="2"/>
  <c r="Z2415" i="2"/>
  <c r="Y2415" i="2"/>
  <c r="X2415" i="2"/>
  <c r="W2415" i="2"/>
  <c r="V2415" i="2"/>
  <c r="AB2414" i="2"/>
  <c r="AA2414" i="2"/>
  <c r="Z2414" i="2"/>
  <c r="Y2414" i="2"/>
  <c r="X2414" i="2"/>
  <c r="W2414" i="2"/>
  <c r="V2414" i="2"/>
  <c r="AB2413" i="2"/>
  <c r="AA2413" i="2"/>
  <c r="Z2413" i="2"/>
  <c r="Y2413" i="2"/>
  <c r="X2413" i="2"/>
  <c r="W2413" i="2"/>
  <c r="V2413" i="2"/>
  <c r="AB2412" i="2"/>
  <c r="AA2412" i="2"/>
  <c r="Z2412" i="2"/>
  <c r="Y2412" i="2"/>
  <c r="X2412" i="2"/>
  <c r="W2412" i="2"/>
  <c r="V2412" i="2"/>
  <c r="AB2411" i="2"/>
  <c r="AA2411" i="2"/>
  <c r="Z2411" i="2"/>
  <c r="Y2411" i="2"/>
  <c r="X2411" i="2"/>
  <c r="W2411" i="2"/>
  <c r="V2411" i="2"/>
  <c r="AB2410" i="2"/>
  <c r="AA2410" i="2"/>
  <c r="Z2410" i="2"/>
  <c r="Y2410" i="2"/>
  <c r="X2410" i="2"/>
  <c r="W2410" i="2"/>
  <c r="V2410" i="2"/>
  <c r="AB2409" i="2"/>
  <c r="AA2409" i="2"/>
  <c r="Z2409" i="2"/>
  <c r="Y2409" i="2"/>
  <c r="X2409" i="2"/>
  <c r="W2409" i="2"/>
  <c r="V2409" i="2"/>
  <c r="AB2408" i="2"/>
  <c r="AA2408" i="2"/>
  <c r="Z2408" i="2"/>
  <c r="Y2408" i="2"/>
  <c r="X2408" i="2"/>
  <c r="W2408" i="2"/>
  <c r="V2408" i="2"/>
  <c r="AB2407" i="2"/>
  <c r="AA2407" i="2"/>
  <c r="Z2407" i="2"/>
  <c r="Y2407" i="2"/>
  <c r="X2407" i="2"/>
  <c r="W2407" i="2"/>
  <c r="V2407" i="2"/>
  <c r="AB2406" i="2"/>
  <c r="AA2406" i="2"/>
  <c r="Z2406" i="2"/>
  <c r="Y2406" i="2"/>
  <c r="X2406" i="2"/>
  <c r="W2406" i="2"/>
  <c r="V2406" i="2"/>
  <c r="AB2405" i="2"/>
  <c r="AA2405" i="2"/>
  <c r="Z2405" i="2"/>
  <c r="Y2405" i="2"/>
  <c r="X2405" i="2"/>
  <c r="W2405" i="2"/>
  <c r="V2405" i="2"/>
  <c r="AB2404" i="2"/>
  <c r="AA2404" i="2"/>
  <c r="Z2404" i="2"/>
  <c r="Y2404" i="2"/>
  <c r="X2404" i="2"/>
  <c r="W2404" i="2"/>
  <c r="V2404" i="2"/>
  <c r="AB2403" i="2"/>
  <c r="AA2403" i="2"/>
  <c r="Z2403" i="2"/>
  <c r="Y2403" i="2"/>
  <c r="X2403" i="2"/>
  <c r="W2403" i="2"/>
  <c r="V2403" i="2"/>
  <c r="AB2402" i="2"/>
  <c r="AA2402" i="2"/>
  <c r="Z2402" i="2"/>
  <c r="Y2402" i="2"/>
  <c r="X2402" i="2"/>
  <c r="W2402" i="2"/>
  <c r="V2402" i="2"/>
  <c r="AB2401" i="2"/>
  <c r="AA2401" i="2"/>
  <c r="Z2401" i="2"/>
  <c r="Y2401" i="2"/>
  <c r="X2401" i="2"/>
  <c r="W2401" i="2"/>
  <c r="V2401" i="2"/>
  <c r="AB2400" i="2"/>
  <c r="AA2400" i="2"/>
  <c r="Z2400" i="2"/>
  <c r="Y2400" i="2"/>
  <c r="X2400" i="2"/>
  <c r="W2400" i="2"/>
  <c r="V2400" i="2"/>
  <c r="AB2399" i="2"/>
  <c r="AA2399" i="2"/>
  <c r="Z2399" i="2"/>
  <c r="Y2399" i="2"/>
  <c r="X2399" i="2"/>
  <c r="W2399" i="2"/>
  <c r="V2399" i="2"/>
  <c r="AB2398" i="2"/>
  <c r="AA2398" i="2"/>
  <c r="Z2398" i="2"/>
  <c r="Y2398" i="2"/>
  <c r="X2398" i="2"/>
  <c r="W2398" i="2"/>
  <c r="V2398" i="2"/>
  <c r="AB2397" i="2"/>
  <c r="AA2397" i="2"/>
  <c r="Z2397" i="2"/>
  <c r="Y2397" i="2"/>
  <c r="X2397" i="2"/>
  <c r="W2397" i="2"/>
  <c r="V2397" i="2"/>
  <c r="AB2396" i="2"/>
  <c r="AA2396" i="2"/>
  <c r="Z2396" i="2"/>
  <c r="Y2396" i="2"/>
  <c r="X2396" i="2"/>
  <c r="W2396" i="2"/>
  <c r="V2396" i="2"/>
  <c r="AB2395" i="2"/>
  <c r="AA2395" i="2"/>
  <c r="Z2395" i="2"/>
  <c r="Y2395" i="2"/>
  <c r="X2395" i="2"/>
  <c r="W2395" i="2"/>
  <c r="V2395" i="2"/>
  <c r="AB2394" i="2"/>
  <c r="AA2394" i="2"/>
  <c r="Z2394" i="2"/>
  <c r="Y2394" i="2"/>
  <c r="X2394" i="2"/>
  <c r="W2394" i="2"/>
  <c r="V2394" i="2"/>
  <c r="AB2393" i="2"/>
  <c r="AA2393" i="2"/>
  <c r="Z2393" i="2"/>
  <c r="Y2393" i="2"/>
  <c r="X2393" i="2"/>
  <c r="W2393" i="2"/>
  <c r="V2393" i="2"/>
  <c r="AB2392" i="2"/>
  <c r="AA2392" i="2"/>
  <c r="Z2392" i="2"/>
  <c r="Y2392" i="2"/>
  <c r="X2392" i="2"/>
  <c r="W2392" i="2"/>
  <c r="V2392" i="2"/>
  <c r="AB2391" i="2"/>
  <c r="AA2391" i="2"/>
  <c r="Z2391" i="2"/>
  <c r="Y2391" i="2"/>
  <c r="X2391" i="2"/>
  <c r="W2391" i="2"/>
  <c r="V2391" i="2"/>
  <c r="AB2390" i="2"/>
  <c r="AA2390" i="2"/>
  <c r="Z2390" i="2"/>
  <c r="Y2390" i="2"/>
  <c r="X2390" i="2"/>
  <c r="W2390" i="2"/>
  <c r="V2390" i="2"/>
  <c r="AB2389" i="2"/>
  <c r="AA2389" i="2"/>
  <c r="Z2389" i="2"/>
  <c r="Y2389" i="2"/>
  <c r="X2389" i="2"/>
  <c r="W2389" i="2"/>
  <c r="V2389" i="2"/>
  <c r="AB2388" i="2"/>
  <c r="AA2388" i="2"/>
  <c r="Z2388" i="2"/>
  <c r="Y2388" i="2"/>
  <c r="X2388" i="2"/>
  <c r="W2388" i="2"/>
  <c r="V2388" i="2"/>
  <c r="AB2387" i="2"/>
  <c r="AA2387" i="2"/>
  <c r="Z2387" i="2"/>
  <c r="Y2387" i="2"/>
  <c r="X2387" i="2"/>
  <c r="W2387" i="2"/>
  <c r="V2387" i="2"/>
  <c r="AB2386" i="2"/>
  <c r="AA2386" i="2"/>
  <c r="Z2386" i="2"/>
  <c r="Y2386" i="2"/>
  <c r="X2386" i="2"/>
  <c r="W2386" i="2"/>
  <c r="V2386" i="2"/>
  <c r="AB2385" i="2"/>
  <c r="AA2385" i="2"/>
  <c r="Z2385" i="2"/>
  <c r="Y2385" i="2"/>
  <c r="X2385" i="2"/>
  <c r="W2385" i="2"/>
  <c r="V2385" i="2"/>
  <c r="AB2384" i="2"/>
  <c r="AA2384" i="2"/>
  <c r="Z2384" i="2"/>
  <c r="Y2384" i="2"/>
  <c r="X2384" i="2"/>
  <c r="W2384" i="2"/>
  <c r="V2384" i="2"/>
  <c r="AB2383" i="2"/>
  <c r="AA2383" i="2"/>
  <c r="Z2383" i="2"/>
  <c r="Y2383" i="2"/>
  <c r="X2383" i="2"/>
  <c r="W2383" i="2"/>
  <c r="V2383" i="2"/>
  <c r="AB2382" i="2"/>
  <c r="AA2382" i="2"/>
  <c r="Z2382" i="2"/>
  <c r="Y2382" i="2"/>
  <c r="X2382" i="2"/>
  <c r="W2382" i="2"/>
  <c r="V2382" i="2"/>
  <c r="AB2381" i="2"/>
  <c r="AA2381" i="2"/>
  <c r="Z2381" i="2"/>
  <c r="Y2381" i="2"/>
  <c r="X2381" i="2"/>
  <c r="W2381" i="2"/>
  <c r="V2381" i="2"/>
  <c r="AB2380" i="2"/>
  <c r="AA2380" i="2"/>
  <c r="Z2380" i="2"/>
  <c r="Y2380" i="2"/>
  <c r="X2380" i="2"/>
  <c r="W2380" i="2"/>
  <c r="V2380" i="2"/>
  <c r="AB2379" i="2"/>
  <c r="AA2379" i="2"/>
  <c r="Z2379" i="2"/>
  <c r="Y2379" i="2"/>
  <c r="X2379" i="2"/>
  <c r="W2379" i="2"/>
  <c r="V2379" i="2"/>
  <c r="AB2378" i="2"/>
  <c r="AA2378" i="2"/>
  <c r="Z2378" i="2"/>
  <c r="Y2378" i="2"/>
  <c r="X2378" i="2"/>
  <c r="W2378" i="2"/>
  <c r="V2378" i="2"/>
  <c r="AB2377" i="2"/>
  <c r="AA2377" i="2"/>
  <c r="Z2377" i="2"/>
  <c r="Y2377" i="2"/>
  <c r="X2377" i="2"/>
  <c r="W2377" i="2"/>
  <c r="V2377" i="2"/>
  <c r="AB2376" i="2"/>
  <c r="AA2376" i="2"/>
  <c r="Z2376" i="2"/>
  <c r="Y2376" i="2"/>
  <c r="X2376" i="2"/>
  <c r="W2376" i="2"/>
  <c r="V2376" i="2"/>
  <c r="AB2375" i="2"/>
  <c r="AA2375" i="2"/>
  <c r="Z2375" i="2"/>
  <c r="Y2375" i="2"/>
  <c r="X2375" i="2"/>
  <c r="W2375" i="2"/>
  <c r="V2375" i="2"/>
  <c r="AB2374" i="2"/>
  <c r="AA2374" i="2"/>
  <c r="Z2374" i="2"/>
  <c r="Y2374" i="2"/>
  <c r="X2374" i="2"/>
  <c r="W2374" i="2"/>
  <c r="V2374" i="2"/>
  <c r="AB2373" i="2"/>
  <c r="AA2373" i="2"/>
  <c r="Z2373" i="2"/>
  <c r="Y2373" i="2"/>
  <c r="X2373" i="2"/>
  <c r="W2373" i="2"/>
  <c r="V2373" i="2"/>
  <c r="AB2372" i="2"/>
  <c r="AA2372" i="2"/>
  <c r="Z2372" i="2"/>
  <c r="Y2372" i="2"/>
  <c r="X2372" i="2"/>
  <c r="W2372" i="2"/>
  <c r="V2372" i="2"/>
  <c r="AB2371" i="2"/>
  <c r="AA2371" i="2"/>
  <c r="Z2371" i="2"/>
  <c r="Y2371" i="2"/>
  <c r="X2371" i="2"/>
  <c r="W2371" i="2"/>
  <c r="V2371" i="2"/>
  <c r="AB2370" i="2"/>
  <c r="AA2370" i="2"/>
  <c r="Z2370" i="2"/>
  <c r="Y2370" i="2"/>
  <c r="X2370" i="2"/>
  <c r="W2370" i="2"/>
  <c r="V2370" i="2"/>
  <c r="AB2369" i="2"/>
  <c r="AA2369" i="2"/>
  <c r="Z2369" i="2"/>
  <c r="Y2369" i="2"/>
  <c r="X2369" i="2"/>
  <c r="W2369" i="2"/>
  <c r="V2369" i="2"/>
  <c r="AB2368" i="2"/>
  <c r="AA2368" i="2"/>
  <c r="Z2368" i="2"/>
  <c r="Y2368" i="2"/>
  <c r="X2368" i="2"/>
  <c r="W2368" i="2"/>
  <c r="V2368" i="2"/>
  <c r="AB2367" i="2"/>
  <c r="AA2367" i="2"/>
  <c r="Z2367" i="2"/>
  <c r="Y2367" i="2"/>
  <c r="X2367" i="2"/>
  <c r="W2367" i="2"/>
  <c r="V2367" i="2"/>
  <c r="AB2366" i="2"/>
  <c r="AA2366" i="2"/>
  <c r="Z2366" i="2"/>
  <c r="Y2366" i="2"/>
  <c r="X2366" i="2"/>
  <c r="W2366" i="2"/>
  <c r="V2366" i="2"/>
  <c r="AB2365" i="2"/>
  <c r="AA2365" i="2"/>
  <c r="Z2365" i="2"/>
  <c r="Y2365" i="2"/>
  <c r="X2365" i="2"/>
  <c r="W2365" i="2"/>
  <c r="V2365" i="2"/>
  <c r="AB2364" i="2"/>
  <c r="AA2364" i="2"/>
  <c r="Z2364" i="2"/>
  <c r="Y2364" i="2"/>
  <c r="X2364" i="2"/>
  <c r="W2364" i="2"/>
  <c r="V2364" i="2"/>
  <c r="AB2363" i="2"/>
  <c r="AA2363" i="2"/>
  <c r="Z2363" i="2"/>
  <c r="Y2363" i="2"/>
  <c r="X2363" i="2"/>
  <c r="W2363" i="2"/>
  <c r="V2363" i="2"/>
  <c r="AB2362" i="2"/>
  <c r="AA2362" i="2"/>
  <c r="Z2362" i="2"/>
  <c r="Y2362" i="2"/>
  <c r="X2362" i="2"/>
  <c r="W2362" i="2"/>
  <c r="V2362" i="2"/>
  <c r="AB2361" i="2"/>
  <c r="AA2361" i="2"/>
  <c r="Z2361" i="2"/>
  <c r="Y2361" i="2"/>
  <c r="X2361" i="2"/>
  <c r="W2361" i="2"/>
  <c r="V2361" i="2"/>
  <c r="AB2360" i="2"/>
  <c r="AA2360" i="2"/>
  <c r="Z2360" i="2"/>
  <c r="Y2360" i="2"/>
  <c r="X2360" i="2"/>
  <c r="W2360" i="2"/>
  <c r="V2360" i="2"/>
  <c r="AB2359" i="2"/>
  <c r="AA2359" i="2"/>
  <c r="Z2359" i="2"/>
  <c r="Y2359" i="2"/>
  <c r="X2359" i="2"/>
  <c r="W2359" i="2"/>
  <c r="V2359" i="2"/>
  <c r="AB2358" i="2"/>
  <c r="AA2358" i="2"/>
  <c r="Z2358" i="2"/>
  <c r="Y2358" i="2"/>
  <c r="X2358" i="2"/>
  <c r="W2358" i="2"/>
  <c r="V2358" i="2"/>
  <c r="AB2357" i="2"/>
  <c r="AA2357" i="2"/>
  <c r="Z2357" i="2"/>
  <c r="Y2357" i="2"/>
  <c r="X2357" i="2"/>
  <c r="W2357" i="2"/>
  <c r="V2357" i="2"/>
  <c r="AB2356" i="2"/>
  <c r="AA2356" i="2"/>
  <c r="Z2356" i="2"/>
  <c r="Y2356" i="2"/>
  <c r="X2356" i="2"/>
  <c r="W2356" i="2"/>
  <c r="V2356" i="2"/>
  <c r="AB2355" i="2"/>
  <c r="AA2355" i="2"/>
  <c r="Z2355" i="2"/>
  <c r="Y2355" i="2"/>
  <c r="X2355" i="2"/>
  <c r="W2355" i="2"/>
  <c r="V2355" i="2"/>
  <c r="AB2354" i="2"/>
  <c r="AA2354" i="2"/>
  <c r="Z2354" i="2"/>
  <c r="Y2354" i="2"/>
  <c r="X2354" i="2"/>
  <c r="W2354" i="2"/>
  <c r="V2354" i="2"/>
  <c r="AB2353" i="2"/>
  <c r="AA2353" i="2"/>
  <c r="Z2353" i="2"/>
  <c r="Y2353" i="2"/>
  <c r="X2353" i="2"/>
  <c r="W2353" i="2"/>
  <c r="V2353" i="2"/>
  <c r="AB2352" i="2"/>
  <c r="AA2352" i="2"/>
  <c r="Z2352" i="2"/>
  <c r="Y2352" i="2"/>
  <c r="X2352" i="2"/>
  <c r="W2352" i="2"/>
  <c r="V2352" i="2"/>
  <c r="AB2351" i="2"/>
  <c r="AA2351" i="2"/>
  <c r="Z2351" i="2"/>
  <c r="Y2351" i="2"/>
  <c r="X2351" i="2"/>
  <c r="W2351" i="2"/>
  <c r="V2351" i="2"/>
  <c r="AB2350" i="2"/>
  <c r="AA2350" i="2"/>
  <c r="Z2350" i="2"/>
  <c r="Y2350" i="2"/>
  <c r="X2350" i="2"/>
  <c r="W2350" i="2"/>
  <c r="V2350" i="2"/>
  <c r="AB2349" i="2"/>
  <c r="AA2349" i="2"/>
  <c r="Z2349" i="2"/>
  <c r="Y2349" i="2"/>
  <c r="X2349" i="2"/>
  <c r="W2349" i="2"/>
  <c r="V2349" i="2"/>
  <c r="AB2348" i="2"/>
  <c r="AA2348" i="2"/>
  <c r="Z2348" i="2"/>
  <c r="Y2348" i="2"/>
  <c r="X2348" i="2"/>
  <c r="W2348" i="2"/>
  <c r="V2348" i="2"/>
  <c r="AB2347" i="2"/>
  <c r="AA2347" i="2"/>
  <c r="Z2347" i="2"/>
  <c r="Y2347" i="2"/>
  <c r="X2347" i="2"/>
  <c r="W2347" i="2"/>
  <c r="V2347" i="2"/>
  <c r="AB2346" i="2"/>
  <c r="AA2346" i="2"/>
  <c r="Z2346" i="2"/>
  <c r="Y2346" i="2"/>
  <c r="X2346" i="2"/>
  <c r="W2346" i="2"/>
  <c r="V2346" i="2"/>
  <c r="AB2345" i="2"/>
  <c r="AA2345" i="2"/>
  <c r="Z2345" i="2"/>
  <c r="Y2345" i="2"/>
  <c r="X2345" i="2"/>
  <c r="W2345" i="2"/>
  <c r="V2345" i="2"/>
  <c r="AB2344" i="2"/>
  <c r="AA2344" i="2"/>
  <c r="Z2344" i="2"/>
  <c r="Y2344" i="2"/>
  <c r="X2344" i="2"/>
  <c r="W2344" i="2"/>
  <c r="V2344" i="2"/>
  <c r="AB2343" i="2"/>
  <c r="AA2343" i="2"/>
  <c r="Z2343" i="2"/>
  <c r="Y2343" i="2"/>
  <c r="X2343" i="2"/>
  <c r="W2343" i="2"/>
  <c r="V2343" i="2"/>
  <c r="AB2342" i="2"/>
  <c r="AA2342" i="2"/>
  <c r="Z2342" i="2"/>
  <c r="Y2342" i="2"/>
  <c r="X2342" i="2"/>
  <c r="W2342" i="2"/>
  <c r="V2342" i="2"/>
  <c r="AB2341" i="2"/>
  <c r="AA2341" i="2"/>
  <c r="Z2341" i="2"/>
  <c r="Y2341" i="2"/>
  <c r="X2341" i="2"/>
  <c r="W2341" i="2"/>
  <c r="V2341" i="2"/>
  <c r="AB2340" i="2"/>
  <c r="AA2340" i="2"/>
  <c r="Z2340" i="2"/>
  <c r="Y2340" i="2"/>
  <c r="X2340" i="2"/>
  <c r="W2340" i="2"/>
  <c r="V2340" i="2"/>
  <c r="AB2339" i="2"/>
  <c r="AA2339" i="2"/>
  <c r="Z2339" i="2"/>
  <c r="Y2339" i="2"/>
  <c r="X2339" i="2"/>
  <c r="W2339" i="2"/>
  <c r="V2339" i="2"/>
  <c r="AB2338" i="2"/>
  <c r="AA2338" i="2"/>
  <c r="Z2338" i="2"/>
  <c r="Y2338" i="2"/>
  <c r="X2338" i="2"/>
  <c r="W2338" i="2"/>
  <c r="V2338" i="2"/>
  <c r="AB2337" i="2"/>
  <c r="AA2337" i="2"/>
  <c r="Z2337" i="2"/>
  <c r="Y2337" i="2"/>
  <c r="X2337" i="2"/>
  <c r="W2337" i="2"/>
  <c r="V2337" i="2"/>
  <c r="AB2336" i="2"/>
  <c r="AA2336" i="2"/>
  <c r="Z2336" i="2"/>
  <c r="Y2336" i="2"/>
  <c r="X2336" i="2"/>
  <c r="W2336" i="2"/>
  <c r="V2336" i="2"/>
  <c r="AB2335" i="2"/>
  <c r="AA2335" i="2"/>
  <c r="Z2335" i="2"/>
  <c r="Y2335" i="2"/>
  <c r="X2335" i="2"/>
  <c r="W2335" i="2"/>
  <c r="V2335" i="2"/>
  <c r="AB2334" i="2"/>
  <c r="AA2334" i="2"/>
  <c r="Z2334" i="2"/>
  <c r="Y2334" i="2"/>
  <c r="X2334" i="2"/>
  <c r="W2334" i="2"/>
  <c r="V2334" i="2"/>
  <c r="AB2333" i="2"/>
  <c r="AA2333" i="2"/>
  <c r="Z2333" i="2"/>
  <c r="Y2333" i="2"/>
  <c r="X2333" i="2"/>
  <c r="W2333" i="2"/>
  <c r="V2333" i="2"/>
  <c r="AB2332" i="2"/>
  <c r="AA2332" i="2"/>
  <c r="Z2332" i="2"/>
  <c r="Y2332" i="2"/>
  <c r="X2332" i="2"/>
  <c r="W2332" i="2"/>
  <c r="V2332" i="2"/>
  <c r="AB2331" i="2"/>
  <c r="AA2331" i="2"/>
  <c r="Z2331" i="2"/>
  <c r="Y2331" i="2"/>
  <c r="X2331" i="2"/>
  <c r="W2331" i="2"/>
  <c r="V2331" i="2"/>
  <c r="AB2330" i="2"/>
  <c r="AA2330" i="2"/>
  <c r="Z2330" i="2"/>
  <c r="Y2330" i="2"/>
  <c r="X2330" i="2"/>
  <c r="W2330" i="2"/>
  <c r="V2330" i="2"/>
  <c r="AB2329" i="2"/>
  <c r="AA2329" i="2"/>
  <c r="Z2329" i="2"/>
  <c r="Y2329" i="2"/>
  <c r="X2329" i="2"/>
  <c r="W2329" i="2"/>
  <c r="V2329" i="2"/>
  <c r="AB2328" i="2"/>
  <c r="AA2328" i="2"/>
  <c r="Z2328" i="2"/>
  <c r="Y2328" i="2"/>
  <c r="X2328" i="2"/>
  <c r="W2328" i="2"/>
  <c r="V2328" i="2"/>
  <c r="AB2327" i="2"/>
  <c r="AA2327" i="2"/>
  <c r="Z2327" i="2"/>
  <c r="Y2327" i="2"/>
  <c r="X2327" i="2"/>
  <c r="W2327" i="2"/>
  <c r="V2327" i="2"/>
  <c r="AB2326" i="2"/>
  <c r="AA2326" i="2"/>
  <c r="Z2326" i="2"/>
  <c r="Y2326" i="2"/>
  <c r="X2326" i="2"/>
  <c r="W2326" i="2"/>
  <c r="V2326" i="2"/>
  <c r="AB2325" i="2"/>
  <c r="AA2325" i="2"/>
  <c r="Z2325" i="2"/>
  <c r="Y2325" i="2"/>
  <c r="X2325" i="2"/>
  <c r="W2325" i="2"/>
  <c r="V2325" i="2"/>
  <c r="AB2324" i="2"/>
  <c r="AA2324" i="2"/>
  <c r="Z2324" i="2"/>
  <c r="Y2324" i="2"/>
  <c r="X2324" i="2"/>
  <c r="W2324" i="2"/>
  <c r="V2324" i="2"/>
  <c r="AB2323" i="2"/>
  <c r="AA2323" i="2"/>
  <c r="Z2323" i="2"/>
  <c r="Y2323" i="2"/>
  <c r="X2323" i="2"/>
  <c r="W2323" i="2"/>
  <c r="V2323" i="2"/>
  <c r="AB2322" i="2"/>
  <c r="AA2322" i="2"/>
  <c r="Z2322" i="2"/>
  <c r="Y2322" i="2"/>
  <c r="X2322" i="2"/>
  <c r="W2322" i="2"/>
  <c r="V2322" i="2"/>
  <c r="AB2321" i="2"/>
  <c r="AA2321" i="2"/>
  <c r="Z2321" i="2"/>
  <c r="Y2321" i="2"/>
  <c r="X2321" i="2"/>
  <c r="W2321" i="2"/>
  <c r="V2321" i="2"/>
  <c r="AB2320" i="2"/>
  <c r="AA2320" i="2"/>
  <c r="Z2320" i="2"/>
  <c r="Y2320" i="2"/>
  <c r="X2320" i="2"/>
  <c r="W2320" i="2"/>
  <c r="V2320" i="2"/>
  <c r="AB2319" i="2"/>
  <c r="AA2319" i="2"/>
  <c r="Z2319" i="2"/>
  <c r="Y2319" i="2"/>
  <c r="X2319" i="2"/>
  <c r="W2319" i="2"/>
  <c r="V2319" i="2"/>
  <c r="AB2318" i="2"/>
  <c r="AA2318" i="2"/>
  <c r="Z2318" i="2"/>
  <c r="Y2318" i="2"/>
  <c r="X2318" i="2"/>
  <c r="W2318" i="2"/>
  <c r="V2318" i="2"/>
  <c r="AB2317" i="2"/>
  <c r="AA2317" i="2"/>
  <c r="Z2317" i="2"/>
  <c r="Y2317" i="2"/>
  <c r="X2317" i="2"/>
  <c r="W2317" i="2"/>
  <c r="V2317" i="2"/>
  <c r="AB2316" i="2"/>
  <c r="AA2316" i="2"/>
  <c r="Z2316" i="2"/>
  <c r="Y2316" i="2"/>
  <c r="X2316" i="2"/>
  <c r="W2316" i="2"/>
  <c r="V2316" i="2"/>
  <c r="AB2315" i="2"/>
  <c r="AA2315" i="2"/>
  <c r="Z2315" i="2"/>
  <c r="Y2315" i="2"/>
  <c r="X2315" i="2"/>
  <c r="W2315" i="2"/>
  <c r="V2315" i="2"/>
  <c r="AB2314" i="2"/>
  <c r="AA2314" i="2"/>
  <c r="Z2314" i="2"/>
  <c r="Y2314" i="2"/>
  <c r="X2314" i="2"/>
  <c r="W2314" i="2"/>
  <c r="V2314" i="2"/>
  <c r="AB2313" i="2"/>
  <c r="AA2313" i="2"/>
  <c r="Z2313" i="2"/>
  <c r="Y2313" i="2"/>
  <c r="X2313" i="2"/>
  <c r="W2313" i="2"/>
  <c r="V2313" i="2"/>
  <c r="AB2312" i="2"/>
  <c r="AA2312" i="2"/>
  <c r="Z2312" i="2"/>
  <c r="Y2312" i="2"/>
  <c r="X2312" i="2"/>
  <c r="W2312" i="2"/>
  <c r="V2312" i="2"/>
  <c r="AB2311" i="2"/>
  <c r="AA2311" i="2"/>
  <c r="Z2311" i="2"/>
  <c r="Y2311" i="2"/>
  <c r="X2311" i="2"/>
  <c r="W2311" i="2"/>
  <c r="V2311" i="2"/>
  <c r="AB2310" i="2"/>
  <c r="AA2310" i="2"/>
  <c r="Z2310" i="2"/>
  <c r="Y2310" i="2"/>
  <c r="X2310" i="2"/>
  <c r="W2310" i="2"/>
  <c r="V2310" i="2"/>
  <c r="AB2309" i="2"/>
  <c r="AA2309" i="2"/>
  <c r="Z2309" i="2"/>
  <c r="Y2309" i="2"/>
  <c r="X2309" i="2"/>
  <c r="W2309" i="2"/>
  <c r="V2309" i="2"/>
  <c r="AB2308" i="2"/>
  <c r="AA2308" i="2"/>
  <c r="Z2308" i="2"/>
  <c r="Y2308" i="2"/>
  <c r="X2308" i="2"/>
  <c r="W2308" i="2"/>
  <c r="V2308" i="2"/>
  <c r="AB2307" i="2"/>
  <c r="AA2307" i="2"/>
  <c r="Z2307" i="2"/>
  <c r="Y2307" i="2"/>
  <c r="X2307" i="2"/>
  <c r="W2307" i="2"/>
  <c r="V2307" i="2"/>
  <c r="AB2306" i="2"/>
  <c r="AA2306" i="2"/>
  <c r="Z2306" i="2"/>
  <c r="Y2306" i="2"/>
  <c r="X2306" i="2"/>
  <c r="W2306" i="2"/>
  <c r="V2306" i="2"/>
  <c r="AB2305" i="2"/>
  <c r="AA2305" i="2"/>
  <c r="Z2305" i="2"/>
  <c r="Y2305" i="2"/>
  <c r="X2305" i="2"/>
  <c r="W2305" i="2"/>
  <c r="V2305" i="2"/>
  <c r="AB2304" i="2"/>
  <c r="AA2304" i="2"/>
  <c r="Z2304" i="2"/>
  <c r="Y2304" i="2"/>
  <c r="X2304" i="2"/>
  <c r="W2304" i="2"/>
  <c r="V2304" i="2"/>
  <c r="AB2303" i="2"/>
  <c r="AA2303" i="2"/>
  <c r="Z2303" i="2"/>
  <c r="Y2303" i="2"/>
  <c r="X2303" i="2"/>
  <c r="W2303" i="2"/>
  <c r="V2303" i="2"/>
  <c r="AB2302" i="2"/>
  <c r="AA2302" i="2"/>
  <c r="Z2302" i="2"/>
  <c r="Y2302" i="2"/>
  <c r="X2302" i="2"/>
  <c r="W2302" i="2"/>
  <c r="V2302" i="2"/>
  <c r="AB2301" i="2"/>
  <c r="AA2301" i="2"/>
  <c r="Z2301" i="2"/>
  <c r="Y2301" i="2"/>
  <c r="X2301" i="2"/>
  <c r="W2301" i="2"/>
  <c r="V2301" i="2"/>
  <c r="AB2300" i="2"/>
  <c r="AA2300" i="2"/>
  <c r="Z2300" i="2"/>
  <c r="Y2300" i="2"/>
  <c r="X2300" i="2"/>
  <c r="W2300" i="2"/>
  <c r="V2300" i="2"/>
  <c r="AB2299" i="2"/>
  <c r="AA2299" i="2"/>
  <c r="Z2299" i="2"/>
  <c r="Y2299" i="2"/>
  <c r="X2299" i="2"/>
  <c r="W2299" i="2"/>
  <c r="V2299" i="2"/>
  <c r="AB2298" i="2"/>
  <c r="AA2298" i="2"/>
  <c r="Z2298" i="2"/>
  <c r="Y2298" i="2"/>
  <c r="X2298" i="2"/>
  <c r="W2298" i="2"/>
  <c r="V2298" i="2"/>
  <c r="AB2297" i="2"/>
  <c r="AA2297" i="2"/>
  <c r="Z2297" i="2"/>
  <c r="Y2297" i="2"/>
  <c r="X2297" i="2"/>
  <c r="W2297" i="2"/>
  <c r="V2297" i="2"/>
  <c r="AB2296" i="2"/>
  <c r="AA2296" i="2"/>
  <c r="Z2296" i="2"/>
  <c r="Y2296" i="2"/>
  <c r="X2296" i="2"/>
  <c r="W2296" i="2"/>
  <c r="V2296" i="2"/>
  <c r="AB2295" i="2"/>
  <c r="AA2295" i="2"/>
  <c r="Z2295" i="2"/>
  <c r="Y2295" i="2"/>
  <c r="X2295" i="2"/>
  <c r="W2295" i="2"/>
  <c r="V2295" i="2"/>
  <c r="AB2294" i="2"/>
  <c r="AA2294" i="2"/>
  <c r="Z2294" i="2"/>
  <c r="Y2294" i="2"/>
  <c r="X2294" i="2"/>
  <c r="W2294" i="2"/>
  <c r="V2294" i="2"/>
  <c r="AB2293" i="2"/>
  <c r="AA2293" i="2"/>
  <c r="Z2293" i="2"/>
  <c r="Y2293" i="2"/>
  <c r="X2293" i="2"/>
  <c r="W2293" i="2"/>
  <c r="V2293" i="2"/>
  <c r="AB2292" i="2"/>
  <c r="AA2292" i="2"/>
  <c r="Z2292" i="2"/>
  <c r="Y2292" i="2"/>
  <c r="X2292" i="2"/>
  <c r="W2292" i="2"/>
  <c r="V2292" i="2"/>
  <c r="AB2291" i="2"/>
  <c r="AA2291" i="2"/>
  <c r="Z2291" i="2"/>
  <c r="Y2291" i="2"/>
  <c r="X2291" i="2"/>
  <c r="W2291" i="2"/>
  <c r="V2291" i="2"/>
  <c r="AB2290" i="2"/>
  <c r="AA2290" i="2"/>
  <c r="Z2290" i="2"/>
  <c r="Y2290" i="2"/>
  <c r="X2290" i="2"/>
  <c r="W2290" i="2"/>
  <c r="V2290" i="2"/>
  <c r="AB2289" i="2"/>
  <c r="AA2289" i="2"/>
  <c r="Z2289" i="2"/>
  <c r="Y2289" i="2"/>
  <c r="X2289" i="2"/>
  <c r="W2289" i="2"/>
  <c r="V2289" i="2"/>
  <c r="AB2288" i="2"/>
  <c r="AA2288" i="2"/>
  <c r="Z2288" i="2"/>
  <c r="Y2288" i="2"/>
  <c r="X2288" i="2"/>
  <c r="W2288" i="2"/>
  <c r="V2288" i="2"/>
  <c r="AB2287" i="2"/>
  <c r="AA2287" i="2"/>
  <c r="Z2287" i="2"/>
  <c r="Y2287" i="2"/>
  <c r="X2287" i="2"/>
  <c r="W2287" i="2"/>
  <c r="V2287" i="2"/>
  <c r="AB2286" i="2"/>
  <c r="AA2286" i="2"/>
  <c r="Z2286" i="2"/>
  <c r="Y2286" i="2"/>
  <c r="X2286" i="2"/>
  <c r="W2286" i="2"/>
  <c r="V2286" i="2"/>
  <c r="AB2285" i="2"/>
  <c r="AA2285" i="2"/>
  <c r="Z2285" i="2"/>
  <c r="Y2285" i="2"/>
  <c r="X2285" i="2"/>
  <c r="W2285" i="2"/>
  <c r="V2285" i="2"/>
  <c r="AB2284" i="2"/>
  <c r="AA2284" i="2"/>
  <c r="Z2284" i="2"/>
  <c r="Y2284" i="2"/>
  <c r="X2284" i="2"/>
  <c r="W2284" i="2"/>
  <c r="V2284" i="2"/>
  <c r="AB2283" i="2"/>
  <c r="AA2283" i="2"/>
  <c r="Z2283" i="2"/>
  <c r="Y2283" i="2"/>
  <c r="X2283" i="2"/>
  <c r="W2283" i="2"/>
  <c r="V2283" i="2"/>
  <c r="AB2282" i="2"/>
  <c r="AA2282" i="2"/>
  <c r="Z2282" i="2"/>
  <c r="Y2282" i="2"/>
  <c r="X2282" i="2"/>
  <c r="W2282" i="2"/>
  <c r="V2282" i="2"/>
  <c r="AB2281" i="2"/>
  <c r="AA2281" i="2"/>
  <c r="Z2281" i="2"/>
  <c r="Y2281" i="2"/>
  <c r="X2281" i="2"/>
  <c r="W2281" i="2"/>
  <c r="V2281" i="2"/>
  <c r="AB2280" i="2"/>
  <c r="AA2280" i="2"/>
  <c r="Z2280" i="2"/>
  <c r="Y2280" i="2"/>
  <c r="X2280" i="2"/>
  <c r="W2280" i="2"/>
  <c r="V2280" i="2"/>
  <c r="AB2279" i="2"/>
  <c r="AA2279" i="2"/>
  <c r="Z2279" i="2"/>
  <c r="Y2279" i="2"/>
  <c r="X2279" i="2"/>
  <c r="W2279" i="2"/>
  <c r="V2279" i="2"/>
  <c r="AB2278" i="2"/>
  <c r="AA2278" i="2"/>
  <c r="Z2278" i="2"/>
  <c r="Y2278" i="2"/>
  <c r="X2278" i="2"/>
  <c r="W2278" i="2"/>
  <c r="V2278" i="2"/>
  <c r="AB2277" i="2"/>
  <c r="AA2277" i="2"/>
  <c r="Z2277" i="2"/>
  <c r="Y2277" i="2"/>
  <c r="X2277" i="2"/>
  <c r="W2277" i="2"/>
  <c r="V2277" i="2"/>
  <c r="AB2276" i="2"/>
  <c r="AA2276" i="2"/>
  <c r="Z2276" i="2"/>
  <c r="Y2276" i="2"/>
  <c r="X2276" i="2"/>
  <c r="W2276" i="2"/>
  <c r="V2276" i="2"/>
  <c r="AB2275" i="2"/>
  <c r="AA2275" i="2"/>
  <c r="Z2275" i="2"/>
  <c r="Y2275" i="2"/>
  <c r="X2275" i="2"/>
  <c r="W2275" i="2"/>
  <c r="V2275" i="2"/>
  <c r="AB2274" i="2"/>
  <c r="AA2274" i="2"/>
  <c r="Z2274" i="2"/>
  <c r="Y2274" i="2"/>
  <c r="X2274" i="2"/>
  <c r="W2274" i="2"/>
  <c r="V2274" i="2"/>
  <c r="AB2273" i="2"/>
  <c r="AA2273" i="2"/>
  <c r="Z2273" i="2"/>
  <c r="Y2273" i="2"/>
  <c r="X2273" i="2"/>
  <c r="W2273" i="2"/>
  <c r="V2273" i="2"/>
  <c r="AB2272" i="2"/>
  <c r="AA2272" i="2"/>
  <c r="Z2272" i="2"/>
  <c r="Y2272" i="2"/>
  <c r="X2272" i="2"/>
  <c r="W2272" i="2"/>
  <c r="V2272" i="2"/>
  <c r="AB2271" i="2"/>
  <c r="AA2271" i="2"/>
  <c r="Z2271" i="2"/>
  <c r="Y2271" i="2"/>
  <c r="X2271" i="2"/>
  <c r="W2271" i="2"/>
  <c r="V2271" i="2"/>
  <c r="AB2270" i="2"/>
  <c r="AA2270" i="2"/>
  <c r="Z2270" i="2"/>
  <c r="Y2270" i="2"/>
  <c r="X2270" i="2"/>
  <c r="W2270" i="2"/>
  <c r="V2270" i="2"/>
  <c r="AB2269" i="2"/>
  <c r="AA2269" i="2"/>
  <c r="Z2269" i="2"/>
  <c r="Y2269" i="2"/>
  <c r="X2269" i="2"/>
  <c r="W2269" i="2"/>
  <c r="V2269" i="2"/>
  <c r="AB2268" i="2"/>
  <c r="AA2268" i="2"/>
  <c r="Z2268" i="2"/>
  <c r="Y2268" i="2"/>
  <c r="X2268" i="2"/>
  <c r="W2268" i="2"/>
  <c r="V2268" i="2"/>
  <c r="AB2267" i="2"/>
  <c r="AA2267" i="2"/>
  <c r="Z2267" i="2"/>
  <c r="Y2267" i="2"/>
  <c r="X2267" i="2"/>
  <c r="W2267" i="2"/>
  <c r="V2267" i="2"/>
  <c r="AB2266" i="2"/>
  <c r="AA2266" i="2"/>
  <c r="Z2266" i="2"/>
  <c r="Y2266" i="2"/>
  <c r="X2266" i="2"/>
  <c r="W2266" i="2"/>
  <c r="V2266" i="2"/>
  <c r="AB2265" i="2"/>
  <c r="AA2265" i="2"/>
  <c r="Z2265" i="2"/>
  <c r="Y2265" i="2"/>
  <c r="X2265" i="2"/>
  <c r="W2265" i="2"/>
  <c r="V2265" i="2"/>
  <c r="AB2264" i="2"/>
  <c r="AA2264" i="2"/>
  <c r="Z2264" i="2"/>
  <c r="Y2264" i="2"/>
  <c r="X2264" i="2"/>
  <c r="W2264" i="2"/>
  <c r="V2264" i="2"/>
  <c r="AB2263" i="2"/>
  <c r="AA2263" i="2"/>
  <c r="Z2263" i="2"/>
  <c r="Y2263" i="2"/>
  <c r="X2263" i="2"/>
  <c r="W2263" i="2"/>
  <c r="V2263" i="2"/>
  <c r="AB2262" i="2"/>
  <c r="AA2262" i="2"/>
  <c r="Z2262" i="2"/>
  <c r="Y2262" i="2"/>
  <c r="X2262" i="2"/>
  <c r="W2262" i="2"/>
  <c r="V2262" i="2"/>
  <c r="AB2261" i="2"/>
  <c r="AA2261" i="2"/>
  <c r="Z2261" i="2"/>
  <c r="Y2261" i="2"/>
  <c r="X2261" i="2"/>
  <c r="W2261" i="2"/>
  <c r="V2261" i="2"/>
  <c r="AB2260" i="2"/>
  <c r="AA2260" i="2"/>
  <c r="Z2260" i="2"/>
  <c r="Y2260" i="2"/>
  <c r="X2260" i="2"/>
  <c r="W2260" i="2"/>
  <c r="V2260" i="2"/>
  <c r="AB2259" i="2"/>
  <c r="AA2259" i="2"/>
  <c r="Z2259" i="2"/>
  <c r="Y2259" i="2"/>
  <c r="X2259" i="2"/>
  <c r="W2259" i="2"/>
  <c r="V2259" i="2"/>
  <c r="AB2258" i="2"/>
  <c r="AA2258" i="2"/>
  <c r="Z2258" i="2"/>
  <c r="Y2258" i="2"/>
  <c r="X2258" i="2"/>
  <c r="W2258" i="2"/>
  <c r="V2258" i="2"/>
  <c r="AB2257" i="2"/>
  <c r="AA2257" i="2"/>
  <c r="Z2257" i="2"/>
  <c r="Y2257" i="2"/>
  <c r="X2257" i="2"/>
  <c r="W2257" i="2"/>
  <c r="V2257" i="2"/>
  <c r="AB2256" i="2"/>
  <c r="AA2256" i="2"/>
  <c r="Z2256" i="2"/>
  <c r="Y2256" i="2"/>
  <c r="X2256" i="2"/>
  <c r="W2256" i="2"/>
  <c r="V2256" i="2"/>
  <c r="AB2255" i="2"/>
  <c r="AA2255" i="2"/>
  <c r="Z2255" i="2"/>
  <c r="Y2255" i="2"/>
  <c r="X2255" i="2"/>
  <c r="W2255" i="2"/>
  <c r="V2255" i="2"/>
  <c r="AB2254" i="2"/>
  <c r="AA2254" i="2"/>
  <c r="Z2254" i="2"/>
  <c r="Y2254" i="2"/>
  <c r="X2254" i="2"/>
  <c r="W2254" i="2"/>
  <c r="V2254" i="2"/>
  <c r="AB2253" i="2"/>
  <c r="AA2253" i="2"/>
  <c r="Z2253" i="2"/>
  <c r="Y2253" i="2"/>
  <c r="X2253" i="2"/>
  <c r="W2253" i="2"/>
  <c r="V2253" i="2"/>
  <c r="AB2252" i="2"/>
  <c r="AA2252" i="2"/>
  <c r="Z2252" i="2"/>
  <c r="Y2252" i="2"/>
  <c r="X2252" i="2"/>
  <c r="W2252" i="2"/>
  <c r="V2252" i="2"/>
  <c r="AB2251" i="2"/>
  <c r="AA2251" i="2"/>
  <c r="Z2251" i="2"/>
  <c r="Y2251" i="2"/>
  <c r="X2251" i="2"/>
  <c r="W2251" i="2"/>
  <c r="V2251" i="2"/>
  <c r="AB2250" i="2"/>
  <c r="AA2250" i="2"/>
  <c r="Z2250" i="2"/>
  <c r="Y2250" i="2"/>
  <c r="X2250" i="2"/>
  <c r="W2250" i="2"/>
  <c r="V2250" i="2"/>
  <c r="AB2249" i="2"/>
  <c r="AA2249" i="2"/>
  <c r="Z2249" i="2"/>
  <c r="Y2249" i="2"/>
  <c r="X2249" i="2"/>
  <c r="W2249" i="2"/>
  <c r="V2249" i="2"/>
  <c r="AB2248" i="2"/>
  <c r="AA2248" i="2"/>
  <c r="Z2248" i="2"/>
  <c r="Y2248" i="2"/>
  <c r="X2248" i="2"/>
  <c r="W2248" i="2"/>
  <c r="V2248" i="2"/>
  <c r="AB2247" i="2"/>
  <c r="AA2247" i="2"/>
  <c r="Z2247" i="2"/>
  <c r="Y2247" i="2"/>
  <c r="X2247" i="2"/>
  <c r="W2247" i="2"/>
  <c r="V2247" i="2"/>
  <c r="AB2246" i="2"/>
  <c r="AA2246" i="2"/>
  <c r="Z2246" i="2"/>
  <c r="Y2246" i="2"/>
  <c r="X2246" i="2"/>
  <c r="W2246" i="2"/>
  <c r="V2246" i="2"/>
  <c r="AB2245" i="2"/>
  <c r="AA2245" i="2"/>
  <c r="Z2245" i="2"/>
  <c r="Y2245" i="2"/>
  <c r="X2245" i="2"/>
  <c r="W2245" i="2"/>
  <c r="V2245" i="2"/>
  <c r="AB2244" i="2"/>
  <c r="AA2244" i="2"/>
  <c r="Z2244" i="2"/>
  <c r="Y2244" i="2"/>
  <c r="X2244" i="2"/>
  <c r="W2244" i="2"/>
  <c r="V2244" i="2"/>
  <c r="AB2243" i="2"/>
  <c r="AA2243" i="2"/>
  <c r="Z2243" i="2"/>
  <c r="Y2243" i="2"/>
  <c r="X2243" i="2"/>
  <c r="W2243" i="2"/>
  <c r="V2243" i="2"/>
  <c r="AB2242" i="2"/>
  <c r="AA2242" i="2"/>
  <c r="Z2242" i="2"/>
  <c r="Y2242" i="2"/>
  <c r="X2242" i="2"/>
  <c r="W2242" i="2"/>
  <c r="V2242" i="2"/>
  <c r="AB2241" i="2"/>
  <c r="AA2241" i="2"/>
  <c r="Z2241" i="2"/>
  <c r="Y2241" i="2"/>
  <c r="X2241" i="2"/>
  <c r="W2241" i="2"/>
  <c r="V2241" i="2"/>
  <c r="AB2240" i="2"/>
  <c r="AA2240" i="2"/>
  <c r="Z2240" i="2"/>
  <c r="Y2240" i="2"/>
  <c r="X2240" i="2"/>
  <c r="W2240" i="2"/>
  <c r="V2240" i="2"/>
  <c r="AB2239" i="2"/>
  <c r="AA2239" i="2"/>
  <c r="Z2239" i="2"/>
  <c r="Y2239" i="2"/>
  <c r="X2239" i="2"/>
  <c r="W2239" i="2"/>
  <c r="V2239" i="2"/>
  <c r="AB2238" i="2"/>
  <c r="AA2238" i="2"/>
  <c r="Z2238" i="2"/>
  <c r="Y2238" i="2"/>
  <c r="X2238" i="2"/>
  <c r="W2238" i="2"/>
  <c r="V2238" i="2"/>
  <c r="AB2237" i="2"/>
  <c r="AA2237" i="2"/>
  <c r="Z2237" i="2"/>
  <c r="Y2237" i="2"/>
  <c r="X2237" i="2"/>
  <c r="W2237" i="2"/>
  <c r="V2237" i="2"/>
  <c r="AB2236" i="2"/>
  <c r="AA2236" i="2"/>
  <c r="Z2236" i="2"/>
  <c r="Y2236" i="2"/>
  <c r="X2236" i="2"/>
  <c r="W2236" i="2"/>
  <c r="V2236" i="2"/>
  <c r="AB2235" i="2"/>
  <c r="AA2235" i="2"/>
  <c r="Z2235" i="2"/>
  <c r="Y2235" i="2"/>
  <c r="X2235" i="2"/>
  <c r="W2235" i="2"/>
  <c r="V2235" i="2"/>
  <c r="AB2234" i="2"/>
  <c r="AA2234" i="2"/>
  <c r="Z2234" i="2"/>
  <c r="Y2234" i="2"/>
  <c r="X2234" i="2"/>
  <c r="W2234" i="2"/>
  <c r="V2234" i="2"/>
  <c r="AB2233" i="2"/>
  <c r="AA2233" i="2"/>
  <c r="Z2233" i="2"/>
  <c r="Y2233" i="2"/>
  <c r="X2233" i="2"/>
  <c r="W2233" i="2"/>
  <c r="V2233" i="2"/>
  <c r="AB2232" i="2"/>
  <c r="AA2232" i="2"/>
  <c r="Z2232" i="2"/>
  <c r="Y2232" i="2"/>
  <c r="X2232" i="2"/>
  <c r="W2232" i="2"/>
  <c r="V2232" i="2"/>
  <c r="AB2231" i="2"/>
  <c r="AA2231" i="2"/>
  <c r="Z2231" i="2"/>
  <c r="Y2231" i="2"/>
  <c r="X2231" i="2"/>
  <c r="W2231" i="2"/>
  <c r="V2231" i="2"/>
  <c r="AB2230" i="2"/>
  <c r="AA2230" i="2"/>
  <c r="Z2230" i="2"/>
  <c r="Y2230" i="2"/>
  <c r="X2230" i="2"/>
  <c r="W2230" i="2"/>
  <c r="V2230" i="2"/>
  <c r="AB2229" i="2"/>
  <c r="AA2229" i="2"/>
  <c r="Z2229" i="2"/>
  <c r="Y2229" i="2"/>
  <c r="X2229" i="2"/>
  <c r="W2229" i="2"/>
  <c r="V2229" i="2"/>
  <c r="AB2228" i="2"/>
  <c r="AA2228" i="2"/>
  <c r="Z2228" i="2"/>
  <c r="Y2228" i="2"/>
  <c r="X2228" i="2"/>
  <c r="W2228" i="2"/>
  <c r="V2228" i="2"/>
  <c r="AB2227" i="2"/>
  <c r="AA2227" i="2"/>
  <c r="Z2227" i="2"/>
  <c r="Y2227" i="2"/>
  <c r="X2227" i="2"/>
  <c r="W2227" i="2"/>
  <c r="V2227" i="2"/>
  <c r="AB2226" i="2"/>
  <c r="AA2226" i="2"/>
  <c r="Z2226" i="2"/>
  <c r="Y2226" i="2"/>
  <c r="X2226" i="2"/>
  <c r="W2226" i="2"/>
  <c r="V2226" i="2"/>
  <c r="AB2225" i="2"/>
  <c r="AA2225" i="2"/>
  <c r="Z2225" i="2"/>
  <c r="Y2225" i="2"/>
  <c r="X2225" i="2"/>
  <c r="W2225" i="2"/>
  <c r="V2225" i="2"/>
  <c r="AB2224" i="2"/>
  <c r="AA2224" i="2"/>
  <c r="Z2224" i="2"/>
  <c r="Y2224" i="2"/>
  <c r="X2224" i="2"/>
  <c r="W2224" i="2"/>
  <c r="V2224" i="2"/>
  <c r="AB2223" i="2"/>
  <c r="AA2223" i="2"/>
  <c r="Z2223" i="2"/>
  <c r="Y2223" i="2"/>
  <c r="X2223" i="2"/>
  <c r="W2223" i="2"/>
  <c r="V2223" i="2"/>
  <c r="AB2222" i="2"/>
  <c r="AA2222" i="2"/>
  <c r="Z2222" i="2"/>
  <c r="Y2222" i="2"/>
  <c r="X2222" i="2"/>
  <c r="W2222" i="2"/>
  <c r="V2222" i="2"/>
  <c r="AB2221" i="2"/>
  <c r="AA2221" i="2"/>
  <c r="Z2221" i="2"/>
  <c r="Y2221" i="2"/>
  <c r="X2221" i="2"/>
  <c r="W2221" i="2"/>
  <c r="V2221" i="2"/>
  <c r="AB2220" i="2"/>
  <c r="AA2220" i="2"/>
  <c r="Z2220" i="2"/>
  <c r="Y2220" i="2"/>
  <c r="X2220" i="2"/>
  <c r="W2220" i="2"/>
  <c r="V2220" i="2"/>
  <c r="AB2219" i="2"/>
  <c r="AA2219" i="2"/>
  <c r="Z2219" i="2"/>
  <c r="Y2219" i="2"/>
  <c r="X2219" i="2"/>
  <c r="W2219" i="2"/>
  <c r="V2219" i="2"/>
  <c r="AB2218" i="2"/>
  <c r="AA2218" i="2"/>
  <c r="Z2218" i="2"/>
  <c r="Y2218" i="2"/>
  <c r="X2218" i="2"/>
  <c r="W2218" i="2"/>
  <c r="V2218" i="2"/>
  <c r="AB2217" i="2"/>
  <c r="AA2217" i="2"/>
  <c r="Z2217" i="2"/>
  <c r="Y2217" i="2"/>
  <c r="X2217" i="2"/>
  <c r="W2217" i="2"/>
  <c r="V2217" i="2"/>
  <c r="AB2216" i="2"/>
  <c r="AA2216" i="2"/>
  <c r="Z2216" i="2"/>
  <c r="Y2216" i="2"/>
  <c r="X2216" i="2"/>
  <c r="W2216" i="2"/>
  <c r="V2216" i="2"/>
  <c r="AB2215" i="2"/>
  <c r="AA2215" i="2"/>
  <c r="Z2215" i="2"/>
  <c r="Y2215" i="2"/>
  <c r="X2215" i="2"/>
  <c r="W2215" i="2"/>
  <c r="V2215" i="2"/>
  <c r="AB2214" i="2"/>
  <c r="AA2214" i="2"/>
  <c r="Z2214" i="2"/>
  <c r="Y2214" i="2"/>
  <c r="X2214" i="2"/>
  <c r="W2214" i="2"/>
  <c r="V2214" i="2"/>
  <c r="AB2213" i="2"/>
  <c r="AA2213" i="2"/>
  <c r="Z2213" i="2"/>
  <c r="Y2213" i="2"/>
  <c r="X2213" i="2"/>
  <c r="W2213" i="2"/>
  <c r="V2213" i="2"/>
  <c r="AB2212" i="2"/>
  <c r="AA2212" i="2"/>
  <c r="Z2212" i="2"/>
  <c r="Y2212" i="2"/>
  <c r="X2212" i="2"/>
  <c r="W2212" i="2"/>
  <c r="V2212" i="2"/>
  <c r="AB2211" i="2"/>
  <c r="AA2211" i="2"/>
  <c r="Z2211" i="2"/>
  <c r="Y2211" i="2"/>
  <c r="X2211" i="2"/>
  <c r="W2211" i="2"/>
  <c r="V2211" i="2"/>
  <c r="AB2210" i="2"/>
  <c r="AA2210" i="2"/>
  <c r="Z2210" i="2"/>
  <c r="Y2210" i="2"/>
  <c r="X2210" i="2"/>
  <c r="W2210" i="2"/>
  <c r="V2210" i="2"/>
  <c r="AB2209" i="2"/>
  <c r="AA2209" i="2"/>
  <c r="Z2209" i="2"/>
  <c r="Y2209" i="2"/>
  <c r="X2209" i="2"/>
  <c r="W2209" i="2"/>
  <c r="V2209" i="2"/>
  <c r="AB2208" i="2"/>
  <c r="AA2208" i="2"/>
  <c r="Z2208" i="2"/>
  <c r="Y2208" i="2"/>
  <c r="X2208" i="2"/>
  <c r="W2208" i="2"/>
  <c r="V2208" i="2"/>
  <c r="AB2207" i="2"/>
  <c r="AA2207" i="2"/>
  <c r="Z2207" i="2"/>
  <c r="Y2207" i="2"/>
  <c r="X2207" i="2"/>
  <c r="W2207" i="2"/>
  <c r="V2207" i="2"/>
  <c r="AB2206" i="2"/>
  <c r="AA2206" i="2"/>
  <c r="Z2206" i="2"/>
  <c r="Y2206" i="2"/>
  <c r="X2206" i="2"/>
  <c r="W2206" i="2"/>
  <c r="V2206" i="2"/>
  <c r="AB2205" i="2"/>
  <c r="AA2205" i="2"/>
  <c r="Z2205" i="2"/>
  <c r="Y2205" i="2"/>
  <c r="X2205" i="2"/>
  <c r="W2205" i="2"/>
  <c r="V2205" i="2"/>
  <c r="AB2204" i="2"/>
  <c r="AA2204" i="2"/>
  <c r="Z2204" i="2"/>
  <c r="Y2204" i="2"/>
  <c r="X2204" i="2"/>
  <c r="W2204" i="2"/>
  <c r="V2204" i="2"/>
  <c r="AB2203" i="2"/>
  <c r="AA2203" i="2"/>
  <c r="Z2203" i="2"/>
  <c r="Y2203" i="2"/>
  <c r="X2203" i="2"/>
  <c r="W2203" i="2"/>
  <c r="V2203" i="2"/>
  <c r="AB2202" i="2"/>
  <c r="AA2202" i="2"/>
  <c r="Z2202" i="2"/>
  <c r="Y2202" i="2"/>
  <c r="X2202" i="2"/>
  <c r="W2202" i="2"/>
  <c r="V2202" i="2"/>
  <c r="AB2201" i="2"/>
  <c r="AA2201" i="2"/>
  <c r="Z2201" i="2"/>
  <c r="Y2201" i="2"/>
  <c r="X2201" i="2"/>
  <c r="W2201" i="2"/>
  <c r="V2201" i="2"/>
  <c r="AB2200" i="2"/>
  <c r="AA2200" i="2"/>
  <c r="Z2200" i="2"/>
  <c r="Y2200" i="2"/>
  <c r="X2200" i="2"/>
  <c r="W2200" i="2"/>
  <c r="V2200" i="2"/>
  <c r="AB2199" i="2"/>
  <c r="AA2199" i="2"/>
  <c r="Z2199" i="2"/>
  <c r="Y2199" i="2"/>
  <c r="X2199" i="2"/>
  <c r="W2199" i="2"/>
  <c r="V2199" i="2"/>
  <c r="AB2198" i="2"/>
  <c r="AA2198" i="2"/>
  <c r="Z2198" i="2"/>
  <c r="Y2198" i="2"/>
  <c r="X2198" i="2"/>
  <c r="W2198" i="2"/>
  <c r="V2198" i="2"/>
  <c r="AB2197" i="2"/>
  <c r="AA2197" i="2"/>
  <c r="Z2197" i="2"/>
  <c r="Y2197" i="2"/>
  <c r="X2197" i="2"/>
  <c r="W2197" i="2"/>
  <c r="V2197" i="2"/>
  <c r="AB2196" i="2"/>
  <c r="AA2196" i="2"/>
  <c r="Z2196" i="2"/>
  <c r="Y2196" i="2"/>
  <c r="X2196" i="2"/>
  <c r="W2196" i="2"/>
  <c r="V2196" i="2"/>
  <c r="AB2195" i="2"/>
  <c r="AA2195" i="2"/>
  <c r="Z2195" i="2"/>
  <c r="Y2195" i="2"/>
  <c r="X2195" i="2"/>
  <c r="W2195" i="2"/>
  <c r="V2195" i="2"/>
  <c r="AB2194" i="2"/>
  <c r="AA2194" i="2"/>
  <c r="Z2194" i="2"/>
  <c r="Y2194" i="2"/>
  <c r="X2194" i="2"/>
  <c r="W2194" i="2"/>
  <c r="V2194" i="2"/>
  <c r="AB2193" i="2"/>
  <c r="AA2193" i="2"/>
  <c r="Z2193" i="2"/>
  <c r="Y2193" i="2"/>
  <c r="X2193" i="2"/>
  <c r="W2193" i="2"/>
  <c r="V2193" i="2"/>
  <c r="AB2192" i="2"/>
  <c r="AA2192" i="2"/>
  <c r="Z2192" i="2"/>
  <c r="Y2192" i="2"/>
  <c r="X2192" i="2"/>
  <c r="W2192" i="2"/>
  <c r="V2192" i="2"/>
  <c r="AB2191" i="2"/>
  <c r="AA2191" i="2"/>
  <c r="Z2191" i="2"/>
  <c r="Y2191" i="2"/>
  <c r="X2191" i="2"/>
  <c r="W2191" i="2"/>
  <c r="V2191" i="2"/>
  <c r="AB2190" i="2"/>
  <c r="AA2190" i="2"/>
  <c r="Z2190" i="2"/>
  <c r="Y2190" i="2"/>
  <c r="X2190" i="2"/>
  <c r="W2190" i="2"/>
  <c r="V2190" i="2"/>
  <c r="AB2189" i="2"/>
  <c r="AA2189" i="2"/>
  <c r="Z2189" i="2"/>
  <c r="Y2189" i="2"/>
  <c r="X2189" i="2"/>
  <c r="W2189" i="2"/>
  <c r="V2189" i="2"/>
  <c r="AB2188" i="2"/>
  <c r="AA2188" i="2"/>
  <c r="Z2188" i="2"/>
  <c r="Y2188" i="2"/>
  <c r="X2188" i="2"/>
  <c r="W2188" i="2"/>
  <c r="V2188" i="2"/>
  <c r="AB2187" i="2"/>
  <c r="AA2187" i="2"/>
  <c r="Z2187" i="2"/>
  <c r="Y2187" i="2"/>
  <c r="X2187" i="2"/>
  <c r="W2187" i="2"/>
  <c r="V2187" i="2"/>
  <c r="AB2186" i="2"/>
  <c r="AA2186" i="2"/>
  <c r="Z2186" i="2"/>
  <c r="Y2186" i="2"/>
  <c r="X2186" i="2"/>
  <c r="W2186" i="2"/>
  <c r="V2186" i="2"/>
  <c r="AB2185" i="2"/>
  <c r="AA2185" i="2"/>
  <c r="Z2185" i="2"/>
  <c r="Y2185" i="2"/>
  <c r="X2185" i="2"/>
  <c r="W2185" i="2"/>
  <c r="V2185" i="2"/>
  <c r="AB2184" i="2"/>
  <c r="AA2184" i="2"/>
  <c r="Z2184" i="2"/>
  <c r="Y2184" i="2"/>
  <c r="X2184" i="2"/>
  <c r="W2184" i="2"/>
  <c r="V2184" i="2"/>
  <c r="AB2183" i="2"/>
  <c r="AA2183" i="2"/>
  <c r="Z2183" i="2"/>
  <c r="Y2183" i="2"/>
  <c r="X2183" i="2"/>
  <c r="W2183" i="2"/>
  <c r="V2183" i="2"/>
  <c r="AB2182" i="2"/>
  <c r="AA2182" i="2"/>
  <c r="Z2182" i="2"/>
  <c r="Y2182" i="2"/>
  <c r="X2182" i="2"/>
  <c r="W2182" i="2"/>
  <c r="V2182" i="2"/>
  <c r="AB2181" i="2"/>
  <c r="AA2181" i="2"/>
  <c r="Z2181" i="2"/>
  <c r="Y2181" i="2"/>
  <c r="X2181" i="2"/>
  <c r="W2181" i="2"/>
  <c r="V2181" i="2"/>
  <c r="AB2180" i="2"/>
  <c r="AA2180" i="2"/>
  <c r="Z2180" i="2"/>
  <c r="Y2180" i="2"/>
  <c r="X2180" i="2"/>
  <c r="W2180" i="2"/>
  <c r="V2180" i="2"/>
  <c r="AB2179" i="2"/>
  <c r="AA2179" i="2"/>
  <c r="Z2179" i="2"/>
  <c r="Y2179" i="2"/>
  <c r="X2179" i="2"/>
  <c r="W2179" i="2"/>
  <c r="V2179" i="2"/>
  <c r="AB2178" i="2"/>
  <c r="AA2178" i="2"/>
  <c r="Z2178" i="2"/>
  <c r="Y2178" i="2"/>
  <c r="X2178" i="2"/>
  <c r="W2178" i="2"/>
  <c r="V2178" i="2"/>
  <c r="AB2177" i="2"/>
  <c r="AA2177" i="2"/>
  <c r="Z2177" i="2"/>
  <c r="Y2177" i="2"/>
  <c r="X2177" i="2"/>
  <c r="W2177" i="2"/>
  <c r="V2177" i="2"/>
  <c r="AB2176" i="2"/>
  <c r="AA2176" i="2"/>
  <c r="Z2176" i="2"/>
  <c r="Y2176" i="2"/>
  <c r="X2176" i="2"/>
  <c r="W2176" i="2"/>
  <c r="V2176" i="2"/>
  <c r="AB2175" i="2"/>
  <c r="AA2175" i="2"/>
  <c r="Z2175" i="2"/>
  <c r="Y2175" i="2"/>
  <c r="X2175" i="2"/>
  <c r="W2175" i="2"/>
  <c r="V2175" i="2"/>
  <c r="AB2174" i="2"/>
  <c r="AA2174" i="2"/>
  <c r="Z2174" i="2"/>
  <c r="Y2174" i="2"/>
  <c r="X2174" i="2"/>
  <c r="W2174" i="2"/>
  <c r="V2174" i="2"/>
  <c r="AB2173" i="2"/>
  <c r="AA2173" i="2"/>
  <c r="Z2173" i="2"/>
  <c r="Y2173" i="2"/>
  <c r="X2173" i="2"/>
  <c r="W2173" i="2"/>
  <c r="V2173" i="2"/>
  <c r="AB2172" i="2"/>
  <c r="AA2172" i="2"/>
  <c r="Z2172" i="2"/>
  <c r="Y2172" i="2"/>
  <c r="X2172" i="2"/>
  <c r="W2172" i="2"/>
  <c r="V2172" i="2"/>
  <c r="AB2171" i="2"/>
  <c r="AA2171" i="2"/>
  <c r="Z2171" i="2"/>
  <c r="Y2171" i="2"/>
  <c r="X2171" i="2"/>
  <c r="W2171" i="2"/>
  <c r="V2171" i="2"/>
  <c r="AB2170" i="2"/>
  <c r="AA2170" i="2"/>
  <c r="Z2170" i="2"/>
  <c r="Y2170" i="2"/>
  <c r="X2170" i="2"/>
  <c r="W2170" i="2"/>
  <c r="V2170" i="2"/>
  <c r="AB2169" i="2"/>
  <c r="AA2169" i="2"/>
  <c r="Z2169" i="2"/>
  <c r="Y2169" i="2"/>
  <c r="X2169" i="2"/>
  <c r="W2169" i="2"/>
  <c r="V2169" i="2"/>
  <c r="AB2168" i="2"/>
  <c r="AA2168" i="2"/>
  <c r="Z2168" i="2"/>
  <c r="Y2168" i="2"/>
  <c r="X2168" i="2"/>
  <c r="W2168" i="2"/>
  <c r="V2168" i="2"/>
  <c r="AB2167" i="2"/>
  <c r="AA2167" i="2"/>
  <c r="Z2167" i="2"/>
  <c r="Y2167" i="2"/>
  <c r="X2167" i="2"/>
  <c r="W2167" i="2"/>
  <c r="V2167" i="2"/>
  <c r="AB2166" i="2"/>
  <c r="AA2166" i="2"/>
  <c r="Z2166" i="2"/>
  <c r="Y2166" i="2"/>
  <c r="X2166" i="2"/>
  <c r="W2166" i="2"/>
  <c r="V2166" i="2"/>
  <c r="AB2165" i="2"/>
  <c r="AA2165" i="2"/>
  <c r="Z2165" i="2"/>
  <c r="Y2165" i="2"/>
  <c r="X2165" i="2"/>
  <c r="W2165" i="2"/>
  <c r="V2165" i="2"/>
  <c r="AB2164" i="2"/>
  <c r="AA2164" i="2"/>
  <c r="Z2164" i="2"/>
  <c r="Y2164" i="2"/>
  <c r="X2164" i="2"/>
  <c r="W2164" i="2"/>
  <c r="V2164" i="2"/>
  <c r="AB2163" i="2"/>
  <c r="AA2163" i="2"/>
  <c r="Z2163" i="2"/>
  <c r="Y2163" i="2"/>
  <c r="X2163" i="2"/>
  <c r="W2163" i="2"/>
  <c r="V2163" i="2"/>
  <c r="AB2162" i="2"/>
  <c r="AA2162" i="2"/>
  <c r="Z2162" i="2"/>
  <c r="Y2162" i="2"/>
  <c r="X2162" i="2"/>
  <c r="W2162" i="2"/>
  <c r="V2162" i="2"/>
  <c r="AB2161" i="2"/>
  <c r="AA2161" i="2"/>
  <c r="Z2161" i="2"/>
  <c r="Y2161" i="2"/>
  <c r="X2161" i="2"/>
  <c r="W2161" i="2"/>
  <c r="V2161" i="2"/>
  <c r="AB2160" i="2"/>
  <c r="AA2160" i="2"/>
  <c r="Z2160" i="2"/>
  <c r="Y2160" i="2"/>
  <c r="X2160" i="2"/>
  <c r="W2160" i="2"/>
  <c r="V2160" i="2"/>
  <c r="AB2159" i="2"/>
  <c r="AA2159" i="2"/>
  <c r="Z2159" i="2"/>
  <c r="Y2159" i="2"/>
  <c r="X2159" i="2"/>
  <c r="W2159" i="2"/>
  <c r="V2159" i="2"/>
  <c r="AB2158" i="2"/>
  <c r="AA2158" i="2"/>
  <c r="Z2158" i="2"/>
  <c r="Y2158" i="2"/>
  <c r="X2158" i="2"/>
  <c r="W2158" i="2"/>
  <c r="V2158" i="2"/>
  <c r="AB2157" i="2"/>
  <c r="AA2157" i="2"/>
  <c r="Z2157" i="2"/>
  <c r="Y2157" i="2"/>
  <c r="X2157" i="2"/>
  <c r="W2157" i="2"/>
  <c r="V2157" i="2"/>
  <c r="AB2156" i="2"/>
  <c r="AA2156" i="2"/>
  <c r="Z2156" i="2"/>
  <c r="Y2156" i="2"/>
  <c r="X2156" i="2"/>
  <c r="W2156" i="2"/>
  <c r="V2156" i="2"/>
  <c r="AB2155" i="2"/>
  <c r="AA2155" i="2"/>
  <c r="Z2155" i="2"/>
  <c r="Y2155" i="2"/>
  <c r="X2155" i="2"/>
  <c r="W2155" i="2"/>
  <c r="V2155" i="2"/>
  <c r="AB2154" i="2"/>
  <c r="AA2154" i="2"/>
  <c r="Z2154" i="2"/>
  <c r="Y2154" i="2"/>
  <c r="X2154" i="2"/>
  <c r="W2154" i="2"/>
  <c r="V2154" i="2"/>
  <c r="AB2153" i="2"/>
  <c r="AA2153" i="2"/>
  <c r="Z2153" i="2"/>
  <c r="Y2153" i="2"/>
  <c r="X2153" i="2"/>
  <c r="W2153" i="2"/>
  <c r="V2153" i="2"/>
  <c r="AB2152" i="2"/>
  <c r="AA2152" i="2"/>
  <c r="Z2152" i="2"/>
  <c r="Y2152" i="2"/>
  <c r="X2152" i="2"/>
  <c r="W2152" i="2"/>
  <c r="V2152" i="2"/>
  <c r="AB2151" i="2"/>
  <c r="AA2151" i="2"/>
  <c r="Z2151" i="2"/>
  <c r="Y2151" i="2"/>
  <c r="X2151" i="2"/>
  <c r="W2151" i="2"/>
  <c r="V2151" i="2"/>
  <c r="AB2150" i="2"/>
  <c r="AA2150" i="2"/>
  <c r="Z2150" i="2"/>
  <c r="Y2150" i="2"/>
  <c r="X2150" i="2"/>
  <c r="W2150" i="2"/>
  <c r="V2150" i="2"/>
  <c r="AB2149" i="2"/>
  <c r="AA2149" i="2"/>
  <c r="Z2149" i="2"/>
  <c r="Y2149" i="2"/>
  <c r="X2149" i="2"/>
  <c r="W2149" i="2"/>
  <c r="V2149" i="2"/>
  <c r="AB2148" i="2"/>
  <c r="AA2148" i="2"/>
  <c r="Z2148" i="2"/>
  <c r="Y2148" i="2"/>
  <c r="X2148" i="2"/>
  <c r="W2148" i="2"/>
  <c r="V2148" i="2"/>
  <c r="AB2147" i="2"/>
  <c r="AA2147" i="2"/>
  <c r="Z2147" i="2"/>
  <c r="Y2147" i="2"/>
  <c r="X2147" i="2"/>
  <c r="W2147" i="2"/>
  <c r="V2147" i="2"/>
  <c r="AB2146" i="2"/>
  <c r="AA2146" i="2"/>
  <c r="Z2146" i="2"/>
  <c r="Y2146" i="2"/>
  <c r="X2146" i="2"/>
  <c r="W2146" i="2"/>
  <c r="V2146" i="2"/>
  <c r="AB2145" i="2"/>
  <c r="AA2145" i="2"/>
  <c r="Z2145" i="2"/>
  <c r="Y2145" i="2"/>
  <c r="X2145" i="2"/>
  <c r="W2145" i="2"/>
  <c r="V2145" i="2"/>
  <c r="AB2144" i="2"/>
  <c r="AA2144" i="2"/>
  <c r="Z2144" i="2"/>
  <c r="Y2144" i="2"/>
  <c r="X2144" i="2"/>
  <c r="W2144" i="2"/>
  <c r="V2144" i="2"/>
  <c r="AB2143" i="2"/>
  <c r="AA2143" i="2"/>
  <c r="Z2143" i="2"/>
  <c r="Y2143" i="2"/>
  <c r="X2143" i="2"/>
  <c r="W2143" i="2"/>
  <c r="V2143" i="2"/>
  <c r="AB2142" i="2"/>
  <c r="AA2142" i="2"/>
  <c r="Z2142" i="2"/>
  <c r="Y2142" i="2"/>
  <c r="X2142" i="2"/>
  <c r="W2142" i="2"/>
  <c r="V2142" i="2"/>
  <c r="AB2141" i="2"/>
  <c r="AA2141" i="2"/>
  <c r="Z2141" i="2"/>
  <c r="Y2141" i="2"/>
  <c r="X2141" i="2"/>
  <c r="W2141" i="2"/>
  <c r="V2141" i="2"/>
  <c r="AB2140" i="2"/>
  <c r="AA2140" i="2"/>
  <c r="Z2140" i="2"/>
  <c r="Y2140" i="2"/>
  <c r="X2140" i="2"/>
  <c r="W2140" i="2"/>
  <c r="V2140" i="2"/>
  <c r="AB2139" i="2"/>
  <c r="AA2139" i="2"/>
  <c r="Z2139" i="2"/>
  <c r="Y2139" i="2"/>
  <c r="X2139" i="2"/>
  <c r="W2139" i="2"/>
  <c r="V2139" i="2"/>
  <c r="AB2138" i="2"/>
  <c r="AA2138" i="2"/>
  <c r="Z2138" i="2"/>
  <c r="Y2138" i="2"/>
  <c r="X2138" i="2"/>
  <c r="W2138" i="2"/>
  <c r="V2138" i="2"/>
  <c r="AB2137" i="2"/>
  <c r="AA2137" i="2"/>
  <c r="Z2137" i="2"/>
  <c r="Y2137" i="2"/>
  <c r="X2137" i="2"/>
  <c r="W2137" i="2"/>
  <c r="V2137" i="2"/>
  <c r="AB2136" i="2"/>
  <c r="AA2136" i="2"/>
  <c r="Z2136" i="2"/>
  <c r="Y2136" i="2"/>
  <c r="X2136" i="2"/>
  <c r="W2136" i="2"/>
  <c r="V2136" i="2"/>
  <c r="AB2135" i="2"/>
  <c r="AA2135" i="2"/>
  <c r="Z2135" i="2"/>
  <c r="Y2135" i="2"/>
  <c r="X2135" i="2"/>
  <c r="W2135" i="2"/>
  <c r="V2135" i="2"/>
  <c r="AB2134" i="2"/>
  <c r="AA2134" i="2"/>
  <c r="Z2134" i="2"/>
  <c r="Y2134" i="2"/>
  <c r="X2134" i="2"/>
  <c r="W2134" i="2"/>
  <c r="V2134" i="2"/>
  <c r="AB2133" i="2"/>
  <c r="AA2133" i="2"/>
  <c r="Z2133" i="2"/>
  <c r="Y2133" i="2"/>
  <c r="X2133" i="2"/>
  <c r="W2133" i="2"/>
  <c r="V2133" i="2"/>
  <c r="AB2132" i="2"/>
  <c r="AA2132" i="2"/>
  <c r="Z2132" i="2"/>
  <c r="Y2132" i="2"/>
  <c r="X2132" i="2"/>
  <c r="W2132" i="2"/>
  <c r="V2132" i="2"/>
  <c r="AB2131" i="2"/>
  <c r="AA2131" i="2"/>
  <c r="Z2131" i="2"/>
  <c r="Y2131" i="2"/>
  <c r="X2131" i="2"/>
  <c r="W2131" i="2"/>
  <c r="V2131" i="2"/>
  <c r="AB2130" i="2"/>
  <c r="AA2130" i="2"/>
  <c r="Z2130" i="2"/>
  <c r="Y2130" i="2"/>
  <c r="X2130" i="2"/>
  <c r="W2130" i="2"/>
  <c r="V2130" i="2"/>
  <c r="AB2129" i="2"/>
  <c r="AA2129" i="2"/>
  <c r="Z2129" i="2"/>
  <c r="Y2129" i="2"/>
  <c r="X2129" i="2"/>
  <c r="W2129" i="2"/>
  <c r="V2129" i="2"/>
  <c r="AB2128" i="2"/>
  <c r="AA2128" i="2"/>
  <c r="Z2128" i="2"/>
  <c r="Y2128" i="2"/>
  <c r="X2128" i="2"/>
  <c r="W2128" i="2"/>
  <c r="V2128" i="2"/>
  <c r="AB2127" i="2"/>
  <c r="AA2127" i="2"/>
  <c r="Z2127" i="2"/>
  <c r="Y2127" i="2"/>
  <c r="X2127" i="2"/>
  <c r="W2127" i="2"/>
  <c r="V2127" i="2"/>
  <c r="AB2126" i="2"/>
  <c r="AA2126" i="2"/>
  <c r="Z2126" i="2"/>
  <c r="Y2126" i="2"/>
  <c r="X2126" i="2"/>
  <c r="W2126" i="2"/>
  <c r="V2126" i="2"/>
  <c r="AB2125" i="2"/>
  <c r="AA2125" i="2"/>
  <c r="Z2125" i="2"/>
  <c r="Y2125" i="2"/>
  <c r="X2125" i="2"/>
  <c r="W2125" i="2"/>
  <c r="V2125" i="2"/>
  <c r="AB2124" i="2"/>
  <c r="AA2124" i="2"/>
  <c r="Z2124" i="2"/>
  <c r="Y2124" i="2"/>
  <c r="X2124" i="2"/>
  <c r="W2124" i="2"/>
  <c r="V2124" i="2"/>
  <c r="AB2123" i="2"/>
  <c r="AA2123" i="2"/>
  <c r="Z2123" i="2"/>
  <c r="Y2123" i="2"/>
  <c r="X2123" i="2"/>
  <c r="W2123" i="2"/>
  <c r="V2123" i="2"/>
  <c r="AB2122" i="2"/>
  <c r="AA2122" i="2"/>
  <c r="Z2122" i="2"/>
  <c r="Y2122" i="2"/>
  <c r="X2122" i="2"/>
  <c r="W2122" i="2"/>
  <c r="V2122" i="2"/>
  <c r="AB2121" i="2"/>
  <c r="AA2121" i="2"/>
  <c r="Z2121" i="2"/>
  <c r="Y2121" i="2"/>
  <c r="X2121" i="2"/>
  <c r="W2121" i="2"/>
  <c r="V2121" i="2"/>
  <c r="AB2120" i="2"/>
  <c r="AA2120" i="2"/>
  <c r="Z2120" i="2"/>
  <c r="Y2120" i="2"/>
  <c r="X2120" i="2"/>
  <c r="W2120" i="2"/>
  <c r="V2120" i="2"/>
  <c r="AB2119" i="2"/>
  <c r="AA2119" i="2"/>
  <c r="Z2119" i="2"/>
  <c r="Y2119" i="2"/>
  <c r="X2119" i="2"/>
  <c r="W2119" i="2"/>
  <c r="V2119" i="2"/>
  <c r="AB2118" i="2"/>
  <c r="AA2118" i="2"/>
  <c r="Z2118" i="2"/>
  <c r="Y2118" i="2"/>
  <c r="X2118" i="2"/>
  <c r="W2118" i="2"/>
  <c r="V2118" i="2"/>
  <c r="AB2117" i="2"/>
  <c r="AA2117" i="2"/>
  <c r="Z2117" i="2"/>
  <c r="Y2117" i="2"/>
  <c r="X2117" i="2"/>
  <c r="W2117" i="2"/>
  <c r="V2117" i="2"/>
  <c r="AB2116" i="2"/>
  <c r="AA2116" i="2"/>
  <c r="Z2116" i="2"/>
  <c r="Y2116" i="2"/>
  <c r="X2116" i="2"/>
  <c r="W2116" i="2"/>
  <c r="V2116" i="2"/>
  <c r="AB2115" i="2"/>
  <c r="AA2115" i="2"/>
  <c r="Z2115" i="2"/>
  <c r="Y2115" i="2"/>
  <c r="X2115" i="2"/>
  <c r="W2115" i="2"/>
  <c r="V2115" i="2"/>
  <c r="AB2114" i="2"/>
  <c r="AA2114" i="2"/>
  <c r="Z2114" i="2"/>
  <c r="Y2114" i="2"/>
  <c r="X2114" i="2"/>
  <c r="W2114" i="2"/>
  <c r="V2114" i="2"/>
  <c r="AB2113" i="2"/>
  <c r="AA2113" i="2"/>
  <c r="Z2113" i="2"/>
  <c r="Y2113" i="2"/>
  <c r="X2113" i="2"/>
  <c r="W2113" i="2"/>
  <c r="V2113" i="2"/>
  <c r="AB2112" i="2"/>
  <c r="AA2112" i="2"/>
  <c r="Z2112" i="2"/>
  <c r="Y2112" i="2"/>
  <c r="X2112" i="2"/>
  <c r="W2112" i="2"/>
  <c r="V2112" i="2"/>
  <c r="AB2111" i="2"/>
  <c r="AA2111" i="2"/>
  <c r="Z2111" i="2"/>
  <c r="Y2111" i="2"/>
  <c r="X2111" i="2"/>
  <c r="W2111" i="2"/>
  <c r="V2111" i="2"/>
  <c r="AB2110" i="2"/>
  <c r="AA2110" i="2"/>
  <c r="Z2110" i="2"/>
  <c r="Y2110" i="2"/>
  <c r="X2110" i="2"/>
  <c r="W2110" i="2"/>
  <c r="V2110" i="2"/>
  <c r="AB2109" i="2"/>
  <c r="AA2109" i="2"/>
  <c r="Z2109" i="2"/>
  <c r="Y2109" i="2"/>
  <c r="X2109" i="2"/>
  <c r="W2109" i="2"/>
  <c r="V2109" i="2"/>
  <c r="AB2108" i="2"/>
  <c r="AA2108" i="2"/>
  <c r="Z2108" i="2"/>
  <c r="Y2108" i="2"/>
  <c r="X2108" i="2"/>
  <c r="W2108" i="2"/>
  <c r="V2108" i="2"/>
  <c r="AB2107" i="2"/>
  <c r="AA2107" i="2"/>
  <c r="Z2107" i="2"/>
  <c r="Y2107" i="2"/>
  <c r="X2107" i="2"/>
  <c r="W2107" i="2"/>
  <c r="V2107" i="2"/>
  <c r="AB2106" i="2"/>
  <c r="AA2106" i="2"/>
  <c r="Z2106" i="2"/>
  <c r="Y2106" i="2"/>
  <c r="X2106" i="2"/>
  <c r="W2106" i="2"/>
  <c r="V2106" i="2"/>
  <c r="AB2105" i="2"/>
  <c r="AA2105" i="2"/>
  <c r="Z2105" i="2"/>
  <c r="Y2105" i="2"/>
  <c r="X2105" i="2"/>
  <c r="W2105" i="2"/>
  <c r="V2105" i="2"/>
  <c r="AB2104" i="2"/>
  <c r="AA2104" i="2"/>
  <c r="Z2104" i="2"/>
  <c r="Y2104" i="2"/>
  <c r="X2104" i="2"/>
  <c r="W2104" i="2"/>
  <c r="V2104" i="2"/>
  <c r="AB2103" i="2"/>
  <c r="AA2103" i="2"/>
  <c r="Z2103" i="2"/>
  <c r="Y2103" i="2"/>
  <c r="X2103" i="2"/>
  <c r="W2103" i="2"/>
  <c r="V2103" i="2"/>
  <c r="AB2102" i="2"/>
  <c r="AA2102" i="2"/>
  <c r="Z2102" i="2"/>
  <c r="Y2102" i="2"/>
  <c r="X2102" i="2"/>
  <c r="W2102" i="2"/>
  <c r="V2102" i="2"/>
  <c r="AB2101" i="2"/>
  <c r="AA2101" i="2"/>
  <c r="Z2101" i="2"/>
  <c r="Y2101" i="2"/>
  <c r="X2101" i="2"/>
  <c r="W2101" i="2"/>
  <c r="V2101" i="2"/>
  <c r="AB2100" i="2"/>
  <c r="AA2100" i="2"/>
  <c r="Z2100" i="2"/>
  <c r="Y2100" i="2"/>
  <c r="X2100" i="2"/>
  <c r="W2100" i="2"/>
  <c r="V2100" i="2"/>
  <c r="AB2099" i="2"/>
  <c r="AA2099" i="2"/>
  <c r="Z2099" i="2"/>
  <c r="Y2099" i="2"/>
  <c r="X2099" i="2"/>
  <c r="W2099" i="2"/>
  <c r="V2099" i="2"/>
  <c r="AB2098" i="2"/>
  <c r="AA2098" i="2"/>
  <c r="Z2098" i="2"/>
  <c r="Y2098" i="2"/>
  <c r="X2098" i="2"/>
  <c r="W2098" i="2"/>
  <c r="V2098" i="2"/>
  <c r="AB2097" i="2"/>
  <c r="AA2097" i="2"/>
  <c r="Z2097" i="2"/>
  <c r="Y2097" i="2"/>
  <c r="X2097" i="2"/>
  <c r="W2097" i="2"/>
  <c r="V2097" i="2"/>
  <c r="AB2096" i="2"/>
  <c r="AA2096" i="2"/>
  <c r="Z2096" i="2"/>
  <c r="Y2096" i="2"/>
  <c r="X2096" i="2"/>
  <c r="W2096" i="2"/>
  <c r="V2096" i="2"/>
  <c r="AB2095" i="2"/>
  <c r="AA2095" i="2"/>
  <c r="Z2095" i="2"/>
  <c r="Y2095" i="2"/>
  <c r="X2095" i="2"/>
  <c r="W2095" i="2"/>
  <c r="V2095" i="2"/>
  <c r="AB2094" i="2"/>
  <c r="AA2094" i="2"/>
  <c r="Z2094" i="2"/>
  <c r="Y2094" i="2"/>
  <c r="X2094" i="2"/>
  <c r="W2094" i="2"/>
  <c r="V2094" i="2"/>
  <c r="AB2093" i="2"/>
  <c r="AA2093" i="2"/>
  <c r="Z2093" i="2"/>
  <c r="Y2093" i="2"/>
  <c r="X2093" i="2"/>
  <c r="W2093" i="2"/>
  <c r="V2093" i="2"/>
  <c r="AB2092" i="2"/>
  <c r="AA2092" i="2"/>
  <c r="Z2092" i="2"/>
  <c r="Y2092" i="2"/>
  <c r="X2092" i="2"/>
  <c r="W2092" i="2"/>
  <c r="V2092" i="2"/>
  <c r="AB2091" i="2"/>
  <c r="AA2091" i="2"/>
  <c r="Z2091" i="2"/>
  <c r="Y2091" i="2"/>
  <c r="X2091" i="2"/>
  <c r="W2091" i="2"/>
  <c r="V2091" i="2"/>
  <c r="AB2090" i="2"/>
  <c r="AA2090" i="2"/>
  <c r="Z2090" i="2"/>
  <c r="Y2090" i="2"/>
  <c r="X2090" i="2"/>
  <c r="W2090" i="2"/>
  <c r="V2090" i="2"/>
  <c r="AB2089" i="2"/>
  <c r="AA2089" i="2"/>
  <c r="Z2089" i="2"/>
  <c r="Y2089" i="2"/>
  <c r="X2089" i="2"/>
  <c r="W2089" i="2"/>
  <c r="V2089" i="2"/>
  <c r="AB2088" i="2"/>
  <c r="AA2088" i="2"/>
  <c r="Z2088" i="2"/>
  <c r="Y2088" i="2"/>
  <c r="X2088" i="2"/>
  <c r="W2088" i="2"/>
  <c r="V2088" i="2"/>
  <c r="AB2087" i="2"/>
  <c r="AA2087" i="2"/>
  <c r="Z2087" i="2"/>
  <c r="Y2087" i="2"/>
  <c r="X2087" i="2"/>
  <c r="W2087" i="2"/>
  <c r="V2087" i="2"/>
  <c r="AB2086" i="2"/>
  <c r="AA2086" i="2"/>
  <c r="Z2086" i="2"/>
  <c r="Y2086" i="2"/>
  <c r="X2086" i="2"/>
  <c r="W2086" i="2"/>
  <c r="V2086" i="2"/>
  <c r="AB2085" i="2"/>
  <c r="AA2085" i="2"/>
  <c r="Z2085" i="2"/>
  <c r="Y2085" i="2"/>
  <c r="X2085" i="2"/>
  <c r="W2085" i="2"/>
  <c r="V2085" i="2"/>
  <c r="AB2084" i="2"/>
  <c r="AA2084" i="2"/>
  <c r="Z2084" i="2"/>
  <c r="Y2084" i="2"/>
  <c r="X2084" i="2"/>
  <c r="W2084" i="2"/>
  <c r="V2084" i="2"/>
  <c r="AB2083" i="2"/>
  <c r="AA2083" i="2"/>
  <c r="Z2083" i="2"/>
  <c r="Y2083" i="2"/>
  <c r="X2083" i="2"/>
  <c r="W2083" i="2"/>
  <c r="V2083" i="2"/>
  <c r="AB2082" i="2"/>
  <c r="AA2082" i="2"/>
  <c r="Z2082" i="2"/>
  <c r="Y2082" i="2"/>
  <c r="X2082" i="2"/>
  <c r="W2082" i="2"/>
  <c r="V2082" i="2"/>
  <c r="AB2081" i="2"/>
  <c r="AA2081" i="2"/>
  <c r="Z2081" i="2"/>
  <c r="Y2081" i="2"/>
  <c r="X2081" i="2"/>
  <c r="W2081" i="2"/>
  <c r="V2081" i="2"/>
  <c r="AB2080" i="2"/>
  <c r="AA2080" i="2"/>
  <c r="Z2080" i="2"/>
  <c r="Y2080" i="2"/>
  <c r="X2080" i="2"/>
  <c r="W2080" i="2"/>
  <c r="V2080" i="2"/>
  <c r="AB2079" i="2"/>
  <c r="AA2079" i="2"/>
  <c r="Z2079" i="2"/>
  <c r="Y2079" i="2"/>
  <c r="X2079" i="2"/>
  <c r="W2079" i="2"/>
  <c r="V2079" i="2"/>
  <c r="AB2078" i="2"/>
  <c r="AA2078" i="2"/>
  <c r="Z2078" i="2"/>
  <c r="Y2078" i="2"/>
  <c r="X2078" i="2"/>
  <c r="W2078" i="2"/>
  <c r="V2078" i="2"/>
  <c r="AB2077" i="2"/>
  <c r="AA2077" i="2"/>
  <c r="Z2077" i="2"/>
  <c r="Y2077" i="2"/>
  <c r="X2077" i="2"/>
  <c r="W2077" i="2"/>
  <c r="V2077" i="2"/>
  <c r="AB2076" i="2"/>
  <c r="AA2076" i="2"/>
  <c r="Z2076" i="2"/>
  <c r="Y2076" i="2"/>
  <c r="X2076" i="2"/>
  <c r="W2076" i="2"/>
  <c r="V2076" i="2"/>
  <c r="AB2075" i="2"/>
  <c r="AA2075" i="2"/>
  <c r="Z2075" i="2"/>
  <c r="Y2075" i="2"/>
  <c r="X2075" i="2"/>
  <c r="W2075" i="2"/>
  <c r="V2075" i="2"/>
  <c r="AB2074" i="2"/>
  <c r="AA2074" i="2"/>
  <c r="Z2074" i="2"/>
  <c r="Y2074" i="2"/>
  <c r="X2074" i="2"/>
  <c r="W2074" i="2"/>
  <c r="V2074" i="2"/>
  <c r="AB2073" i="2"/>
  <c r="AA2073" i="2"/>
  <c r="Z2073" i="2"/>
  <c r="Y2073" i="2"/>
  <c r="X2073" i="2"/>
  <c r="W2073" i="2"/>
  <c r="V2073" i="2"/>
  <c r="AB2072" i="2"/>
  <c r="AA2072" i="2"/>
  <c r="Z2072" i="2"/>
  <c r="Y2072" i="2"/>
  <c r="X2072" i="2"/>
  <c r="W2072" i="2"/>
  <c r="V2072" i="2"/>
  <c r="AB2071" i="2"/>
  <c r="AA2071" i="2"/>
  <c r="Z2071" i="2"/>
  <c r="Y2071" i="2"/>
  <c r="X2071" i="2"/>
  <c r="W2071" i="2"/>
  <c r="V2071" i="2"/>
  <c r="AB2070" i="2"/>
  <c r="AA2070" i="2"/>
  <c r="Z2070" i="2"/>
  <c r="Y2070" i="2"/>
  <c r="X2070" i="2"/>
  <c r="W2070" i="2"/>
  <c r="V2070" i="2"/>
  <c r="AB2069" i="2"/>
  <c r="AA2069" i="2"/>
  <c r="Z2069" i="2"/>
  <c r="Y2069" i="2"/>
  <c r="X2069" i="2"/>
  <c r="W2069" i="2"/>
  <c r="V2069" i="2"/>
  <c r="AB2068" i="2"/>
  <c r="AA2068" i="2"/>
  <c r="Z2068" i="2"/>
  <c r="Y2068" i="2"/>
  <c r="X2068" i="2"/>
  <c r="W2068" i="2"/>
  <c r="V2068" i="2"/>
  <c r="AB2067" i="2"/>
  <c r="AA2067" i="2"/>
  <c r="Z2067" i="2"/>
  <c r="Y2067" i="2"/>
  <c r="X2067" i="2"/>
  <c r="W2067" i="2"/>
  <c r="V2067" i="2"/>
  <c r="AB2066" i="2"/>
  <c r="AA2066" i="2"/>
  <c r="Z2066" i="2"/>
  <c r="Y2066" i="2"/>
  <c r="X2066" i="2"/>
  <c r="W2066" i="2"/>
  <c r="V2066" i="2"/>
  <c r="AB2065" i="2"/>
  <c r="AA2065" i="2"/>
  <c r="Z2065" i="2"/>
  <c r="Y2065" i="2"/>
  <c r="X2065" i="2"/>
  <c r="W2065" i="2"/>
  <c r="V2065" i="2"/>
  <c r="AB2064" i="2"/>
  <c r="AA2064" i="2"/>
  <c r="Z2064" i="2"/>
  <c r="Y2064" i="2"/>
  <c r="X2064" i="2"/>
  <c r="W2064" i="2"/>
  <c r="V2064" i="2"/>
  <c r="AB2063" i="2"/>
  <c r="AA2063" i="2"/>
  <c r="Z2063" i="2"/>
  <c r="Y2063" i="2"/>
  <c r="X2063" i="2"/>
  <c r="W2063" i="2"/>
  <c r="V2063" i="2"/>
  <c r="AB2062" i="2"/>
  <c r="AA2062" i="2"/>
  <c r="Z2062" i="2"/>
  <c r="Y2062" i="2"/>
  <c r="X2062" i="2"/>
  <c r="W2062" i="2"/>
  <c r="V2062" i="2"/>
  <c r="AB2061" i="2"/>
  <c r="AA2061" i="2"/>
  <c r="Z2061" i="2"/>
  <c r="Y2061" i="2"/>
  <c r="X2061" i="2"/>
  <c r="W2061" i="2"/>
  <c r="V2061" i="2"/>
  <c r="AB2060" i="2"/>
  <c r="AA2060" i="2"/>
  <c r="Z2060" i="2"/>
  <c r="Y2060" i="2"/>
  <c r="X2060" i="2"/>
  <c r="W2060" i="2"/>
  <c r="V2060" i="2"/>
  <c r="AB2059" i="2"/>
  <c r="AA2059" i="2"/>
  <c r="Z2059" i="2"/>
  <c r="Y2059" i="2"/>
  <c r="X2059" i="2"/>
  <c r="W2059" i="2"/>
  <c r="V2059" i="2"/>
  <c r="AB2058" i="2"/>
  <c r="AA2058" i="2"/>
  <c r="Z2058" i="2"/>
  <c r="Y2058" i="2"/>
  <c r="X2058" i="2"/>
  <c r="W2058" i="2"/>
  <c r="V2058" i="2"/>
  <c r="AB2057" i="2"/>
  <c r="AA2057" i="2"/>
  <c r="Z2057" i="2"/>
  <c r="Y2057" i="2"/>
  <c r="X2057" i="2"/>
  <c r="W2057" i="2"/>
  <c r="V2057" i="2"/>
  <c r="AB2056" i="2"/>
  <c r="AA2056" i="2"/>
  <c r="Z2056" i="2"/>
  <c r="Y2056" i="2"/>
  <c r="X2056" i="2"/>
  <c r="W2056" i="2"/>
  <c r="V2056" i="2"/>
  <c r="AB2055" i="2"/>
  <c r="AA2055" i="2"/>
  <c r="Z2055" i="2"/>
  <c r="Y2055" i="2"/>
  <c r="X2055" i="2"/>
  <c r="W2055" i="2"/>
  <c r="V2055" i="2"/>
  <c r="AB2054" i="2"/>
  <c r="AA2054" i="2"/>
  <c r="Z2054" i="2"/>
  <c r="Y2054" i="2"/>
  <c r="X2054" i="2"/>
  <c r="W2054" i="2"/>
  <c r="V2054" i="2"/>
  <c r="AB2053" i="2"/>
  <c r="AA2053" i="2"/>
  <c r="Z2053" i="2"/>
  <c r="Y2053" i="2"/>
  <c r="X2053" i="2"/>
  <c r="W2053" i="2"/>
  <c r="V2053" i="2"/>
  <c r="AB2052" i="2"/>
  <c r="AA2052" i="2"/>
  <c r="Z2052" i="2"/>
  <c r="Y2052" i="2"/>
  <c r="X2052" i="2"/>
  <c r="W2052" i="2"/>
  <c r="V2052" i="2"/>
  <c r="AB2051" i="2"/>
  <c r="AA2051" i="2"/>
  <c r="Z2051" i="2"/>
  <c r="Y2051" i="2"/>
  <c r="X2051" i="2"/>
  <c r="W2051" i="2"/>
  <c r="V2051" i="2"/>
  <c r="AB2050" i="2"/>
  <c r="AA2050" i="2"/>
  <c r="Z2050" i="2"/>
  <c r="Y2050" i="2"/>
  <c r="X2050" i="2"/>
  <c r="W2050" i="2"/>
  <c r="V2050" i="2"/>
  <c r="AB2049" i="2"/>
  <c r="AA2049" i="2"/>
  <c r="Z2049" i="2"/>
  <c r="Y2049" i="2"/>
  <c r="X2049" i="2"/>
  <c r="W2049" i="2"/>
  <c r="V2049" i="2"/>
  <c r="AB2048" i="2"/>
  <c r="AA2048" i="2"/>
  <c r="Z2048" i="2"/>
  <c r="Y2048" i="2"/>
  <c r="X2048" i="2"/>
  <c r="W2048" i="2"/>
  <c r="V2048" i="2"/>
  <c r="AB2047" i="2"/>
  <c r="AA2047" i="2"/>
  <c r="Z2047" i="2"/>
  <c r="Y2047" i="2"/>
  <c r="X2047" i="2"/>
  <c r="W2047" i="2"/>
  <c r="V2047" i="2"/>
  <c r="AB2046" i="2"/>
  <c r="AA2046" i="2"/>
  <c r="Z2046" i="2"/>
  <c r="Y2046" i="2"/>
  <c r="X2046" i="2"/>
  <c r="W2046" i="2"/>
  <c r="V2046" i="2"/>
  <c r="AB2045" i="2"/>
  <c r="AA2045" i="2"/>
  <c r="Z2045" i="2"/>
  <c r="Y2045" i="2"/>
  <c r="X2045" i="2"/>
  <c r="W2045" i="2"/>
  <c r="V2045" i="2"/>
  <c r="AB2044" i="2"/>
  <c r="AA2044" i="2"/>
  <c r="Z2044" i="2"/>
  <c r="Y2044" i="2"/>
  <c r="X2044" i="2"/>
  <c r="W2044" i="2"/>
  <c r="V2044" i="2"/>
  <c r="AB2043" i="2"/>
  <c r="AA2043" i="2"/>
  <c r="Z2043" i="2"/>
  <c r="Y2043" i="2"/>
  <c r="X2043" i="2"/>
  <c r="W2043" i="2"/>
  <c r="V2043" i="2"/>
  <c r="AB2042" i="2"/>
  <c r="AA2042" i="2"/>
  <c r="Z2042" i="2"/>
  <c r="Y2042" i="2"/>
  <c r="X2042" i="2"/>
  <c r="W2042" i="2"/>
  <c r="V2042" i="2"/>
  <c r="AB2041" i="2"/>
  <c r="AA2041" i="2"/>
  <c r="Z2041" i="2"/>
  <c r="Y2041" i="2"/>
  <c r="X2041" i="2"/>
  <c r="W2041" i="2"/>
  <c r="V2041" i="2"/>
  <c r="AB2040" i="2"/>
  <c r="AA2040" i="2"/>
  <c r="Z2040" i="2"/>
  <c r="Y2040" i="2"/>
  <c r="X2040" i="2"/>
  <c r="W2040" i="2"/>
  <c r="V2040" i="2"/>
  <c r="AB2039" i="2"/>
  <c r="AA2039" i="2"/>
  <c r="Z2039" i="2"/>
  <c r="Y2039" i="2"/>
  <c r="X2039" i="2"/>
  <c r="W2039" i="2"/>
  <c r="V2039" i="2"/>
  <c r="AB2038" i="2"/>
  <c r="AA2038" i="2"/>
  <c r="Z2038" i="2"/>
  <c r="Y2038" i="2"/>
  <c r="X2038" i="2"/>
  <c r="W2038" i="2"/>
  <c r="V2038" i="2"/>
  <c r="AB2037" i="2"/>
  <c r="AA2037" i="2"/>
  <c r="Z2037" i="2"/>
  <c r="Y2037" i="2"/>
  <c r="X2037" i="2"/>
  <c r="W2037" i="2"/>
  <c r="V2037" i="2"/>
  <c r="AB2036" i="2"/>
  <c r="AA2036" i="2"/>
  <c r="Z2036" i="2"/>
  <c r="Y2036" i="2"/>
  <c r="X2036" i="2"/>
  <c r="W2036" i="2"/>
  <c r="V2036" i="2"/>
  <c r="AB2035" i="2"/>
  <c r="AA2035" i="2"/>
  <c r="Z2035" i="2"/>
  <c r="Y2035" i="2"/>
  <c r="X2035" i="2"/>
  <c r="W2035" i="2"/>
  <c r="V2035" i="2"/>
  <c r="AB2034" i="2"/>
  <c r="AA2034" i="2"/>
  <c r="Z2034" i="2"/>
  <c r="Y2034" i="2"/>
  <c r="X2034" i="2"/>
  <c r="W2034" i="2"/>
  <c r="V2034" i="2"/>
  <c r="AB2033" i="2"/>
  <c r="AA2033" i="2"/>
  <c r="Z2033" i="2"/>
  <c r="Y2033" i="2"/>
  <c r="X2033" i="2"/>
  <c r="W2033" i="2"/>
  <c r="V2033" i="2"/>
  <c r="AB2032" i="2"/>
  <c r="AA2032" i="2"/>
  <c r="Z2032" i="2"/>
  <c r="Y2032" i="2"/>
  <c r="X2032" i="2"/>
  <c r="W2032" i="2"/>
  <c r="V2032" i="2"/>
  <c r="AB2031" i="2"/>
  <c r="AA2031" i="2"/>
  <c r="Z2031" i="2"/>
  <c r="Y2031" i="2"/>
  <c r="X2031" i="2"/>
  <c r="W2031" i="2"/>
  <c r="V2031" i="2"/>
  <c r="AB2030" i="2"/>
  <c r="AA2030" i="2"/>
  <c r="Z2030" i="2"/>
  <c r="Y2030" i="2"/>
  <c r="X2030" i="2"/>
  <c r="W2030" i="2"/>
  <c r="V2030" i="2"/>
  <c r="AB2029" i="2"/>
  <c r="AA2029" i="2"/>
  <c r="Z2029" i="2"/>
  <c r="Y2029" i="2"/>
  <c r="X2029" i="2"/>
  <c r="W2029" i="2"/>
  <c r="V2029" i="2"/>
  <c r="AB2028" i="2"/>
  <c r="AA2028" i="2"/>
  <c r="Z2028" i="2"/>
  <c r="Y2028" i="2"/>
  <c r="X2028" i="2"/>
  <c r="W2028" i="2"/>
  <c r="V2028" i="2"/>
  <c r="AB2027" i="2"/>
  <c r="AA2027" i="2"/>
  <c r="Z2027" i="2"/>
  <c r="Y2027" i="2"/>
  <c r="X2027" i="2"/>
  <c r="W2027" i="2"/>
  <c r="V2027" i="2"/>
  <c r="AB2026" i="2"/>
  <c r="AA2026" i="2"/>
  <c r="Z2026" i="2"/>
  <c r="Y2026" i="2"/>
  <c r="X2026" i="2"/>
  <c r="W2026" i="2"/>
  <c r="V2026" i="2"/>
  <c r="AB2025" i="2"/>
  <c r="AA2025" i="2"/>
  <c r="Z2025" i="2"/>
  <c r="Y2025" i="2"/>
  <c r="X2025" i="2"/>
  <c r="W2025" i="2"/>
  <c r="V2025" i="2"/>
  <c r="AB2024" i="2"/>
  <c r="AA2024" i="2"/>
  <c r="Z2024" i="2"/>
  <c r="Y2024" i="2"/>
  <c r="X2024" i="2"/>
  <c r="W2024" i="2"/>
  <c r="V2024" i="2"/>
  <c r="AB2023" i="2"/>
  <c r="AA2023" i="2"/>
  <c r="Z2023" i="2"/>
  <c r="Y2023" i="2"/>
  <c r="X2023" i="2"/>
  <c r="W2023" i="2"/>
  <c r="V2023" i="2"/>
  <c r="AB2022" i="2"/>
  <c r="AA2022" i="2"/>
  <c r="Z2022" i="2"/>
  <c r="Y2022" i="2"/>
  <c r="X2022" i="2"/>
  <c r="W2022" i="2"/>
  <c r="V2022" i="2"/>
  <c r="AB2021" i="2"/>
  <c r="AA2021" i="2"/>
  <c r="Z2021" i="2"/>
  <c r="Y2021" i="2"/>
  <c r="X2021" i="2"/>
  <c r="W2021" i="2"/>
  <c r="V2021" i="2"/>
  <c r="AB2020" i="2"/>
  <c r="AA2020" i="2"/>
  <c r="Z2020" i="2"/>
  <c r="Y2020" i="2"/>
  <c r="X2020" i="2"/>
  <c r="W2020" i="2"/>
  <c r="V2020" i="2"/>
  <c r="AB2019" i="2"/>
  <c r="AA2019" i="2"/>
  <c r="Z2019" i="2"/>
  <c r="Y2019" i="2"/>
  <c r="X2019" i="2"/>
  <c r="W2019" i="2"/>
  <c r="V2019" i="2"/>
  <c r="AB2018" i="2"/>
  <c r="AA2018" i="2"/>
  <c r="Z2018" i="2"/>
  <c r="Y2018" i="2"/>
  <c r="X2018" i="2"/>
  <c r="W2018" i="2"/>
  <c r="V2018" i="2"/>
  <c r="AB2017" i="2"/>
  <c r="AA2017" i="2"/>
  <c r="Z2017" i="2"/>
  <c r="Y2017" i="2"/>
  <c r="X2017" i="2"/>
  <c r="W2017" i="2"/>
  <c r="V2017" i="2"/>
  <c r="AB2016" i="2"/>
  <c r="AA2016" i="2"/>
  <c r="Z2016" i="2"/>
  <c r="Y2016" i="2"/>
  <c r="X2016" i="2"/>
  <c r="W2016" i="2"/>
  <c r="V2016" i="2"/>
  <c r="AB2015" i="2"/>
  <c r="AA2015" i="2"/>
  <c r="Z2015" i="2"/>
  <c r="Y2015" i="2"/>
  <c r="X2015" i="2"/>
  <c r="W2015" i="2"/>
  <c r="V2015" i="2"/>
  <c r="AB2014" i="2"/>
  <c r="AA2014" i="2"/>
  <c r="Z2014" i="2"/>
  <c r="Y2014" i="2"/>
  <c r="X2014" i="2"/>
  <c r="W2014" i="2"/>
  <c r="V2014" i="2"/>
  <c r="AB2013" i="2"/>
  <c r="AA2013" i="2"/>
  <c r="Z2013" i="2"/>
  <c r="Y2013" i="2"/>
  <c r="X2013" i="2"/>
  <c r="W2013" i="2"/>
  <c r="V2013" i="2"/>
  <c r="AB2012" i="2"/>
  <c r="AA2012" i="2"/>
  <c r="Z2012" i="2"/>
  <c r="Y2012" i="2"/>
  <c r="X2012" i="2"/>
  <c r="W2012" i="2"/>
  <c r="V2012" i="2"/>
  <c r="AB2011" i="2"/>
  <c r="AA2011" i="2"/>
  <c r="Z2011" i="2"/>
  <c r="Y2011" i="2"/>
  <c r="X2011" i="2"/>
  <c r="W2011" i="2"/>
  <c r="V2011" i="2"/>
  <c r="AB2010" i="2"/>
  <c r="AA2010" i="2"/>
  <c r="Z2010" i="2"/>
  <c r="Y2010" i="2"/>
  <c r="X2010" i="2"/>
  <c r="W2010" i="2"/>
  <c r="V2010" i="2"/>
  <c r="AB2009" i="2"/>
  <c r="AA2009" i="2"/>
  <c r="Z2009" i="2"/>
  <c r="Y2009" i="2"/>
  <c r="X2009" i="2"/>
  <c r="W2009" i="2"/>
  <c r="V2009" i="2"/>
  <c r="AB2008" i="2"/>
  <c r="AA2008" i="2"/>
  <c r="Z2008" i="2"/>
  <c r="Y2008" i="2"/>
  <c r="X2008" i="2"/>
  <c r="W2008" i="2"/>
  <c r="V2008" i="2"/>
  <c r="AB2007" i="2"/>
  <c r="AA2007" i="2"/>
  <c r="Z2007" i="2"/>
  <c r="Y2007" i="2"/>
  <c r="X2007" i="2"/>
  <c r="W2007" i="2"/>
  <c r="V2007" i="2"/>
  <c r="AB2006" i="2"/>
  <c r="AA2006" i="2"/>
  <c r="Z2006" i="2"/>
  <c r="Y2006" i="2"/>
  <c r="X2006" i="2"/>
  <c r="W2006" i="2"/>
  <c r="V2006" i="2"/>
  <c r="AB2005" i="2"/>
  <c r="AA2005" i="2"/>
  <c r="Z2005" i="2"/>
  <c r="Y2005" i="2"/>
  <c r="X2005" i="2"/>
  <c r="W2005" i="2"/>
  <c r="V2005" i="2"/>
  <c r="AB2004" i="2"/>
  <c r="AA2004" i="2"/>
  <c r="Z2004" i="2"/>
  <c r="Y2004" i="2"/>
  <c r="X2004" i="2"/>
  <c r="W2004" i="2"/>
  <c r="V2004" i="2"/>
  <c r="AB2003" i="2"/>
  <c r="AA2003" i="2"/>
  <c r="Z2003" i="2"/>
  <c r="Y2003" i="2"/>
  <c r="X2003" i="2"/>
  <c r="W2003" i="2"/>
  <c r="V2003" i="2"/>
  <c r="AB2002" i="2"/>
  <c r="AA2002" i="2"/>
  <c r="Z2002" i="2"/>
  <c r="Y2002" i="2"/>
  <c r="X2002" i="2"/>
  <c r="W2002" i="2"/>
  <c r="V2002" i="2"/>
  <c r="AB2001" i="2"/>
  <c r="AA2001" i="2"/>
  <c r="Z2001" i="2"/>
  <c r="Y2001" i="2"/>
  <c r="X2001" i="2"/>
  <c r="W2001" i="2"/>
  <c r="V2001" i="2"/>
  <c r="AB2000" i="2"/>
  <c r="AA2000" i="2"/>
  <c r="Z2000" i="2"/>
  <c r="Y2000" i="2"/>
  <c r="X2000" i="2"/>
  <c r="W2000" i="2"/>
  <c r="V2000" i="2"/>
  <c r="AB1999" i="2"/>
  <c r="AA1999" i="2"/>
  <c r="Z1999" i="2"/>
  <c r="Y1999" i="2"/>
  <c r="X1999" i="2"/>
  <c r="W1999" i="2"/>
  <c r="V1999" i="2"/>
  <c r="AB1998" i="2"/>
  <c r="AA1998" i="2"/>
  <c r="Z1998" i="2"/>
  <c r="Y1998" i="2"/>
  <c r="X1998" i="2"/>
  <c r="W1998" i="2"/>
  <c r="V1998" i="2"/>
  <c r="AB1997" i="2"/>
  <c r="AA1997" i="2"/>
  <c r="Z1997" i="2"/>
  <c r="Y1997" i="2"/>
  <c r="X1997" i="2"/>
  <c r="W1997" i="2"/>
  <c r="V1997" i="2"/>
  <c r="AB1996" i="2"/>
  <c r="AA1996" i="2"/>
  <c r="Z1996" i="2"/>
  <c r="Y1996" i="2"/>
  <c r="X1996" i="2"/>
  <c r="W1996" i="2"/>
  <c r="V1996" i="2"/>
  <c r="AB1995" i="2"/>
  <c r="AA1995" i="2"/>
  <c r="Z1995" i="2"/>
  <c r="Y1995" i="2"/>
  <c r="X1995" i="2"/>
  <c r="W1995" i="2"/>
  <c r="V1995" i="2"/>
  <c r="AB1994" i="2"/>
  <c r="AA1994" i="2"/>
  <c r="Z1994" i="2"/>
  <c r="Y1994" i="2"/>
  <c r="X1994" i="2"/>
  <c r="W1994" i="2"/>
  <c r="V1994" i="2"/>
  <c r="AB1993" i="2"/>
  <c r="AA1993" i="2"/>
  <c r="Z1993" i="2"/>
  <c r="Y1993" i="2"/>
  <c r="X1993" i="2"/>
  <c r="W1993" i="2"/>
  <c r="V1993" i="2"/>
  <c r="AB1992" i="2"/>
  <c r="AA1992" i="2"/>
  <c r="Z1992" i="2"/>
  <c r="Y1992" i="2"/>
  <c r="X1992" i="2"/>
  <c r="W1992" i="2"/>
  <c r="V1992" i="2"/>
  <c r="AB1991" i="2"/>
  <c r="AA1991" i="2"/>
  <c r="Z1991" i="2"/>
  <c r="Y1991" i="2"/>
  <c r="X1991" i="2"/>
  <c r="W1991" i="2"/>
  <c r="V1991" i="2"/>
  <c r="AB1990" i="2"/>
  <c r="AA1990" i="2"/>
  <c r="Z1990" i="2"/>
  <c r="Y1990" i="2"/>
  <c r="X1990" i="2"/>
  <c r="W1990" i="2"/>
  <c r="V1990" i="2"/>
  <c r="AB1989" i="2"/>
  <c r="AA1989" i="2"/>
  <c r="Z1989" i="2"/>
  <c r="Y1989" i="2"/>
  <c r="X1989" i="2"/>
  <c r="W1989" i="2"/>
  <c r="V1989" i="2"/>
  <c r="AB1988" i="2"/>
  <c r="AA1988" i="2"/>
  <c r="Z1988" i="2"/>
  <c r="Y1988" i="2"/>
  <c r="X1988" i="2"/>
  <c r="W1988" i="2"/>
  <c r="V1988" i="2"/>
  <c r="AB1987" i="2"/>
  <c r="AA1987" i="2"/>
  <c r="Z1987" i="2"/>
  <c r="Y1987" i="2"/>
  <c r="X1987" i="2"/>
  <c r="W1987" i="2"/>
  <c r="V1987" i="2"/>
  <c r="AB1986" i="2"/>
  <c r="AA1986" i="2"/>
  <c r="Z1986" i="2"/>
  <c r="Y1986" i="2"/>
  <c r="X1986" i="2"/>
  <c r="W1986" i="2"/>
  <c r="V1986" i="2"/>
  <c r="AB1985" i="2"/>
  <c r="AA1985" i="2"/>
  <c r="Z1985" i="2"/>
  <c r="Y1985" i="2"/>
  <c r="X1985" i="2"/>
  <c r="W1985" i="2"/>
  <c r="V1985" i="2"/>
  <c r="AB1984" i="2"/>
  <c r="AA1984" i="2"/>
  <c r="Z1984" i="2"/>
  <c r="Y1984" i="2"/>
  <c r="X1984" i="2"/>
  <c r="W1984" i="2"/>
  <c r="V1984" i="2"/>
  <c r="AB1983" i="2"/>
  <c r="AA1983" i="2"/>
  <c r="Z1983" i="2"/>
  <c r="Y1983" i="2"/>
  <c r="X1983" i="2"/>
  <c r="W1983" i="2"/>
  <c r="V1983" i="2"/>
  <c r="AB1982" i="2"/>
  <c r="AA1982" i="2"/>
  <c r="Z1982" i="2"/>
  <c r="Y1982" i="2"/>
  <c r="X1982" i="2"/>
  <c r="W1982" i="2"/>
  <c r="V1982" i="2"/>
  <c r="AB1981" i="2"/>
  <c r="AA1981" i="2"/>
  <c r="Z1981" i="2"/>
  <c r="Y1981" i="2"/>
  <c r="X1981" i="2"/>
  <c r="W1981" i="2"/>
  <c r="V1981" i="2"/>
  <c r="AB1980" i="2"/>
  <c r="AA1980" i="2"/>
  <c r="Z1980" i="2"/>
  <c r="Y1980" i="2"/>
  <c r="X1980" i="2"/>
  <c r="W1980" i="2"/>
  <c r="V1980" i="2"/>
  <c r="AB1979" i="2"/>
  <c r="AA1979" i="2"/>
  <c r="Z1979" i="2"/>
  <c r="Y1979" i="2"/>
  <c r="X1979" i="2"/>
  <c r="W1979" i="2"/>
  <c r="V1979" i="2"/>
  <c r="AB1978" i="2"/>
  <c r="AA1978" i="2"/>
  <c r="Z1978" i="2"/>
  <c r="Y1978" i="2"/>
  <c r="X1978" i="2"/>
  <c r="W1978" i="2"/>
  <c r="V1978" i="2"/>
  <c r="AB1977" i="2"/>
  <c r="AA1977" i="2"/>
  <c r="Z1977" i="2"/>
  <c r="Y1977" i="2"/>
  <c r="X1977" i="2"/>
  <c r="W1977" i="2"/>
  <c r="V1977" i="2"/>
  <c r="AB1976" i="2"/>
  <c r="AA1976" i="2"/>
  <c r="Z1976" i="2"/>
  <c r="Y1976" i="2"/>
  <c r="X1976" i="2"/>
  <c r="W1976" i="2"/>
  <c r="V1976" i="2"/>
  <c r="AB1975" i="2"/>
  <c r="AA1975" i="2"/>
  <c r="Z1975" i="2"/>
  <c r="Y1975" i="2"/>
  <c r="X1975" i="2"/>
  <c r="W1975" i="2"/>
  <c r="V1975" i="2"/>
  <c r="AB1974" i="2"/>
  <c r="AA1974" i="2"/>
  <c r="Z1974" i="2"/>
  <c r="Y1974" i="2"/>
  <c r="X1974" i="2"/>
  <c r="W1974" i="2"/>
  <c r="V1974" i="2"/>
  <c r="AB1973" i="2"/>
  <c r="AA1973" i="2"/>
  <c r="Z1973" i="2"/>
  <c r="Y1973" i="2"/>
  <c r="X1973" i="2"/>
  <c r="W1973" i="2"/>
  <c r="V1973" i="2"/>
  <c r="AB1972" i="2"/>
  <c r="AA1972" i="2"/>
  <c r="Z1972" i="2"/>
  <c r="Y1972" i="2"/>
  <c r="X1972" i="2"/>
  <c r="W1972" i="2"/>
  <c r="V1972" i="2"/>
  <c r="AB1971" i="2"/>
  <c r="AA1971" i="2"/>
  <c r="Z1971" i="2"/>
  <c r="Y1971" i="2"/>
  <c r="X1971" i="2"/>
  <c r="W1971" i="2"/>
  <c r="V1971" i="2"/>
  <c r="AB1970" i="2"/>
  <c r="AA1970" i="2"/>
  <c r="Z1970" i="2"/>
  <c r="Y1970" i="2"/>
  <c r="X1970" i="2"/>
  <c r="W1970" i="2"/>
  <c r="V1970" i="2"/>
  <c r="AB1969" i="2"/>
  <c r="AA1969" i="2"/>
  <c r="Z1969" i="2"/>
  <c r="Y1969" i="2"/>
  <c r="X1969" i="2"/>
  <c r="W1969" i="2"/>
  <c r="V1969" i="2"/>
  <c r="AB1968" i="2"/>
  <c r="AA1968" i="2"/>
  <c r="Z1968" i="2"/>
  <c r="Y1968" i="2"/>
  <c r="X1968" i="2"/>
  <c r="W1968" i="2"/>
  <c r="V1968" i="2"/>
  <c r="AB1967" i="2"/>
  <c r="AA1967" i="2"/>
  <c r="Z1967" i="2"/>
  <c r="Y1967" i="2"/>
  <c r="X1967" i="2"/>
  <c r="W1967" i="2"/>
  <c r="V1967" i="2"/>
  <c r="AB1966" i="2"/>
  <c r="AA1966" i="2"/>
  <c r="Z1966" i="2"/>
  <c r="Y1966" i="2"/>
  <c r="X1966" i="2"/>
  <c r="W1966" i="2"/>
  <c r="V1966" i="2"/>
  <c r="AB1965" i="2"/>
  <c r="AA1965" i="2"/>
  <c r="Z1965" i="2"/>
  <c r="Y1965" i="2"/>
  <c r="X1965" i="2"/>
  <c r="W1965" i="2"/>
  <c r="V1965" i="2"/>
  <c r="AB1964" i="2"/>
  <c r="AA1964" i="2"/>
  <c r="Z1964" i="2"/>
  <c r="Y1964" i="2"/>
  <c r="X1964" i="2"/>
  <c r="W1964" i="2"/>
  <c r="V1964" i="2"/>
  <c r="AB1963" i="2"/>
  <c r="AA1963" i="2"/>
  <c r="Z1963" i="2"/>
  <c r="Y1963" i="2"/>
  <c r="X1963" i="2"/>
  <c r="W1963" i="2"/>
  <c r="V1963" i="2"/>
  <c r="AB1962" i="2"/>
  <c r="AA1962" i="2"/>
  <c r="Z1962" i="2"/>
  <c r="Y1962" i="2"/>
  <c r="X1962" i="2"/>
  <c r="W1962" i="2"/>
  <c r="V1962" i="2"/>
  <c r="AB1961" i="2"/>
  <c r="AA1961" i="2"/>
  <c r="Z1961" i="2"/>
  <c r="Y1961" i="2"/>
  <c r="X1961" i="2"/>
  <c r="W1961" i="2"/>
  <c r="V1961" i="2"/>
  <c r="AB1960" i="2"/>
  <c r="AA1960" i="2"/>
  <c r="Z1960" i="2"/>
  <c r="Y1960" i="2"/>
  <c r="X1960" i="2"/>
  <c r="W1960" i="2"/>
  <c r="V1960" i="2"/>
  <c r="AB1959" i="2"/>
  <c r="AA1959" i="2"/>
  <c r="Z1959" i="2"/>
  <c r="Y1959" i="2"/>
  <c r="X1959" i="2"/>
  <c r="W1959" i="2"/>
  <c r="V1959" i="2"/>
  <c r="AB1958" i="2"/>
  <c r="AA1958" i="2"/>
  <c r="Z1958" i="2"/>
  <c r="Y1958" i="2"/>
  <c r="X1958" i="2"/>
  <c r="W1958" i="2"/>
  <c r="V1958" i="2"/>
  <c r="AB1957" i="2"/>
  <c r="AA1957" i="2"/>
  <c r="Z1957" i="2"/>
  <c r="Y1957" i="2"/>
  <c r="X1957" i="2"/>
  <c r="W1957" i="2"/>
  <c r="V1957" i="2"/>
  <c r="AB1956" i="2"/>
  <c r="AA1956" i="2"/>
  <c r="Z1956" i="2"/>
  <c r="Y1956" i="2"/>
  <c r="X1956" i="2"/>
  <c r="W1956" i="2"/>
  <c r="V1956" i="2"/>
  <c r="AB1955" i="2"/>
  <c r="AA1955" i="2"/>
  <c r="Z1955" i="2"/>
  <c r="Y1955" i="2"/>
  <c r="X1955" i="2"/>
  <c r="W1955" i="2"/>
  <c r="V1955" i="2"/>
  <c r="AB1954" i="2"/>
  <c r="AA1954" i="2"/>
  <c r="Z1954" i="2"/>
  <c r="Y1954" i="2"/>
  <c r="X1954" i="2"/>
  <c r="W1954" i="2"/>
  <c r="V1954" i="2"/>
  <c r="AB1953" i="2"/>
  <c r="AA1953" i="2"/>
  <c r="Z1953" i="2"/>
  <c r="Y1953" i="2"/>
  <c r="X1953" i="2"/>
  <c r="W1953" i="2"/>
  <c r="V1953" i="2"/>
  <c r="AB1952" i="2"/>
  <c r="AA1952" i="2"/>
  <c r="Z1952" i="2"/>
  <c r="Y1952" i="2"/>
  <c r="X1952" i="2"/>
  <c r="W1952" i="2"/>
  <c r="V1952" i="2"/>
  <c r="AB1951" i="2"/>
  <c r="AA1951" i="2"/>
  <c r="Z1951" i="2"/>
  <c r="Y1951" i="2"/>
  <c r="X1951" i="2"/>
  <c r="W1951" i="2"/>
  <c r="V1951" i="2"/>
  <c r="AB1950" i="2"/>
  <c r="AA1950" i="2"/>
  <c r="Z1950" i="2"/>
  <c r="Y1950" i="2"/>
  <c r="X1950" i="2"/>
  <c r="W1950" i="2"/>
  <c r="V1950" i="2"/>
  <c r="AB1949" i="2"/>
  <c r="AA1949" i="2"/>
  <c r="Z1949" i="2"/>
  <c r="Y1949" i="2"/>
  <c r="X1949" i="2"/>
  <c r="W1949" i="2"/>
  <c r="V1949" i="2"/>
  <c r="AB1948" i="2"/>
  <c r="AA1948" i="2"/>
  <c r="Z1948" i="2"/>
  <c r="Y1948" i="2"/>
  <c r="X1948" i="2"/>
  <c r="W1948" i="2"/>
  <c r="V1948" i="2"/>
  <c r="AB1947" i="2"/>
  <c r="AA1947" i="2"/>
  <c r="Z1947" i="2"/>
  <c r="Y1947" i="2"/>
  <c r="X1947" i="2"/>
  <c r="W1947" i="2"/>
  <c r="V1947" i="2"/>
  <c r="AB1946" i="2"/>
  <c r="AA1946" i="2"/>
  <c r="Z1946" i="2"/>
  <c r="Y1946" i="2"/>
  <c r="X1946" i="2"/>
  <c r="W1946" i="2"/>
  <c r="V1946" i="2"/>
  <c r="AB1945" i="2"/>
  <c r="AA1945" i="2"/>
  <c r="Z1945" i="2"/>
  <c r="Y1945" i="2"/>
  <c r="X1945" i="2"/>
  <c r="W1945" i="2"/>
  <c r="V1945" i="2"/>
  <c r="AB1944" i="2"/>
  <c r="AA1944" i="2"/>
  <c r="Z1944" i="2"/>
  <c r="Y1944" i="2"/>
  <c r="X1944" i="2"/>
  <c r="W1944" i="2"/>
  <c r="V1944" i="2"/>
  <c r="AB1943" i="2"/>
  <c r="AA1943" i="2"/>
  <c r="Z1943" i="2"/>
  <c r="Y1943" i="2"/>
  <c r="X1943" i="2"/>
  <c r="W1943" i="2"/>
  <c r="V1943" i="2"/>
  <c r="AB1942" i="2"/>
  <c r="AA1942" i="2"/>
  <c r="Z1942" i="2"/>
  <c r="Y1942" i="2"/>
  <c r="X1942" i="2"/>
  <c r="W1942" i="2"/>
  <c r="V1942" i="2"/>
  <c r="AB1941" i="2"/>
  <c r="AA1941" i="2"/>
  <c r="Z1941" i="2"/>
  <c r="Y1941" i="2"/>
  <c r="X1941" i="2"/>
  <c r="W1941" i="2"/>
  <c r="V1941" i="2"/>
  <c r="AB1940" i="2"/>
  <c r="AA1940" i="2"/>
  <c r="Z1940" i="2"/>
  <c r="Y1940" i="2"/>
  <c r="X1940" i="2"/>
  <c r="W1940" i="2"/>
  <c r="V1940" i="2"/>
  <c r="AB1939" i="2"/>
  <c r="AA1939" i="2"/>
  <c r="Z1939" i="2"/>
  <c r="Y1939" i="2"/>
  <c r="X1939" i="2"/>
  <c r="W1939" i="2"/>
  <c r="V1939" i="2"/>
  <c r="AB1938" i="2"/>
  <c r="AA1938" i="2"/>
  <c r="Z1938" i="2"/>
  <c r="Y1938" i="2"/>
  <c r="X1938" i="2"/>
  <c r="W1938" i="2"/>
  <c r="V1938" i="2"/>
  <c r="AB1937" i="2"/>
  <c r="AA1937" i="2"/>
  <c r="Z1937" i="2"/>
  <c r="Y1937" i="2"/>
  <c r="X1937" i="2"/>
  <c r="W1937" i="2"/>
  <c r="V1937" i="2"/>
  <c r="AB1936" i="2"/>
  <c r="AA1936" i="2"/>
  <c r="Z1936" i="2"/>
  <c r="Y1936" i="2"/>
  <c r="X1936" i="2"/>
  <c r="W1936" i="2"/>
  <c r="V1936" i="2"/>
  <c r="AB1935" i="2"/>
  <c r="AA1935" i="2"/>
  <c r="Z1935" i="2"/>
  <c r="Y1935" i="2"/>
  <c r="X1935" i="2"/>
  <c r="W1935" i="2"/>
  <c r="V1935" i="2"/>
  <c r="AB1934" i="2"/>
  <c r="AA1934" i="2"/>
  <c r="Z1934" i="2"/>
  <c r="Y1934" i="2"/>
  <c r="X1934" i="2"/>
  <c r="W1934" i="2"/>
  <c r="V1934" i="2"/>
  <c r="AB1933" i="2"/>
  <c r="AA1933" i="2"/>
  <c r="Z1933" i="2"/>
  <c r="Y1933" i="2"/>
  <c r="X1933" i="2"/>
  <c r="W1933" i="2"/>
  <c r="V1933" i="2"/>
  <c r="AB1932" i="2"/>
  <c r="AA1932" i="2"/>
  <c r="Z1932" i="2"/>
  <c r="Y1932" i="2"/>
  <c r="X1932" i="2"/>
  <c r="W1932" i="2"/>
  <c r="V1932" i="2"/>
  <c r="AB1931" i="2"/>
  <c r="AA1931" i="2"/>
  <c r="Z1931" i="2"/>
  <c r="Y1931" i="2"/>
  <c r="X1931" i="2"/>
  <c r="W1931" i="2"/>
  <c r="V1931" i="2"/>
  <c r="AB1930" i="2"/>
  <c r="AA1930" i="2"/>
  <c r="Z1930" i="2"/>
  <c r="Y1930" i="2"/>
  <c r="X1930" i="2"/>
  <c r="W1930" i="2"/>
  <c r="V1930" i="2"/>
  <c r="AB1929" i="2"/>
  <c r="AA1929" i="2"/>
  <c r="Z1929" i="2"/>
  <c r="Y1929" i="2"/>
  <c r="X1929" i="2"/>
  <c r="W1929" i="2"/>
  <c r="V1929" i="2"/>
  <c r="AB1928" i="2"/>
  <c r="AA1928" i="2"/>
  <c r="Z1928" i="2"/>
  <c r="Y1928" i="2"/>
  <c r="X1928" i="2"/>
  <c r="W1928" i="2"/>
  <c r="V1928" i="2"/>
  <c r="AB1927" i="2"/>
  <c r="AA1927" i="2"/>
  <c r="Z1927" i="2"/>
  <c r="Y1927" i="2"/>
  <c r="X1927" i="2"/>
  <c r="W1927" i="2"/>
  <c r="V1927" i="2"/>
  <c r="AB1926" i="2"/>
  <c r="AA1926" i="2"/>
  <c r="Z1926" i="2"/>
  <c r="Y1926" i="2"/>
  <c r="X1926" i="2"/>
  <c r="W1926" i="2"/>
  <c r="V1926" i="2"/>
  <c r="AB1925" i="2"/>
  <c r="AA1925" i="2"/>
  <c r="Z1925" i="2"/>
  <c r="Y1925" i="2"/>
  <c r="X1925" i="2"/>
  <c r="W1925" i="2"/>
  <c r="V1925" i="2"/>
  <c r="AB1924" i="2"/>
  <c r="AA1924" i="2"/>
  <c r="Z1924" i="2"/>
  <c r="Y1924" i="2"/>
  <c r="X1924" i="2"/>
  <c r="W1924" i="2"/>
  <c r="V1924" i="2"/>
  <c r="AB1923" i="2"/>
  <c r="AA1923" i="2"/>
  <c r="Z1923" i="2"/>
  <c r="Y1923" i="2"/>
  <c r="X1923" i="2"/>
  <c r="W1923" i="2"/>
  <c r="V1923" i="2"/>
  <c r="AB1922" i="2"/>
  <c r="AA1922" i="2"/>
  <c r="Z1922" i="2"/>
  <c r="Y1922" i="2"/>
  <c r="X1922" i="2"/>
  <c r="W1922" i="2"/>
  <c r="V1922" i="2"/>
  <c r="AB1921" i="2"/>
  <c r="AA1921" i="2"/>
  <c r="Z1921" i="2"/>
  <c r="Y1921" i="2"/>
  <c r="X1921" i="2"/>
  <c r="W1921" i="2"/>
  <c r="V1921" i="2"/>
  <c r="AB1920" i="2"/>
  <c r="AA1920" i="2"/>
  <c r="Z1920" i="2"/>
  <c r="Y1920" i="2"/>
  <c r="X1920" i="2"/>
  <c r="W1920" i="2"/>
  <c r="V1920" i="2"/>
  <c r="AB1919" i="2"/>
  <c r="AA1919" i="2"/>
  <c r="Z1919" i="2"/>
  <c r="Y1919" i="2"/>
  <c r="X1919" i="2"/>
  <c r="W1919" i="2"/>
  <c r="V1919" i="2"/>
  <c r="AB1918" i="2"/>
  <c r="AA1918" i="2"/>
  <c r="Z1918" i="2"/>
  <c r="Y1918" i="2"/>
  <c r="X1918" i="2"/>
  <c r="W1918" i="2"/>
  <c r="V1918" i="2"/>
  <c r="AB1917" i="2"/>
  <c r="AA1917" i="2"/>
  <c r="Z1917" i="2"/>
  <c r="Y1917" i="2"/>
  <c r="X1917" i="2"/>
  <c r="W1917" i="2"/>
  <c r="V1917" i="2"/>
  <c r="AB1916" i="2"/>
  <c r="AA1916" i="2"/>
  <c r="Z1916" i="2"/>
  <c r="Y1916" i="2"/>
  <c r="X1916" i="2"/>
  <c r="W1916" i="2"/>
  <c r="V1916" i="2"/>
  <c r="AB1915" i="2"/>
  <c r="AA1915" i="2"/>
  <c r="Z1915" i="2"/>
  <c r="Y1915" i="2"/>
  <c r="X1915" i="2"/>
  <c r="W1915" i="2"/>
  <c r="V1915" i="2"/>
  <c r="AB1914" i="2"/>
  <c r="AA1914" i="2"/>
  <c r="Z1914" i="2"/>
  <c r="Y1914" i="2"/>
  <c r="X1914" i="2"/>
  <c r="W1914" i="2"/>
  <c r="V1914" i="2"/>
  <c r="AB1913" i="2"/>
  <c r="AA1913" i="2"/>
  <c r="Z1913" i="2"/>
  <c r="Y1913" i="2"/>
  <c r="X1913" i="2"/>
  <c r="W1913" i="2"/>
  <c r="V1913" i="2"/>
  <c r="AB1912" i="2"/>
  <c r="AA1912" i="2"/>
  <c r="Z1912" i="2"/>
  <c r="Y1912" i="2"/>
  <c r="X1912" i="2"/>
  <c r="W1912" i="2"/>
  <c r="V1912" i="2"/>
  <c r="AB1911" i="2"/>
  <c r="AA1911" i="2"/>
  <c r="Z1911" i="2"/>
  <c r="Y1911" i="2"/>
  <c r="X1911" i="2"/>
  <c r="W1911" i="2"/>
  <c r="V1911" i="2"/>
  <c r="AB1910" i="2"/>
  <c r="AA1910" i="2"/>
  <c r="Z1910" i="2"/>
  <c r="Y1910" i="2"/>
  <c r="X1910" i="2"/>
  <c r="W1910" i="2"/>
  <c r="V1910" i="2"/>
  <c r="AB1909" i="2"/>
  <c r="AA1909" i="2"/>
  <c r="Z1909" i="2"/>
  <c r="Y1909" i="2"/>
  <c r="X1909" i="2"/>
  <c r="W1909" i="2"/>
  <c r="V1909" i="2"/>
  <c r="AB1908" i="2"/>
  <c r="AA1908" i="2"/>
  <c r="Z1908" i="2"/>
  <c r="Y1908" i="2"/>
  <c r="X1908" i="2"/>
  <c r="W1908" i="2"/>
  <c r="V1908" i="2"/>
  <c r="AB1907" i="2"/>
  <c r="AA1907" i="2"/>
  <c r="Z1907" i="2"/>
  <c r="Y1907" i="2"/>
  <c r="X1907" i="2"/>
  <c r="W1907" i="2"/>
  <c r="V1907" i="2"/>
  <c r="AB1906" i="2"/>
  <c r="AA1906" i="2"/>
  <c r="Z1906" i="2"/>
  <c r="Y1906" i="2"/>
  <c r="X1906" i="2"/>
  <c r="W1906" i="2"/>
  <c r="V1906" i="2"/>
  <c r="AB1905" i="2"/>
  <c r="AA1905" i="2"/>
  <c r="Z1905" i="2"/>
  <c r="Y1905" i="2"/>
  <c r="X1905" i="2"/>
  <c r="W1905" i="2"/>
  <c r="V1905" i="2"/>
  <c r="AB1904" i="2"/>
  <c r="AA1904" i="2"/>
  <c r="Z1904" i="2"/>
  <c r="Y1904" i="2"/>
  <c r="X1904" i="2"/>
  <c r="W1904" i="2"/>
  <c r="V1904" i="2"/>
  <c r="AB1903" i="2"/>
  <c r="AA1903" i="2"/>
  <c r="Z1903" i="2"/>
  <c r="Y1903" i="2"/>
  <c r="X1903" i="2"/>
  <c r="W1903" i="2"/>
  <c r="V1903" i="2"/>
  <c r="AB1902" i="2"/>
  <c r="AA1902" i="2"/>
  <c r="Z1902" i="2"/>
  <c r="Y1902" i="2"/>
  <c r="X1902" i="2"/>
  <c r="W1902" i="2"/>
  <c r="V1902" i="2"/>
  <c r="AB1901" i="2"/>
  <c r="AA1901" i="2"/>
  <c r="Z1901" i="2"/>
  <c r="Y1901" i="2"/>
  <c r="X1901" i="2"/>
  <c r="W1901" i="2"/>
  <c r="V1901" i="2"/>
  <c r="AB1900" i="2"/>
  <c r="AA1900" i="2"/>
  <c r="Z1900" i="2"/>
  <c r="Y1900" i="2"/>
  <c r="X1900" i="2"/>
  <c r="W1900" i="2"/>
  <c r="V1900" i="2"/>
  <c r="AB1899" i="2"/>
  <c r="AA1899" i="2"/>
  <c r="Z1899" i="2"/>
  <c r="Y1899" i="2"/>
  <c r="X1899" i="2"/>
  <c r="W1899" i="2"/>
  <c r="V1899" i="2"/>
  <c r="AB1898" i="2"/>
  <c r="AA1898" i="2"/>
  <c r="Z1898" i="2"/>
  <c r="Y1898" i="2"/>
  <c r="X1898" i="2"/>
  <c r="W1898" i="2"/>
  <c r="V1898" i="2"/>
  <c r="AB1897" i="2"/>
  <c r="AA1897" i="2"/>
  <c r="Z1897" i="2"/>
  <c r="Y1897" i="2"/>
  <c r="X1897" i="2"/>
  <c r="W1897" i="2"/>
  <c r="V1897" i="2"/>
  <c r="AB1896" i="2"/>
  <c r="AA1896" i="2"/>
  <c r="Z1896" i="2"/>
  <c r="Y1896" i="2"/>
  <c r="X1896" i="2"/>
  <c r="W1896" i="2"/>
  <c r="V1896" i="2"/>
  <c r="AB1895" i="2"/>
  <c r="AA1895" i="2"/>
  <c r="Z1895" i="2"/>
  <c r="Y1895" i="2"/>
  <c r="X1895" i="2"/>
  <c r="W1895" i="2"/>
  <c r="V1895" i="2"/>
  <c r="AB1894" i="2"/>
  <c r="AA1894" i="2"/>
  <c r="Z1894" i="2"/>
  <c r="Y1894" i="2"/>
  <c r="X1894" i="2"/>
  <c r="W1894" i="2"/>
  <c r="V1894" i="2"/>
  <c r="AB1893" i="2"/>
  <c r="AA1893" i="2"/>
  <c r="Z1893" i="2"/>
  <c r="Y1893" i="2"/>
  <c r="X1893" i="2"/>
  <c r="W1893" i="2"/>
  <c r="V1893" i="2"/>
  <c r="AB1892" i="2"/>
  <c r="AA1892" i="2"/>
  <c r="Z1892" i="2"/>
  <c r="Y1892" i="2"/>
  <c r="X1892" i="2"/>
  <c r="W1892" i="2"/>
  <c r="V1892" i="2"/>
  <c r="AB1891" i="2"/>
  <c r="AA1891" i="2"/>
  <c r="Z1891" i="2"/>
  <c r="Y1891" i="2"/>
  <c r="X1891" i="2"/>
  <c r="W1891" i="2"/>
  <c r="V1891" i="2"/>
  <c r="AB1890" i="2"/>
  <c r="AA1890" i="2"/>
  <c r="Z1890" i="2"/>
  <c r="Y1890" i="2"/>
  <c r="X1890" i="2"/>
  <c r="W1890" i="2"/>
  <c r="V1890" i="2"/>
  <c r="AB1889" i="2"/>
  <c r="AA1889" i="2"/>
  <c r="Z1889" i="2"/>
  <c r="Y1889" i="2"/>
  <c r="X1889" i="2"/>
  <c r="W1889" i="2"/>
  <c r="V1889" i="2"/>
  <c r="AB1888" i="2"/>
  <c r="AA1888" i="2"/>
  <c r="Z1888" i="2"/>
  <c r="Y1888" i="2"/>
  <c r="X1888" i="2"/>
  <c r="W1888" i="2"/>
  <c r="V1888" i="2"/>
  <c r="AB1887" i="2"/>
  <c r="AA1887" i="2"/>
  <c r="Z1887" i="2"/>
  <c r="Y1887" i="2"/>
  <c r="X1887" i="2"/>
  <c r="W1887" i="2"/>
  <c r="V1887" i="2"/>
  <c r="AB1886" i="2"/>
  <c r="AA1886" i="2"/>
  <c r="Z1886" i="2"/>
  <c r="Y1886" i="2"/>
  <c r="X1886" i="2"/>
  <c r="W1886" i="2"/>
  <c r="V1886" i="2"/>
  <c r="AB1885" i="2"/>
  <c r="AA1885" i="2"/>
  <c r="Z1885" i="2"/>
  <c r="Y1885" i="2"/>
  <c r="X1885" i="2"/>
  <c r="W1885" i="2"/>
  <c r="V1885" i="2"/>
  <c r="AB1884" i="2"/>
  <c r="AA1884" i="2"/>
  <c r="Z1884" i="2"/>
  <c r="Y1884" i="2"/>
  <c r="X1884" i="2"/>
  <c r="W1884" i="2"/>
  <c r="V1884" i="2"/>
  <c r="AB1883" i="2"/>
  <c r="AA1883" i="2"/>
  <c r="Z1883" i="2"/>
  <c r="Y1883" i="2"/>
  <c r="X1883" i="2"/>
  <c r="W1883" i="2"/>
  <c r="V1883" i="2"/>
  <c r="AB1882" i="2"/>
  <c r="AA1882" i="2"/>
  <c r="Z1882" i="2"/>
  <c r="Y1882" i="2"/>
  <c r="X1882" i="2"/>
  <c r="W1882" i="2"/>
  <c r="V1882" i="2"/>
  <c r="AB1881" i="2"/>
  <c r="AA1881" i="2"/>
  <c r="Z1881" i="2"/>
  <c r="Y1881" i="2"/>
  <c r="X1881" i="2"/>
  <c r="W1881" i="2"/>
  <c r="V1881" i="2"/>
  <c r="AB1880" i="2"/>
  <c r="AA1880" i="2"/>
  <c r="Z1880" i="2"/>
  <c r="Y1880" i="2"/>
  <c r="X1880" i="2"/>
  <c r="W1880" i="2"/>
  <c r="V1880" i="2"/>
  <c r="AB1879" i="2"/>
  <c r="AA1879" i="2"/>
  <c r="Z1879" i="2"/>
  <c r="Y1879" i="2"/>
  <c r="X1879" i="2"/>
  <c r="W1879" i="2"/>
  <c r="V1879" i="2"/>
  <c r="AB1878" i="2"/>
  <c r="AA1878" i="2"/>
  <c r="Z1878" i="2"/>
  <c r="Y1878" i="2"/>
  <c r="X1878" i="2"/>
  <c r="W1878" i="2"/>
  <c r="V1878" i="2"/>
  <c r="AB1877" i="2"/>
  <c r="AA1877" i="2"/>
  <c r="Z1877" i="2"/>
  <c r="Y1877" i="2"/>
  <c r="X1877" i="2"/>
  <c r="W1877" i="2"/>
  <c r="V1877" i="2"/>
  <c r="AB1876" i="2"/>
  <c r="AA1876" i="2"/>
  <c r="Z1876" i="2"/>
  <c r="Y1876" i="2"/>
  <c r="X1876" i="2"/>
  <c r="W1876" i="2"/>
  <c r="V1876" i="2"/>
  <c r="AB1875" i="2"/>
  <c r="AA1875" i="2"/>
  <c r="Z1875" i="2"/>
  <c r="Y1875" i="2"/>
  <c r="X1875" i="2"/>
  <c r="W1875" i="2"/>
  <c r="V1875" i="2"/>
  <c r="AB1874" i="2"/>
  <c r="AA1874" i="2"/>
  <c r="Z1874" i="2"/>
  <c r="Y1874" i="2"/>
  <c r="X1874" i="2"/>
  <c r="W1874" i="2"/>
  <c r="V1874" i="2"/>
  <c r="AB1873" i="2"/>
  <c r="AA1873" i="2"/>
  <c r="Z1873" i="2"/>
  <c r="Y1873" i="2"/>
  <c r="X1873" i="2"/>
  <c r="W1873" i="2"/>
  <c r="V1873" i="2"/>
  <c r="AB1872" i="2"/>
  <c r="AA1872" i="2"/>
  <c r="Z1872" i="2"/>
  <c r="Y1872" i="2"/>
  <c r="X1872" i="2"/>
  <c r="W1872" i="2"/>
  <c r="V1872" i="2"/>
  <c r="AB1871" i="2"/>
  <c r="AA1871" i="2"/>
  <c r="Z1871" i="2"/>
  <c r="Y1871" i="2"/>
  <c r="X1871" i="2"/>
  <c r="W1871" i="2"/>
  <c r="V1871" i="2"/>
  <c r="AB1870" i="2"/>
  <c r="AA1870" i="2"/>
  <c r="Z1870" i="2"/>
  <c r="Y1870" i="2"/>
  <c r="X1870" i="2"/>
  <c r="W1870" i="2"/>
  <c r="V1870" i="2"/>
  <c r="AB1869" i="2"/>
  <c r="AA1869" i="2"/>
  <c r="Z1869" i="2"/>
  <c r="Y1869" i="2"/>
  <c r="X1869" i="2"/>
  <c r="W1869" i="2"/>
  <c r="V1869" i="2"/>
  <c r="AB1868" i="2"/>
  <c r="AA1868" i="2"/>
  <c r="Z1868" i="2"/>
  <c r="Y1868" i="2"/>
  <c r="X1868" i="2"/>
  <c r="W1868" i="2"/>
  <c r="V1868" i="2"/>
  <c r="AB1867" i="2"/>
  <c r="AA1867" i="2"/>
  <c r="Z1867" i="2"/>
  <c r="Y1867" i="2"/>
  <c r="X1867" i="2"/>
  <c r="W1867" i="2"/>
  <c r="V1867" i="2"/>
  <c r="AB1866" i="2"/>
  <c r="AA1866" i="2"/>
  <c r="Z1866" i="2"/>
  <c r="Y1866" i="2"/>
  <c r="X1866" i="2"/>
  <c r="W1866" i="2"/>
  <c r="V1866" i="2"/>
  <c r="AB1865" i="2"/>
  <c r="AA1865" i="2"/>
  <c r="Z1865" i="2"/>
  <c r="Y1865" i="2"/>
  <c r="X1865" i="2"/>
  <c r="W1865" i="2"/>
  <c r="V1865" i="2"/>
  <c r="AB1864" i="2"/>
  <c r="AA1864" i="2"/>
  <c r="Z1864" i="2"/>
  <c r="Y1864" i="2"/>
  <c r="X1864" i="2"/>
  <c r="W1864" i="2"/>
  <c r="V1864" i="2"/>
  <c r="AB1863" i="2"/>
  <c r="AA1863" i="2"/>
  <c r="Z1863" i="2"/>
  <c r="Y1863" i="2"/>
  <c r="X1863" i="2"/>
  <c r="W1863" i="2"/>
  <c r="V1863" i="2"/>
  <c r="AB1862" i="2"/>
  <c r="AA1862" i="2"/>
  <c r="Z1862" i="2"/>
  <c r="Y1862" i="2"/>
  <c r="X1862" i="2"/>
  <c r="W1862" i="2"/>
  <c r="V1862" i="2"/>
  <c r="AB1861" i="2"/>
  <c r="AA1861" i="2"/>
  <c r="Z1861" i="2"/>
  <c r="Y1861" i="2"/>
  <c r="X1861" i="2"/>
  <c r="W1861" i="2"/>
  <c r="V1861" i="2"/>
  <c r="AB1860" i="2"/>
  <c r="AA1860" i="2"/>
  <c r="Z1860" i="2"/>
  <c r="Y1860" i="2"/>
  <c r="X1860" i="2"/>
  <c r="W1860" i="2"/>
  <c r="V1860" i="2"/>
  <c r="AB1859" i="2"/>
  <c r="AA1859" i="2"/>
  <c r="Z1859" i="2"/>
  <c r="Y1859" i="2"/>
  <c r="X1859" i="2"/>
  <c r="W1859" i="2"/>
  <c r="V1859" i="2"/>
  <c r="AB1858" i="2"/>
  <c r="AA1858" i="2"/>
  <c r="Z1858" i="2"/>
  <c r="Y1858" i="2"/>
  <c r="X1858" i="2"/>
  <c r="W1858" i="2"/>
  <c r="V1858" i="2"/>
  <c r="AB1857" i="2"/>
  <c r="AA1857" i="2"/>
  <c r="Z1857" i="2"/>
  <c r="Y1857" i="2"/>
  <c r="X1857" i="2"/>
  <c r="W1857" i="2"/>
  <c r="V1857" i="2"/>
  <c r="AB1856" i="2"/>
  <c r="AA1856" i="2"/>
  <c r="Z1856" i="2"/>
  <c r="Y1856" i="2"/>
  <c r="X1856" i="2"/>
  <c r="W1856" i="2"/>
  <c r="V1856" i="2"/>
  <c r="AB1855" i="2"/>
  <c r="AA1855" i="2"/>
  <c r="Z1855" i="2"/>
  <c r="Y1855" i="2"/>
  <c r="X1855" i="2"/>
  <c r="W1855" i="2"/>
  <c r="V1855" i="2"/>
  <c r="AB1854" i="2"/>
  <c r="AA1854" i="2"/>
  <c r="Z1854" i="2"/>
  <c r="Y1854" i="2"/>
  <c r="X1854" i="2"/>
  <c r="W1854" i="2"/>
  <c r="V1854" i="2"/>
  <c r="AB1853" i="2"/>
  <c r="AA1853" i="2"/>
  <c r="Z1853" i="2"/>
  <c r="Y1853" i="2"/>
  <c r="X1853" i="2"/>
  <c r="W1853" i="2"/>
  <c r="V1853" i="2"/>
  <c r="AB1852" i="2"/>
  <c r="AA1852" i="2"/>
  <c r="Z1852" i="2"/>
  <c r="Y1852" i="2"/>
  <c r="X1852" i="2"/>
  <c r="W1852" i="2"/>
  <c r="V1852" i="2"/>
  <c r="AB1851" i="2"/>
  <c r="AA1851" i="2"/>
  <c r="Z1851" i="2"/>
  <c r="Y1851" i="2"/>
  <c r="X1851" i="2"/>
  <c r="W1851" i="2"/>
  <c r="V1851" i="2"/>
  <c r="AB1850" i="2"/>
  <c r="AA1850" i="2"/>
  <c r="Z1850" i="2"/>
  <c r="Y1850" i="2"/>
  <c r="X1850" i="2"/>
  <c r="W1850" i="2"/>
  <c r="V1850" i="2"/>
  <c r="AB1849" i="2"/>
  <c r="AA1849" i="2"/>
  <c r="Z1849" i="2"/>
  <c r="Y1849" i="2"/>
  <c r="X1849" i="2"/>
  <c r="W1849" i="2"/>
  <c r="V1849" i="2"/>
  <c r="AB1848" i="2"/>
  <c r="AA1848" i="2"/>
  <c r="Z1848" i="2"/>
  <c r="Y1848" i="2"/>
  <c r="X1848" i="2"/>
  <c r="W1848" i="2"/>
  <c r="V1848" i="2"/>
  <c r="AB1847" i="2"/>
  <c r="AA1847" i="2"/>
  <c r="Z1847" i="2"/>
  <c r="Y1847" i="2"/>
  <c r="X1847" i="2"/>
  <c r="W1847" i="2"/>
  <c r="V1847" i="2"/>
  <c r="AB1846" i="2"/>
  <c r="AA1846" i="2"/>
  <c r="Z1846" i="2"/>
  <c r="Y1846" i="2"/>
  <c r="X1846" i="2"/>
  <c r="W1846" i="2"/>
  <c r="V1846" i="2"/>
  <c r="AB1845" i="2"/>
  <c r="AA1845" i="2"/>
  <c r="Z1845" i="2"/>
  <c r="Y1845" i="2"/>
  <c r="X1845" i="2"/>
  <c r="W1845" i="2"/>
  <c r="V1845" i="2"/>
  <c r="AB1844" i="2"/>
  <c r="AA1844" i="2"/>
  <c r="Z1844" i="2"/>
  <c r="Y1844" i="2"/>
  <c r="X1844" i="2"/>
  <c r="W1844" i="2"/>
  <c r="V1844" i="2"/>
  <c r="AB1843" i="2"/>
  <c r="AA1843" i="2"/>
  <c r="Z1843" i="2"/>
  <c r="Y1843" i="2"/>
  <c r="X1843" i="2"/>
  <c r="W1843" i="2"/>
  <c r="V1843" i="2"/>
  <c r="AB1842" i="2"/>
  <c r="AA1842" i="2"/>
  <c r="Z1842" i="2"/>
  <c r="Y1842" i="2"/>
  <c r="X1842" i="2"/>
  <c r="W1842" i="2"/>
  <c r="V1842" i="2"/>
  <c r="AB1841" i="2"/>
  <c r="AA1841" i="2"/>
  <c r="Z1841" i="2"/>
  <c r="Y1841" i="2"/>
  <c r="X1841" i="2"/>
  <c r="W1841" i="2"/>
  <c r="V1841" i="2"/>
  <c r="AB1840" i="2"/>
  <c r="AA1840" i="2"/>
  <c r="Z1840" i="2"/>
  <c r="Y1840" i="2"/>
  <c r="X1840" i="2"/>
  <c r="W1840" i="2"/>
  <c r="V1840" i="2"/>
  <c r="AB1839" i="2"/>
  <c r="AA1839" i="2"/>
  <c r="Z1839" i="2"/>
  <c r="Y1839" i="2"/>
  <c r="X1839" i="2"/>
  <c r="W1839" i="2"/>
  <c r="V1839" i="2"/>
  <c r="AB1838" i="2"/>
  <c r="AA1838" i="2"/>
  <c r="Z1838" i="2"/>
  <c r="Y1838" i="2"/>
  <c r="X1838" i="2"/>
  <c r="W1838" i="2"/>
  <c r="V1838" i="2"/>
  <c r="AB1837" i="2"/>
  <c r="AA1837" i="2"/>
  <c r="Z1837" i="2"/>
  <c r="Y1837" i="2"/>
  <c r="X1837" i="2"/>
  <c r="W1837" i="2"/>
  <c r="V1837" i="2"/>
  <c r="AB1836" i="2"/>
  <c r="AA1836" i="2"/>
  <c r="Z1836" i="2"/>
  <c r="Y1836" i="2"/>
  <c r="X1836" i="2"/>
  <c r="W1836" i="2"/>
  <c r="V1836" i="2"/>
  <c r="AB1835" i="2"/>
  <c r="AA1835" i="2"/>
  <c r="Z1835" i="2"/>
  <c r="Y1835" i="2"/>
  <c r="X1835" i="2"/>
  <c r="W1835" i="2"/>
  <c r="V1835" i="2"/>
  <c r="AB1834" i="2"/>
  <c r="AA1834" i="2"/>
  <c r="Z1834" i="2"/>
  <c r="Y1834" i="2"/>
  <c r="X1834" i="2"/>
  <c r="W1834" i="2"/>
  <c r="V1834" i="2"/>
  <c r="AB1833" i="2"/>
  <c r="AA1833" i="2"/>
  <c r="Z1833" i="2"/>
  <c r="Y1833" i="2"/>
  <c r="X1833" i="2"/>
  <c r="W1833" i="2"/>
  <c r="V1833" i="2"/>
  <c r="AB1832" i="2"/>
  <c r="AA1832" i="2"/>
  <c r="Z1832" i="2"/>
  <c r="Y1832" i="2"/>
  <c r="X1832" i="2"/>
  <c r="W1832" i="2"/>
  <c r="V1832" i="2"/>
  <c r="AB1831" i="2"/>
  <c r="AA1831" i="2"/>
  <c r="Z1831" i="2"/>
  <c r="Y1831" i="2"/>
  <c r="X1831" i="2"/>
  <c r="W1831" i="2"/>
  <c r="V1831" i="2"/>
  <c r="AB1830" i="2"/>
  <c r="AA1830" i="2"/>
  <c r="Z1830" i="2"/>
  <c r="Y1830" i="2"/>
  <c r="X1830" i="2"/>
  <c r="W1830" i="2"/>
  <c r="V1830" i="2"/>
  <c r="AB1829" i="2"/>
  <c r="AA1829" i="2"/>
  <c r="Z1829" i="2"/>
  <c r="Y1829" i="2"/>
  <c r="X1829" i="2"/>
  <c r="W1829" i="2"/>
  <c r="V1829" i="2"/>
  <c r="AB1828" i="2"/>
  <c r="AA1828" i="2"/>
  <c r="Z1828" i="2"/>
  <c r="Y1828" i="2"/>
  <c r="X1828" i="2"/>
  <c r="W1828" i="2"/>
  <c r="V1828" i="2"/>
  <c r="AB1827" i="2"/>
  <c r="AA1827" i="2"/>
  <c r="Z1827" i="2"/>
  <c r="Y1827" i="2"/>
  <c r="X1827" i="2"/>
  <c r="W1827" i="2"/>
  <c r="V1827" i="2"/>
  <c r="AB1826" i="2"/>
  <c r="AA1826" i="2"/>
  <c r="Z1826" i="2"/>
  <c r="Y1826" i="2"/>
  <c r="X1826" i="2"/>
  <c r="W1826" i="2"/>
  <c r="V1826" i="2"/>
  <c r="AB1825" i="2"/>
  <c r="AA1825" i="2"/>
  <c r="Z1825" i="2"/>
  <c r="Y1825" i="2"/>
  <c r="X1825" i="2"/>
  <c r="W1825" i="2"/>
  <c r="V1825" i="2"/>
  <c r="AB1824" i="2"/>
  <c r="AA1824" i="2"/>
  <c r="Z1824" i="2"/>
  <c r="Y1824" i="2"/>
  <c r="X1824" i="2"/>
  <c r="W1824" i="2"/>
  <c r="V1824" i="2"/>
  <c r="AB1823" i="2"/>
  <c r="AA1823" i="2"/>
  <c r="Z1823" i="2"/>
  <c r="Y1823" i="2"/>
  <c r="X1823" i="2"/>
  <c r="W1823" i="2"/>
  <c r="V1823" i="2"/>
  <c r="AB1822" i="2"/>
  <c r="AA1822" i="2"/>
  <c r="Z1822" i="2"/>
  <c r="Y1822" i="2"/>
  <c r="X1822" i="2"/>
  <c r="W1822" i="2"/>
  <c r="V1822" i="2"/>
  <c r="AB1821" i="2"/>
  <c r="AA1821" i="2"/>
  <c r="Z1821" i="2"/>
  <c r="Y1821" i="2"/>
  <c r="X1821" i="2"/>
  <c r="W1821" i="2"/>
  <c r="V1821" i="2"/>
  <c r="AB1820" i="2"/>
  <c r="AA1820" i="2"/>
  <c r="Z1820" i="2"/>
  <c r="Y1820" i="2"/>
  <c r="X1820" i="2"/>
  <c r="W1820" i="2"/>
  <c r="V1820" i="2"/>
  <c r="AB1819" i="2"/>
  <c r="AA1819" i="2"/>
  <c r="Z1819" i="2"/>
  <c r="Y1819" i="2"/>
  <c r="X1819" i="2"/>
  <c r="W1819" i="2"/>
  <c r="V1819" i="2"/>
  <c r="AB1818" i="2"/>
  <c r="AA1818" i="2"/>
  <c r="Z1818" i="2"/>
  <c r="Y1818" i="2"/>
  <c r="X1818" i="2"/>
  <c r="W1818" i="2"/>
  <c r="V1818" i="2"/>
  <c r="AB1817" i="2"/>
  <c r="AA1817" i="2"/>
  <c r="Z1817" i="2"/>
  <c r="Y1817" i="2"/>
  <c r="X1817" i="2"/>
  <c r="W1817" i="2"/>
  <c r="V1817" i="2"/>
  <c r="AB1816" i="2"/>
  <c r="AA1816" i="2"/>
  <c r="Z1816" i="2"/>
  <c r="Y1816" i="2"/>
  <c r="X1816" i="2"/>
  <c r="W1816" i="2"/>
  <c r="V1816" i="2"/>
  <c r="AB1815" i="2"/>
  <c r="AA1815" i="2"/>
  <c r="Z1815" i="2"/>
  <c r="Y1815" i="2"/>
  <c r="X1815" i="2"/>
  <c r="W1815" i="2"/>
  <c r="V1815" i="2"/>
  <c r="AB1814" i="2"/>
  <c r="AA1814" i="2"/>
  <c r="Z1814" i="2"/>
  <c r="Y1814" i="2"/>
  <c r="X1814" i="2"/>
  <c r="W1814" i="2"/>
  <c r="V1814" i="2"/>
  <c r="AB1813" i="2"/>
  <c r="AA1813" i="2"/>
  <c r="Z1813" i="2"/>
  <c r="Y1813" i="2"/>
  <c r="X1813" i="2"/>
  <c r="W1813" i="2"/>
  <c r="V1813" i="2"/>
  <c r="AB1812" i="2"/>
  <c r="AA1812" i="2"/>
  <c r="Z1812" i="2"/>
  <c r="Y1812" i="2"/>
  <c r="X1812" i="2"/>
  <c r="W1812" i="2"/>
  <c r="V1812" i="2"/>
  <c r="AB1811" i="2"/>
  <c r="AA1811" i="2"/>
  <c r="Z1811" i="2"/>
  <c r="Y1811" i="2"/>
  <c r="X1811" i="2"/>
  <c r="W1811" i="2"/>
  <c r="V1811" i="2"/>
  <c r="AB1810" i="2"/>
  <c r="AA1810" i="2"/>
  <c r="Z1810" i="2"/>
  <c r="Y1810" i="2"/>
  <c r="X1810" i="2"/>
  <c r="W1810" i="2"/>
  <c r="V1810" i="2"/>
  <c r="AB1809" i="2"/>
  <c r="AA1809" i="2"/>
  <c r="Z1809" i="2"/>
  <c r="Y1809" i="2"/>
  <c r="X1809" i="2"/>
  <c r="W1809" i="2"/>
  <c r="V1809" i="2"/>
  <c r="AB1808" i="2"/>
  <c r="AA1808" i="2"/>
  <c r="Z1808" i="2"/>
  <c r="Y1808" i="2"/>
  <c r="X1808" i="2"/>
  <c r="W1808" i="2"/>
  <c r="V1808" i="2"/>
  <c r="AB1807" i="2"/>
  <c r="AA1807" i="2"/>
  <c r="Z1807" i="2"/>
  <c r="Y1807" i="2"/>
  <c r="X1807" i="2"/>
  <c r="W1807" i="2"/>
  <c r="V1807" i="2"/>
  <c r="AB1806" i="2"/>
  <c r="AA1806" i="2"/>
  <c r="Z1806" i="2"/>
  <c r="Y1806" i="2"/>
  <c r="X1806" i="2"/>
  <c r="W1806" i="2"/>
  <c r="V1806" i="2"/>
  <c r="AB1805" i="2"/>
  <c r="AA1805" i="2"/>
  <c r="Z1805" i="2"/>
  <c r="Y1805" i="2"/>
  <c r="X1805" i="2"/>
  <c r="W1805" i="2"/>
  <c r="V1805" i="2"/>
  <c r="AB1804" i="2"/>
  <c r="AA1804" i="2"/>
  <c r="Z1804" i="2"/>
  <c r="Y1804" i="2"/>
  <c r="X1804" i="2"/>
  <c r="W1804" i="2"/>
  <c r="V1804" i="2"/>
  <c r="AB1803" i="2"/>
  <c r="AA1803" i="2"/>
  <c r="Z1803" i="2"/>
  <c r="Y1803" i="2"/>
  <c r="X1803" i="2"/>
  <c r="W1803" i="2"/>
  <c r="V1803" i="2"/>
  <c r="AB1802" i="2"/>
  <c r="AA1802" i="2"/>
  <c r="Z1802" i="2"/>
  <c r="Y1802" i="2"/>
  <c r="X1802" i="2"/>
  <c r="W1802" i="2"/>
  <c r="V1802" i="2"/>
  <c r="AB1801" i="2"/>
  <c r="AA1801" i="2"/>
  <c r="Z1801" i="2"/>
  <c r="Y1801" i="2"/>
  <c r="X1801" i="2"/>
  <c r="W1801" i="2"/>
  <c r="V1801" i="2"/>
  <c r="AB1800" i="2"/>
  <c r="AA1800" i="2"/>
  <c r="Z1800" i="2"/>
  <c r="Y1800" i="2"/>
  <c r="X1800" i="2"/>
  <c r="W1800" i="2"/>
  <c r="V1800" i="2"/>
  <c r="AB1799" i="2"/>
  <c r="AA1799" i="2"/>
  <c r="Z1799" i="2"/>
  <c r="Y1799" i="2"/>
  <c r="X1799" i="2"/>
  <c r="W1799" i="2"/>
  <c r="V1799" i="2"/>
  <c r="AB1798" i="2"/>
  <c r="AA1798" i="2"/>
  <c r="Z1798" i="2"/>
  <c r="Y1798" i="2"/>
  <c r="X1798" i="2"/>
  <c r="W1798" i="2"/>
  <c r="V1798" i="2"/>
  <c r="AB1797" i="2"/>
  <c r="AA1797" i="2"/>
  <c r="Z1797" i="2"/>
  <c r="Y1797" i="2"/>
  <c r="X1797" i="2"/>
  <c r="W1797" i="2"/>
  <c r="V1797" i="2"/>
  <c r="AB1796" i="2"/>
  <c r="AA1796" i="2"/>
  <c r="Z1796" i="2"/>
  <c r="Y1796" i="2"/>
  <c r="X1796" i="2"/>
  <c r="W1796" i="2"/>
  <c r="V1796" i="2"/>
  <c r="AB1795" i="2"/>
  <c r="AA1795" i="2"/>
  <c r="Z1795" i="2"/>
  <c r="Y1795" i="2"/>
  <c r="X1795" i="2"/>
  <c r="W1795" i="2"/>
  <c r="V1795" i="2"/>
  <c r="AB1794" i="2"/>
  <c r="AA1794" i="2"/>
  <c r="Z1794" i="2"/>
  <c r="Y1794" i="2"/>
  <c r="X1794" i="2"/>
  <c r="W1794" i="2"/>
  <c r="V1794" i="2"/>
  <c r="AB1793" i="2"/>
  <c r="AA1793" i="2"/>
  <c r="Z1793" i="2"/>
  <c r="Y1793" i="2"/>
  <c r="X1793" i="2"/>
  <c r="W1793" i="2"/>
  <c r="V1793" i="2"/>
  <c r="AB1792" i="2"/>
  <c r="AA1792" i="2"/>
  <c r="Z1792" i="2"/>
  <c r="Y1792" i="2"/>
  <c r="X1792" i="2"/>
  <c r="W1792" i="2"/>
  <c r="V1792" i="2"/>
  <c r="AB1791" i="2"/>
  <c r="AA1791" i="2"/>
  <c r="Z1791" i="2"/>
  <c r="Y1791" i="2"/>
  <c r="X1791" i="2"/>
  <c r="W1791" i="2"/>
  <c r="V1791" i="2"/>
  <c r="AB1790" i="2"/>
  <c r="AA1790" i="2"/>
  <c r="Z1790" i="2"/>
  <c r="Y1790" i="2"/>
  <c r="X1790" i="2"/>
  <c r="W1790" i="2"/>
  <c r="V1790" i="2"/>
  <c r="AB1789" i="2"/>
  <c r="AA1789" i="2"/>
  <c r="Z1789" i="2"/>
  <c r="Y1789" i="2"/>
  <c r="X1789" i="2"/>
  <c r="W1789" i="2"/>
  <c r="V1789" i="2"/>
  <c r="AB1788" i="2"/>
  <c r="AA1788" i="2"/>
  <c r="Z1788" i="2"/>
  <c r="Y1788" i="2"/>
  <c r="X1788" i="2"/>
  <c r="W1788" i="2"/>
  <c r="V1788" i="2"/>
  <c r="AB1787" i="2"/>
  <c r="AA1787" i="2"/>
  <c r="Z1787" i="2"/>
  <c r="Y1787" i="2"/>
  <c r="X1787" i="2"/>
  <c r="W1787" i="2"/>
  <c r="V1787" i="2"/>
  <c r="AB1786" i="2"/>
  <c r="AA1786" i="2"/>
  <c r="Z1786" i="2"/>
  <c r="Y1786" i="2"/>
  <c r="X1786" i="2"/>
  <c r="W1786" i="2"/>
  <c r="V1786" i="2"/>
  <c r="AB1785" i="2"/>
  <c r="AA1785" i="2"/>
  <c r="Z1785" i="2"/>
  <c r="Y1785" i="2"/>
  <c r="X1785" i="2"/>
  <c r="W1785" i="2"/>
  <c r="V1785" i="2"/>
  <c r="AB1784" i="2"/>
  <c r="AA1784" i="2"/>
  <c r="Z1784" i="2"/>
  <c r="Y1784" i="2"/>
  <c r="X1784" i="2"/>
  <c r="W1784" i="2"/>
  <c r="V1784" i="2"/>
  <c r="AB1783" i="2"/>
  <c r="AA1783" i="2"/>
  <c r="Z1783" i="2"/>
  <c r="Y1783" i="2"/>
  <c r="X1783" i="2"/>
  <c r="W1783" i="2"/>
  <c r="V1783" i="2"/>
  <c r="AB1782" i="2"/>
  <c r="AA1782" i="2"/>
  <c r="Z1782" i="2"/>
  <c r="Y1782" i="2"/>
  <c r="X1782" i="2"/>
  <c r="W1782" i="2"/>
  <c r="V1782" i="2"/>
  <c r="AB1781" i="2"/>
  <c r="AA1781" i="2"/>
  <c r="Z1781" i="2"/>
  <c r="Y1781" i="2"/>
  <c r="X1781" i="2"/>
  <c r="W1781" i="2"/>
  <c r="V1781" i="2"/>
  <c r="AB1780" i="2"/>
  <c r="AA1780" i="2"/>
  <c r="Z1780" i="2"/>
  <c r="Y1780" i="2"/>
  <c r="X1780" i="2"/>
  <c r="W1780" i="2"/>
  <c r="V1780" i="2"/>
  <c r="AB1779" i="2"/>
  <c r="AA1779" i="2"/>
  <c r="Z1779" i="2"/>
  <c r="Y1779" i="2"/>
  <c r="X1779" i="2"/>
  <c r="W1779" i="2"/>
  <c r="V1779" i="2"/>
  <c r="AB1778" i="2"/>
  <c r="AA1778" i="2"/>
  <c r="Z1778" i="2"/>
  <c r="Y1778" i="2"/>
  <c r="X1778" i="2"/>
  <c r="W1778" i="2"/>
  <c r="V1778" i="2"/>
  <c r="AB1777" i="2"/>
  <c r="AA1777" i="2"/>
  <c r="Z1777" i="2"/>
  <c r="Y1777" i="2"/>
  <c r="X1777" i="2"/>
  <c r="W1777" i="2"/>
  <c r="V1777" i="2"/>
  <c r="AB1776" i="2"/>
  <c r="AA1776" i="2"/>
  <c r="Z1776" i="2"/>
  <c r="Y1776" i="2"/>
  <c r="X1776" i="2"/>
  <c r="W1776" i="2"/>
  <c r="V1776" i="2"/>
  <c r="AB1775" i="2"/>
  <c r="AA1775" i="2"/>
  <c r="Z1775" i="2"/>
  <c r="Y1775" i="2"/>
  <c r="X1775" i="2"/>
  <c r="W1775" i="2"/>
  <c r="V1775" i="2"/>
  <c r="AB1774" i="2"/>
  <c r="AA1774" i="2"/>
  <c r="Z1774" i="2"/>
  <c r="Y1774" i="2"/>
  <c r="X1774" i="2"/>
  <c r="W1774" i="2"/>
  <c r="V1774" i="2"/>
  <c r="AB1773" i="2"/>
  <c r="AA1773" i="2"/>
  <c r="Z1773" i="2"/>
  <c r="Y1773" i="2"/>
  <c r="X1773" i="2"/>
  <c r="W1773" i="2"/>
  <c r="V1773" i="2"/>
  <c r="AB1772" i="2"/>
  <c r="AA1772" i="2"/>
  <c r="Z1772" i="2"/>
  <c r="Y1772" i="2"/>
  <c r="X1772" i="2"/>
  <c r="W1772" i="2"/>
  <c r="V1772" i="2"/>
  <c r="AB1771" i="2"/>
  <c r="AA1771" i="2"/>
  <c r="Z1771" i="2"/>
  <c r="Y1771" i="2"/>
  <c r="X1771" i="2"/>
  <c r="W1771" i="2"/>
  <c r="V1771" i="2"/>
  <c r="AB1770" i="2"/>
  <c r="AA1770" i="2"/>
  <c r="Z1770" i="2"/>
  <c r="Y1770" i="2"/>
  <c r="X1770" i="2"/>
  <c r="W1770" i="2"/>
  <c r="V1770" i="2"/>
  <c r="AB1769" i="2"/>
  <c r="AA1769" i="2"/>
  <c r="Z1769" i="2"/>
  <c r="Y1769" i="2"/>
  <c r="X1769" i="2"/>
  <c r="W1769" i="2"/>
  <c r="V1769" i="2"/>
  <c r="AB1768" i="2"/>
  <c r="AA1768" i="2"/>
  <c r="Z1768" i="2"/>
  <c r="Y1768" i="2"/>
  <c r="X1768" i="2"/>
  <c r="W1768" i="2"/>
  <c r="V1768" i="2"/>
  <c r="AB1767" i="2"/>
  <c r="AA1767" i="2"/>
  <c r="Z1767" i="2"/>
  <c r="Y1767" i="2"/>
  <c r="X1767" i="2"/>
  <c r="W1767" i="2"/>
  <c r="V1767" i="2"/>
  <c r="AB1766" i="2"/>
  <c r="AA1766" i="2"/>
  <c r="Z1766" i="2"/>
  <c r="Y1766" i="2"/>
  <c r="X1766" i="2"/>
  <c r="W1766" i="2"/>
  <c r="V1766" i="2"/>
  <c r="AB1765" i="2"/>
  <c r="AA1765" i="2"/>
  <c r="Z1765" i="2"/>
  <c r="Y1765" i="2"/>
  <c r="X1765" i="2"/>
  <c r="W1765" i="2"/>
  <c r="V1765" i="2"/>
  <c r="AB1764" i="2"/>
  <c r="AA1764" i="2"/>
  <c r="Z1764" i="2"/>
  <c r="Y1764" i="2"/>
  <c r="X1764" i="2"/>
  <c r="W1764" i="2"/>
  <c r="V1764" i="2"/>
  <c r="AB1763" i="2"/>
  <c r="AA1763" i="2"/>
  <c r="Z1763" i="2"/>
  <c r="Y1763" i="2"/>
  <c r="X1763" i="2"/>
  <c r="W1763" i="2"/>
  <c r="V1763" i="2"/>
  <c r="AB1762" i="2"/>
  <c r="AA1762" i="2"/>
  <c r="Z1762" i="2"/>
  <c r="Y1762" i="2"/>
  <c r="X1762" i="2"/>
  <c r="W1762" i="2"/>
  <c r="V1762" i="2"/>
  <c r="AB1761" i="2"/>
  <c r="AA1761" i="2"/>
  <c r="Z1761" i="2"/>
  <c r="Y1761" i="2"/>
  <c r="X1761" i="2"/>
  <c r="W1761" i="2"/>
  <c r="V1761" i="2"/>
  <c r="AB1760" i="2"/>
  <c r="AA1760" i="2"/>
  <c r="Z1760" i="2"/>
  <c r="Y1760" i="2"/>
  <c r="X1760" i="2"/>
  <c r="W1760" i="2"/>
  <c r="V1760" i="2"/>
  <c r="AB1759" i="2"/>
  <c r="AA1759" i="2"/>
  <c r="Z1759" i="2"/>
  <c r="Y1759" i="2"/>
  <c r="X1759" i="2"/>
  <c r="W1759" i="2"/>
  <c r="V1759" i="2"/>
  <c r="AB1758" i="2"/>
  <c r="AA1758" i="2"/>
  <c r="Z1758" i="2"/>
  <c r="Y1758" i="2"/>
  <c r="X1758" i="2"/>
  <c r="W1758" i="2"/>
  <c r="V1758" i="2"/>
  <c r="AB1757" i="2"/>
  <c r="AA1757" i="2"/>
  <c r="Z1757" i="2"/>
  <c r="Y1757" i="2"/>
  <c r="X1757" i="2"/>
  <c r="W1757" i="2"/>
  <c r="V1757" i="2"/>
  <c r="AB1756" i="2"/>
  <c r="AA1756" i="2"/>
  <c r="Z1756" i="2"/>
  <c r="Y1756" i="2"/>
  <c r="X1756" i="2"/>
  <c r="W1756" i="2"/>
  <c r="V1756" i="2"/>
  <c r="AB1755" i="2"/>
  <c r="AA1755" i="2"/>
  <c r="Z1755" i="2"/>
  <c r="Y1755" i="2"/>
  <c r="X1755" i="2"/>
  <c r="W1755" i="2"/>
  <c r="V1755" i="2"/>
  <c r="AB1754" i="2"/>
  <c r="AA1754" i="2"/>
  <c r="Z1754" i="2"/>
  <c r="Y1754" i="2"/>
  <c r="X1754" i="2"/>
  <c r="W1754" i="2"/>
  <c r="V1754" i="2"/>
  <c r="AB1753" i="2"/>
  <c r="AA1753" i="2"/>
  <c r="Z1753" i="2"/>
  <c r="Y1753" i="2"/>
  <c r="X1753" i="2"/>
  <c r="W1753" i="2"/>
  <c r="V1753" i="2"/>
  <c r="AB1752" i="2"/>
  <c r="AA1752" i="2"/>
  <c r="Z1752" i="2"/>
  <c r="Y1752" i="2"/>
  <c r="X1752" i="2"/>
  <c r="W1752" i="2"/>
  <c r="V1752" i="2"/>
  <c r="AB1751" i="2"/>
  <c r="AA1751" i="2"/>
  <c r="Z1751" i="2"/>
  <c r="Y1751" i="2"/>
  <c r="X1751" i="2"/>
  <c r="W1751" i="2"/>
  <c r="V1751" i="2"/>
  <c r="AB1750" i="2"/>
  <c r="AA1750" i="2"/>
  <c r="Z1750" i="2"/>
  <c r="Y1750" i="2"/>
  <c r="X1750" i="2"/>
  <c r="W1750" i="2"/>
  <c r="V1750" i="2"/>
  <c r="AB1749" i="2"/>
  <c r="AA1749" i="2"/>
  <c r="Z1749" i="2"/>
  <c r="Y1749" i="2"/>
  <c r="X1749" i="2"/>
  <c r="W1749" i="2"/>
  <c r="V1749" i="2"/>
  <c r="AB1748" i="2"/>
  <c r="AA1748" i="2"/>
  <c r="Z1748" i="2"/>
  <c r="Y1748" i="2"/>
  <c r="X1748" i="2"/>
  <c r="W1748" i="2"/>
  <c r="V1748" i="2"/>
  <c r="AB1747" i="2"/>
  <c r="AA1747" i="2"/>
  <c r="Z1747" i="2"/>
  <c r="Y1747" i="2"/>
  <c r="X1747" i="2"/>
  <c r="W1747" i="2"/>
  <c r="V1747" i="2"/>
  <c r="AB1746" i="2"/>
  <c r="AA1746" i="2"/>
  <c r="Z1746" i="2"/>
  <c r="Y1746" i="2"/>
  <c r="X1746" i="2"/>
  <c r="W1746" i="2"/>
  <c r="V1746" i="2"/>
  <c r="AB1745" i="2"/>
  <c r="AA1745" i="2"/>
  <c r="Z1745" i="2"/>
  <c r="Y1745" i="2"/>
  <c r="X1745" i="2"/>
  <c r="W1745" i="2"/>
  <c r="V1745" i="2"/>
  <c r="AB1744" i="2"/>
  <c r="AA1744" i="2"/>
  <c r="Z1744" i="2"/>
  <c r="Y1744" i="2"/>
  <c r="X1744" i="2"/>
  <c r="W1744" i="2"/>
  <c r="V1744" i="2"/>
  <c r="AB1743" i="2"/>
  <c r="AA1743" i="2"/>
  <c r="Z1743" i="2"/>
  <c r="Y1743" i="2"/>
  <c r="X1743" i="2"/>
  <c r="W1743" i="2"/>
  <c r="V1743" i="2"/>
  <c r="AB1742" i="2"/>
  <c r="AA1742" i="2"/>
  <c r="Z1742" i="2"/>
  <c r="Y1742" i="2"/>
  <c r="X1742" i="2"/>
  <c r="W1742" i="2"/>
  <c r="V1742" i="2"/>
  <c r="AB1741" i="2"/>
  <c r="AA1741" i="2"/>
  <c r="Z1741" i="2"/>
  <c r="Y1741" i="2"/>
  <c r="X1741" i="2"/>
  <c r="W1741" i="2"/>
  <c r="V1741" i="2"/>
  <c r="AB1740" i="2"/>
  <c r="AA1740" i="2"/>
  <c r="Z1740" i="2"/>
  <c r="Y1740" i="2"/>
  <c r="X1740" i="2"/>
  <c r="W1740" i="2"/>
  <c r="V1740" i="2"/>
  <c r="AB1739" i="2"/>
  <c r="AA1739" i="2"/>
  <c r="Z1739" i="2"/>
  <c r="Y1739" i="2"/>
  <c r="X1739" i="2"/>
  <c r="W1739" i="2"/>
  <c r="V1739" i="2"/>
  <c r="AB1738" i="2"/>
  <c r="AA1738" i="2"/>
  <c r="Z1738" i="2"/>
  <c r="Y1738" i="2"/>
  <c r="X1738" i="2"/>
  <c r="W1738" i="2"/>
  <c r="V1738" i="2"/>
  <c r="AB1737" i="2"/>
  <c r="AA1737" i="2"/>
  <c r="Z1737" i="2"/>
  <c r="Y1737" i="2"/>
  <c r="X1737" i="2"/>
  <c r="W1737" i="2"/>
  <c r="V1737" i="2"/>
  <c r="AB1736" i="2"/>
  <c r="AA1736" i="2"/>
  <c r="Z1736" i="2"/>
  <c r="Y1736" i="2"/>
  <c r="X1736" i="2"/>
  <c r="W1736" i="2"/>
  <c r="V1736" i="2"/>
  <c r="AB1735" i="2"/>
  <c r="AA1735" i="2"/>
  <c r="Z1735" i="2"/>
  <c r="Y1735" i="2"/>
  <c r="X1735" i="2"/>
  <c r="W1735" i="2"/>
  <c r="V1735" i="2"/>
  <c r="AB1734" i="2"/>
  <c r="AA1734" i="2"/>
  <c r="Z1734" i="2"/>
  <c r="Y1734" i="2"/>
  <c r="X1734" i="2"/>
  <c r="W1734" i="2"/>
  <c r="V1734" i="2"/>
  <c r="AB1733" i="2"/>
  <c r="AA1733" i="2"/>
  <c r="Z1733" i="2"/>
  <c r="Y1733" i="2"/>
  <c r="X1733" i="2"/>
  <c r="W1733" i="2"/>
  <c r="V1733" i="2"/>
  <c r="AB1732" i="2"/>
  <c r="AA1732" i="2"/>
  <c r="Z1732" i="2"/>
  <c r="Y1732" i="2"/>
  <c r="X1732" i="2"/>
  <c r="W1732" i="2"/>
  <c r="V1732" i="2"/>
  <c r="AB1731" i="2"/>
  <c r="AA1731" i="2"/>
  <c r="Z1731" i="2"/>
  <c r="Y1731" i="2"/>
  <c r="X1731" i="2"/>
  <c r="W1731" i="2"/>
  <c r="V1731" i="2"/>
  <c r="AB1730" i="2"/>
  <c r="AA1730" i="2"/>
  <c r="Z1730" i="2"/>
  <c r="Y1730" i="2"/>
  <c r="X1730" i="2"/>
  <c r="W1730" i="2"/>
  <c r="V1730" i="2"/>
  <c r="AB1729" i="2"/>
  <c r="AA1729" i="2"/>
  <c r="Z1729" i="2"/>
  <c r="Y1729" i="2"/>
  <c r="X1729" i="2"/>
  <c r="W1729" i="2"/>
  <c r="V1729" i="2"/>
  <c r="AB1728" i="2"/>
  <c r="AA1728" i="2"/>
  <c r="Z1728" i="2"/>
  <c r="Y1728" i="2"/>
  <c r="X1728" i="2"/>
  <c r="W1728" i="2"/>
  <c r="V1728" i="2"/>
  <c r="AB1727" i="2"/>
  <c r="AA1727" i="2"/>
  <c r="Z1727" i="2"/>
  <c r="Y1727" i="2"/>
  <c r="X1727" i="2"/>
  <c r="W1727" i="2"/>
  <c r="V1727" i="2"/>
  <c r="AB1726" i="2"/>
  <c r="AA1726" i="2"/>
  <c r="Z1726" i="2"/>
  <c r="Y1726" i="2"/>
  <c r="X1726" i="2"/>
  <c r="W1726" i="2"/>
  <c r="V1726" i="2"/>
  <c r="AB1725" i="2"/>
  <c r="AA1725" i="2"/>
  <c r="Z1725" i="2"/>
  <c r="Y1725" i="2"/>
  <c r="X1725" i="2"/>
  <c r="W1725" i="2"/>
  <c r="V1725" i="2"/>
  <c r="AB1724" i="2"/>
  <c r="AA1724" i="2"/>
  <c r="Z1724" i="2"/>
  <c r="Y1724" i="2"/>
  <c r="X1724" i="2"/>
  <c r="W1724" i="2"/>
  <c r="V1724" i="2"/>
  <c r="AB1723" i="2"/>
  <c r="AA1723" i="2"/>
  <c r="Z1723" i="2"/>
  <c r="Y1723" i="2"/>
  <c r="X1723" i="2"/>
  <c r="W1723" i="2"/>
  <c r="V1723" i="2"/>
  <c r="AB1722" i="2"/>
  <c r="AA1722" i="2"/>
  <c r="Z1722" i="2"/>
  <c r="Y1722" i="2"/>
  <c r="X1722" i="2"/>
  <c r="W1722" i="2"/>
  <c r="V1722" i="2"/>
  <c r="AB1721" i="2"/>
  <c r="AA1721" i="2"/>
  <c r="Z1721" i="2"/>
  <c r="Y1721" i="2"/>
  <c r="X1721" i="2"/>
  <c r="W1721" i="2"/>
  <c r="V1721" i="2"/>
  <c r="AB1720" i="2"/>
  <c r="AA1720" i="2"/>
  <c r="Z1720" i="2"/>
  <c r="Y1720" i="2"/>
  <c r="X1720" i="2"/>
  <c r="W1720" i="2"/>
  <c r="V1720" i="2"/>
  <c r="AB1719" i="2"/>
  <c r="AA1719" i="2"/>
  <c r="Z1719" i="2"/>
  <c r="Y1719" i="2"/>
  <c r="X1719" i="2"/>
  <c r="W1719" i="2"/>
  <c r="V1719" i="2"/>
  <c r="AB1718" i="2"/>
  <c r="AA1718" i="2"/>
  <c r="Z1718" i="2"/>
  <c r="Y1718" i="2"/>
  <c r="X1718" i="2"/>
  <c r="W1718" i="2"/>
  <c r="V1718" i="2"/>
  <c r="AB1717" i="2"/>
  <c r="AA1717" i="2"/>
  <c r="Z1717" i="2"/>
  <c r="Y1717" i="2"/>
  <c r="X1717" i="2"/>
  <c r="W1717" i="2"/>
  <c r="V1717" i="2"/>
  <c r="AB1716" i="2"/>
  <c r="AA1716" i="2"/>
  <c r="Z1716" i="2"/>
  <c r="Y1716" i="2"/>
  <c r="X1716" i="2"/>
  <c r="W1716" i="2"/>
  <c r="V1716" i="2"/>
  <c r="AB1715" i="2"/>
  <c r="AA1715" i="2"/>
  <c r="Z1715" i="2"/>
  <c r="Y1715" i="2"/>
  <c r="X1715" i="2"/>
  <c r="W1715" i="2"/>
  <c r="V1715" i="2"/>
  <c r="AB1714" i="2"/>
  <c r="AA1714" i="2"/>
  <c r="Z1714" i="2"/>
  <c r="Y1714" i="2"/>
  <c r="X1714" i="2"/>
  <c r="W1714" i="2"/>
  <c r="V1714" i="2"/>
  <c r="AB1713" i="2"/>
  <c r="AA1713" i="2"/>
  <c r="Z1713" i="2"/>
  <c r="Y1713" i="2"/>
  <c r="X1713" i="2"/>
  <c r="W1713" i="2"/>
  <c r="V1713" i="2"/>
  <c r="AB1712" i="2"/>
  <c r="AA1712" i="2"/>
  <c r="Z1712" i="2"/>
  <c r="Y1712" i="2"/>
  <c r="X1712" i="2"/>
  <c r="W1712" i="2"/>
  <c r="V1712" i="2"/>
  <c r="AB1711" i="2"/>
  <c r="AA1711" i="2"/>
  <c r="Z1711" i="2"/>
  <c r="Y1711" i="2"/>
  <c r="X1711" i="2"/>
  <c r="W1711" i="2"/>
  <c r="V1711" i="2"/>
  <c r="AB1710" i="2"/>
  <c r="AA1710" i="2"/>
  <c r="Z1710" i="2"/>
  <c r="Y1710" i="2"/>
  <c r="X1710" i="2"/>
  <c r="W1710" i="2"/>
  <c r="V1710" i="2"/>
  <c r="AB1709" i="2"/>
  <c r="AA1709" i="2"/>
  <c r="Z1709" i="2"/>
  <c r="Y1709" i="2"/>
  <c r="X1709" i="2"/>
  <c r="W1709" i="2"/>
  <c r="V1709" i="2"/>
  <c r="AB1708" i="2"/>
  <c r="AA1708" i="2"/>
  <c r="Z1708" i="2"/>
  <c r="Y1708" i="2"/>
  <c r="X1708" i="2"/>
  <c r="W1708" i="2"/>
  <c r="V1708" i="2"/>
  <c r="AB1707" i="2"/>
  <c r="AA1707" i="2"/>
  <c r="Z1707" i="2"/>
  <c r="Y1707" i="2"/>
  <c r="X1707" i="2"/>
  <c r="W1707" i="2"/>
  <c r="V1707" i="2"/>
  <c r="AB1706" i="2"/>
  <c r="AA1706" i="2"/>
  <c r="Z1706" i="2"/>
  <c r="Y1706" i="2"/>
  <c r="X1706" i="2"/>
  <c r="W1706" i="2"/>
  <c r="V1706" i="2"/>
  <c r="AB1705" i="2"/>
  <c r="AA1705" i="2"/>
  <c r="Z1705" i="2"/>
  <c r="Y1705" i="2"/>
  <c r="X1705" i="2"/>
  <c r="W1705" i="2"/>
  <c r="V1705" i="2"/>
  <c r="AB1704" i="2"/>
  <c r="AA1704" i="2"/>
  <c r="Z1704" i="2"/>
  <c r="Y1704" i="2"/>
  <c r="X1704" i="2"/>
  <c r="W1704" i="2"/>
  <c r="V1704" i="2"/>
  <c r="AB1703" i="2"/>
  <c r="AA1703" i="2"/>
  <c r="Z1703" i="2"/>
  <c r="Y1703" i="2"/>
  <c r="X1703" i="2"/>
  <c r="W1703" i="2"/>
  <c r="V1703" i="2"/>
  <c r="AB1702" i="2"/>
  <c r="AA1702" i="2"/>
  <c r="Z1702" i="2"/>
  <c r="Y1702" i="2"/>
  <c r="X1702" i="2"/>
  <c r="W1702" i="2"/>
  <c r="V1702" i="2"/>
  <c r="AB1701" i="2"/>
  <c r="AA1701" i="2"/>
  <c r="Z1701" i="2"/>
  <c r="Y1701" i="2"/>
  <c r="X1701" i="2"/>
  <c r="W1701" i="2"/>
  <c r="V1701" i="2"/>
  <c r="AB1700" i="2"/>
  <c r="AA1700" i="2"/>
  <c r="Z1700" i="2"/>
  <c r="Y1700" i="2"/>
  <c r="X1700" i="2"/>
  <c r="W1700" i="2"/>
  <c r="V1700" i="2"/>
  <c r="AB1699" i="2"/>
  <c r="AA1699" i="2"/>
  <c r="Z1699" i="2"/>
  <c r="Y1699" i="2"/>
  <c r="X1699" i="2"/>
  <c r="W1699" i="2"/>
  <c r="V1699" i="2"/>
  <c r="AB1698" i="2"/>
  <c r="AA1698" i="2"/>
  <c r="Z1698" i="2"/>
  <c r="Y1698" i="2"/>
  <c r="X1698" i="2"/>
  <c r="W1698" i="2"/>
  <c r="V1698" i="2"/>
  <c r="AB1697" i="2"/>
  <c r="AA1697" i="2"/>
  <c r="Z1697" i="2"/>
  <c r="Y1697" i="2"/>
  <c r="X1697" i="2"/>
  <c r="W1697" i="2"/>
  <c r="V1697" i="2"/>
  <c r="AB1696" i="2"/>
  <c r="AA1696" i="2"/>
  <c r="Z1696" i="2"/>
  <c r="Y1696" i="2"/>
  <c r="X1696" i="2"/>
  <c r="W1696" i="2"/>
  <c r="V1696" i="2"/>
  <c r="AB1695" i="2"/>
  <c r="AA1695" i="2"/>
  <c r="Z1695" i="2"/>
  <c r="Y1695" i="2"/>
  <c r="X1695" i="2"/>
  <c r="W1695" i="2"/>
  <c r="V1695" i="2"/>
  <c r="AB1694" i="2"/>
  <c r="AA1694" i="2"/>
  <c r="Z1694" i="2"/>
  <c r="Y1694" i="2"/>
  <c r="X1694" i="2"/>
  <c r="W1694" i="2"/>
  <c r="V1694" i="2"/>
  <c r="AB1693" i="2"/>
  <c r="AA1693" i="2"/>
  <c r="Z1693" i="2"/>
  <c r="Y1693" i="2"/>
  <c r="X1693" i="2"/>
  <c r="W1693" i="2"/>
  <c r="V1693" i="2"/>
  <c r="AB1692" i="2"/>
  <c r="AA1692" i="2"/>
  <c r="Z1692" i="2"/>
  <c r="Y1692" i="2"/>
  <c r="X1692" i="2"/>
  <c r="W1692" i="2"/>
  <c r="V1692" i="2"/>
  <c r="AB1691" i="2"/>
  <c r="AA1691" i="2"/>
  <c r="Z1691" i="2"/>
  <c r="Y1691" i="2"/>
  <c r="X1691" i="2"/>
  <c r="W1691" i="2"/>
  <c r="V1691" i="2"/>
  <c r="AB1690" i="2"/>
  <c r="AA1690" i="2"/>
  <c r="Z1690" i="2"/>
  <c r="Y1690" i="2"/>
  <c r="X1690" i="2"/>
  <c r="W1690" i="2"/>
  <c r="V1690" i="2"/>
  <c r="AB1689" i="2"/>
  <c r="AA1689" i="2"/>
  <c r="Z1689" i="2"/>
  <c r="Y1689" i="2"/>
  <c r="X1689" i="2"/>
  <c r="W1689" i="2"/>
  <c r="V1689" i="2"/>
  <c r="AB1688" i="2"/>
  <c r="AA1688" i="2"/>
  <c r="Z1688" i="2"/>
  <c r="Y1688" i="2"/>
  <c r="X1688" i="2"/>
  <c r="W1688" i="2"/>
  <c r="V1688" i="2"/>
  <c r="AB1687" i="2"/>
  <c r="AA1687" i="2"/>
  <c r="Z1687" i="2"/>
  <c r="Y1687" i="2"/>
  <c r="X1687" i="2"/>
  <c r="W1687" i="2"/>
  <c r="V1687" i="2"/>
  <c r="AB1686" i="2"/>
  <c r="AA1686" i="2"/>
  <c r="Z1686" i="2"/>
  <c r="Y1686" i="2"/>
  <c r="X1686" i="2"/>
  <c r="W1686" i="2"/>
  <c r="V1686" i="2"/>
  <c r="AB1685" i="2"/>
  <c r="AA1685" i="2"/>
  <c r="Z1685" i="2"/>
  <c r="Y1685" i="2"/>
  <c r="X1685" i="2"/>
  <c r="W1685" i="2"/>
  <c r="V1685" i="2"/>
  <c r="AB1684" i="2"/>
  <c r="AA1684" i="2"/>
  <c r="Z1684" i="2"/>
  <c r="Y1684" i="2"/>
  <c r="X1684" i="2"/>
  <c r="W1684" i="2"/>
  <c r="V1684" i="2"/>
  <c r="AB1683" i="2"/>
  <c r="AA1683" i="2"/>
  <c r="Z1683" i="2"/>
  <c r="Y1683" i="2"/>
  <c r="X1683" i="2"/>
  <c r="W1683" i="2"/>
  <c r="V1683" i="2"/>
  <c r="AB1682" i="2"/>
  <c r="AA1682" i="2"/>
  <c r="Z1682" i="2"/>
  <c r="Y1682" i="2"/>
  <c r="X1682" i="2"/>
  <c r="W1682" i="2"/>
  <c r="V1682" i="2"/>
  <c r="AB1681" i="2"/>
  <c r="AA1681" i="2"/>
  <c r="Z1681" i="2"/>
  <c r="Y1681" i="2"/>
  <c r="X1681" i="2"/>
  <c r="W1681" i="2"/>
  <c r="V1681" i="2"/>
  <c r="AB1680" i="2"/>
  <c r="AA1680" i="2"/>
  <c r="Z1680" i="2"/>
  <c r="Y1680" i="2"/>
  <c r="X1680" i="2"/>
  <c r="W1680" i="2"/>
  <c r="V1680" i="2"/>
  <c r="AB1679" i="2"/>
  <c r="AA1679" i="2"/>
  <c r="Z1679" i="2"/>
  <c r="Y1679" i="2"/>
  <c r="X1679" i="2"/>
  <c r="W1679" i="2"/>
  <c r="V1679" i="2"/>
  <c r="AB1678" i="2"/>
  <c r="AA1678" i="2"/>
  <c r="Z1678" i="2"/>
  <c r="Y1678" i="2"/>
  <c r="X1678" i="2"/>
  <c r="W1678" i="2"/>
  <c r="V1678" i="2"/>
  <c r="AB1677" i="2"/>
  <c r="AA1677" i="2"/>
  <c r="Z1677" i="2"/>
  <c r="Y1677" i="2"/>
  <c r="X1677" i="2"/>
  <c r="W1677" i="2"/>
  <c r="V1677" i="2"/>
  <c r="AB1676" i="2"/>
  <c r="AA1676" i="2"/>
  <c r="Z1676" i="2"/>
  <c r="Y1676" i="2"/>
  <c r="X1676" i="2"/>
  <c r="W1676" i="2"/>
  <c r="V1676" i="2"/>
  <c r="AB1675" i="2"/>
  <c r="AA1675" i="2"/>
  <c r="Z1675" i="2"/>
  <c r="Y1675" i="2"/>
  <c r="X1675" i="2"/>
  <c r="W1675" i="2"/>
  <c r="V1675" i="2"/>
  <c r="AB1674" i="2"/>
  <c r="AA1674" i="2"/>
  <c r="Z1674" i="2"/>
  <c r="Y1674" i="2"/>
  <c r="X1674" i="2"/>
  <c r="W1674" i="2"/>
  <c r="V1674" i="2"/>
  <c r="AB1673" i="2"/>
  <c r="AA1673" i="2"/>
  <c r="Z1673" i="2"/>
  <c r="Y1673" i="2"/>
  <c r="X1673" i="2"/>
  <c r="W1673" i="2"/>
  <c r="V1673" i="2"/>
  <c r="AB1672" i="2"/>
  <c r="AA1672" i="2"/>
  <c r="Z1672" i="2"/>
  <c r="Y1672" i="2"/>
  <c r="X1672" i="2"/>
  <c r="W1672" i="2"/>
  <c r="V1672" i="2"/>
  <c r="AB1671" i="2"/>
  <c r="AA1671" i="2"/>
  <c r="Z1671" i="2"/>
  <c r="Y1671" i="2"/>
  <c r="X1671" i="2"/>
  <c r="W1671" i="2"/>
  <c r="V1671" i="2"/>
  <c r="AB1670" i="2"/>
  <c r="AA1670" i="2"/>
  <c r="Z1670" i="2"/>
  <c r="Y1670" i="2"/>
  <c r="X1670" i="2"/>
  <c r="W1670" i="2"/>
  <c r="V1670" i="2"/>
  <c r="AB1669" i="2"/>
  <c r="AA1669" i="2"/>
  <c r="Z1669" i="2"/>
  <c r="Y1669" i="2"/>
  <c r="X1669" i="2"/>
  <c r="W1669" i="2"/>
  <c r="V1669" i="2"/>
  <c r="AB1668" i="2"/>
  <c r="AA1668" i="2"/>
  <c r="Z1668" i="2"/>
  <c r="Y1668" i="2"/>
  <c r="X1668" i="2"/>
  <c r="W1668" i="2"/>
  <c r="V1668" i="2"/>
  <c r="AB1667" i="2"/>
  <c r="AA1667" i="2"/>
  <c r="Z1667" i="2"/>
  <c r="Y1667" i="2"/>
  <c r="X1667" i="2"/>
  <c r="W1667" i="2"/>
  <c r="V1667" i="2"/>
  <c r="AB1666" i="2"/>
  <c r="AA1666" i="2"/>
  <c r="Z1666" i="2"/>
  <c r="Y1666" i="2"/>
  <c r="X1666" i="2"/>
  <c r="W1666" i="2"/>
  <c r="V1666" i="2"/>
  <c r="AB1665" i="2"/>
  <c r="AA1665" i="2"/>
  <c r="Z1665" i="2"/>
  <c r="Y1665" i="2"/>
  <c r="X1665" i="2"/>
  <c r="W1665" i="2"/>
  <c r="V1665" i="2"/>
  <c r="AB1664" i="2"/>
  <c r="AA1664" i="2"/>
  <c r="Z1664" i="2"/>
  <c r="Y1664" i="2"/>
  <c r="X1664" i="2"/>
  <c r="W1664" i="2"/>
  <c r="V1664" i="2"/>
  <c r="AB1663" i="2"/>
  <c r="AA1663" i="2"/>
  <c r="Z1663" i="2"/>
  <c r="Y1663" i="2"/>
  <c r="X1663" i="2"/>
  <c r="W1663" i="2"/>
  <c r="V1663" i="2"/>
  <c r="AB1662" i="2"/>
  <c r="AA1662" i="2"/>
  <c r="Z1662" i="2"/>
  <c r="Y1662" i="2"/>
  <c r="X1662" i="2"/>
  <c r="W1662" i="2"/>
  <c r="V1662" i="2"/>
  <c r="AB1661" i="2"/>
  <c r="AA1661" i="2"/>
  <c r="Z1661" i="2"/>
  <c r="Y1661" i="2"/>
  <c r="X1661" i="2"/>
  <c r="W1661" i="2"/>
  <c r="V1661" i="2"/>
  <c r="AB1660" i="2"/>
  <c r="AA1660" i="2"/>
  <c r="Z1660" i="2"/>
  <c r="Y1660" i="2"/>
  <c r="X1660" i="2"/>
  <c r="W1660" i="2"/>
  <c r="V1660" i="2"/>
  <c r="AB1659" i="2"/>
  <c r="AA1659" i="2"/>
  <c r="Z1659" i="2"/>
  <c r="Y1659" i="2"/>
  <c r="X1659" i="2"/>
  <c r="W1659" i="2"/>
  <c r="V1659" i="2"/>
  <c r="AB1658" i="2"/>
  <c r="AA1658" i="2"/>
  <c r="Z1658" i="2"/>
  <c r="Y1658" i="2"/>
  <c r="X1658" i="2"/>
  <c r="W1658" i="2"/>
  <c r="V1658" i="2"/>
  <c r="AB1657" i="2"/>
  <c r="AA1657" i="2"/>
  <c r="Z1657" i="2"/>
  <c r="Y1657" i="2"/>
  <c r="X1657" i="2"/>
  <c r="W1657" i="2"/>
  <c r="V1657" i="2"/>
  <c r="AB1656" i="2"/>
  <c r="AA1656" i="2"/>
  <c r="Z1656" i="2"/>
  <c r="Y1656" i="2"/>
  <c r="X1656" i="2"/>
  <c r="W1656" i="2"/>
  <c r="V1656" i="2"/>
  <c r="AB1655" i="2"/>
  <c r="AA1655" i="2"/>
  <c r="Z1655" i="2"/>
  <c r="Y1655" i="2"/>
  <c r="X1655" i="2"/>
  <c r="W1655" i="2"/>
  <c r="V1655" i="2"/>
  <c r="AB1654" i="2"/>
  <c r="AA1654" i="2"/>
  <c r="Z1654" i="2"/>
  <c r="Y1654" i="2"/>
  <c r="X1654" i="2"/>
  <c r="W1654" i="2"/>
  <c r="V1654" i="2"/>
  <c r="AB1653" i="2"/>
  <c r="AA1653" i="2"/>
  <c r="Z1653" i="2"/>
  <c r="Y1653" i="2"/>
  <c r="X1653" i="2"/>
  <c r="W1653" i="2"/>
  <c r="V1653" i="2"/>
  <c r="AB1652" i="2"/>
  <c r="AA1652" i="2"/>
  <c r="Z1652" i="2"/>
  <c r="Y1652" i="2"/>
  <c r="X1652" i="2"/>
  <c r="W1652" i="2"/>
  <c r="V1652" i="2"/>
  <c r="AB1651" i="2"/>
  <c r="AA1651" i="2"/>
  <c r="Z1651" i="2"/>
  <c r="Y1651" i="2"/>
  <c r="X1651" i="2"/>
  <c r="W1651" i="2"/>
  <c r="V1651" i="2"/>
  <c r="AB1650" i="2"/>
  <c r="AA1650" i="2"/>
  <c r="Z1650" i="2"/>
  <c r="Y1650" i="2"/>
  <c r="X1650" i="2"/>
  <c r="W1650" i="2"/>
  <c r="V1650" i="2"/>
  <c r="AB1649" i="2"/>
  <c r="AA1649" i="2"/>
  <c r="Z1649" i="2"/>
  <c r="Y1649" i="2"/>
  <c r="X1649" i="2"/>
  <c r="W1649" i="2"/>
  <c r="V1649" i="2"/>
  <c r="AB1648" i="2"/>
  <c r="AA1648" i="2"/>
  <c r="Z1648" i="2"/>
  <c r="Y1648" i="2"/>
  <c r="X1648" i="2"/>
  <c r="W1648" i="2"/>
  <c r="V1648" i="2"/>
  <c r="AB1647" i="2"/>
  <c r="AA1647" i="2"/>
  <c r="Z1647" i="2"/>
  <c r="Y1647" i="2"/>
  <c r="X1647" i="2"/>
  <c r="W1647" i="2"/>
  <c r="V1647" i="2"/>
  <c r="AB1646" i="2"/>
  <c r="AA1646" i="2"/>
  <c r="Z1646" i="2"/>
  <c r="Y1646" i="2"/>
  <c r="X1646" i="2"/>
  <c r="W1646" i="2"/>
  <c r="V1646" i="2"/>
  <c r="AB1645" i="2"/>
  <c r="AA1645" i="2"/>
  <c r="Z1645" i="2"/>
  <c r="Y1645" i="2"/>
  <c r="X1645" i="2"/>
  <c r="W1645" i="2"/>
  <c r="V1645" i="2"/>
  <c r="AB1644" i="2"/>
  <c r="AA1644" i="2"/>
  <c r="Z1644" i="2"/>
  <c r="Y1644" i="2"/>
  <c r="X1644" i="2"/>
  <c r="W1644" i="2"/>
  <c r="V1644" i="2"/>
  <c r="AB1643" i="2"/>
  <c r="AA1643" i="2"/>
  <c r="Z1643" i="2"/>
  <c r="Y1643" i="2"/>
  <c r="X1643" i="2"/>
  <c r="W1643" i="2"/>
  <c r="V1643" i="2"/>
  <c r="AB1642" i="2"/>
  <c r="AA1642" i="2"/>
  <c r="Z1642" i="2"/>
  <c r="Y1642" i="2"/>
  <c r="X1642" i="2"/>
  <c r="W1642" i="2"/>
  <c r="V1642" i="2"/>
  <c r="AB1641" i="2"/>
  <c r="AA1641" i="2"/>
  <c r="Z1641" i="2"/>
  <c r="Y1641" i="2"/>
  <c r="X1641" i="2"/>
  <c r="W1641" i="2"/>
  <c r="V1641" i="2"/>
  <c r="AB1640" i="2"/>
  <c r="AA1640" i="2"/>
  <c r="Z1640" i="2"/>
  <c r="Y1640" i="2"/>
  <c r="X1640" i="2"/>
  <c r="W1640" i="2"/>
  <c r="V1640" i="2"/>
  <c r="AB1639" i="2"/>
  <c r="AA1639" i="2"/>
  <c r="Z1639" i="2"/>
  <c r="Y1639" i="2"/>
  <c r="X1639" i="2"/>
  <c r="W1639" i="2"/>
  <c r="V1639" i="2"/>
  <c r="AB1638" i="2"/>
  <c r="AA1638" i="2"/>
  <c r="Z1638" i="2"/>
  <c r="Y1638" i="2"/>
  <c r="X1638" i="2"/>
  <c r="W1638" i="2"/>
  <c r="V1638" i="2"/>
  <c r="AB1637" i="2"/>
  <c r="AA1637" i="2"/>
  <c r="Z1637" i="2"/>
  <c r="Y1637" i="2"/>
  <c r="X1637" i="2"/>
  <c r="W1637" i="2"/>
  <c r="V1637" i="2"/>
  <c r="AB1636" i="2"/>
  <c r="AA1636" i="2"/>
  <c r="Z1636" i="2"/>
  <c r="Y1636" i="2"/>
  <c r="X1636" i="2"/>
  <c r="W1636" i="2"/>
  <c r="V1636" i="2"/>
  <c r="AB1635" i="2"/>
  <c r="AA1635" i="2"/>
  <c r="Z1635" i="2"/>
  <c r="Y1635" i="2"/>
  <c r="X1635" i="2"/>
  <c r="W1635" i="2"/>
  <c r="V1635" i="2"/>
  <c r="AB1634" i="2"/>
  <c r="AA1634" i="2"/>
  <c r="Z1634" i="2"/>
  <c r="Y1634" i="2"/>
  <c r="X1634" i="2"/>
  <c r="W1634" i="2"/>
  <c r="V1634" i="2"/>
  <c r="AB1633" i="2"/>
  <c r="AA1633" i="2"/>
  <c r="Z1633" i="2"/>
  <c r="Y1633" i="2"/>
  <c r="X1633" i="2"/>
  <c r="W1633" i="2"/>
  <c r="V1633" i="2"/>
  <c r="AB1632" i="2"/>
  <c r="AA1632" i="2"/>
  <c r="Z1632" i="2"/>
  <c r="Y1632" i="2"/>
  <c r="X1632" i="2"/>
  <c r="W1632" i="2"/>
  <c r="V1632" i="2"/>
  <c r="AB1631" i="2"/>
  <c r="AA1631" i="2"/>
  <c r="Z1631" i="2"/>
  <c r="Y1631" i="2"/>
  <c r="X1631" i="2"/>
  <c r="W1631" i="2"/>
  <c r="V1631" i="2"/>
  <c r="AB1630" i="2"/>
  <c r="AA1630" i="2"/>
  <c r="Z1630" i="2"/>
  <c r="Y1630" i="2"/>
  <c r="X1630" i="2"/>
  <c r="W1630" i="2"/>
  <c r="V1630" i="2"/>
  <c r="AB1629" i="2"/>
  <c r="AA1629" i="2"/>
  <c r="Z1629" i="2"/>
  <c r="Y1629" i="2"/>
  <c r="X1629" i="2"/>
  <c r="W1629" i="2"/>
  <c r="V1629" i="2"/>
  <c r="AB1628" i="2"/>
  <c r="AA1628" i="2"/>
  <c r="Z1628" i="2"/>
  <c r="Y1628" i="2"/>
  <c r="X1628" i="2"/>
  <c r="W1628" i="2"/>
  <c r="V1628" i="2"/>
  <c r="AB1627" i="2"/>
  <c r="AA1627" i="2"/>
  <c r="Z1627" i="2"/>
  <c r="Y1627" i="2"/>
  <c r="X1627" i="2"/>
  <c r="W1627" i="2"/>
  <c r="V1627" i="2"/>
  <c r="AB1626" i="2"/>
  <c r="AA1626" i="2"/>
  <c r="Z1626" i="2"/>
  <c r="Y1626" i="2"/>
  <c r="X1626" i="2"/>
  <c r="W1626" i="2"/>
  <c r="V1626" i="2"/>
  <c r="AB1625" i="2"/>
  <c r="AA1625" i="2"/>
  <c r="Z1625" i="2"/>
  <c r="Y1625" i="2"/>
  <c r="X1625" i="2"/>
  <c r="W1625" i="2"/>
  <c r="V1625" i="2"/>
  <c r="AB1624" i="2"/>
  <c r="AA1624" i="2"/>
  <c r="Z1624" i="2"/>
  <c r="Y1624" i="2"/>
  <c r="X1624" i="2"/>
  <c r="W1624" i="2"/>
  <c r="V1624" i="2"/>
  <c r="AB1623" i="2"/>
  <c r="AA1623" i="2"/>
  <c r="Z1623" i="2"/>
  <c r="Y1623" i="2"/>
  <c r="X1623" i="2"/>
  <c r="W1623" i="2"/>
  <c r="V1623" i="2"/>
  <c r="AB1622" i="2"/>
  <c r="AA1622" i="2"/>
  <c r="Z1622" i="2"/>
  <c r="Y1622" i="2"/>
  <c r="X1622" i="2"/>
  <c r="W1622" i="2"/>
  <c r="V1622" i="2"/>
  <c r="AB1621" i="2"/>
  <c r="AA1621" i="2"/>
  <c r="Z1621" i="2"/>
  <c r="Y1621" i="2"/>
  <c r="X1621" i="2"/>
  <c r="W1621" i="2"/>
  <c r="V1621" i="2"/>
  <c r="AB1620" i="2"/>
  <c r="AA1620" i="2"/>
  <c r="Z1620" i="2"/>
  <c r="Y1620" i="2"/>
  <c r="X1620" i="2"/>
  <c r="W1620" i="2"/>
  <c r="V1620" i="2"/>
  <c r="AB1619" i="2"/>
  <c r="AA1619" i="2"/>
  <c r="Z1619" i="2"/>
  <c r="Y1619" i="2"/>
  <c r="X1619" i="2"/>
  <c r="W1619" i="2"/>
  <c r="V1619" i="2"/>
  <c r="AB1618" i="2"/>
  <c r="AA1618" i="2"/>
  <c r="Z1618" i="2"/>
  <c r="Y1618" i="2"/>
  <c r="X1618" i="2"/>
  <c r="W1618" i="2"/>
  <c r="V1618" i="2"/>
  <c r="AB1617" i="2"/>
  <c r="AA1617" i="2"/>
  <c r="Z1617" i="2"/>
  <c r="Y1617" i="2"/>
  <c r="X1617" i="2"/>
  <c r="W1617" i="2"/>
  <c r="V1617" i="2"/>
  <c r="AB1616" i="2"/>
  <c r="AA1616" i="2"/>
  <c r="Z1616" i="2"/>
  <c r="Y1616" i="2"/>
  <c r="X1616" i="2"/>
  <c r="W1616" i="2"/>
  <c r="V1616" i="2"/>
  <c r="AB1615" i="2"/>
  <c r="AA1615" i="2"/>
  <c r="Z1615" i="2"/>
  <c r="Y1615" i="2"/>
  <c r="X1615" i="2"/>
  <c r="W1615" i="2"/>
  <c r="V1615" i="2"/>
  <c r="AB1614" i="2"/>
  <c r="AA1614" i="2"/>
  <c r="Z1614" i="2"/>
  <c r="Y1614" i="2"/>
  <c r="X1614" i="2"/>
  <c r="W1614" i="2"/>
  <c r="V1614" i="2"/>
  <c r="AB1613" i="2"/>
  <c r="AA1613" i="2"/>
  <c r="Z1613" i="2"/>
  <c r="Y1613" i="2"/>
  <c r="X1613" i="2"/>
  <c r="W1613" i="2"/>
  <c r="V1613" i="2"/>
  <c r="AB1612" i="2"/>
  <c r="AA1612" i="2"/>
  <c r="Z1612" i="2"/>
  <c r="Y1612" i="2"/>
  <c r="X1612" i="2"/>
  <c r="W1612" i="2"/>
  <c r="V1612" i="2"/>
  <c r="AB1611" i="2"/>
  <c r="AA1611" i="2"/>
  <c r="Z1611" i="2"/>
  <c r="Y1611" i="2"/>
  <c r="X1611" i="2"/>
  <c r="W1611" i="2"/>
  <c r="V1611" i="2"/>
  <c r="AB1610" i="2"/>
  <c r="AA1610" i="2"/>
  <c r="Z1610" i="2"/>
  <c r="Y1610" i="2"/>
  <c r="X1610" i="2"/>
  <c r="W1610" i="2"/>
  <c r="V1610" i="2"/>
  <c r="AB1609" i="2"/>
  <c r="AA1609" i="2"/>
  <c r="Z1609" i="2"/>
  <c r="Y1609" i="2"/>
  <c r="X1609" i="2"/>
  <c r="W1609" i="2"/>
  <c r="V1609" i="2"/>
  <c r="AB1608" i="2"/>
  <c r="AA1608" i="2"/>
  <c r="Z1608" i="2"/>
  <c r="Y1608" i="2"/>
  <c r="X1608" i="2"/>
  <c r="W1608" i="2"/>
  <c r="V1608" i="2"/>
  <c r="AB1607" i="2"/>
  <c r="AA1607" i="2"/>
  <c r="Z1607" i="2"/>
  <c r="Y1607" i="2"/>
  <c r="X1607" i="2"/>
  <c r="W1607" i="2"/>
  <c r="V1607" i="2"/>
  <c r="AB1606" i="2"/>
  <c r="AA1606" i="2"/>
  <c r="Z1606" i="2"/>
  <c r="Y1606" i="2"/>
  <c r="X1606" i="2"/>
  <c r="W1606" i="2"/>
  <c r="V1606" i="2"/>
  <c r="AB1605" i="2"/>
  <c r="AA1605" i="2"/>
  <c r="Z1605" i="2"/>
  <c r="Y1605" i="2"/>
  <c r="X1605" i="2"/>
  <c r="W1605" i="2"/>
  <c r="V1605" i="2"/>
  <c r="AB1604" i="2"/>
  <c r="AA1604" i="2"/>
  <c r="Z1604" i="2"/>
  <c r="Y1604" i="2"/>
  <c r="X1604" i="2"/>
  <c r="W1604" i="2"/>
  <c r="V1604" i="2"/>
  <c r="AB1603" i="2"/>
  <c r="AA1603" i="2"/>
  <c r="Z1603" i="2"/>
  <c r="Y1603" i="2"/>
  <c r="X1603" i="2"/>
  <c r="W1603" i="2"/>
  <c r="V1603" i="2"/>
  <c r="AB1602" i="2"/>
  <c r="AA1602" i="2"/>
  <c r="Z1602" i="2"/>
  <c r="Y1602" i="2"/>
  <c r="X1602" i="2"/>
  <c r="W1602" i="2"/>
  <c r="V1602" i="2"/>
  <c r="AB1601" i="2"/>
  <c r="AA1601" i="2"/>
  <c r="Z1601" i="2"/>
  <c r="Y1601" i="2"/>
  <c r="X1601" i="2"/>
  <c r="W1601" i="2"/>
  <c r="V1601" i="2"/>
  <c r="AB1600" i="2"/>
  <c r="AA1600" i="2"/>
  <c r="Z1600" i="2"/>
  <c r="Y1600" i="2"/>
  <c r="X1600" i="2"/>
  <c r="W1600" i="2"/>
  <c r="V1600" i="2"/>
  <c r="AB1599" i="2"/>
  <c r="AA1599" i="2"/>
  <c r="Z1599" i="2"/>
  <c r="Y1599" i="2"/>
  <c r="X1599" i="2"/>
  <c r="W1599" i="2"/>
  <c r="V1599" i="2"/>
  <c r="AB1598" i="2"/>
  <c r="AA1598" i="2"/>
  <c r="Z1598" i="2"/>
  <c r="Y1598" i="2"/>
  <c r="X1598" i="2"/>
  <c r="W1598" i="2"/>
  <c r="V1598" i="2"/>
  <c r="AB1597" i="2"/>
  <c r="AA1597" i="2"/>
  <c r="Z1597" i="2"/>
  <c r="Y1597" i="2"/>
  <c r="X1597" i="2"/>
  <c r="W1597" i="2"/>
  <c r="V1597" i="2"/>
  <c r="AB1596" i="2"/>
  <c r="AA1596" i="2"/>
  <c r="Z1596" i="2"/>
  <c r="Y1596" i="2"/>
  <c r="X1596" i="2"/>
  <c r="W1596" i="2"/>
  <c r="V1596" i="2"/>
  <c r="AB1595" i="2"/>
  <c r="AA1595" i="2"/>
  <c r="Z1595" i="2"/>
  <c r="Y1595" i="2"/>
  <c r="X1595" i="2"/>
  <c r="W1595" i="2"/>
  <c r="V1595" i="2"/>
  <c r="AB1594" i="2"/>
  <c r="AA1594" i="2"/>
  <c r="Z1594" i="2"/>
  <c r="Y1594" i="2"/>
  <c r="X1594" i="2"/>
  <c r="W1594" i="2"/>
  <c r="V1594" i="2"/>
  <c r="AB1593" i="2"/>
  <c r="AA1593" i="2"/>
  <c r="Z1593" i="2"/>
  <c r="Y1593" i="2"/>
  <c r="X1593" i="2"/>
  <c r="W1593" i="2"/>
  <c r="V1593" i="2"/>
  <c r="AB1592" i="2"/>
  <c r="AA1592" i="2"/>
  <c r="Z1592" i="2"/>
  <c r="Y1592" i="2"/>
  <c r="X1592" i="2"/>
  <c r="W1592" i="2"/>
  <c r="V1592" i="2"/>
  <c r="AB1591" i="2"/>
  <c r="AA1591" i="2"/>
  <c r="Z1591" i="2"/>
  <c r="Y1591" i="2"/>
  <c r="X1591" i="2"/>
  <c r="W1591" i="2"/>
  <c r="V1591" i="2"/>
  <c r="AB1590" i="2"/>
  <c r="AA1590" i="2"/>
  <c r="Z1590" i="2"/>
  <c r="Y1590" i="2"/>
  <c r="X1590" i="2"/>
  <c r="W1590" i="2"/>
  <c r="V1590" i="2"/>
  <c r="AB1589" i="2"/>
  <c r="AA1589" i="2"/>
  <c r="Z1589" i="2"/>
  <c r="Y1589" i="2"/>
  <c r="X1589" i="2"/>
  <c r="W1589" i="2"/>
  <c r="V1589" i="2"/>
  <c r="AB1588" i="2"/>
  <c r="AA1588" i="2"/>
  <c r="Z1588" i="2"/>
  <c r="Y1588" i="2"/>
  <c r="X1588" i="2"/>
  <c r="W1588" i="2"/>
  <c r="V1588" i="2"/>
  <c r="AB1587" i="2"/>
  <c r="AA1587" i="2"/>
  <c r="Z1587" i="2"/>
  <c r="Y1587" i="2"/>
  <c r="X1587" i="2"/>
  <c r="W1587" i="2"/>
  <c r="V1587" i="2"/>
  <c r="AB1586" i="2"/>
  <c r="AA1586" i="2"/>
  <c r="Z1586" i="2"/>
  <c r="Y1586" i="2"/>
  <c r="X1586" i="2"/>
  <c r="W1586" i="2"/>
  <c r="V1586" i="2"/>
  <c r="AB1585" i="2"/>
  <c r="AA1585" i="2"/>
  <c r="Z1585" i="2"/>
  <c r="Y1585" i="2"/>
  <c r="X1585" i="2"/>
  <c r="W1585" i="2"/>
  <c r="V1585" i="2"/>
  <c r="AB1584" i="2"/>
  <c r="AA1584" i="2"/>
  <c r="Z1584" i="2"/>
  <c r="Y1584" i="2"/>
  <c r="X1584" i="2"/>
  <c r="W1584" i="2"/>
  <c r="V1584" i="2"/>
  <c r="AB1583" i="2"/>
  <c r="AA1583" i="2"/>
  <c r="Z1583" i="2"/>
  <c r="Y1583" i="2"/>
  <c r="X1583" i="2"/>
  <c r="W1583" i="2"/>
  <c r="V1583" i="2"/>
  <c r="AB1582" i="2"/>
  <c r="AA1582" i="2"/>
  <c r="Z1582" i="2"/>
  <c r="Y1582" i="2"/>
  <c r="X1582" i="2"/>
  <c r="W1582" i="2"/>
  <c r="V1582" i="2"/>
  <c r="AB1581" i="2"/>
  <c r="AA1581" i="2"/>
  <c r="Z1581" i="2"/>
  <c r="Y1581" i="2"/>
  <c r="X1581" i="2"/>
  <c r="W1581" i="2"/>
  <c r="V1581" i="2"/>
  <c r="AB1580" i="2"/>
  <c r="AA1580" i="2"/>
  <c r="Z1580" i="2"/>
  <c r="Y1580" i="2"/>
  <c r="X1580" i="2"/>
  <c r="W1580" i="2"/>
  <c r="V1580" i="2"/>
  <c r="AB1579" i="2"/>
  <c r="AA1579" i="2"/>
  <c r="Z1579" i="2"/>
  <c r="Y1579" i="2"/>
  <c r="X1579" i="2"/>
  <c r="W1579" i="2"/>
  <c r="V1579" i="2"/>
  <c r="AB1578" i="2"/>
  <c r="AA1578" i="2"/>
  <c r="Z1578" i="2"/>
  <c r="Y1578" i="2"/>
  <c r="X1578" i="2"/>
  <c r="W1578" i="2"/>
  <c r="V1578" i="2"/>
  <c r="AB1577" i="2"/>
  <c r="AA1577" i="2"/>
  <c r="Z1577" i="2"/>
  <c r="Y1577" i="2"/>
  <c r="X1577" i="2"/>
  <c r="W1577" i="2"/>
  <c r="V1577" i="2"/>
  <c r="AB1576" i="2"/>
  <c r="AA1576" i="2"/>
  <c r="Z1576" i="2"/>
  <c r="Y1576" i="2"/>
  <c r="X1576" i="2"/>
  <c r="W1576" i="2"/>
  <c r="V1576" i="2"/>
  <c r="AB1575" i="2"/>
  <c r="AA1575" i="2"/>
  <c r="Z1575" i="2"/>
  <c r="Y1575" i="2"/>
  <c r="X1575" i="2"/>
  <c r="W1575" i="2"/>
  <c r="V1575" i="2"/>
  <c r="AB1574" i="2"/>
  <c r="AA1574" i="2"/>
  <c r="Z1574" i="2"/>
  <c r="Y1574" i="2"/>
  <c r="X1574" i="2"/>
  <c r="W1574" i="2"/>
  <c r="V1574" i="2"/>
  <c r="AB1573" i="2"/>
  <c r="AA1573" i="2"/>
  <c r="Z1573" i="2"/>
  <c r="Y1573" i="2"/>
  <c r="X1573" i="2"/>
  <c r="W1573" i="2"/>
  <c r="V1573" i="2"/>
  <c r="AB1572" i="2"/>
  <c r="AA1572" i="2"/>
  <c r="Z1572" i="2"/>
  <c r="Y1572" i="2"/>
  <c r="X1572" i="2"/>
  <c r="W1572" i="2"/>
  <c r="V1572" i="2"/>
  <c r="AB1571" i="2"/>
  <c r="AA1571" i="2"/>
  <c r="Z1571" i="2"/>
  <c r="Y1571" i="2"/>
  <c r="X1571" i="2"/>
  <c r="W1571" i="2"/>
  <c r="V1571" i="2"/>
  <c r="AB1570" i="2"/>
  <c r="AA1570" i="2"/>
  <c r="Z1570" i="2"/>
  <c r="Y1570" i="2"/>
  <c r="X1570" i="2"/>
  <c r="W1570" i="2"/>
  <c r="V1570" i="2"/>
  <c r="AB1569" i="2"/>
  <c r="AA1569" i="2"/>
  <c r="Z1569" i="2"/>
  <c r="Y1569" i="2"/>
  <c r="X1569" i="2"/>
  <c r="W1569" i="2"/>
  <c r="V1569" i="2"/>
  <c r="AB1568" i="2"/>
  <c r="AA1568" i="2"/>
  <c r="Z1568" i="2"/>
  <c r="Y1568" i="2"/>
  <c r="X1568" i="2"/>
  <c r="W1568" i="2"/>
  <c r="V1568" i="2"/>
  <c r="AB1567" i="2"/>
  <c r="AA1567" i="2"/>
  <c r="Z1567" i="2"/>
  <c r="Y1567" i="2"/>
  <c r="X1567" i="2"/>
  <c r="W1567" i="2"/>
  <c r="V1567" i="2"/>
  <c r="AB1566" i="2"/>
  <c r="AA1566" i="2"/>
  <c r="Z1566" i="2"/>
  <c r="Y1566" i="2"/>
  <c r="X1566" i="2"/>
  <c r="W1566" i="2"/>
  <c r="V1566" i="2"/>
  <c r="AB1565" i="2"/>
  <c r="AA1565" i="2"/>
  <c r="Z1565" i="2"/>
  <c r="Y1565" i="2"/>
  <c r="X1565" i="2"/>
  <c r="W1565" i="2"/>
  <c r="V1565" i="2"/>
  <c r="AB1564" i="2"/>
  <c r="AA1564" i="2"/>
  <c r="Z1564" i="2"/>
  <c r="Y1564" i="2"/>
  <c r="X1564" i="2"/>
  <c r="W1564" i="2"/>
  <c r="V1564" i="2"/>
  <c r="AB1563" i="2"/>
  <c r="AA1563" i="2"/>
  <c r="Z1563" i="2"/>
  <c r="Y1563" i="2"/>
  <c r="X1563" i="2"/>
  <c r="W1563" i="2"/>
  <c r="V1563" i="2"/>
  <c r="AB1562" i="2"/>
  <c r="AA1562" i="2"/>
  <c r="Z1562" i="2"/>
  <c r="Y1562" i="2"/>
  <c r="X1562" i="2"/>
  <c r="W1562" i="2"/>
  <c r="V1562" i="2"/>
  <c r="AB1561" i="2"/>
  <c r="AA1561" i="2"/>
  <c r="Z1561" i="2"/>
  <c r="Y1561" i="2"/>
  <c r="X1561" i="2"/>
  <c r="W1561" i="2"/>
  <c r="V1561" i="2"/>
  <c r="AB1560" i="2"/>
  <c r="AA1560" i="2"/>
  <c r="Z1560" i="2"/>
  <c r="Y1560" i="2"/>
  <c r="X1560" i="2"/>
  <c r="W1560" i="2"/>
  <c r="V1560" i="2"/>
  <c r="AB1559" i="2"/>
  <c r="AA1559" i="2"/>
  <c r="Z1559" i="2"/>
  <c r="Y1559" i="2"/>
  <c r="X1559" i="2"/>
  <c r="W1559" i="2"/>
  <c r="V1559" i="2"/>
  <c r="AB1558" i="2"/>
  <c r="AA1558" i="2"/>
  <c r="Z1558" i="2"/>
  <c r="Y1558" i="2"/>
  <c r="X1558" i="2"/>
  <c r="W1558" i="2"/>
  <c r="V1558" i="2"/>
  <c r="AB1557" i="2"/>
  <c r="AA1557" i="2"/>
  <c r="Z1557" i="2"/>
  <c r="Y1557" i="2"/>
  <c r="X1557" i="2"/>
  <c r="W1557" i="2"/>
  <c r="V1557" i="2"/>
  <c r="AB1556" i="2"/>
  <c r="AA1556" i="2"/>
  <c r="Z1556" i="2"/>
  <c r="Y1556" i="2"/>
  <c r="X1556" i="2"/>
  <c r="W1556" i="2"/>
  <c r="V1556" i="2"/>
  <c r="AB1555" i="2"/>
  <c r="AA1555" i="2"/>
  <c r="Z1555" i="2"/>
  <c r="Y1555" i="2"/>
  <c r="X1555" i="2"/>
  <c r="W1555" i="2"/>
  <c r="V1555" i="2"/>
  <c r="AB1554" i="2"/>
  <c r="AA1554" i="2"/>
  <c r="Z1554" i="2"/>
  <c r="Y1554" i="2"/>
  <c r="X1554" i="2"/>
  <c r="W1554" i="2"/>
  <c r="V1554" i="2"/>
  <c r="AB1553" i="2"/>
  <c r="AA1553" i="2"/>
  <c r="Z1553" i="2"/>
  <c r="Y1553" i="2"/>
  <c r="X1553" i="2"/>
  <c r="W1553" i="2"/>
  <c r="V1553" i="2"/>
  <c r="AB1552" i="2"/>
  <c r="AA1552" i="2"/>
  <c r="Z1552" i="2"/>
  <c r="Y1552" i="2"/>
  <c r="X1552" i="2"/>
  <c r="W1552" i="2"/>
  <c r="V1552" i="2"/>
  <c r="AB1551" i="2"/>
  <c r="AA1551" i="2"/>
  <c r="Z1551" i="2"/>
  <c r="Y1551" i="2"/>
  <c r="X1551" i="2"/>
  <c r="W1551" i="2"/>
  <c r="V1551" i="2"/>
  <c r="AB1550" i="2"/>
  <c r="AA1550" i="2"/>
  <c r="Z1550" i="2"/>
  <c r="Y1550" i="2"/>
  <c r="X1550" i="2"/>
  <c r="W1550" i="2"/>
  <c r="V1550" i="2"/>
  <c r="AB1549" i="2"/>
  <c r="AA1549" i="2"/>
  <c r="Z1549" i="2"/>
  <c r="Y1549" i="2"/>
  <c r="X1549" i="2"/>
  <c r="W1549" i="2"/>
  <c r="V1549" i="2"/>
  <c r="AB1548" i="2"/>
  <c r="AA1548" i="2"/>
  <c r="Z1548" i="2"/>
  <c r="Y1548" i="2"/>
  <c r="X1548" i="2"/>
  <c r="W1548" i="2"/>
  <c r="V1548" i="2"/>
  <c r="AB1547" i="2"/>
  <c r="AA1547" i="2"/>
  <c r="Z1547" i="2"/>
  <c r="Y1547" i="2"/>
  <c r="X1547" i="2"/>
  <c r="W1547" i="2"/>
  <c r="V1547" i="2"/>
  <c r="AB1546" i="2"/>
  <c r="AA1546" i="2"/>
  <c r="Z1546" i="2"/>
  <c r="Y1546" i="2"/>
  <c r="X1546" i="2"/>
  <c r="W1546" i="2"/>
  <c r="V1546" i="2"/>
  <c r="AB1545" i="2"/>
  <c r="AA1545" i="2"/>
  <c r="Z1545" i="2"/>
  <c r="Y1545" i="2"/>
  <c r="X1545" i="2"/>
  <c r="W1545" i="2"/>
  <c r="V1545" i="2"/>
  <c r="AB1544" i="2"/>
  <c r="AA1544" i="2"/>
  <c r="Z1544" i="2"/>
  <c r="Y1544" i="2"/>
  <c r="X1544" i="2"/>
  <c r="W1544" i="2"/>
  <c r="V1544" i="2"/>
  <c r="AB1543" i="2"/>
  <c r="AA1543" i="2"/>
  <c r="Z1543" i="2"/>
  <c r="Y1543" i="2"/>
  <c r="X1543" i="2"/>
  <c r="W1543" i="2"/>
  <c r="V1543" i="2"/>
  <c r="AB1542" i="2"/>
  <c r="AA1542" i="2"/>
  <c r="Z1542" i="2"/>
  <c r="Y1542" i="2"/>
  <c r="X1542" i="2"/>
  <c r="W1542" i="2"/>
  <c r="V1542" i="2"/>
  <c r="AB1541" i="2"/>
  <c r="AA1541" i="2"/>
  <c r="Z1541" i="2"/>
  <c r="Y1541" i="2"/>
  <c r="X1541" i="2"/>
  <c r="W1541" i="2"/>
  <c r="V1541" i="2"/>
  <c r="AB1540" i="2"/>
  <c r="AA1540" i="2"/>
  <c r="Z1540" i="2"/>
  <c r="Y1540" i="2"/>
  <c r="X1540" i="2"/>
  <c r="W1540" i="2"/>
  <c r="V1540" i="2"/>
  <c r="AB1539" i="2"/>
  <c r="AA1539" i="2"/>
  <c r="Z1539" i="2"/>
  <c r="Y1539" i="2"/>
  <c r="X1539" i="2"/>
  <c r="W1539" i="2"/>
  <c r="V1539" i="2"/>
  <c r="AB1538" i="2"/>
  <c r="AA1538" i="2"/>
  <c r="Z1538" i="2"/>
  <c r="Y1538" i="2"/>
  <c r="X1538" i="2"/>
  <c r="W1538" i="2"/>
  <c r="V1538" i="2"/>
  <c r="AB1537" i="2"/>
  <c r="AA1537" i="2"/>
  <c r="Z1537" i="2"/>
  <c r="Y1537" i="2"/>
  <c r="X1537" i="2"/>
  <c r="W1537" i="2"/>
  <c r="V1537" i="2"/>
  <c r="AB1536" i="2"/>
  <c r="AA1536" i="2"/>
  <c r="Z1536" i="2"/>
  <c r="Y1536" i="2"/>
  <c r="X1536" i="2"/>
  <c r="W1536" i="2"/>
  <c r="V1536" i="2"/>
  <c r="AB1535" i="2"/>
  <c r="AA1535" i="2"/>
  <c r="Z1535" i="2"/>
  <c r="Y1535" i="2"/>
  <c r="X1535" i="2"/>
  <c r="W1535" i="2"/>
  <c r="V1535" i="2"/>
  <c r="AB1534" i="2"/>
  <c r="AA1534" i="2"/>
  <c r="Z1534" i="2"/>
  <c r="Y1534" i="2"/>
  <c r="X1534" i="2"/>
  <c r="W1534" i="2"/>
  <c r="V1534" i="2"/>
  <c r="AB1533" i="2"/>
  <c r="AA1533" i="2"/>
  <c r="Z1533" i="2"/>
  <c r="Y1533" i="2"/>
  <c r="X1533" i="2"/>
  <c r="W1533" i="2"/>
  <c r="V1533" i="2"/>
  <c r="AB1532" i="2"/>
  <c r="AA1532" i="2"/>
  <c r="Z1532" i="2"/>
  <c r="Y1532" i="2"/>
  <c r="X1532" i="2"/>
  <c r="W1532" i="2"/>
  <c r="V1532" i="2"/>
  <c r="AB1531" i="2"/>
  <c r="AA1531" i="2"/>
  <c r="Z1531" i="2"/>
  <c r="Y1531" i="2"/>
  <c r="X1531" i="2"/>
  <c r="W1531" i="2"/>
  <c r="V1531" i="2"/>
  <c r="AB1530" i="2"/>
  <c r="AA1530" i="2"/>
  <c r="Z1530" i="2"/>
  <c r="Y1530" i="2"/>
  <c r="X1530" i="2"/>
  <c r="W1530" i="2"/>
  <c r="V1530" i="2"/>
  <c r="AB1529" i="2"/>
  <c r="AA1529" i="2"/>
  <c r="Z1529" i="2"/>
  <c r="Y1529" i="2"/>
  <c r="X1529" i="2"/>
  <c r="W1529" i="2"/>
  <c r="V1529" i="2"/>
  <c r="AB1528" i="2"/>
  <c r="AA1528" i="2"/>
  <c r="Z1528" i="2"/>
  <c r="Y1528" i="2"/>
  <c r="X1528" i="2"/>
  <c r="W1528" i="2"/>
  <c r="V1528" i="2"/>
  <c r="AB1527" i="2"/>
  <c r="AA1527" i="2"/>
  <c r="Z1527" i="2"/>
  <c r="Y1527" i="2"/>
  <c r="X1527" i="2"/>
  <c r="W1527" i="2"/>
  <c r="V1527" i="2"/>
  <c r="AB1526" i="2"/>
  <c r="AA1526" i="2"/>
  <c r="Z1526" i="2"/>
  <c r="Y1526" i="2"/>
  <c r="X1526" i="2"/>
  <c r="W1526" i="2"/>
  <c r="V1526" i="2"/>
  <c r="AB1525" i="2"/>
  <c r="AA1525" i="2"/>
  <c r="Z1525" i="2"/>
  <c r="Y1525" i="2"/>
  <c r="X1525" i="2"/>
  <c r="W1525" i="2"/>
  <c r="V1525" i="2"/>
  <c r="AB1524" i="2"/>
  <c r="AA1524" i="2"/>
  <c r="Z1524" i="2"/>
  <c r="Y1524" i="2"/>
  <c r="X1524" i="2"/>
  <c r="W1524" i="2"/>
  <c r="V1524" i="2"/>
  <c r="AB1523" i="2"/>
  <c r="AA1523" i="2"/>
  <c r="Z1523" i="2"/>
  <c r="Y1523" i="2"/>
  <c r="X1523" i="2"/>
  <c r="W1523" i="2"/>
  <c r="V1523" i="2"/>
  <c r="AB1522" i="2"/>
  <c r="AA1522" i="2"/>
  <c r="Z1522" i="2"/>
  <c r="Y1522" i="2"/>
  <c r="X1522" i="2"/>
  <c r="W1522" i="2"/>
  <c r="V1522" i="2"/>
  <c r="AB1521" i="2"/>
  <c r="AA1521" i="2"/>
  <c r="Z1521" i="2"/>
  <c r="Y1521" i="2"/>
  <c r="X1521" i="2"/>
  <c r="W1521" i="2"/>
  <c r="V1521" i="2"/>
  <c r="AB1520" i="2"/>
  <c r="AA1520" i="2"/>
  <c r="Z1520" i="2"/>
  <c r="Y1520" i="2"/>
  <c r="X1520" i="2"/>
  <c r="W1520" i="2"/>
  <c r="V1520" i="2"/>
  <c r="AB1519" i="2"/>
  <c r="AA1519" i="2"/>
  <c r="Z1519" i="2"/>
  <c r="Y1519" i="2"/>
  <c r="X1519" i="2"/>
  <c r="W1519" i="2"/>
  <c r="V1519" i="2"/>
  <c r="AB1518" i="2"/>
  <c r="AA1518" i="2"/>
  <c r="Z1518" i="2"/>
  <c r="Y1518" i="2"/>
  <c r="X1518" i="2"/>
  <c r="W1518" i="2"/>
  <c r="V1518" i="2"/>
  <c r="AB1517" i="2"/>
  <c r="AA1517" i="2"/>
  <c r="Z1517" i="2"/>
  <c r="Y1517" i="2"/>
  <c r="X1517" i="2"/>
  <c r="W1517" i="2"/>
  <c r="V1517" i="2"/>
  <c r="AB1516" i="2"/>
  <c r="AA1516" i="2"/>
  <c r="Z1516" i="2"/>
  <c r="Y1516" i="2"/>
  <c r="X1516" i="2"/>
  <c r="W1516" i="2"/>
  <c r="V1516" i="2"/>
  <c r="AB1515" i="2"/>
  <c r="AA1515" i="2"/>
  <c r="Z1515" i="2"/>
  <c r="Y1515" i="2"/>
  <c r="X1515" i="2"/>
  <c r="W1515" i="2"/>
  <c r="V1515" i="2"/>
  <c r="AB1514" i="2"/>
  <c r="AA1514" i="2"/>
  <c r="Z1514" i="2"/>
  <c r="Y1514" i="2"/>
  <c r="X1514" i="2"/>
  <c r="W1514" i="2"/>
  <c r="V1514" i="2"/>
  <c r="AB1513" i="2"/>
  <c r="AA1513" i="2"/>
  <c r="Z1513" i="2"/>
  <c r="Y1513" i="2"/>
  <c r="X1513" i="2"/>
  <c r="W1513" i="2"/>
  <c r="V1513" i="2"/>
  <c r="AB1512" i="2"/>
  <c r="AA1512" i="2"/>
  <c r="Z1512" i="2"/>
  <c r="Y1512" i="2"/>
  <c r="X1512" i="2"/>
  <c r="W1512" i="2"/>
  <c r="V1512" i="2"/>
  <c r="AB1511" i="2"/>
  <c r="AA1511" i="2"/>
  <c r="Z1511" i="2"/>
  <c r="Y1511" i="2"/>
  <c r="X1511" i="2"/>
  <c r="W1511" i="2"/>
  <c r="V1511" i="2"/>
  <c r="AB1510" i="2"/>
  <c r="AA1510" i="2"/>
  <c r="Z1510" i="2"/>
  <c r="Y1510" i="2"/>
  <c r="X1510" i="2"/>
  <c r="W1510" i="2"/>
  <c r="V1510" i="2"/>
  <c r="AB1509" i="2"/>
  <c r="AA1509" i="2"/>
  <c r="Z1509" i="2"/>
  <c r="Y1509" i="2"/>
  <c r="X1509" i="2"/>
  <c r="W1509" i="2"/>
  <c r="V1509" i="2"/>
  <c r="AB1508" i="2"/>
  <c r="AA1508" i="2"/>
  <c r="Z1508" i="2"/>
  <c r="Y1508" i="2"/>
  <c r="X1508" i="2"/>
  <c r="W1508" i="2"/>
  <c r="V1508" i="2"/>
  <c r="AB1507" i="2"/>
  <c r="AA1507" i="2"/>
  <c r="Z1507" i="2"/>
  <c r="Y1507" i="2"/>
  <c r="X1507" i="2"/>
  <c r="W1507" i="2"/>
  <c r="V1507" i="2"/>
  <c r="AB1506" i="2"/>
  <c r="AA1506" i="2"/>
  <c r="Z1506" i="2"/>
  <c r="Y1506" i="2"/>
  <c r="X1506" i="2"/>
  <c r="W1506" i="2"/>
  <c r="V1506" i="2"/>
  <c r="AB1505" i="2"/>
  <c r="AA1505" i="2"/>
  <c r="Z1505" i="2"/>
  <c r="Y1505" i="2"/>
  <c r="X1505" i="2"/>
  <c r="W1505" i="2"/>
  <c r="V1505" i="2"/>
  <c r="AB1504" i="2"/>
  <c r="AA1504" i="2"/>
  <c r="Z1504" i="2"/>
  <c r="Y1504" i="2"/>
  <c r="X1504" i="2"/>
  <c r="W1504" i="2"/>
  <c r="V1504" i="2"/>
  <c r="AB1503" i="2"/>
  <c r="AA1503" i="2"/>
  <c r="Z1503" i="2"/>
  <c r="Y1503" i="2"/>
  <c r="X1503" i="2"/>
  <c r="W1503" i="2"/>
  <c r="V1503" i="2"/>
  <c r="AB1502" i="2"/>
  <c r="AA1502" i="2"/>
  <c r="Z1502" i="2"/>
  <c r="Y1502" i="2"/>
  <c r="X1502" i="2"/>
  <c r="W1502" i="2"/>
  <c r="V1502" i="2"/>
  <c r="AB1501" i="2"/>
  <c r="AA1501" i="2"/>
  <c r="Z1501" i="2"/>
  <c r="Y1501" i="2"/>
  <c r="X1501" i="2"/>
  <c r="W1501" i="2"/>
  <c r="V1501" i="2"/>
  <c r="AB1500" i="2"/>
  <c r="AA1500" i="2"/>
  <c r="Z1500" i="2"/>
  <c r="Y1500" i="2"/>
  <c r="X1500" i="2"/>
  <c r="W1500" i="2"/>
  <c r="V1500" i="2"/>
  <c r="AB1499" i="2"/>
  <c r="AA1499" i="2"/>
  <c r="Z1499" i="2"/>
  <c r="Y1499" i="2"/>
  <c r="X1499" i="2"/>
  <c r="W1499" i="2"/>
  <c r="V1499" i="2"/>
  <c r="AB1498" i="2"/>
  <c r="AA1498" i="2"/>
  <c r="Z1498" i="2"/>
  <c r="Y1498" i="2"/>
  <c r="X1498" i="2"/>
  <c r="W1498" i="2"/>
  <c r="V1498" i="2"/>
  <c r="AB1497" i="2"/>
  <c r="AA1497" i="2"/>
  <c r="Z1497" i="2"/>
  <c r="Y1497" i="2"/>
  <c r="X1497" i="2"/>
  <c r="W1497" i="2"/>
  <c r="V1497" i="2"/>
  <c r="AB1496" i="2"/>
  <c r="AA1496" i="2"/>
  <c r="Z1496" i="2"/>
  <c r="Y1496" i="2"/>
  <c r="X1496" i="2"/>
  <c r="W1496" i="2"/>
  <c r="V1496" i="2"/>
  <c r="AB1495" i="2"/>
  <c r="AA1495" i="2"/>
  <c r="Z1495" i="2"/>
  <c r="Y1495" i="2"/>
  <c r="X1495" i="2"/>
  <c r="W1495" i="2"/>
  <c r="V1495" i="2"/>
  <c r="AB1494" i="2"/>
  <c r="AA1494" i="2"/>
  <c r="Z1494" i="2"/>
  <c r="Y1494" i="2"/>
  <c r="X1494" i="2"/>
  <c r="W1494" i="2"/>
  <c r="V1494" i="2"/>
  <c r="AB1493" i="2"/>
  <c r="AA1493" i="2"/>
  <c r="Z1493" i="2"/>
  <c r="Y1493" i="2"/>
  <c r="X1493" i="2"/>
  <c r="W1493" i="2"/>
  <c r="V1493" i="2"/>
  <c r="AB1492" i="2"/>
  <c r="AA1492" i="2"/>
  <c r="Z1492" i="2"/>
  <c r="Y1492" i="2"/>
  <c r="X1492" i="2"/>
  <c r="W1492" i="2"/>
  <c r="V1492" i="2"/>
  <c r="AB1491" i="2"/>
  <c r="AA1491" i="2"/>
  <c r="Z1491" i="2"/>
  <c r="Y1491" i="2"/>
  <c r="X1491" i="2"/>
  <c r="W1491" i="2"/>
  <c r="V1491" i="2"/>
  <c r="AB1490" i="2"/>
  <c r="AA1490" i="2"/>
  <c r="Z1490" i="2"/>
  <c r="Y1490" i="2"/>
  <c r="X1490" i="2"/>
  <c r="W1490" i="2"/>
  <c r="V1490" i="2"/>
  <c r="AB1489" i="2"/>
  <c r="AA1489" i="2"/>
  <c r="Z1489" i="2"/>
  <c r="Y1489" i="2"/>
  <c r="X1489" i="2"/>
  <c r="W1489" i="2"/>
  <c r="V1489" i="2"/>
  <c r="AB1488" i="2"/>
  <c r="AA1488" i="2"/>
  <c r="Z1488" i="2"/>
  <c r="Y1488" i="2"/>
  <c r="X1488" i="2"/>
  <c r="W1488" i="2"/>
  <c r="V1488" i="2"/>
  <c r="AB1487" i="2"/>
  <c r="AA1487" i="2"/>
  <c r="Z1487" i="2"/>
  <c r="Y1487" i="2"/>
  <c r="X1487" i="2"/>
  <c r="W1487" i="2"/>
  <c r="V1487" i="2"/>
  <c r="AB1486" i="2"/>
  <c r="AA1486" i="2"/>
  <c r="Z1486" i="2"/>
  <c r="Y1486" i="2"/>
  <c r="X1486" i="2"/>
  <c r="W1486" i="2"/>
  <c r="V1486" i="2"/>
  <c r="AB1485" i="2"/>
  <c r="AA1485" i="2"/>
  <c r="Z1485" i="2"/>
  <c r="Y1485" i="2"/>
  <c r="X1485" i="2"/>
  <c r="W1485" i="2"/>
  <c r="V1485" i="2"/>
  <c r="AB1484" i="2"/>
  <c r="AA1484" i="2"/>
  <c r="Z1484" i="2"/>
  <c r="Y1484" i="2"/>
  <c r="X1484" i="2"/>
  <c r="W1484" i="2"/>
  <c r="V1484" i="2"/>
  <c r="AB1483" i="2"/>
  <c r="AA1483" i="2"/>
  <c r="Z1483" i="2"/>
  <c r="Y1483" i="2"/>
  <c r="X1483" i="2"/>
  <c r="W1483" i="2"/>
  <c r="V1483" i="2"/>
  <c r="AB1482" i="2"/>
  <c r="AA1482" i="2"/>
  <c r="Z1482" i="2"/>
  <c r="Y1482" i="2"/>
  <c r="X1482" i="2"/>
  <c r="W1482" i="2"/>
  <c r="V1482" i="2"/>
  <c r="AB1481" i="2"/>
  <c r="AA1481" i="2"/>
  <c r="Z1481" i="2"/>
  <c r="Y1481" i="2"/>
  <c r="X1481" i="2"/>
  <c r="W1481" i="2"/>
  <c r="V1481" i="2"/>
  <c r="AB1480" i="2"/>
  <c r="AA1480" i="2"/>
  <c r="Z1480" i="2"/>
  <c r="Y1480" i="2"/>
  <c r="X1480" i="2"/>
  <c r="W1480" i="2"/>
  <c r="V1480" i="2"/>
  <c r="AB1479" i="2"/>
  <c r="AA1479" i="2"/>
  <c r="Z1479" i="2"/>
  <c r="Y1479" i="2"/>
  <c r="X1479" i="2"/>
  <c r="W1479" i="2"/>
  <c r="V1479" i="2"/>
  <c r="AB1478" i="2"/>
  <c r="AA1478" i="2"/>
  <c r="Z1478" i="2"/>
  <c r="Y1478" i="2"/>
  <c r="X1478" i="2"/>
  <c r="W1478" i="2"/>
  <c r="V1478" i="2"/>
  <c r="AB1477" i="2"/>
  <c r="AA1477" i="2"/>
  <c r="Z1477" i="2"/>
  <c r="Y1477" i="2"/>
  <c r="X1477" i="2"/>
  <c r="W1477" i="2"/>
  <c r="V1477" i="2"/>
  <c r="AB1476" i="2"/>
  <c r="AA1476" i="2"/>
  <c r="Z1476" i="2"/>
  <c r="Y1476" i="2"/>
  <c r="X1476" i="2"/>
  <c r="W1476" i="2"/>
  <c r="V1476" i="2"/>
  <c r="AB1475" i="2"/>
  <c r="AA1475" i="2"/>
  <c r="Z1475" i="2"/>
  <c r="Y1475" i="2"/>
  <c r="X1475" i="2"/>
  <c r="W1475" i="2"/>
  <c r="V1475" i="2"/>
  <c r="AB1474" i="2"/>
  <c r="AA1474" i="2"/>
  <c r="Z1474" i="2"/>
  <c r="Y1474" i="2"/>
  <c r="X1474" i="2"/>
  <c r="W1474" i="2"/>
  <c r="V1474" i="2"/>
  <c r="AB1473" i="2"/>
  <c r="AA1473" i="2"/>
  <c r="Z1473" i="2"/>
  <c r="Y1473" i="2"/>
  <c r="X1473" i="2"/>
  <c r="W1473" i="2"/>
  <c r="V1473" i="2"/>
  <c r="AB1472" i="2"/>
  <c r="AA1472" i="2"/>
  <c r="Z1472" i="2"/>
  <c r="Y1472" i="2"/>
  <c r="X1472" i="2"/>
  <c r="W1472" i="2"/>
  <c r="V1472" i="2"/>
  <c r="AB1471" i="2"/>
  <c r="AA1471" i="2"/>
  <c r="Z1471" i="2"/>
  <c r="Y1471" i="2"/>
  <c r="X1471" i="2"/>
  <c r="W1471" i="2"/>
  <c r="V1471" i="2"/>
  <c r="AB1470" i="2"/>
  <c r="AA1470" i="2"/>
  <c r="Z1470" i="2"/>
  <c r="Y1470" i="2"/>
  <c r="X1470" i="2"/>
  <c r="W1470" i="2"/>
  <c r="V1470" i="2"/>
  <c r="AB1469" i="2"/>
  <c r="AA1469" i="2"/>
  <c r="Z1469" i="2"/>
  <c r="Y1469" i="2"/>
  <c r="X1469" i="2"/>
  <c r="W1469" i="2"/>
  <c r="V1469" i="2"/>
  <c r="AB1468" i="2"/>
  <c r="AA1468" i="2"/>
  <c r="Z1468" i="2"/>
  <c r="Y1468" i="2"/>
  <c r="X1468" i="2"/>
  <c r="W1468" i="2"/>
  <c r="V1468" i="2"/>
  <c r="AB1467" i="2"/>
  <c r="AA1467" i="2"/>
  <c r="Z1467" i="2"/>
  <c r="Y1467" i="2"/>
  <c r="X1467" i="2"/>
  <c r="W1467" i="2"/>
  <c r="V1467" i="2"/>
  <c r="AB1466" i="2"/>
  <c r="AA1466" i="2"/>
  <c r="Z1466" i="2"/>
  <c r="Y1466" i="2"/>
  <c r="X1466" i="2"/>
  <c r="W1466" i="2"/>
  <c r="V1466" i="2"/>
  <c r="AB1465" i="2"/>
  <c r="AA1465" i="2"/>
  <c r="Z1465" i="2"/>
  <c r="Y1465" i="2"/>
  <c r="X1465" i="2"/>
  <c r="W1465" i="2"/>
  <c r="V1465" i="2"/>
  <c r="AB1464" i="2"/>
  <c r="AA1464" i="2"/>
  <c r="Z1464" i="2"/>
  <c r="Y1464" i="2"/>
  <c r="X1464" i="2"/>
  <c r="W1464" i="2"/>
  <c r="V1464" i="2"/>
  <c r="AB1463" i="2"/>
  <c r="AA1463" i="2"/>
  <c r="Z1463" i="2"/>
  <c r="Y1463" i="2"/>
  <c r="X1463" i="2"/>
  <c r="W1463" i="2"/>
  <c r="V1463" i="2"/>
  <c r="AB1462" i="2"/>
  <c r="AA1462" i="2"/>
  <c r="Z1462" i="2"/>
  <c r="Y1462" i="2"/>
  <c r="X1462" i="2"/>
  <c r="W1462" i="2"/>
  <c r="V1462" i="2"/>
  <c r="AB1461" i="2"/>
  <c r="AA1461" i="2"/>
  <c r="Z1461" i="2"/>
  <c r="Y1461" i="2"/>
  <c r="X1461" i="2"/>
  <c r="W1461" i="2"/>
  <c r="V1461" i="2"/>
  <c r="AB1460" i="2"/>
  <c r="AA1460" i="2"/>
  <c r="Z1460" i="2"/>
  <c r="Y1460" i="2"/>
  <c r="X1460" i="2"/>
  <c r="W1460" i="2"/>
  <c r="V1460" i="2"/>
  <c r="AB1459" i="2"/>
  <c r="AA1459" i="2"/>
  <c r="Z1459" i="2"/>
  <c r="Y1459" i="2"/>
  <c r="X1459" i="2"/>
  <c r="W1459" i="2"/>
  <c r="V1459" i="2"/>
  <c r="AB1458" i="2"/>
  <c r="AA1458" i="2"/>
  <c r="Z1458" i="2"/>
  <c r="Y1458" i="2"/>
  <c r="X1458" i="2"/>
  <c r="W1458" i="2"/>
  <c r="V1458" i="2"/>
  <c r="AB1457" i="2"/>
  <c r="AA1457" i="2"/>
  <c r="Z1457" i="2"/>
  <c r="Y1457" i="2"/>
  <c r="X1457" i="2"/>
  <c r="W1457" i="2"/>
  <c r="V1457" i="2"/>
  <c r="AB1456" i="2"/>
  <c r="AA1456" i="2"/>
  <c r="Z1456" i="2"/>
  <c r="Y1456" i="2"/>
  <c r="X1456" i="2"/>
  <c r="W1456" i="2"/>
  <c r="V1456" i="2"/>
  <c r="AB1455" i="2"/>
  <c r="AA1455" i="2"/>
  <c r="Z1455" i="2"/>
  <c r="Y1455" i="2"/>
  <c r="X1455" i="2"/>
  <c r="W1455" i="2"/>
  <c r="V1455" i="2"/>
  <c r="AB1454" i="2"/>
  <c r="AA1454" i="2"/>
  <c r="Z1454" i="2"/>
  <c r="Y1454" i="2"/>
  <c r="X1454" i="2"/>
  <c r="W1454" i="2"/>
  <c r="V1454" i="2"/>
  <c r="AB1453" i="2"/>
  <c r="AA1453" i="2"/>
  <c r="Z1453" i="2"/>
  <c r="Y1453" i="2"/>
  <c r="X1453" i="2"/>
  <c r="W1453" i="2"/>
  <c r="V1453" i="2"/>
  <c r="AB1452" i="2"/>
  <c r="AA1452" i="2"/>
  <c r="Z1452" i="2"/>
  <c r="Y1452" i="2"/>
  <c r="X1452" i="2"/>
  <c r="W1452" i="2"/>
  <c r="V1452" i="2"/>
  <c r="AB1451" i="2"/>
  <c r="AA1451" i="2"/>
  <c r="Z1451" i="2"/>
  <c r="Y1451" i="2"/>
  <c r="X1451" i="2"/>
  <c r="W1451" i="2"/>
  <c r="V1451" i="2"/>
  <c r="AB1450" i="2"/>
  <c r="AA1450" i="2"/>
  <c r="Z1450" i="2"/>
  <c r="Y1450" i="2"/>
  <c r="X1450" i="2"/>
  <c r="W1450" i="2"/>
  <c r="V1450" i="2"/>
  <c r="AB1449" i="2"/>
  <c r="AA1449" i="2"/>
  <c r="Z1449" i="2"/>
  <c r="Y1449" i="2"/>
  <c r="X1449" i="2"/>
  <c r="W1449" i="2"/>
  <c r="V1449" i="2"/>
  <c r="AB1448" i="2"/>
  <c r="AA1448" i="2"/>
  <c r="Z1448" i="2"/>
  <c r="Y1448" i="2"/>
  <c r="X1448" i="2"/>
  <c r="W1448" i="2"/>
  <c r="V1448" i="2"/>
  <c r="AB1447" i="2"/>
  <c r="AA1447" i="2"/>
  <c r="Z1447" i="2"/>
  <c r="Y1447" i="2"/>
  <c r="X1447" i="2"/>
  <c r="W1447" i="2"/>
  <c r="V1447" i="2"/>
  <c r="AB1446" i="2"/>
  <c r="AA1446" i="2"/>
  <c r="Z1446" i="2"/>
  <c r="Y1446" i="2"/>
  <c r="X1446" i="2"/>
  <c r="W1446" i="2"/>
  <c r="V1446" i="2"/>
  <c r="AB1445" i="2"/>
  <c r="AA1445" i="2"/>
  <c r="Z1445" i="2"/>
  <c r="Y1445" i="2"/>
  <c r="X1445" i="2"/>
  <c r="W1445" i="2"/>
  <c r="V1445" i="2"/>
  <c r="AB1444" i="2"/>
  <c r="AA1444" i="2"/>
  <c r="Z1444" i="2"/>
  <c r="Y1444" i="2"/>
  <c r="X1444" i="2"/>
  <c r="W1444" i="2"/>
  <c r="V1444" i="2"/>
  <c r="AB1443" i="2"/>
  <c r="AA1443" i="2"/>
  <c r="Z1443" i="2"/>
  <c r="Y1443" i="2"/>
  <c r="X1443" i="2"/>
  <c r="W1443" i="2"/>
  <c r="V1443" i="2"/>
  <c r="AB1442" i="2"/>
  <c r="AA1442" i="2"/>
  <c r="Z1442" i="2"/>
  <c r="Y1442" i="2"/>
  <c r="X1442" i="2"/>
  <c r="W1442" i="2"/>
  <c r="V1442" i="2"/>
  <c r="AB1441" i="2"/>
  <c r="AA1441" i="2"/>
  <c r="Z1441" i="2"/>
  <c r="Y1441" i="2"/>
  <c r="X1441" i="2"/>
  <c r="W1441" i="2"/>
  <c r="V1441" i="2"/>
  <c r="AB1440" i="2"/>
  <c r="AA1440" i="2"/>
  <c r="Z1440" i="2"/>
  <c r="Y1440" i="2"/>
  <c r="X1440" i="2"/>
  <c r="W1440" i="2"/>
  <c r="V1440" i="2"/>
  <c r="AB1439" i="2"/>
  <c r="AA1439" i="2"/>
  <c r="Z1439" i="2"/>
  <c r="Y1439" i="2"/>
  <c r="X1439" i="2"/>
  <c r="W1439" i="2"/>
  <c r="V1439" i="2"/>
  <c r="AB1438" i="2"/>
  <c r="AA1438" i="2"/>
  <c r="Z1438" i="2"/>
  <c r="Y1438" i="2"/>
  <c r="X1438" i="2"/>
  <c r="W1438" i="2"/>
  <c r="V1438" i="2"/>
  <c r="AB1437" i="2"/>
  <c r="AA1437" i="2"/>
  <c r="Z1437" i="2"/>
  <c r="Y1437" i="2"/>
  <c r="X1437" i="2"/>
  <c r="W1437" i="2"/>
  <c r="V1437" i="2"/>
  <c r="AB1436" i="2"/>
  <c r="AA1436" i="2"/>
  <c r="Z1436" i="2"/>
  <c r="Y1436" i="2"/>
  <c r="X1436" i="2"/>
  <c r="W1436" i="2"/>
  <c r="V1436" i="2"/>
  <c r="AB1435" i="2"/>
  <c r="AA1435" i="2"/>
  <c r="Z1435" i="2"/>
  <c r="Y1435" i="2"/>
  <c r="X1435" i="2"/>
  <c r="W1435" i="2"/>
  <c r="V1435" i="2"/>
  <c r="AB1434" i="2"/>
  <c r="AA1434" i="2"/>
  <c r="Z1434" i="2"/>
  <c r="Y1434" i="2"/>
  <c r="X1434" i="2"/>
  <c r="W1434" i="2"/>
  <c r="V1434" i="2"/>
  <c r="AB1433" i="2"/>
  <c r="AA1433" i="2"/>
  <c r="Z1433" i="2"/>
  <c r="Y1433" i="2"/>
  <c r="X1433" i="2"/>
  <c r="W1433" i="2"/>
  <c r="V1433" i="2"/>
  <c r="AB1432" i="2"/>
  <c r="AA1432" i="2"/>
  <c r="Z1432" i="2"/>
  <c r="Y1432" i="2"/>
  <c r="X1432" i="2"/>
  <c r="W1432" i="2"/>
  <c r="V1432" i="2"/>
  <c r="AB1431" i="2"/>
  <c r="AA1431" i="2"/>
  <c r="Z1431" i="2"/>
  <c r="Y1431" i="2"/>
  <c r="X1431" i="2"/>
  <c r="W1431" i="2"/>
  <c r="V1431" i="2"/>
  <c r="AB1430" i="2"/>
  <c r="AA1430" i="2"/>
  <c r="Z1430" i="2"/>
  <c r="Y1430" i="2"/>
  <c r="X1430" i="2"/>
  <c r="W1430" i="2"/>
  <c r="V1430" i="2"/>
  <c r="AB1429" i="2"/>
  <c r="AA1429" i="2"/>
  <c r="Z1429" i="2"/>
  <c r="Y1429" i="2"/>
  <c r="X1429" i="2"/>
  <c r="W1429" i="2"/>
  <c r="V1429" i="2"/>
  <c r="AB1428" i="2"/>
  <c r="AA1428" i="2"/>
  <c r="Z1428" i="2"/>
  <c r="Y1428" i="2"/>
  <c r="X1428" i="2"/>
  <c r="W1428" i="2"/>
  <c r="V1428" i="2"/>
  <c r="AB1427" i="2"/>
  <c r="AA1427" i="2"/>
  <c r="Z1427" i="2"/>
  <c r="Y1427" i="2"/>
  <c r="X1427" i="2"/>
  <c r="W1427" i="2"/>
  <c r="V1427" i="2"/>
  <c r="AB1426" i="2"/>
  <c r="AA1426" i="2"/>
  <c r="Z1426" i="2"/>
  <c r="Y1426" i="2"/>
  <c r="X1426" i="2"/>
  <c r="W1426" i="2"/>
  <c r="V1426" i="2"/>
  <c r="AB1425" i="2"/>
  <c r="AA1425" i="2"/>
  <c r="Z1425" i="2"/>
  <c r="Y1425" i="2"/>
  <c r="X1425" i="2"/>
  <c r="W1425" i="2"/>
  <c r="V1425" i="2"/>
  <c r="AB1424" i="2"/>
  <c r="AA1424" i="2"/>
  <c r="Z1424" i="2"/>
  <c r="Y1424" i="2"/>
  <c r="X1424" i="2"/>
  <c r="W1424" i="2"/>
  <c r="V1424" i="2"/>
  <c r="AB1423" i="2"/>
  <c r="AA1423" i="2"/>
  <c r="Z1423" i="2"/>
  <c r="Y1423" i="2"/>
  <c r="X1423" i="2"/>
  <c r="W1423" i="2"/>
  <c r="V1423" i="2"/>
  <c r="AB1422" i="2"/>
  <c r="AA1422" i="2"/>
  <c r="Z1422" i="2"/>
  <c r="Y1422" i="2"/>
  <c r="X1422" i="2"/>
  <c r="W1422" i="2"/>
  <c r="V1422" i="2"/>
  <c r="AB1421" i="2"/>
  <c r="AA1421" i="2"/>
  <c r="Z1421" i="2"/>
  <c r="Y1421" i="2"/>
  <c r="X1421" i="2"/>
  <c r="W1421" i="2"/>
  <c r="V1421" i="2"/>
  <c r="AB1420" i="2"/>
  <c r="AA1420" i="2"/>
  <c r="Z1420" i="2"/>
  <c r="Y1420" i="2"/>
  <c r="X1420" i="2"/>
  <c r="W1420" i="2"/>
  <c r="V1420" i="2"/>
  <c r="AB1419" i="2"/>
  <c r="AA1419" i="2"/>
  <c r="Z1419" i="2"/>
  <c r="Y1419" i="2"/>
  <c r="X1419" i="2"/>
  <c r="W1419" i="2"/>
  <c r="V1419" i="2"/>
  <c r="AB1418" i="2"/>
  <c r="AA1418" i="2"/>
  <c r="Z1418" i="2"/>
  <c r="Y1418" i="2"/>
  <c r="X1418" i="2"/>
  <c r="W1418" i="2"/>
  <c r="V1418" i="2"/>
  <c r="AB1417" i="2"/>
  <c r="AA1417" i="2"/>
  <c r="Z1417" i="2"/>
  <c r="Y1417" i="2"/>
  <c r="X1417" i="2"/>
  <c r="W1417" i="2"/>
  <c r="V1417" i="2"/>
  <c r="AB1416" i="2"/>
  <c r="AA1416" i="2"/>
  <c r="Z1416" i="2"/>
  <c r="Y1416" i="2"/>
  <c r="X1416" i="2"/>
  <c r="W1416" i="2"/>
  <c r="V1416" i="2"/>
  <c r="AB1415" i="2"/>
  <c r="AA1415" i="2"/>
  <c r="Z1415" i="2"/>
  <c r="Y1415" i="2"/>
  <c r="X1415" i="2"/>
  <c r="W1415" i="2"/>
  <c r="V1415" i="2"/>
  <c r="AB1414" i="2"/>
  <c r="AA1414" i="2"/>
  <c r="Z1414" i="2"/>
  <c r="Y1414" i="2"/>
  <c r="X1414" i="2"/>
  <c r="W1414" i="2"/>
  <c r="V1414" i="2"/>
  <c r="AB1413" i="2"/>
  <c r="AA1413" i="2"/>
  <c r="Z1413" i="2"/>
  <c r="Y1413" i="2"/>
  <c r="X1413" i="2"/>
  <c r="W1413" i="2"/>
  <c r="V1413" i="2"/>
  <c r="AB1412" i="2"/>
  <c r="AA1412" i="2"/>
  <c r="Z1412" i="2"/>
  <c r="Y1412" i="2"/>
  <c r="X1412" i="2"/>
  <c r="W1412" i="2"/>
  <c r="V1412" i="2"/>
  <c r="AB1411" i="2"/>
  <c r="AA1411" i="2"/>
  <c r="Z1411" i="2"/>
  <c r="Y1411" i="2"/>
  <c r="X1411" i="2"/>
  <c r="W1411" i="2"/>
  <c r="V1411" i="2"/>
  <c r="AB1410" i="2"/>
  <c r="AA1410" i="2"/>
  <c r="Z1410" i="2"/>
  <c r="Y1410" i="2"/>
  <c r="X1410" i="2"/>
  <c r="W1410" i="2"/>
  <c r="V1410" i="2"/>
  <c r="AB1409" i="2"/>
  <c r="AA1409" i="2"/>
  <c r="Z1409" i="2"/>
  <c r="Y1409" i="2"/>
  <c r="X1409" i="2"/>
  <c r="W1409" i="2"/>
  <c r="V1409" i="2"/>
  <c r="AB1408" i="2"/>
  <c r="AA1408" i="2"/>
  <c r="Z1408" i="2"/>
  <c r="Y1408" i="2"/>
  <c r="X1408" i="2"/>
  <c r="W1408" i="2"/>
  <c r="V1408" i="2"/>
  <c r="AB1407" i="2"/>
  <c r="AA1407" i="2"/>
  <c r="Z1407" i="2"/>
  <c r="Y1407" i="2"/>
  <c r="X1407" i="2"/>
  <c r="W1407" i="2"/>
  <c r="V1407" i="2"/>
  <c r="AB1406" i="2"/>
  <c r="AA1406" i="2"/>
  <c r="Z1406" i="2"/>
  <c r="Y1406" i="2"/>
  <c r="X1406" i="2"/>
  <c r="W1406" i="2"/>
  <c r="V1406" i="2"/>
  <c r="AB1405" i="2"/>
  <c r="AA1405" i="2"/>
  <c r="Z1405" i="2"/>
  <c r="Y1405" i="2"/>
  <c r="X1405" i="2"/>
  <c r="W1405" i="2"/>
  <c r="V1405" i="2"/>
  <c r="AB1404" i="2"/>
  <c r="AA1404" i="2"/>
  <c r="Z1404" i="2"/>
  <c r="Y1404" i="2"/>
  <c r="X1404" i="2"/>
  <c r="W1404" i="2"/>
  <c r="V1404" i="2"/>
  <c r="AB1403" i="2"/>
  <c r="AA1403" i="2"/>
  <c r="Z1403" i="2"/>
  <c r="Y1403" i="2"/>
  <c r="X1403" i="2"/>
  <c r="W1403" i="2"/>
  <c r="V1403" i="2"/>
  <c r="AB1402" i="2"/>
  <c r="AA1402" i="2"/>
  <c r="Z1402" i="2"/>
  <c r="Y1402" i="2"/>
  <c r="X1402" i="2"/>
  <c r="W1402" i="2"/>
  <c r="V1402" i="2"/>
  <c r="AB1401" i="2"/>
  <c r="AA1401" i="2"/>
  <c r="Z1401" i="2"/>
  <c r="Y1401" i="2"/>
  <c r="X1401" i="2"/>
  <c r="W1401" i="2"/>
  <c r="V1401" i="2"/>
  <c r="AB1400" i="2"/>
  <c r="AA1400" i="2"/>
  <c r="Z1400" i="2"/>
  <c r="Y1400" i="2"/>
  <c r="X1400" i="2"/>
  <c r="W1400" i="2"/>
  <c r="V1400" i="2"/>
  <c r="AB1399" i="2"/>
  <c r="AA1399" i="2"/>
  <c r="Z1399" i="2"/>
  <c r="Y1399" i="2"/>
  <c r="X1399" i="2"/>
  <c r="W1399" i="2"/>
  <c r="V1399" i="2"/>
  <c r="AB1398" i="2"/>
  <c r="AA1398" i="2"/>
  <c r="Z1398" i="2"/>
  <c r="Y1398" i="2"/>
  <c r="X1398" i="2"/>
  <c r="W1398" i="2"/>
  <c r="V1398" i="2"/>
  <c r="AB1397" i="2"/>
  <c r="AA1397" i="2"/>
  <c r="Z1397" i="2"/>
  <c r="Y1397" i="2"/>
  <c r="X1397" i="2"/>
  <c r="W1397" i="2"/>
  <c r="V1397" i="2"/>
  <c r="AB1396" i="2"/>
  <c r="AA1396" i="2"/>
  <c r="Z1396" i="2"/>
  <c r="Y1396" i="2"/>
  <c r="X1396" i="2"/>
  <c r="W1396" i="2"/>
  <c r="V1396" i="2"/>
  <c r="AB1395" i="2"/>
  <c r="AA1395" i="2"/>
  <c r="Z1395" i="2"/>
  <c r="Y1395" i="2"/>
  <c r="X1395" i="2"/>
  <c r="W1395" i="2"/>
  <c r="V1395" i="2"/>
  <c r="AB1394" i="2"/>
  <c r="AA1394" i="2"/>
  <c r="Z1394" i="2"/>
  <c r="Y1394" i="2"/>
  <c r="X1394" i="2"/>
  <c r="W1394" i="2"/>
  <c r="V1394" i="2"/>
  <c r="AB1393" i="2"/>
  <c r="AA1393" i="2"/>
  <c r="Z1393" i="2"/>
  <c r="Y1393" i="2"/>
  <c r="X1393" i="2"/>
  <c r="W1393" i="2"/>
  <c r="V1393" i="2"/>
  <c r="AB1392" i="2"/>
  <c r="AA1392" i="2"/>
  <c r="Z1392" i="2"/>
  <c r="Y1392" i="2"/>
  <c r="X1392" i="2"/>
  <c r="W1392" i="2"/>
  <c r="V1392" i="2"/>
  <c r="AB1391" i="2"/>
  <c r="AA1391" i="2"/>
  <c r="Z1391" i="2"/>
  <c r="Y1391" i="2"/>
  <c r="X1391" i="2"/>
  <c r="W1391" i="2"/>
  <c r="V1391" i="2"/>
  <c r="AB1390" i="2"/>
  <c r="AA1390" i="2"/>
  <c r="Z1390" i="2"/>
  <c r="Y1390" i="2"/>
  <c r="X1390" i="2"/>
  <c r="W1390" i="2"/>
  <c r="V1390" i="2"/>
  <c r="AB1389" i="2"/>
  <c r="AA1389" i="2"/>
  <c r="Z1389" i="2"/>
  <c r="Y1389" i="2"/>
  <c r="X1389" i="2"/>
  <c r="W1389" i="2"/>
  <c r="V1389" i="2"/>
  <c r="AB1388" i="2"/>
  <c r="AA1388" i="2"/>
  <c r="Z1388" i="2"/>
  <c r="Y1388" i="2"/>
  <c r="X1388" i="2"/>
  <c r="W1388" i="2"/>
  <c r="V1388" i="2"/>
  <c r="AB1387" i="2"/>
  <c r="AA1387" i="2"/>
  <c r="Z1387" i="2"/>
  <c r="Y1387" i="2"/>
  <c r="X1387" i="2"/>
  <c r="W1387" i="2"/>
  <c r="V1387" i="2"/>
  <c r="AB1386" i="2"/>
  <c r="AA1386" i="2"/>
  <c r="Z1386" i="2"/>
  <c r="Y1386" i="2"/>
  <c r="X1386" i="2"/>
  <c r="W1386" i="2"/>
  <c r="V1386" i="2"/>
  <c r="AB1385" i="2"/>
  <c r="AA1385" i="2"/>
  <c r="Z1385" i="2"/>
  <c r="Y1385" i="2"/>
  <c r="X1385" i="2"/>
  <c r="W1385" i="2"/>
  <c r="V1385" i="2"/>
  <c r="AB1384" i="2"/>
  <c r="AA1384" i="2"/>
  <c r="Z1384" i="2"/>
  <c r="Y1384" i="2"/>
  <c r="X1384" i="2"/>
  <c r="W1384" i="2"/>
  <c r="V1384" i="2"/>
  <c r="AB1383" i="2"/>
  <c r="AA1383" i="2"/>
  <c r="Z1383" i="2"/>
  <c r="Y1383" i="2"/>
  <c r="X1383" i="2"/>
  <c r="W1383" i="2"/>
  <c r="V1383" i="2"/>
  <c r="AB1382" i="2"/>
  <c r="AA1382" i="2"/>
  <c r="Z1382" i="2"/>
  <c r="Y1382" i="2"/>
  <c r="X1382" i="2"/>
  <c r="W1382" i="2"/>
  <c r="V1382" i="2"/>
  <c r="AB1381" i="2"/>
  <c r="AA1381" i="2"/>
  <c r="Z1381" i="2"/>
  <c r="Y1381" i="2"/>
  <c r="X1381" i="2"/>
  <c r="W1381" i="2"/>
  <c r="V1381" i="2"/>
  <c r="AB1380" i="2"/>
  <c r="AA1380" i="2"/>
  <c r="Z1380" i="2"/>
  <c r="Y1380" i="2"/>
  <c r="X1380" i="2"/>
  <c r="W1380" i="2"/>
  <c r="V1380" i="2"/>
  <c r="AB1379" i="2"/>
  <c r="AA1379" i="2"/>
  <c r="Z1379" i="2"/>
  <c r="Y1379" i="2"/>
  <c r="X1379" i="2"/>
  <c r="W1379" i="2"/>
  <c r="V1379" i="2"/>
  <c r="AB1378" i="2"/>
  <c r="AA1378" i="2"/>
  <c r="Z1378" i="2"/>
  <c r="Y1378" i="2"/>
  <c r="X1378" i="2"/>
  <c r="W1378" i="2"/>
  <c r="V1378" i="2"/>
  <c r="AB1377" i="2"/>
  <c r="AA1377" i="2"/>
  <c r="Z1377" i="2"/>
  <c r="Y1377" i="2"/>
  <c r="X1377" i="2"/>
  <c r="W1377" i="2"/>
  <c r="V1377" i="2"/>
  <c r="AB1376" i="2"/>
  <c r="AA1376" i="2"/>
  <c r="Z1376" i="2"/>
  <c r="Y1376" i="2"/>
  <c r="X1376" i="2"/>
  <c r="W1376" i="2"/>
  <c r="V1376" i="2"/>
  <c r="AB1375" i="2"/>
  <c r="AA1375" i="2"/>
  <c r="Z1375" i="2"/>
  <c r="Y1375" i="2"/>
  <c r="X1375" i="2"/>
  <c r="W1375" i="2"/>
  <c r="V1375" i="2"/>
  <c r="AB1374" i="2"/>
  <c r="AA1374" i="2"/>
  <c r="Z1374" i="2"/>
  <c r="Y1374" i="2"/>
  <c r="X1374" i="2"/>
  <c r="W1374" i="2"/>
  <c r="V1374" i="2"/>
  <c r="AB1373" i="2"/>
  <c r="AA1373" i="2"/>
  <c r="Z1373" i="2"/>
  <c r="Y1373" i="2"/>
  <c r="X1373" i="2"/>
  <c r="W1373" i="2"/>
  <c r="V1373" i="2"/>
  <c r="AB1372" i="2"/>
  <c r="AA1372" i="2"/>
  <c r="Z1372" i="2"/>
  <c r="Y1372" i="2"/>
  <c r="X1372" i="2"/>
  <c r="W1372" i="2"/>
  <c r="V1372" i="2"/>
  <c r="AB1371" i="2"/>
  <c r="AA1371" i="2"/>
  <c r="Z1371" i="2"/>
  <c r="Y1371" i="2"/>
  <c r="X1371" i="2"/>
  <c r="W1371" i="2"/>
  <c r="V1371" i="2"/>
  <c r="AB1370" i="2"/>
  <c r="AA1370" i="2"/>
  <c r="Z1370" i="2"/>
  <c r="Y1370" i="2"/>
  <c r="X1370" i="2"/>
  <c r="W1370" i="2"/>
  <c r="V1370" i="2"/>
  <c r="AB1369" i="2"/>
  <c r="AA1369" i="2"/>
  <c r="Z1369" i="2"/>
  <c r="Y1369" i="2"/>
  <c r="X1369" i="2"/>
  <c r="W1369" i="2"/>
  <c r="V1369" i="2"/>
  <c r="AB1368" i="2"/>
  <c r="AA1368" i="2"/>
  <c r="Z1368" i="2"/>
  <c r="Y1368" i="2"/>
  <c r="X1368" i="2"/>
  <c r="W1368" i="2"/>
  <c r="V1368" i="2"/>
  <c r="AB1367" i="2"/>
  <c r="AA1367" i="2"/>
  <c r="Z1367" i="2"/>
  <c r="Y1367" i="2"/>
  <c r="X1367" i="2"/>
  <c r="W1367" i="2"/>
  <c r="V1367" i="2"/>
  <c r="AB1366" i="2"/>
  <c r="AA1366" i="2"/>
  <c r="Z1366" i="2"/>
  <c r="Y1366" i="2"/>
  <c r="X1366" i="2"/>
  <c r="W1366" i="2"/>
  <c r="V1366" i="2"/>
  <c r="AB1365" i="2"/>
  <c r="AA1365" i="2"/>
  <c r="Z1365" i="2"/>
  <c r="Y1365" i="2"/>
  <c r="X1365" i="2"/>
  <c r="W1365" i="2"/>
  <c r="V1365" i="2"/>
  <c r="AB1364" i="2"/>
  <c r="AA1364" i="2"/>
  <c r="Z1364" i="2"/>
  <c r="Y1364" i="2"/>
  <c r="X1364" i="2"/>
  <c r="W1364" i="2"/>
  <c r="V1364" i="2"/>
  <c r="AB1363" i="2"/>
  <c r="AA1363" i="2"/>
  <c r="Z1363" i="2"/>
  <c r="Y1363" i="2"/>
  <c r="X1363" i="2"/>
  <c r="W1363" i="2"/>
  <c r="V1363" i="2"/>
  <c r="AB1362" i="2"/>
  <c r="AA1362" i="2"/>
  <c r="Z1362" i="2"/>
  <c r="Y1362" i="2"/>
  <c r="X1362" i="2"/>
  <c r="W1362" i="2"/>
  <c r="V1362" i="2"/>
  <c r="AB1361" i="2"/>
  <c r="AA1361" i="2"/>
  <c r="Z1361" i="2"/>
  <c r="Y1361" i="2"/>
  <c r="X1361" i="2"/>
  <c r="W1361" i="2"/>
  <c r="V1361" i="2"/>
  <c r="AB1360" i="2"/>
  <c r="AA1360" i="2"/>
  <c r="Z1360" i="2"/>
  <c r="Y1360" i="2"/>
  <c r="X1360" i="2"/>
  <c r="W1360" i="2"/>
  <c r="V1360" i="2"/>
  <c r="AB1359" i="2"/>
  <c r="AA1359" i="2"/>
  <c r="Z1359" i="2"/>
  <c r="Y1359" i="2"/>
  <c r="X1359" i="2"/>
  <c r="W1359" i="2"/>
  <c r="V1359" i="2"/>
  <c r="AB1358" i="2"/>
  <c r="AA1358" i="2"/>
  <c r="Z1358" i="2"/>
  <c r="Y1358" i="2"/>
  <c r="X1358" i="2"/>
  <c r="W1358" i="2"/>
  <c r="V1358" i="2"/>
  <c r="AB1357" i="2"/>
  <c r="AA1357" i="2"/>
  <c r="Z1357" i="2"/>
  <c r="Y1357" i="2"/>
  <c r="X1357" i="2"/>
  <c r="W1357" i="2"/>
  <c r="V1357" i="2"/>
  <c r="AB1356" i="2"/>
  <c r="AA1356" i="2"/>
  <c r="Z1356" i="2"/>
  <c r="Y1356" i="2"/>
  <c r="X1356" i="2"/>
  <c r="W1356" i="2"/>
  <c r="V1356" i="2"/>
  <c r="AB1355" i="2"/>
  <c r="AA1355" i="2"/>
  <c r="Z1355" i="2"/>
  <c r="Y1355" i="2"/>
  <c r="X1355" i="2"/>
  <c r="W1355" i="2"/>
  <c r="V1355" i="2"/>
  <c r="AB1354" i="2"/>
  <c r="AA1354" i="2"/>
  <c r="Z1354" i="2"/>
  <c r="Y1354" i="2"/>
  <c r="X1354" i="2"/>
  <c r="W1354" i="2"/>
  <c r="V1354" i="2"/>
  <c r="AB1353" i="2"/>
  <c r="AA1353" i="2"/>
  <c r="Z1353" i="2"/>
  <c r="Y1353" i="2"/>
  <c r="X1353" i="2"/>
  <c r="W1353" i="2"/>
  <c r="V1353" i="2"/>
  <c r="AB1352" i="2"/>
  <c r="AA1352" i="2"/>
  <c r="Z1352" i="2"/>
  <c r="Y1352" i="2"/>
  <c r="X1352" i="2"/>
  <c r="W1352" i="2"/>
  <c r="V1352" i="2"/>
  <c r="AB1351" i="2"/>
  <c r="AA1351" i="2"/>
  <c r="Z1351" i="2"/>
  <c r="Y1351" i="2"/>
  <c r="X1351" i="2"/>
  <c r="W1351" i="2"/>
  <c r="V1351" i="2"/>
  <c r="AB1350" i="2"/>
  <c r="AA1350" i="2"/>
  <c r="Z1350" i="2"/>
  <c r="Y1350" i="2"/>
  <c r="X1350" i="2"/>
  <c r="W1350" i="2"/>
  <c r="V1350" i="2"/>
  <c r="AB1349" i="2"/>
  <c r="AA1349" i="2"/>
  <c r="Z1349" i="2"/>
  <c r="Y1349" i="2"/>
  <c r="X1349" i="2"/>
  <c r="W1349" i="2"/>
  <c r="V1349" i="2"/>
  <c r="AB1348" i="2"/>
  <c r="AA1348" i="2"/>
  <c r="Z1348" i="2"/>
  <c r="Y1348" i="2"/>
  <c r="X1348" i="2"/>
  <c r="W1348" i="2"/>
  <c r="V1348" i="2"/>
  <c r="AB1347" i="2"/>
  <c r="AA1347" i="2"/>
  <c r="Z1347" i="2"/>
  <c r="Y1347" i="2"/>
  <c r="X1347" i="2"/>
  <c r="W1347" i="2"/>
  <c r="V1347" i="2"/>
  <c r="AB1346" i="2"/>
  <c r="AA1346" i="2"/>
  <c r="Z1346" i="2"/>
  <c r="Y1346" i="2"/>
  <c r="X1346" i="2"/>
  <c r="W1346" i="2"/>
  <c r="V1346" i="2"/>
  <c r="AB1345" i="2"/>
  <c r="AA1345" i="2"/>
  <c r="Z1345" i="2"/>
  <c r="Y1345" i="2"/>
  <c r="X1345" i="2"/>
  <c r="W1345" i="2"/>
  <c r="V1345" i="2"/>
  <c r="AB1344" i="2"/>
  <c r="AA1344" i="2"/>
  <c r="Z1344" i="2"/>
  <c r="Y1344" i="2"/>
  <c r="X1344" i="2"/>
  <c r="W1344" i="2"/>
  <c r="V1344" i="2"/>
  <c r="AB1343" i="2"/>
  <c r="AA1343" i="2"/>
  <c r="Z1343" i="2"/>
  <c r="Y1343" i="2"/>
  <c r="X1343" i="2"/>
  <c r="W1343" i="2"/>
  <c r="V1343" i="2"/>
  <c r="AB1342" i="2"/>
  <c r="AA1342" i="2"/>
  <c r="Z1342" i="2"/>
  <c r="Y1342" i="2"/>
  <c r="X1342" i="2"/>
  <c r="W1342" i="2"/>
  <c r="V1342" i="2"/>
  <c r="AB1341" i="2"/>
  <c r="AA1341" i="2"/>
  <c r="Z1341" i="2"/>
  <c r="Y1341" i="2"/>
  <c r="X1341" i="2"/>
  <c r="W1341" i="2"/>
  <c r="V1341" i="2"/>
  <c r="AB1340" i="2"/>
  <c r="AA1340" i="2"/>
  <c r="Z1340" i="2"/>
  <c r="Y1340" i="2"/>
  <c r="X1340" i="2"/>
  <c r="W1340" i="2"/>
  <c r="V1340" i="2"/>
  <c r="AB1339" i="2"/>
  <c r="AA1339" i="2"/>
  <c r="Z1339" i="2"/>
  <c r="Y1339" i="2"/>
  <c r="X1339" i="2"/>
  <c r="W1339" i="2"/>
  <c r="V1339" i="2"/>
  <c r="AB1338" i="2"/>
  <c r="AA1338" i="2"/>
  <c r="Z1338" i="2"/>
  <c r="Y1338" i="2"/>
  <c r="X1338" i="2"/>
  <c r="W1338" i="2"/>
  <c r="V1338" i="2"/>
  <c r="AB1337" i="2"/>
  <c r="AA1337" i="2"/>
  <c r="Z1337" i="2"/>
  <c r="Y1337" i="2"/>
  <c r="X1337" i="2"/>
  <c r="W1337" i="2"/>
  <c r="V1337" i="2"/>
  <c r="AB1336" i="2"/>
  <c r="AA1336" i="2"/>
  <c r="Z1336" i="2"/>
  <c r="Y1336" i="2"/>
  <c r="X1336" i="2"/>
  <c r="W1336" i="2"/>
  <c r="V1336" i="2"/>
  <c r="AB1335" i="2"/>
  <c r="AA1335" i="2"/>
  <c r="Z1335" i="2"/>
  <c r="Y1335" i="2"/>
  <c r="X1335" i="2"/>
  <c r="W1335" i="2"/>
  <c r="V1335" i="2"/>
  <c r="AB1334" i="2"/>
  <c r="AA1334" i="2"/>
  <c r="Z1334" i="2"/>
  <c r="Y1334" i="2"/>
  <c r="X1334" i="2"/>
  <c r="W1334" i="2"/>
  <c r="V1334" i="2"/>
  <c r="AB1333" i="2"/>
  <c r="AA1333" i="2"/>
  <c r="Z1333" i="2"/>
  <c r="Y1333" i="2"/>
  <c r="X1333" i="2"/>
  <c r="W1333" i="2"/>
  <c r="V1333" i="2"/>
  <c r="AB1332" i="2"/>
  <c r="AA1332" i="2"/>
  <c r="Z1332" i="2"/>
  <c r="Y1332" i="2"/>
  <c r="X1332" i="2"/>
  <c r="W1332" i="2"/>
  <c r="V1332" i="2"/>
  <c r="AB1331" i="2"/>
  <c r="AA1331" i="2"/>
  <c r="Z1331" i="2"/>
  <c r="Y1331" i="2"/>
  <c r="X1331" i="2"/>
  <c r="W1331" i="2"/>
  <c r="V1331" i="2"/>
  <c r="AB1330" i="2"/>
  <c r="AA1330" i="2"/>
  <c r="Z1330" i="2"/>
  <c r="Y1330" i="2"/>
  <c r="X1330" i="2"/>
  <c r="W1330" i="2"/>
  <c r="V1330" i="2"/>
  <c r="AB1329" i="2"/>
  <c r="AA1329" i="2"/>
  <c r="Z1329" i="2"/>
  <c r="Y1329" i="2"/>
  <c r="X1329" i="2"/>
  <c r="W1329" i="2"/>
  <c r="V1329" i="2"/>
  <c r="AB1328" i="2"/>
  <c r="AA1328" i="2"/>
  <c r="Z1328" i="2"/>
  <c r="Y1328" i="2"/>
  <c r="X1328" i="2"/>
  <c r="W1328" i="2"/>
  <c r="V1328" i="2"/>
  <c r="AB1327" i="2"/>
  <c r="AA1327" i="2"/>
  <c r="Z1327" i="2"/>
  <c r="Y1327" i="2"/>
  <c r="X1327" i="2"/>
  <c r="W1327" i="2"/>
  <c r="V1327" i="2"/>
  <c r="AB1326" i="2"/>
  <c r="AA1326" i="2"/>
  <c r="Z1326" i="2"/>
  <c r="Y1326" i="2"/>
  <c r="X1326" i="2"/>
  <c r="W1326" i="2"/>
  <c r="V1326" i="2"/>
  <c r="AB1325" i="2"/>
  <c r="AA1325" i="2"/>
  <c r="Z1325" i="2"/>
  <c r="Y1325" i="2"/>
  <c r="X1325" i="2"/>
  <c r="W1325" i="2"/>
  <c r="V1325" i="2"/>
  <c r="AB1324" i="2"/>
  <c r="AA1324" i="2"/>
  <c r="Z1324" i="2"/>
  <c r="Y1324" i="2"/>
  <c r="X1324" i="2"/>
  <c r="W1324" i="2"/>
  <c r="V1324" i="2"/>
  <c r="AB1323" i="2"/>
  <c r="AA1323" i="2"/>
  <c r="Z1323" i="2"/>
  <c r="Y1323" i="2"/>
  <c r="X1323" i="2"/>
  <c r="W1323" i="2"/>
  <c r="V1323" i="2"/>
  <c r="AB1322" i="2"/>
  <c r="AA1322" i="2"/>
  <c r="Z1322" i="2"/>
  <c r="Y1322" i="2"/>
  <c r="X1322" i="2"/>
  <c r="W1322" i="2"/>
  <c r="V1322" i="2"/>
  <c r="AB1321" i="2"/>
  <c r="AA1321" i="2"/>
  <c r="Z1321" i="2"/>
  <c r="Y1321" i="2"/>
  <c r="X1321" i="2"/>
  <c r="W1321" i="2"/>
  <c r="V1321" i="2"/>
  <c r="AB1320" i="2"/>
  <c r="AA1320" i="2"/>
  <c r="Z1320" i="2"/>
  <c r="Y1320" i="2"/>
  <c r="X1320" i="2"/>
  <c r="W1320" i="2"/>
  <c r="V1320" i="2"/>
  <c r="AB1319" i="2"/>
  <c r="AA1319" i="2"/>
  <c r="Z1319" i="2"/>
  <c r="Y1319" i="2"/>
  <c r="X1319" i="2"/>
  <c r="W1319" i="2"/>
  <c r="V1319" i="2"/>
  <c r="AB1318" i="2"/>
  <c r="AA1318" i="2"/>
  <c r="Z1318" i="2"/>
  <c r="Y1318" i="2"/>
  <c r="X1318" i="2"/>
  <c r="W1318" i="2"/>
  <c r="V1318" i="2"/>
  <c r="AB1317" i="2"/>
  <c r="AA1317" i="2"/>
  <c r="Z1317" i="2"/>
  <c r="Y1317" i="2"/>
  <c r="X1317" i="2"/>
  <c r="W1317" i="2"/>
  <c r="V1317" i="2"/>
  <c r="AB1316" i="2"/>
  <c r="AA1316" i="2"/>
  <c r="Z1316" i="2"/>
  <c r="Y1316" i="2"/>
  <c r="X1316" i="2"/>
  <c r="W1316" i="2"/>
  <c r="V1316" i="2"/>
  <c r="AB1315" i="2"/>
  <c r="AA1315" i="2"/>
  <c r="Z1315" i="2"/>
  <c r="Y1315" i="2"/>
  <c r="X1315" i="2"/>
  <c r="W1315" i="2"/>
  <c r="V1315" i="2"/>
  <c r="AB1314" i="2"/>
  <c r="AA1314" i="2"/>
  <c r="Z1314" i="2"/>
  <c r="Y1314" i="2"/>
  <c r="X1314" i="2"/>
  <c r="W1314" i="2"/>
  <c r="V1314" i="2"/>
  <c r="AB1313" i="2"/>
  <c r="AA1313" i="2"/>
  <c r="Z1313" i="2"/>
  <c r="Y1313" i="2"/>
  <c r="X1313" i="2"/>
  <c r="W1313" i="2"/>
  <c r="V1313" i="2"/>
  <c r="AB1312" i="2"/>
  <c r="AA1312" i="2"/>
  <c r="Z1312" i="2"/>
  <c r="Y1312" i="2"/>
  <c r="X1312" i="2"/>
  <c r="W1312" i="2"/>
  <c r="V1312" i="2"/>
  <c r="AB1311" i="2"/>
  <c r="AA1311" i="2"/>
  <c r="Z1311" i="2"/>
  <c r="Y1311" i="2"/>
  <c r="X1311" i="2"/>
  <c r="W1311" i="2"/>
  <c r="V1311" i="2"/>
  <c r="AB1310" i="2"/>
  <c r="AA1310" i="2"/>
  <c r="Z1310" i="2"/>
  <c r="Y1310" i="2"/>
  <c r="X1310" i="2"/>
  <c r="W1310" i="2"/>
  <c r="V1310" i="2"/>
  <c r="AB1309" i="2"/>
  <c r="AA1309" i="2"/>
  <c r="Z1309" i="2"/>
  <c r="Y1309" i="2"/>
  <c r="X1309" i="2"/>
  <c r="W1309" i="2"/>
  <c r="V1309" i="2"/>
  <c r="AB1308" i="2"/>
  <c r="AA1308" i="2"/>
  <c r="Z1308" i="2"/>
  <c r="Y1308" i="2"/>
  <c r="X1308" i="2"/>
  <c r="W1308" i="2"/>
  <c r="V1308" i="2"/>
  <c r="AB1307" i="2"/>
  <c r="AA1307" i="2"/>
  <c r="Z1307" i="2"/>
  <c r="Y1307" i="2"/>
  <c r="X1307" i="2"/>
  <c r="W1307" i="2"/>
  <c r="V1307" i="2"/>
  <c r="AB1306" i="2"/>
  <c r="AA1306" i="2"/>
  <c r="Z1306" i="2"/>
  <c r="Y1306" i="2"/>
  <c r="X1306" i="2"/>
  <c r="W1306" i="2"/>
  <c r="V1306" i="2"/>
  <c r="AB1305" i="2"/>
  <c r="AA1305" i="2"/>
  <c r="Z1305" i="2"/>
  <c r="Y1305" i="2"/>
  <c r="X1305" i="2"/>
  <c r="W1305" i="2"/>
  <c r="V1305" i="2"/>
  <c r="AB1304" i="2"/>
  <c r="AA1304" i="2"/>
  <c r="Z1304" i="2"/>
  <c r="Y1304" i="2"/>
  <c r="X1304" i="2"/>
  <c r="W1304" i="2"/>
  <c r="V1304" i="2"/>
  <c r="AB1303" i="2"/>
  <c r="AA1303" i="2"/>
  <c r="Z1303" i="2"/>
  <c r="Y1303" i="2"/>
  <c r="X1303" i="2"/>
  <c r="W1303" i="2"/>
  <c r="V1303" i="2"/>
  <c r="AB1302" i="2"/>
  <c r="AA1302" i="2"/>
  <c r="Z1302" i="2"/>
  <c r="Y1302" i="2"/>
  <c r="X1302" i="2"/>
  <c r="W1302" i="2"/>
  <c r="V1302" i="2"/>
  <c r="AB1301" i="2"/>
  <c r="AA1301" i="2"/>
  <c r="Z1301" i="2"/>
  <c r="Y1301" i="2"/>
  <c r="X1301" i="2"/>
  <c r="W1301" i="2"/>
  <c r="V1301" i="2"/>
  <c r="AB1300" i="2"/>
  <c r="AA1300" i="2"/>
  <c r="Z1300" i="2"/>
  <c r="Y1300" i="2"/>
  <c r="X1300" i="2"/>
  <c r="W1300" i="2"/>
  <c r="V1300" i="2"/>
  <c r="AB1299" i="2"/>
  <c r="AA1299" i="2"/>
  <c r="Z1299" i="2"/>
  <c r="Y1299" i="2"/>
  <c r="X1299" i="2"/>
  <c r="W1299" i="2"/>
  <c r="V1299" i="2"/>
  <c r="AB1298" i="2"/>
  <c r="AA1298" i="2"/>
  <c r="Z1298" i="2"/>
  <c r="Y1298" i="2"/>
  <c r="X1298" i="2"/>
  <c r="W1298" i="2"/>
  <c r="V1298" i="2"/>
  <c r="AB1297" i="2"/>
  <c r="AA1297" i="2"/>
  <c r="Z1297" i="2"/>
  <c r="Y1297" i="2"/>
  <c r="X1297" i="2"/>
  <c r="W1297" i="2"/>
  <c r="V1297" i="2"/>
  <c r="AB1296" i="2"/>
  <c r="AA1296" i="2"/>
  <c r="Z1296" i="2"/>
  <c r="Y1296" i="2"/>
  <c r="X1296" i="2"/>
  <c r="W1296" i="2"/>
  <c r="V1296" i="2"/>
  <c r="AB1295" i="2"/>
  <c r="AA1295" i="2"/>
  <c r="Z1295" i="2"/>
  <c r="Y1295" i="2"/>
  <c r="X1295" i="2"/>
  <c r="W1295" i="2"/>
  <c r="V1295" i="2"/>
  <c r="AB1294" i="2"/>
  <c r="AA1294" i="2"/>
  <c r="Z1294" i="2"/>
  <c r="Y1294" i="2"/>
  <c r="X1294" i="2"/>
  <c r="W1294" i="2"/>
  <c r="V1294" i="2"/>
  <c r="AB1293" i="2"/>
  <c r="AA1293" i="2"/>
  <c r="Z1293" i="2"/>
  <c r="Y1293" i="2"/>
  <c r="X1293" i="2"/>
  <c r="W1293" i="2"/>
  <c r="V1293" i="2"/>
  <c r="AB1292" i="2"/>
  <c r="AA1292" i="2"/>
  <c r="Z1292" i="2"/>
  <c r="Y1292" i="2"/>
  <c r="X1292" i="2"/>
  <c r="W1292" i="2"/>
  <c r="V1292" i="2"/>
  <c r="AB1291" i="2"/>
  <c r="AA1291" i="2"/>
  <c r="Z1291" i="2"/>
  <c r="Y1291" i="2"/>
  <c r="X1291" i="2"/>
  <c r="W1291" i="2"/>
  <c r="V1291" i="2"/>
  <c r="AB1290" i="2"/>
  <c r="AA1290" i="2"/>
  <c r="Z1290" i="2"/>
  <c r="Y1290" i="2"/>
  <c r="X1290" i="2"/>
  <c r="W1290" i="2"/>
  <c r="V1290" i="2"/>
  <c r="AB1289" i="2"/>
  <c r="AA1289" i="2"/>
  <c r="Z1289" i="2"/>
  <c r="Y1289" i="2"/>
  <c r="X1289" i="2"/>
  <c r="W1289" i="2"/>
  <c r="V1289" i="2"/>
  <c r="AB1288" i="2"/>
  <c r="AA1288" i="2"/>
  <c r="Z1288" i="2"/>
  <c r="Y1288" i="2"/>
  <c r="X1288" i="2"/>
  <c r="W1288" i="2"/>
  <c r="V1288" i="2"/>
  <c r="AB1287" i="2"/>
  <c r="AA1287" i="2"/>
  <c r="Z1287" i="2"/>
  <c r="Y1287" i="2"/>
  <c r="X1287" i="2"/>
  <c r="W1287" i="2"/>
  <c r="V1287" i="2"/>
  <c r="AB1286" i="2"/>
  <c r="AA1286" i="2"/>
  <c r="Z1286" i="2"/>
  <c r="Y1286" i="2"/>
  <c r="X1286" i="2"/>
  <c r="W1286" i="2"/>
  <c r="V1286" i="2"/>
  <c r="AB1285" i="2"/>
  <c r="AA1285" i="2"/>
  <c r="Z1285" i="2"/>
  <c r="Y1285" i="2"/>
  <c r="X1285" i="2"/>
  <c r="W1285" i="2"/>
  <c r="V1285" i="2"/>
  <c r="AB1284" i="2"/>
  <c r="AA1284" i="2"/>
  <c r="Z1284" i="2"/>
  <c r="Y1284" i="2"/>
  <c r="X1284" i="2"/>
  <c r="W1284" i="2"/>
  <c r="V1284" i="2"/>
  <c r="AB1283" i="2"/>
  <c r="AA1283" i="2"/>
  <c r="Z1283" i="2"/>
  <c r="Y1283" i="2"/>
  <c r="X1283" i="2"/>
  <c r="W1283" i="2"/>
  <c r="V1283" i="2"/>
  <c r="AB1282" i="2"/>
  <c r="AA1282" i="2"/>
  <c r="Z1282" i="2"/>
  <c r="Y1282" i="2"/>
  <c r="X1282" i="2"/>
  <c r="W1282" i="2"/>
  <c r="V1282" i="2"/>
  <c r="AB1281" i="2"/>
  <c r="AA1281" i="2"/>
  <c r="Z1281" i="2"/>
  <c r="Y1281" i="2"/>
  <c r="X1281" i="2"/>
  <c r="W1281" i="2"/>
  <c r="V1281" i="2"/>
  <c r="AB1280" i="2"/>
  <c r="AA1280" i="2"/>
  <c r="Z1280" i="2"/>
  <c r="Y1280" i="2"/>
  <c r="X1280" i="2"/>
  <c r="W1280" i="2"/>
  <c r="V1280" i="2"/>
  <c r="AB1279" i="2"/>
  <c r="AA1279" i="2"/>
  <c r="Z1279" i="2"/>
  <c r="Y1279" i="2"/>
  <c r="X1279" i="2"/>
  <c r="W1279" i="2"/>
  <c r="V1279" i="2"/>
  <c r="AB1278" i="2"/>
  <c r="AA1278" i="2"/>
  <c r="Z1278" i="2"/>
  <c r="Y1278" i="2"/>
  <c r="X1278" i="2"/>
  <c r="W1278" i="2"/>
  <c r="V1278" i="2"/>
  <c r="AB1277" i="2"/>
  <c r="AA1277" i="2"/>
  <c r="Z1277" i="2"/>
  <c r="Y1277" i="2"/>
  <c r="X1277" i="2"/>
  <c r="W1277" i="2"/>
  <c r="V1277" i="2"/>
  <c r="AB1276" i="2"/>
  <c r="AA1276" i="2"/>
  <c r="Z1276" i="2"/>
  <c r="Y1276" i="2"/>
  <c r="X1276" i="2"/>
  <c r="W1276" i="2"/>
  <c r="V1276" i="2"/>
  <c r="AB1275" i="2"/>
  <c r="AA1275" i="2"/>
  <c r="Z1275" i="2"/>
  <c r="Y1275" i="2"/>
  <c r="X1275" i="2"/>
  <c r="W1275" i="2"/>
  <c r="V1275" i="2"/>
  <c r="AB1274" i="2"/>
  <c r="AA1274" i="2"/>
  <c r="Z1274" i="2"/>
  <c r="Y1274" i="2"/>
  <c r="X1274" i="2"/>
  <c r="W1274" i="2"/>
  <c r="V1274" i="2"/>
  <c r="AB1273" i="2"/>
  <c r="AA1273" i="2"/>
  <c r="Z1273" i="2"/>
  <c r="Y1273" i="2"/>
  <c r="X1273" i="2"/>
  <c r="W1273" i="2"/>
  <c r="V1273" i="2"/>
  <c r="AB1272" i="2"/>
  <c r="AA1272" i="2"/>
  <c r="Z1272" i="2"/>
  <c r="Y1272" i="2"/>
  <c r="X1272" i="2"/>
  <c r="W1272" i="2"/>
  <c r="V1272" i="2"/>
  <c r="AB1271" i="2"/>
  <c r="AA1271" i="2"/>
  <c r="Z1271" i="2"/>
  <c r="Y1271" i="2"/>
  <c r="X1271" i="2"/>
  <c r="W1271" i="2"/>
  <c r="V1271" i="2"/>
  <c r="AB1270" i="2"/>
  <c r="AA1270" i="2"/>
  <c r="Z1270" i="2"/>
  <c r="Y1270" i="2"/>
  <c r="X1270" i="2"/>
  <c r="W1270" i="2"/>
  <c r="V1270" i="2"/>
  <c r="AB1269" i="2"/>
  <c r="AA1269" i="2"/>
  <c r="Z1269" i="2"/>
  <c r="Y1269" i="2"/>
  <c r="X1269" i="2"/>
  <c r="W1269" i="2"/>
  <c r="V1269" i="2"/>
  <c r="AB1268" i="2"/>
  <c r="AA1268" i="2"/>
  <c r="Z1268" i="2"/>
  <c r="Y1268" i="2"/>
  <c r="X1268" i="2"/>
  <c r="W1268" i="2"/>
  <c r="V1268" i="2"/>
  <c r="AB1267" i="2"/>
  <c r="AA1267" i="2"/>
  <c r="Z1267" i="2"/>
  <c r="Y1267" i="2"/>
  <c r="X1267" i="2"/>
  <c r="W1267" i="2"/>
  <c r="V1267" i="2"/>
  <c r="AB1266" i="2"/>
  <c r="AA1266" i="2"/>
  <c r="Z1266" i="2"/>
  <c r="Y1266" i="2"/>
  <c r="X1266" i="2"/>
  <c r="W1266" i="2"/>
  <c r="V1266" i="2"/>
  <c r="AB1265" i="2"/>
  <c r="AA1265" i="2"/>
  <c r="Z1265" i="2"/>
  <c r="Y1265" i="2"/>
  <c r="X1265" i="2"/>
  <c r="W1265" i="2"/>
  <c r="V1265" i="2"/>
  <c r="AB1264" i="2"/>
  <c r="AA1264" i="2"/>
  <c r="Z1264" i="2"/>
  <c r="Y1264" i="2"/>
  <c r="X1264" i="2"/>
  <c r="W1264" i="2"/>
  <c r="V1264" i="2"/>
  <c r="AB1263" i="2"/>
  <c r="AA1263" i="2"/>
  <c r="Z1263" i="2"/>
  <c r="Y1263" i="2"/>
  <c r="X1263" i="2"/>
  <c r="W1263" i="2"/>
  <c r="V1263" i="2"/>
  <c r="AB1262" i="2"/>
  <c r="AA1262" i="2"/>
  <c r="Z1262" i="2"/>
  <c r="Y1262" i="2"/>
  <c r="X1262" i="2"/>
  <c r="W1262" i="2"/>
  <c r="V1262" i="2"/>
  <c r="AB1261" i="2"/>
  <c r="AA1261" i="2"/>
  <c r="Z1261" i="2"/>
  <c r="Y1261" i="2"/>
  <c r="X1261" i="2"/>
  <c r="W1261" i="2"/>
  <c r="V1261" i="2"/>
  <c r="AB1260" i="2"/>
  <c r="AA1260" i="2"/>
  <c r="Z1260" i="2"/>
  <c r="Y1260" i="2"/>
  <c r="X1260" i="2"/>
  <c r="W1260" i="2"/>
  <c r="V1260" i="2"/>
  <c r="AB1259" i="2"/>
  <c r="AA1259" i="2"/>
  <c r="Z1259" i="2"/>
  <c r="Y1259" i="2"/>
  <c r="X1259" i="2"/>
  <c r="W1259" i="2"/>
  <c r="V1259" i="2"/>
  <c r="AB1258" i="2"/>
  <c r="AA1258" i="2"/>
  <c r="Z1258" i="2"/>
  <c r="Y1258" i="2"/>
  <c r="X1258" i="2"/>
  <c r="W1258" i="2"/>
  <c r="V1258" i="2"/>
  <c r="AB1257" i="2"/>
  <c r="AA1257" i="2"/>
  <c r="Z1257" i="2"/>
  <c r="Y1257" i="2"/>
  <c r="X1257" i="2"/>
  <c r="W1257" i="2"/>
  <c r="V1257" i="2"/>
  <c r="AB1256" i="2"/>
  <c r="AA1256" i="2"/>
  <c r="Z1256" i="2"/>
  <c r="Y1256" i="2"/>
  <c r="X1256" i="2"/>
  <c r="W1256" i="2"/>
  <c r="V1256" i="2"/>
  <c r="AB1255" i="2"/>
  <c r="AA1255" i="2"/>
  <c r="Z1255" i="2"/>
  <c r="Y1255" i="2"/>
  <c r="X1255" i="2"/>
  <c r="W1255" i="2"/>
  <c r="V1255" i="2"/>
  <c r="AB1254" i="2"/>
  <c r="AA1254" i="2"/>
  <c r="Z1254" i="2"/>
  <c r="Y1254" i="2"/>
  <c r="X1254" i="2"/>
  <c r="W1254" i="2"/>
  <c r="V1254" i="2"/>
  <c r="AB1253" i="2"/>
  <c r="AA1253" i="2"/>
  <c r="Z1253" i="2"/>
  <c r="Y1253" i="2"/>
  <c r="X1253" i="2"/>
  <c r="W1253" i="2"/>
  <c r="V1253" i="2"/>
  <c r="AB1252" i="2"/>
  <c r="AA1252" i="2"/>
  <c r="Z1252" i="2"/>
  <c r="Y1252" i="2"/>
  <c r="X1252" i="2"/>
  <c r="W1252" i="2"/>
  <c r="V1252" i="2"/>
  <c r="AB1251" i="2"/>
  <c r="AA1251" i="2"/>
  <c r="Z1251" i="2"/>
  <c r="Y1251" i="2"/>
  <c r="X1251" i="2"/>
  <c r="W1251" i="2"/>
  <c r="V1251" i="2"/>
  <c r="AB1250" i="2"/>
  <c r="AA1250" i="2"/>
  <c r="Z1250" i="2"/>
  <c r="Y1250" i="2"/>
  <c r="X1250" i="2"/>
  <c r="W1250" i="2"/>
  <c r="V1250" i="2"/>
  <c r="AB1249" i="2"/>
  <c r="AA1249" i="2"/>
  <c r="Z1249" i="2"/>
  <c r="Y1249" i="2"/>
  <c r="X1249" i="2"/>
  <c r="W1249" i="2"/>
  <c r="V1249" i="2"/>
  <c r="AB1248" i="2"/>
  <c r="AA1248" i="2"/>
  <c r="Z1248" i="2"/>
  <c r="Y1248" i="2"/>
  <c r="X1248" i="2"/>
  <c r="W1248" i="2"/>
  <c r="V1248" i="2"/>
  <c r="AB1247" i="2"/>
  <c r="AA1247" i="2"/>
  <c r="Z1247" i="2"/>
  <c r="Y1247" i="2"/>
  <c r="X1247" i="2"/>
  <c r="W1247" i="2"/>
  <c r="V1247" i="2"/>
  <c r="AB1246" i="2"/>
  <c r="AA1246" i="2"/>
  <c r="Z1246" i="2"/>
  <c r="Y1246" i="2"/>
  <c r="X1246" i="2"/>
  <c r="W1246" i="2"/>
  <c r="V1246" i="2"/>
  <c r="AB1245" i="2"/>
  <c r="AA1245" i="2"/>
  <c r="Z1245" i="2"/>
  <c r="Y1245" i="2"/>
  <c r="X1245" i="2"/>
  <c r="W1245" i="2"/>
  <c r="V1245" i="2"/>
  <c r="AB1244" i="2"/>
  <c r="AA1244" i="2"/>
  <c r="Z1244" i="2"/>
  <c r="Y1244" i="2"/>
  <c r="X1244" i="2"/>
  <c r="W1244" i="2"/>
  <c r="V1244" i="2"/>
  <c r="AB1243" i="2"/>
  <c r="AA1243" i="2"/>
  <c r="Z1243" i="2"/>
  <c r="Y1243" i="2"/>
  <c r="X1243" i="2"/>
  <c r="W1243" i="2"/>
  <c r="V1243" i="2"/>
  <c r="AB1242" i="2"/>
  <c r="AA1242" i="2"/>
  <c r="Z1242" i="2"/>
  <c r="Y1242" i="2"/>
  <c r="X1242" i="2"/>
  <c r="W1242" i="2"/>
  <c r="V1242" i="2"/>
  <c r="AB1241" i="2"/>
  <c r="AA1241" i="2"/>
  <c r="Z1241" i="2"/>
  <c r="Y1241" i="2"/>
  <c r="X1241" i="2"/>
  <c r="W1241" i="2"/>
  <c r="V1241" i="2"/>
  <c r="AB1240" i="2"/>
  <c r="AA1240" i="2"/>
  <c r="Z1240" i="2"/>
  <c r="Y1240" i="2"/>
  <c r="X1240" i="2"/>
  <c r="W1240" i="2"/>
  <c r="V1240" i="2"/>
  <c r="AB1239" i="2"/>
  <c r="AA1239" i="2"/>
  <c r="Z1239" i="2"/>
  <c r="Y1239" i="2"/>
  <c r="X1239" i="2"/>
  <c r="W1239" i="2"/>
  <c r="V1239" i="2"/>
  <c r="AB1238" i="2"/>
  <c r="AA1238" i="2"/>
  <c r="Z1238" i="2"/>
  <c r="Y1238" i="2"/>
  <c r="X1238" i="2"/>
  <c r="W1238" i="2"/>
  <c r="V1238" i="2"/>
  <c r="AB1237" i="2"/>
  <c r="AA1237" i="2"/>
  <c r="Z1237" i="2"/>
  <c r="Y1237" i="2"/>
  <c r="X1237" i="2"/>
  <c r="W1237" i="2"/>
  <c r="V1237" i="2"/>
  <c r="AB1236" i="2"/>
  <c r="AA1236" i="2"/>
  <c r="Z1236" i="2"/>
  <c r="Y1236" i="2"/>
  <c r="X1236" i="2"/>
  <c r="W1236" i="2"/>
  <c r="V1236" i="2"/>
  <c r="AB1235" i="2"/>
  <c r="AA1235" i="2"/>
  <c r="Z1235" i="2"/>
  <c r="Y1235" i="2"/>
  <c r="X1235" i="2"/>
  <c r="W1235" i="2"/>
  <c r="V1235" i="2"/>
  <c r="AB1234" i="2"/>
  <c r="AA1234" i="2"/>
  <c r="Z1234" i="2"/>
  <c r="Y1234" i="2"/>
  <c r="X1234" i="2"/>
  <c r="W1234" i="2"/>
  <c r="V1234" i="2"/>
  <c r="AB1233" i="2"/>
  <c r="AA1233" i="2"/>
  <c r="Z1233" i="2"/>
  <c r="Y1233" i="2"/>
  <c r="X1233" i="2"/>
  <c r="W1233" i="2"/>
  <c r="V1233" i="2"/>
  <c r="AB1232" i="2"/>
  <c r="AA1232" i="2"/>
  <c r="Z1232" i="2"/>
  <c r="Y1232" i="2"/>
  <c r="X1232" i="2"/>
  <c r="W1232" i="2"/>
  <c r="V1232" i="2"/>
  <c r="AB1231" i="2"/>
  <c r="AA1231" i="2"/>
  <c r="Z1231" i="2"/>
  <c r="Y1231" i="2"/>
  <c r="X1231" i="2"/>
  <c r="W1231" i="2"/>
  <c r="V1231" i="2"/>
  <c r="AB1230" i="2"/>
  <c r="AA1230" i="2"/>
  <c r="Z1230" i="2"/>
  <c r="Y1230" i="2"/>
  <c r="X1230" i="2"/>
  <c r="W1230" i="2"/>
  <c r="V1230" i="2"/>
  <c r="AB1229" i="2"/>
  <c r="AA1229" i="2"/>
  <c r="Z1229" i="2"/>
  <c r="Y1229" i="2"/>
  <c r="X1229" i="2"/>
  <c r="W1229" i="2"/>
  <c r="V1229" i="2"/>
  <c r="AB1228" i="2"/>
  <c r="AA1228" i="2"/>
  <c r="Z1228" i="2"/>
  <c r="Y1228" i="2"/>
  <c r="X1228" i="2"/>
  <c r="W1228" i="2"/>
  <c r="V1228" i="2"/>
  <c r="AB1227" i="2"/>
  <c r="AA1227" i="2"/>
  <c r="Z1227" i="2"/>
  <c r="Y1227" i="2"/>
  <c r="X1227" i="2"/>
  <c r="W1227" i="2"/>
  <c r="V1227" i="2"/>
  <c r="AB1226" i="2"/>
  <c r="AA1226" i="2"/>
  <c r="Z1226" i="2"/>
  <c r="Y1226" i="2"/>
  <c r="X1226" i="2"/>
  <c r="W1226" i="2"/>
  <c r="V1226" i="2"/>
  <c r="AB1225" i="2"/>
  <c r="AA1225" i="2"/>
  <c r="Z1225" i="2"/>
  <c r="Y1225" i="2"/>
  <c r="X1225" i="2"/>
  <c r="W1225" i="2"/>
  <c r="V1225" i="2"/>
  <c r="AB1224" i="2"/>
  <c r="AA1224" i="2"/>
  <c r="Z1224" i="2"/>
  <c r="Y1224" i="2"/>
  <c r="X1224" i="2"/>
  <c r="W1224" i="2"/>
  <c r="V1224" i="2"/>
  <c r="AB1223" i="2"/>
  <c r="AA1223" i="2"/>
  <c r="Z1223" i="2"/>
  <c r="Y1223" i="2"/>
  <c r="X1223" i="2"/>
  <c r="W1223" i="2"/>
  <c r="V1223" i="2"/>
  <c r="AB1222" i="2"/>
  <c r="AA1222" i="2"/>
  <c r="Z1222" i="2"/>
  <c r="Y1222" i="2"/>
  <c r="X1222" i="2"/>
  <c r="W1222" i="2"/>
  <c r="V1222" i="2"/>
  <c r="AB1221" i="2"/>
  <c r="AA1221" i="2"/>
  <c r="Z1221" i="2"/>
  <c r="Y1221" i="2"/>
  <c r="X1221" i="2"/>
  <c r="W1221" i="2"/>
  <c r="V1221" i="2"/>
  <c r="AB1220" i="2"/>
  <c r="AA1220" i="2"/>
  <c r="Z1220" i="2"/>
  <c r="Y1220" i="2"/>
  <c r="X1220" i="2"/>
  <c r="W1220" i="2"/>
  <c r="V1220" i="2"/>
  <c r="AB1219" i="2"/>
  <c r="AA1219" i="2"/>
  <c r="Z1219" i="2"/>
  <c r="Y1219" i="2"/>
  <c r="X1219" i="2"/>
  <c r="W1219" i="2"/>
  <c r="V1219" i="2"/>
  <c r="AB1218" i="2"/>
  <c r="AA1218" i="2"/>
  <c r="Z1218" i="2"/>
  <c r="Y1218" i="2"/>
  <c r="X1218" i="2"/>
  <c r="W1218" i="2"/>
  <c r="V1218" i="2"/>
  <c r="AB1217" i="2"/>
  <c r="AA1217" i="2"/>
  <c r="Z1217" i="2"/>
  <c r="Y1217" i="2"/>
  <c r="X1217" i="2"/>
  <c r="W1217" i="2"/>
  <c r="V1217" i="2"/>
  <c r="AB1216" i="2"/>
  <c r="AA1216" i="2"/>
  <c r="Z1216" i="2"/>
  <c r="Y1216" i="2"/>
  <c r="X1216" i="2"/>
  <c r="W1216" i="2"/>
  <c r="V1216" i="2"/>
  <c r="AB1215" i="2"/>
  <c r="AA1215" i="2"/>
  <c r="Z1215" i="2"/>
  <c r="Y1215" i="2"/>
  <c r="X1215" i="2"/>
  <c r="W1215" i="2"/>
  <c r="V1215" i="2"/>
  <c r="AB1214" i="2"/>
  <c r="AA1214" i="2"/>
  <c r="Z1214" i="2"/>
  <c r="Y1214" i="2"/>
  <c r="X1214" i="2"/>
  <c r="W1214" i="2"/>
  <c r="V1214" i="2"/>
  <c r="AB1213" i="2"/>
  <c r="AA1213" i="2"/>
  <c r="Z1213" i="2"/>
  <c r="Y1213" i="2"/>
  <c r="X1213" i="2"/>
  <c r="W1213" i="2"/>
  <c r="V1213" i="2"/>
  <c r="AB1212" i="2"/>
  <c r="AA1212" i="2"/>
  <c r="Z1212" i="2"/>
  <c r="Y1212" i="2"/>
  <c r="X1212" i="2"/>
  <c r="W1212" i="2"/>
  <c r="V1212" i="2"/>
  <c r="AB1211" i="2"/>
  <c r="AA1211" i="2"/>
  <c r="Z1211" i="2"/>
  <c r="Y1211" i="2"/>
  <c r="X1211" i="2"/>
  <c r="W1211" i="2"/>
  <c r="V1211" i="2"/>
  <c r="AB1210" i="2"/>
  <c r="AA1210" i="2"/>
  <c r="Z1210" i="2"/>
  <c r="Y1210" i="2"/>
  <c r="X1210" i="2"/>
  <c r="W1210" i="2"/>
  <c r="V1210" i="2"/>
  <c r="AB1209" i="2"/>
  <c r="AA1209" i="2"/>
  <c r="Z1209" i="2"/>
  <c r="Y1209" i="2"/>
  <c r="X1209" i="2"/>
  <c r="W1209" i="2"/>
  <c r="V1209" i="2"/>
  <c r="AB1208" i="2"/>
  <c r="AA1208" i="2"/>
  <c r="Z1208" i="2"/>
  <c r="Y1208" i="2"/>
  <c r="X1208" i="2"/>
  <c r="W1208" i="2"/>
  <c r="V1208" i="2"/>
  <c r="AB1207" i="2"/>
  <c r="AA1207" i="2"/>
  <c r="Z1207" i="2"/>
  <c r="Y1207" i="2"/>
  <c r="X1207" i="2"/>
  <c r="W1207" i="2"/>
  <c r="V1207" i="2"/>
  <c r="AB1206" i="2"/>
  <c r="AA1206" i="2"/>
  <c r="Z1206" i="2"/>
  <c r="Y1206" i="2"/>
  <c r="X1206" i="2"/>
  <c r="W1206" i="2"/>
  <c r="V1206" i="2"/>
  <c r="AB1205" i="2"/>
  <c r="AA1205" i="2"/>
  <c r="Z1205" i="2"/>
  <c r="Y1205" i="2"/>
  <c r="X1205" i="2"/>
  <c r="W1205" i="2"/>
  <c r="V1205" i="2"/>
  <c r="AB1204" i="2"/>
  <c r="AA1204" i="2"/>
  <c r="Z1204" i="2"/>
  <c r="Y1204" i="2"/>
  <c r="X1204" i="2"/>
  <c r="W1204" i="2"/>
  <c r="V1204" i="2"/>
  <c r="AB1203" i="2"/>
  <c r="AA1203" i="2"/>
  <c r="Z1203" i="2"/>
  <c r="Y1203" i="2"/>
  <c r="X1203" i="2"/>
  <c r="W1203" i="2"/>
  <c r="V1203" i="2"/>
  <c r="AB1202" i="2"/>
  <c r="AA1202" i="2"/>
  <c r="Z1202" i="2"/>
  <c r="Y1202" i="2"/>
  <c r="X1202" i="2"/>
  <c r="W1202" i="2"/>
  <c r="V1202" i="2"/>
  <c r="AB1201" i="2"/>
  <c r="AA1201" i="2"/>
  <c r="Z1201" i="2"/>
  <c r="Y1201" i="2"/>
  <c r="X1201" i="2"/>
  <c r="W1201" i="2"/>
  <c r="V1201" i="2"/>
  <c r="AB1200" i="2"/>
  <c r="AA1200" i="2"/>
  <c r="Z1200" i="2"/>
  <c r="Y1200" i="2"/>
  <c r="X1200" i="2"/>
  <c r="W1200" i="2"/>
  <c r="V1200" i="2"/>
  <c r="AB1199" i="2"/>
  <c r="AA1199" i="2"/>
  <c r="Z1199" i="2"/>
  <c r="Y1199" i="2"/>
  <c r="X1199" i="2"/>
  <c r="W1199" i="2"/>
  <c r="V1199" i="2"/>
  <c r="AB1198" i="2"/>
  <c r="AA1198" i="2"/>
  <c r="Z1198" i="2"/>
  <c r="Y1198" i="2"/>
  <c r="X1198" i="2"/>
  <c r="W1198" i="2"/>
  <c r="V1198" i="2"/>
  <c r="AB1197" i="2"/>
  <c r="AA1197" i="2"/>
  <c r="Z1197" i="2"/>
  <c r="Y1197" i="2"/>
  <c r="X1197" i="2"/>
  <c r="W1197" i="2"/>
  <c r="V1197" i="2"/>
  <c r="AB1196" i="2"/>
  <c r="AA1196" i="2"/>
  <c r="Z1196" i="2"/>
  <c r="Y1196" i="2"/>
  <c r="X1196" i="2"/>
  <c r="W1196" i="2"/>
  <c r="V1196" i="2"/>
  <c r="AB1195" i="2"/>
  <c r="AA1195" i="2"/>
  <c r="Z1195" i="2"/>
  <c r="Y1195" i="2"/>
  <c r="X1195" i="2"/>
  <c r="W1195" i="2"/>
  <c r="V1195" i="2"/>
  <c r="AB1194" i="2"/>
  <c r="AA1194" i="2"/>
  <c r="Z1194" i="2"/>
  <c r="Y1194" i="2"/>
  <c r="X1194" i="2"/>
  <c r="W1194" i="2"/>
  <c r="V1194" i="2"/>
  <c r="AB1193" i="2"/>
  <c r="AA1193" i="2"/>
  <c r="Z1193" i="2"/>
  <c r="Y1193" i="2"/>
  <c r="X1193" i="2"/>
  <c r="W1193" i="2"/>
  <c r="V1193" i="2"/>
  <c r="AB1192" i="2"/>
  <c r="AA1192" i="2"/>
  <c r="Z1192" i="2"/>
  <c r="Y1192" i="2"/>
  <c r="X1192" i="2"/>
  <c r="W1192" i="2"/>
  <c r="V1192" i="2"/>
  <c r="AB1191" i="2"/>
  <c r="AA1191" i="2"/>
  <c r="Z1191" i="2"/>
  <c r="Y1191" i="2"/>
  <c r="X1191" i="2"/>
  <c r="W1191" i="2"/>
  <c r="V1191" i="2"/>
  <c r="AB1190" i="2"/>
  <c r="AA1190" i="2"/>
  <c r="Z1190" i="2"/>
  <c r="Y1190" i="2"/>
  <c r="X1190" i="2"/>
  <c r="W1190" i="2"/>
  <c r="V1190" i="2"/>
  <c r="AB1189" i="2"/>
  <c r="AA1189" i="2"/>
  <c r="Z1189" i="2"/>
  <c r="Y1189" i="2"/>
  <c r="X1189" i="2"/>
  <c r="W1189" i="2"/>
  <c r="V1189" i="2"/>
  <c r="AB1188" i="2"/>
  <c r="AA1188" i="2"/>
  <c r="Z1188" i="2"/>
  <c r="Y1188" i="2"/>
  <c r="X1188" i="2"/>
  <c r="W1188" i="2"/>
  <c r="V1188" i="2"/>
  <c r="AB1187" i="2"/>
  <c r="AA1187" i="2"/>
  <c r="Z1187" i="2"/>
  <c r="Y1187" i="2"/>
  <c r="X1187" i="2"/>
  <c r="W1187" i="2"/>
  <c r="V1187" i="2"/>
  <c r="AB1186" i="2"/>
  <c r="AA1186" i="2"/>
  <c r="Z1186" i="2"/>
  <c r="Y1186" i="2"/>
  <c r="X1186" i="2"/>
  <c r="W1186" i="2"/>
  <c r="V1186" i="2"/>
  <c r="AB1185" i="2"/>
  <c r="AA1185" i="2"/>
  <c r="Z1185" i="2"/>
  <c r="Y1185" i="2"/>
  <c r="X1185" i="2"/>
  <c r="W1185" i="2"/>
  <c r="V1185" i="2"/>
  <c r="AB1184" i="2"/>
  <c r="AA1184" i="2"/>
  <c r="Z1184" i="2"/>
  <c r="Y1184" i="2"/>
  <c r="X1184" i="2"/>
  <c r="W1184" i="2"/>
  <c r="V1184" i="2"/>
  <c r="AB1183" i="2"/>
  <c r="AA1183" i="2"/>
  <c r="Z1183" i="2"/>
  <c r="Y1183" i="2"/>
  <c r="X1183" i="2"/>
  <c r="W1183" i="2"/>
  <c r="V1183" i="2"/>
  <c r="AB1182" i="2"/>
  <c r="AA1182" i="2"/>
  <c r="Z1182" i="2"/>
  <c r="Y1182" i="2"/>
  <c r="X1182" i="2"/>
  <c r="W1182" i="2"/>
  <c r="V1182" i="2"/>
  <c r="AB1181" i="2"/>
  <c r="AA1181" i="2"/>
  <c r="Z1181" i="2"/>
  <c r="Y1181" i="2"/>
  <c r="X1181" i="2"/>
  <c r="W1181" i="2"/>
  <c r="V1181" i="2"/>
  <c r="AB1180" i="2"/>
  <c r="AA1180" i="2"/>
  <c r="Z1180" i="2"/>
  <c r="Y1180" i="2"/>
  <c r="X1180" i="2"/>
  <c r="W1180" i="2"/>
  <c r="V1180" i="2"/>
  <c r="AB1179" i="2"/>
  <c r="AA1179" i="2"/>
  <c r="Z1179" i="2"/>
  <c r="Y1179" i="2"/>
  <c r="X1179" i="2"/>
  <c r="W1179" i="2"/>
  <c r="V1179" i="2"/>
  <c r="AB1178" i="2"/>
  <c r="AA1178" i="2"/>
  <c r="Z1178" i="2"/>
  <c r="Y1178" i="2"/>
  <c r="X1178" i="2"/>
  <c r="W1178" i="2"/>
  <c r="V1178" i="2"/>
  <c r="AB1177" i="2"/>
  <c r="AA1177" i="2"/>
  <c r="Z1177" i="2"/>
  <c r="Y1177" i="2"/>
  <c r="X1177" i="2"/>
  <c r="W1177" i="2"/>
  <c r="V1177" i="2"/>
  <c r="AB1176" i="2"/>
  <c r="AA1176" i="2"/>
  <c r="Z1176" i="2"/>
  <c r="Y1176" i="2"/>
  <c r="X1176" i="2"/>
  <c r="W1176" i="2"/>
  <c r="V1176" i="2"/>
  <c r="AB1175" i="2"/>
  <c r="AA1175" i="2"/>
  <c r="Z1175" i="2"/>
  <c r="Y1175" i="2"/>
  <c r="X1175" i="2"/>
  <c r="W1175" i="2"/>
  <c r="V1175" i="2"/>
  <c r="AB1174" i="2"/>
  <c r="AA1174" i="2"/>
  <c r="Z1174" i="2"/>
  <c r="Y1174" i="2"/>
  <c r="X1174" i="2"/>
  <c r="W1174" i="2"/>
  <c r="V1174" i="2"/>
  <c r="AB1173" i="2"/>
  <c r="AA1173" i="2"/>
  <c r="Z1173" i="2"/>
  <c r="Y1173" i="2"/>
  <c r="X1173" i="2"/>
  <c r="W1173" i="2"/>
  <c r="V1173" i="2"/>
  <c r="AB1172" i="2"/>
  <c r="AA1172" i="2"/>
  <c r="Z1172" i="2"/>
  <c r="Y1172" i="2"/>
  <c r="X1172" i="2"/>
  <c r="W1172" i="2"/>
  <c r="V1172" i="2"/>
  <c r="AB1171" i="2"/>
  <c r="AA1171" i="2"/>
  <c r="Z1171" i="2"/>
  <c r="Y1171" i="2"/>
  <c r="X1171" i="2"/>
  <c r="W1171" i="2"/>
  <c r="V1171" i="2"/>
  <c r="AB1170" i="2"/>
  <c r="AA1170" i="2"/>
  <c r="Z1170" i="2"/>
  <c r="Y1170" i="2"/>
  <c r="X1170" i="2"/>
  <c r="W1170" i="2"/>
  <c r="V1170" i="2"/>
  <c r="AB1169" i="2"/>
  <c r="AA1169" i="2"/>
  <c r="Z1169" i="2"/>
  <c r="Y1169" i="2"/>
  <c r="X1169" i="2"/>
  <c r="W1169" i="2"/>
  <c r="V1169" i="2"/>
  <c r="AB1168" i="2"/>
  <c r="AA1168" i="2"/>
  <c r="Z1168" i="2"/>
  <c r="Y1168" i="2"/>
  <c r="X1168" i="2"/>
  <c r="W1168" i="2"/>
  <c r="V1168" i="2"/>
  <c r="AB1167" i="2"/>
  <c r="AA1167" i="2"/>
  <c r="Z1167" i="2"/>
  <c r="Y1167" i="2"/>
  <c r="X1167" i="2"/>
  <c r="W1167" i="2"/>
  <c r="V1167" i="2"/>
  <c r="AB1166" i="2"/>
  <c r="AA1166" i="2"/>
  <c r="Z1166" i="2"/>
  <c r="Y1166" i="2"/>
  <c r="X1166" i="2"/>
  <c r="W1166" i="2"/>
  <c r="V1166" i="2"/>
  <c r="AB1165" i="2"/>
  <c r="AA1165" i="2"/>
  <c r="Z1165" i="2"/>
  <c r="Y1165" i="2"/>
  <c r="X1165" i="2"/>
  <c r="W1165" i="2"/>
  <c r="V1165" i="2"/>
  <c r="AB1164" i="2"/>
  <c r="AA1164" i="2"/>
  <c r="Z1164" i="2"/>
  <c r="Y1164" i="2"/>
  <c r="X1164" i="2"/>
  <c r="W1164" i="2"/>
  <c r="V1164" i="2"/>
  <c r="AB1163" i="2"/>
  <c r="AA1163" i="2"/>
  <c r="Z1163" i="2"/>
  <c r="Y1163" i="2"/>
  <c r="X1163" i="2"/>
  <c r="W1163" i="2"/>
  <c r="V1163" i="2"/>
  <c r="AB1162" i="2"/>
  <c r="AA1162" i="2"/>
  <c r="Z1162" i="2"/>
  <c r="Y1162" i="2"/>
  <c r="X1162" i="2"/>
  <c r="W1162" i="2"/>
  <c r="V1162" i="2"/>
  <c r="AB1161" i="2"/>
  <c r="AA1161" i="2"/>
  <c r="Z1161" i="2"/>
  <c r="Y1161" i="2"/>
  <c r="X1161" i="2"/>
  <c r="W1161" i="2"/>
  <c r="V1161" i="2"/>
  <c r="AB1160" i="2"/>
  <c r="AA1160" i="2"/>
  <c r="Z1160" i="2"/>
  <c r="Y1160" i="2"/>
  <c r="X1160" i="2"/>
  <c r="W1160" i="2"/>
  <c r="V1160" i="2"/>
  <c r="AB1159" i="2"/>
  <c r="AA1159" i="2"/>
  <c r="Z1159" i="2"/>
  <c r="Y1159" i="2"/>
  <c r="X1159" i="2"/>
  <c r="W1159" i="2"/>
  <c r="V1159" i="2"/>
  <c r="AB1158" i="2"/>
  <c r="AA1158" i="2"/>
  <c r="Z1158" i="2"/>
  <c r="Y1158" i="2"/>
  <c r="X1158" i="2"/>
  <c r="W1158" i="2"/>
  <c r="V1158" i="2"/>
  <c r="AB1157" i="2"/>
  <c r="AA1157" i="2"/>
  <c r="Z1157" i="2"/>
  <c r="Y1157" i="2"/>
  <c r="X1157" i="2"/>
  <c r="W1157" i="2"/>
  <c r="V1157" i="2"/>
  <c r="AB1156" i="2"/>
  <c r="AA1156" i="2"/>
  <c r="Z1156" i="2"/>
  <c r="Y1156" i="2"/>
  <c r="X1156" i="2"/>
  <c r="W1156" i="2"/>
  <c r="V1156" i="2"/>
  <c r="AB1155" i="2"/>
  <c r="AA1155" i="2"/>
  <c r="Z1155" i="2"/>
  <c r="Y1155" i="2"/>
  <c r="X1155" i="2"/>
  <c r="W1155" i="2"/>
  <c r="V1155" i="2"/>
  <c r="AB1154" i="2"/>
  <c r="AA1154" i="2"/>
  <c r="Z1154" i="2"/>
  <c r="Y1154" i="2"/>
  <c r="X1154" i="2"/>
  <c r="W1154" i="2"/>
  <c r="V1154" i="2"/>
  <c r="AB1153" i="2"/>
  <c r="AA1153" i="2"/>
  <c r="Z1153" i="2"/>
  <c r="Y1153" i="2"/>
  <c r="X1153" i="2"/>
  <c r="W1153" i="2"/>
  <c r="V1153" i="2"/>
  <c r="AB1152" i="2"/>
  <c r="AA1152" i="2"/>
  <c r="Z1152" i="2"/>
  <c r="Y1152" i="2"/>
  <c r="X1152" i="2"/>
  <c r="W1152" i="2"/>
  <c r="V1152" i="2"/>
  <c r="AB1151" i="2"/>
  <c r="AA1151" i="2"/>
  <c r="Z1151" i="2"/>
  <c r="Y1151" i="2"/>
  <c r="X1151" i="2"/>
  <c r="W1151" i="2"/>
  <c r="V1151" i="2"/>
  <c r="AB1150" i="2"/>
  <c r="AA1150" i="2"/>
  <c r="Z1150" i="2"/>
  <c r="Y1150" i="2"/>
  <c r="X1150" i="2"/>
  <c r="W1150" i="2"/>
  <c r="V1150" i="2"/>
  <c r="AB1149" i="2"/>
  <c r="AA1149" i="2"/>
  <c r="Z1149" i="2"/>
  <c r="Y1149" i="2"/>
  <c r="X1149" i="2"/>
  <c r="W1149" i="2"/>
  <c r="V1149" i="2"/>
  <c r="AB1148" i="2"/>
  <c r="AA1148" i="2"/>
  <c r="Z1148" i="2"/>
  <c r="Y1148" i="2"/>
  <c r="X1148" i="2"/>
  <c r="W1148" i="2"/>
  <c r="V1148" i="2"/>
  <c r="AB1147" i="2"/>
  <c r="AA1147" i="2"/>
  <c r="Z1147" i="2"/>
  <c r="Y1147" i="2"/>
  <c r="X1147" i="2"/>
  <c r="W1147" i="2"/>
  <c r="V1147" i="2"/>
  <c r="AB1146" i="2"/>
  <c r="AA1146" i="2"/>
  <c r="Z1146" i="2"/>
  <c r="Y1146" i="2"/>
  <c r="X1146" i="2"/>
  <c r="W1146" i="2"/>
  <c r="V1146" i="2"/>
  <c r="AB1145" i="2"/>
  <c r="AA1145" i="2"/>
  <c r="Z1145" i="2"/>
  <c r="Y1145" i="2"/>
  <c r="X1145" i="2"/>
  <c r="W1145" i="2"/>
  <c r="V1145" i="2"/>
  <c r="AB1144" i="2"/>
  <c r="AA1144" i="2"/>
  <c r="Z1144" i="2"/>
  <c r="Y1144" i="2"/>
  <c r="X1144" i="2"/>
  <c r="W1144" i="2"/>
  <c r="V1144" i="2"/>
  <c r="AB1143" i="2"/>
  <c r="AA1143" i="2"/>
  <c r="Z1143" i="2"/>
  <c r="Y1143" i="2"/>
  <c r="X1143" i="2"/>
  <c r="W1143" i="2"/>
  <c r="V1143" i="2"/>
  <c r="AB1142" i="2"/>
  <c r="AA1142" i="2"/>
  <c r="Z1142" i="2"/>
  <c r="Y1142" i="2"/>
  <c r="X1142" i="2"/>
  <c r="W1142" i="2"/>
  <c r="V1142" i="2"/>
  <c r="AB1141" i="2"/>
  <c r="AA1141" i="2"/>
  <c r="Z1141" i="2"/>
  <c r="Y1141" i="2"/>
  <c r="X1141" i="2"/>
  <c r="W1141" i="2"/>
  <c r="V1141" i="2"/>
  <c r="AB1140" i="2"/>
  <c r="AA1140" i="2"/>
  <c r="Z1140" i="2"/>
  <c r="Y1140" i="2"/>
  <c r="X1140" i="2"/>
  <c r="W1140" i="2"/>
  <c r="V1140" i="2"/>
  <c r="AB1139" i="2"/>
  <c r="AA1139" i="2"/>
  <c r="Z1139" i="2"/>
  <c r="Y1139" i="2"/>
  <c r="X1139" i="2"/>
  <c r="W1139" i="2"/>
  <c r="V1139" i="2"/>
  <c r="AB1138" i="2"/>
  <c r="AA1138" i="2"/>
  <c r="Z1138" i="2"/>
  <c r="Y1138" i="2"/>
  <c r="X1138" i="2"/>
  <c r="W1138" i="2"/>
  <c r="V1138" i="2"/>
  <c r="AB1137" i="2"/>
  <c r="AA1137" i="2"/>
  <c r="Z1137" i="2"/>
  <c r="Y1137" i="2"/>
  <c r="X1137" i="2"/>
  <c r="W1137" i="2"/>
  <c r="V1137" i="2"/>
  <c r="AB1136" i="2"/>
  <c r="AA1136" i="2"/>
  <c r="Z1136" i="2"/>
  <c r="Y1136" i="2"/>
  <c r="X1136" i="2"/>
  <c r="W1136" i="2"/>
  <c r="V1136" i="2"/>
  <c r="AB1135" i="2"/>
  <c r="AA1135" i="2"/>
  <c r="Z1135" i="2"/>
  <c r="Y1135" i="2"/>
  <c r="X1135" i="2"/>
  <c r="W1135" i="2"/>
  <c r="V1135" i="2"/>
  <c r="AB1134" i="2"/>
  <c r="AA1134" i="2"/>
  <c r="Z1134" i="2"/>
  <c r="Y1134" i="2"/>
  <c r="X1134" i="2"/>
  <c r="W1134" i="2"/>
  <c r="V1134" i="2"/>
  <c r="AB1133" i="2"/>
  <c r="AA1133" i="2"/>
  <c r="Z1133" i="2"/>
  <c r="Y1133" i="2"/>
  <c r="X1133" i="2"/>
  <c r="W1133" i="2"/>
  <c r="V1133" i="2"/>
  <c r="AB1132" i="2"/>
  <c r="AA1132" i="2"/>
  <c r="Z1132" i="2"/>
  <c r="Y1132" i="2"/>
  <c r="X1132" i="2"/>
  <c r="W1132" i="2"/>
  <c r="V1132" i="2"/>
  <c r="AB1131" i="2"/>
  <c r="AA1131" i="2"/>
  <c r="Z1131" i="2"/>
  <c r="Y1131" i="2"/>
  <c r="X1131" i="2"/>
  <c r="W1131" i="2"/>
  <c r="V1131" i="2"/>
  <c r="AB1130" i="2"/>
  <c r="AA1130" i="2"/>
  <c r="Z1130" i="2"/>
  <c r="Y1130" i="2"/>
  <c r="X1130" i="2"/>
  <c r="W1130" i="2"/>
  <c r="V1130" i="2"/>
  <c r="AB1129" i="2"/>
  <c r="AA1129" i="2"/>
  <c r="Z1129" i="2"/>
  <c r="Y1129" i="2"/>
  <c r="X1129" i="2"/>
  <c r="W1129" i="2"/>
  <c r="V1129" i="2"/>
  <c r="AB1128" i="2"/>
  <c r="AA1128" i="2"/>
  <c r="Z1128" i="2"/>
  <c r="Y1128" i="2"/>
  <c r="X1128" i="2"/>
  <c r="W1128" i="2"/>
  <c r="V1128" i="2"/>
  <c r="AB1127" i="2"/>
  <c r="AA1127" i="2"/>
  <c r="Z1127" i="2"/>
  <c r="Y1127" i="2"/>
  <c r="X1127" i="2"/>
  <c r="W1127" i="2"/>
  <c r="V1127" i="2"/>
  <c r="AB1126" i="2"/>
  <c r="AA1126" i="2"/>
  <c r="Z1126" i="2"/>
  <c r="Y1126" i="2"/>
  <c r="X1126" i="2"/>
  <c r="W1126" i="2"/>
  <c r="V1126" i="2"/>
  <c r="AB1125" i="2"/>
  <c r="AA1125" i="2"/>
  <c r="Z1125" i="2"/>
  <c r="Y1125" i="2"/>
  <c r="X1125" i="2"/>
  <c r="W1125" i="2"/>
  <c r="V1125" i="2"/>
  <c r="AB1124" i="2"/>
  <c r="AA1124" i="2"/>
  <c r="Z1124" i="2"/>
  <c r="Y1124" i="2"/>
  <c r="X1124" i="2"/>
  <c r="W1124" i="2"/>
  <c r="V1124" i="2"/>
  <c r="AB1123" i="2"/>
  <c r="AA1123" i="2"/>
  <c r="Z1123" i="2"/>
  <c r="Y1123" i="2"/>
  <c r="X1123" i="2"/>
  <c r="W1123" i="2"/>
  <c r="V1123" i="2"/>
  <c r="AB1122" i="2"/>
  <c r="AA1122" i="2"/>
  <c r="Z1122" i="2"/>
  <c r="Y1122" i="2"/>
  <c r="X1122" i="2"/>
  <c r="W1122" i="2"/>
  <c r="V1122" i="2"/>
  <c r="AB1121" i="2"/>
  <c r="AA1121" i="2"/>
  <c r="Z1121" i="2"/>
  <c r="Y1121" i="2"/>
  <c r="X1121" i="2"/>
  <c r="W1121" i="2"/>
  <c r="V1121" i="2"/>
  <c r="AB1120" i="2"/>
  <c r="AA1120" i="2"/>
  <c r="Z1120" i="2"/>
  <c r="Y1120" i="2"/>
  <c r="X1120" i="2"/>
  <c r="W1120" i="2"/>
  <c r="V1120" i="2"/>
  <c r="AB1119" i="2"/>
  <c r="AA1119" i="2"/>
  <c r="Z1119" i="2"/>
  <c r="Y1119" i="2"/>
  <c r="X1119" i="2"/>
  <c r="W1119" i="2"/>
  <c r="V1119" i="2"/>
  <c r="AB1118" i="2"/>
  <c r="AA1118" i="2"/>
  <c r="Z1118" i="2"/>
  <c r="Y1118" i="2"/>
  <c r="X1118" i="2"/>
  <c r="W1118" i="2"/>
  <c r="V1118" i="2"/>
  <c r="AB1117" i="2"/>
  <c r="AA1117" i="2"/>
  <c r="Z1117" i="2"/>
  <c r="Y1117" i="2"/>
  <c r="X1117" i="2"/>
  <c r="W1117" i="2"/>
  <c r="V1117" i="2"/>
  <c r="AB1116" i="2"/>
  <c r="AA1116" i="2"/>
  <c r="Z1116" i="2"/>
  <c r="Y1116" i="2"/>
  <c r="X1116" i="2"/>
  <c r="W1116" i="2"/>
  <c r="V1116" i="2"/>
  <c r="AB1115" i="2"/>
  <c r="AA1115" i="2"/>
  <c r="Z1115" i="2"/>
  <c r="Y1115" i="2"/>
  <c r="X1115" i="2"/>
  <c r="W1115" i="2"/>
  <c r="V1115" i="2"/>
  <c r="AB1114" i="2"/>
  <c r="AA1114" i="2"/>
  <c r="Z1114" i="2"/>
  <c r="Y1114" i="2"/>
  <c r="X1114" i="2"/>
  <c r="W1114" i="2"/>
  <c r="V1114" i="2"/>
  <c r="AB1113" i="2"/>
  <c r="AA1113" i="2"/>
  <c r="Z1113" i="2"/>
  <c r="Y1113" i="2"/>
  <c r="X1113" i="2"/>
  <c r="W1113" i="2"/>
  <c r="V1113" i="2"/>
  <c r="AB1112" i="2"/>
  <c r="AA1112" i="2"/>
  <c r="Z1112" i="2"/>
  <c r="Y1112" i="2"/>
  <c r="X1112" i="2"/>
  <c r="W1112" i="2"/>
  <c r="V1112" i="2"/>
  <c r="AB1111" i="2"/>
  <c r="AA1111" i="2"/>
  <c r="Z1111" i="2"/>
  <c r="Y1111" i="2"/>
  <c r="X1111" i="2"/>
  <c r="W1111" i="2"/>
  <c r="V1111" i="2"/>
  <c r="AB1110" i="2"/>
  <c r="AA1110" i="2"/>
  <c r="Z1110" i="2"/>
  <c r="Y1110" i="2"/>
  <c r="X1110" i="2"/>
  <c r="W1110" i="2"/>
  <c r="V1110" i="2"/>
  <c r="AB1109" i="2"/>
  <c r="AA1109" i="2"/>
  <c r="Z1109" i="2"/>
  <c r="Y1109" i="2"/>
  <c r="X1109" i="2"/>
  <c r="W1109" i="2"/>
  <c r="V1109" i="2"/>
  <c r="AB1108" i="2"/>
  <c r="AA1108" i="2"/>
  <c r="Z1108" i="2"/>
  <c r="Y1108" i="2"/>
  <c r="X1108" i="2"/>
  <c r="W1108" i="2"/>
  <c r="V1108" i="2"/>
  <c r="AB1107" i="2"/>
  <c r="AA1107" i="2"/>
  <c r="Z1107" i="2"/>
  <c r="Y1107" i="2"/>
  <c r="X1107" i="2"/>
  <c r="W1107" i="2"/>
  <c r="V1107" i="2"/>
  <c r="AB1106" i="2"/>
  <c r="AA1106" i="2"/>
  <c r="Z1106" i="2"/>
  <c r="Y1106" i="2"/>
  <c r="X1106" i="2"/>
  <c r="W1106" i="2"/>
  <c r="V1106" i="2"/>
  <c r="AB1105" i="2"/>
  <c r="AA1105" i="2"/>
  <c r="Z1105" i="2"/>
  <c r="Y1105" i="2"/>
  <c r="X1105" i="2"/>
  <c r="W1105" i="2"/>
  <c r="V1105" i="2"/>
  <c r="AB1104" i="2"/>
  <c r="AA1104" i="2"/>
  <c r="Z1104" i="2"/>
  <c r="Y1104" i="2"/>
  <c r="X1104" i="2"/>
  <c r="W1104" i="2"/>
  <c r="V1104" i="2"/>
  <c r="AB1103" i="2"/>
  <c r="AA1103" i="2"/>
  <c r="Z1103" i="2"/>
  <c r="Y1103" i="2"/>
  <c r="X1103" i="2"/>
  <c r="W1103" i="2"/>
  <c r="V1103" i="2"/>
  <c r="AB1102" i="2"/>
  <c r="AA1102" i="2"/>
  <c r="Z1102" i="2"/>
  <c r="Y1102" i="2"/>
  <c r="X1102" i="2"/>
  <c r="W1102" i="2"/>
  <c r="V1102" i="2"/>
  <c r="AB1101" i="2"/>
  <c r="AA1101" i="2"/>
  <c r="Z1101" i="2"/>
  <c r="Y1101" i="2"/>
  <c r="X1101" i="2"/>
  <c r="W1101" i="2"/>
  <c r="V1101" i="2"/>
  <c r="AB1100" i="2"/>
  <c r="AA1100" i="2"/>
  <c r="Z1100" i="2"/>
  <c r="Y1100" i="2"/>
  <c r="X1100" i="2"/>
  <c r="W1100" i="2"/>
  <c r="V1100" i="2"/>
  <c r="AB1099" i="2"/>
  <c r="AA1099" i="2"/>
  <c r="Z1099" i="2"/>
  <c r="Y1099" i="2"/>
  <c r="X1099" i="2"/>
  <c r="W1099" i="2"/>
  <c r="V1099" i="2"/>
  <c r="AB1098" i="2"/>
  <c r="AA1098" i="2"/>
  <c r="Z1098" i="2"/>
  <c r="Y1098" i="2"/>
  <c r="X1098" i="2"/>
  <c r="W1098" i="2"/>
  <c r="V1098" i="2"/>
  <c r="AB1097" i="2"/>
  <c r="AA1097" i="2"/>
  <c r="Z1097" i="2"/>
  <c r="Y1097" i="2"/>
  <c r="X1097" i="2"/>
  <c r="W1097" i="2"/>
  <c r="V1097" i="2"/>
  <c r="AB1096" i="2"/>
  <c r="AA1096" i="2"/>
  <c r="Z1096" i="2"/>
  <c r="Y1096" i="2"/>
  <c r="X1096" i="2"/>
  <c r="W1096" i="2"/>
  <c r="V1096" i="2"/>
  <c r="AB1095" i="2"/>
  <c r="AA1095" i="2"/>
  <c r="Z1095" i="2"/>
  <c r="Y1095" i="2"/>
  <c r="X1095" i="2"/>
  <c r="W1095" i="2"/>
  <c r="V1095" i="2"/>
  <c r="AB1094" i="2"/>
  <c r="AA1094" i="2"/>
  <c r="Z1094" i="2"/>
  <c r="Y1094" i="2"/>
  <c r="X1094" i="2"/>
  <c r="W1094" i="2"/>
  <c r="V1094" i="2"/>
  <c r="AB1093" i="2"/>
  <c r="AA1093" i="2"/>
  <c r="Z1093" i="2"/>
  <c r="Y1093" i="2"/>
  <c r="X1093" i="2"/>
  <c r="W1093" i="2"/>
  <c r="V1093" i="2"/>
  <c r="AB1092" i="2"/>
  <c r="AA1092" i="2"/>
  <c r="Z1092" i="2"/>
  <c r="Y1092" i="2"/>
  <c r="X1092" i="2"/>
  <c r="W1092" i="2"/>
  <c r="V1092" i="2"/>
  <c r="AB1091" i="2"/>
  <c r="AA1091" i="2"/>
  <c r="Z1091" i="2"/>
  <c r="Y1091" i="2"/>
  <c r="X1091" i="2"/>
  <c r="W1091" i="2"/>
  <c r="V1091" i="2"/>
  <c r="AB1090" i="2"/>
  <c r="AA1090" i="2"/>
  <c r="Z1090" i="2"/>
  <c r="Y1090" i="2"/>
  <c r="X1090" i="2"/>
  <c r="W1090" i="2"/>
  <c r="V1090" i="2"/>
  <c r="AB1089" i="2"/>
  <c r="AA1089" i="2"/>
  <c r="Z1089" i="2"/>
  <c r="Y1089" i="2"/>
  <c r="X1089" i="2"/>
  <c r="W1089" i="2"/>
  <c r="V1089" i="2"/>
  <c r="AB1088" i="2"/>
  <c r="AA1088" i="2"/>
  <c r="Z1088" i="2"/>
  <c r="Y1088" i="2"/>
  <c r="X1088" i="2"/>
  <c r="W1088" i="2"/>
  <c r="V1088" i="2"/>
  <c r="AB1087" i="2"/>
  <c r="AA1087" i="2"/>
  <c r="Z1087" i="2"/>
  <c r="Y1087" i="2"/>
  <c r="X1087" i="2"/>
  <c r="W1087" i="2"/>
  <c r="V1087" i="2"/>
  <c r="AB1086" i="2"/>
  <c r="AA1086" i="2"/>
  <c r="Z1086" i="2"/>
  <c r="Y1086" i="2"/>
  <c r="X1086" i="2"/>
  <c r="W1086" i="2"/>
  <c r="V1086" i="2"/>
  <c r="AB1085" i="2"/>
  <c r="AA1085" i="2"/>
  <c r="Z1085" i="2"/>
  <c r="Y1085" i="2"/>
  <c r="X1085" i="2"/>
  <c r="W1085" i="2"/>
  <c r="V1085" i="2"/>
  <c r="AB1084" i="2"/>
  <c r="AA1084" i="2"/>
  <c r="Z1084" i="2"/>
  <c r="Y1084" i="2"/>
  <c r="X1084" i="2"/>
  <c r="W1084" i="2"/>
  <c r="V1084" i="2"/>
  <c r="AB1083" i="2"/>
  <c r="AA1083" i="2"/>
  <c r="Z1083" i="2"/>
  <c r="Y1083" i="2"/>
  <c r="X1083" i="2"/>
  <c r="W1083" i="2"/>
  <c r="V1083" i="2"/>
  <c r="AB1082" i="2"/>
  <c r="AA1082" i="2"/>
  <c r="Z1082" i="2"/>
  <c r="Y1082" i="2"/>
  <c r="X1082" i="2"/>
  <c r="W1082" i="2"/>
  <c r="V1082" i="2"/>
  <c r="AB1081" i="2"/>
  <c r="AA1081" i="2"/>
  <c r="Z1081" i="2"/>
  <c r="Y1081" i="2"/>
  <c r="X1081" i="2"/>
  <c r="W1081" i="2"/>
  <c r="V1081" i="2"/>
  <c r="AB1080" i="2"/>
  <c r="AA1080" i="2"/>
  <c r="Z1080" i="2"/>
  <c r="Y1080" i="2"/>
  <c r="X1080" i="2"/>
  <c r="W1080" i="2"/>
  <c r="V1080" i="2"/>
  <c r="AB1079" i="2"/>
  <c r="AA1079" i="2"/>
  <c r="Z1079" i="2"/>
  <c r="Y1079" i="2"/>
  <c r="X1079" i="2"/>
  <c r="W1079" i="2"/>
  <c r="V1079" i="2"/>
  <c r="AB1078" i="2"/>
  <c r="AA1078" i="2"/>
  <c r="Z1078" i="2"/>
  <c r="Y1078" i="2"/>
  <c r="X1078" i="2"/>
  <c r="W1078" i="2"/>
  <c r="V1078" i="2"/>
  <c r="AB1077" i="2"/>
  <c r="AA1077" i="2"/>
  <c r="Z1077" i="2"/>
  <c r="Y1077" i="2"/>
  <c r="X1077" i="2"/>
  <c r="W1077" i="2"/>
  <c r="V1077" i="2"/>
  <c r="AB1076" i="2"/>
  <c r="AA1076" i="2"/>
  <c r="Z1076" i="2"/>
  <c r="Y1076" i="2"/>
  <c r="X1076" i="2"/>
  <c r="W1076" i="2"/>
  <c r="V1076" i="2"/>
  <c r="AB1075" i="2"/>
  <c r="AA1075" i="2"/>
  <c r="Z1075" i="2"/>
  <c r="Y1075" i="2"/>
  <c r="X1075" i="2"/>
  <c r="W1075" i="2"/>
  <c r="V1075" i="2"/>
  <c r="AB1074" i="2"/>
  <c r="AA1074" i="2"/>
  <c r="Z1074" i="2"/>
  <c r="Y1074" i="2"/>
  <c r="X1074" i="2"/>
  <c r="W1074" i="2"/>
  <c r="V1074" i="2"/>
  <c r="AB1073" i="2"/>
  <c r="AA1073" i="2"/>
  <c r="Z1073" i="2"/>
  <c r="Y1073" i="2"/>
  <c r="X1073" i="2"/>
  <c r="W1073" i="2"/>
  <c r="V1073" i="2"/>
  <c r="AB1072" i="2"/>
  <c r="AA1072" i="2"/>
  <c r="Z1072" i="2"/>
  <c r="Y1072" i="2"/>
  <c r="X1072" i="2"/>
  <c r="W1072" i="2"/>
  <c r="V1072" i="2"/>
  <c r="AB1071" i="2"/>
  <c r="AA1071" i="2"/>
  <c r="Z1071" i="2"/>
  <c r="Y1071" i="2"/>
  <c r="X1071" i="2"/>
  <c r="W1071" i="2"/>
  <c r="V1071" i="2"/>
  <c r="AB1070" i="2"/>
  <c r="AA1070" i="2"/>
  <c r="Z1070" i="2"/>
  <c r="Y1070" i="2"/>
  <c r="X1070" i="2"/>
  <c r="W1070" i="2"/>
  <c r="V1070" i="2"/>
  <c r="AB1069" i="2"/>
  <c r="AA1069" i="2"/>
  <c r="Z1069" i="2"/>
  <c r="Y1069" i="2"/>
  <c r="X1069" i="2"/>
  <c r="W1069" i="2"/>
  <c r="V1069" i="2"/>
  <c r="AB1068" i="2"/>
  <c r="AA1068" i="2"/>
  <c r="Z1068" i="2"/>
  <c r="Y1068" i="2"/>
  <c r="X1068" i="2"/>
  <c r="W1068" i="2"/>
  <c r="V1068" i="2"/>
  <c r="AB1067" i="2"/>
  <c r="AA1067" i="2"/>
  <c r="Z1067" i="2"/>
  <c r="Y1067" i="2"/>
  <c r="X1067" i="2"/>
  <c r="W1067" i="2"/>
  <c r="V1067" i="2"/>
  <c r="AB1066" i="2"/>
  <c r="AA1066" i="2"/>
  <c r="Z1066" i="2"/>
  <c r="Y1066" i="2"/>
  <c r="X1066" i="2"/>
  <c r="W1066" i="2"/>
  <c r="V1066" i="2"/>
  <c r="AB1065" i="2"/>
  <c r="AA1065" i="2"/>
  <c r="Z1065" i="2"/>
  <c r="Y1065" i="2"/>
  <c r="X1065" i="2"/>
  <c r="W1065" i="2"/>
  <c r="V1065" i="2"/>
  <c r="AB1064" i="2"/>
  <c r="AA1064" i="2"/>
  <c r="Z1064" i="2"/>
  <c r="Y1064" i="2"/>
  <c r="X1064" i="2"/>
  <c r="W1064" i="2"/>
  <c r="V1064" i="2"/>
  <c r="AB1063" i="2"/>
  <c r="AA1063" i="2"/>
  <c r="Z1063" i="2"/>
  <c r="Y1063" i="2"/>
  <c r="X1063" i="2"/>
  <c r="W1063" i="2"/>
  <c r="V1063" i="2"/>
  <c r="AB1062" i="2"/>
  <c r="AA1062" i="2"/>
  <c r="Z1062" i="2"/>
  <c r="Y1062" i="2"/>
  <c r="X1062" i="2"/>
  <c r="W1062" i="2"/>
  <c r="V1062" i="2"/>
  <c r="AB1061" i="2"/>
  <c r="AA1061" i="2"/>
  <c r="Z1061" i="2"/>
  <c r="Y1061" i="2"/>
  <c r="X1061" i="2"/>
  <c r="W1061" i="2"/>
  <c r="V1061" i="2"/>
  <c r="AB1060" i="2"/>
  <c r="AA1060" i="2"/>
  <c r="Z1060" i="2"/>
  <c r="Y1060" i="2"/>
  <c r="X1060" i="2"/>
  <c r="W1060" i="2"/>
  <c r="V1060" i="2"/>
  <c r="AB1059" i="2"/>
  <c r="AA1059" i="2"/>
  <c r="Z1059" i="2"/>
  <c r="Y1059" i="2"/>
  <c r="X1059" i="2"/>
  <c r="W1059" i="2"/>
  <c r="V1059" i="2"/>
  <c r="AB1058" i="2"/>
  <c r="AA1058" i="2"/>
  <c r="Z1058" i="2"/>
  <c r="Y1058" i="2"/>
  <c r="X1058" i="2"/>
  <c r="W1058" i="2"/>
  <c r="V1058" i="2"/>
  <c r="AB1057" i="2"/>
  <c r="AA1057" i="2"/>
  <c r="Z1057" i="2"/>
  <c r="Y1057" i="2"/>
  <c r="X1057" i="2"/>
  <c r="W1057" i="2"/>
  <c r="V1057" i="2"/>
  <c r="AB1056" i="2"/>
  <c r="AA1056" i="2"/>
  <c r="Z1056" i="2"/>
  <c r="Y1056" i="2"/>
  <c r="X1056" i="2"/>
  <c r="W1056" i="2"/>
  <c r="V1056" i="2"/>
  <c r="AB1055" i="2"/>
  <c r="AA1055" i="2"/>
  <c r="Z1055" i="2"/>
  <c r="Y1055" i="2"/>
  <c r="X1055" i="2"/>
  <c r="W1055" i="2"/>
  <c r="V1055" i="2"/>
  <c r="AB1054" i="2"/>
  <c r="AA1054" i="2"/>
  <c r="Z1054" i="2"/>
  <c r="Y1054" i="2"/>
  <c r="X1054" i="2"/>
  <c r="W1054" i="2"/>
  <c r="V1054" i="2"/>
  <c r="AB1053" i="2"/>
  <c r="AA1053" i="2"/>
  <c r="Z1053" i="2"/>
  <c r="Y1053" i="2"/>
  <c r="X1053" i="2"/>
  <c r="W1053" i="2"/>
  <c r="V1053" i="2"/>
  <c r="AB1052" i="2"/>
  <c r="AA1052" i="2"/>
  <c r="Z1052" i="2"/>
  <c r="Y1052" i="2"/>
  <c r="X1052" i="2"/>
  <c r="W1052" i="2"/>
  <c r="V1052" i="2"/>
  <c r="AB1051" i="2"/>
  <c r="AA1051" i="2"/>
  <c r="Z1051" i="2"/>
  <c r="Y1051" i="2"/>
  <c r="X1051" i="2"/>
  <c r="W1051" i="2"/>
  <c r="V1051" i="2"/>
  <c r="AB1050" i="2"/>
  <c r="AA1050" i="2"/>
  <c r="Z1050" i="2"/>
  <c r="Y1050" i="2"/>
  <c r="X1050" i="2"/>
  <c r="W1050" i="2"/>
  <c r="V1050" i="2"/>
  <c r="AB1049" i="2"/>
  <c r="AA1049" i="2"/>
  <c r="Z1049" i="2"/>
  <c r="Y1049" i="2"/>
  <c r="X1049" i="2"/>
  <c r="W1049" i="2"/>
  <c r="V1049" i="2"/>
  <c r="AB1048" i="2"/>
  <c r="AA1048" i="2"/>
  <c r="Z1048" i="2"/>
  <c r="Y1048" i="2"/>
  <c r="X1048" i="2"/>
  <c r="W1048" i="2"/>
  <c r="V1048" i="2"/>
  <c r="AB1047" i="2"/>
  <c r="AA1047" i="2"/>
  <c r="Z1047" i="2"/>
  <c r="Y1047" i="2"/>
  <c r="X1047" i="2"/>
  <c r="W1047" i="2"/>
  <c r="V1047" i="2"/>
  <c r="AB1046" i="2"/>
  <c r="AA1046" i="2"/>
  <c r="Z1046" i="2"/>
  <c r="Y1046" i="2"/>
  <c r="X1046" i="2"/>
  <c r="W1046" i="2"/>
  <c r="V1046" i="2"/>
  <c r="AB1045" i="2"/>
  <c r="AA1045" i="2"/>
  <c r="Z1045" i="2"/>
  <c r="Y1045" i="2"/>
  <c r="X1045" i="2"/>
  <c r="W1045" i="2"/>
  <c r="V1045" i="2"/>
  <c r="AB1044" i="2"/>
  <c r="AA1044" i="2"/>
  <c r="Z1044" i="2"/>
  <c r="Y1044" i="2"/>
  <c r="X1044" i="2"/>
  <c r="W1044" i="2"/>
  <c r="V1044" i="2"/>
  <c r="AB1043" i="2"/>
  <c r="AA1043" i="2"/>
  <c r="Z1043" i="2"/>
  <c r="Y1043" i="2"/>
  <c r="X1043" i="2"/>
  <c r="W1043" i="2"/>
  <c r="V1043" i="2"/>
  <c r="AB1042" i="2"/>
  <c r="AA1042" i="2"/>
  <c r="Z1042" i="2"/>
  <c r="Y1042" i="2"/>
  <c r="X1042" i="2"/>
  <c r="W1042" i="2"/>
  <c r="V1042" i="2"/>
  <c r="AB1041" i="2"/>
  <c r="AA1041" i="2"/>
  <c r="Z1041" i="2"/>
  <c r="Y1041" i="2"/>
  <c r="X1041" i="2"/>
  <c r="W1041" i="2"/>
  <c r="V1041" i="2"/>
  <c r="AB1040" i="2"/>
  <c r="AA1040" i="2"/>
  <c r="Z1040" i="2"/>
  <c r="Y1040" i="2"/>
  <c r="X1040" i="2"/>
  <c r="W1040" i="2"/>
  <c r="V1040" i="2"/>
  <c r="AB1039" i="2"/>
  <c r="AA1039" i="2"/>
  <c r="Z1039" i="2"/>
  <c r="Y1039" i="2"/>
  <c r="X1039" i="2"/>
  <c r="W1039" i="2"/>
  <c r="V1039" i="2"/>
  <c r="AB1038" i="2"/>
  <c r="AA1038" i="2"/>
  <c r="Z1038" i="2"/>
  <c r="Y1038" i="2"/>
  <c r="X1038" i="2"/>
  <c r="W1038" i="2"/>
  <c r="V1038" i="2"/>
  <c r="AB1037" i="2"/>
  <c r="AA1037" i="2"/>
  <c r="Z1037" i="2"/>
  <c r="Y1037" i="2"/>
  <c r="X1037" i="2"/>
  <c r="W1037" i="2"/>
  <c r="V1037" i="2"/>
  <c r="AB1036" i="2"/>
  <c r="AA1036" i="2"/>
  <c r="Z1036" i="2"/>
  <c r="Y1036" i="2"/>
  <c r="X1036" i="2"/>
  <c r="W1036" i="2"/>
  <c r="V1036" i="2"/>
  <c r="AB1035" i="2"/>
  <c r="AA1035" i="2"/>
  <c r="Z1035" i="2"/>
  <c r="Y1035" i="2"/>
  <c r="X1035" i="2"/>
  <c r="W1035" i="2"/>
  <c r="V1035" i="2"/>
  <c r="AB1034" i="2"/>
  <c r="AA1034" i="2"/>
  <c r="Z1034" i="2"/>
  <c r="Y1034" i="2"/>
  <c r="X1034" i="2"/>
  <c r="W1034" i="2"/>
  <c r="V1034" i="2"/>
  <c r="AB1033" i="2"/>
  <c r="AA1033" i="2"/>
  <c r="Z1033" i="2"/>
  <c r="Y1033" i="2"/>
  <c r="X1033" i="2"/>
  <c r="W1033" i="2"/>
  <c r="V1033" i="2"/>
  <c r="AB1032" i="2"/>
  <c r="AA1032" i="2"/>
  <c r="Z1032" i="2"/>
  <c r="Y1032" i="2"/>
  <c r="X1032" i="2"/>
  <c r="W1032" i="2"/>
  <c r="V1032" i="2"/>
  <c r="AB1031" i="2"/>
  <c r="AA1031" i="2"/>
  <c r="Z1031" i="2"/>
  <c r="Y1031" i="2"/>
  <c r="X1031" i="2"/>
  <c r="W1031" i="2"/>
  <c r="V1031" i="2"/>
  <c r="AB1030" i="2"/>
  <c r="AA1030" i="2"/>
  <c r="Z1030" i="2"/>
  <c r="Y1030" i="2"/>
  <c r="X1030" i="2"/>
  <c r="W1030" i="2"/>
  <c r="V1030" i="2"/>
  <c r="AB1029" i="2"/>
  <c r="AA1029" i="2"/>
  <c r="Z1029" i="2"/>
  <c r="Y1029" i="2"/>
  <c r="X1029" i="2"/>
  <c r="W1029" i="2"/>
  <c r="V1029" i="2"/>
  <c r="AB1028" i="2"/>
  <c r="AA1028" i="2"/>
  <c r="Z1028" i="2"/>
  <c r="Y1028" i="2"/>
  <c r="X1028" i="2"/>
  <c r="W1028" i="2"/>
  <c r="V1028" i="2"/>
  <c r="AB1027" i="2"/>
  <c r="AA1027" i="2"/>
  <c r="Z1027" i="2"/>
  <c r="Y1027" i="2"/>
  <c r="X1027" i="2"/>
  <c r="W1027" i="2"/>
  <c r="V1027" i="2"/>
  <c r="AB1026" i="2"/>
  <c r="AA1026" i="2"/>
  <c r="Z1026" i="2"/>
  <c r="Y1026" i="2"/>
  <c r="X1026" i="2"/>
  <c r="W1026" i="2"/>
  <c r="V1026" i="2"/>
  <c r="AB1025" i="2"/>
  <c r="AA1025" i="2"/>
  <c r="Z1025" i="2"/>
  <c r="Y1025" i="2"/>
  <c r="X1025" i="2"/>
  <c r="W1025" i="2"/>
  <c r="V1025" i="2"/>
  <c r="AB1024" i="2"/>
  <c r="AA1024" i="2"/>
  <c r="Z1024" i="2"/>
  <c r="Y1024" i="2"/>
  <c r="X1024" i="2"/>
  <c r="W1024" i="2"/>
  <c r="V1024" i="2"/>
  <c r="AB1023" i="2"/>
  <c r="AA1023" i="2"/>
  <c r="Z1023" i="2"/>
  <c r="Y1023" i="2"/>
  <c r="X1023" i="2"/>
  <c r="W1023" i="2"/>
  <c r="V1023" i="2"/>
  <c r="AB1022" i="2"/>
  <c r="AA1022" i="2"/>
  <c r="Z1022" i="2"/>
  <c r="Y1022" i="2"/>
  <c r="X1022" i="2"/>
  <c r="W1022" i="2"/>
  <c r="V1022" i="2"/>
  <c r="AB1021" i="2"/>
  <c r="AA1021" i="2"/>
  <c r="Z1021" i="2"/>
  <c r="Y1021" i="2"/>
  <c r="X1021" i="2"/>
  <c r="W1021" i="2"/>
  <c r="V1021" i="2"/>
  <c r="AB1020" i="2"/>
  <c r="AA1020" i="2"/>
  <c r="Z1020" i="2"/>
  <c r="Y1020" i="2"/>
  <c r="X1020" i="2"/>
  <c r="W1020" i="2"/>
  <c r="V1020" i="2"/>
  <c r="AB1019" i="2"/>
  <c r="AA1019" i="2"/>
  <c r="Z1019" i="2"/>
  <c r="Y1019" i="2"/>
  <c r="X1019" i="2"/>
  <c r="W1019" i="2"/>
  <c r="V1019" i="2"/>
  <c r="AB1018" i="2"/>
  <c r="AA1018" i="2"/>
  <c r="Z1018" i="2"/>
  <c r="Y1018" i="2"/>
  <c r="X1018" i="2"/>
  <c r="W1018" i="2"/>
  <c r="V1018" i="2"/>
  <c r="AB1017" i="2"/>
  <c r="AA1017" i="2"/>
  <c r="Z1017" i="2"/>
  <c r="Y1017" i="2"/>
  <c r="X1017" i="2"/>
  <c r="W1017" i="2"/>
  <c r="V1017" i="2"/>
  <c r="AB1016" i="2"/>
  <c r="AA1016" i="2"/>
  <c r="Z1016" i="2"/>
  <c r="Y1016" i="2"/>
  <c r="X1016" i="2"/>
  <c r="W1016" i="2"/>
  <c r="V1016" i="2"/>
  <c r="AB1015" i="2"/>
  <c r="AA1015" i="2"/>
  <c r="Z1015" i="2"/>
  <c r="Y1015" i="2"/>
  <c r="X1015" i="2"/>
  <c r="W1015" i="2"/>
  <c r="V1015" i="2"/>
  <c r="AB1014" i="2"/>
  <c r="AA1014" i="2"/>
  <c r="Z1014" i="2"/>
  <c r="Y1014" i="2"/>
  <c r="X1014" i="2"/>
  <c r="W1014" i="2"/>
  <c r="V1014" i="2"/>
  <c r="AB1013" i="2"/>
  <c r="AA1013" i="2"/>
  <c r="Z1013" i="2"/>
  <c r="Y1013" i="2"/>
  <c r="X1013" i="2"/>
  <c r="W1013" i="2"/>
  <c r="V1013" i="2"/>
  <c r="AB1012" i="2"/>
  <c r="AA1012" i="2"/>
  <c r="Z1012" i="2"/>
  <c r="Y1012" i="2"/>
  <c r="X1012" i="2"/>
  <c r="W1012" i="2"/>
  <c r="V1012" i="2"/>
  <c r="AB1011" i="2"/>
  <c r="AA1011" i="2"/>
  <c r="Z1011" i="2"/>
  <c r="Y1011" i="2"/>
  <c r="X1011" i="2"/>
  <c r="W1011" i="2"/>
  <c r="V1011" i="2"/>
  <c r="AB1010" i="2"/>
  <c r="AA1010" i="2"/>
  <c r="Z1010" i="2"/>
  <c r="Y1010" i="2"/>
  <c r="X1010" i="2"/>
  <c r="W1010" i="2"/>
  <c r="V1010" i="2"/>
  <c r="AB1009" i="2"/>
  <c r="AA1009" i="2"/>
  <c r="Z1009" i="2"/>
  <c r="Y1009" i="2"/>
  <c r="X1009" i="2"/>
  <c r="W1009" i="2"/>
  <c r="V1009" i="2"/>
  <c r="AB1008" i="2"/>
  <c r="AA1008" i="2"/>
  <c r="Z1008" i="2"/>
  <c r="Y1008" i="2"/>
  <c r="X1008" i="2"/>
  <c r="W1008" i="2"/>
  <c r="V1008" i="2"/>
  <c r="AB1007" i="2"/>
  <c r="AA1007" i="2"/>
  <c r="Z1007" i="2"/>
  <c r="Y1007" i="2"/>
  <c r="X1007" i="2"/>
  <c r="W1007" i="2"/>
  <c r="V1007" i="2"/>
  <c r="AB1006" i="2"/>
  <c r="AA1006" i="2"/>
  <c r="Z1006" i="2"/>
  <c r="Y1006" i="2"/>
  <c r="X1006" i="2"/>
  <c r="W1006" i="2"/>
  <c r="V1006" i="2"/>
  <c r="AB1005" i="2"/>
  <c r="AA1005" i="2"/>
  <c r="Z1005" i="2"/>
  <c r="Y1005" i="2"/>
  <c r="X1005" i="2"/>
  <c r="W1005" i="2"/>
  <c r="V1005" i="2"/>
  <c r="AB1004" i="2"/>
  <c r="AA1004" i="2"/>
  <c r="Z1004" i="2"/>
  <c r="Y1004" i="2"/>
  <c r="X1004" i="2"/>
  <c r="W1004" i="2"/>
  <c r="V1004" i="2"/>
  <c r="AB1003" i="2"/>
  <c r="AA1003" i="2"/>
  <c r="Z1003" i="2"/>
  <c r="Y1003" i="2"/>
  <c r="X1003" i="2"/>
  <c r="W1003" i="2"/>
  <c r="V1003" i="2"/>
  <c r="AB1002" i="2"/>
  <c r="AA1002" i="2"/>
  <c r="Z1002" i="2"/>
  <c r="Y1002" i="2"/>
  <c r="X1002" i="2"/>
  <c r="W1002" i="2"/>
  <c r="V1002" i="2"/>
  <c r="AB1001" i="2"/>
  <c r="AA1001" i="2"/>
  <c r="Z1001" i="2"/>
  <c r="Y1001" i="2"/>
  <c r="X1001" i="2"/>
  <c r="W1001" i="2"/>
  <c r="V1001" i="2"/>
  <c r="AB1000" i="2"/>
  <c r="AA1000" i="2"/>
  <c r="Z1000" i="2"/>
  <c r="Y1000" i="2"/>
  <c r="X1000" i="2"/>
  <c r="W1000" i="2"/>
  <c r="V1000" i="2"/>
  <c r="AB999" i="2"/>
  <c r="AA999" i="2"/>
  <c r="Z999" i="2"/>
  <c r="Y999" i="2"/>
  <c r="X999" i="2"/>
  <c r="W999" i="2"/>
  <c r="V999" i="2"/>
  <c r="AB998" i="2"/>
  <c r="AA998" i="2"/>
  <c r="Z998" i="2"/>
  <c r="Y998" i="2"/>
  <c r="X998" i="2"/>
  <c r="W998" i="2"/>
  <c r="V998" i="2"/>
  <c r="AB997" i="2"/>
  <c r="AA997" i="2"/>
  <c r="Z997" i="2"/>
  <c r="Y997" i="2"/>
  <c r="X997" i="2"/>
  <c r="W997" i="2"/>
  <c r="V997" i="2"/>
  <c r="AB996" i="2"/>
  <c r="AA996" i="2"/>
  <c r="Z996" i="2"/>
  <c r="Y996" i="2"/>
  <c r="X996" i="2"/>
  <c r="W996" i="2"/>
  <c r="V996" i="2"/>
  <c r="AB995" i="2"/>
  <c r="AA995" i="2"/>
  <c r="Z995" i="2"/>
  <c r="Y995" i="2"/>
  <c r="X995" i="2"/>
  <c r="W995" i="2"/>
  <c r="V995" i="2"/>
  <c r="AB994" i="2"/>
  <c r="AA994" i="2"/>
  <c r="Z994" i="2"/>
  <c r="Y994" i="2"/>
  <c r="X994" i="2"/>
  <c r="W994" i="2"/>
  <c r="V994" i="2"/>
  <c r="AB993" i="2"/>
  <c r="AA993" i="2"/>
  <c r="Z993" i="2"/>
  <c r="Y993" i="2"/>
  <c r="X993" i="2"/>
  <c r="W993" i="2"/>
  <c r="V993" i="2"/>
  <c r="AB992" i="2"/>
  <c r="AA992" i="2"/>
  <c r="Z992" i="2"/>
  <c r="Y992" i="2"/>
  <c r="X992" i="2"/>
  <c r="W992" i="2"/>
  <c r="V992" i="2"/>
  <c r="AB991" i="2"/>
  <c r="AA991" i="2"/>
  <c r="Z991" i="2"/>
  <c r="Y991" i="2"/>
  <c r="X991" i="2"/>
  <c r="W991" i="2"/>
  <c r="V991" i="2"/>
  <c r="AB990" i="2"/>
  <c r="AA990" i="2"/>
  <c r="Z990" i="2"/>
  <c r="Y990" i="2"/>
  <c r="X990" i="2"/>
  <c r="W990" i="2"/>
  <c r="V990" i="2"/>
  <c r="AB989" i="2"/>
  <c r="AA989" i="2"/>
  <c r="Z989" i="2"/>
  <c r="Y989" i="2"/>
  <c r="X989" i="2"/>
  <c r="W989" i="2"/>
  <c r="V989" i="2"/>
  <c r="AB988" i="2"/>
  <c r="AA988" i="2"/>
  <c r="Z988" i="2"/>
  <c r="Y988" i="2"/>
  <c r="X988" i="2"/>
  <c r="W988" i="2"/>
  <c r="V988" i="2"/>
  <c r="AB987" i="2"/>
  <c r="AA987" i="2"/>
  <c r="Z987" i="2"/>
  <c r="Y987" i="2"/>
  <c r="X987" i="2"/>
  <c r="W987" i="2"/>
  <c r="V987" i="2"/>
  <c r="AB986" i="2"/>
  <c r="AA986" i="2"/>
  <c r="Z986" i="2"/>
  <c r="Y986" i="2"/>
  <c r="X986" i="2"/>
  <c r="W986" i="2"/>
  <c r="V986" i="2"/>
  <c r="AB985" i="2"/>
  <c r="AA985" i="2"/>
  <c r="Z985" i="2"/>
  <c r="Y985" i="2"/>
  <c r="X985" i="2"/>
  <c r="W985" i="2"/>
  <c r="V985" i="2"/>
  <c r="AB984" i="2"/>
  <c r="AA984" i="2"/>
  <c r="Z984" i="2"/>
  <c r="Y984" i="2"/>
  <c r="X984" i="2"/>
  <c r="W984" i="2"/>
  <c r="V984" i="2"/>
  <c r="AB983" i="2"/>
  <c r="AA983" i="2"/>
  <c r="Z983" i="2"/>
  <c r="Y983" i="2"/>
  <c r="X983" i="2"/>
  <c r="W983" i="2"/>
  <c r="V983" i="2"/>
  <c r="AB982" i="2"/>
  <c r="AA982" i="2"/>
  <c r="Z982" i="2"/>
  <c r="Y982" i="2"/>
  <c r="X982" i="2"/>
  <c r="W982" i="2"/>
  <c r="V982" i="2"/>
  <c r="AB981" i="2"/>
  <c r="AA981" i="2"/>
  <c r="Z981" i="2"/>
  <c r="Y981" i="2"/>
  <c r="X981" i="2"/>
  <c r="W981" i="2"/>
  <c r="V981" i="2"/>
  <c r="AB980" i="2"/>
  <c r="AA980" i="2"/>
  <c r="Z980" i="2"/>
  <c r="Y980" i="2"/>
  <c r="X980" i="2"/>
  <c r="W980" i="2"/>
  <c r="V980" i="2"/>
  <c r="AB979" i="2"/>
  <c r="AA979" i="2"/>
  <c r="Z979" i="2"/>
  <c r="Y979" i="2"/>
  <c r="X979" i="2"/>
  <c r="W979" i="2"/>
  <c r="V979" i="2"/>
  <c r="AB978" i="2"/>
  <c r="AA978" i="2"/>
  <c r="Z978" i="2"/>
  <c r="Y978" i="2"/>
  <c r="X978" i="2"/>
  <c r="W978" i="2"/>
  <c r="V978" i="2"/>
  <c r="AB977" i="2"/>
  <c r="AA977" i="2"/>
  <c r="Z977" i="2"/>
  <c r="Y977" i="2"/>
  <c r="X977" i="2"/>
  <c r="W977" i="2"/>
  <c r="V977" i="2"/>
  <c r="AB976" i="2"/>
  <c r="AA976" i="2"/>
  <c r="Z976" i="2"/>
  <c r="Y976" i="2"/>
  <c r="X976" i="2"/>
  <c r="W976" i="2"/>
  <c r="V976" i="2"/>
  <c r="AB975" i="2"/>
  <c r="AA975" i="2"/>
  <c r="Z975" i="2"/>
  <c r="Y975" i="2"/>
  <c r="X975" i="2"/>
  <c r="W975" i="2"/>
  <c r="V975" i="2"/>
  <c r="AB974" i="2"/>
  <c r="AA974" i="2"/>
  <c r="Z974" i="2"/>
  <c r="Y974" i="2"/>
  <c r="X974" i="2"/>
  <c r="W974" i="2"/>
  <c r="V974" i="2"/>
  <c r="AB973" i="2"/>
  <c r="AA973" i="2"/>
  <c r="Z973" i="2"/>
  <c r="Y973" i="2"/>
  <c r="X973" i="2"/>
  <c r="W973" i="2"/>
  <c r="V973" i="2"/>
  <c r="AB972" i="2"/>
  <c r="AA972" i="2"/>
  <c r="Z972" i="2"/>
  <c r="Y972" i="2"/>
  <c r="X972" i="2"/>
  <c r="W972" i="2"/>
  <c r="V972" i="2"/>
  <c r="AB971" i="2"/>
  <c r="AA971" i="2"/>
  <c r="Z971" i="2"/>
  <c r="Y971" i="2"/>
  <c r="X971" i="2"/>
  <c r="W971" i="2"/>
  <c r="V971" i="2"/>
  <c r="AB970" i="2"/>
  <c r="AA970" i="2"/>
  <c r="Z970" i="2"/>
  <c r="Y970" i="2"/>
  <c r="X970" i="2"/>
  <c r="W970" i="2"/>
  <c r="V970" i="2"/>
  <c r="AB969" i="2"/>
  <c r="AA969" i="2"/>
  <c r="Z969" i="2"/>
  <c r="Y969" i="2"/>
  <c r="X969" i="2"/>
  <c r="W969" i="2"/>
  <c r="V969" i="2"/>
  <c r="AB968" i="2"/>
  <c r="AA968" i="2"/>
  <c r="Z968" i="2"/>
  <c r="Y968" i="2"/>
  <c r="X968" i="2"/>
  <c r="W968" i="2"/>
  <c r="V968" i="2"/>
  <c r="AB967" i="2"/>
  <c r="AA967" i="2"/>
  <c r="Z967" i="2"/>
  <c r="Y967" i="2"/>
  <c r="X967" i="2"/>
  <c r="W967" i="2"/>
  <c r="V967" i="2"/>
  <c r="AB966" i="2"/>
  <c r="AA966" i="2"/>
  <c r="Z966" i="2"/>
  <c r="Y966" i="2"/>
  <c r="X966" i="2"/>
  <c r="W966" i="2"/>
  <c r="V966" i="2"/>
  <c r="AB965" i="2"/>
  <c r="AA965" i="2"/>
  <c r="Z965" i="2"/>
  <c r="Y965" i="2"/>
  <c r="X965" i="2"/>
  <c r="W965" i="2"/>
  <c r="V965" i="2"/>
  <c r="AB964" i="2"/>
  <c r="AA964" i="2"/>
  <c r="Z964" i="2"/>
  <c r="Y964" i="2"/>
  <c r="X964" i="2"/>
  <c r="W964" i="2"/>
  <c r="V964" i="2"/>
  <c r="AB963" i="2"/>
  <c r="AA963" i="2"/>
  <c r="Z963" i="2"/>
  <c r="Y963" i="2"/>
  <c r="X963" i="2"/>
  <c r="W963" i="2"/>
  <c r="V963" i="2"/>
  <c r="AB962" i="2"/>
  <c r="AA962" i="2"/>
  <c r="Z962" i="2"/>
  <c r="Y962" i="2"/>
  <c r="X962" i="2"/>
  <c r="W962" i="2"/>
  <c r="V962" i="2"/>
  <c r="AB961" i="2"/>
  <c r="AA961" i="2"/>
  <c r="Z961" i="2"/>
  <c r="Y961" i="2"/>
  <c r="X961" i="2"/>
  <c r="W961" i="2"/>
  <c r="V961" i="2"/>
  <c r="AB960" i="2"/>
  <c r="AA960" i="2"/>
  <c r="Z960" i="2"/>
  <c r="Y960" i="2"/>
  <c r="X960" i="2"/>
  <c r="W960" i="2"/>
  <c r="V960" i="2"/>
  <c r="AB959" i="2"/>
  <c r="AA959" i="2"/>
  <c r="Z959" i="2"/>
  <c r="Y959" i="2"/>
  <c r="X959" i="2"/>
  <c r="W959" i="2"/>
  <c r="V959" i="2"/>
  <c r="AB958" i="2"/>
  <c r="AA958" i="2"/>
  <c r="Z958" i="2"/>
  <c r="Y958" i="2"/>
  <c r="X958" i="2"/>
  <c r="W958" i="2"/>
  <c r="V958" i="2"/>
  <c r="AB957" i="2"/>
  <c r="AA957" i="2"/>
  <c r="Z957" i="2"/>
  <c r="Y957" i="2"/>
  <c r="X957" i="2"/>
  <c r="W957" i="2"/>
  <c r="V957" i="2"/>
  <c r="AB956" i="2"/>
  <c r="AA956" i="2"/>
  <c r="Z956" i="2"/>
  <c r="Y956" i="2"/>
  <c r="X956" i="2"/>
  <c r="W956" i="2"/>
  <c r="V956" i="2"/>
  <c r="AB955" i="2"/>
  <c r="AA955" i="2"/>
  <c r="Z955" i="2"/>
  <c r="Y955" i="2"/>
  <c r="X955" i="2"/>
  <c r="W955" i="2"/>
  <c r="V955" i="2"/>
  <c r="AB954" i="2"/>
  <c r="AA954" i="2"/>
  <c r="Z954" i="2"/>
  <c r="Y954" i="2"/>
  <c r="X954" i="2"/>
  <c r="W954" i="2"/>
  <c r="V954" i="2"/>
  <c r="AB953" i="2"/>
  <c r="AA953" i="2"/>
  <c r="Z953" i="2"/>
  <c r="Y953" i="2"/>
  <c r="X953" i="2"/>
  <c r="W953" i="2"/>
  <c r="V953" i="2"/>
  <c r="AB952" i="2"/>
  <c r="AA952" i="2"/>
  <c r="Z952" i="2"/>
  <c r="Y952" i="2"/>
  <c r="X952" i="2"/>
  <c r="W952" i="2"/>
  <c r="V952" i="2"/>
  <c r="AB951" i="2"/>
  <c r="AA951" i="2"/>
  <c r="Z951" i="2"/>
  <c r="Y951" i="2"/>
  <c r="X951" i="2"/>
  <c r="W951" i="2"/>
  <c r="V951" i="2"/>
  <c r="AB950" i="2"/>
  <c r="AA950" i="2"/>
  <c r="Z950" i="2"/>
  <c r="Y950" i="2"/>
  <c r="X950" i="2"/>
  <c r="W950" i="2"/>
  <c r="V950" i="2"/>
  <c r="AB949" i="2"/>
  <c r="AA949" i="2"/>
  <c r="Z949" i="2"/>
  <c r="Y949" i="2"/>
  <c r="X949" i="2"/>
  <c r="W949" i="2"/>
  <c r="V949" i="2"/>
  <c r="AB948" i="2"/>
  <c r="AA948" i="2"/>
  <c r="Z948" i="2"/>
  <c r="Y948" i="2"/>
  <c r="X948" i="2"/>
  <c r="W948" i="2"/>
  <c r="V948" i="2"/>
  <c r="AB947" i="2"/>
  <c r="AA947" i="2"/>
  <c r="Z947" i="2"/>
  <c r="Y947" i="2"/>
  <c r="X947" i="2"/>
  <c r="W947" i="2"/>
  <c r="V947" i="2"/>
  <c r="AB946" i="2"/>
  <c r="AA946" i="2"/>
  <c r="Z946" i="2"/>
  <c r="Y946" i="2"/>
  <c r="X946" i="2"/>
  <c r="W946" i="2"/>
  <c r="V946" i="2"/>
  <c r="AB945" i="2"/>
  <c r="AA945" i="2"/>
  <c r="Z945" i="2"/>
  <c r="Y945" i="2"/>
  <c r="X945" i="2"/>
  <c r="W945" i="2"/>
  <c r="V945" i="2"/>
  <c r="AB944" i="2"/>
  <c r="AA944" i="2"/>
  <c r="Z944" i="2"/>
  <c r="Y944" i="2"/>
  <c r="X944" i="2"/>
  <c r="W944" i="2"/>
  <c r="V944" i="2"/>
  <c r="AB943" i="2"/>
  <c r="AA943" i="2"/>
  <c r="Z943" i="2"/>
  <c r="Y943" i="2"/>
  <c r="X943" i="2"/>
  <c r="W943" i="2"/>
  <c r="V943" i="2"/>
  <c r="AB942" i="2"/>
  <c r="AA942" i="2"/>
  <c r="Z942" i="2"/>
  <c r="Y942" i="2"/>
  <c r="X942" i="2"/>
  <c r="W942" i="2"/>
  <c r="V942" i="2"/>
  <c r="AB941" i="2"/>
  <c r="AA941" i="2"/>
  <c r="Z941" i="2"/>
  <c r="Y941" i="2"/>
  <c r="X941" i="2"/>
  <c r="W941" i="2"/>
  <c r="V941" i="2"/>
  <c r="AB940" i="2"/>
  <c r="AA940" i="2"/>
  <c r="Z940" i="2"/>
  <c r="Y940" i="2"/>
  <c r="X940" i="2"/>
  <c r="W940" i="2"/>
  <c r="V940" i="2"/>
  <c r="AB939" i="2"/>
  <c r="AA939" i="2"/>
  <c r="Z939" i="2"/>
  <c r="Y939" i="2"/>
  <c r="X939" i="2"/>
  <c r="W939" i="2"/>
  <c r="V939" i="2"/>
  <c r="AB938" i="2"/>
  <c r="AA938" i="2"/>
  <c r="Z938" i="2"/>
  <c r="Y938" i="2"/>
  <c r="X938" i="2"/>
  <c r="W938" i="2"/>
  <c r="V938" i="2"/>
  <c r="AB937" i="2"/>
  <c r="AA937" i="2"/>
  <c r="Z937" i="2"/>
  <c r="Y937" i="2"/>
  <c r="X937" i="2"/>
  <c r="W937" i="2"/>
  <c r="V937" i="2"/>
  <c r="AB936" i="2"/>
  <c r="AA936" i="2"/>
  <c r="Z936" i="2"/>
  <c r="Y936" i="2"/>
  <c r="X936" i="2"/>
  <c r="W936" i="2"/>
  <c r="V936" i="2"/>
  <c r="AB935" i="2"/>
  <c r="AA935" i="2"/>
  <c r="Z935" i="2"/>
  <c r="Y935" i="2"/>
  <c r="X935" i="2"/>
  <c r="W935" i="2"/>
  <c r="V935" i="2"/>
  <c r="AB934" i="2"/>
  <c r="AA934" i="2"/>
  <c r="Z934" i="2"/>
  <c r="Y934" i="2"/>
  <c r="X934" i="2"/>
  <c r="W934" i="2"/>
  <c r="V934" i="2"/>
  <c r="AB933" i="2"/>
  <c r="AA933" i="2"/>
  <c r="Z933" i="2"/>
  <c r="Y933" i="2"/>
  <c r="X933" i="2"/>
  <c r="W933" i="2"/>
  <c r="V933" i="2"/>
  <c r="AB932" i="2"/>
  <c r="AA932" i="2"/>
  <c r="Z932" i="2"/>
  <c r="Y932" i="2"/>
  <c r="X932" i="2"/>
  <c r="W932" i="2"/>
  <c r="V932" i="2"/>
  <c r="AB931" i="2"/>
  <c r="AA931" i="2"/>
  <c r="Z931" i="2"/>
  <c r="Y931" i="2"/>
  <c r="X931" i="2"/>
  <c r="W931" i="2"/>
  <c r="V931" i="2"/>
  <c r="AB930" i="2"/>
  <c r="AA930" i="2"/>
  <c r="Z930" i="2"/>
  <c r="Y930" i="2"/>
  <c r="X930" i="2"/>
  <c r="W930" i="2"/>
  <c r="V930" i="2"/>
  <c r="AB929" i="2"/>
  <c r="AA929" i="2"/>
  <c r="Z929" i="2"/>
  <c r="Y929" i="2"/>
  <c r="X929" i="2"/>
  <c r="W929" i="2"/>
  <c r="V929" i="2"/>
  <c r="AB928" i="2"/>
  <c r="AA928" i="2"/>
  <c r="Z928" i="2"/>
  <c r="Y928" i="2"/>
  <c r="X928" i="2"/>
  <c r="W928" i="2"/>
  <c r="V928" i="2"/>
  <c r="AB927" i="2"/>
  <c r="AA927" i="2"/>
  <c r="Z927" i="2"/>
  <c r="Y927" i="2"/>
  <c r="X927" i="2"/>
  <c r="W927" i="2"/>
  <c r="V927" i="2"/>
  <c r="AB926" i="2"/>
  <c r="AA926" i="2"/>
  <c r="Z926" i="2"/>
  <c r="Y926" i="2"/>
  <c r="X926" i="2"/>
  <c r="W926" i="2"/>
  <c r="V926" i="2"/>
  <c r="AB925" i="2"/>
  <c r="AA925" i="2"/>
  <c r="Z925" i="2"/>
  <c r="Y925" i="2"/>
  <c r="X925" i="2"/>
  <c r="W925" i="2"/>
  <c r="V925" i="2"/>
  <c r="AB924" i="2"/>
  <c r="AA924" i="2"/>
  <c r="Z924" i="2"/>
  <c r="Y924" i="2"/>
  <c r="X924" i="2"/>
  <c r="W924" i="2"/>
  <c r="V924" i="2"/>
  <c r="AB923" i="2"/>
  <c r="AA923" i="2"/>
  <c r="Z923" i="2"/>
  <c r="Y923" i="2"/>
  <c r="X923" i="2"/>
  <c r="W923" i="2"/>
  <c r="V923" i="2"/>
  <c r="AB922" i="2"/>
  <c r="AA922" i="2"/>
  <c r="Z922" i="2"/>
  <c r="Y922" i="2"/>
  <c r="X922" i="2"/>
  <c r="W922" i="2"/>
  <c r="V922" i="2"/>
  <c r="AB921" i="2"/>
  <c r="AA921" i="2"/>
  <c r="Z921" i="2"/>
  <c r="Y921" i="2"/>
  <c r="X921" i="2"/>
  <c r="W921" i="2"/>
  <c r="V921" i="2"/>
  <c r="AB920" i="2"/>
  <c r="AA920" i="2"/>
  <c r="Z920" i="2"/>
  <c r="Y920" i="2"/>
  <c r="X920" i="2"/>
  <c r="W920" i="2"/>
  <c r="V920" i="2"/>
  <c r="AB919" i="2"/>
  <c r="AA919" i="2"/>
  <c r="Z919" i="2"/>
  <c r="Y919" i="2"/>
  <c r="X919" i="2"/>
  <c r="W919" i="2"/>
  <c r="V919" i="2"/>
  <c r="AB918" i="2"/>
  <c r="AA918" i="2"/>
  <c r="Z918" i="2"/>
  <c r="Y918" i="2"/>
  <c r="X918" i="2"/>
  <c r="W918" i="2"/>
  <c r="V918" i="2"/>
  <c r="AB917" i="2"/>
  <c r="AA917" i="2"/>
  <c r="Z917" i="2"/>
  <c r="Y917" i="2"/>
  <c r="X917" i="2"/>
  <c r="W917" i="2"/>
  <c r="V917" i="2"/>
  <c r="AB916" i="2"/>
  <c r="AA916" i="2"/>
  <c r="Z916" i="2"/>
  <c r="Y916" i="2"/>
  <c r="X916" i="2"/>
  <c r="W916" i="2"/>
  <c r="V916" i="2"/>
  <c r="AB915" i="2"/>
  <c r="AA915" i="2"/>
  <c r="Z915" i="2"/>
  <c r="Y915" i="2"/>
  <c r="X915" i="2"/>
  <c r="W915" i="2"/>
  <c r="V915" i="2"/>
  <c r="AB914" i="2"/>
  <c r="AA914" i="2"/>
  <c r="Z914" i="2"/>
  <c r="Y914" i="2"/>
  <c r="X914" i="2"/>
  <c r="W914" i="2"/>
  <c r="V914" i="2"/>
  <c r="AB913" i="2"/>
  <c r="AA913" i="2"/>
  <c r="Z913" i="2"/>
  <c r="Y913" i="2"/>
  <c r="X913" i="2"/>
  <c r="W913" i="2"/>
  <c r="V913" i="2"/>
  <c r="AB912" i="2"/>
  <c r="AA912" i="2"/>
  <c r="Z912" i="2"/>
  <c r="Y912" i="2"/>
  <c r="X912" i="2"/>
  <c r="W912" i="2"/>
  <c r="V912" i="2"/>
  <c r="AB911" i="2"/>
  <c r="AA911" i="2"/>
  <c r="Z911" i="2"/>
  <c r="Y911" i="2"/>
  <c r="X911" i="2"/>
  <c r="W911" i="2"/>
  <c r="V911" i="2"/>
  <c r="AB910" i="2"/>
  <c r="AA910" i="2"/>
  <c r="Z910" i="2"/>
  <c r="Y910" i="2"/>
  <c r="X910" i="2"/>
  <c r="W910" i="2"/>
  <c r="V910" i="2"/>
  <c r="AB909" i="2"/>
  <c r="AA909" i="2"/>
  <c r="Z909" i="2"/>
  <c r="Y909" i="2"/>
  <c r="X909" i="2"/>
  <c r="W909" i="2"/>
  <c r="V909" i="2"/>
  <c r="AB908" i="2"/>
  <c r="AA908" i="2"/>
  <c r="Z908" i="2"/>
  <c r="Y908" i="2"/>
  <c r="X908" i="2"/>
  <c r="W908" i="2"/>
  <c r="V908" i="2"/>
  <c r="AB907" i="2"/>
  <c r="AA907" i="2"/>
  <c r="Z907" i="2"/>
  <c r="Y907" i="2"/>
  <c r="X907" i="2"/>
  <c r="W907" i="2"/>
  <c r="V907" i="2"/>
  <c r="AB906" i="2"/>
  <c r="AA906" i="2"/>
  <c r="Z906" i="2"/>
  <c r="Y906" i="2"/>
  <c r="X906" i="2"/>
  <c r="W906" i="2"/>
  <c r="V906" i="2"/>
  <c r="AB905" i="2"/>
  <c r="AA905" i="2"/>
  <c r="Z905" i="2"/>
  <c r="Y905" i="2"/>
  <c r="X905" i="2"/>
  <c r="W905" i="2"/>
  <c r="V905" i="2"/>
  <c r="AB904" i="2"/>
  <c r="AA904" i="2"/>
  <c r="Z904" i="2"/>
  <c r="Y904" i="2"/>
  <c r="X904" i="2"/>
  <c r="W904" i="2"/>
  <c r="V904" i="2"/>
  <c r="AB903" i="2"/>
  <c r="AA903" i="2"/>
  <c r="Z903" i="2"/>
  <c r="Y903" i="2"/>
  <c r="X903" i="2"/>
  <c r="W903" i="2"/>
  <c r="V903" i="2"/>
  <c r="AB902" i="2"/>
  <c r="AA902" i="2"/>
  <c r="Z902" i="2"/>
  <c r="Y902" i="2"/>
  <c r="X902" i="2"/>
  <c r="W902" i="2"/>
  <c r="V902" i="2"/>
  <c r="AB901" i="2"/>
  <c r="AA901" i="2"/>
  <c r="Z901" i="2"/>
  <c r="Y901" i="2"/>
  <c r="X901" i="2"/>
  <c r="W901" i="2"/>
  <c r="V901" i="2"/>
  <c r="AB900" i="2"/>
  <c r="AA900" i="2"/>
  <c r="Z900" i="2"/>
  <c r="Y900" i="2"/>
  <c r="X900" i="2"/>
  <c r="W900" i="2"/>
  <c r="V900" i="2"/>
  <c r="AB899" i="2"/>
  <c r="AA899" i="2"/>
  <c r="Z899" i="2"/>
  <c r="Y899" i="2"/>
  <c r="X899" i="2"/>
  <c r="W899" i="2"/>
  <c r="V899" i="2"/>
  <c r="AB898" i="2"/>
  <c r="AA898" i="2"/>
  <c r="Z898" i="2"/>
  <c r="Y898" i="2"/>
  <c r="X898" i="2"/>
  <c r="W898" i="2"/>
  <c r="V898" i="2"/>
  <c r="AB897" i="2"/>
  <c r="AA897" i="2"/>
  <c r="Z897" i="2"/>
  <c r="Y897" i="2"/>
  <c r="X897" i="2"/>
  <c r="W897" i="2"/>
  <c r="V897" i="2"/>
  <c r="AB896" i="2"/>
  <c r="AA896" i="2"/>
  <c r="Z896" i="2"/>
  <c r="Y896" i="2"/>
  <c r="X896" i="2"/>
  <c r="W896" i="2"/>
  <c r="V896" i="2"/>
  <c r="AB895" i="2"/>
  <c r="AA895" i="2"/>
  <c r="Z895" i="2"/>
  <c r="Y895" i="2"/>
  <c r="X895" i="2"/>
  <c r="W895" i="2"/>
  <c r="V895" i="2"/>
  <c r="AB894" i="2"/>
  <c r="AA894" i="2"/>
  <c r="Z894" i="2"/>
  <c r="Y894" i="2"/>
  <c r="X894" i="2"/>
  <c r="W894" i="2"/>
  <c r="V894" i="2"/>
  <c r="AB893" i="2"/>
  <c r="AA893" i="2"/>
  <c r="Z893" i="2"/>
  <c r="Y893" i="2"/>
  <c r="X893" i="2"/>
  <c r="W893" i="2"/>
  <c r="V893" i="2"/>
  <c r="AB892" i="2"/>
  <c r="AA892" i="2"/>
  <c r="Z892" i="2"/>
  <c r="Y892" i="2"/>
  <c r="X892" i="2"/>
  <c r="W892" i="2"/>
  <c r="V892" i="2"/>
  <c r="AB891" i="2"/>
  <c r="AA891" i="2"/>
  <c r="Z891" i="2"/>
  <c r="Y891" i="2"/>
  <c r="X891" i="2"/>
  <c r="W891" i="2"/>
  <c r="V891" i="2"/>
  <c r="AB890" i="2"/>
  <c r="AA890" i="2"/>
  <c r="Z890" i="2"/>
  <c r="Y890" i="2"/>
  <c r="X890" i="2"/>
  <c r="W890" i="2"/>
  <c r="V890" i="2"/>
  <c r="AB889" i="2"/>
  <c r="AA889" i="2"/>
  <c r="Z889" i="2"/>
  <c r="Y889" i="2"/>
  <c r="X889" i="2"/>
  <c r="W889" i="2"/>
  <c r="V889" i="2"/>
  <c r="AB888" i="2"/>
  <c r="AA888" i="2"/>
  <c r="Z888" i="2"/>
  <c r="Y888" i="2"/>
  <c r="X888" i="2"/>
  <c r="W888" i="2"/>
  <c r="V888" i="2"/>
  <c r="AB887" i="2"/>
  <c r="AA887" i="2"/>
  <c r="Z887" i="2"/>
  <c r="Y887" i="2"/>
  <c r="X887" i="2"/>
  <c r="W887" i="2"/>
  <c r="V887" i="2"/>
  <c r="AB886" i="2"/>
  <c r="AA886" i="2"/>
  <c r="Z886" i="2"/>
  <c r="Y886" i="2"/>
  <c r="X886" i="2"/>
  <c r="W886" i="2"/>
  <c r="V886" i="2"/>
  <c r="AB885" i="2"/>
  <c r="AA885" i="2"/>
  <c r="Z885" i="2"/>
  <c r="Y885" i="2"/>
  <c r="X885" i="2"/>
  <c r="W885" i="2"/>
  <c r="V885" i="2"/>
  <c r="AB884" i="2"/>
  <c r="AA884" i="2"/>
  <c r="Z884" i="2"/>
  <c r="Y884" i="2"/>
  <c r="X884" i="2"/>
  <c r="W884" i="2"/>
  <c r="V884" i="2"/>
  <c r="AB883" i="2"/>
  <c r="AA883" i="2"/>
  <c r="Z883" i="2"/>
  <c r="Y883" i="2"/>
  <c r="X883" i="2"/>
  <c r="W883" i="2"/>
  <c r="V883" i="2"/>
  <c r="AB882" i="2"/>
  <c r="AA882" i="2"/>
  <c r="Z882" i="2"/>
  <c r="Y882" i="2"/>
  <c r="X882" i="2"/>
  <c r="W882" i="2"/>
  <c r="V882" i="2"/>
  <c r="AB881" i="2"/>
  <c r="AA881" i="2"/>
  <c r="Z881" i="2"/>
  <c r="Y881" i="2"/>
  <c r="X881" i="2"/>
  <c r="W881" i="2"/>
  <c r="V881" i="2"/>
  <c r="AB880" i="2"/>
  <c r="AA880" i="2"/>
  <c r="Z880" i="2"/>
  <c r="Y880" i="2"/>
  <c r="X880" i="2"/>
  <c r="W880" i="2"/>
  <c r="V880" i="2"/>
  <c r="AB879" i="2"/>
  <c r="AA879" i="2"/>
  <c r="Z879" i="2"/>
  <c r="Y879" i="2"/>
  <c r="X879" i="2"/>
  <c r="W879" i="2"/>
  <c r="V879" i="2"/>
  <c r="AB878" i="2"/>
  <c r="AA878" i="2"/>
  <c r="Z878" i="2"/>
  <c r="Y878" i="2"/>
  <c r="X878" i="2"/>
  <c r="W878" i="2"/>
  <c r="V878" i="2"/>
  <c r="AB877" i="2"/>
  <c r="AA877" i="2"/>
  <c r="Z877" i="2"/>
  <c r="Y877" i="2"/>
  <c r="X877" i="2"/>
  <c r="W877" i="2"/>
  <c r="V877" i="2"/>
  <c r="AB876" i="2"/>
  <c r="AA876" i="2"/>
  <c r="Z876" i="2"/>
  <c r="Y876" i="2"/>
  <c r="X876" i="2"/>
  <c r="W876" i="2"/>
  <c r="V876" i="2"/>
  <c r="AB875" i="2"/>
  <c r="AA875" i="2"/>
  <c r="Z875" i="2"/>
  <c r="Y875" i="2"/>
  <c r="X875" i="2"/>
  <c r="W875" i="2"/>
  <c r="V875" i="2"/>
  <c r="AB874" i="2"/>
  <c r="AA874" i="2"/>
  <c r="Z874" i="2"/>
  <c r="Y874" i="2"/>
  <c r="X874" i="2"/>
  <c r="W874" i="2"/>
  <c r="V874" i="2"/>
  <c r="AB873" i="2"/>
  <c r="AA873" i="2"/>
  <c r="Z873" i="2"/>
  <c r="Y873" i="2"/>
  <c r="X873" i="2"/>
  <c r="W873" i="2"/>
  <c r="V873" i="2"/>
  <c r="AB872" i="2"/>
  <c r="AA872" i="2"/>
  <c r="Z872" i="2"/>
  <c r="Y872" i="2"/>
  <c r="X872" i="2"/>
  <c r="W872" i="2"/>
  <c r="V872" i="2"/>
  <c r="AB871" i="2"/>
  <c r="AA871" i="2"/>
  <c r="Z871" i="2"/>
  <c r="Y871" i="2"/>
  <c r="X871" i="2"/>
  <c r="W871" i="2"/>
  <c r="V871" i="2"/>
  <c r="AB870" i="2"/>
  <c r="AA870" i="2"/>
  <c r="Z870" i="2"/>
  <c r="Y870" i="2"/>
  <c r="X870" i="2"/>
  <c r="W870" i="2"/>
  <c r="V870" i="2"/>
  <c r="AB869" i="2"/>
  <c r="AA869" i="2"/>
  <c r="Z869" i="2"/>
  <c r="Y869" i="2"/>
  <c r="X869" i="2"/>
  <c r="W869" i="2"/>
  <c r="V869" i="2"/>
  <c r="AB868" i="2"/>
  <c r="AA868" i="2"/>
  <c r="Z868" i="2"/>
  <c r="Y868" i="2"/>
  <c r="X868" i="2"/>
  <c r="W868" i="2"/>
  <c r="V868" i="2"/>
  <c r="AB867" i="2"/>
  <c r="AA867" i="2"/>
  <c r="Z867" i="2"/>
  <c r="Y867" i="2"/>
  <c r="X867" i="2"/>
  <c r="W867" i="2"/>
  <c r="V867" i="2"/>
  <c r="AB866" i="2"/>
  <c r="AA866" i="2"/>
  <c r="Z866" i="2"/>
  <c r="Y866" i="2"/>
  <c r="X866" i="2"/>
  <c r="W866" i="2"/>
  <c r="V866" i="2"/>
  <c r="AB865" i="2"/>
  <c r="AA865" i="2"/>
  <c r="Z865" i="2"/>
  <c r="Y865" i="2"/>
  <c r="X865" i="2"/>
  <c r="W865" i="2"/>
  <c r="V865" i="2"/>
  <c r="AB864" i="2"/>
  <c r="AA864" i="2"/>
  <c r="Z864" i="2"/>
  <c r="Y864" i="2"/>
  <c r="X864" i="2"/>
  <c r="W864" i="2"/>
  <c r="V864" i="2"/>
  <c r="AB863" i="2"/>
  <c r="AA863" i="2"/>
  <c r="Z863" i="2"/>
  <c r="Y863" i="2"/>
  <c r="X863" i="2"/>
  <c r="W863" i="2"/>
  <c r="V863" i="2"/>
  <c r="AB862" i="2"/>
  <c r="AA862" i="2"/>
  <c r="Z862" i="2"/>
  <c r="Y862" i="2"/>
  <c r="X862" i="2"/>
  <c r="W862" i="2"/>
  <c r="V862" i="2"/>
  <c r="AB861" i="2"/>
  <c r="AA861" i="2"/>
  <c r="Z861" i="2"/>
  <c r="Y861" i="2"/>
  <c r="X861" i="2"/>
  <c r="W861" i="2"/>
  <c r="V861" i="2"/>
  <c r="AB860" i="2"/>
  <c r="AA860" i="2"/>
  <c r="Z860" i="2"/>
  <c r="Y860" i="2"/>
  <c r="X860" i="2"/>
  <c r="W860" i="2"/>
  <c r="V860" i="2"/>
  <c r="AB859" i="2"/>
  <c r="AA859" i="2"/>
  <c r="Z859" i="2"/>
  <c r="Y859" i="2"/>
  <c r="X859" i="2"/>
  <c r="W859" i="2"/>
  <c r="V859" i="2"/>
  <c r="AB858" i="2"/>
  <c r="AA858" i="2"/>
  <c r="Z858" i="2"/>
  <c r="Y858" i="2"/>
  <c r="X858" i="2"/>
  <c r="W858" i="2"/>
  <c r="V858" i="2"/>
  <c r="AB857" i="2"/>
  <c r="AA857" i="2"/>
  <c r="Z857" i="2"/>
  <c r="Y857" i="2"/>
  <c r="X857" i="2"/>
  <c r="W857" i="2"/>
  <c r="V857" i="2"/>
  <c r="AB856" i="2"/>
  <c r="AA856" i="2"/>
  <c r="Z856" i="2"/>
  <c r="Y856" i="2"/>
  <c r="X856" i="2"/>
  <c r="W856" i="2"/>
  <c r="V856" i="2"/>
  <c r="AB855" i="2"/>
  <c r="AA855" i="2"/>
  <c r="Z855" i="2"/>
  <c r="Y855" i="2"/>
  <c r="X855" i="2"/>
  <c r="W855" i="2"/>
  <c r="V855" i="2"/>
  <c r="AB854" i="2"/>
  <c r="AA854" i="2"/>
  <c r="Z854" i="2"/>
  <c r="Y854" i="2"/>
  <c r="X854" i="2"/>
  <c r="W854" i="2"/>
  <c r="V854" i="2"/>
  <c r="AB853" i="2"/>
  <c r="AA853" i="2"/>
  <c r="Z853" i="2"/>
  <c r="Y853" i="2"/>
  <c r="X853" i="2"/>
  <c r="W853" i="2"/>
  <c r="V853" i="2"/>
  <c r="AB852" i="2"/>
  <c r="AA852" i="2"/>
  <c r="Z852" i="2"/>
  <c r="Y852" i="2"/>
  <c r="X852" i="2"/>
  <c r="W852" i="2"/>
  <c r="V852" i="2"/>
  <c r="AB851" i="2"/>
  <c r="AA851" i="2"/>
  <c r="Z851" i="2"/>
  <c r="Y851" i="2"/>
  <c r="X851" i="2"/>
  <c r="W851" i="2"/>
  <c r="V851" i="2"/>
  <c r="AB850" i="2"/>
  <c r="AA850" i="2"/>
  <c r="Z850" i="2"/>
  <c r="Y850" i="2"/>
  <c r="X850" i="2"/>
  <c r="W850" i="2"/>
  <c r="V850" i="2"/>
  <c r="AB849" i="2"/>
  <c r="AA849" i="2"/>
  <c r="Z849" i="2"/>
  <c r="Y849" i="2"/>
  <c r="X849" i="2"/>
  <c r="W849" i="2"/>
  <c r="V849" i="2"/>
  <c r="AB848" i="2"/>
  <c r="AA848" i="2"/>
  <c r="Z848" i="2"/>
  <c r="Y848" i="2"/>
  <c r="X848" i="2"/>
  <c r="W848" i="2"/>
  <c r="V848" i="2"/>
  <c r="AB847" i="2"/>
  <c r="AA847" i="2"/>
  <c r="Z847" i="2"/>
  <c r="Y847" i="2"/>
  <c r="X847" i="2"/>
  <c r="W847" i="2"/>
  <c r="V847" i="2"/>
  <c r="AB846" i="2"/>
  <c r="AA846" i="2"/>
  <c r="Z846" i="2"/>
  <c r="Y846" i="2"/>
  <c r="X846" i="2"/>
  <c r="W846" i="2"/>
  <c r="V846" i="2"/>
  <c r="AB845" i="2"/>
  <c r="AA845" i="2"/>
  <c r="Z845" i="2"/>
  <c r="Y845" i="2"/>
  <c r="X845" i="2"/>
  <c r="W845" i="2"/>
  <c r="V845" i="2"/>
  <c r="AB844" i="2"/>
  <c r="AA844" i="2"/>
  <c r="Z844" i="2"/>
  <c r="Y844" i="2"/>
  <c r="X844" i="2"/>
  <c r="W844" i="2"/>
  <c r="V844" i="2"/>
  <c r="AB843" i="2"/>
  <c r="AA843" i="2"/>
  <c r="Z843" i="2"/>
  <c r="Y843" i="2"/>
  <c r="X843" i="2"/>
  <c r="W843" i="2"/>
  <c r="V843" i="2"/>
  <c r="AB842" i="2"/>
  <c r="AA842" i="2"/>
  <c r="Z842" i="2"/>
  <c r="Y842" i="2"/>
  <c r="X842" i="2"/>
  <c r="W842" i="2"/>
  <c r="V842" i="2"/>
  <c r="AB841" i="2"/>
  <c r="AA841" i="2"/>
  <c r="Z841" i="2"/>
  <c r="Y841" i="2"/>
  <c r="X841" i="2"/>
  <c r="W841" i="2"/>
  <c r="V841" i="2"/>
  <c r="AB840" i="2"/>
  <c r="AA840" i="2"/>
  <c r="Z840" i="2"/>
  <c r="Y840" i="2"/>
  <c r="X840" i="2"/>
  <c r="W840" i="2"/>
  <c r="V840" i="2"/>
  <c r="AB839" i="2"/>
  <c r="AA839" i="2"/>
  <c r="Z839" i="2"/>
  <c r="Y839" i="2"/>
  <c r="X839" i="2"/>
  <c r="W839" i="2"/>
  <c r="V839" i="2"/>
  <c r="AB838" i="2"/>
  <c r="AA838" i="2"/>
  <c r="Z838" i="2"/>
  <c r="Y838" i="2"/>
  <c r="X838" i="2"/>
  <c r="W838" i="2"/>
  <c r="V838" i="2"/>
  <c r="AB837" i="2"/>
  <c r="AA837" i="2"/>
  <c r="Z837" i="2"/>
  <c r="Y837" i="2"/>
  <c r="X837" i="2"/>
  <c r="W837" i="2"/>
  <c r="V837" i="2"/>
  <c r="AB836" i="2"/>
  <c r="AA836" i="2"/>
  <c r="Z836" i="2"/>
  <c r="Y836" i="2"/>
  <c r="X836" i="2"/>
  <c r="W836" i="2"/>
  <c r="V836" i="2"/>
  <c r="AB835" i="2"/>
  <c r="AA835" i="2"/>
  <c r="Z835" i="2"/>
  <c r="Y835" i="2"/>
  <c r="X835" i="2"/>
  <c r="W835" i="2"/>
  <c r="V835" i="2"/>
  <c r="AB834" i="2"/>
  <c r="AA834" i="2"/>
  <c r="Z834" i="2"/>
  <c r="Y834" i="2"/>
  <c r="X834" i="2"/>
  <c r="W834" i="2"/>
  <c r="V834" i="2"/>
  <c r="AB833" i="2"/>
  <c r="AA833" i="2"/>
  <c r="Z833" i="2"/>
  <c r="Y833" i="2"/>
  <c r="X833" i="2"/>
  <c r="W833" i="2"/>
  <c r="V833" i="2"/>
  <c r="AB832" i="2"/>
  <c r="AA832" i="2"/>
  <c r="Z832" i="2"/>
  <c r="Y832" i="2"/>
  <c r="X832" i="2"/>
  <c r="W832" i="2"/>
  <c r="V832" i="2"/>
  <c r="AB831" i="2"/>
  <c r="AA831" i="2"/>
  <c r="Z831" i="2"/>
  <c r="Y831" i="2"/>
  <c r="X831" i="2"/>
  <c r="W831" i="2"/>
  <c r="V831" i="2"/>
  <c r="AB830" i="2"/>
  <c r="AA830" i="2"/>
  <c r="Z830" i="2"/>
  <c r="Y830" i="2"/>
  <c r="X830" i="2"/>
  <c r="W830" i="2"/>
  <c r="V830" i="2"/>
  <c r="AB829" i="2"/>
  <c r="AA829" i="2"/>
  <c r="Z829" i="2"/>
  <c r="Y829" i="2"/>
  <c r="X829" i="2"/>
  <c r="W829" i="2"/>
  <c r="V829" i="2"/>
  <c r="AB828" i="2"/>
  <c r="AA828" i="2"/>
  <c r="Z828" i="2"/>
  <c r="Y828" i="2"/>
  <c r="X828" i="2"/>
  <c r="W828" i="2"/>
  <c r="V828" i="2"/>
  <c r="AB827" i="2"/>
  <c r="AA827" i="2"/>
  <c r="Z827" i="2"/>
  <c r="Y827" i="2"/>
  <c r="X827" i="2"/>
  <c r="W827" i="2"/>
  <c r="V827" i="2"/>
  <c r="AB826" i="2"/>
  <c r="AA826" i="2"/>
  <c r="Z826" i="2"/>
  <c r="Y826" i="2"/>
  <c r="X826" i="2"/>
  <c r="W826" i="2"/>
  <c r="V826" i="2"/>
  <c r="AB825" i="2"/>
  <c r="AA825" i="2"/>
  <c r="Z825" i="2"/>
  <c r="Y825" i="2"/>
  <c r="X825" i="2"/>
  <c r="W825" i="2"/>
  <c r="V825" i="2"/>
  <c r="AB824" i="2"/>
  <c r="AA824" i="2"/>
  <c r="Z824" i="2"/>
  <c r="Y824" i="2"/>
  <c r="X824" i="2"/>
  <c r="W824" i="2"/>
  <c r="V824" i="2"/>
  <c r="AB823" i="2"/>
  <c r="AA823" i="2"/>
  <c r="Z823" i="2"/>
  <c r="Y823" i="2"/>
  <c r="X823" i="2"/>
  <c r="W823" i="2"/>
  <c r="V823" i="2"/>
  <c r="AB822" i="2"/>
  <c r="AA822" i="2"/>
  <c r="Z822" i="2"/>
  <c r="Y822" i="2"/>
  <c r="X822" i="2"/>
  <c r="W822" i="2"/>
  <c r="V822" i="2"/>
  <c r="AB821" i="2"/>
  <c r="AA821" i="2"/>
  <c r="Z821" i="2"/>
  <c r="Y821" i="2"/>
  <c r="X821" i="2"/>
  <c r="W821" i="2"/>
  <c r="V821" i="2"/>
  <c r="AB820" i="2"/>
  <c r="AA820" i="2"/>
  <c r="Z820" i="2"/>
  <c r="Y820" i="2"/>
  <c r="X820" i="2"/>
  <c r="W820" i="2"/>
  <c r="V820" i="2"/>
  <c r="AB819" i="2"/>
  <c r="AA819" i="2"/>
  <c r="Z819" i="2"/>
  <c r="Y819" i="2"/>
  <c r="X819" i="2"/>
  <c r="W819" i="2"/>
  <c r="V819" i="2"/>
  <c r="AB818" i="2"/>
  <c r="AA818" i="2"/>
  <c r="Z818" i="2"/>
  <c r="Y818" i="2"/>
  <c r="X818" i="2"/>
  <c r="W818" i="2"/>
  <c r="V818" i="2"/>
  <c r="AB817" i="2"/>
  <c r="AA817" i="2"/>
  <c r="Z817" i="2"/>
  <c r="Y817" i="2"/>
  <c r="X817" i="2"/>
  <c r="W817" i="2"/>
  <c r="V817" i="2"/>
  <c r="AB816" i="2"/>
  <c r="AA816" i="2"/>
  <c r="Z816" i="2"/>
  <c r="Y816" i="2"/>
  <c r="X816" i="2"/>
  <c r="W816" i="2"/>
  <c r="V816" i="2"/>
  <c r="AB815" i="2"/>
  <c r="AA815" i="2"/>
  <c r="Z815" i="2"/>
  <c r="Y815" i="2"/>
  <c r="X815" i="2"/>
  <c r="W815" i="2"/>
  <c r="V815" i="2"/>
  <c r="AB814" i="2"/>
  <c r="AA814" i="2"/>
  <c r="Z814" i="2"/>
  <c r="Y814" i="2"/>
  <c r="X814" i="2"/>
  <c r="W814" i="2"/>
  <c r="V814" i="2"/>
  <c r="AB813" i="2"/>
  <c r="AA813" i="2"/>
  <c r="Z813" i="2"/>
  <c r="Y813" i="2"/>
  <c r="X813" i="2"/>
  <c r="W813" i="2"/>
  <c r="V813" i="2"/>
  <c r="AB812" i="2"/>
  <c r="AA812" i="2"/>
  <c r="Z812" i="2"/>
  <c r="Y812" i="2"/>
  <c r="X812" i="2"/>
  <c r="W812" i="2"/>
  <c r="V812" i="2"/>
  <c r="AB811" i="2"/>
  <c r="AA811" i="2"/>
  <c r="Z811" i="2"/>
  <c r="Y811" i="2"/>
  <c r="X811" i="2"/>
  <c r="W811" i="2"/>
  <c r="V811" i="2"/>
  <c r="AB810" i="2"/>
  <c r="AA810" i="2"/>
  <c r="Z810" i="2"/>
  <c r="Y810" i="2"/>
  <c r="X810" i="2"/>
  <c r="W810" i="2"/>
  <c r="V810" i="2"/>
  <c r="AB809" i="2"/>
  <c r="AA809" i="2"/>
  <c r="Z809" i="2"/>
  <c r="Y809" i="2"/>
  <c r="X809" i="2"/>
  <c r="W809" i="2"/>
  <c r="V809" i="2"/>
  <c r="AB808" i="2"/>
  <c r="AA808" i="2"/>
  <c r="Z808" i="2"/>
  <c r="Y808" i="2"/>
  <c r="X808" i="2"/>
  <c r="W808" i="2"/>
  <c r="V808" i="2"/>
  <c r="AB807" i="2"/>
  <c r="AA807" i="2"/>
  <c r="Z807" i="2"/>
  <c r="Y807" i="2"/>
  <c r="X807" i="2"/>
  <c r="W807" i="2"/>
  <c r="V807" i="2"/>
  <c r="AB806" i="2"/>
  <c r="AA806" i="2"/>
  <c r="Z806" i="2"/>
  <c r="Y806" i="2"/>
  <c r="X806" i="2"/>
  <c r="W806" i="2"/>
  <c r="V806" i="2"/>
  <c r="AB805" i="2"/>
  <c r="AA805" i="2"/>
  <c r="Z805" i="2"/>
  <c r="Y805" i="2"/>
  <c r="X805" i="2"/>
  <c r="W805" i="2"/>
  <c r="V805" i="2"/>
  <c r="AB804" i="2"/>
  <c r="AA804" i="2"/>
  <c r="Z804" i="2"/>
  <c r="Y804" i="2"/>
  <c r="X804" i="2"/>
  <c r="W804" i="2"/>
  <c r="V804" i="2"/>
  <c r="AB803" i="2"/>
  <c r="AA803" i="2"/>
  <c r="Z803" i="2"/>
  <c r="Y803" i="2"/>
  <c r="X803" i="2"/>
  <c r="W803" i="2"/>
  <c r="V803" i="2"/>
  <c r="AB802" i="2"/>
  <c r="AA802" i="2"/>
  <c r="Z802" i="2"/>
  <c r="Y802" i="2"/>
  <c r="X802" i="2"/>
  <c r="W802" i="2"/>
  <c r="V802" i="2"/>
  <c r="AB801" i="2"/>
  <c r="AA801" i="2"/>
  <c r="Z801" i="2"/>
  <c r="Y801" i="2"/>
  <c r="X801" i="2"/>
  <c r="W801" i="2"/>
  <c r="V801" i="2"/>
  <c r="AB800" i="2"/>
  <c r="AA800" i="2"/>
  <c r="Z800" i="2"/>
  <c r="Y800" i="2"/>
  <c r="X800" i="2"/>
  <c r="W800" i="2"/>
  <c r="V800" i="2"/>
  <c r="AB799" i="2"/>
  <c r="AA799" i="2"/>
  <c r="Z799" i="2"/>
  <c r="Y799" i="2"/>
  <c r="X799" i="2"/>
  <c r="W799" i="2"/>
  <c r="V799" i="2"/>
  <c r="AB798" i="2"/>
  <c r="AA798" i="2"/>
  <c r="Z798" i="2"/>
  <c r="Y798" i="2"/>
  <c r="X798" i="2"/>
  <c r="W798" i="2"/>
  <c r="V798" i="2"/>
  <c r="AB797" i="2"/>
  <c r="AA797" i="2"/>
  <c r="Z797" i="2"/>
  <c r="Y797" i="2"/>
  <c r="X797" i="2"/>
  <c r="W797" i="2"/>
  <c r="V797" i="2"/>
  <c r="AB796" i="2"/>
  <c r="AA796" i="2"/>
  <c r="Z796" i="2"/>
  <c r="Y796" i="2"/>
  <c r="X796" i="2"/>
  <c r="W796" i="2"/>
  <c r="V796" i="2"/>
  <c r="AB795" i="2"/>
  <c r="AA795" i="2"/>
  <c r="Z795" i="2"/>
  <c r="Y795" i="2"/>
  <c r="X795" i="2"/>
  <c r="W795" i="2"/>
  <c r="V795" i="2"/>
  <c r="AB794" i="2"/>
  <c r="AA794" i="2"/>
  <c r="Z794" i="2"/>
  <c r="Y794" i="2"/>
  <c r="X794" i="2"/>
  <c r="W794" i="2"/>
  <c r="V794" i="2"/>
  <c r="AB793" i="2"/>
  <c r="AA793" i="2"/>
  <c r="Z793" i="2"/>
  <c r="Y793" i="2"/>
  <c r="X793" i="2"/>
  <c r="W793" i="2"/>
  <c r="V793" i="2"/>
  <c r="AB792" i="2"/>
  <c r="AA792" i="2"/>
  <c r="Z792" i="2"/>
  <c r="Y792" i="2"/>
  <c r="X792" i="2"/>
  <c r="W792" i="2"/>
  <c r="V792" i="2"/>
  <c r="AB791" i="2"/>
  <c r="AA791" i="2"/>
  <c r="Z791" i="2"/>
  <c r="Y791" i="2"/>
  <c r="X791" i="2"/>
  <c r="W791" i="2"/>
  <c r="V791" i="2"/>
  <c r="AB790" i="2"/>
  <c r="AA790" i="2"/>
  <c r="Z790" i="2"/>
  <c r="Y790" i="2"/>
  <c r="X790" i="2"/>
  <c r="W790" i="2"/>
  <c r="V790" i="2"/>
  <c r="AB789" i="2"/>
  <c r="AA789" i="2"/>
  <c r="Z789" i="2"/>
  <c r="Y789" i="2"/>
  <c r="X789" i="2"/>
  <c r="W789" i="2"/>
  <c r="V789" i="2"/>
  <c r="AB788" i="2"/>
  <c r="AA788" i="2"/>
  <c r="Z788" i="2"/>
  <c r="Y788" i="2"/>
  <c r="X788" i="2"/>
  <c r="W788" i="2"/>
  <c r="V788" i="2"/>
  <c r="AB787" i="2"/>
  <c r="AA787" i="2"/>
  <c r="Z787" i="2"/>
  <c r="Y787" i="2"/>
  <c r="X787" i="2"/>
  <c r="W787" i="2"/>
  <c r="V787" i="2"/>
  <c r="AB786" i="2"/>
  <c r="AA786" i="2"/>
  <c r="Z786" i="2"/>
  <c r="Y786" i="2"/>
  <c r="X786" i="2"/>
  <c r="W786" i="2"/>
  <c r="V786" i="2"/>
  <c r="AB785" i="2"/>
  <c r="AA785" i="2"/>
  <c r="Z785" i="2"/>
  <c r="Y785" i="2"/>
  <c r="X785" i="2"/>
  <c r="W785" i="2"/>
  <c r="V785" i="2"/>
  <c r="AB784" i="2"/>
  <c r="AA784" i="2"/>
  <c r="Z784" i="2"/>
  <c r="Y784" i="2"/>
  <c r="X784" i="2"/>
  <c r="W784" i="2"/>
  <c r="V784" i="2"/>
  <c r="AB783" i="2"/>
  <c r="AA783" i="2"/>
  <c r="Z783" i="2"/>
  <c r="Y783" i="2"/>
  <c r="X783" i="2"/>
  <c r="W783" i="2"/>
  <c r="V783" i="2"/>
  <c r="AB782" i="2"/>
  <c r="AA782" i="2"/>
  <c r="Z782" i="2"/>
  <c r="Y782" i="2"/>
  <c r="X782" i="2"/>
  <c r="W782" i="2"/>
  <c r="V782" i="2"/>
  <c r="AB781" i="2"/>
  <c r="AA781" i="2"/>
  <c r="Z781" i="2"/>
  <c r="Y781" i="2"/>
  <c r="X781" i="2"/>
  <c r="W781" i="2"/>
  <c r="V781" i="2"/>
  <c r="AB780" i="2"/>
  <c r="AA780" i="2"/>
  <c r="Z780" i="2"/>
  <c r="Y780" i="2"/>
  <c r="X780" i="2"/>
  <c r="W780" i="2"/>
  <c r="V780" i="2"/>
  <c r="AB779" i="2"/>
  <c r="AA779" i="2"/>
  <c r="Z779" i="2"/>
  <c r="Y779" i="2"/>
  <c r="X779" i="2"/>
  <c r="W779" i="2"/>
  <c r="V779" i="2"/>
  <c r="AB778" i="2"/>
  <c r="AA778" i="2"/>
  <c r="Z778" i="2"/>
  <c r="Y778" i="2"/>
  <c r="X778" i="2"/>
  <c r="W778" i="2"/>
  <c r="V778" i="2"/>
  <c r="AB777" i="2"/>
  <c r="AA777" i="2"/>
  <c r="Z777" i="2"/>
  <c r="Y777" i="2"/>
  <c r="X777" i="2"/>
  <c r="W777" i="2"/>
  <c r="V777" i="2"/>
  <c r="AB776" i="2"/>
  <c r="AA776" i="2"/>
  <c r="Z776" i="2"/>
  <c r="Y776" i="2"/>
  <c r="X776" i="2"/>
  <c r="W776" i="2"/>
  <c r="V776" i="2"/>
  <c r="AB775" i="2"/>
  <c r="AA775" i="2"/>
  <c r="Z775" i="2"/>
  <c r="Y775" i="2"/>
  <c r="X775" i="2"/>
  <c r="W775" i="2"/>
  <c r="V775" i="2"/>
  <c r="AB774" i="2"/>
  <c r="AA774" i="2"/>
  <c r="Z774" i="2"/>
  <c r="Y774" i="2"/>
  <c r="X774" i="2"/>
  <c r="W774" i="2"/>
  <c r="V774" i="2"/>
  <c r="AB773" i="2"/>
  <c r="AA773" i="2"/>
  <c r="Z773" i="2"/>
  <c r="Y773" i="2"/>
  <c r="X773" i="2"/>
  <c r="W773" i="2"/>
  <c r="V773" i="2"/>
  <c r="AB772" i="2"/>
  <c r="AA772" i="2"/>
  <c r="Z772" i="2"/>
  <c r="Y772" i="2"/>
  <c r="X772" i="2"/>
  <c r="W772" i="2"/>
  <c r="V772" i="2"/>
  <c r="AB771" i="2"/>
  <c r="AA771" i="2"/>
  <c r="Z771" i="2"/>
  <c r="Y771" i="2"/>
  <c r="X771" i="2"/>
  <c r="W771" i="2"/>
  <c r="V771" i="2"/>
  <c r="AB770" i="2"/>
  <c r="AA770" i="2"/>
  <c r="Z770" i="2"/>
  <c r="Y770" i="2"/>
  <c r="X770" i="2"/>
  <c r="W770" i="2"/>
  <c r="V770" i="2"/>
  <c r="AB769" i="2"/>
  <c r="AA769" i="2"/>
  <c r="Z769" i="2"/>
  <c r="Y769" i="2"/>
  <c r="X769" i="2"/>
  <c r="W769" i="2"/>
  <c r="V769" i="2"/>
  <c r="AB768" i="2"/>
  <c r="AA768" i="2"/>
  <c r="Z768" i="2"/>
  <c r="Y768" i="2"/>
  <c r="X768" i="2"/>
  <c r="W768" i="2"/>
  <c r="V768" i="2"/>
  <c r="AB767" i="2"/>
  <c r="AA767" i="2"/>
  <c r="Z767" i="2"/>
  <c r="Y767" i="2"/>
  <c r="X767" i="2"/>
  <c r="W767" i="2"/>
  <c r="V767" i="2"/>
  <c r="AB766" i="2"/>
  <c r="AA766" i="2"/>
  <c r="Z766" i="2"/>
  <c r="Y766" i="2"/>
  <c r="X766" i="2"/>
  <c r="W766" i="2"/>
  <c r="V766" i="2"/>
  <c r="AB765" i="2"/>
  <c r="AA765" i="2"/>
  <c r="Z765" i="2"/>
  <c r="Y765" i="2"/>
  <c r="X765" i="2"/>
  <c r="W765" i="2"/>
  <c r="V765" i="2"/>
  <c r="AB764" i="2"/>
  <c r="AA764" i="2"/>
  <c r="Z764" i="2"/>
  <c r="Y764" i="2"/>
  <c r="X764" i="2"/>
  <c r="W764" i="2"/>
  <c r="V764" i="2"/>
  <c r="AB763" i="2"/>
  <c r="AA763" i="2"/>
  <c r="Z763" i="2"/>
  <c r="Y763" i="2"/>
  <c r="X763" i="2"/>
  <c r="W763" i="2"/>
  <c r="V763" i="2"/>
  <c r="AB762" i="2"/>
  <c r="AA762" i="2"/>
  <c r="Z762" i="2"/>
  <c r="Y762" i="2"/>
  <c r="X762" i="2"/>
  <c r="W762" i="2"/>
  <c r="V762" i="2"/>
  <c r="AB761" i="2"/>
  <c r="AA761" i="2"/>
  <c r="Z761" i="2"/>
  <c r="Y761" i="2"/>
  <c r="X761" i="2"/>
  <c r="W761" i="2"/>
  <c r="V761" i="2"/>
  <c r="AB760" i="2"/>
  <c r="AA760" i="2"/>
  <c r="Z760" i="2"/>
  <c r="Y760" i="2"/>
  <c r="X760" i="2"/>
  <c r="W760" i="2"/>
  <c r="V760" i="2"/>
  <c r="AB759" i="2"/>
  <c r="AA759" i="2"/>
  <c r="Z759" i="2"/>
  <c r="Y759" i="2"/>
  <c r="X759" i="2"/>
  <c r="W759" i="2"/>
  <c r="V759" i="2"/>
  <c r="AB758" i="2"/>
  <c r="AA758" i="2"/>
  <c r="Z758" i="2"/>
  <c r="Y758" i="2"/>
  <c r="X758" i="2"/>
  <c r="W758" i="2"/>
  <c r="V758" i="2"/>
  <c r="AB757" i="2"/>
  <c r="AA757" i="2"/>
  <c r="Z757" i="2"/>
  <c r="Y757" i="2"/>
  <c r="X757" i="2"/>
  <c r="W757" i="2"/>
  <c r="V757" i="2"/>
  <c r="AB756" i="2"/>
  <c r="AA756" i="2"/>
  <c r="Z756" i="2"/>
  <c r="Y756" i="2"/>
  <c r="X756" i="2"/>
  <c r="W756" i="2"/>
  <c r="V756" i="2"/>
  <c r="AB755" i="2"/>
  <c r="AA755" i="2"/>
  <c r="Z755" i="2"/>
  <c r="Y755" i="2"/>
  <c r="X755" i="2"/>
  <c r="W755" i="2"/>
  <c r="V755" i="2"/>
  <c r="AB754" i="2"/>
  <c r="AA754" i="2"/>
  <c r="Z754" i="2"/>
  <c r="Y754" i="2"/>
  <c r="X754" i="2"/>
  <c r="W754" i="2"/>
  <c r="V754" i="2"/>
  <c r="AB753" i="2"/>
  <c r="AA753" i="2"/>
  <c r="Z753" i="2"/>
  <c r="Y753" i="2"/>
  <c r="X753" i="2"/>
  <c r="W753" i="2"/>
  <c r="V753" i="2"/>
  <c r="AB752" i="2"/>
  <c r="AA752" i="2"/>
  <c r="Z752" i="2"/>
  <c r="Y752" i="2"/>
  <c r="X752" i="2"/>
  <c r="W752" i="2"/>
  <c r="V752" i="2"/>
  <c r="AB751" i="2"/>
  <c r="AA751" i="2"/>
  <c r="Z751" i="2"/>
  <c r="Y751" i="2"/>
  <c r="X751" i="2"/>
  <c r="W751" i="2"/>
  <c r="V751" i="2"/>
  <c r="AB750" i="2"/>
  <c r="AA750" i="2"/>
  <c r="Z750" i="2"/>
  <c r="Y750" i="2"/>
  <c r="X750" i="2"/>
  <c r="W750" i="2"/>
  <c r="V750" i="2"/>
  <c r="AB749" i="2"/>
  <c r="AA749" i="2"/>
  <c r="Z749" i="2"/>
  <c r="Y749" i="2"/>
  <c r="X749" i="2"/>
  <c r="W749" i="2"/>
  <c r="V749" i="2"/>
  <c r="AB748" i="2"/>
  <c r="AA748" i="2"/>
  <c r="Z748" i="2"/>
  <c r="Y748" i="2"/>
  <c r="X748" i="2"/>
  <c r="W748" i="2"/>
  <c r="V748" i="2"/>
  <c r="AB747" i="2"/>
  <c r="AA747" i="2"/>
  <c r="Z747" i="2"/>
  <c r="Y747" i="2"/>
  <c r="X747" i="2"/>
  <c r="W747" i="2"/>
  <c r="V747" i="2"/>
  <c r="AB746" i="2"/>
  <c r="AA746" i="2"/>
  <c r="Z746" i="2"/>
  <c r="Y746" i="2"/>
  <c r="X746" i="2"/>
  <c r="W746" i="2"/>
  <c r="V746" i="2"/>
  <c r="AB745" i="2"/>
  <c r="AA745" i="2"/>
  <c r="Z745" i="2"/>
  <c r="Y745" i="2"/>
  <c r="X745" i="2"/>
  <c r="W745" i="2"/>
  <c r="V745" i="2"/>
  <c r="AB744" i="2"/>
  <c r="AA744" i="2"/>
  <c r="Z744" i="2"/>
  <c r="Y744" i="2"/>
  <c r="X744" i="2"/>
  <c r="W744" i="2"/>
  <c r="V744" i="2"/>
  <c r="AB743" i="2"/>
  <c r="AA743" i="2"/>
  <c r="Z743" i="2"/>
  <c r="Y743" i="2"/>
  <c r="X743" i="2"/>
  <c r="W743" i="2"/>
  <c r="V743" i="2"/>
  <c r="AB742" i="2"/>
  <c r="AA742" i="2"/>
  <c r="Z742" i="2"/>
  <c r="Y742" i="2"/>
  <c r="X742" i="2"/>
  <c r="W742" i="2"/>
  <c r="V742" i="2"/>
  <c r="AB741" i="2"/>
  <c r="AA741" i="2"/>
  <c r="Z741" i="2"/>
  <c r="Y741" i="2"/>
  <c r="X741" i="2"/>
  <c r="W741" i="2"/>
  <c r="V741" i="2"/>
  <c r="AB740" i="2"/>
  <c r="AA740" i="2"/>
  <c r="Z740" i="2"/>
  <c r="Y740" i="2"/>
  <c r="X740" i="2"/>
  <c r="W740" i="2"/>
  <c r="V740" i="2"/>
  <c r="AB739" i="2"/>
  <c r="AA739" i="2"/>
  <c r="Z739" i="2"/>
  <c r="Y739" i="2"/>
  <c r="X739" i="2"/>
  <c r="W739" i="2"/>
  <c r="V739" i="2"/>
  <c r="AB738" i="2"/>
  <c r="AA738" i="2"/>
  <c r="Z738" i="2"/>
  <c r="Y738" i="2"/>
  <c r="X738" i="2"/>
  <c r="W738" i="2"/>
  <c r="V738" i="2"/>
  <c r="AB737" i="2"/>
  <c r="AA737" i="2"/>
  <c r="Z737" i="2"/>
  <c r="Y737" i="2"/>
  <c r="X737" i="2"/>
  <c r="W737" i="2"/>
  <c r="V737" i="2"/>
  <c r="AB736" i="2"/>
  <c r="AA736" i="2"/>
  <c r="Z736" i="2"/>
  <c r="Y736" i="2"/>
  <c r="X736" i="2"/>
  <c r="W736" i="2"/>
  <c r="V736" i="2"/>
  <c r="AB735" i="2"/>
  <c r="AA735" i="2"/>
  <c r="Z735" i="2"/>
  <c r="Y735" i="2"/>
  <c r="X735" i="2"/>
  <c r="W735" i="2"/>
  <c r="V735" i="2"/>
  <c r="AB734" i="2"/>
  <c r="AA734" i="2"/>
  <c r="Z734" i="2"/>
  <c r="Y734" i="2"/>
  <c r="X734" i="2"/>
  <c r="W734" i="2"/>
  <c r="V734" i="2"/>
  <c r="AB733" i="2"/>
  <c r="AA733" i="2"/>
  <c r="Z733" i="2"/>
  <c r="Y733" i="2"/>
  <c r="X733" i="2"/>
  <c r="W733" i="2"/>
  <c r="V733" i="2"/>
  <c r="AB732" i="2"/>
  <c r="AA732" i="2"/>
  <c r="Z732" i="2"/>
  <c r="Y732" i="2"/>
  <c r="X732" i="2"/>
  <c r="W732" i="2"/>
  <c r="V732" i="2"/>
  <c r="AB731" i="2"/>
  <c r="AA731" i="2"/>
  <c r="Z731" i="2"/>
  <c r="Y731" i="2"/>
  <c r="X731" i="2"/>
  <c r="W731" i="2"/>
  <c r="V731" i="2"/>
  <c r="AB730" i="2"/>
  <c r="AA730" i="2"/>
  <c r="Z730" i="2"/>
  <c r="Y730" i="2"/>
  <c r="X730" i="2"/>
  <c r="W730" i="2"/>
  <c r="V730" i="2"/>
  <c r="AB729" i="2"/>
  <c r="AA729" i="2"/>
  <c r="Z729" i="2"/>
  <c r="Y729" i="2"/>
  <c r="X729" i="2"/>
  <c r="W729" i="2"/>
  <c r="V729" i="2"/>
  <c r="AB728" i="2"/>
  <c r="AA728" i="2"/>
  <c r="Z728" i="2"/>
  <c r="Y728" i="2"/>
  <c r="X728" i="2"/>
  <c r="W728" i="2"/>
  <c r="V728" i="2"/>
  <c r="AB727" i="2"/>
  <c r="AA727" i="2"/>
  <c r="Z727" i="2"/>
  <c r="Y727" i="2"/>
  <c r="X727" i="2"/>
  <c r="W727" i="2"/>
  <c r="V727" i="2"/>
  <c r="AB726" i="2"/>
  <c r="AA726" i="2"/>
  <c r="Z726" i="2"/>
  <c r="Y726" i="2"/>
  <c r="X726" i="2"/>
  <c r="W726" i="2"/>
  <c r="V726" i="2"/>
  <c r="AB725" i="2"/>
  <c r="AA725" i="2"/>
  <c r="Z725" i="2"/>
  <c r="Y725" i="2"/>
  <c r="X725" i="2"/>
  <c r="W725" i="2"/>
  <c r="V725" i="2"/>
  <c r="AB724" i="2"/>
  <c r="AA724" i="2"/>
  <c r="Z724" i="2"/>
  <c r="Y724" i="2"/>
  <c r="X724" i="2"/>
  <c r="W724" i="2"/>
  <c r="V724" i="2"/>
  <c r="AB723" i="2"/>
  <c r="AA723" i="2"/>
  <c r="Z723" i="2"/>
  <c r="Y723" i="2"/>
  <c r="X723" i="2"/>
  <c r="W723" i="2"/>
  <c r="V723" i="2"/>
  <c r="AB722" i="2"/>
  <c r="AA722" i="2"/>
  <c r="Z722" i="2"/>
  <c r="Y722" i="2"/>
  <c r="X722" i="2"/>
  <c r="W722" i="2"/>
  <c r="V722" i="2"/>
  <c r="AB721" i="2"/>
  <c r="AA721" i="2"/>
  <c r="Z721" i="2"/>
  <c r="Y721" i="2"/>
  <c r="X721" i="2"/>
  <c r="W721" i="2"/>
  <c r="V721" i="2"/>
  <c r="AB720" i="2"/>
  <c r="AA720" i="2"/>
  <c r="Z720" i="2"/>
  <c r="Y720" i="2"/>
  <c r="X720" i="2"/>
  <c r="W720" i="2"/>
  <c r="V720" i="2"/>
  <c r="AB719" i="2"/>
  <c r="AA719" i="2"/>
  <c r="Z719" i="2"/>
  <c r="Y719" i="2"/>
  <c r="X719" i="2"/>
  <c r="W719" i="2"/>
  <c r="V719" i="2"/>
  <c r="AB718" i="2"/>
  <c r="AA718" i="2"/>
  <c r="Z718" i="2"/>
  <c r="Y718" i="2"/>
  <c r="X718" i="2"/>
  <c r="W718" i="2"/>
  <c r="V718" i="2"/>
  <c r="AB717" i="2"/>
  <c r="AA717" i="2"/>
  <c r="Z717" i="2"/>
  <c r="Y717" i="2"/>
  <c r="X717" i="2"/>
  <c r="W717" i="2"/>
  <c r="V717" i="2"/>
  <c r="AB716" i="2"/>
  <c r="AA716" i="2"/>
  <c r="Z716" i="2"/>
  <c r="Y716" i="2"/>
  <c r="X716" i="2"/>
  <c r="W716" i="2"/>
  <c r="V716" i="2"/>
  <c r="AB715" i="2"/>
  <c r="AA715" i="2"/>
  <c r="Z715" i="2"/>
  <c r="Y715" i="2"/>
  <c r="X715" i="2"/>
  <c r="W715" i="2"/>
  <c r="V715" i="2"/>
  <c r="AB714" i="2"/>
  <c r="AA714" i="2"/>
  <c r="Z714" i="2"/>
  <c r="Y714" i="2"/>
  <c r="X714" i="2"/>
  <c r="W714" i="2"/>
  <c r="V714" i="2"/>
  <c r="AB713" i="2"/>
  <c r="AA713" i="2"/>
  <c r="Z713" i="2"/>
  <c r="Y713" i="2"/>
  <c r="X713" i="2"/>
  <c r="W713" i="2"/>
  <c r="V713" i="2"/>
  <c r="AB712" i="2"/>
  <c r="AA712" i="2"/>
  <c r="Z712" i="2"/>
  <c r="Y712" i="2"/>
  <c r="X712" i="2"/>
  <c r="W712" i="2"/>
  <c r="V712" i="2"/>
  <c r="AB711" i="2"/>
  <c r="AA711" i="2"/>
  <c r="Z711" i="2"/>
  <c r="Y711" i="2"/>
  <c r="X711" i="2"/>
  <c r="W711" i="2"/>
  <c r="V711" i="2"/>
  <c r="AB710" i="2"/>
  <c r="AA710" i="2"/>
  <c r="Z710" i="2"/>
  <c r="Y710" i="2"/>
  <c r="X710" i="2"/>
  <c r="W710" i="2"/>
  <c r="V710" i="2"/>
  <c r="AB709" i="2"/>
  <c r="AA709" i="2"/>
  <c r="Z709" i="2"/>
  <c r="Y709" i="2"/>
  <c r="X709" i="2"/>
  <c r="W709" i="2"/>
  <c r="V709" i="2"/>
  <c r="AB708" i="2"/>
  <c r="AA708" i="2"/>
  <c r="Z708" i="2"/>
  <c r="Y708" i="2"/>
  <c r="X708" i="2"/>
  <c r="W708" i="2"/>
  <c r="V708" i="2"/>
  <c r="AB707" i="2"/>
  <c r="AA707" i="2"/>
  <c r="Z707" i="2"/>
  <c r="Y707" i="2"/>
  <c r="X707" i="2"/>
  <c r="W707" i="2"/>
  <c r="V707" i="2"/>
  <c r="AB706" i="2"/>
  <c r="AA706" i="2"/>
  <c r="Z706" i="2"/>
  <c r="Y706" i="2"/>
  <c r="X706" i="2"/>
  <c r="W706" i="2"/>
  <c r="V706" i="2"/>
  <c r="AB705" i="2"/>
  <c r="AA705" i="2"/>
  <c r="Z705" i="2"/>
  <c r="Y705" i="2"/>
  <c r="X705" i="2"/>
  <c r="W705" i="2"/>
  <c r="V705" i="2"/>
  <c r="AB704" i="2"/>
  <c r="AA704" i="2"/>
  <c r="Z704" i="2"/>
  <c r="Y704" i="2"/>
  <c r="X704" i="2"/>
  <c r="W704" i="2"/>
  <c r="V704" i="2"/>
  <c r="AB703" i="2"/>
  <c r="AA703" i="2"/>
  <c r="Z703" i="2"/>
  <c r="Y703" i="2"/>
  <c r="X703" i="2"/>
  <c r="W703" i="2"/>
  <c r="V703" i="2"/>
  <c r="AB702" i="2"/>
  <c r="AA702" i="2"/>
  <c r="Z702" i="2"/>
  <c r="Y702" i="2"/>
  <c r="X702" i="2"/>
  <c r="W702" i="2"/>
  <c r="V702" i="2"/>
  <c r="AB701" i="2"/>
  <c r="AA701" i="2"/>
  <c r="Z701" i="2"/>
  <c r="Y701" i="2"/>
  <c r="X701" i="2"/>
  <c r="W701" i="2"/>
  <c r="V701" i="2"/>
  <c r="AB700" i="2"/>
  <c r="AA700" i="2"/>
  <c r="Z700" i="2"/>
  <c r="Y700" i="2"/>
  <c r="X700" i="2"/>
  <c r="W700" i="2"/>
  <c r="V700" i="2"/>
  <c r="AB699" i="2"/>
  <c r="AA699" i="2"/>
  <c r="Z699" i="2"/>
  <c r="Y699" i="2"/>
  <c r="X699" i="2"/>
  <c r="W699" i="2"/>
  <c r="V699" i="2"/>
  <c r="AB698" i="2"/>
  <c r="AA698" i="2"/>
  <c r="Z698" i="2"/>
  <c r="Y698" i="2"/>
  <c r="X698" i="2"/>
  <c r="W698" i="2"/>
  <c r="V698" i="2"/>
  <c r="AB697" i="2"/>
  <c r="AA697" i="2"/>
  <c r="Z697" i="2"/>
  <c r="Y697" i="2"/>
  <c r="X697" i="2"/>
  <c r="W697" i="2"/>
  <c r="V697" i="2"/>
  <c r="AB696" i="2"/>
  <c r="AA696" i="2"/>
  <c r="Z696" i="2"/>
  <c r="Y696" i="2"/>
  <c r="X696" i="2"/>
  <c r="W696" i="2"/>
  <c r="V696" i="2"/>
  <c r="AB695" i="2"/>
  <c r="AA695" i="2"/>
  <c r="Z695" i="2"/>
  <c r="Y695" i="2"/>
  <c r="X695" i="2"/>
  <c r="W695" i="2"/>
  <c r="V695" i="2"/>
  <c r="AB694" i="2"/>
  <c r="AA694" i="2"/>
  <c r="Z694" i="2"/>
  <c r="Y694" i="2"/>
  <c r="X694" i="2"/>
  <c r="W694" i="2"/>
  <c r="V694" i="2"/>
  <c r="AB693" i="2"/>
  <c r="AA693" i="2"/>
  <c r="Z693" i="2"/>
  <c r="Y693" i="2"/>
  <c r="X693" i="2"/>
  <c r="W693" i="2"/>
  <c r="V693" i="2"/>
  <c r="AB692" i="2"/>
  <c r="AA692" i="2"/>
  <c r="Z692" i="2"/>
  <c r="Y692" i="2"/>
  <c r="X692" i="2"/>
  <c r="W692" i="2"/>
  <c r="V692" i="2"/>
  <c r="AB691" i="2"/>
  <c r="AA691" i="2"/>
  <c r="Z691" i="2"/>
  <c r="Y691" i="2"/>
  <c r="X691" i="2"/>
  <c r="W691" i="2"/>
  <c r="V691" i="2"/>
  <c r="AB690" i="2"/>
  <c r="AA690" i="2"/>
  <c r="Z690" i="2"/>
  <c r="Y690" i="2"/>
  <c r="X690" i="2"/>
  <c r="W690" i="2"/>
  <c r="V690" i="2"/>
  <c r="AB689" i="2"/>
  <c r="AA689" i="2"/>
  <c r="Z689" i="2"/>
  <c r="Y689" i="2"/>
  <c r="X689" i="2"/>
  <c r="W689" i="2"/>
  <c r="V689" i="2"/>
  <c r="AB688" i="2"/>
  <c r="AA688" i="2"/>
  <c r="Z688" i="2"/>
  <c r="Y688" i="2"/>
  <c r="X688" i="2"/>
  <c r="W688" i="2"/>
  <c r="V688" i="2"/>
  <c r="AB687" i="2"/>
  <c r="AA687" i="2"/>
  <c r="Z687" i="2"/>
  <c r="Y687" i="2"/>
  <c r="X687" i="2"/>
  <c r="W687" i="2"/>
  <c r="V687" i="2"/>
  <c r="AB686" i="2"/>
  <c r="AA686" i="2"/>
  <c r="Z686" i="2"/>
  <c r="Y686" i="2"/>
  <c r="X686" i="2"/>
  <c r="W686" i="2"/>
  <c r="V686" i="2"/>
  <c r="AB685" i="2"/>
  <c r="AA685" i="2"/>
  <c r="Z685" i="2"/>
  <c r="Y685" i="2"/>
  <c r="X685" i="2"/>
  <c r="W685" i="2"/>
  <c r="V685" i="2"/>
  <c r="AB684" i="2"/>
  <c r="AA684" i="2"/>
  <c r="Z684" i="2"/>
  <c r="Y684" i="2"/>
  <c r="X684" i="2"/>
  <c r="W684" i="2"/>
  <c r="V684" i="2"/>
  <c r="AB683" i="2"/>
  <c r="AA683" i="2"/>
  <c r="Z683" i="2"/>
  <c r="Y683" i="2"/>
  <c r="X683" i="2"/>
  <c r="W683" i="2"/>
  <c r="V683" i="2"/>
  <c r="AB682" i="2"/>
  <c r="AA682" i="2"/>
  <c r="Z682" i="2"/>
  <c r="Y682" i="2"/>
  <c r="X682" i="2"/>
  <c r="W682" i="2"/>
  <c r="V682" i="2"/>
  <c r="AB681" i="2"/>
  <c r="AA681" i="2"/>
  <c r="Z681" i="2"/>
  <c r="Y681" i="2"/>
  <c r="X681" i="2"/>
  <c r="W681" i="2"/>
  <c r="V681" i="2"/>
  <c r="AB680" i="2"/>
  <c r="AA680" i="2"/>
  <c r="Z680" i="2"/>
  <c r="Y680" i="2"/>
  <c r="X680" i="2"/>
  <c r="W680" i="2"/>
  <c r="V680" i="2"/>
  <c r="AB679" i="2"/>
  <c r="AA679" i="2"/>
  <c r="Z679" i="2"/>
  <c r="Y679" i="2"/>
  <c r="X679" i="2"/>
  <c r="W679" i="2"/>
  <c r="V679" i="2"/>
  <c r="AB678" i="2"/>
  <c r="AA678" i="2"/>
  <c r="Z678" i="2"/>
  <c r="Y678" i="2"/>
  <c r="X678" i="2"/>
  <c r="W678" i="2"/>
  <c r="V678" i="2"/>
  <c r="AB677" i="2"/>
  <c r="AA677" i="2"/>
  <c r="Z677" i="2"/>
  <c r="Y677" i="2"/>
  <c r="X677" i="2"/>
  <c r="W677" i="2"/>
  <c r="V677" i="2"/>
  <c r="AB676" i="2"/>
  <c r="AA676" i="2"/>
  <c r="Z676" i="2"/>
  <c r="Y676" i="2"/>
  <c r="X676" i="2"/>
  <c r="W676" i="2"/>
  <c r="V676" i="2"/>
  <c r="AB675" i="2"/>
  <c r="AA675" i="2"/>
  <c r="Z675" i="2"/>
  <c r="Y675" i="2"/>
  <c r="X675" i="2"/>
  <c r="W675" i="2"/>
  <c r="V675" i="2"/>
  <c r="AB674" i="2"/>
  <c r="AA674" i="2"/>
  <c r="Z674" i="2"/>
  <c r="Y674" i="2"/>
  <c r="X674" i="2"/>
  <c r="W674" i="2"/>
  <c r="V674" i="2"/>
  <c r="AB673" i="2"/>
  <c r="AA673" i="2"/>
  <c r="Z673" i="2"/>
  <c r="Y673" i="2"/>
  <c r="X673" i="2"/>
  <c r="W673" i="2"/>
  <c r="V673" i="2"/>
  <c r="AB672" i="2"/>
  <c r="AA672" i="2"/>
  <c r="Z672" i="2"/>
  <c r="Y672" i="2"/>
  <c r="X672" i="2"/>
  <c r="W672" i="2"/>
  <c r="V672" i="2"/>
  <c r="AB671" i="2"/>
  <c r="AA671" i="2"/>
  <c r="Z671" i="2"/>
  <c r="Y671" i="2"/>
  <c r="X671" i="2"/>
  <c r="W671" i="2"/>
  <c r="V671" i="2"/>
  <c r="AB670" i="2"/>
  <c r="AA670" i="2"/>
  <c r="Z670" i="2"/>
  <c r="Y670" i="2"/>
  <c r="X670" i="2"/>
  <c r="W670" i="2"/>
  <c r="V670" i="2"/>
  <c r="AB669" i="2"/>
  <c r="AA669" i="2"/>
  <c r="Z669" i="2"/>
  <c r="Y669" i="2"/>
  <c r="X669" i="2"/>
  <c r="W669" i="2"/>
  <c r="V669" i="2"/>
  <c r="AB668" i="2"/>
  <c r="AA668" i="2"/>
  <c r="Z668" i="2"/>
  <c r="Y668" i="2"/>
  <c r="X668" i="2"/>
  <c r="W668" i="2"/>
  <c r="V668" i="2"/>
  <c r="AB667" i="2"/>
  <c r="AA667" i="2"/>
  <c r="Z667" i="2"/>
  <c r="Y667" i="2"/>
  <c r="X667" i="2"/>
  <c r="W667" i="2"/>
  <c r="V667" i="2"/>
  <c r="AB666" i="2"/>
  <c r="AA666" i="2"/>
  <c r="Z666" i="2"/>
  <c r="Y666" i="2"/>
  <c r="X666" i="2"/>
  <c r="W666" i="2"/>
  <c r="V666" i="2"/>
  <c r="AB665" i="2"/>
  <c r="AA665" i="2"/>
  <c r="Z665" i="2"/>
  <c r="Y665" i="2"/>
  <c r="X665" i="2"/>
  <c r="W665" i="2"/>
  <c r="V665" i="2"/>
  <c r="AB664" i="2"/>
  <c r="AA664" i="2"/>
  <c r="Z664" i="2"/>
  <c r="Y664" i="2"/>
  <c r="X664" i="2"/>
  <c r="W664" i="2"/>
  <c r="V664" i="2"/>
  <c r="AB663" i="2"/>
  <c r="AA663" i="2"/>
  <c r="Z663" i="2"/>
  <c r="Y663" i="2"/>
  <c r="X663" i="2"/>
  <c r="W663" i="2"/>
  <c r="V663" i="2"/>
  <c r="AB662" i="2"/>
  <c r="AA662" i="2"/>
  <c r="Z662" i="2"/>
  <c r="Y662" i="2"/>
  <c r="X662" i="2"/>
  <c r="W662" i="2"/>
  <c r="V662" i="2"/>
  <c r="AB661" i="2"/>
  <c r="AA661" i="2"/>
  <c r="Z661" i="2"/>
  <c r="Y661" i="2"/>
  <c r="X661" i="2"/>
  <c r="W661" i="2"/>
  <c r="V661" i="2"/>
  <c r="AB660" i="2"/>
  <c r="AA660" i="2"/>
  <c r="Z660" i="2"/>
  <c r="Y660" i="2"/>
  <c r="X660" i="2"/>
  <c r="W660" i="2"/>
  <c r="V660" i="2"/>
  <c r="AB659" i="2"/>
  <c r="AA659" i="2"/>
  <c r="Z659" i="2"/>
  <c r="Y659" i="2"/>
  <c r="X659" i="2"/>
  <c r="W659" i="2"/>
  <c r="V659" i="2"/>
  <c r="AB658" i="2"/>
  <c r="AA658" i="2"/>
  <c r="Z658" i="2"/>
  <c r="Y658" i="2"/>
  <c r="X658" i="2"/>
  <c r="W658" i="2"/>
  <c r="V658" i="2"/>
  <c r="AB657" i="2"/>
  <c r="AA657" i="2"/>
  <c r="Z657" i="2"/>
  <c r="Y657" i="2"/>
  <c r="X657" i="2"/>
  <c r="W657" i="2"/>
  <c r="V657" i="2"/>
  <c r="AB656" i="2"/>
  <c r="AA656" i="2"/>
  <c r="Z656" i="2"/>
  <c r="Y656" i="2"/>
  <c r="X656" i="2"/>
  <c r="W656" i="2"/>
  <c r="V656" i="2"/>
  <c r="AB655" i="2"/>
  <c r="AA655" i="2"/>
  <c r="Z655" i="2"/>
  <c r="Y655" i="2"/>
  <c r="X655" i="2"/>
  <c r="W655" i="2"/>
  <c r="V655" i="2"/>
  <c r="AB654" i="2"/>
  <c r="AA654" i="2"/>
  <c r="Z654" i="2"/>
  <c r="Y654" i="2"/>
  <c r="X654" i="2"/>
  <c r="W654" i="2"/>
  <c r="V654" i="2"/>
  <c r="AB653" i="2"/>
  <c r="AA653" i="2"/>
  <c r="Z653" i="2"/>
  <c r="Y653" i="2"/>
  <c r="X653" i="2"/>
  <c r="W653" i="2"/>
  <c r="V653" i="2"/>
  <c r="AB652" i="2"/>
  <c r="AA652" i="2"/>
  <c r="Z652" i="2"/>
  <c r="Y652" i="2"/>
  <c r="X652" i="2"/>
  <c r="W652" i="2"/>
  <c r="V652" i="2"/>
  <c r="AB651" i="2"/>
  <c r="AA651" i="2"/>
  <c r="Z651" i="2"/>
  <c r="Y651" i="2"/>
  <c r="X651" i="2"/>
  <c r="W651" i="2"/>
  <c r="V651" i="2"/>
  <c r="AB650" i="2"/>
  <c r="AA650" i="2"/>
  <c r="Z650" i="2"/>
  <c r="Y650" i="2"/>
  <c r="X650" i="2"/>
  <c r="W650" i="2"/>
  <c r="V650" i="2"/>
  <c r="AB649" i="2"/>
  <c r="AA649" i="2"/>
  <c r="Z649" i="2"/>
  <c r="Y649" i="2"/>
  <c r="X649" i="2"/>
  <c r="W649" i="2"/>
  <c r="V649" i="2"/>
  <c r="AB648" i="2"/>
  <c r="AA648" i="2"/>
  <c r="Z648" i="2"/>
  <c r="Y648" i="2"/>
  <c r="X648" i="2"/>
  <c r="W648" i="2"/>
  <c r="V648" i="2"/>
  <c r="AB647" i="2"/>
  <c r="AA647" i="2"/>
  <c r="Z647" i="2"/>
  <c r="Y647" i="2"/>
  <c r="X647" i="2"/>
  <c r="W647" i="2"/>
  <c r="V647" i="2"/>
  <c r="AB646" i="2"/>
  <c r="AA646" i="2"/>
  <c r="Z646" i="2"/>
  <c r="Y646" i="2"/>
  <c r="X646" i="2"/>
  <c r="W646" i="2"/>
  <c r="V646" i="2"/>
  <c r="AB645" i="2"/>
  <c r="AA645" i="2"/>
  <c r="Z645" i="2"/>
  <c r="Y645" i="2"/>
  <c r="X645" i="2"/>
  <c r="W645" i="2"/>
  <c r="V645" i="2"/>
  <c r="AB644" i="2"/>
  <c r="AA644" i="2"/>
  <c r="Z644" i="2"/>
  <c r="Y644" i="2"/>
  <c r="X644" i="2"/>
  <c r="W644" i="2"/>
  <c r="V644" i="2"/>
  <c r="AB643" i="2"/>
  <c r="AA643" i="2"/>
  <c r="Z643" i="2"/>
  <c r="Y643" i="2"/>
  <c r="X643" i="2"/>
  <c r="W643" i="2"/>
  <c r="V643" i="2"/>
  <c r="AB642" i="2"/>
  <c r="AA642" i="2"/>
  <c r="Z642" i="2"/>
  <c r="Y642" i="2"/>
  <c r="X642" i="2"/>
  <c r="W642" i="2"/>
  <c r="V642" i="2"/>
  <c r="AB641" i="2"/>
  <c r="AA641" i="2"/>
  <c r="Z641" i="2"/>
  <c r="Y641" i="2"/>
  <c r="X641" i="2"/>
  <c r="W641" i="2"/>
  <c r="V641" i="2"/>
  <c r="AB640" i="2"/>
  <c r="AA640" i="2"/>
  <c r="Z640" i="2"/>
  <c r="Y640" i="2"/>
  <c r="X640" i="2"/>
  <c r="W640" i="2"/>
  <c r="V640" i="2"/>
  <c r="AB639" i="2"/>
  <c r="AA639" i="2"/>
  <c r="Z639" i="2"/>
  <c r="Y639" i="2"/>
  <c r="X639" i="2"/>
  <c r="W639" i="2"/>
  <c r="V639" i="2"/>
  <c r="AB638" i="2"/>
  <c r="AA638" i="2"/>
  <c r="Z638" i="2"/>
  <c r="Y638" i="2"/>
  <c r="X638" i="2"/>
  <c r="W638" i="2"/>
  <c r="V638" i="2"/>
  <c r="AB637" i="2"/>
  <c r="AA637" i="2"/>
  <c r="Z637" i="2"/>
  <c r="Y637" i="2"/>
  <c r="X637" i="2"/>
  <c r="W637" i="2"/>
  <c r="V637" i="2"/>
  <c r="AB636" i="2"/>
  <c r="AA636" i="2"/>
  <c r="Z636" i="2"/>
  <c r="Y636" i="2"/>
  <c r="X636" i="2"/>
  <c r="W636" i="2"/>
  <c r="V636" i="2"/>
  <c r="AB635" i="2"/>
  <c r="AA635" i="2"/>
  <c r="Z635" i="2"/>
  <c r="Y635" i="2"/>
  <c r="X635" i="2"/>
  <c r="W635" i="2"/>
  <c r="V635" i="2"/>
  <c r="AB634" i="2"/>
  <c r="AA634" i="2"/>
  <c r="Z634" i="2"/>
  <c r="Y634" i="2"/>
  <c r="X634" i="2"/>
  <c r="W634" i="2"/>
  <c r="V634" i="2"/>
  <c r="AB633" i="2"/>
  <c r="AA633" i="2"/>
  <c r="Z633" i="2"/>
  <c r="Y633" i="2"/>
  <c r="X633" i="2"/>
  <c r="W633" i="2"/>
  <c r="V633" i="2"/>
  <c r="AB632" i="2"/>
  <c r="AA632" i="2"/>
  <c r="Z632" i="2"/>
  <c r="Y632" i="2"/>
  <c r="X632" i="2"/>
  <c r="W632" i="2"/>
  <c r="V632" i="2"/>
  <c r="AB631" i="2"/>
  <c r="AA631" i="2"/>
  <c r="Z631" i="2"/>
  <c r="Y631" i="2"/>
  <c r="X631" i="2"/>
  <c r="W631" i="2"/>
  <c r="V631" i="2"/>
  <c r="AB630" i="2"/>
  <c r="AA630" i="2"/>
  <c r="Z630" i="2"/>
  <c r="Y630" i="2"/>
  <c r="X630" i="2"/>
  <c r="W630" i="2"/>
  <c r="V630" i="2"/>
  <c r="AB629" i="2"/>
  <c r="AA629" i="2"/>
  <c r="Z629" i="2"/>
  <c r="Y629" i="2"/>
  <c r="X629" i="2"/>
  <c r="W629" i="2"/>
  <c r="V629" i="2"/>
  <c r="AB628" i="2"/>
  <c r="AA628" i="2"/>
  <c r="Z628" i="2"/>
  <c r="Y628" i="2"/>
  <c r="X628" i="2"/>
  <c r="W628" i="2"/>
  <c r="V628" i="2"/>
  <c r="AB627" i="2"/>
  <c r="AA627" i="2"/>
  <c r="Z627" i="2"/>
  <c r="Y627" i="2"/>
  <c r="X627" i="2"/>
  <c r="W627" i="2"/>
  <c r="V627" i="2"/>
  <c r="AB626" i="2"/>
  <c r="AA626" i="2"/>
  <c r="Z626" i="2"/>
  <c r="Y626" i="2"/>
  <c r="X626" i="2"/>
  <c r="W626" i="2"/>
  <c r="V626" i="2"/>
  <c r="AB625" i="2"/>
  <c r="AA625" i="2"/>
  <c r="Z625" i="2"/>
  <c r="Y625" i="2"/>
  <c r="X625" i="2"/>
  <c r="W625" i="2"/>
  <c r="V625" i="2"/>
  <c r="AB624" i="2"/>
  <c r="AA624" i="2"/>
  <c r="Z624" i="2"/>
  <c r="Y624" i="2"/>
  <c r="X624" i="2"/>
  <c r="W624" i="2"/>
  <c r="V624" i="2"/>
  <c r="AB623" i="2"/>
  <c r="AA623" i="2"/>
  <c r="Z623" i="2"/>
  <c r="Y623" i="2"/>
  <c r="X623" i="2"/>
  <c r="W623" i="2"/>
  <c r="V623" i="2"/>
  <c r="AB622" i="2"/>
  <c r="AA622" i="2"/>
  <c r="Z622" i="2"/>
  <c r="Y622" i="2"/>
  <c r="X622" i="2"/>
  <c r="W622" i="2"/>
  <c r="V622" i="2"/>
  <c r="AB621" i="2"/>
  <c r="AA621" i="2"/>
  <c r="Z621" i="2"/>
  <c r="Y621" i="2"/>
  <c r="X621" i="2"/>
  <c r="W621" i="2"/>
  <c r="V621" i="2"/>
  <c r="AB620" i="2"/>
  <c r="AA620" i="2"/>
  <c r="Z620" i="2"/>
  <c r="Y620" i="2"/>
  <c r="X620" i="2"/>
  <c r="W620" i="2"/>
  <c r="V620" i="2"/>
  <c r="AB619" i="2"/>
  <c r="AA619" i="2"/>
  <c r="Z619" i="2"/>
  <c r="Y619" i="2"/>
  <c r="X619" i="2"/>
  <c r="W619" i="2"/>
  <c r="V619" i="2"/>
  <c r="AB618" i="2"/>
  <c r="AA618" i="2"/>
  <c r="Z618" i="2"/>
  <c r="Y618" i="2"/>
  <c r="X618" i="2"/>
  <c r="W618" i="2"/>
  <c r="V618" i="2"/>
  <c r="AB617" i="2"/>
  <c r="AA617" i="2"/>
  <c r="Z617" i="2"/>
  <c r="Y617" i="2"/>
  <c r="X617" i="2"/>
  <c r="W617" i="2"/>
  <c r="V617" i="2"/>
  <c r="AB616" i="2"/>
  <c r="AA616" i="2"/>
  <c r="Z616" i="2"/>
  <c r="Y616" i="2"/>
  <c r="X616" i="2"/>
  <c r="W616" i="2"/>
  <c r="V616" i="2"/>
  <c r="AB615" i="2"/>
  <c r="AA615" i="2"/>
  <c r="Z615" i="2"/>
  <c r="Y615" i="2"/>
  <c r="X615" i="2"/>
  <c r="W615" i="2"/>
  <c r="V615" i="2"/>
  <c r="AB614" i="2"/>
  <c r="AA614" i="2"/>
  <c r="Z614" i="2"/>
  <c r="Y614" i="2"/>
  <c r="X614" i="2"/>
  <c r="W614" i="2"/>
  <c r="V614" i="2"/>
  <c r="AB613" i="2"/>
  <c r="AA613" i="2"/>
  <c r="Z613" i="2"/>
  <c r="Y613" i="2"/>
  <c r="X613" i="2"/>
  <c r="W613" i="2"/>
  <c r="V613" i="2"/>
  <c r="AB612" i="2"/>
  <c r="AA612" i="2"/>
  <c r="Z612" i="2"/>
  <c r="Y612" i="2"/>
  <c r="X612" i="2"/>
  <c r="W612" i="2"/>
  <c r="V612" i="2"/>
  <c r="AB611" i="2"/>
  <c r="AA611" i="2"/>
  <c r="Z611" i="2"/>
  <c r="Y611" i="2"/>
  <c r="X611" i="2"/>
  <c r="W611" i="2"/>
  <c r="V611" i="2"/>
  <c r="AB610" i="2"/>
  <c r="AA610" i="2"/>
  <c r="Z610" i="2"/>
  <c r="Y610" i="2"/>
  <c r="X610" i="2"/>
  <c r="W610" i="2"/>
  <c r="V610" i="2"/>
  <c r="AB609" i="2"/>
  <c r="AA609" i="2"/>
  <c r="Z609" i="2"/>
  <c r="Y609" i="2"/>
  <c r="X609" i="2"/>
  <c r="W609" i="2"/>
  <c r="V609" i="2"/>
  <c r="AB608" i="2"/>
  <c r="AA608" i="2"/>
  <c r="Z608" i="2"/>
  <c r="Y608" i="2"/>
  <c r="X608" i="2"/>
  <c r="W608" i="2"/>
  <c r="V608" i="2"/>
  <c r="AB607" i="2"/>
  <c r="AA607" i="2"/>
  <c r="Z607" i="2"/>
  <c r="Y607" i="2"/>
  <c r="X607" i="2"/>
  <c r="W607" i="2"/>
  <c r="V607" i="2"/>
  <c r="AB606" i="2"/>
  <c r="AA606" i="2"/>
  <c r="Z606" i="2"/>
  <c r="Y606" i="2"/>
  <c r="X606" i="2"/>
  <c r="W606" i="2"/>
  <c r="V606" i="2"/>
  <c r="AB605" i="2"/>
  <c r="AA605" i="2"/>
  <c r="Z605" i="2"/>
  <c r="Y605" i="2"/>
  <c r="X605" i="2"/>
  <c r="W605" i="2"/>
  <c r="V605" i="2"/>
  <c r="AB604" i="2"/>
  <c r="AA604" i="2"/>
  <c r="Z604" i="2"/>
  <c r="Y604" i="2"/>
  <c r="X604" i="2"/>
  <c r="W604" i="2"/>
  <c r="V604" i="2"/>
  <c r="AB603" i="2"/>
  <c r="AA603" i="2"/>
  <c r="Z603" i="2"/>
  <c r="Y603" i="2"/>
  <c r="X603" i="2"/>
  <c r="W603" i="2"/>
  <c r="V603" i="2"/>
  <c r="AB602" i="2"/>
  <c r="AA602" i="2"/>
  <c r="Z602" i="2"/>
  <c r="Y602" i="2"/>
  <c r="X602" i="2"/>
  <c r="W602" i="2"/>
  <c r="V602" i="2"/>
  <c r="AB601" i="2"/>
  <c r="AA601" i="2"/>
  <c r="Z601" i="2"/>
  <c r="Y601" i="2"/>
  <c r="X601" i="2"/>
  <c r="W601" i="2"/>
  <c r="V601" i="2"/>
  <c r="AB600" i="2"/>
  <c r="AA600" i="2"/>
  <c r="Z600" i="2"/>
  <c r="Y600" i="2"/>
  <c r="X600" i="2"/>
  <c r="W600" i="2"/>
  <c r="V600" i="2"/>
  <c r="AB599" i="2"/>
  <c r="AA599" i="2"/>
  <c r="Z599" i="2"/>
  <c r="Y599" i="2"/>
  <c r="X599" i="2"/>
  <c r="W599" i="2"/>
  <c r="V599" i="2"/>
  <c r="AB598" i="2"/>
  <c r="AA598" i="2"/>
  <c r="Z598" i="2"/>
  <c r="Y598" i="2"/>
  <c r="X598" i="2"/>
  <c r="W598" i="2"/>
  <c r="V598" i="2"/>
  <c r="AB597" i="2"/>
  <c r="AA597" i="2"/>
  <c r="Z597" i="2"/>
  <c r="Y597" i="2"/>
  <c r="X597" i="2"/>
  <c r="W597" i="2"/>
  <c r="V597" i="2"/>
  <c r="AB596" i="2"/>
  <c r="AA596" i="2"/>
  <c r="Z596" i="2"/>
  <c r="Y596" i="2"/>
  <c r="X596" i="2"/>
  <c r="W596" i="2"/>
  <c r="V596" i="2"/>
  <c r="AB595" i="2"/>
  <c r="AA595" i="2"/>
  <c r="Z595" i="2"/>
  <c r="Y595" i="2"/>
  <c r="X595" i="2"/>
  <c r="W595" i="2"/>
  <c r="V595" i="2"/>
  <c r="AB594" i="2"/>
  <c r="AA594" i="2"/>
  <c r="Z594" i="2"/>
  <c r="Y594" i="2"/>
  <c r="X594" i="2"/>
  <c r="W594" i="2"/>
  <c r="V594" i="2"/>
  <c r="AB593" i="2"/>
  <c r="AA593" i="2"/>
  <c r="Z593" i="2"/>
  <c r="Y593" i="2"/>
  <c r="X593" i="2"/>
  <c r="W593" i="2"/>
  <c r="V593" i="2"/>
  <c r="AB592" i="2"/>
  <c r="AA592" i="2"/>
  <c r="Z592" i="2"/>
  <c r="Y592" i="2"/>
  <c r="X592" i="2"/>
  <c r="W592" i="2"/>
  <c r="V592" i="2"/>
  <c r="AB591" i="2"/>
  <c r="AA591" i="2"/>
  <c r="Z591" i="2"/>
  <c r="Y591" i="2"/>
  <c r="X591" i="2"/>
  <c r="W591" i="2"/>
  <c r="V591" i="2"/>
  <c r="AB590" i="2"/>
  <c r="AA590" i="2"/>
  <c r="Z590" i="2"/>
  <c r="Y590" i="2"/>
  <c r="X590" i="2"/>
  <c r="W590" i="2"/>
  <c r="V590" i="2"/>
  <c r="AB589" i="2"/>
  <c r="AA589" i="2"/>
  <c r="Z589" i="2"/>
  <c r="Y589" i="2"/>
  <c r="X589" i="2"/>
  <c r="W589" i="2"/>
  <c r="V589" i="2"/>
  <c r="AB588" i="2"/>
  <c r="AA588" i="2"/>
  <c r="Z588" i="2"/>
  <c r="Y588" i="2"/>
  <c r="X588" i="2"/>
  <c r="W588" i="2"/>
  <c r="V588" i="2"/>
  <c r="AB587" i="2"/>
  <c r="AA587" i="2"/>
  <c r="Z587" i="2"/>
  <c r="Y587" i="2"/>
  <c r="X587" i="2"/>
  <c r="W587" i="2"/>
  <c r="V587" i="2"/>
  <c r="AB586" i="2"/>
  <c r="AA586" i="2"/>
  <c r="Z586" i="2"/>
  <c r="Y586" i="2"/>
  <c r="X586" i="2"/>
  <c r="W586" i="2"/>
  <c r="V586" i="2"/>
  <c r="AB585" i="2"/>
  <c r="AA585" i="2"/>
  <c r="Z585" i="2"/>
  <c r="Y585" i="2"/>
  <c r="X585" i="2"/>
  <c r="W585" i="2"/>
  <c r="V585" i="2"/>
  <c r="AB584" i="2"/>
  <c r="AA584" i="2"/>
  <c r="Z584" i="2"/>
  <c r="Y584" i="2"/>
  <c r="X584" i="2"/>
  <c r="W584" i="2"/>
  <c r="V584" i="2"/>
  <c r="AB583" i="2"/>
  <c r="AA583" i="2"/>
  <c r="Z583" i="2"/>
  <c r="Y583" i="2"/>
  <c r="X583" i="2"/>
  <c r="W583" i="2"/>
  <c r="V583" i="2"/>
  <c r="AB582" i="2"/>
  <c r="AA582" i="2"/>
  <c r="Z582" i="2"/>
  <c r="Y582" i="2"/>
  <c r="X582" i="2"/>
  <c r="W582" i="2"/>
  <c r="V582" i="2"/>
  <c r="AB581" i="2"/>
  <c r="AA581" i="2"/>
  <c r="Z581" i="2"/>
  <c r="Y581" i="2"/>
  <c r="X581" i="2"/>
  <c r="W581" i="2"/>
  <c r="V581" i="2"/>
  <c r="AB580" i="2"/>
  <c r="AA580" i="2"/>
  <c r="Z580" i="2"/>
  <c r="Y580" i="2"/>
  <c r="X580" i="2"/>
  <c r="W580" i="2"/>
  <c r="V580" i="2"/>
  <c r="AB579" i="2"/>
  <c r="AA579" i="2"/>
  <c r="Z579" i="2"/>
  <c r="Y579" i="2"/>
  <c r="X579" i="2"/>
  <c r="W579" i="2"/>
  <c r="V579" i="2"/>
  <c r="AB578" i="2"/>
  <c r="AA578" i="2"/>
  <c r="Z578" i="2"/>
  <c r="Y578" i="2"/>
  <c r="X578" i="2"/>
  <c r="W578" i="2"/>
  <c r="V578" i="2"/>
  <c r="AB577" i="2"/>
  <c r="AA577" i="2"/>
  <c r="Z577" i="2"/>
  <c r="Y577" i="2"/>
  <c r="X577" i="2"/>
  <c r="W577" i="2"/>
  <c r="V577" i="2"/>
  <c r="AB576" i="2"/>
  <c r="AA576" i="2"/>
  <c r="Z576" i="2"/>
  <c r="Y576" i="2"/>
  <c r="X576" i="2"/>
  <c r="W576" i="2"/>
  <c r="V576" i="2"/>
  <c r="AB575" i="2"/>
  <c r="AA575" i="2"/>
  <c r="Z575" i="2"/>
  <c r="Y575" i="2"/>
  <c r="X575" i="2"/>
  <c r="W575" i="2"/>
  <c r="V575" i="2"/>
  <c r="AB574" i="2"/>
  <c r="AA574" i="2"/>
  <c r="Z574" i="2"/>
  <c r="Y574" i="2"/>
  <c r="X574" i="2"/>
  <c r="W574" i="2"/>
  <c r="V574" i="2"/>
  <c r="AB573" i="2"/>
  <c r="AA573" i="2"/>
  <c r="Z573" i="2"/>
  <c r="Y573" i="2"/>
  <c r="X573" i="2"/>
  <c r="W573" i="2"/>
  <c r="V573" i="2"/>
  <c r="AB572" i="2"/>
  <c r="AA572" i="2"/>
  <c r="Z572" i="2"/>
  <c r="Y572" i="2"/>
  <c r="X572" i="2"/>
  <c r="W572" i="2"/>
  <c r="V572" i="2"/>
  <c r="AB571" i="2"/>
  <c r="AA571" i="2"/>
  <c r="Z571" i="2"/>
  <c r="Y571" i="2"/>
  <c r="X571" i="2"/>
  <c r="W571" i="2"/>
  <c r="V571" i="2"/>
  <c r="AB570" i="2"/>
  <c r="AA570" i="2"/>
  <c r="Z570" i="2"/>
  <c r="Y570" i="2"/>
  <c r="X570" i="2"/>
  <c r="W570" i="2"/>
  <c r="V570" i="2"/>
  <c r="AB569" i="2"/>
  <c r="AA569" i="2"/>
  <c r="Z569" i="2"/>
  <c r="Y569" i="2"/>
  <c r="X569" i="2"/>
  <c r="W569" i="2"/>
  <c r="V569" i="2"/>
  <c r="AB568" i="2"/>
  <c r="AA568" i="2"/>
  <c r="Z568" i="2"/>
  <c r="Y568" i="2"/>
  <c r="X568" i="2"/>
  <c r="W568" i="2"/>
  <c r="V568" i="2"/>
  <c r="AB567" i="2"/>
  <c r="AA567" i="2"/>
  <c r="Z567" i="2"/>
  <c r="Y567" i="2"/>
  <c r="X567" i="2"/>
  <c r="W567" i="2"/>
  <c r="V567" i="2"/>
  <c r="AB566" i="2"/>
  <c r="AA566" i="2"/>
  <c r="Z566" i="2"/>
  <c r="Y566" i="2"/>
  <c r="X566" i="2"/>
  <c r="W566" i="2"/>
  <c r="V566" i="2"/>
  <c r="AB565" i="2"/>
  <c r="AA565" i="2"/>
  <c r="Z565" i="2"/>
  <c r="Y565" i="2"/>
  <c r="X565" i="2"/>
  <c r="W565" i="2"/>
  <c r="V565" i="2"/>
  <c r="AB564" i="2"/>
  <c r="AA564" i="2"/>
  <c r="Z564" i="2"/>
  <c r="Y564" i="2"/>
  <c r="X564" i="2"/>
  <c r="W564" i="2"/>
  <c r="V564" i="2"/>
  <c r="AB563" i="2"/>
  <c r="AA563" i="2"/>
  <c r="Z563" i="2"/>
  <c r="Y563" i="2"/>
  <c r="X563" i="2"/>
  <c r="W563" i="2"/>
  <c r="V563" i="2"/>
  <c r="AB562" i="2"/>
  <c r="AA562" i="2"/>
  <c r="Z562" i="2"/>
  <c r="Y562" i="2"/>
  <c r="X562" i="2"/>
  <c r="W562" i="2"/>
  <c r="V562" i="2"/>
  <c r="AB561" i="2"/>
  <c r="AA561" i="2"/>
  <c r="Z561" i="2"/>
  <c r="Y561" i="2"/>
  <c r="X561" i="2"/>
  <c r="W561" i="2"/>
  <c r="V561" i="2"/>
  <c r="AB560" i="2"/>
  <c r="AA560" i="2"/>
  <c r="Z560" i="2"/>
  <c r="Y560" i="2"/>
  <c r="X560" i="2"/>
  <c r="W560" i="2"/>
  <c r="V560" i="2"/>
  <c r="AB559" i="2"/>
  <c r="AA559" i="2"/>
  <c r="Z559" i="2"/>
  <c r="Y559" i="2"/>
  <c r="X559" i="2"/>
  <c r="W559" i="2"/>
  <c r="V559" i="2"/>
  <c r="AB558" i="2"/>
  <c r="AA558" i="2"/>
  <c r="Z558" i="2"/>
  <c r="Y558" i="2"/>
  <c r="X558" i="2"/>
  <c r="W558" i="2"/>
  <c r="V558" i="2"/>
  <c r="AB557" i="2"/>
  <c r="AA557" i="2"/>
  <c r="Z557" i="2"/>
  <c r="Y557" i="2"/>
  <c r="X557" i="2"/>
  <c r="W557" i="2"/>
  <c r="V557" i="2"/>
  <c r="AB556" i="2"/>
  <c r="AA556" i="2"/>
  <c r="Z556" i="2"/>
  <c r="Y556" i="2"/>
  <c r="X556" i="2"/>
  <c r="W556" i="2"/>
  <c r="V556" i="2"/>
  <c r="AB555" i="2"/>
  <c r="AA555" i="2"/>
  <c r="Z555" i="2"/>
  <c r="Y555" i="2"/>
  <c r="X555" i="2"/>
  <c r="W555" i="2"/>
  <c r="V555" i="2"/>
  <c r="AB554" i="2"/>
  <c r="AA554" i="2"/>
  <c r="Z554" i="2"/>
  <c r="Y554" i="2"/>
  <c r="X554" i="2"/>
  <c r="W554" i="2"/>
  <c r="V554" i="2"/>
  <c r="AB553" i="2"/>
  <c r="AA553" i="2"/>
  <c r="Z553" i="2"/>
  <c r="Y553" i="2"/>
  <c r="X553" i="2"/>
  <c r="W553" i="2"/>
  <c r="V553" i="2"/>
  <c r="AB552" i="2"/>
  <c r="AA552" i="2"/>
  <c r="Z552" i="2"/>
  <c r="Y552" i="2"/>
  <c r="X552" i="2"/>
  <c r="W552" i="2"/>
  <c r="V552" i="2"/>
  <c r="AB551" i="2"/>
  <c r="AA551" i="2"/>
  <c r="Z551" i="2"/>
  <c r="Y551" i="2"/>
  <c r="X551" i="2"/>
  <c r="W551" i="2"/>
  <c r="V551" i="2"/>
  <c r="AB550" i="2"/>
  <c r="AA550" i="2"/>
  <c r="Z550" i="2"/>
  <c r="Y550" i="2"/>
  <c r="X550" i="2"/>
  <c r="W550" i="2"/>
  <c r="V550" i="2"/>
  <c r="AB549" i="2"/>
  <c r="AA549" i="2"/>
  <c r="Z549" i="2"/>
  <c r="Y549" i="2"/>
  <c r="X549" i="2"/>
  <c r="W549" i="2"/>
  <c r="V549" i="2"/>
  <c r="AB548" i="2"/>
  <c r="AA548" i="2"/>
  <c r="Z548" i="2"/>
  <c r="Y548" i="2"/>
  <c r="X548" i="2"/>
  <c r="W548" i="2"/>
  <c r="V548" i="2"/>
  <c r="AB547" i="2"/>
  <c r="AA547" i="2"/>
  <c r="Z547" i="2"/>
  <c r="Y547" i="2"/>
  <c r="X547" i="2"/>
  <c r="W547" i="2"/>
  <c r="V547" i="2"/>
  <c r="AB546" i="2"/>
  <c r="AA546" i="2"/>
  <c r="Z546" i="2"/>
  <c r="Y546" i="2"/>
  <c r="X546" i="2"/>
  <c r="W546" i="2"/>
  <c r="V546" i="2"/>
  <c r="AB545" i="2"/>
  <c r="AA545" i="2"/>
  <c r="Z545" i="2"/>
  <c r="Y545" i="2"/>
  <c r="X545" i="2"/>
  <c r="W545" i="2"/>
  <c r="V545" i="2"/>
  <c r="AB544" i="2"/>
  <c r="AA544" i="2"/>
  <c r="Z544" i="2"/>
  <c r="Y544" i="2"/>
  <c r="X544" i="2"/>
  <c r="W544" i="2"/>
  <c r="V544" i="2"/>
  <c r="AB543" i="2"/>
  <c r="AA543" i="2"/>
  <c r="Z543" i="2"/>
  <c r="Y543" i="2"/>
  <c r="X543" i="2"/>
  <c r="W543" i="2"/>
  <c r="V543" i="2"/>
  <c r="AB542" i="2"/>
  <c r="AA542" i="2"/>
  <c r="Z542" i="2"/>
  <c r="Y542" i="2"/>
  <c r="X542" i="2"/>
  <c r="W542" i="2"/>
  <c r="V542" i="2"/>
  <c r="AB541" i="2"/>
  <c r="AA541" i="2"/>
  <c r="Z541" i="2"/>
  <c r="Y541" i="2"/>
  <c r="X541" i="2"/>
  <c r="W541" i="2"/>
  <c r="V541" i="2"/>
  <c r="AB540" i="2"/>
  <c r="AA540" i="2"/>
  <c r="Z540" i="2"/>
  <c r="Y540" i="2"/>
  <c r="X540" i="2"/>
  <c r="W540" i="2"/>
  <c r="V540" i="2"/>
  <c r="AB539" i="2"/>
  <c r="AA539" i="2"/>
  <c r="Z539" i="2"/>
  <c r="Y539" i="2"/>
  <c r="X539" i="2"/>
  <c r="W539" i="2"/>
  <c r="V539" i="2"/>
  <c r="AB538" i="2"/>
  <c r="AA538" i="2"/>
  <c r="Z538" i="2"/>
  <c r="Y538" i="2"/>
  <c r="X538" i="2"/>
  <c r="W538" i="2"/>
  <c r="V538" i="2"/>
  <c r="AB537" i="2"/>
  <c r="AA537" i="2"/>
  <c r="Z537" i="2"/>
  <c r="Y537" i="2"/>
  <c r="X537" i="2"/>
  <c r="W537" i="2"/>
  <c r="V537" i="2"/>
  <c r="AB536" i="2"/>
  <c r="AA536" i="2"/>
  <c r="Z536" i="2"/>
  <c r="Y536" i="2"/>
  <c r="X536" i="2"/>
  <c r="W536" i="2"/>
  <c r="V536" i="2"/>
  <c r="AB535" i="2"/>
  <c r="AA535" i="2"/>
  <c r="Z535" i="2"/>
  <c r="Y535" i="2"/>
  <c r="X535" i="2"/>
  <c r="W535" i="2"/>
  <c r="V535" i="2"/>
  <c r="AB534" i="2"/>
  <c r="AA534" i="2"/>
  <c r="Z534" i="2"/>
  <c r="Y534" i="2"/>
  <c r="X534" i="2"/>
  <c r="W534" i="2"/>
  <c r="V534" i="2"/>
  <c r="AB533" i="2"/>
  <c r="AA533" i="2"/>
  <c r="Z533" i="2"/>
  <c r="Y533" i="2"/>
  <c r="X533" i="2"/>
  <c r="W533" i="2"/>
  <c r="V533" i="2"/>
  <c r="AB532" i="2"/>
  <c r="AA532" i="2"/>
  <c r="Z532" i="2"/>
  <c r="Y532" i="2"/>
  <c r="X532" i="2"/>
  <c r="W532" i="2"/>
  <c r="V532" i="2"/>
  <c r="AB531" i="2"/>
  <c r="AA531" i="2"/>
  <c r="Z531" i="2"/>
  <c r="Y531" i="2"/>
  <c r="X531" i="2"/>
  <c r="W531" i="2"/>
  <c r="V531" i="2"/>
  <c r="AB530" i="2"/>
  <c r="AA530" i="2"/>
  <c r="Z530" i="2"/>
  <c r="Y530" i="2"/>
  <c r="X530" i="2"/>
  <c r="W530" i="2"/>
  <c r="V530" i="2"/>
  <c r="AB529" i="2"/>
  <c r="AA529" i="2"/>
  <c r="Z529" i="2"/>
  <c r="Y529" i="2"/>
  <c r="X529" i="2"/>
  <c r="W529" i="2"/>
  <c r="V529" i="2"/>
  <c r="AB528" i="2"/>
  <c r="AA528" i="2"/>
  <c r="Z528" i="2"/>
  <c r="Y528" i="2"/>
  <c r="X528" i="2"/>
  <c r="W528" i="2"/>
  <c r="V528" i="2"/>
  <c r="AB527" i="2"/>
  <c r="AA527" i="2"/>
  <c r="Z527" i="2"/>
  <c r="Y527" i="2"/>
  <c r="X527" i="2"/>
  <c r="W527" i="2"/>
  <c r="V527" i="2"/>
  <c r="AB526" i="2"/>
  <c r="AA526" i="2"/>
  <c r="Z526" i="2"/>
  <c r="Y526" i="2"/>
  <c r="X526" i="2"/>
  <c r="W526" i="2"/>
  <c r="V526" i="2"/>
  <c r="AB525" i="2"/>
  <c r="AA525" i="2"/>
  <c r="Z525" i="2"/>
  <c r="Y525" i="2"/>
  <c r="X525" i="2"/>
  <c r="W525" i="2"/>
  <c r="V525" i="2"/>
  <c r="AB524" i="2"/>
  <c r="AA524" i="2"/>
  <c r="Z524" i="2"/>
  <c r="Y524" i="2"/>
  <c r="X524" i="2"/>
  <c r="W524" i="2"/>
  <c r="V524" i="2"/>
  <c r="AB523" i="2"/>
  <c r="AA523" i="2"/>
  <c r="Z523" i="2"/>
  <c r="Y523" i="2"/>
  <c r="X523" i="2"/>
  <c r="W523" i="2"/>
  <c r="V523" i="2"/>
  <c r="AB522" i="2"/>
  <c r="AA522" i="2"/>
  <c r="Z522" i="2"/>
  <c r="Y522" i="2"/>
  <c r="X522" i="2"/>
  <c r="W522" i="2"/>
  <c r="V522" i="2"/>
  <c r="AB521" i="2"/>
  <c r="AA521" i="2"/>
  <c r="Z521" i="2"/>
  <c r="Y521" i="2"/>
  <c r="X521" i="2"/>
  <c r="W521" i="2"/>
  <c r="V521" i="2"/>
  <c r="AB520" i="2"/>
  <c r="AA520" i="2"/>
  <c r="Z520" i="2"/>
  <c r="Y520" i="2"/>
  <c r="X520" i="2"/>
  <c r="W520" i="2"/>
  <c r="V520" i="2"/>
  <c r="AB519" i="2"/>
  <c r="AA519" i="2"/>
  <c r="Z519" i="2"/>
  <c r="Y519" i="2"/>
  <c r="X519" i="2"/>
  <c r="W519" i="2"/>
  <c r="V519" i="2"/>
  <c r="AB518" i="2"/>
  <c r="AA518" i="2"/>
  <c r="Z518" i="2"/>
  <c r="Y518" i="2"/>
  <c r="X518" i="2"/>
  <c r="W518" i="2"/>
  <c r="V518" i="2"/>
  <c r="AB517" i="2"/>
  <c r="AA517" i="2"/>
  <c r="Z517" i="2"/>
  <c r="Y517" i="2"/>
  <c r="X517" i="2"/>
  <c r="W517" i="2"/>
  <c r="V517" i="2"/>
  <c r="AB516" i="2"/>
  <c r="AA516" i="2"/>
  <c r="Z516" i="2"/>
  <c r="Y516" i="2"/>
  <c r="X516" i="2"/>
  <c r="W516" i="2"/>
  <c r="V516" i="2"/>
  <c r="AB515" i="2"/>
  <c r="AA515" i="2"/>
  <c r="Z515" i="2"/>
  <c r="Y515" i="2"/>
  <c r="X515" i="2"/>
  <c r="W515" i="2"/>
  <c r="V515" i="2"/>
  <c r="AB514" i="2"/>
  <c r="AA514" i="2"/>
  <c r="Z514" i="2"/>
  <c r="Y514" i="2"/>
  <c r="X514" i="2"/>
  <c r="W514" i="2"/>
  <c r="V514" i="2"/>
  <c r="AB513" i="2"/>
  <c r="AA513" i="2"/>
  <c r="Z513" i="2"/>
  <c r="Y513" i="2"/>
  <c r="X513" i="2"/>
  <c r="W513" i="2"/>
  <c r="V513" i="2"/>
  <c r="AB512" i="2"/>
  <c r="AA512" i="2"/>
  <c r="Z512" i="2"/>
  <c r="Y512" i="2"/>
  <c r="X512" i="2"/>
  <c r="W512" i="2"/>
  <c r="V512" i="2"/>
  <c r="AB511" i="2"/>
  <c r="AA511" i="2"/>
  <c r="Z511" i="2"/>
  <c r="Y511" i="2"/>
  <c r="X511" i="2"/>
  <c r="W511" i="2"/>
  <c r="V511" i="2"/>
  <c r="AB510" i="2"/>
  <c r="AA510" i="2"/>
  <c r="Z510" i="2"/>
  <c r="Y510" i="2"/>
  <c r="X510" i="2"/>
  <c r="W510" i="2"/>
  <c r="V510" i="2"/>
  <c r="AB509" i="2"/>
  <c r="AA509" i="2"/>
  <c r="Z509" i="2"/>
  <c r="Y509" i="2"/>
  <c r="X509" i="2"/>
  <c r="W509" i="2"/>
  <c r="V509" i="2"/>
  <c r="AB508" i="2"/>
  <c r="AA508" i="2"/>
  <c r="Z508" i="2"/>
  <c r="Y508" i="2"/>
  <c r="X508" i="2"/>
  <c r="W508" i="2"/>
  <c r="V508" i="2"/>
  <c r="AB507" i="2"/>
  <c r="AA507" i="2"/>
  <c r="Z507" i="2"/>
  <c r="Y507" i="2"/>
  <c r="X507" i="2"/>
  <c r="W507" i="2"/>
  <c r="V507" i="2"/>
  <c r="AB506" i="2"/>
  <c r="AA506" i="2"/>
  <c r="Z506" i="2"/>
  <c r="Y506" i="2"/>
  <c r="X506" i="2"/>
  <c r="W506" i="2"/>
  <c r="V506" i="2"/>
  <c r="AB505" i="2"/>
  <c r="AA505" i="2"/>
  <c r="Z505" i="2"/>
  <c r="Y505" i="2"/>
  <c r="X505" i="2"/>
  <c r="W505" i="2"/>
  <c r="V505" i="2"/>
  <c r="AB504" i="2"/>
  <c r="AA504" i="2"/>
  <c r="Z504" i="2"/>
  <c r="Y504" i="2"/>
  <c r="X504" i="2"/>
  <c r="W504" i="2"/>
  <c r="V504" i="2"/>
  <c r="AB503" i="2"/>
  <c r="AA503" i="2"/>
  <c r="Z503" i="2"/>
  <c r="Y503" i="2"/>
  <c r="X503" i="2"/>
  <c r="W503" i="2"/>
  <c r="V503" i="2"/>
  <c r="AB502" i="2"/>
  <c r="AA502" i="2"/>
  <c r="Z502" i="2"/>
  <c r="Y502" i="2"/>
  <c r="X502" i="2"/>
  <c r="W502" i="2"/>
  <c r="V502" i="2"/>
  <c r="AB501" i="2"/>
  <c r="AA501" i="2"/>
  <c r="Z501" i="2"/>
  <c r="Y501" i="2"/>
  <c r="X501" i="2"/>
  <c r="W501" i="2"/>
  <c r="V501" i="2"/>
  <c r="AB500" i="2"/>
  <c r="AA500" i="2"/>
  <c r="Z500" i="2"/>
  <c r="Y500" i="2"/>
  <c r="X500" i="2"/>
  <c r="W500" i="2"/>
  <c r="V500" i="2"/>
  <c r="AB499" i="2"/>
  <c r="AA499" i="2"/>
  <c r="Z499" i="2"/>
  <c r="Y499" i="2"/>
  <c r="X499" i="2"/>
  <c r="W499" i="2"/>
  <c r="V499" i="2"/>
  <c r="AB498" i="2"/>
  <c r="AA498" i="2"/>
  <c r="Z498" i="2"/>
  <c r="Y498" i="2"/>
  <c r="X498" i="2"/>
  <c r="W498" i="2"/>
  <c r="V498" i="2"/>
  <c r="AB497" i="2"/>
  <c r="AA497" i="2"/>
  <c r="Z497" i="2"/>
  <c r="Y497" i="2"/>
  <c r="X497" i="2"/>
  <c r="W497" i="2"/>
  <c r="V497" i="2"/>
  <c r="AB496" i="2"/>
  <c r="AA496" i="2"/>
  <c r="Z496" i="2"/>
  <c r="Y496" i="2"/>
  <c r="X496" i="2"/>
  <c r="W496" i="2"/>
  <c r="V496" i="2"/>
  <c r="AB495" i="2"/>
  <c r="AA495" i="2"/>
  <c r="Z495" i="2"/>
  <c r="Y495" i="2"/>
  <c r="X495" i="2"/>
  <c r="W495" i="2"/>
  <c r="V495" i="2"/>
  <c r="AB494" i="2"/>
  <c r="AA494" i="2"/>
  <c r="Z494" i="2"/>
  <c r="Y494" i="2"/>
  <c r="X494" i="2"/>
  <c r="W494" i="2"/>
  <c r="V494" i="2"/>
  <c r="AB493" i="2"/>
  <c r="AA493" i="2"/>
  <c r="Z493" i="2"/>
  <c r="Y493" i="2"/>
  <c r="X493" i="2"/>
  <c r="W493" i="2"/>
  <c r="V493" i="2"/>
  <c r="AB492" i="2"/>
  <c r="AA492" i="2"/>
  <c r="Z492" i="2"/>
  <c r="Y492" i="2"/>
  <c r="X492" i="2"/>
  <c r="W492" i="2"/>
  <c r="V492" i="2"/>
  <c r="AB491" i="2"/>
  <c r="AA491" i="2"/>
  <c r="Z491" i="2"/>
  <c r="Y491" i="2"/>
  <c r="X491" i="2"/>
  <c r="W491" i="2"/>
  <c r="V491" i="2"/>
  <c r="AB490" i="2"/>
  <c r="AA490" i="2"/>
  <c r="Z490" i="2"/>
  <c r="Y490" i="2"/>
  <c r="X490" i="2"/>
  <c r="W490" i="2"/>
  <c r="V490" i="2"/>
  <c r="AB489" i="2"/>
  <c r="AA489" i="2"/>
  <c r="Z489" i="2"/>
  <c r="Y489" i="2"/>
  <c r="X489" i="2"/>
  <c r="W489" i="2"/>
  <c r="V489" i="2"/>
  <c r="AB488" i="2"/>
  <c r="AA488" i="2"/>
  <c r="Z488" i="2"/>
  <c r="Y488" i="2"/>
  <c r="X488" i="2"/>
  <c r="W488" i="2"/>
  <c r="V488" i="2"/>
  <c r="AB487" i="2"/>
  <c r="AA487" i="2"/>
  <c r="Z487" i="2"/>
  <c r="Y487" i="2"/>
  <c r="X487" i="2"/>
  <c r="W487" i="2"/>
  <c r="V487" i="2"/>
  <c r="AB486" i="2"/>
  <c r="AA486" i="2"/>
  <c r="Z486" i="2"/>
  <c r="Y486" i="2"/>
  <c r="X486" i="2"/>
  <c r="W486" i="2"/>
  <c r="V486" i="2"/>
  <c r="AB485" i="2"/>
  <c r="AA485" i="2"/>
  <c r="Z485" i="2"/>
  <c r="Y485" i="2"/>
  <c r="X485" i="2"/>
  <c r="W485" i="2"/>
  <c r="V485" i="2"/>
  <c r="AB484" i="2"/>
  <c r="AA484" i="2"/>
  <c r="Z484" i="2"/>
  <c r="Y484" i="2"/>
  <c r="X484" i="2"/>
  <c r="W484" i="2"/>
  <c r="V484" i="2"/>
  <c r="AB483" i="2"/>
  <c r="AA483" i="2"/>
  <c r="Z483" i="2"/>
  <c r="Y483" i="2"/>
  <c r="X483" i="2"/>
  <c r="W483" i="2"/>
  <c r="V483" i="2"/>
  <c r="AB482" i="2"/>
  <c r="AA482" i="2"/>
  <c r="Z482" i="2"/>
  <c r="Y482" i="2"/>
  <c r="X482" i="2"/>
  <c r="W482" i="2"/>
  <c r="V482" i="2"/>
  <c r="AB481" i="2"/>
  <c r="AA481" i="2"/>
  <c r="Z481" i="2"/>
  <c r="Y481" i="2"/>
  <c r="X481" i="2"/>
  <c r="W481" i="2"/>
  <c r="V481" i="2"/>
  <c r="AB480" i="2"/>
  <c r="AA480" i="2"/>
  <c r="Z480" i="2"/>
  <c r="Y480" i="2"/>
  <c r="X480" i="2"/>
  <c r="W480" i="2"/>
  <c r="V480" i="2"/>
  <c r="AB479" i="2"/>
  <c r="AA479" i="2"/>
  <c r="Z479" i="2"/>
  <c r="Y479" i="2"/>
  <c r="X479" i="2"/>
  <c r="W479" i="2"/>
  <c r="V479" i="2"/>
  <c r="AB478" i="2"/>
  <c r="AA478" i="2"/>
  <c r="Z478" i="2"/>
  <c r="Y478" i="2"/>
  <c r="X478" i="2"/>
  <c r="W478" i="2"/>
  <c r="V478" i="2"/>
  <c r="AB477" i="2"/>
  <c r="AA477" i="2"/>
  <c r="Z477" i="2"/>
  <c r="Y477" i="2"/>
  <c r="X477" i="2"/>
  <c r="W477" i="2"/>
  <c r="V477" i="2"/>
  <c r="AB476" i="2"/>
  <c r="AA476" i="2"/>
  <c r="Z476" i="2"/>
  <c r="Y476" i="2"/>
  <c r="X476" i="2"/>
  <c r="W476" i="2"/>
  <c r="V476" i="2"/>
  <c r="AB475" i="2"/>
  <c r="AA475" i="2"/>
  <c r="Z475" i="2"/>
  <c r="Y475" i="2"/>
  <c r="X475" i="2"/>
  <c r="W475" i="2"/>
  <c r="V475" i="2"/>
  <c r="AB474" i="2"/>
  <c r="AA474" i="2"/>
  <c r="Z474" i="2"/>
  <c r="Y474" i="2"/>
  <c r="X474" i="2"/>
  <c r="W474" i="2"/>
  <c r="V474" i="2"/>
  <c r="AB473" i="2"/>
  <c r="AA473" i="2"/>
  <c r="Z473" i="2"/>
  <c r="Y473" i="2"/>
  <c r="X473" i="2"/>
  <c r="W473" i="2"/>
  <c r="V473" i="2"/>
  <c r="AB472" i="2"/>
  <c r="AA472" i="2"/>
  <c r="Z472" i="2"/>
  <c r="Y472" i="2"/>
  <c r="X472" i="2"/>
  <c r="W472" i="2"/>
  <c r="V472" i="2"/>
  <c r="AB471" i="2"/>
  <c r="AA471" i="2"/>
  <c r="Z471" i="2"/>
  <c r="Y471" i="2"/>
  <c r="X471" i="2"/>
  <c r="W471" i="2"/>
  <c r="V471" i="2"/>
  <c r="AB470" i="2"/>
  <c r="AA470" i="2"/>
  <c r="Z470" i="2"/>
  <c r="Y470" i="2"/>
  <c r="X470" i="2"/>
  <c r="W470" i="2"/>
  <c r="V470" i="2"/>
  <c r="AB469" i="2"/>
  <c r="AA469" i="2"/>
  <c r="Z469" i="2"/>
  <c r="Y469" i="2"/>
  <c r="X469" i="2"/>
  <c r="W469" i="2"/>
  <c r="V469" i="2"/>
  <c r="AB468" i="2"/>
  <c r="AA468" i="2"/>
  <c r="Z468" i="2"/>
  <c r="Y468" i="2"/>
  <c r="X468" i="2"/>
  <c r="W468" i="2"/>
  <c r="V468" i="2"/>
  <c r="AB467" i="2"/>
  <c r="AA467" i="2"/>
  <c r="Z467" i="2"/>
  <c r="Y467" i="2"/>
  <c r="X467" i="2"/>
  <c r="W467" i="2"/>
  <c r="V467" i="2"/>
  <c r="AB466" i="2"/>
  <c r="AA466" i="2"/>
  <c r="Z466" i="2"/>
  <c r="Y466" i="2"/>
  <c r="X466" i="2"/>
  <c r="W466" i="2"/>
  <c r="V466" i="2"/>
  <c r="AB465" i="2"/>
  <c r="AA465" i="2"/>
  <c r="Z465" i="2"/>
  <c r="Y465" i="2"/>
  <c r="X465" i="2"/>
  <c r="W465" i="2"/>
  <c r="V465" i="2"/>
  <c r="AB464" i="2"/>
  <c r="AA464" i="2"/>
  <c r="Z464" i="2"/>
  <c r="Y464" i="2"/>
  <c r="X464" i="2"/>
  <c r="W464" i="2"/>
  <c r="V464" i="2"/>
  <c r="AB463" i="2"/>
  <c r="AA463" i="2"/>
  <c r="Z463" i="2"/>
  <c r="Y463" i="2"/>
  <c r="X463" i="2"/>
  <c r="W463" i="2"/>
  <c r="V463" i="2"/>
  <c r="AB462" i="2"/>
  <c r="AA462" i="2"/>
  <c r="Z462" i="2"/>
  <c r="Y462" i="2"/>
  <c r="X462" i="2"/>
  <c r="W462" i="2"/>
  <c r="V462" i="2"/>
  <c r="AB461" i="2"/>
  <c r="AA461" i="2"/>
  <c r="Z461" i="2"/>
  <c r="Y461" i="2"/>
  <c r="X461" i="2"/>
  <c r="W461" i="2"/>
  <c r="V461" i="2"/>
  <c r="AB460" i="2"/>
  <c r="AA460" i="2"/>
  <c r="Z460" i="2"/>
  <c r="Y460" i="2"/>
  <c r="X460" i="2"/>
  <c r="W460" i="2"/>
  <c r="V460" i="2"/>
  <c r="AB459" i="2"/>
  <c r="AA459" i="2"/>
  <c r="Z459" i="2"/>
  <c r="Y459" i="2"/>
  <c r="X459" i="2"/>
  <c r="W459" i="2"/>
  <c r="V459" i="2"/>
  <c r="AB458" i="2"/>
  <c r="AA458" i="2"/>
  <c r="Z458" i="2"/>
  <c r="Y458" i="2"/>
  <c r="X458" i="2"/>
  <c r="W458" i="2"/>
  <c r="V458" i="2"/>
  <c r="AB457" i="2"/>
  <c r="AA457" i="2"/>
  <c r="Z457" i="2"/>
  <c r="Y457" i="2"/>
  <c r="X457" i="2"/>
  <c r="W457" i="2"/>
  <c r="V457" i="2"/>
  <c r="AB456" i="2"/>
  <c r="AA456" i="2"/>
  <c r="Z456" i="2"/>
  <c r="Y456" i="2"/>
  <c r="X456" i="2"/>
  <c r="W456" i="2"/>
  <c r="V456" i="2"/>
  <c r="AB455" i="2"/>
  <c r="AA455" i="2"/>
  <c r="Z455" i="2"/>
  <c r="Y455" i="2"/>
  <c r="X455" i="2"/>
  <c r="W455" i="2"/>
  <c r="V455" i="2"/>
  <c r="AB454" i="2"/>
  <c r="AA454" i="2"/>
  <c r="Z454" i="2"/>
  <c r="Y454" i="2"/>
  <c r="X454" i="2"/>
  <c r="W454" i="2"/>
  <c r="V454" i="2"/>
  <c r="AB453" i="2"/>
  <c r="AA453" i="2"/>
  <c r="Z453" i="2"/>
  <c r="Y453" i="2"/>
  <c r="X453" i="2"/>
  <c r="W453" i="2"/>
  <c r="V453" i="2"/>
  <c r="AB452" i="2"/>
  <c r="AA452" i="2"/>
  <c r="Z452" i="2"/>
  <c r="Y452" i="2"/>
  <c r="X452" i="2"/>
  <c r="W452" i="2"/>
  <c r="V452" i="2"/>
  <c r="AB451" i="2"/>
  <c r="AA451" i="2"/>
  <c r="Z451" i="2"/>
  <c r="Y451" i="2"/>
  <c r="X451" i="2"/>
  <c r="W451" i="2"/>
  <c r="V451" i="2"/>
  <c r="AB450" i="2"/>
  <c r="AA450" i="2"/>
  <c r="Z450" i="2"/>
  <c r="Y450" i="2"/>
  <c r="X450" i="2"/>
  <c r="W450" i="2"/>
  <c r="V450" i="2"/>
  <c r="AB449" i="2"/>
  <c r="AA449" i="2"/>
  <c r="Z449" i="2"/>
  <c r="Y449" i="2"/>
  <c r="X449" i="2"/>
  <c r="W449" i="2"/>
  <c r="V449" i="2"/>
  <c r="AB448" i="2"/>
  <c r="AA448" i="2"/>
  <c r="Z448" i="2"/>
  <c r="Y448" i="2"/>
  <c r="X448" i="2"/>
  <c r="W448" i="2"/>
  <c r="V448" i="2"/>
  <c r="AB447" i="2"/>
  <c r="AA447" i="2"/>
  <c r="Z447" i="2"/>
  <c r="Y447" i="2"/>
  <c r="X447" i="2"/>
  <c r="W447" i="2"/>
  <c r="V447" i="2"/>
  <c r="AB446" i="2"/>
  <c r="AA446" i="2"/>
  <c r="Z446" i="2"/>
  <c r="Y446" i="2"/>
  <c r="X446" i="2"/>
  <c r="W446" i="2"/>
  <c r="V446" i="2"/>
  <c r="AB445" i="2"/>
  <c r="AA445" i="2"/>
  <c r="Z445" i="2"/>
  <c r="Y445" i="2"/>
  <c r="X445" i="2"/>
  <c r="W445" i="2"/>
  <c r="V445" i="2"/>
  <c r="AB444" i="2"/>
  <c r="AA444" i="2"/>
  <c r="Z444" i="2"/>
  <c r="Y444" i="2"/>
  <c r="X444" i="2"/>
  <c r="W444" i="2"/>
  <c r="V444" i="2"/>
  <c r="AB443" i="2"/>
  <c r="AA443" i="2"/>
  <c r="Z443" i="2"/>
  <c r="Y443" i="2"/>
  <c r="X443" i="2"/>
  <c r="W443" i="2"/>
  <c r="V443" i="2"/>
  <c r="AB442" i="2"/>
  <c r="AA442" i="2"/>
  <c r="Z442" i="2"/>
  <c r="Y442" i="2"/>
  <c r="X442" i="2"/>
  <c r="W442" i="2"/>
  <c r="V442" i="2"/>
  <c r="AB441" i="2"/>
  <c r="AA441" i="2"/>
  <c r="Z441" i="2"/>
  <c r="Y441" i="2"/>
  <c r="X441" i="2"/>
  <c r="W441" i="2"/>
  <c r="V441" i="2"/>
  <c r="AB440" i="2"/>
  <c r="AA440" i="2"/>
  <c r="Z440" i="2"/>
  <c r="Y440" i="2"/>
  <c r="X440" i="2"/>
  <c r="W440" i="2"/>
  <c r="V440" i="2"/>
  <c r="AB439" i="2"/>
  <c r="AA439" i="2"/>
  <c r="Z439" i="2"/>
  <c r="Y439" i="2"/>
  <c r="X439" i="2"/>
  <c r="W439" i="2"/>
  <c r="V439" i="2"/>
  <c r="AB438" i="2"/>
  <c r="AA438" i="2"/>
  <c r="Z438" i="2"/>
  <c r="Y438" i="2"/>
  <c r="X438" i="2"/>
  <c r="W438" i="2"/>
  <c r="V438" i="2"/>
  <c r="AB437" i="2"/>
  <c r="AA437" i="2"/>
  <c r="Z437" i="2"/>
  <c r="Y437" i="2"/>
  <c r="X437" i="2"/>
  <c r="W437" i="2"/>
  <c r="V437" i="2"/>
  <c r="AB436" i="2"/>
  <c r="AA436" i="2"/>
  <c r="Z436" i="2"/>
  <c r="Y436" i="2"/>
  <c r="X436" i="2"/>
  <c r="W436" i="2"/>
  <c r="V436" i="2"/>
  <c r="AB435" i="2"/>
  <c r="AA435" i="2"/>
  <c r="Z435" i="2"/>
  <c r="Y435" i="2"/>
  <c r="X435" i="2"/>
  <c r="W435" i="2"/>
  <c r="V435" i="2"/>
  <c r="AB434" i="2"/>
  <c r="AA434" i="2"/>
  <c r="Z434" i="2"/>
  <c r="Y434" i="2"/>
  <c r="X434" i="2"/>
  <c r="W434" i="2"/>
  <c r="V434" i="2"/>
  <c r="AB433" i="2"/>
  <c r="AA433" i="2"/>
  <c r="Z433" i="2"/>
  <c r="Y433" i="2"/>
  <c r="X433" i="2"/>
  <c r="W433" i="2"/>
  <c r="V433" i="2"/>
  <c r="AB432" i="2"/>
  <c r="AA432" i="2"/>
  <c r="Z432" i="2"/>
  <c r="Y432" i="2"/>
  <c r="X432" i="2"/>
  <c r="W432" i="2"/>
  <c r="V432" i="2"/>
  <c r="AB431" i="2"/>
  <c r="AA431" i="2"/>
  <c r="Z431" i="2"/>
  <c r="Y431" i="2"/>
  <c r="X431" i="2"/>
  <c r="W431" i="2"/>
  <c r="V431" i="2"/>
  <c r="AB430" i="2"/>
  <c r="AA430" i="2"/>
  <c r="Z430" i="2"/>
  <c r="Y430" i="2"/>
  <c r="X430" i="2"/>
  <c r="W430" i="2"/>
  <c r="V430" i="2"/>
  <c r="AB429" i="2"/>
  <c r="AA429" i="2"/>
  <c r="Z429" i="2"/>
  <c r="Y429" i="2"/>
  <c r="X429" i="2"/>
  <c r="W429" i="2"/>
  <c r="V429" i="2"/>
  <c r="AB428" i="2"/>
  <c r="AA428" i="2"/>
  <c r="Z428" i="2"/>
  <c r="Y428" i="2"/>
  <c r="X428" i="2"/>
  <c r="W428" i="2"/>
  <c r="V428" i="2"/>
  <c r="AB427" i="2"/>
  <c r="AA427" i="2"/>
  <c r="Z427" i="2"/>
  <c r="Y427" i="2"/>
  <c r="X427" i="2"/>
  <c r="W427" i="2"/>
  <c r="V427" i="2"/>
  <c r="AB426" i="2"/>
  <c r="AA426" i="2"/>
  <c r="Z426" i="2"/>
  <c r="Y426" i="2"/>
  <c r="X426" i="2"/>
  <c r="W426" i="2"/>
  <c r="V426" i="2"/>
  <c r="AB425" i="2"/>
  <c r="AA425" i="2"/>
  <c r="Z425" i="2"/>
  <c r="Y425" i="2"/>
  <c r="X425" i="2"/>
  <c r="W425" i="2"/>
  <c r="V425" i="2"/>
  <c r="AB424" i="2"/>
  <c r="AA424" i="2"/>
  <c r="Z424" i="2"/>
  <c r="Y424" i="2"/>
  <c r="X424" i="2"/>
  <c r="W424" i="2"/>
  <c r="V424" i="2"/>
  <c r="AB423" i="2"/>
  <c r="AA423" i="2"/>
  <c r="Z423" i="2"/>
  <c r="Y423" i="2"/>
  <c r="X423" i="2"/>
  <c r="W423" i="2"/>
  <c r="V423" i="2"/>
  <c r="AB422" i="2"/>
  <c r="AA422" i="2"/>
  <c r="Z422" i="2"/>
  <c r="Y422" i="2"/>
  <c r="X422" i="2"/>
  <c r="W422" i="2"/>
  <c r="V422" i="2"/>
  <c r="AB421" i="2"/>
  <c r="AA421" i="2"/>
  <c r="Z421" i="2"/>
  <c r="Y421" i="2"/>
  <c r="X421" i="2"/>
  <c r="W421" i="2"/>
  <c r="V421" i="2"/>
  <c r="AB420" i="2"/>
  <c r="AA420" i="2"/>
  <c r="Z420" i="2"/>
  <c r="Y420" i="2"/>
  <c r="X420" i="2"/>
  <c r="W420" i="2"/>
  <c r="V420" i="2"/>
  <c r="AB419" i="2"/>
  <c r="AA419" i="2"/>
  <c r="Z419" i="2"/>
  <c r="Y419" i="2"/>
  <c r="X419" i="2"/>
  <c r="W419" i="2"/>
  <c r="V419" i="2"/>
  <c r="AB418" i="2"/>
  <c r="AA418" i="2"/>
  <c r="Z418" i="2"/>
  <c r="Y418" i="2"/>
  <c r="X418" i="2"/>
  <c r="W418" i="2"/>
  <c r="V418" i="2"/>
  <c r="AB417" i="2"/>
  <c r="AA417" i="2"/>
  <c r="Z417" i="2"/>
  <c r="Y417" i="2"/>
  <c r="X417" i="2"/>
  <c r="W417" i="2"/>
  <c r="V417" i="2"/>
  <c r="AB416" i="2"/>
  <c r="AA416" i="2"/>
  <c r="Z416" i="2"/>
  <c r="Y416" i="2"/>
  <c r="X416" i="2"/>
  <c r="W416" i="2"/>
  <c r="V416" i="2"/>
  <c r="AB415" i="2"/>
  <c r="AA415" i="2"/>
  <c r="Z415" i="2"/>
  <c r="Y415" i="2"/>
  <c r="X415" i="2"/>
  <c r="W415" i="2"/>
  <c r="V415" i="2"/>
  <c r="AB414" i="2"/>
  <c r="AA414" i="2"/>
  <c r="Z414" i="2"/>
  <c r="Y414" i="2"/>
  <c r="X414" i="2"/>
  <c r="W414" i="2"/>
  <c r="V414" i="2"/>
  <c r="AB413" i="2"/>
  <c r="AA413" i="2"/>
  <c r="Z413" i="2"/>
  <c r="Y413" i="2"/>
  <c r="X413" i="2"/>
  <c r="W413" i="2"/>
  <c r="V413" i="2"/>
  <c r="AB412" i="2"/>
  <c r="AA412" i="2"/>
  <c r="Z412" i="2"/>
  <c r="Y412" i="2"/>
  <c r="X412" i="2"/>
  <c r="W412" i="2"/>
  <c r="V412" i="2"/>
  <c r="AB411" i="2"/>
  <c r="AA411" i="2"/>
  <c r="Z411" i="2"/>
  <c r="Y411" i="2"/>
  <c r="X411" i="2"/>
  <c r="W411" i="2"/>
  <c r="V411" i="2"/>
  <c r="AB410" i="2"/>
  <c r="AA410" i="2"/>
  <c r="Z410" i="2"/>
  <c r="Y410" i="2"/>
  <c r="X410" i="2"/>
  <c r="W410" i="2"/>
  <c r="V410" i="2"/>
  <c r="AB409" i="2"/>
  <c r="AA409" i="2"/>
  <c r="Z409" i="2"/>
  <c r="Y409" i="2"/>
  <c r="X409" i="2"/>
  <c r="W409" i="2"/>
  <c r="V409" i="2"/>
  <c r="AB408" i="2"/>
  <c r="AA408" i="2"/>
  <c r="Z408" i="2"/>
  <c r="Y408" i="2"/>
  <c r="X408" i="2"/>
  <c r="W408" i="2"/>
  <c r="V408" i="2"/>
  <c r="AB407" i="2"/>
  <c r="AA407" i="2"/>
  <c r="Z407" i="2"/>
  <c r="Y407" i="2"/>
  <c r="X407" i="2"/>
  <c r="W407" i="2"/>
  <c r="V407" i="2"/>
  <c r="AB406" i="2"/>
  <c r="AA406" i="2"/>
  <c r="Z406" i="2"/>
  <c r="Y406" i="2"/>
  <c r="X406" i="2"/>
  <c r="W406" i="2"/>
  <c r="V406" i="2"/>
  <c r="AB405" i="2"/>
  <c r="AA405" i="2"/>
  <c r="Z405" i="2"/>
  <c r="Y405" i="2"/>
  <c r="X405" i="2"/>
  <c r="W405" i="2"/>
  <c r="V405" i="2"/>
  <c r="AB404" i="2"/>
  <c r="AA404" i="2"/>
  <c r="Z404" i="2"/>
  <c r="Y404" i="2"/>
  <c r="X404" i="2"/>
  <c r="W404" i="2"/>
  <c r="V404" i="2"/>
  <c r="AB403" i="2"/>
  <c r="AA403" i="2"/>
  <c r="Z403" i="2"/>
  <c r="Y403" i="2"/>
  <c r="X403" i="2"/>
  <c r="W403" i="2"/>
  <c r="V403" i="2"/>
  <c r="AB402" i="2"/>
  <c r="AA402" i="2"/>
  <c r="Z402" i="2"/>
  <c r="Y402" i="2"/>
  <c r="X402" i="2"/>
  <c r="W402" i="2"/>
  <c r="V402" i="2"/>
  <c r="AB401" i="2"/>
  <c r="AA401" i="2"/>
  <c r="Z401" i="2"/>
  <c r="Y401" i="2"/>
  <c r="X401" i="2"/>
  <c r="W401" i="2"/>
  <c r="V401" i="2"/>
  <c r="AB400" i="2"/>
  <c r="AA400" i="2"/>
  <c r="Z400" i="2"/>
  <c r="Y400" i="2"/>
  <c r="X400" i="2"/>
  <c r="W400" i="2"/>
  <c r="V400" i="2"/>
  <c r="AB399" i="2"/>
  <c r="AA399" i="2"/>
  <c r="Z399" i="2"/>
  <c r="Y399" i="2"/>
  <c r="X399" i="2"/>
  <c r="W399" i="2"/>
  <c r="V399" i="2"/>
  <c r="AB398" i="2"/>
  <c r="AA398" i="2"/>
  <c r="Z398" i="2"/>
  <c r="Y398" i="2"/>
  <c r="X398" i="2"/>
  <c r="W398" i="2"/>
  <c r="V398" i="2"/>
  <c r="AB397" i="2"/>
  <c r="AA397" i="2"/>
  <c r="Z397" i="2"/>
  <c r="Y397" i="2"/>
  <c r="X397" i="2"/>
  <c r="W397" i="2"/>
  <c r="V397" i="2"/>
  <c r="AB396" i="2"/>
  <c r="AA396" i="2"/>
  <c r="Z396" i="2"/>
  <c r="Y396" i="2"/>
  <c r="X396" i="2"/>
  <c r="W396" i="2"/>
  <c r="V396" i="2"/>
  <c r="AB395" i="2"/>
  <c r="AA395" i="2"/>
  <c r="Z395" i="2"/>
  <c r="Y395" i="2"/>
  <c r="X395" i="2"/>
  <c r="W395" i="2"/>
  <c r="V395" i="2"/>
  <c r="AB394" i="2"/>
  <c r="AA394" i="2"/>
  <c r="Z394" i="2"/>
  <c r="Y394" i="2"/>
  <c r="X394" i="2"/>
  <c r="W394" i="2"/>
  <c r="V394" i="2"/>
  <c r="AB393" i="2"/>
  <c r="AA393" i="2"/>
  <c r="Z393" i="2"/>
  <c r="Y393" i="2"/>
  <c r="X393" i="2"/>
  <c r="W393" i="2"/>
  <c r="V393" i="2"/>
  <c r="AB392" i="2"/>
  <c r="AA392" i="2"/>
  <c r="Z392" i="2"/>
  <c r="Y392" i="2"/>
  <c r="X392" i="2"/>
  <c r="W392" i="2"/>
  <c r="V392" i="2"/>
  <c r="AB391" i="2"/>
  <c r="AA391" i="2"/>
  <c r="Z391" i="2"/>
  <c r="Y391" i="2"/>
  <c r="X391" i="2"/>
  <c r="W391" i="2"/>
  <c r="V391" i="2"/>
  <c r="AB390" i="2"/>
  <c r="AA390" i="2"/>
  <c r="Z390" i="2"/>
  <c r="Y390" i="2"/>
  <c r="X390" i="2"/>
  <c r="W390" i="2"/>
  <c r="V390" i="2"/>
  <c r="AB389" i="2"/>
  <c r="AA389" i="2"/>
  <c r="Z389" i="2"/>
  <c r="Y389" i="2"/>
  <c r="X389" i="2"/>
  <c r="W389" i="2"/>
  <c r="V389" i="2"/>
  <c r="AB388" i="2"/>
  <c r="AA388" i="2"/>
  <c r="Z388" i="2"/>
  <c r="Y388" i="2"/>
  <c r="X388" i="2"/>
  <c r="W388" i="2"/>
  <c r="V388" i="2"/>
  <c r="AB387" i="2"/>
  <c r="AA387" i="2"/>
  <c r="Z387" i="2"/>
  <c r="Y387" i="2"/>
  <c r="X387" i="2"/>
  <c r="W387" i="2"/>
  <c r="V387" i="2"/>
  <c r="AB386" i="2"/>
  <c r="AA386" i="2"/>
  <c r="Z386" i="2"/>
  <c r="Y386" i="2"/>
  <c r="X386" i="2"/>
  <c r="W386" i="2"/>
  <c r="V386" i="2"/>
  <c r="AB385" i="2"/>
  <c r="AA385" i="2"/>
  <c r="Z385" i="2"/>
  <c r="Y385" i="2"/>
  <c r="X385" i="2"/>
  <c r="W385" i="2"/>
  <c r="V385" i="2"/>
  <c r="AB384" i="2"/>
  <c r="AA384" i="2"/>
  <c r="Z384" i="2"/>
  <c r="Y384" i="2"/>
  <c r="X384" i="2"/>
  <c r="W384" i="2"/>
  <c r="V384" i="2"/>
  <c r="AB383" i="2"/>
  <c r="AA383" i="2"/>
  <c r="Z383" i="2"/>
  <c r="Y383" i="2"/>
  <c r="X383" i="2"/>
  <c r="W383" i="2"/>
  <c r="V383" i="2"/>
  <c r="AB382" i="2"/>
  <c r="AA382" i="2"/>
  <c r="Z382" i="2"/>
  <c r="Y382" i="2"/>
  <c r="X382" i="2"/>
  <c r="W382" i="2"/>
  <c r="V382" i="2"/>
  <c r="AB381" i="2"/>
  <c r="AA381" i="2"/>
  <c r="Z381" i="2"/>
  <c r="Y381" i="2"/>
  <c r="X381" i="2"/>
  <c r="W381" i="2"/>
  <c r="V381" i="2"/>
  <c r="AB380" i="2"/>
  <c r="AA380" i="2"/>
  <c r="Z380" i="2"/>
  <c r="Y380" i="2"/>
  <c r="X380" i="2"/>
  <c r="W380" i="2"/>
  <c r="V380" i="2"/>
  <c r="AB379" i="2"/>
  <c r="AA379" i="2"/>
  <c r="Z379" i="2"/>
  <c r="Y379" i="2"/>
  <c r="X379" i="2"/>
  <c r="W379" i="2"/>
  <c r="V379" i="2"/>
  <c r="AB378" i="2"/>
  <c r="AA378" i="2"/>
  <c r="Z378" i="2"/>
  <c r="Y378" i="2"/>
  <c r="X378" i="2"/>
  <c r="W378" i="2"/>
  <c r="V378" i="2"/>
  <c r="AB377" i="2"/>
  <c r="AA377" i="2"/>
  <c r="Z377" i="2"/>
  <c r="Y377" i="2"/>
  <c r="X377" i="2"/>
  <c r="W377" i="2"/>
  <c r="V377" i="2"/>
  <c r="AB376" i="2"/>
  <c r="AA376" i="2"/>
  <c r="Z376" i="2"/>
  <c r="Y376" i="2"/>
  <c r="X376" i="2"/>
  <c r="W376" i="2"/>
  <c r="V376" i="2"/>
  <c r="AB375" i="2"/>
  <c r="AA375" i="2"/>
  <c r="Z375" i="2"/>
  <c r="Y375" i="2"/>
  <c r="X375" i="2"/>
  <c r="W375" i="2"/>
  <c r="V375" i="2"/>
  <c r="AB374" i="2"/>
  <c r="AA374" i="2"/>
  <c r="Z374" i="2"/>
  <c r="Y374" i="2"/>
  <c r="X374" i="2"/>
  <c r="W374" i="2"/>
  <c r="V374" i="2"/>
  <c r="AB373" i="2"/>
  <c r="AA373" i="2"/>
  <c r="Z373" i="2"/>
  <c r="Y373" i="2"/>
  <c r="X373" i="2"/>
  <c r="W373" i="2"/>
  <c r="V373" i="2"/>
  <c r="AB372" i="2"/>
  <c r="AA372" i="2"/>
  <c r="Z372" i="2"/>
  <c r="Y372" i="2"/>
  <c r="X372" i="2"/>
  <c r="W372" i="2"/>
  <c r="V372" i="2"/>
  <c r="AB371" i="2"/>
  <c r="AA371" i="2"/>
  <c r="Z371" i="2"/>
  <c r="Y371" i="2"/>
  <c r="X371" i="2"/>
  <c r="W371" i="2"/>
  <c r="V371" i="2"/>
  <c r="AB370" i="2"/>
  <c r="AA370" i="2"/>
  <c r="Z370" i="2"/>
  <c r="Y370" i="2"/>
  <c r="X370" i="2"/>
  <c r="W370" i="2"/>
  <c r="V370" i="2"/>
  <c r="AB369" i="2"/>
  <c r="AA369" i="2"/>
  <c r="Z369" i="2"/>
  <c r="Y369" i="2"/>
  <c r="X369" i="2"/>
  <c r="W369" i="2"/>
  <c r="V369" i="2"/>
  <c r="AB368" i="2"/>
  <c r="AA368" i="2"/>
  <c r="Z368" i="2"/>
  <c r="Y368" i="2"/>
  <c r="X368" i="2"/>
  <c r="W368" i="2"/>
  <c r="V368" i="2"/>
  <c r="AB367" i="2"/>
  <c r="AA367" i="2"/>
  <c r="Z367" i="2"/>
  <c r="Y367" i="2"/>
  <c r="X367" i="2"/>
  <c r="W367" i="2"/>
  <c r="V367" i="2"/>
  <c r="AB366" i="2"/>
  <c r="AA366" i="2"/>
  <c r="Z366" i="2"/>
  <c r="Y366" i="2"/>
  <c r="X366" i="2"/>
  <c r="W366" i="2"/>
  <c r="V366" i="2"/>
  <c r="AB365" i="2"/>
  <c r="AA365" i="2"/>
  <c r="Z365" i="2"/>
  <c r="Y365" i="2"/>
  <c r="X365" i="2"/>
  <c r="W365" i="2"/>
  <c r="V365" i="2"/>
  <c r="AB364" i="2"/>
  <c r="AA364" i="2"/>
  <c r="Z364" i="2"/>
  <c r="Y364" i="2"/>
  <c r="X364" i="2"/>
  <c r="W364" i="2"/>
  <c r="V364" i="2"/>
  <c r="AB363" i="2"/>
  <c r="AA363" i="2"/>
  <c r="Z363" i="2"/>
  <c r="Y363" i="2"/>
  <c r="X363" i="2"/>
  <c r="W363" i="2"/>
  <c r="V363" i="2"/>
  <c r="AB362" i="2"/>
  <c r="AA362" i="2"/>
  <c r="Z362" i="2"/>
  <c r="Y362" i="2"/>
  <c r="X362" i="2"/>
  <c r="W362" i="2"/>
  <c r="V362" i="2"/>
  <c r="AB361" i="2"/>
  <c r="AA361" i="2"/>
  <c r="Z361" i="2"/>
  <c r="Y361" i="2"/>
  <c r="X361" i="2"/>
  <c r="W361" i="2"/>
  <c r="V361" i="2"/>
  <c r="AB360" i="2"/>
  <c r="AA360" i="2"/>
  <c r="Z360" i="2"/>
  <c r="Y360" i="2"/>
  <c r="X360" i="2"/>
  <c r="W360" i="2"/>
  <c r="V360" i="2"/>
  <c r="AB359" i="2"/>
  <c r="AA359" i="2"/>
  <c r="Z359" i="2"/>
  <c r="Y359" i="2"/>
  <c r="X359" i="2"/>
  <c r="W359" i="2"/>
  <c r="V359" i="2"/>
  <c r="AB358" i="2"/>
  <c r="AA358" i="2"/>
  <c r="Z358" i="2"/>
  <c r="Y358" i="2"/>
  <c r="X358" i="2"/>
  <c r="W358" i="2"/>
  <c r="V358" i="2"/>
  <c r="AB357" i="2"/>
  <c r="AA357" i="2"/>
  <c r="Z357" i="2"/>
  <c r="Y357" i="2"/>
  <c r="X357" i="2"/>
  <c r="W357" i="2"/>
  <c r="V357" i="2"/>
  <c r="AB356" i="2"/>
  <c r="AA356" i="2"/>
  <c r="Z356" i="2"/>
  <c r="Y356" i="2"/>
  <c r="X356" i="2"/>
  <c r="W356" i="2"/>
  <c r="V356" i="2"/>
  <c r="AB355" i="2"/>
  <c r="AA355" i="2"/>
  <c r="Z355" i="2"/>
  <c r="Y355" i="2"/>
  <c r="X355" i="2"/>
  <c r="W355" i="2"/>
  <c r="V355" i="2"/>
  <c r="AB354" i="2"/>
  <c r="AA354" i="2"/>
  <c r="Z354" i="2"/>
  <c r="Y354" i="2"/>
  <c r="X354" i="2"/>
  <c r="W354" i="2"/>
  <c r="V354" i="2"/>
  <c r="AB353" i="2"/>
  <c r="AA353" i="2"/>
  <c r="Z353" i="2"/>
  <c r="Y353" i="2"/>
  <c r="X353" i="2"/>
  <c r="W353" i="2"/>
  <c r="V353" i="2"/>
  <c r="AB352" i="2"/>
  <c r="AA352" i="2"/>
  <c r="Z352" i="2"/>
  <c r="Y352" i="2"/>
  <c r="X352" i="2"/>
  <c r="W352" i="2"/>
  <c r="V352" i="2"/>
  <c r="AB351" i="2"/>
  <c r="AA351" i="2"/>
  <c r="Z351" i="2"/>
  <c r="Y351" i="2"/>
  <c r="X351" i="2"/>
  <c r="W351" i="2"/>
  <c r="V351" i="2"/>
  <c r="AB350" i="2"/>
  <c r="AA350" i="2"/>
  <c r="Z350" i="2"/>
  <c r="Y350" i="2"/>
  <c r="X350" i="2"/>
  <c r="W350" i="2"/>
  <c r="V350" i="2"/>
  <c r="AB349" i="2"/>
  <c r="AA349" i="2"/>
  <c r="Z349" i="2"/>
  <c r="Y349" i="2"/>
  <c r="X349" i="2"/>
  <c r="W349" i="2"/>
  <c r="V349" i="2"/>
  <c r="AB348" i="2"/>
  <c r="AA348" i="2"/>
  <c r="Z348" i="2"/>
  <c r="Y348" i="2"/>
  <c r="X348" i="2"/>
  <c r="W348" i="2"/>
  <c r="V348" i="2"/>
  <c r="AB347" i="2"/>
  <c r="AA347" i="2"/>
  <c r="Z347" i="2"/>
  <c r="Y347" i="2"/>
  <c r="X347" i="2"/>
  <c r="W347" i="2"/>
  <c r="V347" i="2"/>
  <c r="AB346" i="2"/>
  <c r="AA346" i="2"/>
  <c r="Z346" i="2"/>
  <c r="Y346" i="2"/>
  <c r="X346" i="2"/>
  <c r="W346" i="2"/>
  <c r="V346" i="2"/>
  <c r="AB345" i="2"/>
  <c r="AA345" i="2"/>
  <c r="Z345" i="2"/>
  <c r="Y345" i="2"/>
  <c r="X345" i="2"/>
  <c r="W345" i="2"/>
  <c r="V345" i="2"/>
  <c r="AB344" i="2"/>
  <c r="AA344" i="2"/>
  <c r="Z344" i="2"/>
  <c r="Y344" i="2"/>
  <c r="X344" i="2"/>
  <c r="W344" i="2"/>
  <c r="V344" i="2"/>
  <c r="AB343" i="2"/>
  <c r="AA343" i="2"/>
  <c r="Z343" i="2"/>
  <c r="Y343" i="2"/>
  <c r="X343" i="2"/>
  <c r="W343" i="2"/>
  <c r="V343" i="2"/>
  <c r="AB342" i="2"/>
  <c r="AA342" i="2"/>
  <c r="Z342" i="2"/>
  <c r="Y342" i="2"/>
  <c r="X342" i="2"/>
  <c r="W342" i="2"/>
  <c r="V342" i="2"/>
  <c r="AB341" i="2"/>
  <c r="AA341" i="2"/>
  <c r="Z341" i="2"/>
  <c r="Y341" i="2"/>
  <c r="X341" i="2"/>
  <c r="W341" i="2"/>
  <c r="V341" i="2"/>
  <c r="AB340" i="2"/>
  <c r="AA340" i="2"/>
  <c r="Z340" i="2"/>
  <c r="Y340" i="2"/>
  <c r="X340" i="2"/>
  <c r="W340" i="2"/>
  <c r="V340" i="2"/>
  <c r="AB339" i="2"/>
  <c r="AA339" i="2"/>
  <c r="Z339" i="2"/>
  <c r="Y339" i="2"/>
  <c r="X339" i="2"/>
  <c r="W339" i="2"/>
  <c r="V339" i="2"/>
  <c r="AB338" i="2"/>
  <c r="AA338" i="2"/>
  <c r="Z338" i="2"/>
  <c r="Y338" i="2"/>
  <c r="X338" i="2"/>
  <c r="W338" i="2"/>
  <c r="V338" i="2"/>
  <c r="AB337" i="2"/>
  <c r="AA337" i="2"/>
  <c r="Z337" i="2"/>
  <c r="Y337" i="2"/>
  <c r="X337" i="2"/>
  <c r="W337" i="2"/>
  <c r="V337" i="2"/>
  <c r="AB336" i="2"/>
  <c r="AA336" i="2"/>
  <c r="Z336" i="2"/>
  <c r="Y336" i="2"/>
  <c r="X336" i="2"/>
  <c r="W336" i="2"/>
  <c r="V336" i="2"/>
  <c r="AB335" i="2"/>
  <c r="AA335" i="2"/>
  <c r="Z335" i="2"/>
  <c r="Y335" i="2"/>
  <c r="X335" i="2"/>
  <c r="W335" i="2"/>
  <c r="V335" i="2"/>
  <c r="AB334" i="2"/>
  <c r="AA334" i="2"/>
  <c r="Z334" i="2"/>
  <c r="Y334" i="2"/>
  <c r="X334" i="2"/>
  <c r="W334" i="2"/>
  <c r="V334" i="2"/>
  <c r="AB333" i="2"/>
  <c r="AA333" i="2"/>
  <c r="Z333" i="2"/>
  <c r="Y333" i="2"/>
  <c r="X333" i="2"/>
  <c r="W333" i="2"/>
  <c r="V333" i="2"/>
  <c r="AB332" i="2"/>
  <c r="AA332" i="2"/>
  <c r="Z332" i="2"/>
  <c r="Y332" i="2"/>
  <c r="X332" i="2"/>
  <c r="W332" i="2"/>
  <c r="V332" i="2"/>
  <c r="AB331" i="2"/>
  <c r="AA331" i="2"/>
  <c r="Z331" i="2"/>
  <c r="Y331" i="2"/>
  <c r="X331" i="2"/>
  <c r="W331" i="2"/>
  <c r="V331" i="2"/>
  <c r="AB330" i="2"/>
  <c r="AA330" i="2"/>
  <c r="Z330" i="2"/>
  <c r="Y330" i="2"/>
  <c r="X330" i="2"/>
  <c r="W330" i="2"/>
  <c r="V330" i="2"/>
  <c r="AB329" i="2"/>
  <c r="AA329" i="2"/>
  <c r="Z329" i="2"/>
  <c r="Y329" i="2"/>
  <c r="X329" i="2"/>
  <c r="W329" i="2"/>
  <c r="V329" i="2"/>
  <c r="AB328" i="2"/>
  <c r="AA328" i="2"/>
  <c r="Z328" i="2"/>
  <c r="Y328" i="2"/>
  <c r="X328" i="2"/>
  <c r="W328" i="2"/>
  <c r="V328" i="2"/>
  <c r="AB327" i="2"/>
  <c r="AA327" i="2"/>
  <c r="Z327" i="2"/>
  <c r="Y327" i="2"/>
  <c r="X327" i="2"/>
  <c r="W327" i="2"/>
  <c r="V327" i="2"/>
  <c r="AB326" i="2"/>
  <c r="AA326" i="2"/>
  <c r="Z326" i="2"/>
  <c r="Y326" i="2"/>
  <c r="X326" i="2"/>
  <c r="W326" i="2"/>
  <c r="V326" i="2"/>
  <c r="AB325" i="2"/>
  <c r="AA325" i="2"/>
  <c r="Z325" i="2"/>
  <c r="Y325" i="2"/>
  <c r="X325" i="2"/>
  <c r="W325" i="2"/>
  <c r="V325" i="2"/>
  <c r="AB324" i="2"/>
  <c r="AA324" i="2"/>
  <c r="Z324" i="2"/>
  <c r="Y324" i="2"/>
  <c r="X324" i="2"/>
  <c r="W324" i="2"/>
  <c r="V324" i="2"/>
  <c r="AB323" i="2"/>
  <c r="AA323" i="2"/>
  <c r="Z323" i="2"/>
  <c r="Y323" i="2"/>
  <c r="X323" i="2"/>
  <c r="W323" i="2"/>
  <c r="V323" i="2"/>
  <c r="AB322" i="2"/>
  <c r="AA322" i="2"/>
  <c r="Z322" i="2"/>
  <c r="Y322" i="2"/>
  <c r="X322" i="2"/>
  <c r="W322" i="2"/>
  <c r="V322" i="2"/>
  <c r="AB321" i="2"/>
  <c r="AA321" i="2"/>
  <c r="Z321" i="2"/>
  <c r="Y321" i="2"/>
  <c r="X321" i="2"/>
  <c r="W321" i="2"/>
  <c r="V321" i="2"/>
  <c r="AB320" i="2"/>
  <c r="AA320" i="2"/>
  <c r="Z320" i="2"/>
  <c r="Y320" i="2"/>
  <c r="X320" i="2"/>
  <c r="W320" i="2"/>
  <c r="V320" i="2"/>
  <c r="AB319" i="2"/>
  <c r="AA319" i="2"/>
  <c r="Z319" i="2"/>
  <c r="Y319" i="2"/>
  <c r="X319" i="2"/>
  <c r="W319" i="2"/>
  <c r="V319" i="2"/>
  <c r="AB318" i="2"/>
  <c r="AA318" i="2"/>
  <c r="Z318" i="2"/>
  <c r="Y318" i="2"/>
  <c r="X318" i="2"/>
  <c r="W318" i="2"/>
  <c r="V318" i="2"/>
  <c r="AB317" i="2"/>
  <c r="AA317" i="2"/>
  <c r="Z317" i="2"/>
  <c r="Y317" i="2"/>
  <c r="X317" i="2"/>
  <c r="W317" i="2"/>
  <c r="V317" i="2"/>
  <c r="AB316" i="2"/>
  <c r="AA316" i="2"/>
  <c r="Z316" i="2"/>
  <c r="Y316" i="2"/>
  <c r="X316" i="2"/>
  <c r="W316" i="2"/>
  <c r="V316" i="2"/>
  <c r="AB315" i="2"/>
  <c r="AA315" i="2"/>
  <c r="Z315" i="2"/>
  <c r="Y315" i="2"/>
  <c r="X315" i="2"/>
  <c r="W315" i="2"/>
  <c r="V315" i="2"/>
  <c r="AB314" i="2"/>
  <c r="AA314" i="2"/>
  <c r="Z314" i="2"/>
  <c r="Y314" i="2"/>
  <c r="X314" i="2"/>
  <c r="W314" i="2"/>
  <c r="V314" i="2"/>
  <c r="AB313" i="2"/>
  <c r="AA313" i="2"/>
  <c r="Z313" i="2"/>
  <c r="Y313" i="2"/>
  <c r="X313" i="2"/>
  <c r="W313" i="2"/>
  <c r="V313" i="2"/>
  <c r="AB312" i="2"/>
  <c r="AA312" i="2"/>
  <c r="Z312" i="2"/>
  <c r="Y312" i="2"/>
  <c r="X312" i="2"/>
  <c r="W312" i="2"/>
  <c r="V312" i="2"/>
  <c r="AB311" i="2"/>
  <c r="AA311" i="2"/>
  <c r="Z311" i="2"/>
  <c r="Y311" i="2"/>
  <c r="X311" i="2"/>
  <c r="W311" i="2"/>
  <c r="V311" i="2"/>
  <c r="AB310" i="2"/>
  <c r="AA310" i="2"/>
  <c r="Z310" i="2"/>
  <c r="Y310" i="2"/>
  <c r="X310" i="2"/>
  <c r="W310" i="2"/>
  <c r="V310" i="2"/>
  <c r="AB309" i="2"/>
  <c r="AA309" i="2"/>
  <c r="Z309" i="2"/>
  <c r="Y309" i="2"/>
  <c r="X309" i="2"/>
  <c r="W309" i="2"/>
  <c r="V309" i="2"/>
  <c r="AB308" i="2"/>
  <c r="AA308" i="2"/>
  <c r="Z308" i="2"/>
  <c r="Y308" i="2"/>
  <c r="X308" i="2"/>
  <c r="W308" i="2"/>
  <c r="V308" i="2"/>
  <c r="AB307" i="2"/>
  <c r="AA307" i="2"/>
  <c r="Z307" i="2"/>
  <c r="Y307" i="2"/>
  <c r="X307" i="2"/>
  <c r="W307" i="2"/>
  <c r="V307" i="2"/>
  <c r="AB306" i="2"/>
  <c r="AA306" i="2"/>
  <c r="Z306" i="2"/>
  <c r="Y306" i="2"/>
  <c r="X306" i="2"/>
  <c r="W306" i="2"/>
  <c r="V306" i="2"/>
  <c r="AB305" i="2"/>
  <c r="AA305" i="2"/>
  <c r="Z305" i="2"/>
  <c r="Y305" i="2"/>
  <c r="X305" i="2"/>
  <c r="W305" i="2"/>
  <c r="V305" i="2"/>
  <c r="AB304" i="2"/>
  <c r="AA304" i="2"/>
  <c r="Z304" i="2"/>
  <c r="Y304" i="2"/>
  <c r="X304" i="2"/>
  <c r="W304" i="2"/>
  <c r="V304" i="2"/>
  <c r="AB303" i="2"/>
  <c r="AA303" i="2"/>
  <c r="Z303" i="2"/>
  <c r="Y303" i="2"/>
  <c r="X303" i="2"/>
  <c r="W303" i="2"/>
  <c r="V303" i="2"/>
  <c r="AB302" i="2"/>
  <c r="AA302" i="2"/>
  <c r="Z302" i="2"/>
  <c r="Y302" i="2"/>
  <c r="X302" i="2"/>
  <c r="W302" i="2"/>
  <c r="V302" i="2"/>
  <c r="AB301" i="2"/>
  <c r="AA301" i="2"/>
  <c r="Z301" i="2"/>
  <c r="Y301" i="2"/>
  <c r="X301" i="2"/>
  <c r="W301" i="2"/>
  <c r="V301" i="2"/>
  <c r="AB300" i="2"/>
  <c r="AA300" i="2"/>
  <c r="Z300" i="2"/>
  <c r="Y300" i="2"/>
  <c r="X300" i="2"/>
  <c r="W300" i="2"/>
  <c r="V300" i="2"/>
  <c r="AB299" i="2"/>
  <c r="AA299" i="2"/>
  <c r="Z299" i="2"/>
  <c r="Y299" i="2"/>
  <c r="X299" i="2"/>
  <c r="W299" i="2"/>
  <c r="V299" i="2"/>
  <c r="AB298" i="2"/>
  <c r="AA298" i="2"/>
  <c r="Z298" i="2"/>
  <c r="Y298" i="2"/>
  <c r="X298" i="2"/>
  <c r="W298" i="2"/>
  <c r="V298" i="2"/>
  <c r="AB297" i="2"/>
  <c r="AA297" i="2"/>
  <c r="Z297" i="2"/>
  <c r="Y297" i="2"/>
  <c r="X297" i="2"/>
  <c r="W297" i="2"/>
  <c r="V297" i="2"/>
  <c r="AB296" i="2"/>
  <c r="AA296" i="2"/>
  <c r="Z296" i="2"/>
  <c r="Y296" i="2"/>
  <c r="X296" i="2"/>
  <c r="W296" i="2"/>
  <c r="V296" i="2"/>
  <c r="AB295" i="2"/>
  <c r="AA295" i="2"/>
  <c r="Z295" i="2"/>
  <c r="Y295" i="2"/>
  <c r="X295" i="2"/>
  <c r="W295" i="2"/>
  <c r="V295" i="2"/>
  <c r="AB294" i="2"/>
  <c r="AA294" i="2"/>
  <c r="Z294" i="2"/>
  <c r="Y294" i="2"/>
  <c r="X294" i="2"/>
  <c r="W294" i="2"/>
  <c r="V294" i="2"/>
  <c r="AB293" i="2"/>
  <c r="AA293" i="2"/>
  <c r="Z293" i="2"/>
  <c r="Y293" i="2"/>
  <c r="X293" i="2"/>
  <c r="W293" i="2"/>
  <c r="V293" i="2"/>
  <c r="AB292" i="2"/>
  <c r="AA292" i="2"/>
  <c r="Z292" i="2"/>
  <c r="Y292" i="2"/>
  <c r="X292" i="2"/>
  <c r="W292" i="2"/>
  <c r="V292" i="2"/>
  <c r="AB291" i="2"/>
  <c r="AA291" i="2"/>
  <c r="Z291" i="2"/>
  <c r="Y291" i="2"/>
  <c r="X291" i="2"/>
  <c r="W291" i="2"/>
  <c r="V291" i="2"/>
  <c r="AB290" i="2"/>
  <c r="AA290" i="2"/>
  <c r="Z290" i="2"/>
  <c r="Y290" i="2"/>
  <c r="X290" i="2"/>
  <c r="W290" i="2"/>
  <c r="V290" i="2"/>
  <c r="AB289" i="2"/>
  <c r="AA289" i="2"/>
  <c r="Z289" i="2"/>
  <c r="Y289" i="2"/>
  <c r="X289" i="2"/>
  <c r="W289" i="2"/>
  <c r="V289" i="2"/>
  <c r="AB288" i="2"/>
  <c r="AA288" i="2"/>
  <c r="Z288" i="2"/>
  <c r="Y288" i="2"/>
  <c r="X288" i="2"/>
  <c r="W288" i="2"/>
  <c r="V288" i="2"/>
  <c r="AB287" i="2"/>
  <c r="AA287" i="2"/>
  <c r="Z287" i="2"/>
  <c r="Y287" i="2"/>
  <c r="X287" i="2"/>
  <c r="W287" i="2"/>
  <c r="V287" i="2"/>
  <c r="AB286" i="2"/>
  <c r="AA286" i="2"/>
  <c r="Z286" i="2"/>
  <c r="Y286" i="2"/>
  <c r="X286" i="2"/>
  <c r="W286" i="2"/>
  <c r="V286" i="2"/>
  <c r="AB285" i="2"/>
  <c r="AA285" i="2"/>
  <c r="Z285" i="2"/>
  <c r="Y285" i="2"/>
  <c r="X285" i="2"/>
  <c r="W285" i="2"/>
  <c r="V285" i="2"/>
  <c r="AB284" i="2"/>
  <c r="AA284" i="2"/>
  <c r="Z284" i="2"/>
  <c r="Y284" i="2"/>
  <c r="X284" i="2"/>
  <c r="W284" i="2"/>
  <c r="V284" i="2"/>
  <c r="AB283" i="2"/>
  <c r="AA283" i="2"/>
  <c r="Z283" i="2"/>
  <c r="Y283" i="2"/>
  <c r="X283" i="2"/>
  <c r="W283" i="2"/>
  <c r="V283" i="2"/>
  <c r="AB282" i="2"/>
  <c r="AA282" i="2"/>
  <c r="Z282" i="2"/>
  <c r="Y282" i="2"/>
  <c r="X282" i="2"/>
  <c r="W282" i="2"/>
  <c r="V282" i="2"/>
  <c r="AB281" i="2"/>
  <c r="AA281" i="2"/>
  <c r="Z281" i="2"/>
  <c r="Y281" i="2"/>
  <c r="X281" i="2"/>
  <c r="W281" i="2"/>
  <c r="V281" i="2"/>
  <c r="AB280" i="2"/>
  <c r="AA280" i="2"/>
  <c r="Z280" i="2"/>
  <c r="Y280" i="2"/>
  <c r="X280" i="2"/>
  <c r="W280" i="2"/>
  <c r="V280" i="2"/>
  <c r="AB279" i="2"/>
  <c r="AA279" i="2"/>
  <c r="Z279" i="2"/>
  <c r="Y279" i="2"/>
  <c r="X279" i="2"/>
  <c r="W279" i="2"/>
  <c r="V279" i="2"/>
  <c r="AB278" i="2"/>
  <c r="AA278" i="2"/>
  <c r="Z278" i="2"/>
  <c r="Y278" i="2"/>
  <c r="X278" i="2"/>
  <c r="W278" i="2"/>
  <c r="V278" i="2"/>
  <c r="AB277" i="2"/>
  <c r="AA277" i="2"/>
  <c r="Z277" i="2"/>
  <c r="Y277" i="2"/>
  <c r="X277" i="2"/>
  <c r="W277" i="2"/>
  <c r="V277" i="2"/>
  <c r="AB276" i="2"/>
  <c r="AA276" i="2"/>
  <c r="Z276" i="2"/>
  <c r="Y276" i="2"/>
  <c r="X276" i="2"/>
  <c r="W276" i="2"/>
  <c r="V276" i="2"/>
  <c r="AB275" i="2"/>
  <c r="AA275" i="2"/>
  <c r="Z275" i="2"/>
  <c r="Y275" i="2"/>
  <c r="X275" i="2"/>
  <c r="W275" i="2"/>
  <c r="V275" i="2"/>
  <c r="AB274" i="2"/>
  <c r="AA274" i="2"/>
  <c r="Z274" i="2"/>
  <c r="Y274" i="2"/>
  <c r="X274" i="2"/>
  <c r="W274" i="2"/>
  <c r="V274" i="2"/>
  <c r="AB273" i="2"/>
  <c r="AA273" i="2"/>
  <c r="Z273" i="2"/>
  <c r="Y273" i="2"/>
  <c r="X273" i="2"/>
  <c r="W273" i="2"/>
  <c r="V273" i="2"/>
  <c r="AB272" i="2"/>
  <c r="AA272" i="2"/>
  <c r="Z272" i="2"/>
  <c r="Y272" i="2"/>
  <c r="X272" i="2"/>
  <c r="W272" i="2"/>
  <c r="V272" i="2"/>
  <c r="AB271" i="2"/>
  <c r="AA271" i="2"/>
  <c r="Z271" i="2"/>
  <c r="Y271" i="2"/>
  <c r="X271" i="2"/>
  <c r="W271" i="2"/>
  <c r="V271" i="2"/>
  <c r="AB270" i="2"/>
  <c r="AA270" i="2"/>
  <c r="Z270" i="2"/>
  <c r="Y270" i="2"/>
  <c r="X270" i="2"/>
  <c r="W270" i="2"/>
  <c r="V270" i="2"/>
  <c r="AB269" i="2"/>
  <c r="AA269" i="2"/>
  <c r="Z269" i="2"/>
  <c r="Y269" i="2"/>
  <c r="X269" i="2"/>
  <c r="W269" i="2"/>
  <c r="V269" i="2"/>
  <c r="AB268" i="2"/>
  <c r="AA268" i="2"/>
  <c r="Z268" i="2"/>
  <c r="Y268" i="2"/>
  <c r="X268" i="2"/>
  <c r="W268" i="2"/>
  <c r="V268" i="2"/>
  <c r="AB267" i="2"/>
  <c r="AA267" i="2"/>
  <c r="Z267" i="2"/>
  <c r="Y267" i="2"/>
  <c r="X267" i="2"/>
  <c r="W267" i="2"/>
  <c r="V267" i="2"/>
  <c r="AB266" i="2"/>
  <c r="AA266" i="2"/>
  <c r="Z266" i="2"/>
  <c r="Y266" i="2"/>
  <c r="X266" i="2"/>
  <c r="W266" i="2"/>
  <c r="V266" i="2"/>
  <c r="AB265" i="2"/>
  <c r="AA265" i="2"/>
  <c r="Z265" i="2"/>
  <c r="Y265" i="2"/>
  <c r="X265" i="2"/>
  <c r="W265" i="2"/>
  <c r="V265" i="2"/>
  <c r="AB264" i="2"/>
  <c r="AA264" i="2"/>
  <c r="Z264" i="2"/>
  <c r="Y264" i="2"/>
  <c r="X264" i="2"/>
  <c r="W264" i="2"/>
  <c r="V264" i="2"/>
  <c r="AB263" i="2"/>
  <c r="AA263" i="2"/>
  <c r="Z263" i="2"/>
  <c r="Y263" i="2"/>
  <c r="X263" i="2"/>
  <c r="W263" i="2"/>
  <c r="V263" i="2"/>
  <c r="AB262" i="2"/>
  <c r="AA262" i="2"/>
  <c r="Z262" i="2"/>
  <c r="Y262" i="2"/>
  <c r="X262" i="2"/>
  <c r="W262" i="2"/>
  <c r="V262" i="2"/>
  <c r="AB261" i="2"/>
  <c r="AA261" i="2"/>
  <c r="Z261" i="2"/>
  <c r="Y261" i="2"/>
  <c r="X261" i="2"/>
  <c r="W261" i="2"/>
  <c r="V261" i="2"/>
  <c r="AB260" i="2"/>
  <c r="AA260" i="2"/>
  <c r="Z260" i="2"/>
  <c r="Y260" i="2"/>
  <c r="X260" i="2"/>
  <c r="W260" i="2"/>
  <c r="V260" i="2"/>
  <c r="AB259" i="2"/>
  <c r="AA259" i="2"/>
  <c r="Z259" i="2"/>
  <c r="Y259" i="2"/>
  <c r="X259" i="2"/>
  <c r="W259" i="2"/>
  <c r="V259" i="2"/>
  <c r="AB258" i="2"/>
  <c r="AA258" i="2"/>
  <c r="Z258" i="2"/>
  <c r="Y258" i="2"/>
  <c r="X258" i="2"/>
  <c r="W258" i="2"/>
  <c r="V258" i="2"/>
  <c r="AB257" i="2"/>
  <c r="AA257" i="2"/>
  <c r="Z257" i="2"/>
  <c r="Y257" i="2"/>
  <c r="X257" i="2"/>
  <c r="W257" i="2"/>
  <c r="V257" i="2"/>
  <c r="AB256" i="2"/>
  <c r="AA256" i="2"/>
  <c r="Z256" i="2"/>
  <c r="Y256" i="2"/>
  <c r="X256" i="2"/>
  <c r="W256" i="2"/>
  <c r="V256" i="2"/>
  <c r="AB255" i="2"/>
  <c r="AA255" i="2"/>
  <c r="Z255" i="2"/>
  <c r="Y255" i="2"/>
  <c r="X255" i="2"/>
  <c r="W255" i="2"/>
  <c r="V255" i="2"/>
  <c r="AB254" i="2"/>
  <c r="AA254" i="2"/>
  <c r="Z254" i="2"/>
  <c r="Y254" i="2"/>
  <c r="X254" i="2"/>
  <c r="W254" i="2"/>
  <c r="V254" i="2"/>
  <c r="AB253" i="2"/>
  <c r="AA253" i="2"/>
  <c r="Z253" i="2"/>
  <c r="Y253" i="2"/>
  <c r="X253" i="2"/>
  <c r="W253" i="2"/>
  <c r="V253" i="2"/>
  <c r="AB252" i="2"/>
  <c r="AA252" i="2"/>
  <c r="Z252" i="2"/>
  <c r="Y252" i="2"/>
  <c r="X252" i="2"/>
  <c r="W252" i="2"/>
  <c r="V252" i="2"/>
  <c r="AB251" i="2"/>
  <c r="AA251" i="2"/>
  <c r="Z251" i="2"/>
  <c r="Y251" i="2"/>
  <c r="X251" i="2"/>
  <c r="W251" i="2"/>
  <c r="V251" i="2"/>
  <c r="AB250" i="2"/>
  <c r="AA250" i="2"/>
  <c r="Z250" i="2"/>
  <c r="Y250" i="2"/>
  <c r="X250" i="2"/>
  <c r="W250" i="2"/>
  <c r="V250" i="2"/>
  <c r="AB249" i="2"/>
  <c r="AA249" i="2"/>
  <c r="Z249" i="2"/>
  <c r="Y249" i="2"/>
  <c r="X249" i="2"/>
  <c r="W249" i="2"/>
  <c r="V249" i="2"/>
  <c r="AB248" i="2"/>
  <c r="AA248" i="2"/>
  <c r="Z248" i="2"/>
  <c r="Y248" i="2"/>
  <c r="X248" i="2"/>
  <c r="W248" i="2"/>
  <c r="V248" i="2"/>
  <c r="AB247" i="2"/>
  <c r="AA247" i="2"/>
  <c r="Z247" i="2"/>
  <c r="Y247" i="2"/>
  <c r="X247" i="2"/>
  <c r="W247" i="2"/>
  <c r="V247" i="2"/>
  <c r="AB246" i="2"/>
  <c r="AA246" i="2"/>
  <c r="Z246" i="2"/>
  <c r="Y246" i="2"/>
  <c r="X246" i="2"/>
  <c r="W246" i="2"/>
  <c r="V246" i="2"/>
  <c r="AB245" i="2"/>
  <c r="AA245" i="2"/>
  <c r="Z245" i="2"/>
  <c r="Y245" i="2"/>
  <c r="X245" i="2"/>
  <c r="W245" i="2"/>
  <c r="V245" i="2"/>
  <c r="AB244" i="2"/>
  <c r="AA244" i="2"/>
  <c r="Z244" i="2"/>
  <c r="Y244" i="2"/>
  <c r="X244" i="2"/>
  <c r="W244" i="2"/>
  <c r="V244" i="2"/>
  <c r="AB243" i="2"/>
  <c r="AA243" i="2"/>
  <c r="Z243" i="2"/>
  <c r="Y243" i="2"/>
  <c r="X243" i="2"/>
  <c r="W243" i="2"/>
  <c r="V243" i="2"/>
  <c r="AB242" i="2"/>
  <c r="AA242" i="2"/>
  <c r="Z242" i="2"/>
  <c r="Y242" i="2"/>
  <c r="X242" i="2"/>
  <c r="W242" i="2"/>
  <c r="V242" i="2"/>
  <c r="AB241" i="2"/>
  <c r="AA241" i="2"/>
  <c r="Z241" i="2"/>
  <c r="Y241" i="2"/>
  <c r="X241" i="2"/>
  <c r="W241" i="2"/>
  <c r="V241" i="2"/>
  <c r="AB240" i="2"/>
  <c r="AA240" i="2"/>
  <c r="Z240" i="2"/>
  <c r="Y240" i="2"/>
  <c r="X240" i="2"/>
  <c r="W240" i="2"/>
  <c r="V240" i="2"/>
  <c r="AB239" i="2"/>
  <c r="AA239" i="2"/>
  <c r="Z239" i="2"/>
  <c r="Y239" i="2"/>
  <c r="X239" i="2"/>
  <c r="W239" i="2"/>
  <c r="V239" i="2"/>
  <c r="AB238" i="2"/>
  <c r="AA238" i="2"/>
  <c r="Z238" i="2"/>
  <c r="Y238" i="2"/>
  <c r="X238" i="2"/>
  <c r="W238" i="2"/>
  <c r="V238" i="2"/>
  <c r="AB237" i="2"/>
  <c r="AA237" i="2"/>
  <c r="Z237" i="2"/>
  <c r="Y237" i="2"/>
  <c r="X237" i="2"/>
  <c r="W237" i="2"/>
  <c r="V237" i="2"/>
  <c r="AB236" i="2"/>
  <c r="AA236" i="2"/>
  <c r="Z236" i="2"/>
  <c r="Y236" i="2"/>
  <c r="X236" i="2"/>
  <c r="W236" i="2"/>
  <c r="V236" i="2"/>
  <c r="AB235" i="2"/>
  <c r="AA235" i="2"/>
  <c r="Z235" i="2"/>
  <c r="Y235" i="2"/>
  <c r="X235" i="2"/>
  <c r="W235" i="2"/>
  <c r="V235" i="2"/>
  <c r="AB234" i="2"/>
  <c r="AA234" i="2"/>
  <c r="Z234" i="2"/>
  <c r="Y234" i="2"/>
  <c r="X234" i="2"/>
  <c r="W234" i="2"/>
  <c r="V234" i="2"/>
  <c r="AB233" i="2"/>
  <c r="AA233" i="2"/>
  <c r="Z233" i="2"/>
  <c r="Y233" i="2"/>
  <c r="X233" i="2"/>
  <c r="W233" i="2"/>
  <c r="V233" i="2"/>
  <c r="AB232" i="2"/>
  <c r="AA232" i="2"/>
  <c r="Z232" i="2"/>
  <c r="Y232" i="2"/>
  <c r="X232" i="2"/>
  <c r="W232" i="2"/>
  <c r="V232" i="2"/>
  <c r="AB231" i="2"/>
  <c r="AA231" i="2"/>
  <c r="Z231" i="2"/>
  <c r="Y231" i="2"/>
  <c r="X231" i="2"/>
  <c r="W231" i="2"/>
  <c r="V231" i="2"/>
  <c r="AB230" i="2"/>
  <c r="AA230" i="2"/>
  <c r="Z230" i="2"/>
  <c r="Y230" i="2"/>
  <c r="X230" i="2"/>
  <c r="W230" i="2"/>
  <c r="V230" i="2"/>
  <c r="AB229" i="2"/>
  <c r="AA229" i="2"/>
  <c r="Z229" i="2"/>
  <c r="Y229" i="2"/>
  <c r="X229" i="2"/>
  <c r="W229" i="2"/>
  <c r="V229" i="2"/>
  <c r="AB228" i="2"/>
  <c r="AA228" i="2"/>
  <c r="Z228" i="2"/>
  <c r="Y228" i="2"/>
  <c r="X228" i="2"/>
  <c r="W228" i="2"/>
  <c r="V228" i="2"/>
  <c r="AB227" i="2"/>
  <c r="AA227" i="2"/>
  <c r="Z227" i="2"/>
  <c r="Y227" i="2"/>
  <c r="X227" i="2"/>
  <c r="W227" i="2"/>
  <c r="V227" i="2"/>
  <c r="AB226" i="2"/>
  <c r="AA226" i="2"/>
  <c r="Z226" i="2"/>
  <c r="Y226" i="2"/>
  <c r="X226" i="2"/>
  <c r="W226" i="2"/>
  <c r="V226" i="2"/>
  <c r="AB225" i="2"/>
  <c r="AA225" i="2"/>
  <c r="Z225" i="2"/>
  <c r="Y225" i="2"/>
  <c r="X225" i="2"/>
  <c r="W225" i="2"/>
  <c r="V225" i="2"/>
  <c r="AB224" i="2"/>
  <c r="AA224" i="2"/>
  <c r="Z224" i="2"/>
  <c r="Y224" i="2"/>
  <c r="X224" i="2"/>
  <c r="W224" i="2"/>
  <c r="V224" i="2"/>
  <c r="AB223" i="2"/>
  <c r="AA223" i="2"/>
  <c r="Z223" i="2"/>
  <c r="Y223" i="2"/>
  <c r="X223" i="2"/>
  <c r="W223" i="2"/>
  <c r="V223" i="2"/>
  <c r="AB222" i="2"/>
  <c r="AA222" i="2"/>
  <c r="Z222" i="2"/>
  <c r="Y222" i="2"/>
  <c r="X222" i="2"/>
  <c r="W222" i="2"/>
  <c r="V222" i="2"/>
  <c r="AB221" i="2"/>
  <c r="AA221" i="2"/>
  <c r="Z221" i="2"/>
  <c r="Y221" i="2"/>
  <c r="X221" i="2"/>
  <c r="W221" i="2"/>
  <c r="V221" i="2"/>
  <c r="AB220" i="2"/>
  <c r="AA220" i="2"/>
  <c r="Z220" i="2"/>
  <c r="Y220" i="2"/>
  <c r="X220" i="2"/>
  <c r="W220" i="2"/>
  <c r="V220" i="2"/>
  <c r="AB219" i="2"/>
  <c r="AA219" i="2"/>
  <c r="Z219" i="2"/>
  <c r="Y219" i="2"/>
  <c r="X219" i="2"/>
  <c r="W219" i="2"/>
  <c r="V219" i="2"/>
  <c r="AB218" i="2"/>
  <c r="AA218" i="2"/>
  <c r="Z218" i="2"/>
  <c r="Y218" i="2"/>
  <c r="X218" i="2"/>
  <c r="W218" i="2"/>
  <c r="V218" i="2"/>
  <c r="AB217" i="2"/>
  <c r="AA217" i="2"/>
  <c r="Z217" i="2"/>
  <c r="Y217" i="2"/>
  <c r="X217" i="2"/>
  <c r="W217" i="2"/>
  <c r="V217" i="2"/>
  <c r="AB216" i="2"/>
  <c r="AA216" i="2"/>
  <c r="Z216" i="2"/>
  <c r="Y216" i="2"/>
  <c r="X216" i="2"/>
  <c r="W216" i="2"/>
  <c r="V216" i="2"/>
  <c r="AB215" i="2"/>
  <c r="AA215" i="2"/>
  <c r="Z215" i="2"/>
  <c r="Y215" i="2"/>
  <c r="X215" i="2"/>
  <c r="W215" i="2"/>
  <c r="V215" i="2"/>
  <c r="AB214" i="2"/>
  <c r="AA214" i="2"/>
  <c r="Z214" i="2"/>
  <c r="Y214" i="2"/>
  <c r="X214" i="2"/>
  <c r="W214" i="2"/>
  <c r="V214" i="2"/>
  <c r="AB213" i="2"/>
  <c r="AA213" i="2"/>
  <c r="Z213" i="2"/>
  <c r="Y213" i="2"/>
  <c r="X213" i="2"/>
  <c r="W213" i="2"/>
  <c r="V213" i="2"/>
  <c r="AB212" i="2"/>
  <c r="AA212" i="2"/>
  <c r="Z212" i="2"/>
  <c r="Y212" i="2"/>
  <c r="X212" i="2"/>
  <c r="W212" i="2"/>
  <c r="V212" i="2"/>
  <c r="AB211" i="2"/>
  <c r="AA211" i="2"/>
  <c r="Z211" i="2"/>
  <c r="Y211" i="2"/>
  <c r="X211" i="2"/>
  <c r="W211" i="2"/>
  <c r="V211" i="2"/>
  <c r="AB210" i="2"/>
  <c r="AA210" i="2"/>
  <c r="Z210" i="2"/>
  <c r="Y210" i="2"/>
  <c r="X210" i="2"/>
  <c r="W210" i="2"/>
  <c r="V210" i="2"/>
  <c r="AB209" i="2"/>
  <c r="AA209" i="2"/>
  <c r="Z209" i="2"/>
  <c r="Y209" i="2"/>
  <c r="X209" i="2"/>
  <c r="W209" i="2"/>
  <c r="V209" i="2"/>
  <c r="AB208" i="2"/>
  <c r="AA208" i="2"/>
  <c r="Z208" i="2"/>
  <c r="Y208" i="2"/>
  <c r="X208" i="2"/>
  <c r="W208" i="2"/>
  <c r="V208" i="2"/>
  <c r="AB207" i="2"/>
  <c r="AA207" i="2"/>
  <c r="Z207" i="2"/>
  <c r="Y207" i="2"/>
  <c r="X207" i="2"/>
  <c r="W207" i="2"/>
  <c r="V207" i="2"/>
  <c r="AB206" i="2"/>
  <c r="AA206" i="2"/>
  <c r="Z206" i="2"/>
  <c r="Y206" i="2"/>
  <c r="X206" i="2"/>
  <c r="W206" i="2"/>
  <c r="V206" i="2"/>
  <c r="AB205" i="2"/>
  <c r="AA205" i="2"/>
  <c r="Z205" i="2"/>
  <c r="Y205" i="2"/>
  <c r="X205" i="2"/>
  <c r="W205" i="2"/>
  <c r="V205" i="2"/>
  <c r="AB204" i="2"/>
  <c r="AA204" i="2"/>
  <c r="Z204" i="2"/>
  <c r="Y204" i="2"/>
  <c r="X204" i="2"/>
  <c r="W204" i="2"/>
  <c r="V204" i="2"/>
  <c r="AB203" i="2"/>
  <c r="AA203" i="2"/>
  <c r="Z203" i="2"/>
  <c r="Y203" i="2"/>
  <c r="X203" i="2"/>
  <c r="W203" i="2"/>
  <c r="V203" i="2"/>
  <c r="AB202" i="2"/>
  <c r="AA202" i="2"/>
  <c r="Z202" i="2"/>
  <c r="Y202" i="2"/>
  <c r="X202" i="2"/>
  <c r="W202" i="2"/>
  <c r="V202" i="2"/>
  <c r="AB201" i="2"/>
  <c r="AA201" i="2"/>
  <c r="Z201" i="2"/>
  <c r="Y201" i="2"/>
  <c r="X201" i="2"/>
  <c r="W201" i="2"/>
  <c r="V201" i="2"/>
  <c r="AB200" i="2"/>
  <c r="AA200" i="2"/>
  <c r="Z200" i="2"/>
  <c r="Y200" i="2"/>
  <c r="X200" i="2"/>
  <c r="W200" i="2"/>
  <c r="V200" i="2"/>
  <c r="AB199" i="2"/>
  <c r="AA199" i="2"/>
  <c r="Z199" i="2"/>
  <c r="Y199" i="2"/>
  <c r="X199" i="2"/>
  <c r="W199" i="2"/>
  <c r="V199" i="2"/>
  <c r="AB198" i="2"/>
  <c r="AA198" i="2"/>
  <c r="Z198" i="2"/>
  <c r="Y198" i="2"/>
  <c r="X198" i="2"/>
  <c r="W198" i="2"/>
  <c r="V198" i="2"/>
  <c r="AB197" i="2"/>
  <c r="AA197" i="2"/>
  <c r="Z197" i="2"/>
  <c r="Y197" i="2"/>
  <c r="X197" i="2"/>
  <c r="W197" i="2"/>
  <c r="V197" i="2"/>
  <c r="AB196" i="2"/>
  <c r="AA196" i="2"/>
  <c r="Z196" i="2"/>
  <c r="Y196" i="2"/>
  <c r="X196" i="2"/>
  <c r="W196" i="2"/>
  <c r="V196" i="2"/>
  <c r="AB195" i="2"/>
  <c r="AA195" i="2"/>
  <c r="Z195" i="2"/>
  <c r="Y195" i="2"/>
  <c r="X195" i="2"/>
  <c r="W195" i="2"/>
  <c r="V195" i="2"/>
  <c r="AB194" i="2"/>
  <c r="AA194" i="2"/>
  <c r="Z194" i="2"/>
  <c r="Y194" i="2"/>
  <c r="X194" i="2"/>
  <c r="W194" i="2"/>
  <c r="V194" i="2"/>
  <c r="AB193" i="2"/>
  <c r="AA193" i="2"/>
  <c r="Z193" i="2"/>
  <c r="Y193" i="2"/>
  <c r="X193" i="2"/>
  <c r="W193" i="2"/>
  <c r="V193" i="2"/>
  <c r="AB192" i="2"/>
  <c r="AA192" i="2"/>
  <c r="Z192" i="2"/>
  <c r="Y192" i="2"/>
  <c r="X192" i="2"/>
  <c r="W192" i="2"/>
  <c r="V192" i="2"/>
  <c r="AB191" i="2"/>
  <c r="AA191" i="2"/>
  <c r="Z191" i="2"/>
  <c r="Y191" i="2"/>
  <c r="X191" i="2"/>
  <c r="W191" i="2"/>
  <c r="V191" i="2"/>
  <c r="AB190" i="2"/>
  <c r="AA190" i="2"/>
  <c r="Z190" i="2"/>
  <c r="Y190" i="2"/>
  <c r="X190" i="2"/>
  <c r="W190" i="2"/>
  <c r="V190" i="2"/>
  <c r="AB189" i="2"/>
  <c r="AA189" i="2"/>
  <c r="Z189" i="2"/>
  <c r="Y189" i="2"/>
  <c r="X189" i="2"/>
  <c r="W189" i="2"/>
  <c r="V189" i="2"/>
  <c r="AB188" i="2"/>
  <c r="AA188" i="2"/>
  <c r="Z188" i="2"/>
  <c r="Y188" i="2"/>
  <c r="X188" i="2"/>
  <c r="W188" i="2"/>
  <c r="V188" i="2"/>
  <c r="AB187" i="2"/>
  <c r="AA187" i="2"/>
  <c r="Z187" i="2"/>
  <c r="Y187" i="2"/>
  <c r="X187" i="2"/>
  <c r="W187" i="2"/>
  <c r="V187" i="2"/>
  <c r="AB186" i="2"/>
  <c r="AA186" i="2"/>
  <c r="Z186" i="2"/>
  <c r="Y186" i="2"/>
  <c r="X186" i="2"/>
  <c r="W186" i="2"/>
  <c r="V186" i="2"/>
  <c r="AB185" i="2"/>
  <c r="AA185" i="2"/>
  <c r="Z185" i="2"/>
  <c r="Y185" i="2"/>
  <c r="X185" i="2"/>
  <c r="W185" i="2"/>
  <c r="V185" i="2"/>
  <c r="AB184" i="2"/>
  <c r="AA184" i="2"/>
  <c r="Z184" i="2"/>
  <c r="Y184" i="2"/>
  <c r="X184" i="2"/>
  <c r="W184" i="2"/>
  <c r="V184" i="2"/>
  <c r="AB183" i="2"/>
  <c r="AA183" i="2"/>
  <c r="Z183" i="2"/>
  <c r="Y183" i="2"/>
  <c r="X183" i="2"/>
  <c r="W183" i="2"/>
  <c r="V183" i="2"/>
  <c r="AB182" i="2"/>
  <c r="AA182" i="2"/>
  <c r="Z182" i="2"/>
  <c r="Y182" i="2"/>
  <c r="X182" i="2"/>
  <c r="W182" i="2"/>
  <c r="V182" i="2"/>
  <c r="AB181" i="2"/>
  <c r="AA181" i="2"/>
  <c r="Z181" i="2"/>
  <c r="Y181" i="2"/>
  <c r="X181" i="2"/>
  <c r="W181" i="2"/>
  <c r="V181" i="2"/>
  <c r="AB180" i="2"/>
  <c r="AA180" i="2"/>
  <c r="Z180" i="2"/>
  <c r="Y180" i="2"/>
  <c r="X180" i="2"/>
  <c r="W180" i="2"/>
  <c r="V180" i="2"/>
  <c r="AB179" i="2"/>
  <c r="AA179" i="2"/>
  <c r="Z179" i="2"/>
  <c r="Y179" i="2"/>
  <c r="X179" i="2"/>
  <c r="W179" i="2"/>
  <c r="V179" i="2"/>
  <c r="AB178" i="2"/>
  <c r="AA178" i="2"/>
  <c r="Z178" i="2"/>
  <c r="Y178" i="2"/>
  <c r="X178" i="2"/>
  <c r="W178" i="2"/>
  <c r="V178" i="2"/>
  <c r="AB177" i="2"/>
  <c r="AA177" i="2"/>
  <c r="Z177" i="2"/>
  <c r="Y177" i="2"/>
  <c r="X177" i="2"/>
  <c r="W177" i="2"/>
  <c r="V177" i="2"/>
  <c r="AB176" i="2"/>
  <c r="AA176" i="2"/>
  <c r="Z176" i="2"/>
  <c r="Y176" i="2"/>
  <c r="X176" i="2"/>
  <c r="W176" i="2"/>
  <c r="V176" i="2"/>
  <c r="AB175" i="2"/>
  <c r="AA175" i="2"/>
  <c r="Z175" i="2"/>
  <c r="Y175" i="2"/>
  <c r="X175" i="2"/>
  <c r="W175" i="2"/>
  <c r="V175" i="2"/>
  <c r="AB174" i="2"/>
  <c r="AA174" i="2"/>
  <c r="Z174" i="2"/>
  <c r="Y174" i="2"/>
  <c r="X174" i="2"/>
  <c r="W174" i="2"/>
  <c r="V174" i="2"/>
  <c r="AB173" i="2"/>
  <c r="AA173" i="2"/>
  <c r="Z173" i="2"/>
  <c r="Y173" i="2"/>
  <c r="X173" i="2"/>
  <c r="W173" i="2"/>
  <c r="V173" i="2"/>
  <c r="AB172" i="2"/>
  <c r="AA172" i="2"/>
  <c r="Z172" i="2"/>
  <c r="Y172" i="2"/>
  <c r="X172" i="2"/>
  <c r="W172" i="2"/>
  <c r="V172" i="2"/>
  <c r="AB171" i="2"/>
  <c r="AA171" i="2"/>
  <c r="Z171" i="2"/>
  <c r="Y171" i="2"/>
  <c r="X171" i="2"/>
  <c r="W171" i="2"/>
  <c r="V171" i="2"/>
  <c r="AB170" i="2"/>
  <c r="AA170" i="2"/>
  <c r="Z170" i="2"/>
  <c r="Y170" i="2"/>
  <c r="X170" i="2"/>
  <c r="W170" i="2"/>
  <c r="V170" i="2"/>
  <c r="AB169" i="2"/>
  <c r="AA169" i="2"/>
  <c r="Z169" i="2"/>
  <c r="Y169" i="2"/>
  <c r="X169" i="2"/>
  <c r="W169" i="2"/>
  <c r="V169" i="2"/>
  <c r="AB168" i="2"/>
  <c r="AA168" i="2"/>
  <c r="Z168" i="2"/>
  <c r="Y168" i="2"/>
  <c r="X168" i="2"/>
  <c r="W168" i="2"/>
  <c r="V168" i="2"/>
  <c r="AB167" i="2"/>
  <c r="AA167" i="2"/>
  <c r="Z167" i="2"/>
  <c r="Y167" i="2"/>
  <c r="X167" i="2"/>
  <c r="W167" i="2"/>
  <c r="V167" i="2"/>
  <c r="AB166" i="2"/>
  <c r="AA166" i="2"/>
  <c r="Z166" i="2"/>
  <c r="Y166" i="2"/>
  <c r="X166" i="2"/>
  <c r="W166" i="2"/>
  <c r="V166" i="2"/>
  <c r="AB165" i="2"/>
  <c r="AA165" i="2"/>
  <c r="Z165" i="2"/>
  <c r="Y165" i="2"/>
  <c r="X165" i="2"/>
  <c r="W165" i="2"/>
  <c r="V165" i="2"/>
  <c r="AB164" i="2"/>
  <c r="AA164" i="2"/>
  <c r="Z164" i="2"/>
  <c r="Y164" i="2"/>
  <c r="X164" i="2"/>
  <c r="W164" i="2"/>
  <c r="V164" i="2"/>
  <c r="AB163" i="2"/>
  <c r="AA163" i="2"/>
  <c r="Z163" i="2"/>
  <c r="Y163" i="2"/>
  <c r="X163" i="2"/>
  <c r="W163" i="2"/>
  <c r="V163" i="2"/>
  <c r="AB162" i="2"/>
  <c r="AA162" i="2"/>
  <c r="Z162" i="2"/>
  <c r="Y162" i="2"/>
  <c r="X162" i="2"/>
  <c r="W162" i="2"/>
  <c r="V162" i="2"/>
  <c r="AB161" i="2"/>
  <c r="AA161" i="2"/>
  <c r="Z161" i="2"/>
  <c r="Y161" i="2"/>
  <c r="X161" i="2"/>
  <c r="W161" i="2"/>
  <c r="V161" i="2"/>
  <c r="AB160" i="2"/>
  <c r="AA160" i="2"/>
  <c r="Z160" i="2"/>
  <c r="Y160" i="2"/>
  <c r="X160" i="2"/>
  <c r="W160" i="2"/>
  <c r="V160" i="2"/>
  <c r="AB159" i="2"/>
  <c r="AA159" i="2"/>
  <c r="Z159" i="2"/>
  <c r="Y159" i="2"/>
  <c r="X159" i="2"/>
  <c r="W159" i="2"/>
  <c r="V159" i="2"/>
  <c r="AB158" i="2"/>
  <c r="AA158" i="2"/>
  <c r="Z158" i="2"/>
  <c r="Y158" i="2"/>
  <c r="X158" i="2"/>
  <c r="W158" i="2"/>
  <c r="V158" i="2"/>
  <c r="AB157" i="2"/>
  <c r="AA157" i="2"/>
  <c r="Z157" i="2"/>
  <c r="Y157" i="2"/>
  <c r="X157" i="2"/>
  <c r="W157" i="2"/>
  <c r="V157" i="2"/>
  <c r="AB156" i="2"/>
  <c r="AA156" i="2"/>
  <c r="Z156" i="2"/>
  <c r="Y156" i="2"/>
  <c r="X156" i="2"/>
  <c r="W156" i="2"/>
  <c r="V156" i="2"/>
  <c r="AB155" i="2"/>
  <c r="AA155" i="2"/>
  <c r="Z155" i="2"/>
  <c r="Y155" i="2"/>
  <c r="X155" i="2"/>
  <c r="W155" i="2"/>
  <c r="V155" i="2"/>
  <c r="AB154" i="2"/>
  <c r="AA154" i="2"/>
  <c r="Z154" i="2"/>
  <c r="Y154" i="2"/>
  <c r="X154" i="2"/>
  <c r="W154" i="2"/>
  <c r="V154" i="2"/>
  <c r="AB153" i="2"/>
  <c r="AA153" i="2"/>
  <c r="Z153" i="2"/>
  <c r="Y153" i="2"/>
  <c r="X153" i="2"/>
  <c r="W153" i="2"/>
  <c r="V153" i="2"/>
  <c r="AB152" i="2"/>
  <c r="AA152" i="2"/>
  <c r="Z152" i="2"/>
  <c r="Y152" i="2"/>
  <c r="X152" i="2"/>
  <c r="W152" i="2"/>
  <c r="V152" i="2"/>
  <c r="AB151" i="2"/>
  <c r="AA151" i="2"/>
  <c r="Z151" i="2"/>
  <c r="Y151" i="2"/>
  <c r="X151" i="2"/>
  <c r="W151" i="2"/>
  <c r="V151" i="2"/>
  <c r="AB150" i="2"/>
  <c r="AA150" i="2"/>
  <c r="Z150" i="2"/>
  <c r="Y150" i="2"/>
  <c r="X150" i="2"/>
  <c r="W150" i="2"/>
  <c r="V150" i="2"/>
  <c r="AB149" i="2"/>
  <c r="AA149" i="2"/>
  <c r="Z149" i="2"/>
  <c r="Y149" i="2"/>
  <c r="X149" i="2"/>
  <c r="W149" i="2"/>
  <c r="V149" i="2"/>
  <c r="AB148" i="2"/>
  <c r="AA148" i="2"/>
  <c r="Z148" i="2"/>
  <c r="Y148" i="2"/>
  <c r="X148" i="2"/>
  <c r="W148" i="2"/>
  <c r="V148" i="2"/>
  <c r="AB147" i="2"/>
  <c r="AA147" i="2"/>
  <c r="Z147" i="2"/>
  <c r="Y147" i="2"/>
  <c r="X147" i="2"/>
  <c r="W147" i="2"/>
  <c r="V147" i="2"/>
  <c r="AB146" i="2"/>
  <c r="AA146" i="2"/>
  <c r="Z146" i="2"/>
  <c r="Y146" i="2"/>
  <c r="X146" i="2"/>
  <c r="W146" i="2"/>
  <c r="V146" i="2"/>
  <c r="AB145" i="2"/>
  <c r="AA145" i="2"/>
  <c r="Z145" i="2"/>
  <c r="Y145" i="2"/>
  <c r="X145" i="2"/>
  <c r="W145" i="2"/>
  <c r="V145" i="2"/>
  <c r="AB144" i="2"/>
  <c r="AA144" i="2"/>
  <c r="Z144" i="2"/>
  <c r="Y144" i="2"/>
  <c r="X144" i="2"/>
  <c r="W144" i="2"/>
  <c r="V144" i="2"/>
  <c r="AB143" i="2"/>
  <c r="AA143" i="2"/>
  <c r="Z143" i="2"/>
  <c r="Y143" i="2"/>
  <c r="X143" i="2"/>
  <c r="W143" i="2"/>
  <c r="V143" i="2"/>
  <c r="AB142" i="2"/>
  <c r="AA142" i="2"/>
  <c r="Z142" i="2"/>
  <c r="Y142" i="2"/>
  <c r="X142" i="2"/>
  <c r="W142" i="2"/>
  <c r="V142" i="2"/>
  <c r="AB141" i="2"/>
  <c r="AA141" i="2"/>
  <c r="Z141" i="2"/>
  <c r="Y141" i="2"/>
  <c r="X141" i="2"/>
  <c r="W141" i="2"/>
  <c r="V141" i="2"/>
  <c r="AB140" i="2"/>
  <c r="AA140" i="2"/>
  <c r="Z140" i="2"/>
  <c r="Y140" i="2"/>
  <c r="X140" i="2"/>
  <c r="W140" i="2"/>
  <c r="V140" i="2"/>
  <c r="AB139" i="2"/>
  <c r="AA139" i="2"/>
  <c r="Z139" i="2"/>
  <c r="Y139" i="2"/>
  <c r="X139" i="2"/>
  <c r="W139" i="2"/>
  <c r="V139" i="2"/>
  <c r="AB138" i="2"/>
  <c r="AA138" i="2"/>
  <c r="Z138" i="2"/>
  <c r="Y138" i="2"/>
  <c r="X138" i="2"/>
  <c r="W138" i="2"/>
  <c r="V138" i="2"/>
  <c r="AB137" i="2"/>
  <c r="AA137" i="2"/>
  <c r="Z137" i="2"/>
  <c r="Y137" i="2"/>
  <c r="X137" i="2"/>
  <c r="W137" i="2"/>
  <c r="V137" i="2"/>
  <c r="AB136" i="2"/>
  <c r="AA136" i="2"/>
  <c r="Z136" i="2"/>
  <c r="Y136" i="2"/>
  <c r="X136" i="2"/>
  <c r="W136" i="2"/>
  <c r="V136" i="2"/>
  <c r="AB135" i="2"/>
  <c r="AA135" i="2"/>
  <c r="Z135" i="2"/>
  <c r="Y135" i="2"/>
  <c r="X135" i="2"/>
  <c r="W135" i="2"/>
  <c r="V135" i="2"/>
  <c r="AB134" i="2"/>
  <c r="AA134" i="2"/>
  <c r="Z134" i="2"/>
  <c r="Y134" i="2"/>
  <c r="X134" i="2"/>
  <c r="W134" i="2"/>
  <c r="V134" i="2"/>
  <c r="AB133" i="2"/>
  <c r="AA133" i="2"/>
  <c r="Z133" i="2"/>
  <c r="Y133" i="2"/>
  <c r="X133" i="2"/>
  <c r="W133" i="2"/>
  <c r="V133" i="2"/>
  <c r="AB132" i="2"/>
  <c r="AA132" i="2"/>
  <c r="Z132" i="2"/>
  <c r="Y132" i="2"/>
  <c r="X132" i="2"/>
  <c r="W132" i="2"/>
  <c r="V132" i="2"/>
  <c r="AB131" i="2"/>
  <c r="AA131" i="2"/>
  <c r="Z131" i="2"/>
  <c r="Y131" i="2"/>
  <c r="X131" i="2"/>
  <c r="W131" i="2"/>
  <c r="V131" i="2"/>
  <c r="AB130" i="2"/>
  <c r="AA130" i="2"/>
  <c r="Z130" i="2"/>
  <c r="Y130" i="2"/>
  <c r="X130" i="2"/>
  <c r="W130" i="2"/>
  <c r="V130" i="2"/>
  <c r="AB129" i="2"/>
  <c r="AA129" i="2"/>
  <c r="Z129" i="2"/>
  <c r="Y129" i="2"/>
  <c r="X129" i="2"/>
  <c r="W129" i="2"/>
  <c r="V129" i="2"/>
  <c r="AB128" i="2"/>
  <c r="AA128" i="2"/>
  <c r="Z128" i="2"/>
  <c r="Y128" i="2"/>
  <c r="X128" i="2"/>
  <c r="W128" i="2"/>
  <c r="V128" i="2"/>
  <c r="AB127" i="2"/>
  <c r="AA127" i="2"/>
  <c r="Z127" i="2"/>
  <c r="Y127" i="2"/>
  <c r="X127" i="2"/>
  <c r="W127" i="2"/>
  <c r="V127" i="2"/>
  <c r="AB126" i="2"/>
  <c r="AA126" i="2"/>
  <c r="Z126" i="2"/>
  <c r="Y126" i="2"/>
  <c r="X126" i="2"/>
  <c r="W126" i="2"/>
  <c r="V126" i="2"/>
  <c r="AB125" i="2"/>
  <c r="AA125" i="2"/>
  <c r="Z125" i="2"/>
  <c r="Y125" i="2"/>
  <c r="X125" i="2"/>
  <c r="W125" i="2"/>
  <c r="V125" i="2"/>
  <c r="AB124" i="2"/>
  <c r="AA124" i="2"/>
  <c r="Z124" i="2"/>
  <c r="Y124" i="2"/>
  <c r="X124" i="2"/>
  <c r="W124" i="2"/>
  <c r="V124" i="2"/>
  <c r="AB123" i="2"/>
  <c r="AA123" i="2"/>
  <c r="Z123" i="2"/>
  <c r="Y123" i="2"/>
  <c r="X123" i="2"/>
  <c r="W123" i="2"/>
  <c r="V123" i="2"/>
  <c r="AB122" i="2"/>
  <c r="AA122" i="2"/>
  <c r="Z122" i="2"/>
  <c r="Y122" i="2"/>
  <c r="X122" i="2"/>
  <c r="W122" i="2"/>
  <c r="V122" i="2"/>
  <c r="AB121" i="2"/>
  <c r="AA121" i="2"/>
  <c r="Z121" i="2"/>
  <c r="Y121" i="2"/>
  <c r="X121" i="2"/>
  <c r="W121" i="2"/>
  <c r="V121" i="2"/>
  <c r="AB120" i="2"/>
  <c r="AA120" i="2"/>
  <c r="Z120" i="2"/>
  <c r="Y120" i="2"/>
  <c r="X120" i="2"/>
  <c r="W120" i="2"/>
  <c r="V120" i="2"/>
  <c r="AB119" i="2"/>
  <c r="AA119" i="2"/>
  <c r="Z119" i="2"/>
  <c r="Y119" i="2"/>
  <c r="X119" i="2"/>
  <c r="W119" i="2"/>
  <c r="V119" i="2"/>
  <c r="AB118" i="2"/>
  <c r="AA118" i="2"/>
  <c r="Z118" i="2"/>
  <c r="Y118" i="2"/>
  <c r="X118" i="2"/>
  <c r="W118" i="2"/>
  <c r="V118" i="2"/>
  <c r="AB117" i="2"/>
  <c r="AA117" i="2"/>
  <c r="Z117" i="2"/>
  <c r="Y117" i="2"/>
  <c r="X117" i="2"/>
  <c r="W117" i="2"/>
  <c r="V117" i="2"/>
  <c r="AB116" i="2"/>
  <c r="AA116" i="2"/>
  <c r="Z116" i="2"/>
  <c r="Y116" i="2"/>
  <c r="X116" i="2"/>
  <c r="W116" i="2"/>
  <c r="V116" i="2"/>
  <c r="AB115" i="2"/>
  <c r="AA115" i="2"/>
  <c r="Z115" i="2"/>
  <c r="Y115" i="2"/>
  <c r="X115" i="2"/>
  <c r="W115" i="2"/>
  <c r="V115" i="2"/>
  <c r="AB114" i="2"/>
  <c r="AA114" i="2"/>
  <c r="Z114" i="2"/>
  <c r="Y114" i="2"/>
  <c r="X114" i="2"/>
  <c r="W114" i="2"/>
  <c r="V114" i="2"/>
  <c r="AB113" i="2"/>
  <c r="AA113" i="2"/>
  <c r="Z113" i="2"/>
  <c r="Y113" i="2"/>
  <c r="X113" i="2"/>
  <c r="W113" i="2"/>
  <c r="V113" i="2"/>
  <c r="AB112" i="2"/>
  <c r="AA112" i="2"/>
  <c r="Z112" i="2"/>
  <c r="Y112" i="2"/>
  <c r="X112" i="2"/>
  <c r="W112" i="2"/>
  <c r="V112" i="2"/>
  <c r="AB111" i="2"/>
  <c r="AA111" i="2"/>
  <c r="Z111" i="2"/>
  <c r="Y111" i="2"/>
  <c r="X111" i="2"/>
  <c r="W111" i="2"/>
  <c r="V111" i="2"/>
  <c r="AB110" i="2"/>
  <c r="AA110" i="2"/>
  <c r="Z110" i="2"/>
  <c r="Y110" i="2"/>
  <c r="X110" i="2"/>
  <c r="W110" i="2"/>
  <c r="V110" i="2"/>
  <c r="AB109" i="2"/>
  <c r="AA109" i="2"/>
  <c r="Z109" i="2"/>
  <c r="Y109" i="2"/>
  <c r="X109" i="2"/>
  <c r="W109" i="2"/>
  <c r="V109" i="2"/>
  <c r="AB108" i="2"/>
  <c r="AA108" i="2"/>
  <c r="Z108" i="2"/>
  <c r="Y108" i="2"/>
  <c r="X108" i="2"/>
  <c r="W108" i="2"/>
  <c r="V108" i="2"/>
  <c r="AB107" i="2"/>
  <c r="AA107" i="2"/>
  <c r="Z107" i="2"/>
  <c r="Y107" i="2"/>
  <c r="X107" i="2"/>
  <c r="W107" i="2"/>
  <c r="V107" i="2"/>
  <c r="AB106" i="2"/>
  <c r="AA106" i="2"/>
  <c r="Z106" i="2"/>
  <c r="Y106" i="2"/>
  <c r="X106" i="2"/>
  <c r="W106" i="2"/>
  <c r="V106" i="2"/>
  <c r="AB105" i="2"/>
  <c r="AA105" i="2"/>
  <c r="Z105" i="2"/>
  <c r="Y105" i="2"/>
  <c r="X105" i="2"/>
  <c r="W105" i="2"/>
  <c r="V105" i="2"/>
  <c r="AB104" i="2"/>
  <c r="AA104" i="2"/>
  <c r="Z104" i="2"/>
  <c r="Y104" i="2"/>
  <c r="X104" i="2"/>
  <c r="W104" i="2"/>
  <c r="V104" i="2"/>
  <c r="AB103" i="2"/>
  <c r="AA103" i="2"/>
  <c r="Z103" i="2"/>
  <c r="Y103" i="2"/>
  <c r="X103" i="2"/>
  <c r="W103" i="2"/>
  <c r="V103" i="2"/>
  <c r="AB102" i="2"/>
  <c r="AA102" i="2"/>
  <c r="Z102" i="2"/>
  <c r="Y102" i="2"/>
  <c r="X102" i="2"/>
  <c r="W102" i="2"/>
  <c r="V102" i="2"/>
  <c r="AB101" i="2"/>
  <c r="AA101" i="2"/>
  <c r="Z101" i="2"/>
  <c r="Y101" i="2"/>
  <c r="X101" i="2"/>
  <c r="W101" i="2"/>
  <c r="V101" i="2"/>
  <c r="AB100" i="2"/>
  <c r="AA100" i="2"/>
  <c r="Z100" i="2"/>
  <c r="Y100" i="2"/>
  <c r="X100" i="2"/>
  <c r="W100" i="2"/>
  <c r="V100" i="2"/>
  <c r="AB99" i="2"/>
  <c r="AA99" i="2"/>
  <c r="Z99" i="2"/>
  <c r="Y99" i="2"/>
  <c r="X99" i="2"/>
  <c r="W99" i="2"/>
  <c r="V99" i="2"/>
  <c r="AB98" i="2"/>
  <c r="AA98" i="2"/>
  <c r="Z98" i="2"/>
  <c r="Y98" i="2"/>
  <c r="X98" i="2"/>
  <c r="W98" i="2"/>
  <c r="V98" i="2"/>
  <c r="AB97" i="2"/>
  <c r="AA97" i="2"/>
  <c r="Z97" i="2"/>
  <c r="Y97" i="2"/>
  <c r="X97" i="2"/>
  <c r="W97" i="2"/>
  <c r="V97" i="2"/>
  <c r="AB96" i="2"/>
  <c r="AA96" i="2"/>
  <c r="Z96" i="2"/>
  <c r="Y96" i="2"/>
  <c r="X96" i="2"/>
  <c r="W96" i="2"/>
  <c r="V96" i="2"/>
  <c r="AB95" i="2"/>
  <c r="AA95" i="2"/>
  <c r="Z95" i="2"/>
  <c r="Y95" i="2"/>
  <c r="X95" i="2"/>
  <c r="W95" i="2"/>
  <c r="V95" i="2"/>
  <c r="AB94" i="2"/>
  <c r="AA94" i="2"/>
  <c r="Z94" i="2"/>
  <c r="Y94" i="2"/>
  <c r="X94" i="2"/>
  <c r="W94" i="2"/>
  <c r="V94" i="2"/>
  <c r="AB93" i="2"/>
  <c r="AA93" i="2"/>
  <c r="Z93" i="2"/>
  <c r="Y93" i="2"/>
  <c r="X93" i="2"/>
  <c r="W93" i="2"/>
  <c r="V93" i="2"/>
  <c r="AB92" i="2"/>
  <c r="AA92" i="2"/>
  <c r="Z92" i="2"/>
  <c r="Y92" i="2"/>
  <c r="X92" i="2"/>
  <c r="W92" i="2"/>
  <c r="V92" i="2"/>
  <c r="AB91" i="2"/>
  <c r="AA91" i="2"/>
  <c r="Z91" i="2"/>
  <c r="Y91" i="2"/>
  <c r="X91" i="2"/>
  <c r="W91" i="2"/>
  <c r="V91" i="2"/>
  <c r="AB90" i="2"/>
  <c r="AA90" i="2"/>
  <c r="Z90" i="2"/>
  <c r="Y90" i="2"/>
  <c r="X90" i="2"/>
  <c r="W90" i="2"/>
  <c r="V90" i="2"/>
  <c r="AB89" i="2"/>
  <c r="AA89" i="2"/>
  <c r="Z89" i="2"/>
  <c r="Y89" i="2"/>
  <c r="X89" i="2"/>
  <c r="W89" i="2"/>
  <c r="V89" i="2"/>
  <c r="AB88" i="2"/>
  <c r="AA88" i="2"/>
  <c r="Z88" i="2"/>
  <c r="Y88" i="2"/>
  <c r="X88" i="2"/>
  <c r="W88" i="2"/>
  <c r="V88" i="2"/>
  <c r="AB87" i="2"/>
  <c r="AA87" i="2"/>
  <c r="Z87" i="2"/>
  <c r="Y87" i="2"/>
  <c r="X87" i="2"/>
  <c r="W87" i="2"/>
  <c r="V87" i="2"/>
  <c r="AB86" i="2"/>
  <c r="AA86" i="2"/>
  <c r="Z86" i="2"/>
  <c r="Y86" i="2"/>
  <c r="X86" i="2"/>
  <c r="W86" i="2"/>
  <c r="V86" i="2"/>
  <c r="AB85" i="2"/>
  <c r="AA85" i="2"/>
  <c r="Z85" i="2"/>
  <c r="Y85" i="2"/>
  <c r="X85" i="2"/>
  <c r="W85" i="2"/>
  <c r="V85" i="2"/>
  <c r="AB84" i="2"/>
  <c r="AA84" i="2"/>
  <c r="Z84" i="2"/>
  <c r="Y84" i="2"/>
  <c r="X84" i="2"/>
  <c r="W84" i="2"/>
  <c r="V84" i="2"/>
  <c r="AB83" i="2"/>
  <c r="AA83" i="2"/>
  <c r="Z83" i="2"/>
  <c r="Y83" i="2"/>
  <c r="X83" i="2"/>
  <c r="W83" i="2"/>
  <c r="V83" i="2"/>
  <c r="E26" i="1" s="1"/>
  <c r="AB82" i="2"/>
  <c r="AA82" i="2"/>
  <c r="Z82" i="2"/>
  <c r="Y82" i="2"/>
  <c r="X82" i="2"/>
  <c r="W82" i="2"/>
  <c r="V82" i="2"/>
  <c r="AB81" i="2"/>
  <c r="AA81" i="2"/>
  <c r="Z81" i="2"/>
  <c r="Y81" i="2"/>
  <c r="X81" i="2"/>
  <c r="W81" i="2"/>
  <c r="V81" i="2"/>
  <c r="AB80" i="2"/>
  <c r="AA80" i="2"/>
  <c r="Z80" i="2"/>
  <c r="Y80" i="2"/>
  <c r="X80" i="2"/>
  <c r="W80" i="2"/>
  <c r="V80" i="2"/>
  <c r="AB79" i="2"/>
  <c r="AA79" i="2"/>
  <c r="Z79" i="2"/>
  <c r="Y79" i="2"/>
  <c r="X79" i="2"/>
  <c r="W79" i="2"/>
  <c r="V79" i="2"/>
  <c r="AB78" i="2"/>
  <c r="AA78" i="2"/>
  <c r="Z78" i="2"/>
  <c r="Y78" i="2"/>
  <c r="X78" i="2"/>
  <c r="W78" i="2"/>
  <c r="V78" i="2"/>
  <c r="AB77" i="2"/>
  <c r="AA77" i="2"/>
  <c r="Z77" i="2"/>
  <c r="Y77" i="2"/>
  <c r="X77" i="2"/>
  <c r="W77" i="2"/>
  <c r="V77" i="2"/>
  <c r="AB76" i="2"/>
  <c r="AA76" i="2"/>
  <c r="Z76" i="2"/>
  <c r="Y76" i="2"/>
  <c r="X76" i="2"/>
  <c r="W76" i="2"/>
  <c r="V76" i="2"/>
  <c r="AB75" i="2"/>
  <c r="AA75" i="2"/>
  <c r="Z75" i="2"/>
  <c r="Y75" i="2"/>
  <c r="X75" i="2"/>
  <c r="W75" i="2"/>
  <c r="V75" i="2"/>
  <c r="AB74" i="2"/>
  <c r="AA74" i="2"/>
  <c r="Z74" i="2"/>
  <c r="Y74" i="2"/>
  <c r="X74" i="2"/>
  <c r="W74" i="2"/>
  <c r="V74" i="2"/>
  <c r="AB73" i="2"/>
  <c r="AA73" i="2"/>
  <c r="Z73" i="2"/>
  <c r="Y73" i="2"/>
  <c r="X73" i="2"/>
  <c r="W73" i="2"/>
  <c r="V73" i="2"/>
  <c r="AB72" i="2"/>
  <c r="AA72" i="2"/>
  <c r="Z72" i="2"/>
  <c r="Y72" i="2"/>
  <c r="X72" i="2"/>
  <c r="W72" i="2"/>
  <c r="V72" i="2"/>
  <c r="AB71" i="2"/>
  <c r="AA71" i="2"/>
  <c r="Z71" i="2"/>
  <c r="Y71" i="2"/>
  <c r="X71" i="2"/>
  <c r="W71" i="2"/>
  <c r="V71" i="2"/>
  <c r="AB70" i="2"/>
  <c r="AA70" i="2"/>
  <c r="Z70" i="2"/>
  <c r="Y70" i="2"/>
  <c r="X70" i="2"/>
  <c r="W70" i="2"/>
  <c r="V70" i="2"/>
  <c r="AB69" i="2"/>
  <c r="AA69" i="2"/>
  <c r="Z69" i="2"/>
  <c r="Y69" i="2"/>
  <c r="X69" i="2"/>
  <c r="W69" i="2"/>
  <c r="V69" i="2"/>
  <c r="AB68" i="2"/>
  <c r="AA68" i="2"/>
  <c r="Z68" i="2"/>
  <c r="Y68" i="2"/>
  <c r="X68" i="2"/>
  <c r="W68" i="2"/>
  <c r="V68" i="2"/>
  <c r="AB67" i="2"/>
  <c r="AA67" i="2"/>
  <c r="Z67" i="2"/>
  <c r="Y67" i="2"/>
  <c r="X67" i="2"/>
  <c r="W67" i="2"/>
  <c r="V67" i="2"/>
  <c r="AB66" i="2"/>
  <c r="AA66" i="2"/>
  <c r="Z66" i="2"/>
  <c r="Y66" i="2"/>
  <c r="X66" i="2"/>
  <c r="W66" i="2"/>
  <c r="V66" i="2"/>
  <c r="AB65" i="2"/>
  <c r="AA65" i="2"/>
  <c r="Z65" i="2"/>
  <c r="Y65" i="2"/>
  <c r="X65" i="2"/>
  <c r="W65" i="2"/>
  <c r="V65" i="2"/>
  <c r="AB64" i="2"/>
  <c r="AA64" i="2"/>
  <c r="Z64" i="2"/>
  <c r="Y64" i="2"/>
  <c r="X64" i="2"/>
  <c r="W64" i="2"/>
  <c r="V64" i="2"/>
  <c r="AB63" i="2"/>
  <c r="AA63" i="2"/>
  <c r="Z63" i="2"/>
  <c r="Y63" i="2"/>
  <c r="X63" i="2"/>
  <c r="W63" i="2"/>
  <c r="V63" i="2"/>
  <c r="AB62" i="2"/>
  <c r="AA62" i="2"/>
  <c r="Z62" i="2"/>
  <c r="Y62" i="2"/>
  <c r="X62" i="2"/>
  <c r="W62" i="2"/>
  <c r="V62" i="2"/>
  <c r="AB61" i="2"/>
  <c r="AA61" i="2"/>
  <c r="Z61" i="2"/>
  <c r="Y61" i="2"/>
  <c r="X61" i="2"/>
  <c r="W61" i="2"/>
  <c r="V61" i="2"/>
  <c r="AB60" i="2"/>
  <c r="AA60" i="2"/>
  <c r="Z60" i="2"/>
  <c r="Y60" i="2"/>
  <c r="X60" i="2"/>
  <c r="W60" i="2"/>
  <c r="V60" i="2"/>
  <c r="AB59" i="2"/>
  <c r="AA59" i="2"/>
  <c r="Z59" i="2"/>
  <c r="Y59" i="2"/>
  <c r="X59" i="2"/>
  <c r="W59" i="2"/>
  <c r="V59" i="2"/>
  <c r="AB58" i="2"/>
  <c r="AA58" i="2"/>
  <c r="Z58" i="2"/>
  <c r="Y58" i="2"/>
  <c r="X58" i="2"/>
  <c r="W58" i="2"/>
  <c r="V58" i="2"/>
  <c r="AB57" i="2"/>
  <c r="AA57" i="2"/>
  <c r="Z57" i="2"/>
  <c r="Y57" i="2"/>
  <c r="X57" i="2"/>
  <c r="W57" i="2"/>
  <c r="V57" i="2"/>
  <c r="AB56" i="2"/>
  <c r="AA56" i="2"/>
  <c r="Z56" i="2"/>
  <c r="Y56" i="2"/>
  <c r="X56" i="2"/>
  <c r="W56" i="2"/>
  <c r="V56" i="2"/>
  <c r="AB55" i="2"/>
  <c r="AA55" i="2"/>
  <c r="Z55" i="2"/>
  <c r="Y55" i="2"/>
  <c r="X55" i="2"/>
  <c r="W55" i="2"/>
  <c r="V55" i="2"/>
  <c r="AB54" i="2"/>
  <c r="AA54" i="2"/>
  <c r="Z54" i="2"/>
  <c r="Y54" i="2"/>
  <c r="X54" i="2"/>
  <c r="W54" i="2"/>
  <c r="V54" i="2"/>
  <c r="AB53" i="2"/>
  <c r="AA53" i="2"/>
  <c r="Z53" i="2"/>
  <c r="Y53" i="2"/>
  <c r="X53" i="2"/>
  <c r="W53" i="2"/>
  <c r="V53" i="2"/>
  <c r="AB52" i="2"/>
  <c r="AA52" i="2"/>
  <c r="Z52" i="2"/>
  <c r="Y52" i="2"/>
  <c r="X52" i="2"/>
  <c r="W52" i="2"/>
  <c r="V52" i="2"/>
  <c r="AB51" i="2"/>
  <c r="AA51" i="2"/>
  <c r="Z51" i="2"/>
  <c r="Y51" i="2"/>
  <c r="X51" i="2"/>
  <c r="W51" i="2"/>
  <c r="V51" i="2"/>
  <c r="AB50" i="2"/>
  <c r="AA50" i="2"/>
  <c r="Z50" i="2"/>
  <c r="Y50" i="2"/>
  <c r="X50" i="2"/>
  <c r="W50" i="2"/>
  <c r="V50" i="2"/>
  <c r="AB49" i="2"/>
  <c r="AA49" i="2"/>
  <c r="Z49" i="2"/>
  <c r="Y49" i="2"/>
  <c r="X49" i="2"/>
  <c r="W49" i="2"/>
  <c r="V49" i="2"/>
  <c r="AB48" i="2"/>
  <c r="AA48" i="2"/>
  <c r="Z48" i="2"/>
  <c r="Y48" i="2"/>
  <c r="X48" i="2"/>
  <c r="W48" i="2"/>
  <c r="V48" i="2"/>
  <c r="AB47" i="2"/>
  <c r="AA47" i="2"/>
  <c r="Z47" i="2"/>
  <c r="Y47" i="2"/>
  <c r="X47" i="2"/>
  <c r="W47" i="2"/>
  <c r="V47" i="2"/>
  <c r="AB46" i="2"/>
  <c r="AA46" i="2"/>
  <c r="Z46" i="2"/>
  <c r="Y46" i="2"/>
  <c r="X46" i="2"/>
  <c r="W46" i="2"/>
  <c r="V46" i="2"/>
  <c r="AB45" i="2"/>
  <c r="AA45" i="2"/>
  <c r="Z45" i="2"/>
  <c r="Y45" i="2"/>
  <c r="X45" i="2"/>
  <c r="W45" i="2"/>
  <c r="V45" i="2"/>
  <c r="AB44" i="2"/>
  <c r="AA44" i="2"/>
  <c r="Z44" i="2"/>
  <c r="Y44" i="2"/>
  <c r="X44" i="2"/>
  <c r="W44" i="2"/>
  <c r="V44" i="2"/>
  <c r="AB43" i="2"/>
  <c r="AA43" i="2"/>
  <c r="Z43" i="2"/>
  <c r="Y43" i="2"/>
  <c r="X43" i="2"/>
  <c r="W43" i="2"/>
  <c r="V43" i="2"/>
  <c r="AB42" i="2"/>
  <c r="AA42" i="2"/>
  <c r="Z42" i="2"/>
  <c r="Y42" i="2"/>
  <c r="X42" i="2"/>
  <c r="W42" i="2"/>
  <c r="V42" i="2"/>
  <c r="AB41" i="2"/>
  <c r="AA41" i="2"/>
  <c r="Z41" i="2"/>
  <c r="Y41" i="2"/>
  <c r="X41" i="2"/>
  <c r="W41" i="2"/>
  <c r="V41" i="2"/>
  <c r="AB40" i="2"/>
  <c r="AA40" i="2"/>
  <c r="Z40" i="2"/>
  <c r="Y40" i="2"/>
  <c r="X40" i="2"/>
  <c r="W40" i="2"/>
  <c r="V40" i="2"/>
  <c r="AB39" i="2"/>
  <c r="AA39" i="2"/>
  <c r="Z39" i="2"/>
  <c r="Y39" i="2"/>
  <c r="X39" i="2"/>
  <c r="W39" i="2"/>
  <c r="V39" i="2"/>
  <c r="AB38" i="2"/>
  <c r="AA38" i="2"/>
  <c r="Z38" i="2"/>
  <c r="Y38" i="2"/>
  <c r="X38" i="2"/>
  <c r="W38" i="2"/>
  <c r="V38" i="2"/>
  <c r="AB37" i="2"/>
  <c r="AA37" i="2"/>
  <c r="Z37" i="2"/>
  <c r="Y37" i="2"/>
  <c r="X37" i="2"/>
  <c r="W37" i="2"/>
  <c r="V37" i="2"/>
  <c r="AB36" i="2"/>
  <c r="AA36" i="2"/>
  <c r="Z36" i="2"/>
  <c r="Y36" i="2"/>
  <c r="X36" i="2"/>
  <c r="W36" i="2"/>
  <c r="V36" i="2"/>
  <c r="AB35" i="2"/>
  <c r="AA35" i="2"/>
  <c r="Z35" i="2"/>
  <c r="Y35" i="2"/>
  <c r="X35" i="2"/>
  <c r="W35" i="2"/>
  <c r="V35" i="2"/>
  <c r="AB34" i="2"/>
  <c r="AA34" i="2"/>
  <c r="Z34" i="2"/>
  <c r="Y34" i="2"/>
  <c r="X34" i="2"/>
  <c r="W34" i="2"/>
  <c r="V34" i="2"/>
  <c r="AB33" i="2"/>
  <c r="AA33" i="2"/>
  <c r="Z33" i="2"/>
  <c r="Y33" i="2"/>
  <c r="X33" i="2"/>
  <c r="W33" i="2"/>
  <c r="V33" i="2"/>
  <c r="AB32" i="2"/>
  <c r="AA32" i="2"/>
  <c r="Z32" i="2"/>
  <c r="Y32" i="2"/>
  <c r="X32" i="2"/>
  <c r="W32" i="2"/>
  <c r="V32" i="2"/>
  <c r="AB31" i="2"/>
  <c r="AA31" i="2"/>
  <c r="Z31" i="2"/>
  <c r="Y31" i="2"/>
  <c r="X31" i="2"/>
  <c r="W31" i="2"/>
  <c r="V31" i="2"/>
  <c r="AB30" i="2"/>
  <c r="AA30" i="2"/>
  <c r="Z30" i="2"/>
  <c r="Y30" i="2"/>
  <c r="X30" i="2"/>
  <c r="W30" i="2"/>
  <c r="V30" i="2"/>
  <c r="AB29" i="2"/>
  <c r="AA29" i="2"/>
  <c r="Z29" i="2"/>
  <c r="Y29" i="2"/>
  <c r="X29" i="2"/>
  <c r="W29" i="2"/>
  <c r="V29" i="2"/>
  <c r="AB28" i="2"/>
  <c r="AA28" i="2"/>
  <c r="Z28" i="2"/>
  <c r="Y28" i="2"/>
  <c r="X28" i="2"/>
  <c r="W28" i="2"/>
  <c r="V28" i="2"/>
  <c r="AB27" i="2"/>
  <c r="AA27" i="2"/>
  <c r="Z27" i="2"/>
  <c r="Y27" i="2"/>
  <c r="X27" i="2"/>
  <c r="W27" i="2"/>
  <c r="V27" i="2"/>
  <c r="AB26" i="2"/>
  <c r="AA26" i="2"/>
  <c r="Z26" i="2"/>
  <c r="Y26" i="2"/>
  <c r="X26" i="2"/>
  <c r="W26" i="2"/>
  <c r="V26" i="2"/>
  <c r="AB25" i="2"/>
  <c r="AA25" i="2"/>
  <c r="Z25" i="2"/>
  <c r="Y25" i="2"/>
  <c r="X25" i="2"/>
  <c r="W25" i="2"/>
  <c r="V25" i="2"/>
  <c r="AB24" i="2"/>
  <c r="AA24" i="2"/>
  <c r="Z24" i="2"/>
  <c r="Y24" i="2"/>
  <c r="X24" i="2"/>
  <c r="W24" i="2"/>
  <c r="V24" i="2"/>
  <c r="AB23" i="2"/>
  <c r="AA23" i="2"/>
  <c r="Z23" i="2"/>
  <c r="Y23" i="2"/>
  <c r="X23" i="2"/>
  <c r="W23" i="2"/>
  <c r="V23" i="2"/>
  <c r="AB22" i="2"/>
  <c r="AA22" i="2"/>
  <c r="Z22" i="2"/>
  <c r="Y22" i="2"/>
  <c r="X22" i="2"/>
  <c r="W22" i="2"/>
  <c r="V22" i="2"/>
  <c r="AB21" i="2"/>
  <c r="AA21" i="2"/>
  <c r="Z21" i="2"/>
  <c r="Y21" i="2"/>
  <c r="X21" i="2"/>
  <c r="W21" i="2"/>
  <c r="V21" i="2"/>
  <c r="AB20" i="2"/>
  <c r="AA20" i="2"/>
  <c r="Z20" i="2"/>
  <c r="Y20" i="2"/>
  <c r="X20" i="2"/>
  <c r="W20" i="2"/>
  <c r="V20" i="2"/>
  <c r="AB19" i="2"/>
  <c r="AA19" i="2"/>
  <c r="Z19" i="2"/>
  <c r="Y19" i="2"/>
  <c r="X19" i="2"/>
  <c r="W19" i="2"/>
  <c r="V19" i="2"/>
  <c r="AB18" i="2"/>
  <c r="AA18" i="2"/>
  <c r="Z18" i="2"/>
  <c r="Y18" i="2"/>
  <c r="X18" i="2"/>
  <c r="W18" i="2"/>
  <c r="V18" i="2"/>
  <c r="AB17" i="2"/>
  <c r="AA17" i="2"/>
  <c r="Z17" i="2"/>
  <c r="Y17" i="2"/>
  <c r="X17" i="2"/>
  <c r="W17" i="2"/>
  <c r="V17" i="2"/>
  <c r="AB16" i="2"/>
  <c r="AA16" i="2"/>
  <c r="Z16" i="2"/>
  <c r="Y16" i="2"/>
  <c r="X16" i="2"/>
  <c r="W16" i="2"/>
  <c r="V16" i="2"/>
  <c r="AB15" i="2"/>
  <c r="AA15" i="2"/>
  <c r="Z15" i="2"/>
  <c r="Y15" i="2"/>
  <c r="X15" i="2"/>
  <c r="W15" i="2"/>
  <c r="V15" i="2"/>
  <c r="AB14" i="2"/>
  <c r="AA14" i="2"/>
  <c r="Z14" i="2"/>
  <c r="Y14" i="2"/>
  <c r="X14" i="2"/>
  <c r="W14" i="2"/>
  <c r="V14" i="2"/>
  <c r="AB13" i="2"/>
  <c r="AA13" i="2"/>
  <c r="Z13" i="2"/>
  <c r="Y13" i="2"/>
  <c r="X13" i="2"/>
  <c r="W13" i="2"/>
  <c r="V13" i="2"/>
  <c r="AB12" i="2"/>
  <c r="AA12" i="2"/>
  <c r="Z12" i="2"/>
  <c r="Y12" i="2"/>
  <c r="X12" i="2"/>
  <c r="W12" i="2"/>
  <c r="V12" i="2"/>
  <c r="AB11" i="2"/>
  <c r="AA11" i="2"/>
  <c r="Z11" i="2"/>
  <c r="Y11" i="2"/>
  <c r="X11" i="2"/>
  <c r="W11" i="2"/>
  <c r="V11" i="2"/>
  <c r="AB10" i="2"/>
  <c r="AA10" i="2"/>
  <c r="Z10" i="2"/>
  <c r="Y10" i="2"/>
  <c r="X10" i="2"/>
  <c r="W10" i="2"/>
  <c r="V10" i="2"/>
  <c r="AB9" i="2"/>
  <c r="C86" i="1" s="1"/>
  <c r="AA9" i="2"/>
  <c r="Z9" i="2"/>
  <c r="Y9" i="2"/>
  <c r="X9" i="2"/>
  <c r="W9" i="2"/>
  <c r="V9" i="2"/>
  <c r="AB8" i="2"/>
  <c r="AA8" i="2"/>
  <c r="B50" i="1" s="1"/>
  <c r="Z8" i="2"/>
  <c r="Y8" i="2"/>
  <c r="X8" i="2"/>
  <c r="W8" i="2"/>
  <c r="V8" i="2"/>
  <c r="AB7" i="2"/>
  <c r="AA7" i="2"/>
  <c r="Z7" i="2"/>
  <c r="G35" i="1" s="1"/>
  <c r="Y7" i="2"/>
  <c r="X7" i="2"/>
  <c r="W7" i="2"/>
  <c r="V7" i="2"/>
  <c r="AB6" i="2"/>
  <c r="D85" i="1" s="1"/>
  <c r="AA6" i="2"/>
  <c r="Z6" i="2"/>
  <c r="Y6" i="2"/>
  <c r="B33" i="1" s="1"/>
  <c r="X6" i="2"/>
  <c r="W6" i="2"/>
  <c r="V6" i="2"/>
  <c r="AB5" i="2"/>
  <c r="AA5" i="2"/>
  <c r="B48" i="1" s="1"/>
  <c r="Z5" i="2"/>
  <c r="Y5" i="2"/>
  <c r="X5" i="2"/>
  <c r="W5" i="2"/>
  <c r="V5" i="2"/>
  <c r="AB4" i="2"/>
  <c r="AA4" i="2"/>
  <c r="Z4" i="2"/>
  <c r="H33" i="1" s="1"/>
  <c r="Y4" i="2"/>
  <c r="X4" i="2"/>
  <c r="W4" i="2"/>
  <c r="V4" i="2"/>
  <c r="AB3" i="2"/>
  <c r="AA3" i="2"/>
  <c r="Z3" i="2"/>
  <c r="Y3" i="2"/>
  <c r="C35" i="1" s="1"/>
  <c r="X3" i="2"/>
  <c r="W3" i="2"/>
  <c r="V3" i="2"/>
  <c r="C29" i="1" s="1"/>
  <c r="AB2" i="2"/>
  <c r="D88" i="1" s="1"/>
  <c r="AA2" i="2"/>
  <c r="Z2" i="2"/>
  <c r="Y2" i="2"/>
  <c r="X2" i="2"/>
  <c r="W2" i="2"/>
  <c r="V2" i="2"/>
  <c r="E97" i="1"/>
  <c r="E96" i="1"/>
  <c r="E95" i="1"/>
  <c r="E94" i="1"/>
  <c r="E93" i="1"/>
  <c r="B93" i="1"/>
  <c r="E92" i="1"/>
  <c r="B92" i="1"/>
  <c r="F88" i="1"/>
  <c r="E88" i="1"/>
  <c r="B88" i="1"/>
  <c r="F87" i="1"/>
  <c r="E87" i="1"/>
  <c r="C87" i="1"/>
  <c r="B87" i="1"/>
  <c r="F86" i="1"/>
  <c r="E86" i="1"/>
  <c r="B86" i="1"/>
  <c r="F85" i="1"/>
  <c r="E85" i="1"/>
  <c r="B85" i="1"/>
  <c r="F84" i="1"/>
  <c r="E84" i="1"/>
  <c r="B84" i="1"/>
  <c r="F83" i="1"/>
  <c r="E83" i="1"/>
  <c r="B83" i="1"/>
  <c r="F82" i="1"/>
  <c r="E82" i="1"/>
  <c r="D82" i="1"/>
  <c r="B82" i="1"/>
  <c r="F81" i="1"/>
  <c r="E81" i="1"/>
  <c r="B81" i="1"/>
  <c r="F80" i="1"/>
  <c r="E80" i="1"/>
  <c r="B80" i="1"/>
  <c r="F79" i="1"/>
  <c r="E79" i="1"/>
  <c r="C79" i="1"/>
  <c r="B79" i="1"/>
  <c r="E75" i="1"/>
  <c r="D75" i="1"/>
  <c r="C75" i="1"/>
  <c r="B75" i="1"/>
  <c r="E74" i="1"/>
  <c r="D74" i="1"/>
  <c r="C74" i="1"/>
  <c r="B74" i="1"/>
  <c r="E73" i="1"/>
  <c r="D73" i="1"/>
  <c r="C73" i="1"/>
  <c r="B73" i="1"/>
  <c r="E72" i="1"/>
  <c r="D72" i="1"/>
  <c r="C72" i="1"/>
  <c r="B72" i="1"/>
  <c r="E71" i="1"/>
  <c r="D71" i="1"/>
  <c r="C71" i="1"/>
  <c r="B71" i="1"/>
  <c r="E70" i="1"/>
  <c r="D70" i="1"/>
  <c r="C70" i="1"/>
  <c r="B70" i="1"/>
  <c r="E69" i="1"/>
  <c r="D69" i="1"/>
  <c r="C69" i="1"/>
  <c r="B69" i="1"/>
  <c r="E68" i="1"/>
  <c r="D68" i="1"/>
  <c r="C68" i="1"/>
  <c r="B68" i="1"/>
  <c r="E67" i="1"/>
  <c r="D67" i="1"/>
  <c r="C67" i="1"/>
  <c r="B67" i="1"/>
  <c r="E66" i="1"/>
  <c r="D66" i="1"/>
  <c r="C66" i="1"/>
  <c r="B66" i="1"/>
  <c r="E64" i="1"/>
  <c r="D64" i="1"/>
  <c r="C64" i="1"/>
  <c r="B64" i="1"/>
  <c r="E63" i="1"/>
  <c r="D63" i="1"/>
  <c r="C63" i="1"/>
  <c r="B63" i="1"/>
  <c r="E62" i="1"/>
  <c r="D62" i="1"/>
  <c r="C62" i="1"/>
  <c r="B62" i="1"/>
  <c r="E61" i="1"/>
  <c r="D61" i="1"/>
  <c r="C61" i="1"/>
  <c r="B61" i="1"/>
  <c r="E60" i="1"/>
  <c r="D60" i="1"/>
  <c r="C60" i="1"/>
  <c r="B60" i="1"/>
  <c r="E59" i="1"/>
  <c r="D59" i="1"/>
  <c r="C59" i="1"/>
  <c r="B59" i="1"/>
  <c r="E58" i="1"/>
  <c r="D58" i="1"/>
  <c r="C58" i="1"/>
  <c r="B58" i="1"/>
  <c r="E57" i="1"/>
  <c r="D57" i="1"/>
  <c r="C57" i="1"/>
  <c r="B57" i="1"/>
  <c r="E56" i="1"/>
  <c r="D56" i="1"/>
  <c r="C56" i="1"/>
  <c r="B56" i="1"/>
  <c r="E55" i="1"/>
  <c r="D55" i="1"/>
  <c r="C55" i="1"/>
  <c r="B55" i="1"/>
  <c r="C48" i="1"/>
  <c r="C44" i="1"/>
  <c r="C40" i="1"/>
  <c r="B34" i="1"/>
  <c r="E9" i="1"/>
  <c r="M5" i="1"/>
  <c r="J5" i="1"/>
  <c r="D5" i="1"/>
  <c r="G5" i="1" s="1"/>
  <c r="A5" i="1"/>
  <c r="E19" i="1" l="1"/>
  <c r="D79" i="1"/>
  <c r="C84" i="1"/>
  <c r="D87" i="1"/>
  <c r="E11" i="1"/>
  <c r="B28" i="1"/>
  <c r="H35" i="1"/>
  <c r="I35" i="1" s="1"/>
  <c r="C41" i="1"/>
  <c r="C49" i="1"/>
  <c r="C81" i="1"/>
  <c r="D84" i="1"/>
  <c r="C10" i="1"/>
  <c r="C14" i="1"/>
  <c r="C18" i="1"/>
  <c r="C22" i="1"/>
  <c r="C26" i="1"/>
  <c r="C33" i="1"/>
  <c r="D33" i="1" s="1"/>
  <c r="G34" i="1"/>
  <c r="I34" i="1" s="1"/>
  <c r="B46" i="1"/>
  <c r="D81" i="1"/>
  <c r="E17" i="1"/>
  <c r="E25" i="1"/>
  <c r="H34" i="1"/>
  <c r="G36" i="1"/>
  <c r="I36" i="1" s="1"/>
  <c r="C42" i="1"/>
  <c r="C46" i="1"/>
  <c r="C50" i="1"/>
  <c r="C83" i="1"/>
  <c r="D86" i="1"/>
  <c r="C80" i="1"/>
  <c r="D83" i="1"/>
  <c r="C88" i="1"/>
  <c r="E13" i="1"/>
  <c r="E21" i="1"/>
  <c r="E27" i="1"/>
  <c r="C34" i="1"/>
  <c r="D34" i="1" s="1"/>
  <c r="B45" i="1"/>
  <c r="B10" i="1"/>
  <c r="B12" i="1"/>
  <c r="B14" i="1"/>
  <c r="B16" i="1"/>
  <c r="B18" i="1"/>
  <c r="B20" i="1"/>
  <c r="B22" i="1"/>
  <c r="B24" i="1"/>
  <c r="B26" i="1"/>
  <c r="C45" i="1"/>
  <c r="E28" i="1"/>
  <c r="G33" i="1"/>
  <c r="I33" i="1" s="1"/>
  <c r="H36" i="1"/>
  <c r="B43" i="1"/>
  <c r="B47" i="1"/>
  <c r="B51" i="1"/>
  <c r="B9" i="1"/>
  <c r="B11" i="1"/>
  <c r="B13" i="1"/>
  <c r="B15" i="1"/>
  <c r="B17" i="1"/>
  <c r="B19" i="1"/>
  <c r="B21" i="1"/>
  <c r="B23" i="1"/>
  <c r="B25" i="1"/>
  <c r="C51" i="1"/>
  <c r="D80" i="1"/>
  <c r="C85" i="1"/>
  <c r="E15" i="1"/>
  <c r="E23" i="1"/>
  <c r="E29" i="1"/>
  <c r="B41" i="1"/>
  <c r="B49" i="1"/>
  <c r="C12" i="1"/>
  <c r="D12" i="1" s="1"/>
  <c r="C16" i="1"/>
  <c r="D16" i="1" s="1"/>
  <c r="C20" i="1"/>
  <c r="D20" i="1" s="1"/>
  <c r="C24" i="1"/>
  <c r="D24" i="1" s="1"/>
  <c r="C28" i="1"/>
  <c r="D28" i="1" s="1"/>
  <c r="B42" i="1"/>
  <c r="E10" i="1"/>
  <c r="E12" i="1"/>
  <c r="E14" i="1"/>
  <c r="E16" i="1"/>
  <c r="E18" i="1"/>
  <c r="E20" i="1"/>
  <c r="E22" i="1"/>
  <c r="E24" i="1"/>
  <c r="B27" i="1"/>
  <c r="B29" i="1"/>
  <c r="D29" i="1" s="1"/>
  <c r="B35" i="1"/>
  <c r="D35" i="1" s="1"/>
  <c r="C43" i="1"/>
  <c r="C47" i="1"/>
  <c r="C9" i="1"/>
  <c r="D9" i="1" s="1"/>
  <c r="C11" i="1"/>
  <c r="D11" i="1" s="1"/>
  <c r="C13" i="1"/>
  <c r="C15" i="1"/>
  <c r="C17" i="1"/>
  <c r="C19" i="1"/>
  <c r="D19" i="1" s="1"/>
  <c r="C21" i="1"/>
  <c r="D21" i="1" s="1"/>
  <c r="C23" i="1"/>
  <c r="D23" i="1" s="1"/>
  <c r="C25" i="1"/>
  <c r="D25" i="1" s="1"/>
  <c r="C27" i="1"/>
  <c r="D27" i="1" s="1"/>
  <c r="B40" i="1"/>
  <c r="B44" i="1"/>
  <c r="C82" i="1"/>
  <c r="D10" i="1" l="1"/>
  <c r="D13" i="1"/>
  <c r="D26" i="1"/>
  <c r="D22" i="1"/>
  <c r="D17" i="1"/>
  <c r="D18" i="1"/>
  <c r="D15" i="1"/>
  <c r="D14" i="1"/>
</calcChain>
</file>

<file path=xl/sharedStrings.xml><?xml version="1.0" encoding="utf-8"?>
<sst xmlns="http://schemas.openxmlformats.org/spreadsheetml/2006/main" count="48766" uniqueCount="8337">
  <si>
    <t>TrendKart Fashion Pvt. Ltd. — Business Analytics Dashboard</t>
  </si>
  <si>
    <t>Data period: Apr 2024 - Mar 2025  |  All figures in Rs.  |  KPIs and tables are live formulas driven off the cleaned Sales_Transactions sheet</t>
  </si>
  <si>
    <t>Total Revenue (Rs.)</t>
  </si>
  <si>
    <t>Total Profit (Rs.)</t>
  </si>
  <si>
    <t>Profit Margin %</t>
  </si>
  <si>
    <t>Valid Transactions</t>
  </si>
  <si>
    <t>Return Rate %</t>
  </si>
  <si>
    <t>1. SALES PERFORMANCE — Revenue, Profit &amp; Return Rate by Category</t>
  </si>
  <si>
    <t>Category</t>
  </si>
  <si>
    <t>Revenue (Rs.)</t>
  </si>
  <si>
    <t>Profit (Rs.)</t>
  </si>
  <si>
    <t>Margin %</t>
  </si>
  <si>
    <t>Women Sarees</t>
  </si>
  <si>
    <t>Handbags</t>
  </si>
  <si>
    <t>Watches</t>
  </si>
  <si>
    <t>Jewellery</t>
  </si>
  <si>
    <t>Women Dresses</t>
  </si>
  <si>
    <t>Footwear</t>
  </si>
  <si>
    <t>Men Ethnic</t>
  </si>
  <si>
    <t>Women Jeans</t>
  </si>
  <si>
    <t>Women Kurtis</t>
  </si>
  <si>
    <t>Winter Wear</t>
  </si>
  <si>
    <t>Women Tops</t>
  </si>
  <si>
    <t>Men T-Shirts</t>
  </si>
  <si>
    <t>Men Jeans</t>
  </si>
  <si>
    <t>Sportswear</t>
  </si>
  <si>
    <t>Wallets</t>
  </si>
  <si>
    <t>Men Trousers</t>
  </si>
  <si>
    <t>Men Shirts</t>
  </si>
  <si>
    <t>Kids Wear</t>
  </si>
  <si>
    <t>Belts</t>
  </si>
  <si>
    <t>Accessories</t>
  </si>
  <si>
    <t>Unknown</t>
  </si>
  <si>
    <t>2. CUSTOMER BEHAVIOUR — Revenue by Region &amp; Membership Tier</t>
  </si>
  <si>
    <t>Region</t>
  </si>
  <si>
    <t>Txns</t>
  </si>
  <si>
    <t>Avg Order Value</t>
  </si>
  <si>
    <t>Membership</t>
  </si>
  <si>
    <t>South Zone 1</t>
  </si>
  <si>
    <t>Gold</t>
  </si>
  <si>
    <t>South Zone 2</t>
  </si>
  <si>
    <t>Platinum</t>
  </si>
  <si>
    <t>South Zone 3</t>
  </si>
  <si>
    <t>Silver</t>
  </si>
  <si>
    <t>Regular</t>
  </si>
  <si>
    <t>3. SALES TREND &amp; INVENTORY — Monthly Revenue and Product Movement</t>
  </si>
  <si>
    <t>Month</t>
  </si>
  <si>
    <t>Fast-Moving (Qty Sold)</t>
  </si>
  <si>
    <t>Units</t>
  </si>
  <si>
    <t>Slow-Moving (Qty Sold)</t>
  </si>
  <si>
    <t>2024-04</t>
  </si>
  <si>
    <t>PRD0043 - GRT Jewellers Sling Bag Olive</t>
  </si>
  <si>
    <t>PRD0008 - Aurelia Zip Wallet Grey</t>
  </si>
  <si>
    <t>2024-05</t>
  </si>
  <si>
    <t>PRD0236 - Reebok Graphic Tee Cream</t>
  </si>
  <si>
    <t>PRD0162 - Skechers Formal Trouser Brown</t>
  </si>
  <si>
    <t>2024-06</t>
  </si>
  <si>
    <t>PRD0134 - Jack &amp; Jones Maxi Dress Maroon</t>
  </si>
  <si>
    <t>PRD0185 - Max Fashion Nehru Jacket Purple</t>
  </si>
  <si>
    <t>2024-07</t>
  </si>
  <si>
    <t>PRD0142 - Global Desi Round Neck Green</t>
  </si>
  <si>
    <t>PRD0249 - Titan Track Pant Wine</t>
  </si>
  <si>
    <t>2024-08</t>
  </si>
  <si>
    <t>PRD0140 - Metro Shoes Polo Purple</t>
  </si>
  <si>
    <t>PRD0206 - Numero Uno Track Pant White</t>
  </si>
  <si>
    <t>2024-09</t>
  </si>
  <si>
    <t>PRD0117 - Nike Shirt Dress Peach</t>
  </si>
  <si>
    <t>PRD0024 - Spykar Backpack Peach</t>
  </si>
  <si>
    <t>2024-10</t>
  </si>
  <si>
    <t>PRD0137 - Peter England Crop Top Green</t>
  </si>
  <si>
    <t>PRD0166 - Global Desi Joggers Charcoal</t>
  </si>
  <si>
    <t>2024-11</t>
  </si>
  <si>
    <t>PRD0130 - Spykar Cotton Saree Black</t>
  </si>
  <si>
    <t>PRD0104 - GRT Jewellers Chinos Purple</t>
  </si>
  <si>
    <t>2024-12</t>
  </si>
  <si>
    <t>2025-01</t>
  </si>
  <si>
    <t>2025-02</t>
  </si>
  <si>
    <t>2025-03</t>
  </si>
  <si>
    <t>4. STORE OPERATIONS — Top &amp; Bottom Performing Stores by Revenue</t>
  </si>
  <si>
    <t>Store_ID</t>
  </si>
  <si>
    <t>Store Name</t>
  </si>
  <si>
    <t>STR037</t>
  </si>
  <si>
    <t>STR080</t>
  </si>
  <si>
    <t>STR078</t>
  </si>
  <si>
    <t>STR011</t>
  </si>
  <si>
    <t>STR004</t>
  </si>
  <si>
    <t>STR088</t>
  </si>
  <si>
    <t>STR101</t>
  </si>
  <si>
    <t>STR031</t>
  </si>
  <si>
    <t>STR032</t>
  </si>
  <si>
    <t>STR007</t>
  </si>
  <si>
    <t>Bottom 10 stores by revenue -&gt;</t>
  </si>
  <si>
    <t>STR098</t>
  </si>
  <si>
    <t>STR114</t>
  </si>
  <si>
    <t>STR059</t>
  </si>
  <si>
    <t>STR002</t>
  </si>
  <si>
    <t>STR022</t>
  </si>
  <si>
    <t>STR065</t>
  </si>
  <si>
    <t>STR049</t>
  </si>
  <si>
    <t>STR061</t>
  </si>
  <si>
    <t>STR095</t>
  </si>
  <si>
    <t>STR017</t>
  </si>
  <si>
    <t>5. SUPPLIER PERFORMANCE — Revenue, Margin, Lead Time &amp; Rating</t>
  </si>
  <si>
    <t>Supplier_ID</t>
  </si>
  <si>
    <t>Supplier Name</t>
  </si>
  <si>
    <t>Lead Time (days)</t>
  </si>
  <si>
    <t>Rating</t>
  </si>
  <si>
    <t>SUP047</t>
  </si>
  <si>
    <t>SUP084</t>
  </si>
  <si>
    <t>SUP069</t>
  </si>
  <si>
    <t>SUP066</t>
  </si>
  <si>
    <t>SUP070</t>
  </si>
  <si>
    <t>SUP055</t>
  </si>
  <si>
    <t>SUP038</t>
  </si>
  <si>
    <t>SUP041</t>
  </si>
  <si>
    <t>SUP029</t>
  </si>
  <si>
    <t>SUP073</t>
  </si>
  <si>
    <t>6. SALES CHANNEL &amp; PAYMENT MODE MIX</t>
  </si>
  <si>
    <t>Sales Channel</t>
  </si>
  <si>
    <t>Payment Mode</t>
  </si>
  <si>
    <t>Offline</t>
  </si>
  <si>
    <t>UPI</t>
  </si>
  <si>
    <t>Online</t>
  </si>
  <si>
    <t>Credit Card</t>
  </si>
  <si>
    <t>Debit Card</t>
  </si>
  <si>
    <t>Cash</t>
  </si>
  <si>
    <t>Net Banking</t>
  </si>
  <si>
    <t>EMI</t>
  </si>
  <si>
    <t>Invoice No</t>
  </si>
  <si>
    <t>Invoice Date</t>
  </si>
  <si>
    <t>Customer_ID</t>
  </si>
  <si>
    <t>Product_ID</t>
  </si>
  <si>
    <t>Employee_ID</t>
  </si>
  <si>
    <t>Quantity</t>
  </si>
  <si>
    <t>Unit Price</t>
  </si>
  <si>
    <t>Discount %</t>
  </si>
  <si>
    <t>Discount Amount</t>
  </si>
  <si>
    <t>GST %</t>
  </si>
  <si>
    <t>GST Amount</t>
  </si>
  <si>
    <t>Sales Amount</t>
  </si>
  <si>
    <t>Cost Amount</t>
  </si>
  <si>
    <t>Profit</t>
  </si>
  <si>
    <t>Return Status</t>
  </si>
  <si>
    <t>Order Time</t>
  </si>
  <si>
    <t>Day Type</t>
  </si>
  <si>
    <t>Loss_Making_Flag</t>
  </si>
  <si>
    <t>Brand</t>
  </si>
  <si>
    <t>INV100001</t>
  </si>
  <si>
    <t>CUST0052</t>
  </si>
  <si>
    <t>PRD0200</t>
  </si>
  <si>
    <t>EMP0276</t>
  </si>
  <si>
    <t>Not Returned</t>
  </si>
  <si>
    <t>18:16</t>
  </si>
  <si>
    <t>Weekday</t>
  </si>
  <si>
    <t>No</t>
  </si>
  <si>
    <t>INV100002</t>
  </si>
  <si>
    <t>CUST0463</t>
  </si>
  <si>
    <t>PRD0245</t>
  </si>
  <si>
    <t>STR102</t>
  </si>
  <si>
    <t>EMP0156</t>
  </si>
  <si>
    <t>13:25</t>
  </si>
  <si>
    <t>Weekend</t>
  </si>
  <si>
    <t>INV100003</t>
  </si>
  <si>
    <t>CUST0711</t>
  </si>
  <si>
    <t>PRD0065</t>
  </si>
  <si>
    <t>EMP0223</t>
  </si>
  <si>
    <t>21:10</t>
  </si>
  <si>
    <t>INV100004</t>
  </si>
  <si>
    <t>CUST0466</t>
  </si>
  <si>
    <t>PRD0224</t>
  </si>
  <si>
    <t>EMP0170</t>
  </si>
  <si>
    <t>13:45</t>
  </si>
  <si>
    <t>INV100005</t>
  </si>
  <si>
    <t>CUST0406</t>
  </si>
  <si>
    <t>PRD0035</t>
  </si>
  <si>
    <t>STR058</t>
  </si>
  <si>
    <t>EMP0090</t>
  </si>
  <si>
    <t>21:11</t>
  </si>
  <si>
    <t>INV100006</t>
  </si>
  <si>
    <t>CUST0084</t>
  </si>
  <si>
    <t>PRD0199</t>
  </si>
  <si>
    <t>STR074</t>
  </si>
  <si>
    <t>EMP0204</t>
  </si>
  <si>
    <t>10:24</t>
  </si>
  <si>
    <t>Yes</t>
  </si>
  <si>
    <t>INV100007</t>
  </si>
  <si>
    <t>CUST0714</t>
  </si>
  <si>
    <t>PRD0040</t>
  </si>
  <si>
    <t>STR062</t>
  </si>
  <si>
    <t>EMP0215</t>
  </si>
  <si>
    <t>20:20</t>
  </si>
  <si>
    <t>INV100008</t>
  </si>
  <si>
    <t>CUST0121</t>
  </si>
  <si>
    <t>PRD0196</t>
  </si>
  <si>
    <t>STR084</t>
  </si>
  <si>
    <t>EMP0285</t>
  </si>
  <si>
    <t>21:28</t>
  </si>
  <si>
    <t>INV100009</t>
  </si>
  <si>
    <t>CUST0782</t>
  </si>
  <si>
    <t>PRD0114</t>
  </si>
  <si>
    <t>STR021</t>
  </si>
  <si>
    <t>EMP0001</t>
  </si>
  <si>
    <t>19:05</t>
  </si>
  <si>
    <t>INV100010</t>
  </si>
  <si>
    <t>CUST0429</t>
  </si>
  <si>
    <t>PRD0075</t>
  </si>
  <si>
    <t>STR085</t>
  </si>
  <si>
    <t>10:34</t>
  </si>
  <si>
    <t>INV100011</t>
  </si>
  <si>
    <t>CUST0162</t>
  </si>
  <si>
    <t>PRD0117</t>
  </si>
  <si>
    <t>EMP0258</t>
  </si>
  <si>
    <t>13:20</t>
  </si>
  <si>
    <t>INV100012</t>
  </si>
  <si>
    <t>CUST0794</t>
  </si>
  <si>
    <t>PRD0078</t>
  </si>
  <si>
    <t>STR068</t>
  </si>
  <si>
    <t>18:28</t>
  </si>
  <si>
    <t>INV100013</t>
  </si>
  <si>
    <t>CUST0238</t>
  </si>
  <si>
    <t>PRD0100</t>
  </si>
  <si>
    <t>EMP0127</t>
  </si>
  <si>
    <t>21:43</t>
  </si>
  <si>
    <t>INV100014</t>
  </si>
  <si>
    <t>CUST0006</t>
  </si>
  <si>
    <t>PRD0169</t>
  </si>
  <si>
    <t>STR047</t>
  </si>
  <si>
    <t>10:06</t>
  </si>
  <si>
    <t>INV100015</t>
  </si>
  <si>
    <t>CUST0146</t>
  </si>
  <si>
    <t>PRD0189</t>
  </si>
  <si>
    <t>STR109</t>
  </si>
  <si>
    <t>EMP0020</t>
  </si>
  <si>
    <t>10:59</t>
  </si>
  <si>
    <t>INV100016</t>
  </si>
  <si>
    <t>CUST0209</t>
  </si>
  <si>
    <t>PRD0013</t>
  </si>
  <si>
    <t>EMP0008</t>
  </si>
  <si>
    <t>12:38</t>
  </si>
  <si>
    <t>INV100017</t>
  </si>
  <si>
    <t>CUST0540</t>
  </si>
  <si>
    <t>STR040</t>
  </si>
  <si>
    <t>EMP0002</t>
  </si>
  <si>
    <t>20:29</t>
  </si>
  <si>
    <t>INV100018</t>
  </si>
  <si>
    <t>CUST0702</t>
  </si>
  <si>
    <t>PRD0233</t>
  </si>
  <si>
    <t>STR014</t>
  </si>
  <si>
    <t>18:02</t>
  </si>
  <si>
    <t>INV100019</t>
  </si>
  <si>
    <t>CUST0432</t>
  </si>
  <si>
    <t>PRD0071</t>
  </si>
  <si>
    <t>STR024</t>
  </si>
  <si>
    <t>EMP0121</t>
  </si>
  <si>
    <t>14:21</t>
  </si>
  <si>
    <t>INV100020</t>
  </si>
  <si>
    <t>CUST0012</t>
  </si>
  <si>
    <t>PRD0074</t>
  </si>
  <si>
    <t>EMP0063</t>
  </si>
  <si>
    <t>INV100021</t>
  </si>
  <si>
    <t>CUST0565</t>
  </si>
  <si>
    <t>PRD0128</t>
  </si>
  <si>
    <t>STR110</t>
  </si>
  <si>
    <t>EMP0173</t>
  </si>
  <si>
    <t>12:58</t>
  </si>
  <si>
    <t>INV100022</t>
  </si>
  <si>
    <t>CUST0316</t>
  </si>
  <si>
    <t>PRD0227</t>
  </si>
  <si>
    <t>STR005</t>
  </si>
  <si>
    <t>EMP0203</t>
  </si>
  <si>
    <t>14:43</t>
  </si>
  <si>
    <t>INV100023</t>
  </si>
  <si>
    <t>CUST0560</t>
  </si>
  <si>
    <t>PRD0243</t>
  </si>
  <si>
    <t>STR019</t>
  </si>
  <si>
    <t>EMP0255</t>
  </si>
  <si>
    <t>12:12</t>
  </si>
  <si>
    <t>INV100024</t>
  </si>
  <si>
    <t>CUST0795</t>
  </si>
  <si>
    <t>PRD0125</t>
  </si>
  <si>
    <t>STR075</t>
  </si>
  <si>
    <t>EMP0132</t>
  </si>
  <si>
    <t>20:57</t>
  </si>
  <si>
    <t>INV100025</t>
  </si>
  <si>
    <t>CUST0189</t>
  </si>
  <si>
    <t>PRD0124</t>
  </si>
  <si>
    <t>EMP0269</t>
  </si>
  <si>
    <t>19:37</t>
  </si>
  <si>
    <t>INV100026</t>
  </si>
  <si>
    <t>CUST0674</t>
  </si>
  <si>
    <t>PRD0152</t>
  </si>
  <si>
    <t>STR099</t>
  </si>
  <si>
    <t>EMP0260</t>
  </si>
  <si>
    <t>21:30</t>
  </si>
  <si>
    <t>INV100027</t>
  </si>
  <si>
    <t>CUST0382</t>
  </si>
  <si>
    <t>STR111</t>
  </si>
  <si>
    <t>EMP0141</t>
  </si>
  <si>
    <t>14:57</t>
  </si>
  <si>
    <t>INV100028</t>
  </si>
  <si>
    <t>CUST0783</t>
  </si>
  <si>
    <t>PRD0097</t>
  </si>
  <si>
    <t>STR072</t>
  </si>
  <si>
    <t>EMP0061</t>
  </si>
  <si>
    <t>20:44</t>
  </si>
  <si>
    <t>INV100029</t>
  </si>
  <si>
    <t>CUST0812</t>
  </si>
  <si>
    <t>PRD0002</t>
  </si>
  <si>
    <t>EMP0091</t>
  </si>
  <si>
    <t>13:33</t>
  </si>
  <si>
    <t>INV100030</t>
  </si>
  <si>
    <t>CUST0136</t>
  </si>
  <si>
    <t>PRD0063</t>
  </si>
  <si>
    <t>Returned</t>
  </si>
  <si>
    <t>19:45</t>
  </si>
  <si>
    <t>INV100031</t>
  </si>
  <si>
    <t>CUST0584</t>
  </si>
  <si>
    <t>PRD0016</t>
  </si>
  <si>
    <t>STR112</t>
  </si>
  <si>
    <t>INV100032</t>
  </si>
  <si>
    <t>CUST0035</t>
  </si>
  <si>
    <t>PRD0242</t>
  </si>
  <si>
    <t>20:59</t>
  </si>
  <si>
    <t>INV100033</t>
  </si>
  <si>
    <t>CUST0492</t>
  </si>
  <si>
    <t>PRD0160</t>
  </si>
  <si>
    <t>14:31</t>
  </si>
  <si>
    <t>INV100034</t>
  </si>
  <si>
    <t>CUST0494</t>
  </si>
  <si>
    <t>PRD0090</t>
  </si>
  <si>
    <t>11:31</t>
  </si>
  <si>
    <t>INV100035</t>
  </si>
  <si>
    <t>CUST0184</t>
  </si>
  <si>
    <t>PRD0171</t>
  </si>
  <si>
    <t>STR116</t>
  </si>
  <si>
    <t>EMP0149</t>
  </si>
  <si>
    <t>13:13</t>
  </si>
  <si>
    <t>INV100036</t>
  </si>
  <si>
    <t>CUST0282</t>
  </si>
  <si>
    <t>PRD0161</t>
  </si>
  <si>
    <t>18:26</t>
  </si>
  <si>
    <t>INV100037</t>
  </si>
  <si>
    <t>PRD0250</t>
  </si>
  <si>
    <t>STR083</t>
  </si>
  <si>
    <t>EMP0147</t>
  </si>
  <si>
    <t>21:35</t>
  </si>
  <si>
    <t>INV100038</t>
  </si>
  <si>
    <t>CUST0552</t>
  </si>
  <si>
    <t>15:32</t>
  </si>
  <si>
    <t>INV100039</t>
  </si>
  <si>
    <t>CUST0329</t>
  </si>
  <si>
    <t>STR108</t>
  </si>
  <si>
    <t>16:03</t>
  </si>
  <si>
    <t>INV100040</t>
  </si>
  <si>
    <t>CUST0849</t>
  </si>
  <si>
    <t>STR097</t>
  </si>
  <si>
    <t>21:34</t>
  </si>
  <si>
    <t>INV100041</t>
  </si>
  <si>
    <t>CUST0404</t>
  </si>
  <si>
    <t>PRD0172</t>
  </si>
  <si>
    <t>STR092</t>
  </si>
  <si>
    <t>INV100042</t>
  </si>
  <si>
    <t>PRD0170</t>
  </si>
  <si>
    <t>STR073</t>
  </si>
  <si>
    <t>15:46</t>
  </si>
  <si>
    <t>INV100043</t>
  </si>
  <si>
    <t>CUST0270</t>
  </si>
  <si>
    <t>PRD0122</t>
  </si>
  <si>
    <t>STR103</t>
  </si>
  <si>
    <t>17:02</t>
  </si>
  <si>
    <t>INV100044</t>
  </si>
  <si>
    <t>CUST0554</t>
  </si>
  <si>
    <t>PRD0019</t>
  </si>
  <si>
    <t>12:51</t>
  </si>
  <si>
    <t>INV100045</t>
  </si>
  <si>
    <t>CUST0352</t>
  </si>
  <si>
    <t>PRD0025</t>
  </si>
  <si>
    <t>EMP0073</t>
  </si>
  <si>
    <t>20:43</t>
  </si>
  <si>
    <t>INV100046</t>
  </si>
  <si>
    <t>CUST0008</t>
  </si>
  <si>
    <t>PRD0218</t>
  </si>
  <si>
    <t>EMP0160</t>
  </si>
  <si>
    <t>20:49</t>
  </si>
  <si>
    <t>INV100047</t>
  </si>
  <si>
    <t>CUST0400</t>
  </si>
  <si>
    <t>PRD0067</t>
  </si>
  <si>
    <t>STR090</t>
  </si>
  <si>
    <t>16:26</t>
  </si>
  <si>
    <t>INV100048</t>
  </si>
  <si>
    <t>CUST0003</t>
  </si>
  <si>
    <t>STR044</t>
  </si>
  <si>
    <t>18:58</t>
  </si>
  <si>
    <t>INV100049</t>
  </si>
  <si>
    <t>CUST0403</t>
  </si>
  <si>
    <t>PRD0047</t>
  </si>
  <si>
    <t>STR029</t>
  </si>
  <si>
    <t>EMP0100</t>
  </si>
  <si>
    <t>11:41</t>
  </si>
  <si>
    <t>INV100050</t>
  </si>
  <si>
    <t>CUST0222</t>
  </si>
  <si>
    <t>PRD0022</t>
  </si>
  <si>
    <t>STR071</t>
  </si>
  <si>
    <t>EMP0072</t>
  </si>
  <si>
    <t>19:16</t>
  </si>
  <si>
    <t>INV100051</t>
  </si>
  <si>
    <t>CUST0479</t>
  </si>
  <si>
    <t>PRD0163</t>
  </si>
  <si>
    <t>EMP0045</t>
  </si>
  <si>
    <t>18:27</t>
  </si>
  <si>
    <t>INV100052</t>
  </si>
  <si>
    <t>CUST0303</t>
  </si>
  <si>
    <t>14:44</t>
  </si>
  <si>
    <t>INV100053</t>
  </si>
  <si>
    <t>CUST0736</t>
  </si>
  <si>
    <t>PRD0046</t>
  </si>
  <si>
    <t>STR066</t>
  </si>
  <si>
    <t>16:10</t>
  </si>
  <si>
    <t>INV100054</t>
  </si>
  <si>
    <t>CUST0507</t>
  </si>
  <si>
    <t>PRD0139</t>
  </si>
  <si>
    <t>12:19</t>
  </si>
  <si>
    <t>INV100055</t>
  </si>
  <si>
    <t>CUST0776</t>
  </si>
  <si>
    <t>PRD0064</t>
  </si>
  <si>
    <t>STR051</t>
  </si>
  <si>
    <t>15:12</t>
  </si>
  <si>
    <t>INV100056</t>
  </si>
  <si>
    <t>CUST0434</t>
  </si>
  <si>
    <t>STR060</t>
  </si>
  <si>
    <t>14:04</t>
  </si>
  <si>
    <t>INV100057</t>
  </si>
  <si>
    <t>CUST0271</t>
  </si>
  <si>
    <t>PRD0186</t>
  </si>
  <si>
    <t>EMP0026</t>
  </si>
  <si>
    <t>17:07</t>
  </si>
  <si>
    <t>INV100058</t>
  </si>
  <si>
    <t>CUST0446</t>
  </si>
  <si>
    <t>PRD0197</t>
  </si>
  <si>
    <t>13:56</t>
  </si>
  <si>
    <t>INV100059</t>
  </si>
  <si>
    <t>CUST0561</t>
  </si>
  <si>
    <t>STR115</t>
  </si>
  <si>
    <t>EMP0205</t>
  </si>
  <si>
    <t>11:34</t>
  </si>
  <si>
    <t>INV100060</t>
  </si>
  <si>
    <t>CUST0027</t>
  </si>
  <si>
    <t>PRD0084</t>
  </si>
  <si>
    <t>17:13</t>
  </si>
  <si>
    <t>INV100061</t>
  </si>
  <si>
    <t>CUST0041</t>
  </si>
  <si>
    <t>STR023</t>
  </si>
  <si>
    <t>20:11</t>
  </si>
  <si>
    <t>INV100062</t>
  </si>
  <si>
    <t>CUST0230</t>
  </si>
  <si>
    <t>PRD0036</t>
  </si>
  <si>
    <t>STR087</t>
  </si>
  <si>
    <t>21:00</t>
  </si>
  <si>
    <t>INV100063</t>
  </si>
  <si>
    <t>CUST0301</t>
  </si>
  <si>
    <t>PRD0138</t>
  </si>
  <si>
    <t>STR018</t>
  </si>
  <si>
    <t>EMP0207</t>
  </si>
  <si>
    <t>20:30</t>
  </si>
  <si>
    <t>INV100064</t>
  </si>
  <si>
    <t>CUST0130</t>
  </si>
  <si>
    <t>PRD0175</t>
  </si>
  <si>
    <t>11:01</t>
  </si>
  <si>
    <t>INV100065</t>
  </si>
  <si>
    <t>PRD0093</t>
  </si>
  <si>
    <t>STR093</t>
  </si>
  <si>
    <t>11:26</t>
  </si>
  <si>
    <t>INV100066</t>
  </si>
  <si>
    <t>CUST0748</t>
  </si>
  <si>
    <t>15:39</t>
  </si>
  <si>
    <t>INV100067</t>
  </si>
  <si>
    <t>CUST0746</t>
  </si>
  <si>
    <t>STR100</t>
  </si>
  <si>
    <t>16:30</t>
  </si>
  <si>
    <t>INV100068</t>
  </si>
  <si>
    <t>CUST0583</t>
  </si>
  <si>
    <t>PRD0134</t>
  </si>
  <si>
    <t>Void/Cancelled</t>
  </si>
  <si>
    <t>18:42</t>
  </si>
  <si>
    <t>INV100069</t>
  </si>
  <si>
    <t>CUST0422</t>
  </si>
  <si>
    <t>19:44</t>
  </si>
  <si>
    <t>INV100070</t>
  </si>
  <si>
    <t>CUST0613</t>
  </si>
  <si>
    <t>PRD0116</t>
  </si>
  <si>
    <t>STR096</t>
  </si>
  <si>
    <t>21:51</t>
  </si>
  <si>
    <t>INV100071</t>
  </si>
  <si>
    <t>CUST0131</t>
  </si>
  <si>
    <t>PRD0115</t>
  </si>
  <si>
    <t>STR016</t>
  </si>
  <si>
    <t>INV100072</t>
  </si>
  <si>
    <t>CUST0338</t>
  </si>
  <si>
    <t>PRD0034</t>
  </si>
  <si>
    <t>21:44</t>
  </si>
  <si>
    <t>INV100073</t>
  </si>
  <si>
    <t>CUST0721</t>
  </si>
  <si>
    <t>PRD0082</t>
  </si>
  <si>
    <t>21:32</t>
  </si>
  <si>
    <t>INV100074</t>
  </si>
  <si>
    <t>CUST0210</t>
  </si>
  <si>
    <t>STR055</t>
  </si>
  <si>
    <t>16:33</t>
  </si>
  <si>
    <t>INV100075</t>
  </si>
  <si>
    <t>CUST0658</t>
  </si>
  <si>
    <t>PRD0203</t>
  </si>
  <si>
    <t>STR045</t>
  </si>
  <si>
    <t>19:17</t>
  </si>
  <si>
    <t>INV100076</t>
  </si>
  <si>
    <t>CUST0636</t>
  </si>
  <si>
    <t>STR104</t>
  </si>
  <si>
    <t>EMP0086</t>
  </si>
  <si>
    <t>11:24</t>
  </si>
  <si>
    <t>INV100077</t>
  </si>
  <si>
    <t>CUST0461</t>
  </si>
  <si>
    <t>PRD0228</t>
  </si>
  <si>
    <t>STR082</t>
  </si>
  <si>
    <t>15:56</t>
  </si>
  <si>
    <t>INV100078</t>
  </si>
  <si>
    <t>PRD0141</t>
  </si>
  <si>
    <t>STR001</t>
  </si>
  <si>
    <t>10:22</t>
  </si>
  <si>
    <t>INV100079</t>
  </si>
  <si>
    <t>CUST0310</t>
  </si>
  <si>
    <t>13:12</t>
  </si>
  <si>
    <t>INV100080</t>
  </si>
  <si>
    <t>PRD0043</t>
  </si>
  <si>
    <t>EMP0206</t>
  </si>
  <si>
    <t>13:02</t>
  </si>
  <si>
    <t>INV100081</t>
  </si>
  <si>
    <t>CUST0659</t>
  </si>
  <si>
    <t>PRD0178</t>
  </si>
  <si>
    <t>STR050</t>
  </si>
  <si>
    <t>14:47</t>
  </si>
  <si>
    <t>INV100082</t>
  </si>
  <si>
    <t>CUST0789</t>
  </si>
  <si>
    <t>STR053</t>
  </si>
  <si>
    <t>12:35</t>
  </si>
  <si>
    <t>INV100083</t>
  </si>
  <si>
    <t>CUST0326</t>
  </si>
  <si>
    <t>PRD0151</t>
  </si>
  <si>
    <t>10:36</t>
  </si>
  <si>
    <t>INV100084</t>
  </si>
  <si>
    <t>CUST0345</t>
  </si>
  <si>
    <t>PRD0220</t>
  </si>
  <si>
    <t>EMP0240</t>
  </si>
  <si>
    <t>14:17</t>
  </si>
  <si>
    <t>INV100085</t>
  </si>
  <si>
    <t>CUST0363</t>
  </si>
  <si>
    <t>PRD0083</t>
  </si>
  <si>
    <t>12:02</t>
  </si>
  <si>
    <t>INV100086</t>
  </si>
  <si>
    <t>CUST0472</t>
  </si>
  <si>
    <t>PRD0158</t>
  </si>
  <si>
    <t>20:33</t>
  </si>
  <si>
    <t>INV100087</t>
  </si>
  <si>
    <t>CUST0328</t>
  </si>
  <si>
    <t>13:41</t>
  </si>
  <si>
    <t>INV100088</t>
  </si>
  <si>
    <t>CUST0740</t>
  </si>
  <si>
    <t>PRD0079</t>
  </si>
  <si>
    <t>17:12</t>
  </si>
  <si>
    <t>INV100089</t>
  </si>
  <si>
    <t>CUST0698</t>
  </si>
  <si>
    <t>PRD0193</t>
  </si>
  <si>
    <t>14:49</t>
  </si>
  <si>
    <t>INV100090</t>
  </si>
  <si>
    <t>CUST0638</t>
  </si>
  <si>
    <t>PRD0214</t>
  </si>
  <si>
    <t>EMP0194</t>
  </si>
  <si>
    <t>INV100091</t>
  </si>
  <si>
    <t>CUST0234</t>
  </si>
  <si>
    <t>PRD0087</t>
  </si>
  <si>
    <t>STR057</t>
  </si>
  <si>
    <t>EMP0009</t>
  </si>
  <si>
    <t>20:40</t>
  </si>
  <si>
    <t>INV100092</t>
  </si>
  <si>
    <t>CUST0595</t>
  </si>
  <si>
    <t>PRD0177</t>
  </si>
  <si>
    <t>11:52</t>
  </si>
  <si>
    <t>INV100093</t>
  </si>
  <si>
    <t>CUST0216</t>
  </si>
  <si>
    <t>PRD0182</t>
  </si>
  <si>
    <t>STR056</t>
  </si>
  <si>
    <t>21:40</t>
  </si>
  <si>
    <t>INV100094</t>
  </si>
  <si>
    <t>CUST0454</t>
  </si>
  <si>
    <t>20:06</t>
  </si>
  <si>
    <t>INV100095</t>
  </si>
  <si>
    <t>CUST0756</t>
  </si>
  <si>
    <t>PRD0111</t>
  </si>
  <si>
    <t>EMP0225</t>
  </si>
  <si>
    <t>20:50</t>
  </si>
  <si>
    <t>INV100096</t>
  </si>
  <si>
    <t>PRD0126</t>
  </si>
  <si>
    <t>19:35</t>
  </si>
  <si>
    <t>INV100097</t>
  </si>
  <si>
    <t>CUST0679</t>
  </si>
  <si>
    <t>17:20</t>
  </si>
  <si>
    <t>INV100098</t>
  </si>
  <si>
    <t>CUST0196</t>
  </si>
  <si>
    <t>PRD0049</t>
  </si>
  <si>
    <t>STR041</t>
  </si>
  <si>
    <t>INV100099</t>
  </si>
  <si>
    <t>14:16</t>
  </si>
  <si>
    <t>INV100100</t>
  </si>
  <si>
    <t>CUST0319</t>
  </si>
  <si>
    <t>PRD0069</t>
  </si>
  <si>
    <t>STR008</t>
  </si>
  <si>
    <t>15:54</t>
  </si>
  <si>
    <t>INV100101</t>
  </si>
  <si>
    <t>CUST0839</t>
  </si>
  <si>
    <t>STR113</t>
  </si>
  <si>
    <t>EMP0015</t>
  </si>
  <si>
    <t>12:14</t>
  </si>
  <si>
    <t>INV100102</t>
  </si>
  <si>
    <t>CUST0299</t>
  </si>
  <si>
    <t>PRD0191</t>
  </si>
  <si>
    <t>14:52</t>
  </si>
  <si>
    <t>INV100103</t>
  </si>
  <si>
    <t>CUST0519</t>
  </si>
  <si>
    <t>21:42</t>
  </si>
  <si>
    <t>INV100104</t>
  </si>
  <si>
    <t>CUST0761</t>
  </si>
  <si>
    <t>PRD0213</t>
  </si>
  <si>
    <t>STR026</t>
  </si>
  <si>
    <t>14:41</t>
  </si>
  <si>
    <t>INV100105</t>
  </si>
  <si>
    <t>PRD0236</t>
  </si>
  <si>
    <t>STR009</t>
  </si>
  <si>
    <t>14:18</t>
  </si>
  <si>
    <t>INV100106</t>
  </si>
  <si>
    <t>CUST0354</t>
  </si>
  <si>
    <t>PRD0042</t>
  </si>
  <si>
    <t>STR089</t>
  </si>
  <si>
    <t>19:07</t>
  </si>
  <si>
    <t>INV100107</t>
  </si>
  <si>
    <t>CUST0166</t>
  </si>
  <si>
    <t>14:53</t>
  </si>
  <si>
    <t>INV100108</t>
  </si>
  <si>
    <t>CUST0837</t>
  </si>
  <si>
    <t>PRD0052</t>
  </si>
  <si>
    <t>12:34</t>
  </si>
  <si>
    <t>INV100109</t>
  </si>
  <si>
    <t>CUST0832</t>
  </si>
  <si>
    <t>PRD0001</t>
  </si>
  <si>
    <t>16:45</t>
  </si>
  <si>
    <t>INV100110</t>
  </si>
  <si>
    <t>CUST0127</t>
  </si>
  <si>
    <t>PRD0155</t>
  </si>
  <si>
    <t>16:58</t>
  </si>
  <si>
    <t>INV100111</t>
  </si>
  <si>
    <t>CUST0137</t>
  </si>
  <si>
    <t>PRD0020</t>
  </si>
  <si>
    <t>18:14</t>
  </si>
  <si>
    <t>INV100112</t>
  </si>
  <si>
    <t>CUST0630</t>
  </si>
  <si>
    <t>PRD0142</t>
  </si>
  <si>
    <t>15:04</t>
  </si>
  <si>
    <t>INV100113</t>
  </si>
  <si>
    <t>CUST0829</t>
  </si>
  <si>
    <t>PRD0054</t>
  </si>
  <si>
    <t>STR046</t>
  </si>
  <si>
    <t>15:47</t>
  </si>
  <si>
    <t>INV100114</t>
  </si>
  <si>
    <t>PRD0235</t>
  </si>
  <si>
    <t>STR077</t>
  </si>
  <si>
    <t>13:59</t>
  </si>
  <si>
    <t>INV100115</t>
  </si>
  <si>
    <t>14:56</t>
  </si>
  <si>
    <t>INV100116</t>
  </si>
  <si>
    <t>CUST0308</t>
  </si>
  <si>
    <t>19:53</t>
  </si>
  <si>
    <t>INV100117</t>
  </si>
  <si>
    <t>CUST0539</t>
  </si>
  <si>
    <t>PRD0129</t>
  </si>
  <si>
    <t>STR063</t>
  </si>
  <si>
    <t>17:31</t>
  </si>
  <si>
    <t>INV100118</t>
  </si>
  <si>
    <t>CUST0383</t>
  </si>
  <si>
    <t>PRD0226</t>
  </si>
  <si>
    <t>11:04</t>
  </si>
  <si>
    <t>INV100119</t>
  </si>
  <si>
    <t>CUST0498</t>
  </si>
  <si>
    <t>PRD0017</t>
  </si>
  <si>
    <t>15:48</t>
  </si>
  <si>
    <t>INV100120</t>
  </si>
  <si>
    <t>CUST0439</t>
  </si>
  <si>
    <t>PRD0027</t>
  </si>
  <si>
    <t>10:25</t>
  </si>
  <si>
    <t>INV100121</t>
  </si>
  <si>
    <t>CUST0663</t>
  </si>
  <si>
    <t>PRD0144</t>
  </si>
  <si>
    <t>12:01</t>
  </si>
  <si>
    <t>INV100122</t>
  </si>
  <si>
    <t>CUST0020</t>
  </si>
  <si>
    <t>STR012</t>
  </si>
  <si>
    <t>12:17</t>
  </si>
  <si>
    <t>INV100123</t>
  </si>
  <si>
    <t>CUST0681</t>
  </si>
  <si>
    <t>13:16</t>
  </si>
  <si>
    <t>INV100124</t>
  </si>
  <si>
    <t>CUST0373</t>
  </si>
  <si>
    <t>20:18</t>
  </si>
  <si>
    <t>INV100125</t>
  </si>
  <si>
    <t>CUST0306</t>
  </si>
  <si>
    <t>10:46</t>
  </si>
  <si>
    <t>INV100126</t>
  </si>
  <si>
    <t>CUST0641</t>
  </si>
  <si>
    <t>15:25</t>
  </si>
  <si>
    <t>INV100127</t>
  </si>
  <si>
    <t>CUST0380</t>
  </si>
  <si>
    <t>PRD0145</t>
  </si>
  <si>
    <t>13:55</t>
  </si>
  <si>
    <t>INV100128</t>
  </si>
  <si>
    <t>CUST0485</t>
  </si>
  <si>
    <t>STR094</t>
  </si>
  <si>
    <t>14:59</t>
  </si>
  <si>
    <t>INV100129</t>
  </si>
  <si>
    <t>12:18</t>
  </si>
  <si>
    <t>INV100130</t>
  </si>
  <si>
    <t>CUST0305</t>
  </si>
  <si>
    <t>STR013</t>
  </si>
  <si>
    <t>18:59</t>
  </si>
  <si>
    <t>INV100131</t>
  </si>
  <si>
    <t>CUST0513</t>
  </si>
  <si>
    <t>19:40</t>
  </si>
  <si>
    <t>INV100132</t>
  </si>
  <si>
    <t>CUST0426</t>
  </si>
  <si>
    <t>PRD0018</t>
  </si>
  <si>
    <t>13:01</t>
  </si>
  <si>
    <t>INV100133</t>
  </si>
  <si>
    <t>21:01</t>
  </si>
  <si>
    <t>INV100134</t>
  </si>
  <si>
    <t>CUST0126</t>
  </si>
  <si>
    <t>PRD0108</t>
  </si>
  <si>
    <t>STR118</t>
  </si>
  <si>
    <t>INV100135</t>
  </si>
  <si>
    <t>CUST0353</t>
  </si>
  <si>
    <t>INV100136</t>
  </si>
  <si>
    <t>STR036</t>
  </si>
  <si>
    <t>INV100137</t>
  </si>
  <si>
    <t>CUST0359</t>
  </si>
  <si>
    <t>PRD0105</t>
  </si>
  <si>
    <t>11:12</t>
  </si>
  <si>
    <t>INV100138</t>
  </si>
  <si>
    <t>PRD0098</t>
  </si>
  <si>
    <t>STR079</t>
  </si>
  <si>
    <t>21:16</t>
  </si>
  <si>
    <t>INV100139</t>
  </si>
  <si>
    <t>CUST0039</t>
  </si>
  <si>
    <t>PRD0137</t>
  </si>
  <si>
    <t>20:42</t>
  </si>
  <si>
    <t>INV100140</t>
  </si>
  <si>
    <t>CUST0040</t>
  </si>
  <si>
    <t>11:56</t>
  </si>
  <si>
    <t>INV100141</t>
  </si>
  <si>
    <t>CUST0206</t>
  </si>
  <si>
    <t>PRD0238</t>
  </si>
  <si>
    <t>13:04</t>
  </si>
  <si>
    <t>INV100142</t>
  </si>
  <si>
    <t>CUST0103</t>
  </si>
  <si>
    <t>PRD0192</t>
  </si>
  <si>
    <t>INV100143</t>
  </si>
  <si>
    <t>PRD0241</t>
  </si>
  <si>
    <t>14:05</t>
  </si>
  <si>
    <t>INV100144</t>
  </si>
  <si>
    <t>CUST0497</t>
  </si>
  <si>
    <t>PRD0033</t>
  </si>
  <si>
    <t>16:12</t>
  </si>
  <si>
    <t>INV100145</t>
  </si>
  <si>
    <t>CUST0309</t>
  </si>
  <si>
    <t>11:22</t>
  </si>
  <si>
    <t>INV100146</t>
  </si>
  <si>
    <t>CUST0340</t>
  </si>
  <si>
    <t>PRD0096</t>
  </si>
  <si>
    <t>15:21</t>
  </si>
  <si>
    <t>INV100147</t>
  </si>
  <si>
    <t>18:33</t>
  </si>
  <si>
    <t>INV100148</t>
  </si>
  <si>
    <t>CUST0060</t>
  </si>
  <si>
    <t>16:13</t>
  </si>
  <si>
    <t>INV100149</t>
  </si>
  <si>
    <t>CUST0460</t>
  </si>
  <si>
    <t>16:55</t>
  </si>
  <si>
    <t>INV100150</t>
  </si>
  <si>
    <t>CUST0114</t>
  </si>
  <si>
    <t>PRD0123</t>
  </si>
  <si>
    <t>INV100151</t>
  </si>
  <si>
    <t>CUST0654</t>
  </si>
  <si>
    <t>10:30</t>
  </si>
  <si>
    <t>INV100152</t>
  </si>
  <si>
    <t>CUST0676</t>
  </si>
  <si>
    <t>STR020</t>
  </si>
  <si>
    <t>INV100153</t>
  </si>
  <si>
    <t>CUST0033</t>
  </si>
  <si>
    <t>PRD0062</t>
  </si>
  <si>
    <t>11:59</t>
  </si>
  <si>
    <t>INV100154</t>
  </si>
  <si>
    <t>CUST0327</t>
  </si>
  <si>
    <t>PRD0048</t>
  </si>
  <si>
    <t>STR117</t>
  </si>
  <si>
    <t>16:18</t>
  </si>
  <si>
    <t>INV100155</t>
  </si>
  <si>
    <t>CUST0614</t>
  </si>
  <si>
    <t>STR091</t>
  </si>
  <si>
    <t>19:18</t>
  </si>
  <si>
    <t>INV100156</t>
  </si>
  <si>
    <t>CUST0778</t>
  </si>
  <si>
    <t>PRD0132</t>
  </si>
  <si>
    <t>STR015</t>
  </si>
  <si>
    <t>14:46</t>
  </si>
  <si>
    <t>INV100157</t>
  </si>
  <si>
    <t>CUST0569</t>
  </si>
  <si>
    <t>PRD0183</t>
  </si>
  <si>
    <t>18:37</t>
  </si>
  <si>
    <t>INV100158</t>
  </si>
  <si>
    <t>PRD0195</t>
  </si>
  <si>
    <t>STR054</t>
  </si>
  <si>
    <t>15:22</t>
  </si>
  <si>
    <t>INV100159</t>
  </si>
  <si>
    <t>CUST0558</t>
  </si>
  <si>
    <t>PRD0023</t>
  </si>
  <si>
    <t>14:22</t>
  </si>
  <si>
    <t>INV100160</t>
  </si>
  <si>
    <t>PRD0039</t>
  </si>
  <si>
    <t>STR006</t>
  </si>
  <si>
    <t>15:09</t>
  </si>
  <si>
    <t>INV100161</t>
  </si>
  <si>
    <t>CUST0602</t>
  </si>
  <si>
    <t>19:39</t>
  </si>
  <si>
    <t>INV100162</t>
  </si>
  <si>
    <t>CUST0511</t>
  </si>
  <si>
    <t>14:32</t>
  </si>
  <si>
    <t>INV100163</t>
  </si>
  <si>
    <t>CUST0738</t>
  </si>
  <si>
    <t>PRD0010</t>
  </si>
  <si>
    <t>19:59</t>
  </si>
  <si>
    <t>INV100164</t>
  </si>
  <si>
    <t>CUST0285</t>
  </si>
  <si>
    <t>12:59</t>
  </si>
  <si>
    <t>INV100165</t>
  </si>
  <si>
    <t>CUST0397</t>
  </si>
  <si>
    <t>STR028</t>
  </si>
  <si>
    <t>14:10</t>
  </si>
  <si>
    <t>INV100166</t>
  </si>
  <si>
    <t>CUST0788</t>
  </si>
  <si>
    <t>INV100167</t>
  </si>
  <si>
    <t>CUST0237</t>
  </si>
  <si>
    <t>PRD0051</t>
  </si>
  <si>
    <t>19:03</t>
  </si>
  <si>
    <t>INV100168</t>
  </si>
  <si>
    <t>CUST0619</t>
  </si>
  <si>
    <t>PRD0150</t>
  </si>
  <si>
    <t>12:53</t>
  </si>
  <si>
    <t>INV100169</t>
  </si>
  <si>
    <t>PRD0179</t>
  </si>
  <si>
    <t>INV100170</t>
  </si>
  <si>
    <t>CUST0643</t>
  </si>
  <si>
    <t>PRD0157</t>
  </si>
  <si>
    <t>13:28</t>
  </si>
  <si>
    <t>INV100171</t>
  </si>
  <si>
    <t>CUST0694</t>
  </si>
  <si>
    <t>PRD0056</t>
  </si>
  <si>
    <t>15:03</t>
  </si>
  <si>
    <t>INV100172</t>
  </si>
  <si>
    <t>CUST0028</t>
  </si>
  <si>
    <t>11:51</t>
  </si>
  <si>
    <t>INV100173</t>
  </si>
  <si>
    <t>CUST0490</t>
  </si>
  <si>
    <t>PRD0135</t>
  </si>
  <si>
    <t>13:08</t>
  </si>
  <si>
    <t>INV100174</t>
  </si>
  <si>
    <t>CUST0142</t>
  </si>
  <si>
    <t>14:54</t>
  </si>
  <si>
    <t>INV100175</t>
  </si>
  <si>
    <t>CUST0465</t>
  </si>
  <si>
    <t>11:13</t>
  </si>
  <si>
    <t>INV100176</t>
  </si>
  <si>
    <t>CUST0390</t>
  </si>
  <si>
    <t>13:51</t>
  </si>
  <si>
    <t>INV100177</t>
  </si>
  <si>
    <t>CUST0537</t>
  </si>
  <si>
    <t>PRD0081</t>
  </si>
  <si>
    <t>16:25</t>
  </si>
  <si>
    <t>INV100178</t>
  </si>
  <si>
    <t>CUST0066</t>
  </si>
  <si>
    <t>PRD0167</t>
  </si>
  <si>
    <t>20:25</t>
  </si>
  <si>
    <t>INV100179</t>
  </si>
  <si>
    <t>CUST0452</t>
  </si>
  <si>
    <t>10:19</t>
  </si>
  <si>
    <t>INV100180</t>
  </si>
  <si>
    <t>CUST0335</t>
  </si>
  <si>
    <t>21:31</t>
  </si>
  <si>
    <t>INV100181</t>
  </si>
  <si>
    <t>CUST0599</t>
  </si>
  <si>
    <t>20:23</t>
  </si>
  <si>
    <t>INV100182</t>
  </si>
  <si>
    <t>CUST0564</t>
  </si>
  <si>
    <t>PRD0120</t>
  </si>
  <si>
    <t>STR119</t>
  </si>
  <si>
    <t>11:55</t>
  </si>
  <si>
    <t>INV100183</t>
  </si>
  <si>
    <t>CUST0626</t>
  </si>
  <si>
    <t>STR064</t>
  </si>
  <si>
    <t>20:46</t>
  </si>
  <si>
    <t>INV100184</t>
  </si>
  <si>
    <t>PRD0055</t>
  </si>
  <si>
    <t>STR086</t>
  </si>
  <si>
    <t>INV100185</t>
  </si>
  <si>
    <t>CUST0842</t>
  </si>
  <si>
    <t>18:13</t>
  </si>
  <si>
    <t>INV100186</t>
  </si>
  <si>
    <t>CUST0024</t>
  </si>
  <si>
    <t>15:40</t>
  </si>
  <si>
    <t>INV100187</t>
  </si>
  <si>
    <t>CUST0025</t>
  </si>
  <si>
    <t>14:39</t>
  </si>
  <si>
    <t>INV100188</t>
  </si>
  <si>
    <t>CUST0001</t>
  </si>
  <si>
    <t>PRD0244</t>
  </si>
  <si>
    <t>STR010</t>
  </si>
  <si>
    <t>18:46</t>
  </si>
  <si>
    <t>INV100189</t>
  </si>
  <si>
    <t>CUST0070</t>
  </si>
  <si>
    <t>PRD0210</t>
  </si>
  <si>
    <t>INV100190</t>
  </si>
  <si>
    <t>CUST0470</t>
  </si>
  <si>
    <t>STR039</t>
  </si>
  <si>
    <t>14:28</t>
  </si>
  <si>
    <t>INV100191</t>
  </si>
  <si>
    <t>PRD0225</t>
  </si>
  <si>
    <t>21:06</t>
  </si>
  <si>
    <t>INV100192</t>
  </si>
  <si>
    <t>CUST0433</t>
  </si>
  <si>
    <t>13:42</t>
  </si>
  <si>
    <t>INV100193</t>
  </si>
  <si>
    <t>CUST0341</t>
  </si>
  <si>
    <t>15:28</t>
  </si>
  <si>
    <t>INV100194</t>
  </si>
  <si>
    <t>CUST0593</t>
  </si>
  <si>
    <t>PRD0153</t>
  </si>
  <si>
    <t>INV100195</t>
  </si>
  <si>
    <t>PRD0059</t>
  </si>
  <si>
    <t>15:13</t>
  </si>
  <si>
    <t>INV100196</t>
  </si>
  <si>
    <t>CUST0574</t>
  </si>
  <si>
    <t>18:23</t>
  </si>
  <si>
    <t>INV100197</t>
  </si>
  <si>
    <t>13:35</t>
  </si>
  <si>
    <t>INV100198</t>
  </si>
  <si>
    <t>CUST0765</t>
  </si>
  <si>
    <t>13:00</t>
  </si>
  <si>
    <t>INV100199</t>
  </si>
  <si>
    <t>CUST0848</t>
  </si>
  <si>
    <t>PRD0021</t>
  </si>
  <si>
    <t>INV100200</t>
  </si>
  <si>
    <t>CUST0097</t>
  </si>
  <si>
    <t>19:27</t>
  </si>
  <si>
    <t>INV100201</t>
  </si>
  <si>
    <t>14:08</t>
  </si>
  <si>
    <t>INV100202</t>
  </si>
  <si>
    <t>PRD0208</t>
  </si>
  <si>
    <t>17:01</t>
  </si>
  <si>
    <t>INV100203</t>
  </si>
  <si>
    <t>CUST0343</t>
  </si>
  <si>
    <t>11:25</t>
  </si>
  <si>
    <t>INV100204</t>
  </si>
  <si>
    <t>CUST0517</t>
  </si>
  <si>
    <t>INV100205</t>
  </si>
  <si>
    <t>CUST0504</t>
  </si>
  <si>
    <t>INV100206</t>
  </si>
  <si>
    <t>INV100207</t>
  </si>
  <si>
    <t>10:05</t>
  </si>
  <si>
    <t>INV100208</t>
  </si>
  <si>
    <t>CUST0089</t>
  </si>
  <si>
    <t>20:12</t>
  </si>
  <si>
    <t>INV100209</t>
  </si>
  <si>
    <t>CUST0431</t>
  </si>
  <si>
    <t>10:37</t>
  </si>
  <si>
    <t>INV100210</t>
  </si>
  <si>
    <t>CUST0745</t>
  </si>
  <si>
    <t>11:21</t>
  </si>
  <si>
    <t>INV100211</t>
  </si>
  <si>
    <t>CUST0758</t>
  </si>
  <si>
    <t>INV100212</t>
  </si>
  <si>
    <t>CUST0691</t>
  </si>
  <si>
    <t>PRD0044</t>
  </si>
  <si>
    <t>INV100213</t>
  </si>
  <si>
    <t>CUST0038</t>
  </si>
  <si>
    <t>PRD0029</t>
  </si>
  <si>
    <t>13:38</t>
  </si>
  <si>
    <t>INV100214</t>
  </si>
  <si>
    <t>STR038</t>
  </si>
  <si>
    <t>INV100215</t>
  </si>
  <si>
    <t>CUST0408</t>
  </si>
  <si>
    <t>STR105</t>
  </si>
  <si>
    <t>18:57</t>
  </si>
  <si>
    <t>INV100216</t>
  </si>
  <si>
    <t>INV100217</t>
  </si>
  <si>
    <t>CUST0174</t>
  </si>
  <si>
    <t>INV100218</t>
  </si>
  <si>
    <t>CUST0477</t>
  </si>
  <si>
    <t>INV100219</t>
  </si>
  <si>
    <t>CUST0128</t>
  </si>
  <si>
    <t>12:37</t>
  </si>
  <si>
    <t>INV100220</t>
  </si>
  <si>
    <t>CUST0546</t>
  </si>
  <si>
    <t>19:11</t>
  </si>
  <si>
    <t>INV100221</t>
  </si>
  <si>
    <t>PRD0174</t>
  </si>
  <si>
    <t>STR043</t>
  </si>
  <si>
    <t>12:21</t>
  </si>
  <si>
    <t>INV100222</t>
  </si>
  <si>
    <t>13:54</t>
  </si>
  <si>
    <t>INV100223</t>
  </si>
  <si>
    <t>CUST0173</t>
  </si>
  <si>
    <t>STR107</t>
  </si>
  <si>
    <t>20:45</t>
  </si>
  <si>
    <t>INV100224</t>
  </si>
  <si>
    <t>PRD0130</t>
  </si>
  <si>
    <t>14:25</t>
  </si>
  <si>
    <t>INV100225</t>
  </si>
  <si>
    <t>CUST0508</t>
  </si>
  <si>
    <t>INV100226</t>
  </si>
  <si>
    <t>20:35</t>
  </si>
  <si>
    <t>INV100227</t>
  </si>
  <si>
    <t>CUST0402</t>
  </si>
  <si>
    <t>INV100228</t>
  </si>
  <si>
    <t>CUST0790</t>
  </si>
  <si>
    <t>PRD0202</t>
  </si>
  <si>
    <t>INV100229</t>
  </si>
  <si>
    <t>CUST0739</t>
  </si>
  <si>
    <t>INV100230</t>
  </si>
  <si>
    <t>CUST0233</t>
  </si>
  <si>
    <t>PRD0131</t>
  </si>
  <si>
    <t>INV100231</t>
  </si>
  <si>
    <t>CUST0344</t>
  </si>
  <si>
    <t>PRD0073</t>
  </si>
  <si>
    <t>INV100232</t>
  </si>
  <si>
    <t>CUST0476</t>
  </si>
  <si>
    <t>21:57</t>
  </si>
  <si>
    <t>INV100233</t>
  </si>
  <si>
    <t>CUST0411</t>
  </si>
  <si>
    <t>15:07</t>
  </si>
  <si>
    <t>INV100234</t>
  </si>
  <si>
    <t>PRD0237</t>
  </si>
  <si>
    <t>20:05</t>
  </si>
  <si>
    <t>INV100235</t>
  </si>
  <si>
    <t>PRD0058</t>
  </si>
  <si>
    <t>INV100236</t>
  </si>
  <si>
    <t>11:11</t>
  </si>
  <si>
    <t>INV100237</t>
  </si>
  <si>
    <t>INV100238</t>
  </si>
  <si>
    <t>16:28</t>
  </si>
  <si>
    <t>INV100239</t>
  </si>
  <si>
    <t>CUST0801</t>
  </si>
  <si>
    <t>PRD0080</t>
  </si>
  <si>
    <t>INV100240</t>
  </si>
  <si>
    <t>CUST0048</t>
  </si>
  <si>
    <t>INV100241</t>
  </si>
  <si>
    <t>CUST0605</t>
  </si>
  <si>
    <t>STR003</t>
  </si>
  <si>
    <t>19:23</t>
  </si>
  <si>
    <t>INV100242</t>
  </si>
  <si>
    <t>PRD0089</t>
  </si>
  <si>
    <t>INV100243</t>
  </si>
  <si>
    <t>PRD0009</t>
  </si>
  <si>
    <t>STR027</t>
  </si>
  <si>
    <t>17:14</t>
  </si>
  <si>
    <t>INV100244</t>
  </si>
  <si>
    <t>CUST0806</t>
  </si>
  <si>
    <t>INV100245</t>
  </si>
  <si>
    <t>CUST0083</t>
  </si>
  <si>
    <t>PRD0190</t>
  </si>
  <si>
    <t>INV100246</t>
  </si>
  <si>
    <t>CUST0318</t>
  </si>
  <si>
    <t>INV100247</t>
  </si>
  <si>
    <t>18:06</t>
  </si>
  <si>
    <t>INV100248</t>
  </si>
  <si>
    <t>CUST0074</t>
  </si>
  <si>
    <t>INV100249</t>
  </si>
  <si>
    <t>PRD0072</t>
  </si>
  <si>
    <t>16:14</t>
  </si>
  <si>
    <t>INV100250</t>
  </si>
  <si>
    <t>CUST0665</t>
  </si>
  <si>
    <t>PRD0086</t>
  </si>
  <si>
    <t>INV100251</t>
  </si>
  <si>
    <t>CUST0264</t>
  </si>
  <si>
    <t>PRD0050</t>
  </si>
  <si>
    <t>INV100252</t>
  </si>
  <si>
    <t>CUST0107</t>
  </si>
  <si>
    <t>14:23</t>
  </si>
  <si>
    <t>INV100253</t>
  </si>
  <si>
    <t>CUST0347</t>
  </si>
  <si>
    <t>PRD0070</t>
  </si>
  <si>
    <t>11:44</t>
  </si>
  <si>
    <t>INV100254</t>
  </si>
  <si>
    <t>PRD0031</t>
  </si>
  <si>
    <t>15:31</t>
  </si>
  <si>
    <t>INV100255</t>
  </si>
  <si>
    <t>CUST0843</t>
  </si>
  <si>
    <t>STR120</t>
  </si>
  <si>
    <t>14:19</t>
  </si>
  <si>
    <t>INV100256</t>
  </si>
  <si>
    <t>PRD0112</t>
  </si>
  <si>
    <t>15:11</t>
  </si>
  <si>
    <t>INV100257</t>
  </si>
  <si>
    <t>CUST0213</t>
  </si>
  <si>
    <t>INV100258</t>
  </si>
  <si>
    <t>CUST0004</t>
  </si>
  <si>
    <t>15:36</t>
  </si>
  <si>
    <t>INV100259</t>
  </si>
  <si>
    <t>CUST0117</t>
  </si>
  <si>
    <t>INV100260</t>
  </si>
  <si>
    <t>CUST0132</t>
  </si>
  <si>
    <t>16:41</t>
  </si>
  <si>
    <t>INV100261</t>
  </si>
  <si>
    <t>CUST0591</t>
  </si>
  <si>
    <t>14:34</t>
  </si>
  <si>
    <t>INV100262</t>
  </si>
  <si>
    <t>CUST0635</t>
  </si>
  <si>
    <t>PRD0127</t>
  </si>
  <si>
    <t>INV100263</t>
  </si>
  <si>
    <t>PRD0092</t>
  </si>
  <si>
    <t>11:05</t>
  </si>
  <si>
    <t>INV100264</t>
  </si>
  <si>
    <t>PRD0219</t>
  </si>
  <si>
    <t>10:31</t>
  </si>
  <si>
    <t>INV100265</t>
  </si>
  <si>
    <t>CUST0118</t>
  </si>
  <si>
    <t>18:21</t>
  </si>
  <si>
    <t>INV100266</t>
  </si>
  <si>
    <t>CUST0058</t>
  </si>
  <si>
    <t>PRD0231</t>
  </si>
  <si>
    <t>STR030</t>
  </si>
  <si>
    <t>16:57</t>
  </si>
  <si>
    <t>INV100267</t>
  </si>
  <si>
    <t>CUST0157</t>
  </si>
  <si>
    <t>11:53</t>
  </si>
  <si>
    <t>INV100268</t>
  </si>
  <si>
    <t>CUST0506</t>
  </si>
  <si>
    <t>INV100269</t>
  </si>
  <si>
    <t>CUST0741</t>
  </si>
  <si>
    <t>17:38</t>
  </si>
  <si>
    <t>INV100270</t>
  </si>
  <si>
    <t>CUST0713</t>
  </si>
  <si>
    <t>21:39</t>
  </si>
  <si>
    <t>INV100271</t>
  </si>
  <si>
    <t>CUST0337</t>
  </si>
  <si>
    <t>PRD0061</t>
  </si>
  <si>
    <t>19:30</t>
  </si>
  <si>
    <t>INV100272</t>
  </si>
  <si>
    <t>CUST0673</t>
  </si>
  <si>
    <t>PRD0110</t>
  </si>
  <si>
    <t>14:06</t>
  </si>
  <si>
    <t>INV100273</t>
  </si>
  <si>
    <t>STR081</t>
  </si>
  <si>
    <t>INV100274</t>
  </si>
  <si>
    <t>11:07</t>
  </si>
  <si>
    <t>INV100275</t>
  </si>
  <si>
    <t>CUST0009</t>
  </si>
  <si>
    <t>13:29</t>
  </si>
  <si>
    <t>INV100276</t>
  </si>
  <si>
    <t>CUST0701</t>
  </si>
  <si>
    <t>STR076</t>
  </si>
  <si>
    <t>INV100277</t>
  </si>
  <si>
    <t>CUST0248</t>
  </si>
  <si>
    <t>19:22</t>
  </si>
  <si>
    <t>INV100278</t>
  </si>
  <si>
    <t>INV100279</t>
  </si>
  <si>
    <t>CUST0763</t>
  </si>
  <si>
    <t>PRD0149</t>
  </si>
  <si>
    <t>14:13</t>
  </si>
  <si>
    <t>INV100280</t>
  </si>
  <si>
    <t>CUST0261</t>
  </si>
  <si>
    <t>INV100281</t>
  </si>
  <si>
    <t>CUST0592</t>
  </si>
  <si>
    <t>17:53</t>
  </si>
  <si>
    <t>INV100282</t>
  </si>
  <si>
    <t>PRD0234</t>
  </si>
  <si>
    <t>STR035</t>
  </si>
  <si>
    <t>INV100283</t>
  </si>
  <si>
    <t>CUST0281</t>
  </si>
  <si>
    <t>PRD0088</t>
  </si>
  <si>
    <t>16:27</t>
  </si>
  <si>
    <t>INV100284</t>
  </si>
  <si>
    <t>CUST0469</t>
  </si>
  <si>
    <t>17:58</t>
  </si>
  <si>
    <t>INV100285</t>
  </si>
  <si>
    <t>CUST0106</t>
  </si>
  <si>
    <t>PRD0216</t>
  </si>
  <si>
    <t>INV100286</t>
  </si>
  <si>
    <t>CUST0577</t>
  </si>
  <si>
    <t>PRD0106</t>
  </si>
  <si>
    <t>16:36</t>
  </si>
  <si>
    <t>INV100287</t>
  </si>
  <si>
    <t>CUST0662</t>
  </si>
  <si>
    <t>PRD0011</t>
  </si>
  <si>
    <t>21:47</t>
  </si>
  <si>
    <t>INV100288</t>
  </si>
  <si>
    <t>CUST0550</t>
  </si>
  <si>
    <t>20:54</t>
  </si>
  <si>
    <t>INV100289</t>
  </si>
  <si>
    <t>CUST0774</t>
  </si>
  <si>
    <t>13:48</t>
  </si>
  <si>
    <t>INV100290</t>
  </si>
  <si>
    <t>CUST0525</t>
  </si>
  <si>
    <t>18:36</t>
  </si>
  <si>
    <t>INV100291</t>
  </si>
  <si>
    <t>PRD0060</t>
  </si>
  <si>
    <t>17:03</t>
  </si>
  <si>
    <t>INV100292</t>
  </si>
  <si>
    <t>PRD0212</t>
  </si>
  <si>
    <t>13:06</t>
  </si>
  <si>
    <t>INV100293</t>
  </si>
  <si>
    <t>15:29</t>
  </si>
  <si>
    <t>INV100294</t>
  </si>
  <si>
    <t>PRD0068</t>
  </si>
  <si>
    <t>17:49</t>
  </si>
  <si>
    <t>INV100295</t>
  </si>
  <si>
    <t>CUST0515</t>
  </si>
  <si>
    <t>13:30</t>
  </si>
  <si>
    <t>INV100296</t>
  </si>
  <si>
    <t>11:20</t>
  </si>
  <si>
    <t>INV100297</t>
  </si>
  <si>
    <t>18:09</t>
  </si>
  <si>
    <t>INV100298</t>
  </si>
  <si>
    <t>CUST0671</t>
  </si>
  <si>
    <t>10:40</t>
  </si>
  <si>
    <t>INV100299</t>
  </si>
  <si>
    <t>14:37</t>
  </si>
  <si>
    <t>INV100300</t>
  </si>
  <si>
    <t>CUST0784</t>
  </si>
  <si>
    <t>INV100301</t>
  </si>
  <si>
    <t>CUST0320</t>
  </si>
  <si>
    <t>INV100302</t>
  </si>
  <si>
    <t>11:17</t>
  </si>
  <si>
    <t>INV100303</t>
  </si>
  <si>
    <t>CUST0722</t>
  </si>
  <si>
    <t>12:04</t>
  </si>
  <si>
    <t>INV100304</t>
  </si>
  <si>
    <t>CUST0034</t>
  </si>
  <si>
    <t>15:10</t>
  </si>
  <si>
    <t>INV100305</t>
  </si>
  <si>
    <t>CUST0621</t>
  </si>
  <si>
    <t>INV100306</t>
  </si>
  <si>
    <t>CUST0491</t>
  </si>
  <si>
    <t>INV100307</t>
  </si>
  <si>
    <t>CUST0358</t>
  </si>
  <si>
    <t>PRD0041</t>
  </si>
  <si>
    <t>19:20</t>
  </si>
  <si>
    <t>INV100308</t>
  </si>
  <si>
    <t>CUST0723</t>
  </si>
  <si>
    <t>INV100309</t>
  </si>
  <si>
    <t>18:04</t>
  </si>
  <si>
    <t>INV100310</t>
  </si>
  <si>
    <t>CUST0178</t>
  </si>
  <si>
    <t>19:47</t>
  </si>
  <si>
    <t>INV100311</t>
  </si>
  <si>
    <t>INV100312</t>
  </si>
  <si>
    <t>INV100313</t>
  </si>
  <si>
    <t>CUST0334</t>
  </si>
  <si>
    <t>INV100314</t>
  </si>
  <si>
    <t>CUST0752</t>
  </si>
  <si>
    <t>INV100315</t>
  </si>
  <si>
    <t>17:22</t>
  </si>
  <si>
    <t>INV100316</t>
  </si>
  <si>
    <t>CUST0798</t>
  </si>
  <si>
    <t>19:14</t>
  </si>
  <si>
    <t>INV100317</t>
  </si>
  <si>
    <t>CUST0505</t>
  </si>
  <si>
    <t>PRD0121</t>
  </si>
  <si>
    <t>INV100318</t>
  </si>
  <si>
    <t>PRD0165</t>
  </si>
  <si>
    <t>STR067</t>
  </si>
  <si>
    <t>20:01</t>
  </si>
  <si>
    <t>INV100319</t>
  </si>
  <si>
    <t>CUST0045</t>
  </si>
  <si>
    <t>INV100320</t>
  </si>
  <si>
    <t>CUST0043</t>
  </si>
  <si>
    <t>INV100321</t>
  </si>
  <si>
    <t>CUST0825</t>
  </si>
  <si>
    <t>16:44</t>
  </si>
  <si>
    <t>INV100322</t>
  </si>
  <si>
    <t>CUST0675</t>
  </si>
  <si>
    <t>PRD0140</t>
  </si>
  <si>
    <t>21:55</t>
  </si>
  <si>
    <t>INV100323</t>
  </si>
  <si>
    <t>CUST0682</t>
  </si>
  <si>
    <t>PRD0037</t>
  </si>
  <si>
    <t>11:48</t>
  </si>
  <si>
    <t>INV100324</t>
  </si>
  <si>
    <t>21:03</t>
  </si>
  <si>
    <t>INV100325</t>
  </si>
  <si>
    <t>CUST0096</t>
  </si>
  <si>
    <t>PRD0176</t>
  </si>
  <si>
    <t>21:25</t>
  </si>
  <si>
    <t>INV100326</t>
  </si>
  <si>
    <t>CUST0835</t>
  </si>
  <si>
    <t>INV100327</t>
  </si>
  <si>
    <t>15:27</t>
  </si>
  <si>
    <t>INV100328</t>
  </si>
  <si>
    <t>CUST0655</t>
  </si>
  <si>
    <t>14:36</t>
  </si>
  <si>
    <t>INV100329</t>
  </si>
  <si>
    <t>PRD0148</t>
  </si>
  <si>
    <t>17:17</t>
  </si>
  <si>
    <t>INV100330</t>
  </si>
  <si>
    <t>CUST0652</t>
  </si>
  <si>
    <t>INV100331</t>
  </si>
  <si>
    <t>INV100332</t>
  </si>
  <si>
    <t>CUST0063</t>
  </si>
  <si>
    <t>14:09</t>
  </si>
  <si>
    <t>INV100333</t>
  </si>
  <si>
    <t>PRD0239</t>
  </si>
  <si>
    <t>INV100334</t>
  </si>
  <si>
    <t>INV100335</t>
  </si>
  <si>
    <t>CUST0017</t>
  </si>
  <si>
    <t>STR042</t>
  </si>
  <si>
    <t>16:40</t>
  </si>
  <si>
    <t>INV100336</t>
  </si>
  <si>
    <t>PRD0109</t>
  </si>
  <si>
    <t>15:26</t>
  </si>
  <si>
    <t>INV100337</t>
  </si>
  <si>
    <t>CUST0175</t>
  </si>
  <si>
    <t>20:31</t>
  </si>
  <si>
    <t>INV100338</t>
  </si>
  <si>
    <t>CUST0187</t>
  </si>
  <si>
    <t>10:28</t>
  </si>
  <si>
    <t>INV100339</t>
  </si>
  <si>
    <t>CUST0683</t>
  </si>
  <si>
    <t>PRD0024</t>
  </si>
  <si>
    <t>19:43</t>
  </si>
  <si>
    <t>INV100340</t>
  </si>
  <si>
    <t>CUST0211</t>
  </si>
  <si>
    <t>20:36</t>
  </si>
  <si>
    <t>INV100341</t>
  </si>
  <si>
    <t>16:34</t>
  </si>
  <si>
    <t>INV100342</t>
  </si>
  <si>
    <t>CUST0145</t>
  </si>
  <si>
    <t>21:15</t>
  </si>
  <si>
    <t>INV100343</t>
  </si>
  <si>
    <t>CUST0053</t>
  </si>
  <si>
    <t>PRD0030</t>
  </si>
  <si>
    <t>14:15</t>
  </si>
  <si>
    <t>INV100344</t>
  </si>
  <si>
    <t>17:19</t>
  </si>
  <si>
    <t>INV100345</t>
  </si>
  <si>
    <t>CUST0156</t>
  </si>
  <si>
    <t>19:50</t>
  </si>
  <si>
    <t>INV100346</t>
  </si>
  <si>
    <t>CUST0514</t>
  </si>
  <si>
    <t>13:26</t>
  </si>
  <si>
    <t>INV100347</t>
  </si>
  <si>
    <t>CUST0455</t>
  </si>
  <si>
    <t>INV100348</t>
  </si>
  <si>
    <t>16:02</t>
  </si>
  <si>
    <t>INV100349</t>
  </si>
  <si>
    <t>INV100350</t>
  </si>
  <si>
    <t>CUST0322</t>
  </si>
  <si>
    <t>INV100351</t>
  </si>
  <si>
    <t>CUST0246</t>
  </si>
  <si>
    <t>INV100352</t>
  </si>
  <si>
    <t>CUST0840</t>
  </si>
  <si>
    <t>17:40</t>
  </si>
  <si>
    <t>INV100353</t>
  </si>
  <si>
    <t>PRD0103</t>
  </si>
  <si>
    <t>21:49</t>
  </si>
  <si>
    <t>INV100354</t>
  </si>
  <si>
    <t>INV100355</t>
  </si>
  <si>
    <t>CUST0725</t>
  </si>
  <si>
    <t>12:43</t>
  </si>
  <si>
    <t>INV100356</t>
  </si>
  <si>
    <t>CUST0331</t>
  </si>
  <si>
    <t>15:51</t>
  </si>
  <si>
    <t>INV100357</t>
  </si>
  <si>
    <t>CUST0645</t>
  </si>
  <si>
    <t>11:33</t>
  </si>
  <si>
    <t>INV100358</t>
  </si>
  <si>
    <t>CUST0351</t>
  </si>
  <si>
    <t>20:41</t>
  </si>
  <si>
    <t>INV100359</t>
  </si>
  <si>
    <t>CUST0526</t>
  </si>
  <si>
    <t>PRD0146</t>
  </si>
  <si>
    <t>10:04</t>
  </si>
  <si>
    <t>INV100360</t>
  </si>
  <si>
    <t>CUST0100</t>
  </si>
  <si>
    <t>INV100361</t>
  </si>
  <si>
    <t>CUST0678</t>
  </si>
  <si>
    <t>17:44</t>
  </si>
  <si>
    <t>INV100362</t>
  </si>
  <si>
    <t>CUST0289</t>
  </si>
  <si>
    <t>INV100363</t>
  </si>
  <si>
    <t>CUST0815</t>
  </si>
  <si>
    <t>20:48</t>
  </si>
  <si>
    <t>INV100364</t>
  </si>
  <si>
    <t>CUST0579</t>
  </si>
  <si>
    <t>21:38</t>
  </si>
  <si>
    <t>INV100365</t>
  </si>
  <si>
    <t>CUST0588</t>
  </si>
  <si>
    <t>PRD0247</t>
  </si>
  <si>
    <t>15:59</t>
  </si>
  <si>
    <t>INV100366</t>
  </si>
  <si>
    <t>CUST0350</t>
  </si>
  <si>
    <t>15:50</t>
  </si>
  <si>
    <t>INV100367</t>
  </si>
  <si>
    <t>CUST0792</t>
  </si>
  <si>
    <t>INV100368</t>
  </si>
  <si>
    <t>PRD_UNKNOWN</t>
  </si>
  <si>
    <t>13:05</t>
  </si>
  <si>
    <t>INV100369</t>
  </si>
  <si>
    <t>CUST0226</t>
  </si>
  <si>
    <t>INV100370</t>
  </si>
  <si>
    <t>CUST0716</t>
  </si>
  <si>
    <t>PRD0248</t>
  </si>
  <si>
    <t>17:24</t>
  </si>
  <si>
    <t>INV100371</t>
  </si>
  <si>
    <t>13:53</t>
  </si>
  <si>
    <t>INV100372</t>
  </si>
  <si>
    <t>STR070</t>
  </si>
  <si>
    <t>INV100373</t>
  </si>
  <si>
    <t>CUST0718</t>
  </si>
  <si>
    <t>INV100374</t>
  </si>
  <si>
    <t>CUST0838</t>
  </si>
  <si>
    <t>PRD0066</t>
  </si>
  <si>
    <t>INV100375</t>
  </si>
  <si>
    <t>INV100376</t>
  </si>
  <si>
    <t>CUST0542</t>
  </si>
  <si>
    <t>INV100377</t>
  </si>
  <si>
    <t>13:36</t>
  </si>
  <si>
    <t>INV100378</t>
  </si>
  <si>
    <t>CUST0764</t>
  </si>
  <si>
    <t>18:38</t>
  </si>
  <si>
    <t>INV100379</t>
  </si>
  <si>
    <t>CUST0295</t>
  </si>
  <si>
    <t>STR025</t>
  </si>
  <si>
    <t>16:52</t>
  </si>
  <si>
    <t>INV100380</t>
  </si>
  <si>
    <t>INV100381</t>
  </si>
  <si>
    <t>INV100382</t>
  </si>
  <si>
    <t>CUST0263</t>
  </si>
  <si>
    <t>16:48</t>
  </si>
  <si>
    <t>INV100383</t>
  </si>
  <si>
    <t>CUST0435</t>
  </si>
  <si>
    <t>12:10</t>
  </si>
  <si>
    <t>INV100384</t>
  </si>
  <si>
    <t>CUST0735</t>
  </si>
  <si>
    <t>PRD0181</t>
  </si>
  <si>
    <t>18:49</t>
  </si>
  <si>
    <t>INV100385</t>
  </si>
  <si>
    <t>CUST0079</t>
  </si>
  <si>
    <t>INV100386</t>
  </si>
  <si>
    <t>CUST0200</t>
  </si>
  <si>
    <t>18:31</t>
  </si>
  <si>
    <t>INV100387</t>
  </si>
  <si>
    <t>CUST0749</t>
  </si>
  <si>
    <t>16:17</t>
  </si>
  <si>
    <t>INV100388</t>
  </si>
  <si>
    <t>CUST0416</t>
  </si>
  <si>
    <t>PRD0119</t>
  </si>
  <si>
    <t>INV100389</t>
  </si>
  <si>
    <t>CUST0057</t>
  </si>
  <si>
    <t>13:44</t>
  </si>
  <si>
    <t>INV100390</t>
  </si>
  <si>
    <t>CUST0266</t>
  </si>
  <si>
    <t>INV100391</t>
  </si>
  <si>
    <t>CUST0374</t>
  </si>
  <si>
    <t>12:22</t>
  </si>
  <si>
    <t>INV100392</t>
  </si>
  <si>
    <t>PRD0198</t>
  </si>
  <si>
    <t>18:10</t>
  </si>
  <si>
    <t>INV100393</t>
  </si>
  <si>
    <t>17:21</t>
  </si>
  <si>
    <t>INV100394</t>
  </si>
  <si>
    <t>CUST0188</t>
  </si>
  <si>
    <t>18:15</t>
  </si>
  <si>
    <t>INV100395</t>
  </si>
  <si>
    <t>CUST0482</t>
  </si>
  <si>
    <t>14:12</t>
  </si>
  <si>
    <t>INV100396</t>
  </si>
  <si>
    <t>CUST0532</t>
  </si>
  <si>
    <t>INV100397</t>
  </si>
  <si>
    <t>CUST0277</t>
  </si>
  <si>
    <t>INV100398</t>
  </si>
  <si>
    <t>INV100399</t>
  </si>
  <si>
    <t>21:07</t>
  </si>
  <si>
    <t>INV100400</t>
  </si>
  <si>
    <t>INV100401</t>
  </si>
  <si>
    <t>INV100402</t>
  </si>
  <si>
    <t>CUST0809</t>
  </si>
  <si>
    <t>13:09</t>
  </si>
  <si>
    <t>INV100403</t>
  </si>
  <si>
    <t>21:20</t>
  </si>
  <si>
    <t>INV100404</t>
  </si>
  <si>
    <t>CUST0255</t>
  </si>
  <si>
    <t>INV100405</t>
  </si>
  <si>
    <t>CUST0284</t>
  </si>
  <si>
    <t>PRD0004</t>
  </si>
  <si>
    <t>13:21</t>
  </si>
  <si>
    <t>INV100406</t>
  </si>
  <si>
    <t>CUST0253</t>
  </si>
  <si>
    <t>16:19</t>
  </si>
  <si>
    <t>INV100407</t>
  </si>
  <si>
    <t>CUST0649</t>
  </si>
  <si>
    <t>PRD0005</t>
  </si>
  <si>
    <t>STR069</t>
  </si>
  <si>
    <t>10:08</t>
  </si>
  <si>
    <t>INV100408</t>
  </si>
  <si>
    <t>CUST0375</t>
  </si>
  <si>
    <t>20:52</t>
  </si>
  <si>
    <t>INV100409</t>
  </si>
  <si>
    <t>11:37</t>
  </si>
  <si>
    <t>INV100410</t>
  </si>
  <si>
    <t>PRD0007</t>
  </si>
  <si>
    <t>INV100411</t>
  </si>
  <si>
    <t>STR052</t>
  </si>
  <si>
    <t>16:07</t>
  </si>
  <si>
    <t>INV100412</t>
  </si>
  <si>
    <t>15:02</t>
  </si>
  <si>
    <t>INV100413</t>
  </si>
  <si>
    <t>CUST0684</t>
  </si>
  <si>
    <t>10:47</t>
  </si>
  <si>
    <t>INV100414</t>
  </si>
  <si>
    <t>CUST0751</t>
  </si>
  <si>
    <t>INV100415</t>
  </si>
  <si>
    <t>16:59</t>
  </si>
  <si>
    <t>INV100416</t>
  </si>
  <si>
    <t>CUST0410</t>
  </si>
  <si>
    <t>INV100417</t>
  </si>
  <si>
    <t>CUST0298</t>
  </si>
  <si>
    <t>PRD0147</t>
  </si>
  <si>
    <t>INV100418</t>
  </si>
  <si>
    <t>PRD0229</t>
  </si>
  <si>
    <t>11:16</t>
  </si>
  <si>
    <t>INV100419</t>
  </si>
  <si>
    <t>INV100420</t>
  </si>
  <si>
    <t>PRD0113</t>
  </si>
  <si>
    <t>15:33</t>
  </si>
  <si>
    <t>INV100421</t>
  </si>
  <si>
    <t>CUST0481</t>
  </si>
  <si>
    <t>INV100422</t>
  </si>
  <si>
    <t>CUST0148</t>
  </si>
  <si>
    <t>INV100423</t>
  </si>
  <si>
    <t>PRD0173</t>
  </si>
  <si>
    <t>INV100424</t>
  </si>
  <si>
    <t>CUST0791</t>
  </si>
  <si>
    <t>INV100425</t>
  </si>
  <si>
    <t>CUST0660</t>
  </si>
  <si>
    <t>INV100426</t>
  </si>
  <si>
    <t>CUST0170</t>
  </si>
  <si>
    <t>17:54</t>
  </si>
  <si>
    <t>INV100427</t>
  </si>
  <si>
    <t>CUST0578</t>
  </si>
  <si>
    <t>10:21</t>
  </si>
  <si>
    <t>INV100428</t>
  </si>
  <si>
    <t>CUST0223</t>
  </si>
  <si>
    <t>INV100429</t>
  </si>
  <si>
    <t>PRD0204</t>
  </si>
  <si>
    <t>18:34</t>
  </si>
  <si>
    <t>INV100430</t>
  </si>
  <si>
    <t>12:24</t>
  </si>
  <si>
    <t>INV100431</t>
  </si>
  <si>
    <t>PRD0091</t>
  </si>
  <si>
    <t>INV100432</t>
  </si>
  <si>
    <t>CUST0129</t>
  </si>
  <si>
    <t>INV100433</t>
  </si>
  <si>
    <t>CUST0203</t>
  </si>
  <si>
    <t>15:58</t>
  </si>
  <si>
    <t>INV100434</t>
  </si>
  <si>
    <t>10:51</t>
  </si>
  <si>
    <t>INV100435</t>
  </si>
  <si>
    <t>15:30</t>
  </si>
  <si>
    <t>INV100436</t>
  </si>
  <si>
    <t>CUST0276</t>
  </si>
  <si>
    <t>INV100437</t>
  </si>
  <si>
    <t>CUST0726</t>
  </si>
  <si>
    <t>16:01</t>
  </si>
  <si>
    <t>INV100438</t>
  </si>
  <si>
    <t>CUST0720</t>
  </si>
  <si>
    <t>INV100439</t>
  </si>
  <si>
    <t>16:29</t>
  </si>
  <si>
    <t>INV100440</t>
  </si>
  <si>
    <t>CUST0606</t>
  </si>
  <si>
    <t>PRD0188</t>
  </si>
  <si>
    <t>STR033</t>
  </si>
  <si>
    <t>10:58</t>
  </si>
  <si>
    <t>INV100441</t>
  </si>
  <si>
    <t>CUST0670</t>
  </si>
  <si>
    <t>11:28</t>
  </si>
  <si>
    <t>INV100442</t>
  </si>
  <si>
    <t>CUST0631</t>
  </si>
  <si>
    <t>INV100443</t>
  </si>
  <si>
    <t>CUST0417</t>
  </si>
  <si>
    <t>13:46</t>
  </si>
  <si>
    <t>INV100444</t>
  </si>
  <si>
    <t>CUST0633</t>
  </si>
  <si>
    <t>11:47</t>
  </si>
  <si>
    <t>INV100445</t>
  </si>
  <si>
    <t>CUST0582</t>
  </si>
  <si>
    <t>INV100446</t>
  </si>
  <si>
    <t>CUST0250</t>
  </si>
  <si>
    <t>13:17</t>
  </si>
  <si>
    <t>INV100447</t>
  </si>
  <si>
    <t>CUST0451</t>
  </si>
  <si>
    <t>INV100448</t>
  </si>
  <si>
    <t>INV100449</t>
  </si>
  <si>
    <t>CUST0257</t>
  </si>
  <si>
    <t>12:23</t>
  </si>
  <si>
    <t>INV100450</t>
  </si>
  <si>
    <t>PRD0207</t>
  </si>
  <si>
    <t>INV100451</t>
  </si>
  <si>
    <t>CUST0807</t>
  </si>
  <si>
    <t>20:47</t>
  </si>
  <si>
    <t>INV100452</t>
  </si>
  <si>
    <t>CUST0587</t>
  </si>
  <si>
    <t>14:33</t>
  </si>
  <si>
    <t>INV100453</t>
  </si>
  <si>
    <t>CUST0372</t>
  </si>
  <si>
    <t>12:56</t>
  </si>
  <si>
    <t>INV100454</t>
  </si>
  <si>
    <t>16:16</t>
  </si>
  <si>
    <t>INV100455</t>
  </si>
  <si>
    <t>CUST0325</t>
  </si>
  <si>
    <t>19:42</t>
  </si>
  <si>
    <t>INV100456</t>
  </si>
  <si>
    <t>CUST0808</t>
  </si>
  <si>
    <t>17:37</t>
  </si>
  <si>
    <t>INV100457</t>
  </si>
  <si>
    <t>CUST0321</t>
  </si>
  <si>
    <t>16:49</t>
  </si>
  <si>
    <t>INV100458</t>
  </si>
  <si>
    <t>CUST0077</t>
  </si>
  <si>
    <t>17:05</t>
  </si>
  <si>
    <t>INV100459</t>
  </si>
  <si>
    <t>INV100460</t>
  </si>
  <si>
    <t>PRD0164</t>
  </si>
  <si>
    <t>10:11</t>
  </si>
  <si>
    <t>INV100461</t>
  </si>
  <si>
    <t>INV100462</t>
  </si>
  <si>
    <t>CUST0692</t>
  </si>
  <si>
    <t>16:06</t>
  </si>
  <si>
    <t>INV100463</t>
  </si>
  <si>
    <t>PRD0085</t>
  </si>
  <si>
    <t>21:09</t>
  </si>
  <si>
    <t>INV100464</t>
  </si>
  <si>
    <t>CUST0229</t>
  </si>
  <si>
    <t>20:28</t>
  </si>
  <si>
    <t>INV100465</t>
  </si>
  <si>
    <t>CUST0153</t>
  </si>
  <si>
    <t>17:16</t>
  </si>
  <si>
    <t>INV100466</t>
  </si>
  <si>
    <t>CUST0781</t>
  </si>
  <si>
    <t>INV100467</t>
  </si>
  <si>
    <t>CUST0706</t>
  </si>
  <si>
    <t>PRD0076</t>
  </si>
  <si>
    <t>17:08</t>
  </si>
  <si>
    <t>INV100468</t>
  </si>
  <si>
    <t>11:27</t>
  </si>
  <si>
    <t>INV100469</t>
  </si>
  <si>
    <t>20:19</t>
  </si>
  <si>
    <t>INV100470</t>
  </si>
  <si>
    <t>PRD0156</t>
  </si>
  <si>
    <t>15:35</t>
  </si>
  <si>
    <t>INV100471</t>
  </si>
  <si>
    <t>15:52</t>
  </si>
  <si>
    <t>INV100472</t>
  </si>
  <si>
    <t>CUST0102</t>
  </si>
  <si>
    <t>12:42</t>
  </si>
  <si>
    <t>INV100473</t>
  </si>
  <si>
    <t>CUST0467</t>
  </si>
  <si>
    <t>INV100474</t>
  </si>
  <si>
    <t>12:29</t>
  </si>
  <si>
    <t>INV100475</t>
  </si>
  <si>
    <t>CUST0456</t>
  </si>
  <si>
    <t>STR034</t>
  </si>
  <si>
    <t>18:00</t>
  </si>
  <si>
    <t>INV100476</t>
  </si>
  <si>
    <t>CUST0847</t>
  </si>
  <si>
    <t>INV100477</t>
  </si>
  <si>
    <t>INV100478</t>
  </si>
  <si>
    <t>PRD0211</t>
  </si>
  <si>
    <t>INV100479</t>
  </si>
  <si>
    <t>CUST0796</t>
  </si>
  <si>
    <t>INV100480</t>
  </si>
  <si>
    <t>PRD0099</t>
  </si>
  <si>
    <t>19:38</t>
  </si>
  <si>
    <t>INV100481</t>
  </si>
  <si>
    <t>CUST0108</t>
  </si>
  <si>
    <t>INV100482</t>
  </si>
  <si>
    <t>21:58</t>
  </si>
  <si>
    <t>INV100483</t>
  </si>
  <si>
    <t>20:16</t>
  </si>
  <si>
    <t>INV100484</t>
  </si>
  <si>
    <t>CUST0596</t>
  </si>
  <si>
    <t>INV100485</t>
  </si>
  <si>
    <t>INV100486</t>
  </si>
  <si>
    <t>INV100487</t>
  </si>
  <si>
    <t>CUST0501</t>
  </si>
  <si>
    <t>INV100488</t>
  </si>
  <si>
    <t>15:18</t>
  </si>
  <si>
    <t>INV100489</t>
  </si>
  <si>
    <t>CUST0568</t>
  </si>
  <si>
    <t>PRD0053</t>
  </si>
  <si>
    <t>INV100490</t>
  </si>
  <si>
    <t>CUST0269</t>
  </si>
  <si>
    <t>19:21</t>
  </si>
  <si>
    <t>INV100491</t>
  </si>
  <si>
    <t>INV100492</t>
  </si>
  <si>
    <t>CUST0785</t>
  </si>
  <si>
    <t>10:53</t>
  </si>
  <si>
    <t>INV100493</t>
  </si>
  <si>
    <t>CUST0154</t>
  </si>
  <si>
    <t>18:44</t>
  </si>
  <si>
    <t>INV100494</t>
  </si>
  <si>
    <t>INV100495</t>
  </si>
  <si>
    <t>INV100496</t>
  </si>
  <si>
    <t>CUST0703</t>
  </si>
  <si>
    <t>19:02</t>
  </si>
  <si>
    <t>INV100497</t>
  </si>
  <si>
    <t>CUST0695</t>
  </si>
  <si>
    <t>INV100498</t>
  </si>
  <si>
    <t>20:39</t>
  </si>
  <si>
    <t>INV100499</t>
  </si>
  <si>
    <t>17:47</t>
  </si>
  <si>
    <t>INV100500</t>
  </si>
  <si>
    <t>CUST0503</t>
  </si>
  <si>
    <t>12:44</t>
  </si>
  <si>
    <t>INV100501</t>
  </si>
  <si>
    <t>21:56</t>
  </si>
  <si>
    <t>INV100502</t>
  </si>
  <si>
    <t>17:35</t>
  </si>
  <si>
    <t>INV100503</t>
  </si>
  <si>
    <t>CUST0453</t>
  </si>
  <si>
    <t>16:05</t>
  </si>
  <si>
    <t>INV100504</t>
  </si>
  <si>
    <t>CUST0559</t>
  </si>
  <si>
    <t>11:45</t>
  </si>
  <si>
    <t>INV100505</t>
  </si>
  <si>
    <t>INV100506</t>
  </si>
  <si>
    <t>INV100507</t>
  </si>
  <si>
    <t>CUST0811</t>
  </si>
  <si>
    <t>INV100508</t>
  </si>
  <si>
    <t>PRD0094</t>
  </si>
  <si>
    <t>14:14</t>
  </si>
  <si>
    <t>INV100509</t>
  </si>
  <si>
    <t>CUST0464</t>
  </si>
  <si>
    <t>INV100510</t>
  </si>
  <si>
    <t>CUST0029</t>
  </si>
  <si>
    <t>20:14</t>
  </si>
  <si>
    <t>INV100511</t>
  </si>
  <si>
    <t>INV100512</t>
  </si>
  <si>
    <t>CUST0767</t>
  </si>
  <si>
    <t>PRD0118</t>
  </si>
  <si>
    <t>INV100513</t>
  </si>
  <si>
    <t>CUST0813</t>
  </si>
  <si>
    <t>16:47</t>
  </si>
  <si>
    <t>INV100514</t>
  </si>
  <si>
    <t>CUST0786</t>
  </si>
  <si>
    <t>INV100515</t>
  </si>
  <si>
    <t>CUST0528</t>
  </si>
  <si>
    <t>INV100516</t>
  </si>
  <si>
    <t>INV100517</t>
  </si>
  <si>
    <t>INV100518</t>
  </si>
  <si>
    <t>CUST0710</t>
  </si>
  <si>
    <t>17:42</t>
  </si>
  <si>
    <t>INV100519</t>
  </si>
  <si>
    <t>14:30</t>
  </si>
  <si>
    <t>INV100520</t>
  </si>
  <si>
    <t>12:05</t>
  </si>
  <si>
    <t>INV100521</t>
  </si>
  <si>
    <t>INV100522</t>
  </si>
  <si>
    <t>CUST0286</t>
  </si>
  <si>
    <t>INV100523</t>
  </si>
  <si>
    <t>PRD0136</t>
  </si>
  <si>
    <t>14:24</t>
  </si>
  <si>
    <t>INV100524</t>
  </si>
  <si>
    <t>CUST0294</t>
  </si>
  <si>
    <t>11:23</t>
  </si>
  <si>
    <t>INV100525</t>
  </si>
  <si>
    <t>CUST0064</t>
  </si>
  <si>
    <t>INV100526</t>
  </si>
  <si>
    <t>20:10</t>
  </si>
  <si>
    <t>INV100527</t>
  </si>
  <si>
    <t>CUST0819</t>
  </si>
  <si>
    <t>17:34</t>
  </si>
  <si>
    <t>INV100528</t>
  </si>
  <si>
    <t>CUST0356</t>
  </si>
  <si>
    <t>12:40</t>
  </si>
  <si>
    <t>INV100529</t>
  </si>
  <si>
    <t>19:33</t>
  </si>
  <si>
    <t>INV100530</t>
  </si>
  <si>
    <t>12:52</t>
  </si>
  <si>
    <t>INV100531</t>
  </si>
  <si>
    <t>CUST0215</t>
  </si>
  <si>
    <t>17:59</t>
  </si>
  <si>
    <t>INV100532</t>
  </si>
  <si>
    <t>CUST0680</t>
  </si>
  <si>
    <t>17:28</t>
  </si>
  <si>
    <t>INV100533</t>
  </si>
  <si>
    <t>16:11</t>
  </si>
  <si>
    <t>INV100534</t>
  </si>
  <si>
    <t>INV100535</t>
  </si>
  <si>
    <t>PRD0133</t>
  </si>
  <si>
    <t>INV100536</t>
  </si>
  <si>
    <t>INV100537</t>
  </si>
  <si>
    <t>CUST0293</t>
  </si>
  <si>
    <t>PRD0201</t>
  </si>
  <si>
    <t>INV100538</t>
  </si>
  <si>
    <t>INV100539</t>
  </si>
  <si>
    <t>PRD0057</t>
  </si>
  <si>
    <t>INV100540</t>
  </si>
  <si>
    <t>INV100541</t>
  </si>
  <si>
    <t>CUST0640</t>
  </si>
  <si>
    <t>INV100542</t>
  </si>
  <si>
    <t>CUST0022</t>
  </si>
  <si>
    <t>16:42</t>
  </si>
  <si>
    <t>INV100543</t>
  </si>
  <si>
    <t>INV100544</t>
  </si>
  <si>
    <t>STR106</t>
  </si>
  <si>
    <t>12:47</t>
  </si>
  <si>
    <t>INV100545</t>
  </si>
  <si>
    <t>CUST0685</t>
  </si>
  <si>
    <t>11:39</t>
  </si>
  <si>
    <t>INV100546</t>
  </si>
  <si>
    <t>CUST0728</t>
  </si>
  <si>
    <t>14:29</t>
  </si>
  <si>
    <t>INV100547</t>
  </si>
  <si>
    <t>CUST0194</t>
  </si>
  <si>
    <t>14:00</t>
  </si>
  <si>
    <t>INV100548</t>
  </si>
  <si>
    <t>15:45</t>
  </si>
  <si>
    <t>INV100549</t>
  </si>
  <si>
    <t>16:00</t>
  </si>
  <si>
    <t>INV100550</t>
  </si>
  <si>
    <t>CUST0820</t>
  </si>
  <si>
    <t>19:49</t>
  </si>
  <si>
    <t>INV100551</t>
  </si>
  <si>
    <t>CUST0090</t>
  </si>
  <si>
    <t>21:45</t>
  </si>
  <si>
    <t>INV100552</t>
  </si>
  <si>
    <t>20:26</t>
  </si>
  <si>
    <t>INV100553</t>
  </si>
  <si>
    <t>INV100554</t>
  </si>
  <si>
    <t>INV100555</t>
  </si>
  <si>
    <t>CUST0115</t>
  </si>
  <si>
    <t>INV100556</t>
  </si>
  <si>
    <t>INV100557</t>
  </si>
  <si>
    <t>INV100558</t>
  </si>
  <si>
    <t>CUST0062</t>
  </si>
  <si>
    <t>INV100559</t>
  </si>
  <si>
    <t>CUST0707</t>
  </si>
  <si>
    <t>19:31</t>
  </si>
  <si>
    <t>INV100560</t>
  </si>
  <si>
    <t>INV100561</t>
  </si>
  <si>
    <t>CUST0615</t>
  </si>
  <si>
    <t>INV100562</t>
  </si>
  <si>
    <t>13:27</t>
  </si>
  <si>
    <t>INV100563</t>
  </si>
  <si>
    <t>18:19</t>
  </si>
  <si>
    <t>INV100564</t>
  </si>
  <si>
    <t>CUST0273</t>
  </si>
  <si>
    <t>17:25</t>
  </si>
  <si>
    <t>INV100565</t>
  </si>
  <si>
    <t>CUST0768</t>
  </si>
  <si>
    <t>21:24</t>
  </si>
  <si>
    <t>INV100566</t>
  </si>
  <si>
    <t>CUST0032</t>
  </si>
  <si>
    <t>INV100567</t>
  </si>
  <si>
    <t>14:40</t>
  </si>
  <si>
    <t>INV100568</t>
  </si>
  <si>
    <t>PRD0102</t>
  </si>
  <si>
    <t>12:09</t>
  </si>
  <si>
    <t>INV100569</t>
  </si>
  <si>
    <t>CUST0483</t>
  </si>
  <si>
    <t>16:51</t>
  </si>
  <si>
    <t>INV100570</t>
  </si>
  <si>
    <t>CUST0333</t>
  </si>
  <si>
    <t>INV100571</t>
  </si>
  <si>
    <t>CUST0823</t>
  </si>
  <si>
    <t>17:52</t>
  </si>
  <si>
    <t>INV100572</t>
  </si>
  <si>
    <t>CUST0730</t>
  </si>
  <si>
    <t>INV100573</t>
  </si>
  <si>
    <t>INV100574</t>
  </si>
  <si>
    <t>21:13</t>
  </si>
  <si>
    <t>INV100575</t>
  </si>
  <si>
    <t>CUST0499</t>
  </si>
  <si>
    <t>INV100576</t>
  </si>
  <si>
    <t>14:11</t>
  </si>
  <si>
    <t>INV100577</t>
  </si>
  <si>
    <t>CUST0793</t>
  </si>
  <si>
    <t>21:22</t>
  </si>
  <si>
    <t>INV100578</t>
  </si>
  <si>
    <t>CUST0050</t>
  </si>
  <si>
    <t>18:35</t>
  </si>
  <si>
    <t>INV100579</t>
  </si>
  <si>
    <t>PRD0223</t>
  </si>
  <si>
    <t>INV100580</t>
  </si>
  <si>
    <t>PRD0032</t>
  </si>
  <si>
    <t>INV100581</t>
  </si>
  <si>
    <t>11:40</t>
  </si>
  <si>
    <t>INV100582</t>
  </si>
  <si>
    <t>PRD0012</t>
  </si>
  <si>
    <t>10:09</t>
  </si>
  <si>
    <t>INV100583</t>
  </si>
  <si>
    <t>INV100584</t>
  </si>
  <si>
    <t>CUST0608</t>
  </si>
  <si>
    <t>18:48</t>
  </si>
  <si>
    <t>INV100585</t>
  </si>
  <si>
    <t>CUST0231</t>
  </si>
  <si>
    <t>INV100586</t>
  </si>
  <si>
    <t>INV100587</t>
  </si>
  <si>
    <t>CUST0165</t>
  </si>
  <si>
    <t>PRD0205</t>
  </si>
  <si>
    <t>12:48</t>
  </si>
  <si>
    <t>INV100588</t>
  </si>
  <si>
    <t>INV100589</t>
  </si>
  <si>
    <t>CUST0772</t>
  </si>
  <si>
    <t>20:09</t>
  </si>
  <si>
    <t>INV100590</t>
  </si>
  <si>
    <t>CUST0572</t>
  </si>
  <si>
    <t>PRD0159</t>
  </si>
  <si>
    <t>16:46</t>
  </si>
  <si>
    <t>INV100591</t>
  </si>
  <si>
    <t>PRD0095</t>
  </si>
  <si>
    <t>INV100592</t>
  </si>
  <si>
    <t>CUST0191</t>
  </si>
  <si>
    <t>INV100593</t>
  </si>
  <si>
    <t>CUST0274</t>
  </si>
  <si>
    <t>INV100594</t>
  </si>
  <si>
    <t>CUST0013</t>
  </si>
  <si>
    <t>20:24</t>
  </si>
  <si>
    <t>INV100595</t>
  </si>
  <si>
    <t>CUST0315</t>
  </si>
  <si>
    <t>INV100596</t>
  </si>
  <si>
    <t>INV100597</t>
  </si>
  <si>
    <t>INV100598</t>
  </si>
  <si>
    <t>INV100599</t>
  </si>
  <si>
    <t>INV100600</t>
  </si>
  <si>
    <t>INV100601</t>
  </si>
  <si>
    <t>CUST0762</t>
  </si>
  <si>
    <t>21:54</t>
  </si>
  <si>
    <t>INV100602</t>
  </si>
  <si>
    <t>12:46</t>
  </si>
  <si>
    <t>INV100603</t>
  </si>
  <si>
    <t>CUST0437</t>
  </si>
  <si>
    <t>INV100604</t>
  </si>
  <si>
    <t>INV100605</t>
  </si>
  <si>
    <t>10:18</t>
  </si>
  <si>
    <t>INV100606</t>
  </si>
  <si>
    <t>INV100607</t>
  </si>
  <si>
    <t>INV100608</t>
  </si>
  <si>
    <t>CUST0364</t>
  </si>
  <si>
    <t>INV100609</t>
  </si>
  <si>
    <t>CUST0288</t>
  </si>
  <si>
    <t>STR048</t>
  </si>
  <si>
    <t>INV100610</t>
  </si>
  <si>
    <t>INV100611</t>
  </si>
  <si>
    <t>INV100612</t>
  </si>
  <si>
    <t>INV100613</t>
  </si>
  <si>
    <t>CUST0732</t>
  </si>
  <si>
    <t>INV100614</t>
  </si>
  <si>
    <t>20:51</t>
  </si>
  <si>
    <t>INV100615</t>
  </si>
  <si>
    <t>INV100616</t>
  </si>
  <si>
    <t>PRD0217</t>
  </si>
  <si>
    <t>INV100617</t>
  </si>
  <si>
    <t>INV100618</t>
  </si>
  <si>
    <t>15:24</t>
  </si>
  <si>
    <t>INV100619</t>
  </si>
  <si>
    <t>INV100620</t>
  </si>
  <si>
    <t>21:08</t>
  </si>
  <si>
    <t>INV100621</t>
  </si>
  <si>
    <t>CUST0624</t>
  </si>
  <si>
    <t>12:03</t>
  </si>
  <si>
    <t>INV100622</t>
  </si>
  <si>
    <t>INV100623</t>
  </si>
  <si>
    <t>INV100624</t>
  </si>
  <si>
    <t>CUST0044</t>
  </si>
  <si>
    <t>INV100625</t>
  </si>
  <si>
    <t>INV100626</t>
  </si>
  <si>
    <t>CUST0357</t>
  </si>
  <si>
    <t>INV100627</t>
  </si>
  <si>
    <t>CUST0442</t>
  </si>
  <si>
    <t>INV100628</t>
  </si>
  <si>
    <t>16:08</t>
  </si>
  <si>
    <t>INV100629</t>
  </si>
  <si>
    <t>CUST0141</t>
  </si>
  <si>
    <t>16:56</t>
  </si>
  <si>
    <t>INV100630</t>
  </si>
  <si>
    <t>INV100631</t>
  </si>
  <si>
    <t>CUST0152</t>
  </si>
  <si>
    <t>18:53</t>
  </si>
  <si>
    <t>INV100632</t>
  </si>
  <si>
    <t>INV100633</t>
  </si>
  <si>
    <t>CUST0236</t>
  </si>
  <si>
    <t>INV100634</t>
  </si>
  <si>
    <t>13:43</t>
  </si>
  <si>
    <t>INV100635</t>
  </si>
  <si>
    <t>PRD0026</t>
  </si>
  <si>
    <t>17:39</t>
  </si>
  <si>
    <t>INV100636</t>
  </si>
  <si>
    <t>19:48</t>
  </si>
  <si>
    <t>INV100637</t>
  </si>
  <si>
    <t>CUST0290</t>
  </si>
  <si>
    <t>INV100638</t>
  </si>
  <si>
    <t>CUST0208</t>
  </si>
  <si>
    <t>15:23</t>
  </si>
  <si>
    <t>INV100639</t>
  </si>
  <si>
    <t>INV100640</t>
  </si>
  <si>
    <t>15:49</t>
  </si>
  <si>
    <t>INV100641</t>
  </si>
  <si>
    <t>PRD0143</t>
  </si>
  <si>
    <t>INV100642</t>
  </si>
  <si>
    <t>CUST0361</t>
  </si>
  <si>
    <t>15:14</t>
  </si>
  <si>
    <t>INV100643</t>
  </si>
  <si>
    <t>INV100644</t>
  </si>
  <si>
    <t>21:59</t>
  </si>
  <si>
    <t>INV100645</t>
  </si>
  <si>
    <t>11:10</t>
  </si>
  <si>
    <t>INV100646</t>
  </si>
  <si>
    <t>CUST0015</t>
  </si>
  <si>
    <t>INV100647</t>
  </si>
  <si>
    <t>CUST0413</t>
  </si>
  <si>
    <t>18:54</t>
  </si>
  <si>
    <t>INV100648</t>
  </si>
  <si>
    <t>CUST0124</t>
  </si>
  <si>
    <t>INV100649</t>
  </si>
  <si>
    <t>CUST0307</t>
  </si>
  <si>
    <t>PRD0014</t>
  </si>
  <si>
    <t>INV100650</t>
  </si>
  <si>
    <t>PRD0045</t>
  </si>
  <si>
    <t>INV100651</t>
  </si>
  <si>
    <t>CUST0268</t>
  </si>
  <si>
    <t>INV100652</t>
  </si>
  <si>
    <t>CUST0098</t>
  </si>
  <si>
    <t>INV100653</t>
  </si>
  <si>
    <t>CUST0214</t>
  </si>
  <si>
    <t>17:30</t>
  </si>
  <si>
    <t>INV100654</t>
  </si>
  <si>
    <t>18:51</t>
  </si>
  <si>
    <t>INV100655</t>
  </si>
  <si>
    <t>CUST0622</t>
  </si>
  <si>
    <t>PRD0187</t>
  </si>
  <si>
    <t>INV100656</t>
  </si>
  <si>
    <t>CUST0258</t>
  </si>
  <si>
    <t>18:25</t>
  </si>
  <si>
    <t>INV100657</t>
  </si>
  <si>
    <t>INV100658</t>
  </si>
  <si>
    <t>17:11</t>
  </si>
  <si>
    <t>INV100659</t>
  </si>
  <si>
    <t>INV100660</t>
  </si>
  <si>
    <t>21:53</t>
  </si>
  <si>
    <t>INV100661</t>
  </si>
  <si>
    <t>CUST0566</t>
  </si>
  <si>
    <t>INV100662</t>
  </si>
  <si>
    <t>PRD0184</t>
  </si>
  <si>
    <t>12:31</t>
  </si>
  <si>
    <t>INV100663</t>
  </si>
  <si>
    <t>CUST0609</t>
  </si>
  <si>
    <t>INV100664</t>
  </si>
  <si>
    <t>INV100665</t>
  </si>
  <si>
    <t>15:17</t>
  </si>
  <si>
    <t>INV100666</t>
  </si>
  <si>
    <t>16:38</t>
  </si>
  <si>
    <t>INV100667</t>
  </si>
  <si>
    <t>CUST0800</t>
  </si>
  <si>
    <t>INV100668</t>
  </si>
  <si>
    <t>CUST0822</t>
  </si>
  <si>
    <t>INV100669</t>
  </si>
  <si>
    <t>CUST0443</t>
  </si>
  <si>
    <t>12:50</t>
  </si>
  <si>
    <t>INV100670</t>
  </si>
  <si>
    <t>CUST0091</t>
  </si>
  <si>
    <t>INV100671</t>
  </si>
  <si>
    <t>INV100672</t>
  </si>
  <si>
    <t>18:30</t>
  </si>
  <si>
    <t>INV100673</t>
  </si>
  <si>
    <t>CUST0697</t>
  </si>
  <si>
    <t>INV100674</t>
  </si>
  <si>
    <t>INV100675</t>
  </si>
  <si>
    <t>CUST0644</t>
  </si>
  <si>
    <t>17:33</t>
  </si>
  <si>
    <t>INV100676</t>
  </si>
  <si>
    <t>15:42</t>
  </si>
  <si>
    <t>INV100677</t>
  </si>
  <si>
    <t>INV100678</t>
  </si>
  <si>
    <t>INV100679</t>
  </si>
  <si>
    <t>CUST0447</t>
  </si>
  <si>
    <t>20:02</t>
  </si>
  <si>
    <t>INV100680</t>
  </si>
  <si>
    <t>CUST0225</t>
  </si>
  <si>
    <t>19:41</t>
  </si>
  <si>
    <t>INV100681</t>
  </si>
  <si>
    <t>CUST0700</t>
  </si>
  <si>
    <t>15:00</t>
  </si>
  <si>
    <t>INV100682</t>
  </si>
  <si>
    <t>CUST0777</t>
  </si>
  <si>
    <t>21:02</t>
  </si>
  <si>
    <t>INV100683</t>
  </si>
  <si>
    <t>18:47</t>
  </si>
  <si>
    <t>INV100684</t>
  </si>
  <si>
    <t>CUST0850</t>
  </si>
  <si>
    <t>INV100685</t>
  </si>
  <si>
    <t>18:07</t>
  </si>
  <si>
    <t>INV100686</t>
  </si>
  <si>
    <t>INV100687</t>
  </si>
  <si>
    <t>CUST0296</t>
  </si>
  <si>
    <t>INV100688</t>
  </si>
  <si>
    <t>CUST0520</t>
  </si>
  <si>
    <t>INV100689</t>
  </si>
  <si>
    <t>10:01</t>
  </si>
  <si>
    <t>INV100690</t>
  </si>
  <si>
    <t>INV100691</t>
  </si>
  <si>
    <t>CUST0601</t>
  </si>
  <si>
    <t>INV100692</t>
  </si>
  <si>
    <t>INV100693</t>
  </si>
  <si>
    <t>CUST0362</t>
  </si>
  <si>
    <t>20:13</t>
  </si>
  <si>
    <t>INV100694</t>
  </si>
  <si>
    <t>INV100695</t>
  </si>
  <si>
    <t>PRD0180</t>
  </si>
  <si>
    <t>INV100696</t>
  </si>
  <si>
    <t>CUST0249</t>
  </si>
  <si>
    <t>INV100697</t>
  </si>
  <si>
    <t>CUST0111</t>
  </si>
  <si>
    <t>INV100698</t>
  </si>
  <si>
    <t>CUST0190</t>
  </si>
  <si>
    <t>11:35</t>
  </si>
  <si>
    <t>INV100699</t>
  </si>
  <si>
    <t>INV100700</t>
  </si>
  <si>
    <t>INV100701</t>
  </si>
  <si>
    <t>CUST0531</t>
  </si>
  <si>
    <t>INV100702</t>
  </si>
  <si>
    <t>13:39</t>
  </si>
  <si>
    <t>INV100703</t>
  </si>
  <si>
    <t>11:57</t>
  </si>
  <si>
    <t>INV100704</t>
  </si>
  <si>
    <t>INV100705</t>
  </si>
  <si>
    <t>13:03</t>
  </si>
  <si>
    <t>INV100706</t>
  </si>
  <si>
    <t>16:35</t>
  </si>
  <si>
    <t>INV100707</t>
  </si>
  <si>
    <t>13:10</t>
  </si>
  <si>
    <t>INV100708</t>
  </si>
  <si>
    <t>INV100709</t>
  </si>
  <si>
    <t>CUST0586</t>
  </si>
  <si>
    <t>18:20</t>
  </si>
  <si>
    <t>INV100710</t>
  </si>
  <si>
    <t>INV100711</t>
  </si>
  <si>
    <t>CUST0042</t>
  </si>
  <si>
    <t>18:17</t>
  </si>
  <si>
    <t>INV100712</t>
  </si>
  <si>
    <t>INV100713</t>
  </si>
  <si>
    <t>11:00</t>
  </si>
  <si>
    <t>INV100714</t>
  </si>
  <si>
    <t>INV100715</t>
  </si>
  <si>
    <t>CUST0436</t>
  </si>
  <si>
    <t>10:26</t>
  </si>
  <si>
    <t>INV100716</t>
  </si>
  <si>
    <t>CUST0143</t>
  </si>
  <si>
    <t>PRD0232</t>
  </si>
  <si>
    <t>INV100717</t>
  </si>
  <si>
    <t>INV100718</t>
  </si>
  <si>
    <t>CUST0589</t>
  </si>
  <si>
    <t>INV100719</t>
  </si>
  <si>
    <t>CUST0193</t>
  </si>
  <si>
    <t>18:50</t>
  </si>
  <si>
    <t>INV100720</t>
  </si>
  <si>
    <t>15:06</t>
  </si>
  <si>
    <t>INV100721</t>
  </si>
  <si>
    <t>INV100722</t>
  </si>
  <si>
    <t>INV100723</t>
  </si>
  <si>
    <t>INV100724</t>
  </si>
  <si>
    <t>10:43</t>
  </si>
  <si>
    <t>INV100725</t>
  </si>
  <si>
    <t>INV100726</t>
  </si>
  <si>
    <t>CUST0821</t>
  </si>
  <si>
    <t>10:42</t>
  </si>
  <si>
    <t>INV100727</t>
  </si>
  <si>
    <t>12:28</t>
  </si>
  <si>
    <t>INV100728</t>
  </si>
  <si>
    <t>19:56</t>
  </si>
  <si>
    <t>INV100729</t>
  </si>
  <si>
    <t>INV100730</t>
  </si>
  <si>
    <t>INV100731</t>
  </si>
  <si>
    <t>CUST0664</t>
  </si>
  <si>
    <t>INV100732</t>
  </si>
  <si>
    <t>INV101029</t>
  </si>
  <si>
    <t>CUST0830</t>
  </si>
  <si>
    <t>INV100734</t>
  </si>
  <si>
    <t>CUST0629</t>
  </si>
  <si>
    <t>INV100735</t>
  </si>
  <si>
    <t>CUST0627</t>
  </si>
  <si>
    <t>16:37</t>
  </si>
  <si>
    <t>INV100736</t>
  </si>
  <si>
    <t>CUST0252</t>
  </si>
  <si>
    <t>17:23</t>
  </si>
  <si>
    <t>INV100737</t>
  </si>
  <si>
    <t>CUST0140</t>
  </si>
  <si>
    <t>19:54</t>
  </si>
  <si>
    <t>INV100738</t>
  </si>
  <si>
    <t>INV100739</t>
  </si>
  <si>
    <t>INV100740</t>
  </si>
  <si>
    <t>CUST0212</t>
  </si>
  <si>
    <t>10:39</t>
  </si>
  <si>
    <t>INV100741</t>
  </si>
  <si>
    <t>CUST0462</t>
  </si>
  <si>
    <t>17:00</t>
  </si>
  <si>
    <t>INV100742</t>
  </si>
  <si>
    <t>INV100743</t>
  </si>
  <si>
    <t>19:26</t>
  </si>
  <si>
    <t>INV100744</t>
  </si>
  <si>
    <t>INV100745</t>
  </si>
  <si>
    <t>INV100746</t>
  </si>
  <si>
    <t>INV100747</t>
  </si>
  <si>
    <t>INV100748</t>
  </si>
  <si>
    <t>INV100749</t>
  </si>
  <si>
    <t>16:23</t>
  </si>
  <si>
    <t>INV100750</t>
  </si>
  <si>
    <t>CUST0069</t>
  </si>
  <si>
    <t>INV100751</t>
  </si>
  <si>
    <t>INV100752</t>
  </si>
  <si>
    <t>CUST0087</t>
  </si>
  <si>
    <t>12:26</t>
  </si>
  <si>
    <t>INV100753</t>
  </si>
  <si>
    <t>18:32</t>
  </si>
  <si>
    <t>INV100754</t>
  </si>
  <si>
    <t>CUST0475</t>
  </si>
  <si>
    <t>INV100755</t>
  </si>
  <si>
    <t>12:13</t>
  </si>
  <si>
    <t>INV100756</t>
  </si>
  <si>
    <t>CUST0297</t>
  </si>
  <si>
    <t>PRD0104</t>
  </si>
  <si>
    <t>INV100757</t>
  </si>
  <si>
    <t>INV100758</t>
  </si>
  <si>
    <t>CUST0677</t>
  </si>
  <si>
    <t>INV100759</t>
  </si>
  <si>
    <t>CUST0666</t>
  </si>
  <si>
    <t>INV100760</t>
  </si>
  <si>
    <t>CUST0818</t>
  </si>
  <si>
    <t>20:34</t>
  </si>
  <si>
    <t>INV100761</t>
  </si>
  <si>
    <t>19:12</t>
  </si>
  <si>
    <t>INV100762</t>
  </si>
  <si>
    <t>CUST0563</t>
  </si>
  <si>
    <t>13:22</t>
  </si>
  <si>
    <t>INV100763</t>
  </si>
  <si>
    <t>14:45</t>
  </si>
  <si>
    <t>INV100764</t>
  </si>
  <si>
    <t>INV100765</t>
  </si>
  <si>
    <t>INV100766</t>
  </si>
  <si>
    <t>INV100767</t>
  </si>
  <si>
    <t>INV100768</t>
  </si>
  <si>
    <t>INV100769</t>
  </si>
  <si>
    <t>CUST0727</t>
  </si>
  <si>
    <t>PRD0006</t>
  </si>
  <si>
    <t>18:52</t>
  </si>
  <si>
    <t>INV100770</t>
  </si>
  <si>
    <t>INV100771</t>
  </si>
  <si>
    <t>CUST0073</t>
  </si>
  <si>
    <t>INV100772</t>
  </si>
  <si>
    <t>CUST0690</t>
  </si>
  <si>
    <t>INV100773</t>
  </si>
  <si>
    <t>16:04</t>
  </si>
  <si>
    <t>INV100774</t>
  </si>
  <si>
    <t>10:17</t>
  </si>
  <si>
    <t>INV100775</t>
  </si>
  <si>
    <t>CUST0313</t>
  </si>
  <si>
    <t>INV100776</t>
  </si>
  <si>
    <t>INV100777</t>
  </si>
  <si>
    <t>CUST0814</t>
  </si>
  <si>
    <t>INV100778</t>
  </si>
  <si>
    <t>PRD0154</t>
  </si>
  <si>
    <t>INV100779</t>
  </si>
  <si>
    <t>INV100780</t>
  </si>
  <si>
    <t>INV100781</t>
  </si>
  <si>
    <t>15:16</t>
  </si>
  <si>
    <t>INV100782</t>
  </si>
  <si>
    <t>INV100783</t>
  </si>
  <si>
    <t>17:29</t>
  </si>
  <si>
    <t>INV100784</t>
  </si>
  <si>
    <t>INV100785</t>
  </si>
  <si>
    <t>INV100786</t>
  </si>
  <si>
    <t>CUST0496</t>
  </si>
  <si>
    <t>INV100787</t>
  </si>
  <si>
    <t>PRD0003</t>
  </si>
  <si>
    <t>INV100788</t>
  </si>
  <si>
    <t>10:16</t>
  </si>
  <si>
    <t>INV100789</t>
  </si>
  <si>
    <t>CUST0759</t>
  </si>
  <si>
    <t>INV100790</t>
  </si>
  <si>
    <t>CUST0251</t>
  </si>
  <si>
    <t>INV100791</t>
  </si>
  <si>
    <t>10:52</t>
  </si>
  <si>
    <t>INV100792</t>
  </si>
  <si>
    <t>INV100793</t>
  </si>
  <si>
    <t>CUST0598</t>
  </si>
  <si>
    <t>16:50</t>
  </si>
  <si>
    <t>INV100794</t>
  </si>
  <si>
    <t>19:36</t>
  </si>
  <si>
    <t>INV100795</t>
  </si>
  <si>
    <t>CUST0547</t>
  </si>
  <si>
    <t>18:08</t>
  </si>
  <si>
    <t>INV100796</t>
  </si>
  <si>
    <t>INV100797</t>
  </si>
  <si>
    <t>INV100798</t>
  </si>
  <si>
    <t>CUST0367</t>
  </si>
  <si>
    <t>19:15</t>
  </si>
  <si>
    <t>INV100799</t>
  </si>
  <si>
    <t>13:31</t>
  </si>
  <si>
    <t>INV100800</t>
  </si>
  <si>
    <t>CUST0669</t>
  </si>
  <si>
    <t>INV100801</t>
  </si>
  <si>
    <t>CUST0445</t>
  </si>
  <si>
    <t>12:25</t>
  </si>
  <si>
    <t>INV100802</t>
  </si>
  <si>
    <t>CUST0304</t>
  </si>
  <si>
    <t>19:19</t>
  </si>
  <si>
    <t>INV100803</t>
  </si>
  <si>
    <t>CUST0159</t>
  </si>
  <si>
    <t>INV100804</t>
  </si>
  <si>
    <t>CUST0729</t>
  </si>
  <si>
    <t>INV100805</t>
  </si>
  <si>
    <t>12:30</t>
  </si>
  <si>
    <t>INV100806</t>
  </si>
  <si>
    <t>INV100807</t>
  </si>
  <si>
    <t>CUST0007</t>
  </si>
  <si>
    <t>INV100808</t>
  </si>
  <si>
    <t>INV100809</t>
  </si>
  <si>
    <t>CUST0733</t>
  </si>
  <si>
    <t>INV100810</t>
  </si>
  <si>
    <t>INV100811</t>
  </si>
  <si>
    <t>CUST0365</t>
  </si>
  <si>
    <t>INV100812</t>
  </si>
  <si>
    <t>INV100813</t>
  </si>
  <si>
    <t>INV100814</t>
  </si>
  <si>
    <t>INV100815</t>
  </si>
  <si>
    <t>18:03</t>
  </si>
  <si>
    <t>INV100816</t>
  </si>
  <si>
    <t>16:31</t>
  </si>
  <si>
    <t>INV100817</t>
  </si>
  <si>
    <t>12:57</t>
  </si>
  <si>
    <t>INV100818</t>
  </si>
  <si>
    <t>INV100819</t>
  </si>
  <si>
    <t>PRD0221</t>
  </si>
  <si>
    <t>INV100546-A</t>
  </si>
  <si>
    <t>CUST0771</t>
  </si>
  <si>
    <t>INV100821</t>
  </si>
  <si>
    <t>CUST0056</t>
  </si>
  <si>
    <t>20:37</t>
  </si>
  <si>
    <t>INV100822</t>
  </si>
  <si>
    <t>CUST0164</t>
  </si>
  <si>
    <t>INV100823</t>
  </si>
  <si>
    <t>CUST0495</t>
  </si>
  <si>
    <t>INV100824</t>
  </si>
  <si>
    <t>INV100825</t>
  </si>
  <si>
    <t>INV100826</t>
  </si>
  <si>
    <t>CUST0553</t>
  </si>
  <si>
    <t>13:57</t>
  </si>
  <si>
    <t>INV100827</t>
  </si>
  <si>
    <t>17:55</t>
  </si>
  <si>
    <t>INV100828</t>
  </si>
  <si>
    <t>CUST0046</t>
  </si>
  <si>
    <t>INV100829</t>
  </si>
  <si>
    <t>CUST0202</t>
  </si>
  <si>
    <t>INV100830</t>
  </si>
  <si>
    <t>CUST0757</t>
  </si>
  <si>
    <t>INV100831</t>
  </si>
  <si>
    <t>19:55</t>
  </si>
  <si>
    <t>INV100832</t>
  </si>
  <si>
    <t>PRD0038</t>
  </si>
  <si>
    <t>21:17</t>
  </si>
  <si>
    <t>INV100833</t>
  </si>
  <si>
    <t>INV100834</t>
  </si>
  <si>
    <t>INV100835</t>
  </si>
  <si>
    <t>INV100836</t>
  </si>
  <si>
    <t>INV100837</t>
  </si>
  <si>
    <t>CUST0661</t>
  </si>
  <si>
    <t>13:37</t>
  </si>
  <si>
    <t>INV100838</t>
  </si>
  <si>
    <t>CUST0092</t>
  </si>
  <si>
    <t>INV100839</t>
  </si>
  <si>
    <t>CUST0332</t>
  </si>
  <si>
    <t>PRD0246</t>
  </si>
  <si>
    <t>INV100840</t>
  </si>
  <si>
    <t>INV100841</t>
  </si>
  <si>
    <t>17:41</t>
  </si>
  <si>
    <t>INV100842</t>
  </si>
  <si>
    <t>INV100843</t>
  </si>
  <si>
    <t>INV100844</t>
  </si>
  <si>
    <t>CUST0833</t>
  </si>
  <si>
    <t>INV100845</t>
  </si>
  <si>
    <t>CUST0078</t>
  </si>
  <si>
    <t>PRD0168</t>
  </si>
  <si>
    <t>INV100846</t>
  </si>
  <si>
    <t>INV100847</t>
  </si>
  <si>
    <t>CUST0610</t>
  </si>
  <si>
    <t>INV100848</t>
  </si>
  <si>
    <t>CUST0218</t>
  </si>
  <si>
    <t>INV100849</t>
  </si>
  <si>
    <t>CUST0099</t>
  </si>
  <si>
    <t>17:27</t>
  </si>
  <si>
    <t>INV100850</t>
  </si>
  <si>
    <t>CUST0488</t>
  </si>
  <si>
    <t>INV100851</t>
  </si>
  <si>
    <t>13:40</t>
  </si>
  <si>
    <t>INV100852</t>
  </si>
  <si>
    <t>CUST0628</t>
  </si>
  <si>
    <t>INV100853</t>
  </si>
  <si>
    <t>11:18</t>
  </si>
  <si>
    <t>INV100854</t>
  </si>
  <si>
    <t>CUST0182</t>
  </si>
  <si>
    <t>INV100855</t>
  </si>
  <si>
    <t>INV100856</t>
  </si>
  <si>
    <t>17:06</t>
  </si>
  <si>
    <t>INV100857</t>
  </si>
  <si>
    <t>INV100858</t>
  </si>
  <si>
    <t>CUST0424</t>
  </si>
  <si>
    <t>13:11</t>
  </si>
  <si>
    <t>INV100859</t>
  </si>
  <si>
    <t>INV100860</t>
  </si>
  <si>
    <t>INV100861</t>
  </si>
  <si>
    <t>INV100862</t>
  </si>
  <si>
    <t>INV100863</t>
  </si>
  <si>
    <t>CUST0810</t>
  </si>
  <si>
    <t>INV100864</t>
  </si>
  <si>
    <t>16:43</t>
  </si>
  <si>
    <t>INV100865</t>
  </si>
  <si>
    <t>CUST0480</t>
  </si>
  <si>
    <t>INV100866</t>
  </si>
  <si>
    <t>CUST0228</t>
  </si>
  <si>
    <t>INV100867</t>
  </si>
  <si>
    <t>12:20</t>
  </si>
  <si>
    <t>INV100868</t>
  </si>
  <si>
    <t>INV100869</t>
  </si>
  <si>
    <t>CUST0427</t>
  </si>
  <si>
    <t>INV100870</t>
  </si>
  <si>
    <t>CUST0533</t>
  </si>
  <si>
    <t>INV100871</t>
  </si>
  <si>
    <t>CUST0637</t>
  </si>
  <si>
    <t>20:15</t>
  </si>
  <si>
    <t>INV100872</t>
  </si>
  <si>
    <t>CUST0275</t>
  </si>
  <si>
    <t>INV100873</t>
  </si>
  <si>
    <t>12:15</t>
  </si>
  <si>
    <t>INV100874</t>
  </si>
  <si>
    <t>CUST0653</t>
  </si>
  <si>
    <t>INV100875</t>
  </si>
  <si>
    <t>INV100876</t>
  </si>
  <si>
    <t>CUST0770</t>
  </si>
  <si>
    <t>INV100877</t>
  </si>
  <si>
    <t>INV100878</t>
  </si>
  <si>
    <t>20:07</t>
  </si>
  <si>
    <t>INV100879</t>
  </si>
  <si>
    <t>CUST0384</t>
  </si>
  <si>
    <t>INV100880</t>
  </si>
  <si>
    <t>INV100881</t>
  </si>
  <si>
    <t>CUST0457</t>
  </si>
  <si>
    <t>19:00</t>
  </si>
  <si>
    <t>INV100882</t>
  </si>
  <si>
    <t>INV100883</t>
  </si>
  <si>
    <t>INV100884</t>
  </si>
  <si>
    <t>CUST0458</t>
  </si>
  <si>
    <t>10:41</t>
  </si>
  <si>
    <t>INV100885</t>
  </si>
  <si>
    <t>17:15</t>
  </si>
  <si>
    <t>INV100886</t>
  </si>
  <si>
    <t>INV100887</t>
  </si>
  <si>
    <t>11:46</t>
  </si>
  <si>
    <t>INV100888</t>
  </si>
  <si>
    <t>EMP_UNKNOWN</t>
  </si>
  <si>
    <t>20:38</t>
  </si>
  <si>
    <t>INV100889</t>
  </si>
  <si>
    <t>INV100890</t>
  </si>
  <si>
    <t>CUST0133</t>
  </si>
  <si>
    <t>INV100891</t>
  </si>
  <si>
    <t>INV100892</t>
  </si>
  <si>
    <t>INV100893</t>
  </si>
  <si>
    <t>CUST0221</t>
  </si>
  <si>
    <t>INV100894</t>
  </si>
  <si>
    <t>INV100895</t>
  </si>
  <si>
    <t>INV100896</t>
  </si>
  <si>
    <t>CUST0120</t>
  </si>
  <si>
    <t>12:55</t>
  </si>
  <si>
    <t>INV100897</t>
  </si>
  <si>
    <t>INV100898</t>
  </si>
  <si>
    <t>CUST0272</t>
  </si>
  <si>
    <t>INV100899</t>
  </si>
  <si>
    <t>CUST0113</t>
  </si>
  <si>
    <t>INV100900</t>
  </si>
  <si>
    <t>INV100901</t>
  </si>
  <si>
    <t>INV100902</t>
  </si>
  <si>
    <t>CUST0267</t>
  </si>
  <si>
    <t>13:47</t>
  </si>
  <si>
    <t>INV100903</t>
  </si>
  <si>
    <t>21:37</t>
  </si>
  <si>
    <t>INV100904</t>
  </si>
  <si>
    <t>INV100905</t>
  </si>
  <si>
    <t>CUST0086</t>
  </si>
  <si>
    <t>INV100906</t>
  </si>
  <si>
    <t>INV100907</t>
  </si>
  <si>
    <t>CUST0562</t>
  </si>
  <si>
    <t>INV100908</t>
  </si>
  <si>
    <t>15:37</t>
  </si>
  <si>
    <t>INV100909</t>
  </si>
  <si>
    <t>INV100910</t>
  </si>
  <si>
    <t>INV100911</t>
  </si>
  <si>
    <t>16:39</t>
  </si>
  <si>
    <t>INV100912</t>
  </si>
  <si>
    <t>INV100913</t>
  </si>
  <si>
    <t>18:22</t>
  </si>
  <si>
    <t>INV100914</t>
  </si>
  <si>
    <t>INV100915</t>
  </si>
  <si>
    <t>CUST0259</t>
  </si>
  <si>
    <t>INV100916</t>
  </si>
  <si>
    <t>16:20</t>
  </si>
  <si>
    <t>INV100917</t>
  </si>
  <si>
    <t>INV100918</t>
  </si>
  <si>
    <t>12:39</t>
  </si>
  <si>
    <t>INV100919</t>
  </si>
  <si>
    <t>CUST0278</t>
  </si>
  <si>
    <t>INV100920</t>
  </si>
  <si>
    <t>19:04</t>
  </si>
  <si>
    <t>INV100921</t>
  </si>
  <si>
    <t>INV100922</t>
  </si>
  <si>
    <t>CUST0620</t>
  </si>
  <si>
    <t>INV100923</t>
  </si>
  <si>
    <t>INV100924</t>
  </si>
  <si>
    <t>CUST0207</t>
  </si>
  <si>
    <t>INV100925</t>
  </si>
  <si>
    <t>14:01</t>
  </si>
  <si>
    <t>INV100926</t>
  </si>
  <si>
    <t>INV100927</t>
  </si>
  <si>
    <t>CUST0256</t>
  </si>
  <si>
    <t>INV100928</t>
  </si>
  <si>
    <t>INV100929</t>
  </si>
  <si>
    <t>INV100930</t>
  </si>
  <si>
    <t>CUST0031</t>
  </si>
  <si>
    <t>INV100931</t>
  </si>
  <si>
    <t>INV100932</t>
  </si>
  <si>
    <t>INV100933</t>
  </si>
  <si>
    <t>CUST0109</t>
  </si>
  <si>
    <t>INV100934</t>
  </si>
  <si>
    <t>INV100935</t>
  </si>
  <si>
    <t>PRD0015</t>
  </si>
  <si>
    <t>14:02</t>
  </si>
  <si>
    <t>INV100936</t>
  </si>
  <si>
    <t>INV100937</t>
  </si>
  <si>
    <t>CUST0414</t>
  </si>
  <si>
    <t>INV100938</t>
  </si>
  <si>
    <t>CUST0585</t>
  </si>
  <si>
    <t>INV100939</t>
  </si>
  <si>
    <t>CUST0185</t>
  </si>
  <si>
    <t>19:58</t>
  </si>
  <si>
    <t>INV100940</t>
  </si>
  <si>
    <t>INV100941</t>
  </si>
  <si>
    <t>12:49</t>
  </si>
  <si>
    <t>INV100942</t>
  </si>
  <si>
    <t>18:11</t>
  </si>
  <si>
    <t>INV100943</t>
  </si>
  <si>
    <t>INV100944</t>
  </si>
  <si>
    <t>INV100945</t>
  </si>
  <si>
    <t>INV100946</t>
  </si>
  <si>
    <t>INV100947</t>
  </si>
  <si>
    <t>21:21</t>
  </si>
  <si>
    <t>INV100948</t>
  </si>
  <si>
    <t>16:21</t>
  </si>
  <si>
    <t>INV100949</t>
  </si>
  <si>
    <t>INV100950</t>
  </si>
  <si>
    <t>12:45</t>
  </si>
  <si>
    <t>INV100951</t>
  </si>
  <si>
    <t>INV100952</t>
  </si>
  <si>
    <t>15:01</t>
  </si>
  <si>
    <t>INV100953</t>
  </si>
  <si>
    <t>CUST0093</t>
  </si>
  <si>
    <t>21:50</t>
  </si>
  <si>
    <t>INV100954</t>
  </si>
  <si>
    <t>CUST0016</t>
  </si>
  <si>
    <t>INV100955</t>
  </si>
  <si>
    <t>INV100956</t>
  </si>
  <si>
    <t>INV100957</t>
  </si>
  <si>
    <t>INV100958</t>
  </si>
  <si>
    <t>INV100959</t>
  </si>
  <si>
    <t>INV100960</t>
  </si>
  <si>
    <t>INV100961</t>
  </si>
  <si>
    <t>INV100962</t>
  </si>
  <si>
    <t>CUST0110</t>
  </si>
  <si>
    <t>INV100963</t>
  </si>
  <si>
    <t>PRD0028</t>
  </si>
  <si>
    <t>INV100964</t>
  </si>
  <si>
    <t>CUST0747</t>
  </si>
  <si>
    <t>INV100965</t>
  </si>
  <si>
    <t>INV100966</t>
  </si>
  <si>
    <t>CUST0245</t>
  </si>
  <si>
    <t>16:15</t>
  </si>
  <si>
    <t>INV100967</t>
  </si>
  <si>
    <t>CUST0082</t>
  </si>
  <si>
    <t>16:53</t>
  </si>
  <si>
    <t>INV100968</t>
  </si>
  <si>
    <t>CUST0573</t>
  </si>
  <si>
    <t>INV100969</t>
  </si>
  <si>
    <t>CUST0696</t>
  </si>
  <si>
    <t>INV100970</t>
  </si>
  <si>
    <t>21:19</t>
  </si>
  <si>
    <t>INV100971</t>
  </si>
  <si>
    <t>CUST0827</t>
  </si>
  <si>
    <t>INV100972</t>
  </si>
  <si>
    <t>INV100973</t>
  </si>
  <si>
    <t>INV100974</t>
  </si>
  <si>
    <t>PRD0249</t>
  </si>
  <si>
    <t>13:49</t>
  </si>
  <si>
    <t>INV100975</t>
  </si>
  <si>
    <t>20:08</t>
  </si>
  <si>
    <t>INV100976</t>
  </si>
  <si>
    <t>INV100977</t>
  </si>
  <si>
    <t>15:41</t>
  </si>
  <si>
    <t>INV100978</t>
  </si>
  <si>
    <t>INV100979</t>
  </si>
  <si>
    <t>CUST0523</t>
  </si>
  <si>
    <t>INV100980</t>
  </si>
  <si>
    <t>10:56</t>
  </si>
  <si>
    <t>INV100981</t>
  </si>
  <si>
    <t>CUST0155</t>
  </si>
  <si>
    <t>INV100982</t>
  </si>
  <si>
    <t>PRD0101</t>
  </si>
  <si>
    <t>INV100983</t>
  </si>
  <si>
    <t>INV100984</t>
  </si>
  <si>
    <t>INV100985</t>
  </si>
  <si>
    <t>INV100986</t>
  </si>
  <si>
    <t>INV100987</t>
  </si>
  <si>
    <t>CUST0167</t>
  </si>
  <si>
    <t>INV100988</t>
  </si>
  <si>
    <t>PRD0206</t>
  </si>
  <si>
    <t>19:06</t>
  </si>
  <si>
    <t>INV100989</t>
  </si>
  <si>
    <t>CUST0075</t>
  </si>
  <si>
    <t>INV100990</t>
  </si>
  <si>
    <t>INV100991</t>
  </si>
  <si>
    <t>INV100992</t>
  </si>
  <si>
    <t>INV100993</t>
  </si>
  <si>
    <t>INV100994</t>
  </si>
  <si>
    <t>CUST0047</t>
  </si>
  <si>
    <t>11:14</t>
  </si>
  <si>
    <t>INV100995</t>
  </si>
  <si>
    <t>INV100996</t>
  </si>
  <si>
    <t>INV100997</t>
  </si>
  <si>
    <t>20:32</t>
  </si>
  <si>
    <t>INV100998</t>
  </si>
  <si>
    <t>CUST0571</t>
  </si>
  <si>
    <t>17:36</t>
  </si>
  <si>
    <t>INV100999</t>
  </si>
  <si>
    <t>15:43</t>
  </si>
  <si>
    <t>INV101000</t>
  </si>
  <si>
    <t>CUST0415</t>
  </si>
  <si>
    <t>INV101001</t>
  </si>
  <si>
    <t>PRD0185</t>
  </si>
  <si>
    <t>INV101002</t>
  </si>
  <si>
    <t>INV101003</t>
  </si>
  <si>
    <t>CUST0072</t>
  </si>
  <si>
    <t>INV101004</t>
  </si>
  <si>
    <t>INV101005</t>
  </si>
  <si>
    <t>INV101006</t>
  </si>
  <si>
    <t>CUST0590</t>
  </si>
  <si>
    <t>INV101007</t>
  </si>
  <si>
    <t>CUST0704</t>
  </si>
  <si>
    <t>INV101008</t>
  </si>
  <si>
    <t>INV101009</t>
  </si>
  <si>
    <t>INV101010</t>
  </si>
  <si>
    <t>CUST0149</t>
  </si>
  <si>
    <t>INV101011</t>
  </si>
  <si>
    <t>INV101012</t>
  </si>
  <si>
    <t>CUST0731</t>
  </si>
  <si>
    <t>19:25</t>
  </si>
  <si>
    <t>INV101013</t>
  </si>
  <si>
    <t>CUST0262</t>
  </si>
  <si>
    <t>INV101014</t>
  </si>
  <si>
    <t>INV101015</t>
  </si>
  <si>
    <t>CUST0265</t>
  </si>
  <si>
    <t>INV101016</t>
  </si>
  <si>
    <t>11:58</t>
  </si>
  <si>
    <t>INV101017</t>
  </si>
  <si>
    <t>INV101018</t>
  </si>
  <si>
    <t>INV101019</t>
  </si>
  <si>
    <t>CUST0449</t>
  </si>
  <si>
    <t>INV101020</t>
  </si>
  <si>
    <t>INV101021</t>
  </si>
  <si>
    <t>INV101022</t>
  </si>
  <si>
    <t>PRD0215</t>
  </si>
  <si>
    <t>INV101023</t>
  </si>
  <si>
    <t>CUST0232</t>
  </si>
  <si>
    <t>PRD0230</t>
  </si>
  <si>
    <t>10:20</t>
  </si>
  <si>
    <t>INV101024</t>
  </si>
  <si>
    <t>CUST0709</t>
  </si>
  <si>
    <t>INV101025</t>
  </si>
  <si>
    <t>18:24</t>
  </si>
  <si>
    <t>INV101026</t>
  </si>
  <si>
    <t>INV101027</t>
  </si>
  <si>
    <t>INV101028</t>
  </si>
  <si>
    <t>CUST0393</t>
  </si>
  <si>
    <t>INV101029-A</t>
  </si>
  <si>
    <t>INV101030</t>
  </si>
  <si>
    <t>CUST0386</t>
  </si>
  <si>
    <t>INV101031</t>
  </si>
  <si>
    <t>INV101032</t>
  </si>
  <si>
    <t>17:48</t>
  </si>
  <si>
    <t>INV101033</t>
  </si>
  <si>
    <t>CUST0019</t>
  </si>
  <si>
    <t>10:12</t>
  </si>
  <si>
    <t>INV101034</t>
  </si>
  <si>
    <t>CUST0712</t>
  </si>
  <si>
    <t>20:27</t>
  </si>
  <si>
    <t>INV101035</t>
  </si>
  <si>
    <t>CUST0242</t>
  </si>
  <si>
    <t>INV101036</t>
  </si>
  <si>
    <t>INV101037</t>
  </si>
  <si>
    <t>21:27</t>
  </si>
  <si>
    <t>INV101038</t>
  </si>
  <si>
    <t>INV101039</t>
  </si>
  <si>
    <t>12:54</t>
  </si>
  <si>
    <t>INV101040</t>
  </si>
  <si>
    <t>INV101041</t>
  </si>
  <si>
    <t>17:32</t>
  </si>
  <si>
    <t>INV101042</t>
  </si>
  <si>
    <t>CUST0444</t>
  </si>
  <si>
    <t>INV101043</t>
  </si>
  <si>
    <t>CUST0349</t>
  </si>
  <si>
    <t>INV101044</t>
  </si>
  <si>
    <t>INV101045</t>
  </si>
  <si>
    <t>INV101046</t>
  </si>
  <si>
    <t>CUST0754</t>
  </si>
  <si>
    <t>INV101047</t>
  </si>
  <si>
    <t>INV101048</t>
  </si>
  <si>
    <t>INV101049</t>
  </si>
  <si>
    <t>CUST0489</t>
  </si>
  <si>
    <t>INV101050</t>
  </si>
  <si>
    <t>INV101051</t>
  </si>
  <si>
    <t>INV101052</t>
  </si>
  <si>
    <t>15:19</t>
  </si>
  <si>
    <t>INV101053</t>
  </si>
  <si>
    <t>INV101054</t>
  </si>
  <si>
    <t>CUST0634</t>
  </si>
  <si>
    <t>PRD0194</t>
  </si>
  <si>
    <t>INV101055</t>
  </si>
  <si>
    <t>INV101056</t>
  </si>
  <si>
    <t>INV101057</t>
  </si>
  <si>
    <t>INV101058</t>
  </si>
  <si>
    <t>INV101059</t>
  </si>
  <si>
    <t>CUST0604</t>
  </si>
  <si>
    <t>INV101060</t>
  </si>
  <si>
    <t>PRD0222</t>
  </si>
  <si>
    <t>INV101061</t>
  </si>
  <si>
    <t>CUST0545</t>
  </si>
  <si>
    <t>INV101062</t>
  </si>
  <si>
    <t>INV101063</t>
  </si>
  <si>
    <t>13:50</t>
  </si>
  <si>
    <t>INV101064</t>
  </si>
  <si>
    <t>CUST0381</t>
  </si>
  <si>
    <t>INV101065</t>
  </si>
  <si>
    <t>INV101066</t>
  </si>
  <si>
    <t>INV101067</t>
  </si>
  <si>
    <t>18:29</t>
  </si>
  <si>
    <t>INV101068</t>
  </si>
  <si>
    <t>INV101069</t>
  </si>
  <si>
    <t>INV101070</t>
  </si>
  <si>
    <t>INV101071</t>
  </si>
  <si>
    <t>INV101072</t>
  </si>
  <si>
    <t>CUST0623</t>
  </si>
  <si>
    <t>INV101073</t>
  </si>
  <si>
    <t>INV101074</t>
  </si>
  <si>
    <t>INV101075</t>
  </si>
  <si>
    <t>CUST0421</t>
  </si>
  <si>
    <t>INV101076</t>
  </si>
  <si>
    <t>INV101077</t>
  </si>
  <si>
    <t>CUST0011</t>
  </si>
  <si>
    <t>INV101078</t>
  </si>
  <si>
    <t>INV101079</t>
  </si>
  <si>
    <t>INV101080</t>
  </si>
  <si>
    <t>INV101081</t>
  </si>
  <si>
    <t>INV101082</t>
  </si>
  <si>
    <t>CUST0399</t>
  </si>
  <si>
    <t>INV101083</t>
  </si>
  <si>
    <t>CUST0116</t>
  </si>
  <si>
    <t>INV101084</t>
  </si>
  <si>
    <t>CUST0656</t>
  </si>
  <si>
    <t>INV101085</t>
  </si>
  <si>
    <t>CUST0607</t>
  </si>
  <si>
    <t>INV101086</t>
  </si>
  <si>
    <t>CUST0330</t>
  </si>
  <si>
    <t>14:26</t>
  </si>
  <si>
    <t>INV101087</t>
  </si>
  <si>
    <t>CUST0625</t>
  </si>
  <si>
    <t>INV101088</t>
  </si>
  <si>
    <t>CUST0687</t>
  </si>
  <si>
    <t>INV101089</t>
  </si>
  <si>
    <t>CUST0797</t>
  </si>
  <si>
    <t>INV101090</t>
  </si>
  <si>
    <t>INV101091</t>
  </si>
  <si>
    <t>CUST0616</t>
  </si>
  <si>
    <t>INV101092</t>
  </si>
  <si>
    <t>INV101093</t>
  </si>
  <si>
    <t>INV101094</t>
  </si>
  <si>
    <t>INV101095</t>
  </si>
  <si>
    <t>CUST0419</t>
  </si>
  <si>
    <t>INV101096</t>
  </si>
  <si>
    <t>INV101097</t>
  </si>
  <si>
    <t>INV101098</t>
  </si>
  <si>
    <t>INV101099</t>
  </si>
  <si>
    <t>INV101100</t>
  </si>
  <si>
    <t>CUST0804</t>
  </si>
  <si>
    <t>INV101101</t>
  </si>
  <si>
    <t>CUST0536</t>
  </si>
  <si>
    <t>INV101102</t>
  </si>
  <si>
    <t>INV101103</t>
  </si>
  <si>
    <t>INV101104</t>
  </si>
  <si>
    <t>14:55</t>
  </si>
  <si>
    <t>INV101105</t>
  </si>
  <si>
    <t>CUST0412</t>
  </si>
  <si>
    <t>INV101106</t>
  </si>
  <si>
    <t>INV101107</t>
  </si>
  <si>
    <t>INV101108</t>
  </si>
  <si>
    <t>CUST0395</t>
  </si>
  <si>
    <t>INV101109</t>
  </si>
  <si>
    <t>INV101110</t>
  </si>
  <si>
    <t>INV101111</t>
  </si>
  <si>
    <t>INV101112</t>
  </si>
  <si>
    <t>INV101113</t>
  </si>
  <si>
    <t>INV101114</t>
  </si>
  <si>
    <t>INV101115</t>
  </si>
  <si>
    <t>CUST0369</t>
  </si>
  <si>
    <t>INV101116</t>
  </si>
  <si>
    <t>10:44</t>
  </si>
  <si>
    <t>INV101117</t>
  </si>
  <si>
    <t>CUST0802</t>
  </si>
  <si>
    <t>INV101118</t>
  </si>
  <si>
    <t>12:36</t>
  </si>
  <si>
    <t>INV101119</t>
  </si>
  <si>
    <t>CUST0355</t>
  </si>
  <si>
    <t>INV101120</t>
  </si>
  <si>
    <t>INV101121</t>
  </si>
  <si>
    <t>INV101122</t>
  </si>
  <si>
    <t>INV101123</t>
  </si>
  <si>
    <t>CUST0023</t>
  </si>
  <si>
    <t>INV101124</t>
  </si>
  <si>
    <t>PRD0077</t>
  </si>
  <si>
    <t>INV101125</t>
  </si>
  <si>
    <t>CUST0346</t>
  </si>
  <si>
    <t>INV101126</t>
  </si>
  <si>
    <t>INV101127</t>
  </si>
  <si>
    <t>CUST0168</t>
  </si>
  <si>
    <t>INV101128</t>
  </si>
  <si>
    <t>INV101129</t>
  </si>
  <si>
    <t>INV101130</t>
  </si>
  <si>
    <t>INV101131</t>
  </si>
  <si>
    <t>INV101132</t>
  </si>
  <si>
    <t>INV101133</t>
  </si>
  <si>
    <t>INV101134</t>
  </si>
  <si>
    <t>INV101135</t>
  </si>
  <si>
    <t>13:07</t>
  </si>
  <si>
    <t>INV101136</t>
  </si>
  <si>
    <t>INV101137</t>
  </si>
  <si>
    <t>CUST0076</t>
  </si>
  <si>
    <t>INV101138</t>
  </si>
  <si>
    <t>INV101139</t>
  </si>
  <si>
    <t>CUST0302</t>
  </si>
  <si>
    <t>INV101140</t>
  </si>
  <si>
    <t>INV101141</t>
  </si>
  <si>
    <t>INV101142</t>
  </si>
  <si>
    <t>INV101143</t>
  </si>
  <si>
    <t>INV101144</t>
  </si>
  <si>
    <t>17:10</t>
  </si>
  <si>
    <t>INV101145</t>
  </si>
  <si>
    <t>INV101146</t>
  </si>
  <si>
    <t>INV101147</t>
  </si>
  <si>
    <t>CUST0150</t>
  </si>
  <si>
    <t>INV101148</t>
  </si>
  <si>
    <t>17:18</t>
  </si>
  <si>
    <t>INV101149</t>
  </si>
  <si>
    <t>INV101150</t>
  </si>
  <si>
    <t>CUST0657</t>
  </si>
  <si>
    <t>INV101151</t>
  </si>
  <si>
    <t>CUST0766</t>
  </si>
  <si>
    <t>INV101152</t>
  </si>
  <si>
    <t>INV101153</t>
  </si>
  <si>
    <t>INV101154</t>
  </si>
  <si>
    <t>19:09</t>
  </si>
  <si>
    <t>INV101155</t>
  </si>
  <si>
    <t>CUST0051</t>
  </si>
  <si>
    <t>INV101156</t>
  </si>
  <si>
    <t>21:41</t>
  </si>
  <si>
    <t>INV101157</t>
  </si>
  <si>
    <t>13:15</t>
  </si>
  <si>
    <t>INV101158</t>
  </si>
  <si>
    <t>CUST0845</t>
  </si>
  <si>
    <t>INV101159</t>
  </si>
  <si>
    <t>11:43</t>
  </si>
  <si>
    <t>INV101160</t>
  </si>
  <si>
    <t>INV101161</t>
  </si>
  <si>
    <t>INV101162</t>
  </si>
  <si>
    <t>CUST0688</t>
  </si>
  <si>
    <t>INV101163</t>
  </si>
  <si>
    <t>CUST0105</t>
  </si>
  <si>
    <t>INV101164</t>
  </si>
  <si>
    <t>INV101165</t>
  </si>
  <si>
    <t>CUST0061</t>
  </si>
  <si>
    <t>INV101166</t>
  </si>
  <si>
    <t>19:13</t>
  </si>
  <si>
    <t>INV101167</t>
  </si>
  <si>
    <t>CUST0557</t>
  </si>
  <si>
    <t>20:17</t>
  </si>
  <si>
    <t>INV101168</t>
  </si>
  <si>
    <t>INV101169</t>
  </si>
  <si>
    <t>CUST0239</t>
  </si>
  <si>
    <t>18:01</t>
  </si>
  <si>
    <t>INV101170</t>
  </si>
  <si>
    <t>INV101171</t>
  </si>
  <si>
    <t>INV101172</t>
  </si>
  <si>
    <t>INV101173</t>
  </si>
  <si>
    <t>CUST0500</t>
  </si>
  <si>
    <t>INV101174</t>
  </si>
  <si>
    <t>INV101175</t>
  </si>
  <si>
    <t>INV101176</t>
  </si>
  <si>
    <t>CUST0163</t>
  </si>
  <si>
    <t>INV101177</t>
  </si>
  <si>
    <t>INV101178</t>
  </si>
  <si>
    <t>CUST0323</t>
  </si>
  <si>
    <t>INV101179</t>
  </si>
  <si>
    <t>CUST0324</t>
  </si>
  <si>
    <t>INV101180</t>
  </si>
  <si>
    <t>10:00</t>
  </si>
  <si>
    <t>INV101181</t>
  </si>
  <si>
    <t>INV101182</t>
  </si>
  <si>
    <t>CUST0138</t>
  </si>
  <si>
    <t>INV101183</t>
  </si>
  <si>
    <t>INV101184</t>
  </si>
  <si>
    <t>INV101185</t>
  </si>
  <si>
    <t>CUST0125</t>
  </si>
  <si>
    <t>INV101186</t>
  </si>
  <si>
    <t>INV101187</t>
  </si>
  <si>
    <t>14:58</t>
  </si>
  <si>
    <t>INV101188</t>
  </si>
  <si>
    <t>12:41</t>
  </si>
  <si>
    <t>INV101189</t>
  </si>
  <si>
    <t>INV101190</t>
  </si>
  <si>
    <t>INV101191</t>
  </si>
  <si>
    <t>INV101192</t>
  </si>
  <si>
    <t>INV101193</t>
  </si>
  <si>
    <t>INV101194</t>
  </si>
  <si>
    <t>CUST0088</t>
  </si>
  <si>
    <t>INV101195</t>
  </si>
  <si>
    <t>PRD0240</t>
  </si>
  <si>
    <t>INV101196</t>
  </si>
  <si>
    <t>INV101197</t>
  </si>
  <si>
    <t>INV101198</t>
  </si>
  <si>
    <t>INV101199</t>
  </si>
  <si>
    <t>17:51</t>
  </si>
  <si>
    <t>INV101200</t>
  </si>
  <si>
    <t>INV101201</t>
  </si>
  <si>
    <t>INV101202</t>
  </si>
  <si>
    <t>INV101203</t>
  </si>
  <si>
    <t>INV101204</t>
  </si>
  <si>
    <t>INV101205</t>
  </si>
  <si>
    <t>CUST0055</t>
  </si>
  <si>
    <t>11:29</t>
  </si>
  <si>
    <t>INV101206</t>
  </si>
  <si>
    <t>INV101207</t>
  </si>
  <si>
    <t>INV101208</t>
  </si>
  <si>
    <t>CUST0054</t>
  </si>
  <si>
    <t>INV101209</t>
  </si>
  <si>
    <t>INV101210</t>
  </si>
  <si>
    <t>INV101211</t>
  </si>
  <si>
    <t>PRD0166</t>
  </si>
  <si>
    <t>INV101212</t>
  </si>
  <si>
    <t>INV101213</t>
  </si>
  <si>
    <t>INV101214</t>
  </si>
  <si>
    <t>INV101215</t>
  </si>
  <si>
    <t>INV101216</t>
  </si>
  <si>
    <t>INV101217</t>
  </si>
  <si>
    <t>INV101218</t>
  </si>
  <si>
    <t>CUST0779</t>
  </si>
  <si>
    <t>INV101219</t>
  </si>
  <si>
    <t>16:54</t>
  </si>
  <si>
    <t>INV101220</t>
  </si>
  <si>
    <t>INV101221</t>
  </si>
  <si>
    <t>INV101222</t>
  </si>
  <si>
    <t>17:09</t>
  </si>
  <si>
    <t>INV101223</t>
  </si>
  <si>
    <t>CUST0755</t>
  </si>
  <si>
    <t>INV101224</t>
  </si>
  <si>
    <t>INV101225</t>
  </si>
  <si>
    <t>INV101226</t>
  </si>
  <si>
    <t>14:50</t>
  </si>
  <si>
    <t>INV101227</t>
  </si>
  <si>
    <t>INV101228</t>
  </si>
  <si>
    <t>11:54</t>
  </si>
  <si>
    <t>INV101229</t>
  </si>
  <si>
    <t>INV101230</t>
  </si>
  <si>
    <t>CUST0555</t>
  </si>
  <si>
    <t>16:32</t>
  </si>
  <si>
    <t>INV101231</t>
  </si>
  <si>
    <t>CUST0283</t>
  </si>
  <si>
    <t>13:52</t>
  </si>
  <si>
    <t>INV101232</t>
  </si>
  <si>
    <t>CUST0205</t>
  </si>
  <si>
    <t>INV101233</t>
  </si>
  <si>
    <t>10:45</t>
  </si>
  <si>
    <t>INV101234</t>
  </si>
  <si>
    <t>INV101235</t>
  </si>
  <si>
    <t>INV101236</t>
  </si>
  <si>
    <t>CUST0336</t>
  </si>
  <si>
    <t>INV101237</t>
  </si>
  <si>
    <t>10:07</t>
  </si>
  <si>
    <t>INV101238</t>
  </si>
  <si>
    <t>11:32</t>
  </si>
  <si>
    <t>INV101239</t>
  </si>
  <si>
    <t>INV101240</t>
  </si>
  <si>
    <t>INV101241</t>
  </si>
  <si>
    <t>CUST0385</t>
  </si>
  <si>
    <t>INV101242</t>
  </si>
  <si>
    <t>CUST0834</t>
  </si>
  <si>
    <t>INV101243</t>
  </si>
  <si>
    <t>CUST0611</t>
  </si>
  <si>
    <t>INV101244</t>
  </si>
  <si>
    <t>CUST0459</t>
  </si>
  <si>
    <t>INV101245</t>
  </si>
  <si>
    <t>10:49</t>
  </si>
  <si>
    <t>INV101246</t>
  </si>
  <si>
    <t>INV101247</t>
  </si>
  <si>
    <t>CUST0199</t>
  </si>
  <si>
    <t>19:51</t>
  </si>
  <si>
    <t>INV101248</t>
  </si>
  <si>
    <t>CUST0478</t>
  </si>
  <si>
    <t>20:53</t>
  </si>
  <si>
    <t>INV101249</t>
  </si>
  <si>
    <t>CUST0179</t>
  </si>
  <si>
    <t>INV101250</t>
  </si>
  <si>
    <t>CUST0603</t>
  </si>
  <si>
    <t>INV101251</t>
  </si>
  <si>
    <t>INV101252</t>
  </si>
  <si>
    <t>15:34</t>
  </si>
  <si>
    <t>INV101253</t>
  </si>
  <si>
    <t>INV101254</t>
  </si>
  <si>
    <t>INV101255</t>
  </si>
  <si>
    <t>CUST0541</t>
  </si>
  <si>
    <t>INV101256</t>
  </si>
  <si>
    <t>INV101257</t>
  </si>
  <si>
    <t>INV101258</t>
  </si>
  <si>
    <t>INV101259</t>
  </si>
  <si>
    <t>INV101260</t>
  </si>
  <si>
    <t>INV101261</t>
  </si>
  <si>
    <t>INV101262</t>
  </si>
  <si>
    <t>INV101263</t>
  </si>
  <si>
    <t>CUST0600</t>
  </si>
  <si>
    <t>16:22</t>
  </si>
  <si>
    <t>INV101264</t>
  </si>
  <si>
    <t>17:46</t>
  </si>
  <si>
    <t>INV101265</t>
  </si>
  <si>
    <t>INV101266</t>
  </si>
  <si>
    <t>INV101267</t>
  </si>
  <si>
    <t>PRD0107</t>
  </si>
  <si>
    <t>INV101268</t>
  </si>
  <si>
    <t>10:10</t>
  </si>
  <si>
    <t>INV101269</t>
  </si>
  <si>
    <t>INV101270</t>
  </si>
  <si>
    <t>CUST0543</t>
  </si>
  <si>
    <t>21:14</t>
  </si>
  <si>
    <t>INV101271</t>
  </si>
  <si>
    <t>INV101272</t>
  </si>
  <si>
    <t>INV101273</t>
  </si>
  <si>
    <t>INV101274</t>
  </si>
  <si>
    <t>CUST0068</t>
  </si>
  <si>
    <t>INV101275</t>
  </si>
  <si>
    <t>CUST0002</t>
  </si>
  <si>
    <t>20:22</t>
  </si>
  <si>
    <t>INV101276</t>
  </si>
  <si>
    <t>INV101277</t>
  </si>
  <si>
    <t>11:09</t>
  </si>
  <si>
    <t>INV101278</t>
  </si>
  <si>
    <t>PRD0162</t>
  </si>
  <si>
    <t>INV101279</t>
  </si>
  <si>
    <t>INV101280</t>
  </si>
  <si>
    <t>CUST0438</t>
  </si>
  <si>
    <t>INV101281</t>
  </si>
  <si>
    <t>INV101282</t>
  </si>
  <si>
    <t>INV101283</t>
  </si>
  <si>
    <t>INV101284</t>
  </si>
  <si>
    <t>20:03</t>
  </si>
  <si>
    <t>INV101285</t>
  </si>
  <si>
    <t>INV101286</t>
  </si>
  <si>
    <t>CUST0805</t>
  </si>
  <si>
    <t>INV101287</t>
  </si>
  <si>
    <t>CUST0510</t>
  </si>
  <si>
    <t>INV101288</t>
  </si>
  <si>
    <t>INV101289</t>
  </si>
  <si>
    <t>20:04</t>
  </si>
  <si>
    <t>INV101290</t>
  </si>
  <si>
    <t>11:50</t>
  </si>
  <si>
    <t>INV101291</t>
  </si>
  <si>
    <t>INV101292</t>
  </si>
  <si>
    <t>INV101293</t>
  </si>
  <si>
    <t>10:27</t>
  </si>
  <si>
    <t>INV101294</t>
  </si>
  <si>
    <t>INV101295</t>
  </si>
  <si>
    <t>16:09</t>
  </si>
  <si>
    <t>INV101296</t>
  </si>
  <si>
    <t>INV101297</t>
  </si>
  <si>
    <t>19:24</t>
  </si>
  <si>
    <t>INV101298</t>
  </si>
  <si>
    <t>INV101299</t>
  </si>
  <si>
    <t>INV101300</t>
  </si>
  <si>
    <t>CUST0799</t>
  </si>
  <si>
    <t>INV101301</t>
  </si>
  <si>
    <t>INV101302</t>
  </si>
  <si>
    <t>INV101303</t>
  </si>
  <si>
    <t>CUST0816</t>
  </si>
  <si>
    <t>INV101304</t>
  </si>
  <si>
    <t>INV101305</t>
  </si>
  <si>
    <t>INV101306</t>
  </si>
  <si>
    <t>INV101307</t>
  </si>
  <si>
    <t>17:45</t>
  </si>
  <si>
    <t>INV101308</t>
  </si>
  <si>
    <t>INV101309</t>
  </si>
  <si>
    <t>CUST0430</t>
  </si>
  <si>
    <t>INV101310</t>
  </si>
  <si>
    <t>INV101311</t>
  </si>
  <si>
    <t>CUST0760</t>
  </si>
  <si>
    <t>INV101312</t>
  </si>
  <si>
    <t>CUST0689</t>
  </si>
  <si>
    <t>INV101313</t>
  </si>
  <si>
    <t>12:06</t>
  </si>
  <si>
    <t>INV101314</t>
  </si>
  <si>
    <t>INV101315</t>
  </si>
  <si>
    <t>INV101316</t>
  </si>
  <si>
    <t>INV101317</t>
  </si>
  <si>
    <t>CUST0085</t>
  </si>
  <si>
    <t>INV101318</t>
  </si>
  <si>
    <t>INV101319</t>
  </si>
  <si>
    <t>INV101320</t>
  </si>
  <si>
    <t>INV101321</t>
  </si>
  <si>
    <t>17:04</t>
  </si>
  <si>
    <t>INV101322</t>
  </si>
  <si>
    <t>INV101323</t>
  </si>
  <si>
    <t>CUST0314</t>
  </si>
  <si>
    <t>20:00</t>
  </si>
  <si>
    <t>INV101324</t>
  </si>
  <si>
    <t>18:39</t>
  </si>
  <si>
    <t>INV101325</t>
  </si>
  <si>
    <t>CUST0527</t>
  </si>
  <si>
    <t>INV101326</t>
  </si>
  <si>
    <t>CUST0524</t>
  </si>
  <si>
    <t>INV101327</t>
  </si>
  <si>
    <t>INV101328</t>
  </si>
  <si>
    <t>INV101329</t>
  </si>
  <si>
    <t>INV101330</t>
  </si>
  <si>
    <t>INV101331</t>
  </si>
  <si>
    <t>CUST0224</t>
  </si>
  <si>
    <t>PRD0209</t>
  </si>
  <si>
    <t>INV101332</t>
  </si>
  <si>
    <t>CUST0846</t>
  </si>
  <si>
    <t>13:34</t>
  </si>
  <si>
    <t>INV101333</t>
  </si>
  <si>
    <t>CUST0580</t>
  </si>
  <si>
    <t>INV101334</t>
  </si>
  <si>
    <t>INV101335</t>
  </si>
  <si>
    <t>INV101336</t>
  </si>
  <si>
    <t>INV101337</t>
  </si>
  <si>
    <t>INV101338</t>
  </si>
  <si>
    <t>INV101339</t>
  </si>
  <si>
    <t>INV101340</t>
  </si>
  <si>
    <t>CUST0219</t>
  </si>
  <si>
    <t>INV101341</t>
  </si>
  <si>
    <t>INV101342</t>
  </si>
  <si>
    <t>CUST0201</t>
  </si>
  <si>
    <t>12:00</t>
  </si>
  <si>
    <t>INV101343</t>
  </si>
  <si>
    <t>INV101344</t>
  </si>
  <si>
    <t>INV101345</t>
  </si>
  <si>
    <t>INV101346</t>
  </si>
  <si>
    <t>INV101347</t>
  </si>
  <si>
    <t>INV101348</t>
  </si>
  <si>
    <t>INV101349</t>
  </si>
  <si>
    <t>CUST0646</t>
  </si>
  <si>
    <t>INV101350</t>
  </si>
  <si>
    <t>CUST0292</t>
  </si>
  <si>
    <t>10:35</t>
  </si>
  <si>
    <t>INV101351</t>
  </si>
  <si>
    <t>12:32</t>
  </si>
  <si>
    <t>INV101352</t>
  </si>
  <si>
    <t>20:55</t>
  </si>
  <si>
    <t>INV101353</t>
  </si>
  <si>
    <t>10:54</t>
  </si>
  <si>
    <t>INV101354</t>
  </si>
  <si>
    <t>INV101355</t>
  </si>
  <si>
    <t>INV101356</t>
  </si>
  <si>
    <t>CUST0317</t>
  </si>
  <si>
    <t>INV101357</t>
  </si>
  <si>
    <t>INV101358</t>
  </si>
  <si>
    <t>10:57</t>
  </si>
  <si>
    <t>INV101359</t>
  </si>
  <si>
    <t>INV101360</t>
  </si>
  <si>
    <t>INV101361</t>
  </si>
  <si>
    <t>INV101362</t>
  </si>
  <si>
    <t>INV101363</t>
  </si>
  <si>
    <t>18:56</t>
  </si>
  <si>
    <t>INV101364</t>
  </si>
  <si>
    <t>CUST0486</t>
  </si>
  <si>
    <t>INV101365</t>
  </si>
  <si>
    <t>INV101366</t>
  </si>
  <si>
    <t>INV101367</t>
  </si>
  <si>
    <t>INV101368</t>
  </si>
  <si>
    <t>15:57</t>
  </si>
  <si>
    <t>INV101369</t>
  </si>
  <si>
    <t>CUST0180</t>
  </si>
  <si>
    <t>INV101370</t>
  </si>
  <si>
    <t>INV101371</t>
  </si>
  <si>
    <t>CUST0617</t>
  </si>
  <si>
    <t>INV101372</t>
  </si>
  <si>
    <t>INV101373</t>
  </si>
  <si>
    <t>INV101374</t>
  </si>
  <si>
    <t>INV101375</t>
  </si>
  <si>
    <t>INV101376</t>
  </si>
  <si>
    <t>INV101377</t>
  </si>
  <si>
    <t>INV101378</t>
  </si>
  <si>
    <t>CUST0348</t>
  </si>
  <si>
    <t>INV101379</t>
  </si>
  <si>
    <t>INV101380</t>
  </si>
  <si>
    <t>INV101381</t>
  </si>
  <si>
    <t>CUST0448</t>
  </si>
  <si>
    <t>INV101382</t>
  </si>
  <si>
    <t>INV101383</t>
  </si>
  <si>
    <t>20:58</t>
  </si>
  <si>
    <t>INV101384</t>
  </si>
  <si>
    <t>INV101385</t>
  </si>
  <si>
    <t>INV101386</t>
  </si>
  <si>
    <t>CUST0708</t>
  </si>
  <si>
    <t>INV101387</t>
  </si>
  <si>
    <t>CUST0538</t>
  </si>
  <si>
    <t>INV101388</t>
  </si>
  <si>
    <t>INV101389</t>
  </si>
  <si>
    <t>CUST0247</t>
  </si>
  <si>
    <t>INV101390</t>
  </si>
  <si>
    <t>INV101391</t>
  </si>
  <si>
    <t>INV101392</t>
  </si>
  <si>
    <t>INV101393</t>
  </si>
  <si>
    <t>21:33</t>
  </si>
  <si>
    <t>INV101394</t>
  </si>
  <si>
    <t>INV101395</t>
  </si>
  <si>
    <t>INV101396</t>
  </si>
  <si>
    <t>10:29</t>
  </si>
  <si>
    <t>INV101397</t>
  </si>
  <si>
    <t>CUST0391</t>
  </si>
  <si>
    <t>INV101398</t>
  </si>
  <si>
    <t>INV101399</t>
  </si>
  <si>
    <t>INV101400</t>
  </si>
  <si>
    <t>INV101401</t>
  </si>
  <si>
    <t>CUST0529</t>
  </si>
  <si>
    <t>INV101402</t>
  </si>
  <si>
    <t>INV101403</t>
  </si>
  <si>
    <t>INV101404</t>
  </si>
  <si>
    <t>INV101405</t>
  </si>
  <si>
    <t>CUST0668</t>
  </si>
  <si>
    <t>INV101406</t>
  </si>
  <si>
    <t>INV101407</t>
  </si>
  <si>
    <t>INV101408</t>
  </si>
  <si>
    <t>INV101409</t>
  </si>
  <si>
    <t>INV101410</t>
  </si>
  <si>
    <t>INV101411</t>
  </si>
  <si>
    <t>INV101412</t>
  </si>
  <si>
    <t>CUST0112</t>
  </si>
  <si>
    <t>10:14</t>
  </si>
  <si>
    <t>INV101413</t>
  </si>
  <si>
    <t>21:48</t>
  </si>
  <si>
    <t>INV101414</t>
  </si>
  <si>
    <t>CUST0509</t>
  </si>
  <si>
    <t>INV101415</t>
  </si>
  <si>
    <t>CUST0026</t>
  </si>
  <si>
    <t>14:38</t>
  </si>
  <si>
    <t>INV101416</t>
  </si>
  <si>
    <t>INV101417</t>
  </si>
  <si>
    <t>INV101418</t>
  </si>
  <si>
    <t>15:55</t>
  </si>
  <si>
    <t>INV101419</t>
  </si>
  <si>
    <t>10:50</t>
  </si>
  <si>
    <t>INV101420</t>
  </si>
  <si>
    <t>INV101421</t>
  </si>
  <si>
    <t>18:41</t>
  </si>
  <si>
    <t>INV101422</t>
  </si>
  <si>
    <t>INV101423</t>
  </si>
  <si>
    <t>INV101424</t>
  </si>
  <si>
    <t>INV101425</t>
  </si>
  <si>
    <t>CUST0387</t>
  </si>
  <si>
    <t>INV101426</t>
  </si>
  <si>
    <t>INV101427</t>
  </si>
  <si>
    <t>INV101428</t>
  </si>
  <si>
    <t>INV101429</t>
  </si>
  <si>
    <t>CUST0787</t>
  </si>
  <si>
    <t>18:18</t>
  </si>
  <si>
    <t>INV101430</t>
  </si>
  <si>
    <t>CUST0005</t>
  </si>
  <si>
    <t>INV101431</t>
  </si>
  <si>
    <t>INV101432</t>
  </si>
  <si>
    <t>INV101433</t>
  </si>
  <si>
    <t>CUST0549</t>
  </si>
  <si>
    <t>INV101434</t>
  </si>
  <si>
    <t>INV101435</t>
  </si>
  <si>
    <t>INV101436</t>
  </si>
  <si>
    <t>CUST0104</t>
  </si>
  <si>
    <t>INV101437</t>
  </si>
  <si>
    <t>INV101438</t>
  </si>
  <si>
    <t>INV101439</t>
  </si>
  <si>
    <t>CUST0667</t>
  </si>
  <si>
    <t>INV101440</t>
  </si>
  <si>
    <t>18:05</t>
  </si>
  <si>
    <t>INV101441</t>
  </si>
  <si>
    <t>CUST0198</t>
  </si>
  <si>
    <t>INV101442</t>
  </si>
  <si>
    <t>INV101443</t>
  </si>
  <si>
    <t>10:38</t>
  </si>
  <si>
    <t>INV101444</t>
  </si>
  <si>
    <t>13:14</t>
  </si>
  <si>
    <t>INV101445</t>
  </si>
  <si>
    <t>INV101446</t>
  </si>
  <si>
    <t>CUST0311</t>
  </si>
  <si>
    <t>INV101447</t>
  </si>
  <si>
    <t>INV101448</t>
  </si>
  <si>
    <t>CUST0471</t>
  </si>
  <si>
    <t>INV101449</t>
  </si>
  <si>
    <t>INV101450</t>
  </si>
  <si>
    <t>INV101451</t>
  </si>
  <si>
    <t>INV101452</t>
  </si>
  <si>
    <t>INV101453</t>
  </si>
  <si>
    <t>CUST0551</t>
  </si>
  <si>
    <t>INV101454</t>
  </si>
  <si>
    <t>INV101455</t>
  </si>
  <si>
    <t>INV101456</t>
  </si>
  <si>
    <t>INV101457</t>
  </si>
  <si>
    <t>CUST0401</t>
  </si>
  <si>
    <t>INV101458</t>
  </si>
  <si>
    <t>INV101459</t>
  </si>
  <si>
    <t>INV101460</t>
  </si>
  <si>
    <t>19:01</t>
  </si>
  <si>
    <t>INV101461</t>
  </si>
  <si>
    <t>INV101462</t>
  </si>
  <si>
    <t>CUST0192</t>
  </si>
  <si>
    <t>INV101463</t>
  </si>
  <si>
    <t>INV101464</t>
  </si>
  <si>
    <t>INV101465</t>
  </si>
  <si>
    <t>INV101466</t>
  </si>
  <si>
    <t>INV101467</t>
  </si>
  <si>
    <t>INV101468</t>
  </si>
  <si>
    <t>INV101469</t>
  </si>
  <si>
    <t>INV101470</t>
  </si>
  <si>
    <t>INV101471</t>
  </si>
  <si>
    <t>INV101472</t>
  </si>
  <si>
    <t>INV101473</t>
  </si>
  <si>
    <t>INV101474</t>
  </si>
  <si>
    <t>INV101475</t>
  </si>
  <si>
    <t>CUST0183</t>
  </si>
  <si>
    <t>19:29</t>
  </si>
  <si>
    <t>INV101476</t>
  </si>
  <si>
    <t>INV101477</t>
  </si>
  <si>
    <t>INV101478</t>
  </si>
  <si>
    <t>INV101479</t>
  </si>
  <si>
    <t>INV101480</t>
  </si>
  <si>
    <t>INV101481</t>
  </si>
  <si>
    <t>INV101482</t>
  </si>
  <si>
    <t>INV101483</t>
  </si>
  <si>
    <t>INV101484</t>
  </si>
  <si>
    <t>CUST0186</t>
  </si>
  <si>
    <t>INV101485</t>
  </si>
  <si>
    <t>CUST0339</t>
  </si>
  <si>
    <t>INV101486</t>
  </si>
  <si>
    <t>INV101487</t>
  </si>
  <si>
    <t>INV101488</t>
  </si>
  <si>
    <t>INV101489</t>
  </si>
  <si>
    <t>21:23</t>
  </si>
  <si>
    <t>INV101490</t>
  </si>
  <si>
    <t>INV101491</t>
  </si>
  <si>
    <t>INV101492</t>
  </si>
  <si>
    <t>INV101493</t>
  </si>
  <si>
    <t>INV101494</t>
  </si>
  <si>
    <t>INV101495</t>
  </si>
  <si>
    <t>INV101496</t>
  </si>
  <si>
    <t>INV101497</t>
  </si>
  <si>
    <t>INV101498</t>
  </si>
  <si>
    <t>INV101499</t>
  </si>
  <si>
    <t>INV101500</t>
  </si>
  <si>
    <t>INV101501</t>
  </si>
  <si>
    <t>INV101502</t>
  </si>
  <si>
    <t>INV101503</t>
  </si>
  <si>
    <t>INV101504</t>
  </si>
  <si>
    <t>INV101505</t>
  </si>
  <si>
    <t>INV101506</t>
  </si>
  <si>
    <t>INV101507</t>
  </si>
  <si>
    <t>INV101508</t>
  </si>
  <si>
    <t>CUST0377</t>
  </si>
  <si>
    <t>INV101509</t>
  </si>
  <si>
    <t>INV101510</t>
  </si>
  <si>
    <t>CUST0144</t>
  </si>
  <si>
    <t>INV101511</t>
  </si>
  <si>
    <t>15:15</t>
  </si>
  <si>
    <t>INV101512</t>
  </si>
  <si>
    <t>INV101513</t>
  </si>
  <si>
    <t>INV101514</t>
  </si>
  <si>
    <t>INV101515</t>
  </si>
  <si>
    <t>CUST0705</t>
  </si>
  <si>
    <t>INV101516</t>
  </si>
  <si>
    <t>INV101517</t>
  </si>
  <si>
    <t>INV101518</t>
  </si>
  <si>
    <t>INV101519</t>
  </si>
  <si>
    <t>CUST0632</t>
  </si>
  <si>
    <t>INV101520</t>
  </si>
  <si>
    <t>14:20</t>
  </si>
  <si>
    <t>INV101521</t>
  </si>
  <si>
    <t>CUST0737</t>
  </si>
  <si>
    <t>INV101522</t>
  </si>
  <si>
    <t>19:28</t>
  </si>
  <si>
    <t>INV101523</t>
  </si>
  <si>
    <t>INV101524</t>
  </si>
  <si>
    <t>11:02</t>
  </si>
  <si>
    <t>INV101525</t>
  </si>
  <si>
    <t>INV101526</t>
  </si>
  <si>
    <t>CUST0516</t>
  </si>
  <si>
    <t>INV101527</t>
  </si>
  <si>
    <t>INV101528</t>
  </si>
  <si>
    <t>CUST0576</t>
  </si>
  <si>
    <t>INV101529</t>
  </si>
  <si>
    <t>INV101530</t>
  </si>
  <si>
    <t>INV101531</t>
  </si>
  <si>
    <t>CUST0518</t>
  </si>
  <si>
    <t>21:18</t>
  </si>
  <si>
    <t>INV101532</t>
  </si>
  <si>
    <t>INV101533</t>
  </si>
  <si>
    <t>21:05</t>
  </si>
  <si>
    <t>INV101534</t>
  </si>
  <si>
    <t>INV101535</t>
  </si>
  <si>
    <t>CUST0037</t>
  </si>
  <si>
    <t>INV101536</t>
  </si>
  <si>
    <t>INV101537</t>
  </si>
  <si>
    <t>CUST0119</t>
  </si>
  <si>
    <t>INV101538</t>
  </si>
  <si>
    <t>INV101539</t>
  </si>
  <si>
    <t>INV101540</t>
  </si>
  <si>
    <t>INV101541</t>
  </si>
  <si>
    <t>CUST0197</t>
  </si>
  <si>
    <t>INV101542</t>
  </si>
  <si>
    <t>CUST0750</t>
  </si>
  <si>
    <t>INV101543</t>
  </si>
  <si>
    <t>19:10</t>
  </si>
  <si>
    <t>INV101544</t>
  </si>
  <si>
    <t>INV101545</t>
  </si>
  <si>
    <t>INV101546</t>
  </si>
  <si>
    <t>INV101547</t>
  </si>
  <si>
    <t>18:45</t>
  </si>
  <si>
    <t>INV101548</t>
  </si>
  <si>
    <t>CUST0018</t>
  </si>
  <si>
    <t>INV101549</t>
  </si>
  <si>
    <t>INV101550</t>
  </si>
  <si>
    <t>INV101551</t>
  </si>
  <si>
    <t>INV101552</t>
  </si>
  <si>
    <t>INV101553</t>
  </si>
  <si>
    <t>INV101554</t>
  </si>
  <si>
    <t>INV101555</t>
  </si>
  <si>
    <t>CUST0693</t>
  </si>
  <si>
    <t>INV101556</t>
  </si>
  <si>
    <t>INV101557</t>
  </si>
  <si>
    <t>INV101558</t>
  </si>
  <si>
    <t>INV101559</t>
  </si>
  <si>
    <t>INV101018-A</t>
  </si>
  <si>
    <t>INV101561</t>
  </si>
  <si>
    <t>INV101562</t>
  </si>
  <si>
    <t>INV101563</t>
  </si>
  <si>
    <t>INV101564</t>
  </si>
  <si>
    <t>CUST0217</t>
  </si>
  <si>
    <t>INV101565</t>
  </si>
  <si>
    <t>21:36</t>
  </si>
  <si>
    <t>INV101566</t>
  </si>
  <si>
    <t>INV101567</t>
  </si>
  <si>
    <t>INV101568</t>
  </si>
  <si>
    <t>INV101569</t>
  </si>
  <si>
    <t>INV101570</t>
  </si>
  <si>
    <t>CUST_UNKNOWN</t>
  </si>
  <si>
    <t>15:20</t>
  </si>
  <si>
    <t>INV101571</t>
  </si>
  <si>
    <t>INV101572</t>
  </si>
  <si>
    <t>INV101573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</si>
  <si>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</si>
  <si>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</si>
  <si>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</si>
  <si>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</si>
  <si>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</si>
  <si>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</si>
  <si>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</si>
  <si>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</si>
  <si>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CUST0378</t>
  </si>
  <si>
    <t>INV101582</t>
  </si>
  <si>
    <t>INV101583</t>
  </si>
  <si>
    <t>INV101584</t>
  </si>
  <si>
    <t>INV101585</t>
  </si>
  <si>
    <t>INV101586</t>
  </si>
  <si>
    <t>INV101587</t>
  </si>
  <si>
    <t>INV101588</t>
  </si>
  <si>
    <t>INV101589</t>
  </si>
  <si>
    <t>INV101590</t>
  </si>
  <si>
    <t>CUST0396</t>
  </si>
  <si>
    <t>INV101591</t>
  </si>
  <si>
    <t>INV101592</t>
  </si>
  <si>
    <t>INV101593</t>
  </si>
  <si>
    <t>INV101594</t>
  </si>
  <si>
    <t>INV101595</t>
  </si>
  <si>
    <t>CUST0227</t>
  </si>
  <si>
    <t>12:11</t>
  </si>
  <si>
    <t>INV101596</t>
  </si>
  <si>
    <t>INV101597</t>
  </si>
  <si>
    <t>INV101598</t>
  </si>
  <si>
    <t>CUST0522</t>
  </si>
  <si>
    <t>INV101599</t>
  </si>
  <si>
    <t>CUST0204</t>
  </si>
  <si>
    <t>INV101600</t>
  </si>
  <si>
    <t>INV101601</t>
  </si>
  <si>
    <t>14:27</t>
  </si>
  <si>
    <t>INV101602</t>
  </si>
  <si>
    <t>INV101603</t>
  </si>
  <si>
    <t>INV101604</t>
  </si>
  <si>
    <t>INV101605</t>
  </si>
  <si>
    <t>INV101606</t>
  </si>
  <si>
    <t>INV101607</t>
  </si>
  <si>
    <t>INV101608</t>
  </si>
  <si>
    <t>INV101609</t>
  </si>
  <si>
    <t>INV101610</t>
  </si>
  <si>
    <t>INV101611</t>
  </si>
  <si>
    <t>21:29</t>
  </si>
  <si>
    <t>INV101612</t>
  </si>
  <si>
    <t>15:44</t>
  </si>
  <si>
    <t>INV101613</t>
  </si>
  <si>
    <t>INV101614</t>
  </si>
  <si>
    <t>INV101615</t>
  </si>
  <si>
    <t>INV101616</t>
  </si>
  <si>
    <t>CUST0642</t>
  </si>
  <si>
    <t>INV101617</t>
  </si>
  <si>
    <t>INV101618</t>
  </si>
  <si>
    <t>INV101619</t>
  </si>
  <si>
    <t>INV101620</t>
  </si>
  <si>
    <t>INV101621</t>
  </si>
  <si>
    <t>INV101622</t>
  </si>
  <si>
    <t>CUST0240</t>
  </si>
  <si>
    <t>INV101623</t>
  </si>
  <si>
    <t>CUST0260</t>
  </si>
  <si>
    <t>INV101624</t>
  </si>
  <si>
    <t>INV101625</t>
  </si>
  <si>
    <t>INV101626</t>
  </si>
  <si>
    <t>INV101627</t>
  </si>
  <si>
    <t>11:03</t>
  </si>
  <si>
    <t>INV101628</t>
  </si>
  <si>
    <t>INV101629</t>
  </si>
  <si>
    <t>INV101630</t>
  </si>
  <si>
    <t>INV101631</t>
  </si>
  <si>
    <t>INV101632</t>
  </si>
  <si>
    <t>INV101633</t>
  </si>
  <si>
    <t>INV101634</t>
  </si>
  <si>
    <t>INV101635</t>
  </si>
  <si>
    <t>INV101636</t>
  </si>
  <si>
    <t>INV101637</t>
  </si>
  <si>
    <t>INV101638</t>
  </si>
  <si>
    <t>INV101639</t>
  </si>
  <si>
    <t>INV101640</t>
  </si>
  <si>
    <t>INV101641</t>
  </si>
  <si>
    <t>CUST0371</t>
  </si>
  <si>
    <t>INV101642</t>
  </si>
  <si>
    <t>INV101643</t>
  </si>
  <si>
    <t>INV101644</t>
  </si>
  <si>
    <t>CUST0521</t>
  </si>
  <si>
    <t>INV101645</t>
  </si>
  <si>
    <t>INV101646</t>
  </si>
  <si>
    <t>INV101647</t>
  </si>
  <si>
    <t>INV101648</t>
  </si>
  <si>
    <t>INV101649</t>
  </si>
  <si>
    <t>INV101650</t>
  </si>
  <si>
    <t>CUST0826</t>
  </si>
  <si>
    <t>INV101651</t>
  </si>
  <si>
    <t>INV101652</t>
  </si>
  <si>
    <t>INV101653</t>
  </si>
  <si>
    <t>INV101654</t>
  </si>
  <si>
    <t>INV100944-A</t>
  </si>
  <si>
    <t>CUST0824</t>
  </si>
  <si>
    <t>INV101656</t>
  </si>
  <si>
    <t>CUST0441</t>
  </si>
  <si>
    <t>INV101657</t>
  </si>
  <si>
    <t>INV101658</t>
  </si>
  <si>
    <t>17:26</t>
  </si>
  <si>
    <t>INV101659</t>
  </si>
  <si>
    <t>INV101660</t>
  </si>
  <si>
    <t>INV101661</t>
  </si>
  <si>
    <t>CUST0420</t>
  </si>
  <si>
    <t>INV101662</t>
  </si>
  <si>
    <t>INV101663</t>
  </si>
  <si>
    <t>INV101664</t>
  </si>
  <si>
    <t>INV101665</t>
  </si>
  <si>
    <t>13:23</t>
  </si>
  <si>
    <t>INV101666</t>
  </si>
  <si>
    <t>INV101667</t>
  </si>
  <si>
    <t>INV101668</t>
  </si>
  <si>
    <t>CUST0147</t>
  </si>
  <si>
    <t>11:19</t>
  </si>
  <si>
    <t>INV101669</t>
  </si>
  <si>
    <t>INV101670</t>
  </si>
  <si>
    <t>INV101671</t>
  </si>
  <si>
    <t>14:42</t>
  </si>
  <si>
    <t>INV101672</t>
  </si>
  <si>
    <t>INV101673</t>
  </si>
  <si>
    <t>INV101674</t>
  </si>
  <si>
    <t>CUST0473</t>
  </si>
  <si>
    <t>INV101675</t>
  </si>
  <si>
    <t>INV101676</t>
  </si>
  <si>
    <t>INV101677</t>
  </si>
  <si>
    <t>INV101678</t>
  </si>
  <si>
    <t>INV101679</t>
  </si>
  <si>
    <t>INV101680</t>
  </si>
  <si>
    <t>14:35</t>
  </si>
  <si>
    <t>INV101681</t>
  </si>
  <si>
    <t>INV101682</t>
  </si>
  <si>
    <t>INV101683</t>
  </si>
  <si>
    <t>CUST0177</t>
  </si>
  <si>
    <t>INV101684</t>
  </si>
  <si>
    <t>INV101685</t>
  </si>
  <si>
    <t>CUST0220</t>
  </si>
  <si>
    <t>INV101686</t>
  </si>
  <si>
    <t>INV101687</t>
  </si>
  <si>
    <t>INV101688</t>
  </si>
  <si>
    <t>INV101689</t>
  </si>
  <si>
    <t>INV101690</t>
  </si>
  <si>
    <t>INV101691</t>
  </si>
  <si>
    <t>INV101692</t>
  </si>
  <si>
    <t>INV101693</t>
  </si>
  <si>
    <t>CUST0379</t>
  </si>
  <si>
    <t>INV101694</t>
  </si>
  <si>
    <t>INV101695</t>
  </si>
  <si>
    <t>INV101696</t>
  </si>
  <si>
    <t>INV101697</t>
  </si>
  <si>
    <t>INV101698</t>
  </si>
  <si>
    <t>INV101699</t>
  </si>
  <si>
    <t>INV101700</t>
  </si>
  <si>
    <t>CUST0176</t>
  </si>
  <si>
    <t>INV101701</t>
  </si>
  <si>
    <t>INV101702</t>
  </si>
  <si>
    <t>INV101703</t>
  </si>
  <si>
    <t>INV101704</t>
  </si>
  <si>
    <t>INV101705</t>
  </si>
  <si>
    <t>INV101706</t>
  </si>
  <si>
    <t>INV101707</t>
  </si>
  <si>
    <t>INV101708</t>
  </si>
  <si>
    <t>14:48</t>
  </si>
  <si>
    <t>INV101709</t>
  </si>
  <si>
    <t>INV101710</t>
  </si>
  <si>
    <t>CUST0094</t>
  </si>
  <si>
    <t>INV101711</t>
  </si>
  <si>
    <t>INV101712</t>
  </si>
  <si>
    <t>INV101713</t>
  </si>
  <si>
    <t>INV101714</t>
  </si>
  <si>
    <t>CUST0753</t>
  </si>
  <si>
    <t>INV101715</t>
  </si>
  <si>
    <t>INV101716</t>
  </si>
  <si>
    <t>11:30</t>
  </si>
  <si>
    <t>INV101717</t>
  </si>
  <si>
    <t>INV101718</t>
  </si>
  <si>
    <t>INV101719</t>
  </si>
  <si>
    <t>INV101720</t>
  </si>
  <si>
    <t>CUST0502</t>
  </si>
  <si>
    <t>INV101721</t>
  </si>
  <si>
    <t>INV101722</t>
  </si>
  <si>
    <t>13:18</t>
  </si>
  <si>
    <t>INV101723</t>
  </si>
  <si>
    <t>INV101724</t>
  </si>
  <si>
    <t>INV101725</t>
  </si>
  <si>
    <t>INV101726</t>
  </si>
  <si>
    <t>CUST0172</t>
  </si>
  <si>
    <t>11:36</t>
  </si>
  <si>
    <t>INV101727</t>
  </si>
  <si>
    <t>INV101728</t>
  </si>
  <si>
    <t>10:48</t>
  </si>
  <si>
    <t>INV101729</t>
  </si>
  <si>
    <t>INV101730</t>
  </si>
  <si>
    <t>INV101731</t>
  </si>
  <si>
    <t>INV101732</t>
  </si>
  <si>
    <t>INV101733</t>
  </si>
  <si>
    <t>INV101734</t>
  </si>
  <si>
    <t>INV101735</t>
  </si>
  <si>
    <t>INV101736</t>
  </si>
  <si>
    <t>CUST0376</t>
  </si>
  <si>
    <t>INV101737</t>
  </si>
  <si>
    <t>INV101738</t>
  </si>
  <si>
    <t>INV101739</t>
  </si>
  <si>
    <t>INV101740</t>
  </si>
  <si>
    <t>INV101741</t>
  </si>
  <si>
    <t>INV101742</t>
  </si>
  <si>
    <t>INV101743</t>
  </si>
  <si>
    <t>INV101744</t>
  </si>
  <si>
    <t>CUST0360</t>
  </si>
  <si>
    <t>INV101745</t>
  </si>
  <si>
    <t>INV101746</t>
  </si>
  <si>
    <t>INV101747</t>
  </si>
  <si>
    <t>CUST0059</t>
  </si>
  <si>
    <t>INV101748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</si>
  <si>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</si>
  <si>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</si>
  <si>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</si>
  <si>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</si>
  <si>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</si>
  <si>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</si>
  <si>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</si>
  <si>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</si>
  <si>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CUST0158</t>
  </si>
  <si>
    <t>INV101757</t>
  </si>
  <si>
    <t>INV101758</t>
  </si>
  <si>
    <t>INV101759</t>
  </si>
  <si>
    <t>CUST0425</t>
  </si>
  <si>
    <t>INV101760</t>
  </si>
  <si>
    <t>INV101761</t>
  </si>
  <si>
    <t>INV101762</t>
  </si>
  <si>
    <t>INV101763</t>
  </si>
  <si>
    <t>INV101764</t>
  </si>
  <si>
    <t>INV101765</t>
  </si>
  <si>
    <t>INV101766</t>
  </si>
  <si>
    <t>INV101767</t>
  </si>
  <si>
    <t>INV101768</t>
  </si>
  <si>
    <t>INV101769</t>
  </si>
  <si>
    <t>INV101770</t>
  </si>
  <si>
    <t>INV101771</t>
  </si>
  <si>
    <t>INV101772</t>
  </si>
  <si>
    <t>INV101773</t>
  </si>
  <si>
    <t>INV101774</t>
  </si>
  <si>
    <t>INV101775</t>
  </si>
  <si>
    <t>INV101776</t>
  </si>
  <si>
    <t>INV101777</t>
  </si>
  <si>
    <t>INV101778</t>
  </si>
  <si>
    <t>18:43</t>
  </si>
  <si>
    <t>INV101779</t>
  </si>
  <si>
    <t>INV101780</t>
  </si>
  <si>
    <t>INV101781</t>
  </si>
  <si>
    <t>INV101782</t>
  </si>
  <si>
    <t>INV101783</t>
  </si>
  <si>
    <t>INV101784</t>
  </si>
  <si>
    <t>INV101785</t>
  </si>
  <si>
    <t>21:52</t>
  </si>
  <si>
    <t>INV101786</t>
  </si>
  <si>
    <t>INV101787</t>
  </si>
  <si>
    <t>INV101788</t>
  </si>
  <si>
    <t>INV101789</t>
  </si>
  <si>
    <t>INV101790</t>
  </si>
  <si>
    <t>19:34</t>
  </si>
  <si>
    <t>INV101791</t>
  </si>
  <si>
    <t>17:43</t>
  </si>
  <si>
    <t>INV101792</t>
  </si>
  <si>
    <t>INV101793</t>
  </si>
  <si>
    <t>INV101794</t>
  </si>
  <si>
    <t>CUST0065</t>
  </si>
  <si>
    <t>INV101795</t>
  </si>
  <si>
    <t>INV101796</t>
  </si>
  <si>
    <t>INV101797</t>
  </si>
  <si>
    <t>INV101798</t>
  </si>
  <si>
    <t>INV101799</t>
  </si>
  <si>
    <t>INV101800</t>
  </si>
  <si>
    <t>INV101801</t>
  </si>
  <si>
    <t>INV101802</t>
  </si>
  <si>
    <t>10:13</t>
  </si>
  <si>
    <t>INV101803</t>
  </si>
  <si>
    <t>INV101804</t>
  </si>
  <si>
    <t>INV101805</t>
  </si>
  <si>
    <t>INV101806</t>
  </si>
  <si>
    <t>INV101807</t>
  </si>
  <si>
    <t>10:15</t>
  </si>
  <si>
    <t>INV101808</t>
  </si>
  <si>
    <t>INV101809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</si>
  <si>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</si>
  <si>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</si>
  <si>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</si>
  <si>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</si>
  <si>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</si>
  <si>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</si>
  <si>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</si>
  <si>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</si>
  <si>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CUST0389</t>
  </si>
  <si>
    <t>INV101818</t>
  </si>
  <si>
    <t>INV101819</t>
  </si>
  <si>
    <t>INV101820</t>
  </si>
  <si>
    <t>INV101821</t>
  </si>
  <si>
    <t>INV101822</t>
  </si>
  <si>
    <t>INV101823</t>
  </si>
  <si>
    <t>INV101824</t>
  </si>
  <si>
    <t>CUST0734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</si>
  <si>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</si>
  <si>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</si>
  <si>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</si>
  <si>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</si>
  <si>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</si>
  <si>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</si>
  <si>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</si>
  <si>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</si>
  <si>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</si>
  <si>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</si>
  <si>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</si>
  <si>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</si>
  <si>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</si>
  <si>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</si>
  <si>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CUST0780</t>
  </si>
  <si>
    <t>INV101839</t>
  </si>
  <si>
    <t>INV101840</t>
  </si>
  <si>
    <t>INV101841</t>
  </si>
  <si>
    <t>CUST0014</t>
  </si>
  <si>
    <t>INV101842</t>
  </si>
  <si>
    <t>INV101843</t>
  </si>
  <si>
    <t>CUST0597</t>
  </si>
  <si>
    <t>INV101844</t>
  </si>
  <si>
    <t>INV101845</t>
  </si>
  <si>
    <t>INV101846</t>
  </si>
  <si>
    <t>INV101847</t>
  </si>
  <si>
    <t>INV101848</t>
  </si>
  <si>
    <t>CUST0030</t>
  </si>
  <si>
    <t>INV101849</t>
  </si>
  <si>
    <t>INV101850</t>
  </si>
  <si>
    <t>INV101851</t>
  </si>
  <si>
    <t>INV101852</t>
  </si>
  <si>
    <t>INV101853</t>
  </si>
  <si>
    <t>INV101854</t>
  </si>
  <si>
    <t>INV101855</t>
  </si>
  <si>
    <t>CUST0742</t>
  </si>
  <si>
    <t>INV101856</t>
  </si>
  <si>
    <t>INV101857</t>
  </si>
  <si>
    <t>CUST0241</t>
  </si>
  <si>
    <t>INV101858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</si>
  <si>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</si>
  <si>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</si>
  <si>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</si>
  <si>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</si>
  <si>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</si>
  <si>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</si>
  <si>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</si>
  <si>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</si>
  <si>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</si>
  <si>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</si>
  <si>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</si>
  <si>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</si>
  <si>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INV101871</t>
  </si>
  <si>
    <t>CUST0844</t>
  </si>
  <si>
    <t>INV101872</t>
  </si>
  <si>
    <t>INV101873</t>
  </si>
  <si>
    <t>INV101874</t>
  </si>
  <si>
    <t>INV101875</t>
  </si>
  <si>
    <t>INV101876</t>
  </si>
  <si>
    <t>INV101877</t>
  </si>
  <si>
    <t>INV101878</t>
  </si>
  <si>
    <t>INV101879</t>
  </si>
  <si>
    <t>INV101880</t>
  </si>
  <si>
    <t>INV101881</t>
  </si>
  <si>
    <t>INV101882</t>
  </si>
  <si>
    <t>INV101883</t>
  </si>
  <si>
    <t>INV101884</t>
  </si>
  <si>
    <t>INV101885</t>
  </si>
  <si>
    <t>INV101886</t>
  </si>
  <si>
    <t>INV101887</t>
  </si>
  <si>
    <t>INV101888</t>
  </si>
  <si>
    <t>11:38</t>
  </si>
  <si>
    <t>INV101889</t>
  </si>
  <si>
    <t>INV101890</t>
  </si>
  <si>
    <t>INV101891</t>
  </si>
  <si>
    <t>INV101892</t>
  </si>
  <si>
    <t>INV101893</t>
  </si>
  <si>
    <t>INV101894</t>
  </si>
  <si>
    <t>INV101895</t>
  </si>
  <si>
    <t>INV101896</t>
  </si>
  <si>
    <t>INV101897</t>
  </si>
  <si>
    <t>INV101898</t>
  </si>
  <si>
    <t>INV101899</t>
  </si>
  <si>
    <t>INV101900</t>
  </si>
  <si>
    <t>INV101901</t>
  </si>
  <si>
    <t>INV101902</t>
  </si>
  <si>
    <t>INV101903</t>
  </si>
  <si>
    <t>INV101904</t>
  </si>
  <si>
    <t>CUST0769</t>
  </si>
  <si>
    <t>INV101905</t>
  </si>
  <si>
    <t>INV101906</t>
  </si>
  <si>
    <t>INV101907</t>
  </si>
  <si>
    <t>INV101908</t>
  </si>
  <si>
    <t>INV101909</t>
  </si>
  <si>
    <t>INV101910</t>
  </si>
  <si>
    <t>13:24</t>
  </si>
  <si>
    <t>INV101911</t>
  </si>
  <si>
    <t>INV101912</t>
  </si>
  <si>
    <t>INV101913</t>
  </si>
  <si>
    <t>INV101914</t>
  </si>
  <si>
    <t>INV101915</t>
  </si>
  <si>
    <t>INV101916</t>
  </si>
  <si>
    <t>INV101917</t>
  </si>
  <si>
    <t>INV101918</t>
  </si>
  <si>
    <t>INV101919</t>
  </si>
  <si>
    <t>INV101920</t>
  </si>
  <si>
    <t>18:40</t>
  </si>
  <si>
    <t>INV101921</t>
  </si>
  <si>
    <t>INV101922</t>
  </si>
  <si>
    <t>CUST0773</t>
  </si>
  <si>
    <t>INV101923</t>
  </si>
  <si>
    <t>INV101924</t>
  </si>
  <si>
    <t>INV101925</t>
  </si>
  <si>
    <t>15:38</t>
  </si>
  <si>
    <t>INV101926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</si>
  <si>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</si>
  <si>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</si>
  <si>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</si>
  <si>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</si>
  <si>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</si>
  <si>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</si>
  <si>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</si>
  <si>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</si>
  <si>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INV101935</t>
  </si>
  <si>
    <t>INV101936</t>
  </si>
  <si>
    <t>INV101937</t>
  </si>
  <si>
    <t>CUST0418</t>
  </si>
  <si>
    <t>INV101938</t>
  </si>
  <si>
    <t>INV101939</t>
  </si>
  <si>
    <t>INV101940</t>
  </si>
  <si>
    <t>INV101941</t>
  </si>
  <si>
    <t>15:08</t>
  </si>
  <si>
    <t>INV101942</t>
  </si>
  <si>
    <t>CUST0244</t>
  </si>
  <si>
    <t>INV101943</t>
  </si>
  <si>
    <t>INV101944</t>
  </si>
  <si>
    <t>CUST0010</t>
  </si>
  <si>
    <t>INV101945</t>
  </si>
  <si>
    <t>CUST0312</t>
  </si>
  <si>
    <t>INV101946</t>
  </si>
  <si>
    <t>INV101947</t>
  </si>
  <si>
    <t>INV101948</t>
  </si>
  <si>
    <t>INV101949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</si>
  <si>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</si>
  <si>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</si>
  <si>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</si>
  <si>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</si>
  <si>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</si>
  <si>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</si>
  <si>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</si>
  <si>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</si>
  <si>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</si>
  <si>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</si>
  <si>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</si>
  <si>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</si>
  <si>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INV101962</t>
  </si>
  <si>
    <t>INV101963</t>
  </si>
  <si>
    <t>INV101964</t>
  </si>
  <si>
    <t>INV101965</t>
  </si>
  <si>
    <t>INV101966</t>
  </si>
  <si>
    <t>INV101967</t>
  </si>
  <si>
    <t>INV101968</t>
  </si>
  <si>
    <t>12:16</t>
  </si>
  <si>
    <t>INV101969</t>
  </si>
  <si>
    <t>INV101970</t>
  </si>
  <si>
    <t>INV101971</t>
  </si>
  <si>
    <t>INV101972</t>
  </si>
  <si>
    <t>INV101973</t>
  </si>
  <si>
    <t>INV101974</t>
  </si>
  <si>
    <t>INV101975</t>
  </si>
  <si>
    <t>CUST0567</t>
  </si>
  <si>
    <t>INV101976</t>
  </si>
  <si>
    <t>INV101977</t>
  </si>
  <si>
    <t>INV101978</t>
  </si>
  <si>
    <t>CUST0080</t>
  </si>
  <si>
    <t>INV101979</t>
  </si>
  <si>
    <t>INV101980</t>
  </si>
  <si>
    <t>CUST0493</t>
  </si>
  <si>
    <t>INV101981</t>
  </si>
  <si>
    <t>INV101982</t>
  </si>
  <si>
    <t>INV101983</t>
  </si>
  <si>
    <t>INV101984</t>
  </si>
  <si>
    <t>INV101985</t>
  </si>
  <si>
    <t>CUST0195</t>
  </si>
  <si>
    <t>12:07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</si>
  <si>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</si>
  <si>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</si>
  <si>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</si>
  <si>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</si>
  <si>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</si>
  <si>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</si>
  <si>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</si>
  <si>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</si>
  <si>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</si>
  <si>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</si>
  <si>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</si>
  <si>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</si>
  <si>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INV101998</t>
  </si>
  <si>
    <t>INV101999</t>
  </si>
  <si>
    <t>INV102000</t>
  </si>
  <si>
    <t>INV102001</t>
  </si>
  <si>
    <t>INV102002</t>
  </si>
  <si>
    <t>INV102003</t>
  </si>
  <si>
    <t>CUST0570</t>
  </si>
  <si>
    <t>INV102004</t>
  </si>
  <si>
    <t>INV102005</t>
  </si>
  <si>
    <t>INV102006</t>
  </si>
  <si>
    <t>10:32</t>
  </si>
  <si>
    <t>INV102007</t>
  </si>
  <si>
    <t>INV102008</t>
  </si>
  <si>
    <t>INV102009</t>
  </si>
  <si>
    <t>INV102010</t>
  </si>
  <si>
    <t>INV102011</t>
  </si>
  <si>
    <t>INV102012</t>
  </si>
  <si>
    <t>INV102013</t>
  </si>
  <si>
    <t>INV102014</t>
  </si>
  <si>
    <t>CUST0548</t>
  </si>
  <si>
    <t>INV102015</t>
  </si>
  <si>
    <t>INV102016</t>
  </si>
  <si>
    <t>INV102017</t>
  </si>
  <si>
    <t>INV102018</t>
  </si>
  <si>
    <t>INV102019</t>
  </si>
  <si>
    <t>INV102020</t>
  </si>
  <si>
    <t>INV102021</t>
  </si>
  <si>
    <t>INV102022</t>
  </si>
  <si>
    <t>INV102023</t>
  </si>
  <si>
    <t>INV102024</t>
  </si>
  <si>
    <t>INV102025</t>
  </si>
  <si>
    <t>INV102026</t>
  </si>
  <si>
    <t>CUST0650</t>
  </si>
  <si>
    <t>INV102027</t>
  </si>
  <si>
    <t>INV102028</t>
  </si>
  <si>
    <t>INV102029</t>
  </si>
  <si>
    <t>INV102030</t>
  </si>
  <si>
    <t>INV102031</t>
  </si>
  <si>
    <t>INV102032</t>
  </si>
  <si>
    <t>10:23</t>
  </si>
  <si>
    <t>INV102033</t>
  </si>
  <si>
    <t>INV102034</t>
  </si>
  <si>
    <t>INV102035</t>
  </si>
  <si>
    <t>11:06</t>
  </si>
  <si>
    <t>INV102036</t>
  </si>
  <si>
    <t>INV102037</t>
  </si>
  <si>
    <t>INV102038</t>
  </si>
  <si>
    <t>INV102039</t>
  </si>
  <si>
    <t>INV102040</t>
  </si>
  <si>
    <t>INV102041</t>
  </si>
  <si>
    <t>INV102042</t>
  </si>
  <si>
    <t>CUST0122</t>
  </si>
  <si>
    <t>INV102043</t>
  </si>
  <si>
    <t>INV102044</t>
  </si>
  <si>
    <t>CUST0169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</si>
  <si>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</si>
  <si>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</si>
  <si>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</si>
  <si>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</si>
  <si>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</si>
  <si>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</si>
  <si>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</si>
  <si>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</si>
  <si>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CUST0534</t>
  </si>
  <si>
    <t>INV102053</t>
  </si>
  <si>
    <t>10:02</t>
  </si>
  <si>
    <t>INV102054</t>
  </si>
  <si>
    <t>CUST0049</t>
  </si>
  <si>
    <t>INV102055</t>
  </si>
  <si>
    <t>INV102056</t>
  </si>
  <si>
    <t>INV102057</t>
  </si>
  <si>
    <t>INV102058</t>
  </si>
  <si>
    <t>19:52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</si>
  <si>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</si>
  <si>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</si>
  <si>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</si>
  <si>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</si>
  <si>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</si>
  <si>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</si>
  <si>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</si>
  <si>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</si>
  <si>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</si>
  <si>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17:56</t>
  </si>
  <si>
    <t>INV102068</t>
  </si>
  <si>
    <t>INV102069</t>
  </si>
  <si>
    <t>INV102070</t>
  </si>
  <si>
    <t>INV102071</t>
  </si>
  <si>
    <t>INV102072</t>
  </si>
  <si>
    <t>INV102073</t>
  </si>
  <si>
    <t>INV102074</t>
  </si>
  <si>
    <t>INV102075</t>
  </si>
  <si>
    <t>INV102076</t>
  </si>
  <si>
    <t>INV102077</t>
  </si>
  <si>
    <t>INV102078</t>
  </si>
  <si>
    <t>INV102079</t>
  </si>
  <si>
    <t>INV102080</t>
  </si>
  <si>
    <t>13:19</t>
  </si>
  <si>
    <t>INV102081</t>
  </si>
  <si>
    <t>12:08</t>
  </si>
  <si>
    <t>INV102082</t>
  </si>
  <si>
    <t>INV102083</t>
  </si>
  <si>
    <t>INV102084</t>
  </si>
  <si>
    <t>INV102085</t>
  </si>
  <si>
    <t>INV102086</t>
  </si>
  <si>
    <t>18:55</t>
  </si>
  <si>
    <t>INV102087</t>
  </si>
  <si>
    <t>CUST0366</t>
  </si>
  <si>
    <t>INV102088</t>
  </si>
  <si>
    <t>INV102089</t>
  </si>
  <si>
    <t>INV102090</t>
  </si>
  <si>
    <t>CUST0717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</si>
  <si>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</si>
  <si>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</si>
  <si>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</si>
  <si>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</si>
  <si>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</si>
  <si>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</si>
  <si>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</si>
  <si>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</si>
  <si>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</si>
  <si>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</si>
  <si>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</si>
  <si>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</si>
  <si>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INV102103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</si>
  <si>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</si>
  <si>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</si>
  <si>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</si>
  <si>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</si>
  <si>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</si>
  <si>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</si>
  <si>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</si>
  <si>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</si>
  <si>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</si>
  <si>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</si>
  <si>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</si>
  <si>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</si>
  <si>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</si>
  <si>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</si>
  <si>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</si>
  <si>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</si>
  <si>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</si>
  <si>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</si>
  <si>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18:12</t>
  </si>
  <si>
    <t>INV102122</t>
  </si>
  <si>
    <t>INV102123</t>
  </si>
  <si>
    <t>PRD0008</t>
  </si>
  <si>
    <t>INV102124</t>
  </si>
  <si>
    <t>INV102125</t>
  </si>
  <si>
    <t>INV102126</t>
  </si>
  <si>
    <t>INV102127</t>
  </si>
  <si>
    <t>11:15</t>
  </si>
  <si>
    <t>INV102128</t>
  </si>
  <si>
    <t>10:55</t>
  </si>
  <si>
    <t>INV102129</t>
  </si>
  <si>
    <t>INV102130</t>
  </si>
  <si>
    <t>INV102131</t>
  </si>
  <si>
    <t>INV102132</t>
  </si>
  <si>
    <t>INV102133</t>
  </si>
  <si>
    <t>INV102134</t>
  </si>
  <si>
    <t>INV102135</t>
  </si>
  <si>
    <t>INV102136</t>
  </si>
  <si>
    <t>INV102137</t>
  </si>
  <si>
    <t>INV102138</t>
  </si>
  <si>
    <t>INV102139</t>
  </si>
  <si>
    <t>INV102140</t>
  </si>
  <si>
    <t>INV102141</t>
  </si>
  <si>
    <t>INV102142</t>
  </si>
  <si>
    <t>INV102143</t>
  </si>
  <si>
    <t>INV102144</t>
  </si>
  <si>
    <t>INV102145</t>
  </si>
  <si>
    <t>INV102146</t>
  </si>
  <si>
    <t>INV102147</t>
  </si>
  <si>
    <t>INV102148</t>
  </si>
  <si>
    <t>INV102149</t>
  </si>
  <si>
    <t>INV102150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</si>
  <si>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</si>
  <si>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</si>
  <si>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</si>
  <si>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</si>
  <si>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</si>
  <si>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</si>
  <si>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</si>
  <si>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</si>
  <si>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</si>
  <si>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</si>
  <si>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</si>
  <si>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</si>
  <si>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INV102163</t>
  </si>
  <si>
    <t>INV102164</t>
  </si>
  <si>
    <t>INV102165</t>
  </si>
  <si>
    <t>INV102166</t>
  </si>
  <si>
    <t>INV102167</t>
  </si>
  <si>
    <t>INV102168</t>
  </si>
  <si>
    <t>INV102169</t>
  </si>
  <si>
    <t>INV102170</t>
  </si>
  <si>
    <t>INV102171</t>
  </si>
  <si>
    <t>CUST0744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</si>
  <si>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</si>
  <si>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</si>
  <si>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</si>
  <si>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</si>
  <si>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</si>
  <si>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</si>
  <si>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</si>
  <si>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</si>
  <si>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</si>
  <si>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</si>
  <si>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</si>
  <si>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</si>
  <si>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</si>
  <si>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</si>
  <si>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CUST0135</t>
  </si>
  <si>
    <t>INV102186</t>
  </si>
  <si>
    <t>INV102187</t>
  </si>
  <si>
    <t>INV102188</t>
  </si>
  <si>
    <t>INV102189</t>
  </si>
  <si>
    <t>INV102190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</si>
  <si>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</si>
  <si>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</si>
  <si>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</si>
  <si>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</si>
  <si>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</si>
  <si>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</si>
  <si>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</si>
  <si>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</si>
  <si>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</si>
  <si>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</si>
  <si>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</si>
  <si>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</si>
  <si>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</si>
  <si>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</si>
  <si>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</si>
  <si>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</si>
  <si>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</si>
  <si>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</si>
  <si>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</si>
  <si>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</si>
  <si>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</si>
  <si>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</si>
  <si>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</si>
  <si>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</si>
  <si>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</si>
  <si>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</si>
  <si>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</si>
  <si>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</si>
  <si>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</si>
  <si>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</si>
  <si>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</si>
  <si>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CUST0775</t>
  </si>
  <si>
    <t>INV102222</t>
  </si>
  <si>
    <t>INV102223</t>
  </si>
  <si>
    <t>INV102224</t>
  </si>
  <si>
    <t>INV102225</t>
  </si>
  <si>
    <t>CUST0394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</si>
  <si>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</si>
  <si>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</si>
  <si>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</si>
  <si>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</si>
  <si>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</si>
  <si>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</si>
  <si>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</si>
  <si>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</si>
  <si>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</si>
  <si>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</si>
  <si>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</si>
  <si>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</si>
  <si>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</si>
  <si>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</si>
  <si>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</si>
  <si>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</si>
  <si>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</si>
  <si>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</si>
  <si>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</si>
  <si>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</si>
  <si>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</si>
  <si>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INV102247</t>
  </si>
  <si>
    <t>INV102248</t>
  </si>
  <si>
    <t>INV102249</t>
  </si>
  <si>
    <t>INV102250</t>
  </si>
  <si>
    <t>INV102251</t>
  </si>
  <si>
    <t>INV102252</t>
  </si>
  <si>
    <t>INV102253</t>
  </si>
  <si>
    <t>INV102254</t>
  </si>
  <si>
    <t>INV102255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</si>
  <si>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</si>
  <si>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</si>
  <si>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</si>
  <si>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</si>
  <si>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</si>
  <si>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</si>
  <si>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</si>
  <si>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</si>
  <si>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</si>
  <si>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</si>
  <si>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</si>
  <si>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</si>
  <si>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INV102268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</si>
  <si>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</si>
  <si>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</si>
  <si>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</si>
  <si>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</si>
  <si>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</si>
  <si>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</si>
  <si>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</si>
  <si>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</si>
  <si>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10:03</t>
  </si>
  <si>
    <t>INV102277</t>
  </si>
  <si>
    <t>INV102278</t>
  </si>
  <si>
    <t>INV102279</t>
  </si>
  <si>
    <t>INV102280</t>
  </si>
  <si>
    <t>INV102281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</si>
  <si>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</si>
  <si>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</si>
  <si>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</si>
  <si>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</si>
  <si>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</si>
  <si>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</si>
  <si>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</si>
  <si>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</si>
  <si>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</si>
  <si>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</si>
  <si>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CUST0487</t>
  </si>
  <si>
    <t>INV102292</t>
  </si>
  <si>
    <t>INV102293</t>
  </si>
  <si>
    <t>INV102294</t>
  </si>
  <si>
    <t>INV102295</t>
  </si>
  <si>
    <t>INV102296</t>
  </si>
  <si>
    <t>INV102297</t>
  </si>
  <si>
    <t>INV102298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</si>
  <si>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</si>
  <si>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</si>
  <si>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</si>
  <si>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</si>
  <si>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</si>
  <si>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</si>
  <si>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</si>
  <si>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</si>
  <si>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</si>
  <si>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</si>
  <si>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</si>
  <si>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</si>
  <si>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CUST0342</t>
  </si>
  <si>
    <t>INV102311</t>
  </si>
  <si>
    <t>INV102312</t>
  </si>
  <si>
    <t>CUST0243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</si>
  <si>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</si>
  <si>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</si>
  <si>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</si>
  <si>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</si>
  <si>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</si>
  <si>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</si>
  <si>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</si>
  <si>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</si>
  <si>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</si>
  <si>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</si>
  <si>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</si>
  <si>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</si>
  <si>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</si>
  <si>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</si>
  <si>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</si>
  <si>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</si>
  <si>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INV102329</t>
  </si>
  <si>
    <t>INV102330</t>
  </si>
  <si>
    <t>INV102331</t>
  </si>
  <si>
    <t>CUST0594</t>
  </si>
  <si>
    <t>19:08</t>
  </si>
  <si>
    <t>INV102332</t>
  </si>
  <si>
    <t>INV102333</t>
  </si>
  <si>
    <t>INV102334</t>
  </si>
  <si>
    <t>INV102335</t>
  </si>
  <si>
    <t>INV102336</t>
  </si>
  <si>
    <t>CUST0291</t>
  </si>
  <si>
    <t>INV102337</t>
  </si>
  <si>
    <t>INV102338</t>
  </si>
  <si>
    <t>INV102339</t>
  </si>
  <si>
    <t>CUST0484</t>
  </si>
  <si>
    <t>INV102340</t>
  </si>
  <si>
    <t>INV102341</t>
  </si>
  <si>
    <t>INV102342</t>
  </si>
  <si>
    <t>INV102343</t>
  </si>
  <si>
    <t>INV102344</t>
  </si>
  <si>
    <t>CUST0160</t>
  </si>
  <si>
    <t>INV102345</t>
  </si>
  <si>
    <t>INV102346</t>
  </si>
  <si>
    <t>16:24</t>
  </si>
  <si>
    <t>INV102347</t>
  </si>
  <si>
    <t>INV102348</t>
  </si>
  <si>
    <t>INV102349</t>
  </si>
  <si>
    <t>INV102350</t>
  </si>
  <si>
    <t>INV102351</t>
  </si>
  <si>
    <t>INV102352</t>
  </si>
  <si>
    <t>INV102353</t>
  </si>
  <si>
    <t>INV102354</t>
  </si>
  <si>
    <t>INV102355</t>
  </si>
  <si>
    <t>INV102356</t>
  </si>
  <si>
    <t>12:33</t>
  </si>
  <si>
    <t>INV102357</t>
  </si>
  <si>
    <t>INV102358</t>
  </si>
  <si>
    <t>INV102359</t>
  </si>
  <si>
    <t>INV102360</t>
  </si>
  <si>
    <t>INV102361</t>
  </si>
  <si>
    <t>INV102362</t>
  </si>
  <si>
    <t>INV102363</t>
  </si>
  <si>
    <t>INV102364</t>
  </si>
  <si>
    <t>INV102365</t>
  </si>
  <si>
    <t>INV102366</t>
  </si>
  <si>
    <t>INV102367</t>
  </si>
  <si>
    <t>INV102368</t>
  </si>
  <si>
    <t>INV102369</t>
  </si>
  <si>
    <t>CUST0067</t>
  </si>
  <si>
    <t>INV102370</t>
  </si>
  <si>
    <t>INV102371</t>
  </si>
  <si>
    <t>CUST0081</t>
  </si>
  <si>
    <t>INV102372</t>
  </si>
  <si>
    <t>INV102373</t>
  </si>
  <si>
    <t>INV102374</t>
  </si>
  <si>
    <t>INV102375</t>
  </si>
  <si>
    <t>INV102376</t>
  </si>
  <si>
    <t>INV102377</t>
  </si>
  <si>
    <t>INV102378</t>
  </si>
  <si>
    <t>INV102379</t>
  </si>
  <si>
    <t>INV102380</t>
  </si>
  <si>
    <t>INV102381</t>
  </si>
  <si>
    <t>INV102382</t>
  </si>
  <si>
    <t>INV102383</t>
  </si>
  <si>
    <t>INV102384</t>
  </si>
  <si>
    <t>INV102385</t>
  </si>
  <si>
    <t>INV102386</t>
  </si>
  <si>
    <t>CUST0181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</si>
  <si>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</si>
  <si>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</si>
  <si>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</si>
  <si>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</si>
  <si>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</si>
  <si>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</si>
  <si>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</si>
  <si>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</si>
  <si>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</si>
  <si>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</si>
  <si>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</si>
  <si>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</si>
  <si>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</si>
  <si>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</si>
  <si>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</si>
  <si>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</si>
  <si>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</si>
  <si>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INV102404</t>
  </si>
  <si>
    <t>INV102405</t>
  </si>
  <si>
    <t>INV102406</t>
  </si>
  <si>
    <t>INV102407</t>
  </si>
  <si>
    <t>INV102408</t>
  </si>
  <si>
    <t>INV102409</t>
  </si>
  <si>
    <t>21:26</t>
  </si>
  <si>
    <t>INV102410</t>
  </si>
  <si>
    <t>INV102411</t>
  </si>
  <si>
    <t>INV102412</t>
  </si>
  <si>
    <t>INV102413</t>
  </si>
  <si>
    <t>INV102414</t>
  </si>
  <si>
    <t>INV102415</t>
  </si>
  <si>
    <t>INV102416</t>
  </si>
  <si>
    <t>INV102417</t>
  </si>
  <si>
    <t>INV102418</t>
  </si>
  <si>
    <t>INV102419</t>
  </si>
  <si>
    <t>INV102420</t>
  </si>
  <si>
    <t>INV102421</t>
  </si>
  <si>
    <t>INV102422</t>
  </si>
  <si>
    <t>INV102423</t>
  </si>
  <si>
    <t>INV102424</t>
  </si>
  <si>
    <t>21:04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</si>
  <si>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</si>
  <si>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</si>
  <si>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</si>
  <si>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</si>
  <si>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</si>
  <si>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</si>
  <si>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</si>
  <si>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13:58</t>
  </si>
  <si>
    <t>INV102432</t>
  </si>
  <si>
    <t>INV102433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</si>
  <si>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</si>
  <si>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</si>
  <si>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</si>
  <si>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</si>
  <si>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</si>
  <si>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</si>
  <si>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</si>
  <si>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</si>
  <si>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</si>
  <si>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</si>
  <si>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</si>
  <si>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</si>
  <si>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</si>
  <si>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</si>
  <si>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</si>
  <si>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</si>
  <si>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</si>
  <si>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</si>
  <si>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</si>
  <si>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</si>
  <si>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INV102454</t>
  </si>
  <si>
    <t>INV102455</t>
  </si>
  <si>
    <t>INV100355-A</t>
  </si>
  <si>
    <t>INV102457</t>
  </si>
  <si>
    <t>CUST0280</t>
  </si>
  <si>
    <t>INV102458</t>
  </si>
  <si>
    <t>INV102459</t>
  </si>
  <si>
    <t>INV102460</t>
  </si>
  <si>
    <t>INV102461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</si>
  <si>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</si>
  <si>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</si>
  <si>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</si>
  <si>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</si>
  <si>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</si>
  <si>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</si>
  <si>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</si>
  <si>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</si>
  <si>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</si>
  <si>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</si>
  <si>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</si>
  <si>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19:32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</si>
  <si>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</si>
  <si>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</si>
  <si>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</si>
  <si>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</si>
  <si>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</si>
  <si>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</si>
  <si>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</si>
  <si>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</si>
  <si>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</si>
  <si>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INV102482</t>
  </si>
  <si>
    <t>INV102483</t>
  </si>
  <si>
    <t>INV102484</t>
  </si>
  <si>
    <t>INV102485</t>
  </si>
  <si>
    <t>INV102486</t>
  </si>
  <si>
    <t>CUST0407</t>
  </si>
  <si>
    <t>INV102487</t>
  </si>
  <si>
    <t>CUST0719</t>
  </si>
  <si>
    <t>INV102488</t>
  </si>
  <si>
    <t>INV102489</t>
  </si>
  <si>
    <t>CUST0423</t>
  </si>
  <si>
    <t>INV102490</t>
  </si>
  <si>
    <t>INV102491</t>
  </si>
  <si>
    <t>INV102492</t>
  </si>
  <si>
    <t>INV102493</t>
  </si>
  <si>
    <t>INV102494</t>
  </si>
  <si>
    <t>INV102495</t>
  </si>
  <si>
    <t>INV102496</t>
  </si>
  <si>
    <t>CUST0828</t>
  </si>
  <si>
    <t>INV102497</t>
  </si>
  <si>
    <t>INV102498</t>
  </si>
  <si>
    <t>INV102499</t>
  </si>
  <si>
    <t>INV102500</t>
  </si>
  <si>
    <t>INV102501</t>
  </si>
  <si>
    <t>INV102502</t>
  </si>
  <si>
    <t>INV102503</t>
  </si>
  <si>
    <t>INV102504</t>
  </si>
  <si>
    <t>INV102505</t>
  </si>
  <si>
    <t>INV102506</t>
  </si>
  <si>
    <t>INV102507</t>
  </si>
  <si>
    <t>INV102508</t>
  </si>
  <si>
    <t>INV102509</t>
  </si>
  <si>
    <t>INV102510</t>
  </si>
  <si>
    <t>INV102511</t>
  </si>
  <si>
    <t>INV102512</t>
  </si>
  <si>
    <t>INV102513</t>
  </si>
  <si>
    <t>INV102514</t>
  </si>
  <si>
    <t>INV102515</t>
  </si>
  <si>
    <t>INV102516</t>
  </si>
  <si>
    <t>INV102517</t>
  </si>
  <si>
    <t>INV102518</t>
  </si>
  <si>
    <t>17:50</t>
  </si>
  <si>
    <t>INV102519</t>
  </si>
  <si>
    <t>INV102520</t>
  </si>
  <si>
    <t>INV102521</t>
  </si>
  <si>
    <t>INV102522</t>
  </si>
  <si>
    <t>INV102523</t>
  </si>
  <si>
    <t>INV102524</t>
  </si>
  <si>
    <t>INV102525</t>
  </si>
  <si>
    <t>CUST0235</t>
  </si>
  <si>
    <t>INV102526</t>
  </si>
  <si>
    <t>INV102527</t>
  </si>
  <si>
    <t>INV102528</t>
  </si>
  <si>
    <t>INV102529</t>
  </si>
  <si>
    <t>INV102530</t>
  </si>
  <si>
    <t>INV102531</t>
  </si>
  <si>
    <t>INV102532</t>
  </si>
  <si>
    <t>CUST0648</t>
  </si>
  <si>
    <t>INV102533</t>
  </si>
  <si>
    <t>INV102534</t>
  </si>
  <si>
    <t>INV102535</t>
  </si>
  <si>
    <t>INV102536</t>
  </si>
  <si>
    <t>INV102537</t>
  </si>
  <si>
    <t>INV102538</t>
  </si>
  <si>
    <t>INV102539</t>
  </si>
  <si>
    <t>INV102540</t>
  </si>
  <si>
    <t>INV102541</t>
  </si>
  <si>
    <t>INV102542</t>
  </si>
  <si>
    <t>INV102543</t>
  </si>
  <si>
    <t>INV102544</t>
  </si>
  <si>
    <t>CUST0392</t>
  </si>
  <si>
    <t>INV102545</t>
  </si>
  <si>
    <t>INV102546</t>
  </si>
  <si>
    <t>INV102547</t>
  </si>
  <si>
    <t>CUST0639</t>
  </si>
  <si>
    <t>INV102548</t>
  </si>
  <si>
    <t>INV102549</t>
  </si>
  <si>
    <t>INV102550</t>
  </si>
  <si>
    <t>INV102551</t>
  </si>
  <si>
    <t>INV102552</t>
  </si>
  <si>
    <t>INV102553</t>
  </si>
  <si>
    <t>INV102554</t>
  </si>
  <si>
    <t>INV102555</t>
  </si>
  <si>
    <t>INV102556</t>
  </si>
  <si>
    <t>INV102557</t>
  </si>
  <si>
    <t>CUST0036</t>
  </si>
  <si>
    <t>INV102558</t>
  </si>
  <si>
    <t>INV102559</t>
  </si>
  <si>
    <t>INV102560</t>
  </si>
  <si>
    <t>INV102561</t>
  </si>
  <si>
    <t>INV102562</t>
  </si>
  <si>
    <t>INV102563</t>
  </si>
  <si>
    <t>INV102564</t>
  </si>
  <si>
    <t>INV102565</t>
  </si>
  <si>
    <t>INV102566</t>
  </si>
  <si>
    <t>INV102567</t>
  </si>
  <si>
    <t>INV102568</t>
  </si>
  <si>
    <t>INV102569</t>
  </si>
  <si>
    <t>CUST0556</t>
  </si>
  <si>
    <t>INV102570</t>
  </si>
  <si>
    <t>CUST0672</t>
  </si>
  <si>
    <t>INV102571</t>
  </si>
  <si>
    <t>INV102572</t>
  </si>
  <si>
    <t>INV102573</t>
  </si>
  <si>
    <t>INV102574</t>
  </si>
  <si>
    <t>INV102575</t>
  </si>
  <si>
    <t>20:21</t>
  </si>
  <si>
    <t>INV102576</t>
  </si>
  <si>
    <t>INV102577</t>
  </si>
  <si>
    <t>INV102578</t>
  </si>
  <si>
    <t>CUST0651</t>
  </si>
  <si>
    <t>INV102579</t>
  </si>
  <si>
    <t>INV102580</t>
  </si>
  <si>
    <t>INV102581</t>
  </si>
  <si>
    <t>INV102582</t>
  </si>
  <si>
    <t>CUST0724</t>
  </si>
  <si>
    <t>INV102583</t>
  </si>
  <si>
    <t>INV102584</t>
  </si>
  <si>
    <t>INV102585</t>
  </si>
  <si>
    <t>INV102586</t>
  </si>
  <si>
    <t>INV102587</t>
  </si>
  <si>
    <t>INV102588</t>
  </si>
  <si>
    <t>INV102589</t>
  </si>
  <si>
    <t>INV102590</t>
  </si>
  <si>
    <t>INV102591</t>
  </si>
  <si>
    <t>INV102592</t>
  </si>
  <si>
    <t>INV102593</t>
  </si>
  <si>
    <t>CUST0388</t>
  </si>
  <si>
    <t>INV102594</t>
  </si>
  <si>
    <t>INV102595</t>
  </si>
  <si>
    <t>INV102596</t>
  </si>
  <si>
    <t>INV102597</t>
  </si>
  <si>
    <t>INV102598</t>
  </si>
  <si>
    <t>INV102599</t>
  </si>
  <si>
    <t>CUST0841</t>
  </si>
  <si>
    <t>INV102600</t>
  </si>
  <si>
    <t>INV102601</t>
  </si>
  <si>
    <t>INV102602</t>
  </si>
  <si>
    <t>INV102603</t>
  </si>
  <si>
    <t>INV102604</t>
  </si>
  <si>
    <t>INV102605</t>
  </si>
  <si>
    <t>INV102606</t>
  </si>
  <si>
    <t>INV102607</t>
  </si>
  <si>
    <t>INV102608</t>
  </si>
  <si>
    <t>INV102609</t>
  </si>
  <si>
    <t>INV102610</t>
  </si>
  <si>
    <t>INV102611</t>
  </si>
  <si>
    <t>INV102612</t>
  </si>
  <si>
    <t>INV102613</t>
  </si>
  <si>
    <t>INV102614</t>
  </si>
  <si>
    <t>INV102615</t>
  </si>
  <si>
    <t>INV102616</t>
  </si>
  <si>
    <t>INV102617</t>
  </si>
  <si>
    <t>INV102618</t>
  </si>
  <si>
    <t>INV102619</t>
  </si>
  <si>
    <t>INV102620</t>
  </si>
  <si>
    <t>INV102621</t>
  </si>
  <si>
    <t>INV102622</t>
  </si>
  <si>
    <t>INV102623</t>
  </si>
  <si>
    <t>INV102624</t>
  </si>
  <si>
    <t>INV102625</t>
  </si>
  <si>
    <t>INV102626</t>
  </si>
  <si>
    <t>INV102627</t>
  </si>
  <si>
    <t>CUST0512</t>
  </si>
  <si>
    <t>INV102628</t>
  </si>
  <si>
    <t>INV102629</t>
  </si>
  <si>
    <t>INV102630</t>
  </si>
  <si>
    <t>INV102631</t>
  </si>
  <si>
    <t>INV102632</t>
  </si>
  <si>
    <t>INV102633</t>
  </si>
  <si>
    <t>12:27</t>
  </si>
  <si>
    <t>INV102634</t>
  </si>
  <si>
    <t>INV102635</t>
  </si>
  <si>
    <t>INV102636</t>
  </si>
  <si>
    <t>INV102637</t>
  </si>
  <si>
    <t>INV102638</t>
  </si>
  <si>
    <t>INV102639</t>
  </si>
  <si>
    <t>INV102640</t>
  </si>
  <si>
    <t>INV102641</t>
  </si>
  <si>
    <t>INV102642</t>
  </si>
  <si>
    <t>INV102643</t>
  </si>
  <si>
    <t>INV102644</t>
  </si>
  <si>
    <t>INV102645</t>
  </si>
  <si>
    <t>INV102646</t>
  </si>
  <si>
    <t>INV102647</t>
  </si>
  <si>
    <t>INV102648</t>
  </si>
  <si>
    <t>INV102649</t>
  </si>
  <si>
    <t>INV102650</t>
  </si>
  <si>
    <t>INV102651</t>
  </si>
  <si>
    <t>INV102652</t>
  </si>
  <si>
    <t>INV102653</t>
  </si>
  <si>
    <t>INV102654</t>
  </si>
  <si>
    <t>INV102655</t>
  </si>
  <si>
    <t>CUST0370</t>
  </si>
  <si>
    <t>INV102656</t>
  </si>
  <si>
    <t>INV102657</t>
  </si>
  <si>
    <t>INV102658</t>
  </si>
  <si>
    <t>INV102659</t>
  </si>
  <si>
    <t>INV102660</t>
  </si>
  <si>
    <t>INV102661</t>
  </si>
  <si>
    <t>INV102662</t>
  </si>
  <si>
    <t>INV102663</t>
  </si>
  <si>
    <t>INV102664</t>
  </si>
  <si>
    <t>INV102665</t>
  </si>
  <si>
    <t>INV102666</t>
  </si>
  <si>
    <t>INV102667</t>
  </si>
  <si>
    <t>INV102668</t>
  </si>
  <si>
    <t>INV102669</t>
  </si>
  <si>
    <t>INV102670</t>
  </si>
  <si>
    <t>INV102671</t>
  </si>
  <si>
    <t>INV102672</t>
  </si>
  <si>
    <t>CUST0544</t>
  </si>
  <si>
    <t>INV102673</t>
  </si>
  <si>
    <t>INV102674</t>
  </si>
  <si>
    <t>INV102675</t>
  </si>
  <si>
    <t>INV102676</t>
  </si>
  <si>
    <t>21:46</t>
  </si>
  <si>
    <t>INV102677</t>
  </si>
  <si>
    <t>INV102678</t>
  </si>
  <si>
    <t>INV102679</t>
  </si>
  <si>
    <t>INV102680</t>
  </si>
  <si>
    <t>INV102681</t>
  </si>
  <si>
    <t>INV102682</t>
  </si>
  <si>
    <t>INV102683</t>
  </si>
  <si>
    <t>CUST0123</t>
  </si>
  <si>
    <t>INV102684</t>
  </si>
  <si>
    <t>INV102685</t>
  </si>
  <si>
    <t>INV102686</t>
  </si>
  <si>
    <t>INV102687</t>
  </si>
  <si>
    <t>INV102688</t>
  </si>
  <si>
    <t>INV102689</t>
  </si>
  <si>
    <t>CUST0151</t>
  </si>
  <si>
    <t>INV102690</t>
  </si>
  <si>
    <t>INV102691</t>
  </si>
  <si>
    <t>INV102692</t>
  </si>
  <si>
    <t>INV102693</t>
  </si>
  <si>
    <t>INV102694</t>
  </si>
  <si>
    <t>INV102695</t>
  </si>
  <si>
    <t>INV102696</t>
  </si>
  <si>
    <t>INV102697</t>
  </si>
  <si>
    <t>INV102698</t>
  </si>
  <si>
    <t>INV102699</t>
  </si>
  <si>
    <t>INV102700</t>
  </si>
  <si>
    <t>INV102701</t>
  </si>
  <si>
    <t>INV102702</t>
  </si>
  <si>
    <t>INV102703</t>
  </si>
  <si>
    <t>INV102704</t>
  </si>
  <si>
    <t>INV102705</t>
  </si>
  <si>
    <t>INV102706</t>
  </si>
  <si>
    <t>INV102707</t>
  </si>
  <si>
    <t>INV102708</t>
  </si>
  <si>
    <t>INV102709</t>
  </si>
  <si>
    <t>INV102710</t>
  </si>
  <si>
    <t>INV102711</t>
  </si>
  <si>
    <t>INV102712</t>
  </si>
  <si>
    <t>INV102713</t>
  </si>
  <si>
    <t>INV102714</t>
  </si>
  <si>
    <t>INV102715</t>
  </si>
  <si>
    <t>INV102716</t>
  </si>
  <si>
    <t>INV102717</t>
  </si>
  <si>
    <t>INV102718</t>
  </si>
  <si>
    <t>INV102719</t>
  </si>
  <si>
    <t>INV102720</t>
  </si>
  <si>
    <t>INV102721</t>
  </si>
  <si>
    <t>INV102722</t>
  </si>
  <si>
    <t>INV102723</t>
  </si>
  <si>
    <t>INV102724</t>
  </si>
  <si>
    <t>INV102725</t>
  </si>
  <si>
    <t>INV102726</t>
  </si>
  <si>
    <t>INV102727</t>
  </si>
  <si>
    <t>INV102728</t>
  </si>
  <si>
    <t>INV102729</t>
  </si>
  <si>
    <t>INV102730</t>
  </si>
  <si>
    <t>INV102731</t>
  </si>
  <si>
    <t>INV102732</t>
  </si>
  <si>
    <t>INV102733</t>
  </si>
  <si>
    <t>INV102734</t>
  </si>
  <si>
    <t>INV102735</t>
  </si>
  <si>
    <t>INV102736</t>
  </si>
  <si>
    <t>INV102737</t>
  </si>
  <si>
    <t>INV102738</t>
  </si>
  <si>
    <t>INV102739</t>
  </si>
  <si>
    <t>INV102740</t>
  </si>
  <si>
    <t>INV102741</t>
  </si>
  <si>
    <t>INV102742</t>
  </si>
  <si>
    <t>INV102743</t>
  </si>
  <si>
    <t>INV102744</t>
  </si>
  <si>
    <t>INV102745</t>
  </si>
  <si>
    <t>INV102746</t>
  </si>
  <si>
    <t>INV102747</t>
  </si>
  <si>
    <t>13:32</t>
  </si>
  <si>
    <t>INV102748</t>
  </si>
  <si>
    <t>INV102749</t>
  </si>
  <si>
    <t>INV102750</t>
  </si>
  <si>
    <t>INV102751</t>
  </si>
  <si>
    <t>INV102752</t>
  </si>
  <si>
    <t>INV102753</t>
  </si>
  <si>
    <t>INV102754</t>
  </si>
  <si>
    <t>INV102755</t>
  </si>
  <si>
    <t>INV102756</t>
  </si>
  <si>
    <t>INV102757</t>
  </si>
  <si>
    <t>INV102758</t>
  </si>
  <si>
    <t>INV102759</t>
  </si>
  <si>
    <t>INV102760</t>
  </si>
  <si>
    <t>INV102761</t>
  </si>
  <si>
    <t>INV102762</t>
  </si>
  <si>
    <t>INV102763</t>
  </si>
  <si>
    <t>INV102764</t>
  </si>
  <si>
    <t>INV102765</t>
  </si>
  <si>
    <t>INV102766</t>
  </si>
  <si>
    <t>INV102767</t>
  </si>
  <si>
    <t>INV102768</t>
  </si>
  <si>
    <t>INV102769</t>
  </si>
  <si>
    <t>INV102770</t>
  </si>
  <si>
    <t>INV102771</t>
  </si>
  <si>
    <t>INV102772</t>
  </si>
  <si>
    <t>INV102773</t>
  </si>
  <si>
    <t>INV102774</t>
  </si>
  <si>
    <t>INV102775</t>
  </si>
  <si>
    <t>INV102776</t>
  </si>
  <si>
    <t>INV102777</t>
  </si>
  <si>
    <t>INV102778</t>
  </si>
  <si>
    <t>INV102779</t>
  </si>
  <si>
    <t>INV102780</t>
  </si>
  <si>
    <t>INV102781</t>
  </si>
  <si>
    <t>INV102782</t>
  </si>
  <si>
    <t>INV102783</t>
  </si>
  <si>
    <t>INV102784</t>
  </si>
  <si>
    <t>INV102785</t>
  </si>
  <si>
    <t>INV102786</t>
  </si>
  <si>
    <t>14:07</t>
  </si>
  <si>
    <t>INV102787</t>
  </si>
  <si>
    <t>INV102788</t>
  </si>
  <si>
    <t>INV102789</t>
  </si>
  <si>
    <t>INV102790</t>
  </si>
  <si>
    <t>INV102791</t>
  </si>
  <si>
    <t>INV102792</t>
  </si>
  <si>
    <t>INV102793</t>
  </si>
  <si>
    <t>INV102794</t>
  </si>
  <si>
    <t>INV102795</t>
  </si>
  <si>
    <t>INV102796</t>
  </si>
  <si>
    <t>INV102797</t>
  </si>
  <si>
    <t>INV102798</t>
  </si>
  <si>
    <t>INV102799</t>
  </si>
  <si>
    <t>INV102800</t>
  </si>
  <si>
    <t>INV102801</t>
  </si>
  <si>
    <t>INV102802</t>
  </si>
  <si>
    <t>INV102803</t>
  </si>
  <si>
    <t>INV102804</t>
  </si>
  <si>
    <t>INV102805</t>
  </si>
  <si>
    <t>INV102806</t>
  </si>
  <si>
    <t>CUST0134</t>
  </si>
  <si>
    <t>INV102807</t>
  </si>
  <si>
    <t>INV102808</t>
  </si>
  <si>
    <t>INV102809</t>
  </si>
  <si>
    <t>INV102810</t>
  </si>
  <si>
    <t>INV102811</t>
  </si>
  <si>
    <t>INV102812</t>
  </si>
  <si>
    <t>INV102813</t>
  </si>
  <si>
    <t>INV102814</t>
  </si>
  <si>
    <t>INV102815</t>
  </si>
  <si>
    <t>15:53</t>
  </si>
  <si>
    <t>INV102816</t>
  </si>
  <si>
    <t>INV102817</t>
  </si>
  <si>
    <t>INV102818</t>
  </si>
  <si>
    <t>INV102819</t>
  </si>
  <si>
    <t>CUST0836</t>
  </si>
  <si>
    <t>INV102820</t>
  </si>
  <si>
    <t>INV102821</t>
  </si>
  <si>
    <t>INV102822</t>
  </si>
  <si>
    <t>INV102823</t>
  </si>
  <si>
    <t>INV102824</t>
  </si>
  <si>
    <t>INV102825</t>
  </si>
  <si>
    <t>INV102826</t>
  </si>
  <si>
    <t>INV102827</t>
  </si>
  <si>
    <t>INV102828</t>
  </si>
  <si>
    <t>INV102829</t>
  </si>
  <si>
    <t>INV102830</t>
  </si>
  <si>
    <t>INV102831</t>
  </si>
  <si>
    <t>INV102832</t>
  </si>
  <si>
    <t>CUST0530</t>
  </si>
  <si>
    <t>INV102833</t>
  </si>
  <si>
    <t>INV102834</t>
  </si>
  <si>
    <t>INV102835</t>
  </si>
  <si>
    <t>INV102836</t>
  </si>
  <si>
    <t>INV102837</t>
  </si>
  <si>
    <t>INV102838</t>
  </si>
  <si>
    <t>INV102839</t>
  </si>
  <si>
    <t>INV102840</t>
  </si>
  <si>
    <t>INV102841</t>
  </si>
  <si>
    <t>INV102842</t>
  </si>
  <si>
    <t>INV102843</t>
  </si>
  <si>
    <t>INV102844</t>
  </si>
  <si>
    <t>INV102845</t>
  </si>
  <si>
    <t>INV102846</t>
  </si>
  <si>
    <t>INV102847</t>
  </si>
  <si>
    <t>INV102848</t>
  </si>
  <si>
    <t>CUST0409</t>
  </si>
  <si>
    <t>INV102849</t>
  </si>
  <si>
    <t>INV102850</t>
  </si>
  <si>
    <t>CUST0817</t>
  </si>
  <si>
    <t>INV102851</t>
  </si>
  <si>
    <t>INV102852</t>
  </si>
  <si>
    <t>INV102853</t>
  </si>
  <si>
    <t>INV102854</t>
  </si>
  <si>
    <t>INV102855</t>
  </si>
  <si>
    <t>INV102856</t>
  </si>
  <si>
    <t>INV102857</t>
  </si>
  <si>
    <t>INV102858</t>
  </si>
  <si>
    <t>INV102859</t>
  </si>
  <si>
    <t>INV102860</t>
  </si>
  <si>
    <t>INV102861</t>
  </si>
  <si>
    <t>INV102862</t>
  </si>
  <si>
    <t>INV102863</t>
  </si>
  <si>
    <t>INV102864</t>
  </si>
  <si>
    <t>INV102865</t>
  </si>
  <si>
    <t>INV102866</t>
  </si>
  <si>
    <t>INV102867</t>
  </si>
  <si>
    <t>INV102868</t>
  </si>
  <si>
    <t>INV102869</t>
  </si>
  <si>
    <t>INV102870</t>
  </si>
  <si>
    <t>INV102871</t>
  </si>
  <si>
    <t>INV102872</t>
  </si>
  <si>
    <t>INV102873</t>
  </si>
  <si>
    <t>INV102874</t>
  </si>
  <si>
    <t>INV102875</t>
  </si>
  <si>
    <t>INV102876</t>
  </si>
  <si>
    <t>INV102877</t>
  </si>
  <si>
    <t>INV102878</t>
  </si>
  <si>
    <t>INV102879</t>
  </si>
  <si>
    <t>INV102880</t>
  </si>
  <si>
    <t>INV102881</t>
  </si>
  <si>
    <t>INV102882</t>
  </si>
  <si>
    <t>INV102883</t>
  </si>
  <si>
    <t>INV102884</t>
  </si>
  <si>
    <t>INV102885</t>
  </si>
  <si>
    <t>INV102886</t>
  </si>
  <si>
    <t>INV102887</t>
  </si>
  <si>
    <t>INV102888</t>
  </si>
  <si>
    <t>INV102889</t>
  </si>
  <si>
    <t>INV102890</t>
  </si>
  <si>
    <t>INV102891</t>
  </si>
  <si>
    <t>INV102892</t>
  </si>
  <si>
    <t>INV102893</t>
  </si>
  <si>
    <t>INV102894</t>
  </si>
  <si>
    <t>INV102895</t>
  </si>
  <si>
    <t>INV102896</t>
  </si>
  <si>
    <t>INV102897</t>
  </si>
  <si>
    <t>INV102898</t>
  </si>
  <si>
    <t>INV102899</t>
  </si>
  <si>
    <t>INV102900</t>
  </si>
  <si>
    <t>INV102901</t>
  </si>
  <si>
    <t>INV102902</t>
  </si>
  <si>
    <t>INV102903</t>
  </si>
  <si>
    <t>INV102904</t>
  </si>
  <si>
    <t>INV102905</t>
  </si>
  <si>
    <t>INV102906</t>
  </si>
  <si>
    <t>INV102907</t>
  </si>
  <si>
    <t>INV102908</t>
  </si>
  <si>
    <t>INV102909</t>
  </si>
  <si>
    <t>INV102910</t>
  </si>
  <si>
    <t>INV102911</t>
  </si>
  <si>
    <t>INV102912</t>
  </si>
  <si>
    <t>INV102913</t>
  </si>
  <si>
    <t>INV102914</t>
  </si>
  <si>
    <t>INV102915</t>
  </si>
  <si>
    <t>INV102916</t>
  </si>
  <si>
    <t>INV102917</t>
  </si>
  <si>
    <t>INV102918</t>
  </si>
  <si>
    <t>INV102919</t>
  </si>
  <si>
    <t>INV102920</t>
  </si>
  <si>
    <t>INV102921</t>
  </si>
  <si>
    <t>INV102922</t>
  </si>
  <si>
    <t>INV102923</t>
  </si>
  <si>
    <t>INV102924</t>
  </si>
  <si>
    <t>INV102925</t>
  </si>
  <si>
    <t>INV102926</t>
  </si>
  <si>
    <t>INV102927</t>
  </si>
  <si>
    <t>INV102928</t>
  </si>
  <si>
    <t>INV102929</t>
  </si>
  <si>
    <t>INV102930</t>
  </si>
  <si>
    <t>INV102931</t>
  </si>
  <si>
    <t>INV102932</t>
  </si>
  <si>
    <t>INV102933</t>
  </si>
  <si>
    <t>INV102934</t>
  </si>
  <si>
    <t>INV102935</t>
  </si>
  <si>
    <t>INV102936</t>
  </si>
  <si>
    <t>INV102937</t>
  </si>
  <si>
    <t>INV102938</t>
  </si>
  <si>
    <t>INV102939</t>
  </si>
  <si>
    <t>INV102940</t>
  </si>
  <si>
    <t>INV102941</t>
  </si>
  <si>
    <t>INV102942</t>
  </si>
  <si>
    <t>INV102943</t>
  </si>
  <si>
    <t>INV102944</t>
  </si>
  <si>
    <t>INV102945</t>
  </si>
  <si>
    <t>INV102946</t>
  </si>
  <si>
    <t>INV102947</t>
  </si>
  <si>
    <t>INV102948</t>
  </si>
  <si>
    <t>INV102949</t>
  </si>
  <si>
    <t>INV102950</t>
  </si>
  <si>
    <t>INV102951</t>
  </si>
  <si>
    <t>INV102952</t>
  </si>
  <si>
    <t>INV102953</t>
  </si>
  <si>
    <t>INV102954</t>
  </si>
  <si>
    <t>INV102955</t>
  </si>
  <si>
    <t>INV102956</t>
  </si>
  <si>
    <t>INV102957</t>
  </si>
  <si>
    <t>INV102958</t>
  </si>
  <si>
    <t>INV102959</t>
  </si>
  <si>
    <t>INV102960</t>
  </si>
  <si>
    <t>INV102961</t>
  </si>
  <si>
    <t>CUST0021</t>
  </si>
  <si>
    <t>INV102962</t>
  </si>
  <si>
    <t>INV102963</t>
  </si>
  <si>
    <t>INV102964</t>
  </si>
  <si>
    <t>INV102965</t>
  </si>
  <si>
    <t>INV102966</t>
  </si>
  <si>
    <t>INV102967</t>
  </si>
  <si>
    <t>INV102968</t>
  </si>
  <si>
    <t>INV102969</t>
  </si>
  <si>
    <t>INV102970</t>
  </si>
  <si>
    <t>INV102971</t>
  </si>
  <si>
    <t>INV102972</t>
  </si>
  <si>
    <t>INV102973</t>
  </si>
  <si>
    <t>INV102974</t>
  </si>
  <si>
    <t>INV102975</t>
  </si>
  <si>
    <t>INV102976</t>
  </si>
  <si>
    <t>INV102977</t>
  </si>
  <si>
    <t>INV102978</t>
  </si>
  <si>
    <t>INV102979</t>
  </si>
  <si>
    <t>INV102980</t>
  </si>
  <si>
    <t>INV102981</t>
  </si>
  <si>
    <t>INV102982</t>
  </si>
  <si>
    <t>INV102983</t>
  </si>
  <si>
    <t>INV102984</t>
  </si>
  <si>
    <t>INV102985</t>
  </si>
  <si>
    <t>INV102986</t>
  </si>
  <si>
    <t>INV102987</t>
  </si>
  <si>
    <t>14:03</t>
  </si>
  <si>
    <t>INV102988</t>
  </si>
  <si>
    <t>INV102989</t>
  </si>
  <si>
    <t>INV102990</t>
  </si>
  <si>
    <t>INV102991</t>
  </si>
  <si>
    <t>INV102992</t>
  </si>
  <si>
    <t>INV102993</t>
  </si>
  <si>
    <t>INV102994</t>
  </si>
  <si>
    <t>INV102995</t>
  </si>
  <si>
    <t>INV102996</t>
  </si>
  <si>
    <t>INV102997</t>
  </si>
  <si>
    <t>INV102998</t>
  </si>
  <si>
    <t>INV102999</t>
  </si>
  <si>
    <t>INV103000</t>
  </si>
  <si>
    <t>Customer Name</t>
  </si>
  <si>
    <t>Gender</t>
  </si>
  <si>
    <t>DOB</t>
  </si>
  <si>
    <t>Phone</t>
  </si>
  <si>
    <t>Email</t>
  </si>
  <si>
    <t>City</t>
  </si>
  <si>
    <t>State</t>
  </si>
  <si>
    <t>Registration Date</t>
  </si>
  <si>
    <t>Occupation</t>
  </si>
  <si>
    <t>Duplicate_Phone_Flag</t>
  </si>
  <si>
    <t>Invalid_Email_Flag</t>
  </si>
  <si>
    <t>Yamini Krishnan</t>
  </si>
  <si>
    <t>Female</t>
  </si>
  <si>
    <t>yamini.krishnan1@yahoo.com</t>
  </si>
  <si>
    <t>Belagavi</t>
  </si>
  <si>
    <t>Karnataka</t>
  </si>
  <si>
    <t>Nurse</t>
  </si>
  <si>
    <t>Vasanthi Subramaniam</t>
  </si>
  <si>
    <t>vasanthi.subramaniam2@yahoo.com</t>
  </si>
  <si>
    <t>Tirupati</t>
  </si>
  <si>
    <t>Andhra Pradesh</t>
  </si>
  <si>
    <t>HR Professional</t>
  </si>
  <si>
    <t>Swathi Bhat</t>
  </si>
  <si>
    <t>swathi.bhat3@outlook.com</t>
  </si>
  <si>
    <t>Vellore</t>
  </si>
  <si>
    <t>Tamil Nadu</t>
  </si>
  <si>
    <t>Business Owner</t>
  </si>
  <si>
    <t>Bindu Varma</t>
  </si>
  <si>
    <t>bindu.varma4@rediffmail.com</t>
  </si>
  <si>
    <t>Nellore</t>
  </si>
  <si>
    <t>Marketing Professional</t>
  </si>
  <si>
    <t>Indira Raman</t>
  </si>
  <si>
    <t>indira.raman5@outlook.com</t>
  </si>
  <si>
    <t>Kochi</t>
  </si>
  <si>
    <t>Kerala</t>
  </si>
  <si>
    <t>Sales Professional</t>
  </si>
  <si>
    <t>Rajesh Gopalakrishnan</t>
  </si>
  <si>
    <t>Male</t>
  </si>
  <si>
    <t>rajesh.gopalakrishnan6@hotmail.com</t>
  </si>
  <si>
    <t>Karimnagar</t>
  </si>
  <si>
    <t>Telangana</t>
  </si>
  <si>
    <t>Software Engineer</t>
  </si>
  <si>
    <t>Sangeeta Gounder</t>
  </si>
  <si>
    <t>sangeeta.gounder7@hotmail.com</t>
  </si>
  <si>
    <t>Mysuru</t>
  </si>
  <si>
    <t>Teacher</t>
  </si>
  <si>
    <t>Deepthi Naicker</t>
  </si>
  <si>
    <t>deepthi.naicker8@rediffmail.com</t>
  </si>
  <si>
    <t>Nizamabad</t>
  </si>
  <si>
    <t>Architect</t>
  </si>
  <si>
    <t>Rajesh Srinivasan</t>
  </si>
  <si>
    <t>rajesh.srinivasan9@outlook.com</t>
  </si>
  <si>
    <t>Tirunelveli</t>
  </si>
  <si>
    <t>Consultant</t>
  </si>
  <si>
    <t>Divya Sharma</t>
  </si>
  <si>
    <t>divya.sharma10@outlook.com</t>
  </si>
  <si>
    <t>Chandrika Natarajan</t>
  </si>
  <si>
    <t>chandrika.natarajan11@yahoo.com</t>
  </si>
  <si>
    <t>Visakhapatnam</t>
  </si>
  <si>
    <t>Freelancer</t>
  </si>
  <si>
    <t>Anil Iyengar</t>
  </si>
  <si>
    <t>anil.iyengar12@gmail.com</t>
  </si>
  <si>
    <t>Hemanth Sundaram</t>
  </si>
  <si>
    <t>hemanth.sundaram13@hotmail.com</t>
  </si>
  <si>
    <t>Madurai</t>
  </si>
  <si>
    <t>Nandini Gupta</t>
  </si>
  <si>
    <t>nandini.gupta14@rediffmail.com</t>
  </si>
  <si>
    <t>Guntur</t>
  </si>
  <si>
    <t>Shop Owner</t>
  </si>
  <si>
    <t>Sunita Chettiar</t>
  </si>
  <si>
    <t>sunita.chettiar15@yahoo.com</t>
  </si>
  <si>
    <t>Uma Sundaram</t>
  </si>
  <si>
    <t>uma.sundaram16@gmail.com</t>
  </si>
  <si>
    <t>Tiruchirappalli</t>
  </si>
  <si>
    <t>Accountant</t>
  </si>
  <si>
    <t>Varsha Subramaniam</t>
  </si>
  <si>
    <t>varsha.subramaniam17@gmail.com</t>
  </si>
  <si>
    <t>Vijayawada</t>
  </si>
  <si>
    <t>Sandeep Chetty</t>
  </si>
  <si>
    <t>sandeep.chetty18@gmail.com</t>
  </si>
  <si>
    <t>Engineer</t>
  </si>
  <si>
    <t>Sanjay Singh</t>
  </si>
  <si>
    <t>sanjay.singh19@gmail.com</t>
  </si>
  <si>
    <t>Akhila Rao</t>
  </si>
  <si>
    <t>akhila.rao20@gmail.com</t>
  </si>
  <si>
    <t>Preethi Hegde</t>
  </si>
  <si>
    <t>preethi.hegde21@hotmail.com</t>
  </si>
  <si>
    <t>Bank Employee</t>
  </si>
  <si>
    <t>Hariharan Sundaram</t>
  </si>
  <si>
    <t>hariharan.sundaram22@gmail.com</t>
  </si>
  <si>
    <t>Lawyer</t>
  </si>
  <si>
    <t>Gayathri Murthy</t>
  </si>
  <si>
    <t>gayathri.murthy23@outlook.com</t>
  </si>
  <si>
    <t>Coimbatore</t>
  </si>
  <si>
    <t>Bhagya Chetty</t>
  </si>
  <si>
    <t>bhagya.chetty24@hotmail.com</t>
  </si>
  <si>
    <t>Davanagere</t>
  </si>
  <si>
    <t>Divya Achari</t>
  </si>
  <si>
    <t>divya.achari25@yahoo.com</t>
  </si>
  <si>
    <t>Kannur</t>
  </si>
  <si>
    <t>Student</t>
  </si>
  <si>
    <t>Vikram Nair</t>
  </si>
  <si>
    <t>vikram.nair26@outlook.com</t>
  </si>
  <si>
    <t>Thrissur</t>
  </si>
  <si>
    <t>Government Employee</t>
  </si>
  <si>
    <t>Hariharan Menon</t>
  </si>
  <si>
    <t>hariharan.menon27@yahoo.com</t>
  </si>
  <si>
    <t>Hubballi</t>
  </si>
  <si>
    <t>Retired</t>
  </si>
  <si>
    <t>Chitra Reddy</t>
  </si>
  <si>
    <t>chitra.reddy28@yahoo.com</t>
  </si>
  <si>
    <t>Kollam</t>
  </si>
  <si>
    <t>Janani Chettiar</t>
  </si>
  <si>
    <t>janani.chettiar29@rediffmail.com</t>
  </si>
  <si>
    <t>Revathi Iyengar</t>
  </si>
  <si>
    <t>revathi.iyengar30@outlook.com</t>
  </si>
  <si>
    <t>Tarun Pillai</t>
  </si>
  <si>
    <t>tarun.pillai31@rediffmail.com</t>
  </si>
  <si>
    <t>Shivamogga</t>
  </si>
  <si>
    <t>Naveen Balasubramaniam</t>
  </si>
  <si>
    <t>naveen.balasubramaniam32@rediffmail.com</t>
  </si>
  <si>
    <t>Vidya Varma</t>
  </si>
  <si>
    <t>vidya.varma33@gmail.com</t>
  </si>
  <si>
    <t>Hyderabad</t>
  </si>
  <si>
    <t>Bhagya Sundaram</t>
  </si>
  <si>
    <t>bhagya.sundaram34@rediffmail.com</t>
  </si>
  <si>
    <t>Sunita Rao</t>
  </si>
  <si>
    <t>sunita.rao35@rediffmail.com</t>
  </si>
  <si>
    <t>Harini Gopalakrishnan</t>
  </si>
  <si>
    <t>harini.gopalakrishnan36@gmail.com</t>
  </si>
  <si>
    <t>Homemaker</t>
  </si>
  <si>
    <t>Malathi Naicker</t>
  </si>
  <si>
    <t>malathi.naicker37@gmail.com</t>
  </si>
  <si>
    <t>Doctor</t>
  </si>
  <si>
    <t>Revathi Sharma</t>
  </si>
  <si>
    <t>revathi.sharma38@rediffmail.com</t>
  </si>
  <si>
    <t>Chennai</t>
  </si>
  <si>
    <t>Thiru Chandran</t>
  </si>
  <si>
    <t>thiru.chandran39@gmail.com</t>
  </si>
  <si>
    <t>Gokul Chetty</t>
  </si>
  <si>
    <t>gokul.chetty40@gmail.com</t>
  </si>
  <si>
    <t>Lakshmi Subramaniam</t>
  </si>
  <si>
    <t>lakshmi.subramaniam41@yahoo.com</t>
  </si>
  <si>
    <t>Varsha Nair</t>
  </si>
  <si>
    <t>varsha.nair42@gmail.com</t>
  </si>
  <si>
    <t>Suresh Shetty</t>
  </si>
  <si>
    <t>suresh.shetty43@hotmail.com</t>
  </si>
  <si>
    <t>Thiru Natarajan</t>
  </si>
  <si>
    <t>thiru.natarajan44@hotmail.com</t>
  </si>
  <si>
    <t>Yamini Prasad</t>
  </si>
  <si>
    <t>yamini.prasad45@yahoo.com</t>
  </si>
  <si>
    <t>Saranya Rao</t>
  </si>
  <si>
    <t>saranya.rao46@hotmail.com</t>
  </si>
  <si>
    <t>Thoothukudi</t>
  </si>
  <si>
    <t>Chidambaram Naidu</t>
  </si>
  <si>
    <t>chidambaram.naidu47@rediffmail.com</t>
  </si>
  <si>
    <t>Janani Shetty</t>
  </si>
  <si>
    <t>janani.shetty48@gmail.com</t>
  </si>
  <si>
    <t>Anand Pandian</t>
  </si>
  <si>
    <t>anand.pandian49@rediffmail.com</t>
  </si>
  <si>
    <t>Mangaluru</t>
  </si>
  <si>
    <t>Haritha Shetty</t>
  </si>
  <si>
    <t>haritha.shetty50@gmail.com</t>
  </si>
  <si>
    <t>Eswar Sharma</t>
  </si>
  <si>
    <t>eswar.sharma51@gmail.com</t>
  </si>
  <si>
    <t>Thiruvananthapuram</t>
  </si>
  <si>
    <t>Dhruv Achari</t>
  </si>
  <si>
    <t>dhruv.achari52@gmail.com</t>
  </si>
  <si>
    <t>Girish Kamath</t>
  </si>
  <si>
    <t>girish.kamath53@hotmail.com</t>
  </si>
  <si>
    <t>Erode</t>
  </si>
  <si>
    <t>Priya Yadav</t>
  </si>
  <si>
    <t>priya.yadav54@outlook.com</t>
  </si>
  <si>
    <t>Jaya Gopalakrishnan</t>
  </si>
  <si>
    <t>jaya.gopalakrishnan55@hotmail.com</t>
  </si>
  <si>
    <t>Uma Nair</t>
  </si>
  <si>
    <t>uma.nair56@gmail.com</t>
  </si>
  <si>
    <t>Bharathi Natarajan</t>
  </si>
  <si>
    <t>bharathi.natarajan57@hotmail.com</t>
  </si>
  <si>
    <t>Kalaburagi</t>
  </si>
  <si>
    <t>Gopal Subramaniam</t>
  </si>
  <si>
    <t>gopal.subramaniam58@gmail.com</t>
  </si>
  <si>
    <t>Sathish Gounder</t>
  </si>
  <si>
    <t>sathish.gounder59@hotmail.com</t>
  </si>
  <si>
    <t>Karunakaran Yadav</t>
  </si>
  <si>
    <t>karunakaran.yadav60@yahoo.com</t>
  </si>
  <si>
    <t>Dhruv Gowda</t>
  </si>
  <si>
    <t>dhruv.gowda61@hotmail.com</t>
  </si>
  <si>
    <t>Kannan Kumar</t>
  </si>
  <si>
    <t>kannan.kumar62@gmail.com</t>
  </si>
  <si>
    <t>karunakaran.yadav63@yahoo.com</t>
  </si>
  <si>
    <t>Priya Gopalakrishnan</t>
  </si>
  <si>
    <t>priya.gopalakrishnan64@yahoo.com</t>
  </si>
  <si>
    <t>Alappuzha</t>
  </si>
  <si>
    <t>Meena Gopalakrishnan</t>
  </si>
  <si>
    <t>meena.gopalakrishnan65@gmail.com</t>
  </si>
  <si>
    <t>Chandrika Bhat</t>
  </si>
  <si>
    <t>chandrika.bhat66@outlook.com</t>
  </si>
  <si>
    <t>Khammam</t>
  </si>
  <si>
    <t>Uday Kamath</t>
  </si>
  <si>
    <t>uday.kamath67@outlook.com</t>
  </si>
  <si>
    <t>Eswar Raman</t>
  </si>
  <si>
    <t>eswar.raman68@yahoo.com</t>
  </si>
  <si>
    <t>Karunakaran Nair</t>
  </si>
  <si>
    <t>karunakaran.nair69@outlook.com</t>
  </si>
  <si>
    <t>Dhanya Gupta</t>
  </si>
  <si>
    <t>dhanya.gupta70@hotmail.com</t>
  </si>
  <si>
    <t>CUST0071</t>
  </si>
  <si>
    <t>Jyothi Varma</t>
  </si>
  <si>
    <t>jyothi.varma71@rediffmail.com</t>
  </si>
  <si>
    <t>Rohit Gupta</t>
  </si>
  <si>
    <t>rohit.gupta72@gmail.com</t>
  </si>
  <si>
    <t>Sunita Menon</t>
  </si>
  <si>
    <t>sunita.menon73@gmail.com</t>
  </si>
  <si>
    <t>Kurnool</t>
  </si>
  <si>
    <t>Jagan Venkatesan</t>
  </si>
  <si>
    <t>jagan.venkatesan74@gmail.com</t>
  </si>
  <si>
    <t>Elango Sharma</t>
  </si>
  <si>
    <t>elango.sharma75@outlook.com</t>
  </si>
  <si>
    <t>Devraj Reddy</t>
  </si>
  <si>
    <t>devraj.reddy76@outlook.com</t>
  </si>
  <si>
    <t>Selvam Hegde</t>
  </si>
  <si>
    <t>selvam.hegde77@rediffmail.com</t>
  </si>
  <si>
    <t>Bengaluru</t>
  </si>
  <si>
    <t>Varsha Iyengar</t>
  </si>
  <si>
    <t>varsha.iyengar78@yahoo.com</t>
  </si>
  <si>
    <t>Kozhikode</t>
  </si>
  <si>
    <t>Dhruv Natarajan</t>
  </si>
  <si>
    <t>dhruv.natarajan79@hotmail.com</t>
  </si>
  <si>
    <t>Arun Chettiar</t>
  </si>
  <si>
    <t>arun.chettiar80@yahoo.com</t>
  </si>
  <si>
    <t>Padma Singh</t>
  </si>
  <si>
    <t>padma.singh81@gmail.com</t>
  </si>
  <si>
    <t>Saranya Gounder</t>
  </si>
  <si>
    <t>saranya.gounder82@yahoo.com</t>
  </si>
  <si>
    <t>Chandrika Gowda</t>
  </si>
  <si>
    <t>chandrika.gowda83@outlook.com</t>
  </si>
  <si>
    <t>Hari Kamath</t>
  </si>
  <si>
    <t>hari.kamath84@hotmail.com</t>
  </si>
  <si>
    <t>Devraj Iyengar</t>
  </si>
  <si>
    <t>devraj.iyengar85@yahoo.com</t>
  </si>
  <si>
    <t>Manikandan Shetty</t>
  </si>
  <si>
    <t>manikandan.shetty86@hotmail.com</t>
  </si>
  <si>
    <t>Gauri Gowda</t>
  </si>
  <si>
    <t>gauri.gowda87@gmail.com</t>
  </si>
  <si>
    <t>Harini Venkatesan</t>
  </si>
  <si>
    <t>harini.venkatesan88@yahoo.com</t>
  </si>
  <si>
    <t>Janani Murthy</t>
  </si>
  <si>
    <t>janani.murthy89@rediffmail.com</t>
  </si>
  <si>
    <t>Revathi Pillai</t>
  </si>
  <si>
    <t>revathi.pillai90@rediffmail.com</t>
  </si>
  <si>
    <t>Eshwari Chandran</t>
  </si>
  <si>
    <t>eshwari.chandran91@rediffmail.com</t>
  </si>
  <si>
    <t>Warangal</t>
  </si>
  <si>
    <t>Jayaram Kumar</t>
  </si>
  <si>
    <t>jayaram.kumar92@yahoo.com</t>
  </si>
  <si>
    <t>Deepak Yadav</t>
  </si>
  <si>
    <t>deepak.yadav93@hotmail.com</t>
  </si>
  <si>
    <t>Hari Iyengar</t>
  </si>
  <si>
    <t>hari.iyengar94@rediffmail.com</t>
  </si>
  <si>
    <t>CUST0095</t>
  </si>
  <si>
    <t>Kavitha Iyer</t>
  </si>
  <si>
    <t>kavitha.iyer95@hotmail.com</t>
  </si>
  <si>
    <t>Tara Gopalakrishnan</t>
  </si>
  <si>
    <t>tara.gopalakrishnan96@hotmail.com</t>
  </si>
  <si>
    <t>Neelam Varma</t>
  </si>
  <si>
    <t>neelam.varma97@yahoo.com</t>
  </si>
  <si>
    <t>Hariharan Rao</t>
  </si>
  <si>
    <t>hariharan.rao98@hotmail.com</t>
  </si>
  <si>
    <t>Revathi Nair</t>
  </si>
  <si>
    <t>revathi.nair99@outlook.com</t>
  </si>
  <si>
    <t>Chidambaram Rao</t>
  </si>
  <si>
    <t>chidambaram.rao100@yahoo.com</t>
  </si>
  <si>
    <t>CUST0101</t>
  </si>
  <si>
    <t>Geetha Shetty</t>
  </si>
  <si>
    <t>geetha.shetty101@yahoo.com</t>
  </si>
  <si>
    <t>Naveen Gowda</t>
  </si>
  <si>
    <t>naveen.gowda102@gmail.com</t>
  </si>
  <si>
    <t>Yogesh Venkatesan</t>
  </si>
  <si>
    <t>yogesh.venkatesan103@outlook.com</t>
  </si>
  <si>
    <t>Vinod Ramachandran</t>
  </si>
  <si>
    <t>vinod.ramachandran104@hotmail.com</t>
  </si>
  <si>
    <t>Rohit Chettiar</t>
  </si>
  <si>
    <t>rohit.chettiar105@yahoo.com</t>
  </si>
  <si>
    <t>Chandrika Gopalakrishnan</t>
  </si>
  <si>
    <t>chandrika.gopalakrishnan106@rediffmail.com</t>
  </si>
  <si>
    <t>Siddharth Subramaniam</t>
  </si>
  <si>
    <t>siddharth.subramaniam107@yahoo.com</t>
  </si>
  <si>
    <t>Dindigul</t>
  </si>
  <si>
    <t>Mahesh Gounder</t>
  </si>
  <si>
    <t>mahesh.gounder108@yahoo.com</t>
  </si>
  <si>
    <t>Salem</t>
  </si>
  <si>
    <t>Jayaram Varma</t>
  </si>
  <si>
    <t>jayaram.varma109@yahoo.com</t>
  </si>
  <si>
    <t>Pandian Iyer</t>
  </si>
  <si>
    <t>pandian.iyer110@gmail.com</t>
  </si>
  <si>
    <t>Manoj Balasubramaniam</t>
  </si>
  <si>
    <t>manoj.balasubramaniam111@outlook.com</t>
  </si>
  <si>
    <t>Bhavani Sharma</t>
  </si>
  <si>
    <t>bhavani.sharma112@hotmail.com</t>
  </si>
  <si>
    <t>Deepthi Gopalakrishnan</t>
  </si>
  <si>
    <t>deepthi.gopalakrishnan113@hotmail.com</t>
  </si>
  <si>
    <t>Manikandan Gupta</t>
  </si>
  <si>
    <t>manikandan.gupta114@rediffmail.com</t>
  </si>
  <si>
    <t>Chandrika Iyer</t>
  </si>
  <si>
    <t>chandrika.iyer115@hotmail.com</t>
  </si>
  <si>
    <t>Tumakuru</t>
  </si>
  <si>
    <t>Lavanya Krishnan</t>
  </si>
  <si>
    <t>lavanya.krishnan116@outlook.com</t>
  </si>
  <si>
    <t>Jyothi Achari</t>
  </si>
  <si>
    <t>jyothi.achari117@gmail.com</t>
  </si>
  <si>
    <t>Hema Iyengar</t>
  </si>
  <si>
    <t>hema.iyengar118@rediffmail.com</t>
  </si>
  <si>
    <t>Meena Gounder</t>
  </si>
  <si>
    <t>meena.gounder119@gmail.com</t>
  </si>
  <si>
    <t>Yogesh Bhat</t>
  </si>
  <si>
    <t>yogesh.bhat120@outlook.com</t>
  </si>
  <si>
    <t>Srinivas Prasad</t>
  </si>
  <si>
    <t>srinivas.prasad121@yahoo.com</t>
  </si>
  <si>
    <t>Charulatha Iyengar</t>
  </si>
  <si>
    <t>charulatha.iyengar122@rediffmail.com</t>
  </si>
  <si>
    <t>Kiran Venkatesan</t>
  </si>
  <si>
    <t>kiran.venkatesan123@hotmail.com</t>
  </si>
  <si>
    <t>Kalyani Shetty</t>
  </si>
  <si>
    <t>kalyani.shetty124@hotmail.com</t>
  </si>
  <si>
    <t>Mahesh Ramachandran</t>
  </si>
  <si>
    <t>mahesh.ramachandran125@yahoo.com</t>
  </si>
  <si>
    <t>Naveen Bhat</t>
  </si>
  <si>
    <t>naveen.bhat126@hotmail.com</t>
  </si>
  <si>
    <t>Karunakaran Chandran</t>
  </si>
  <si>
    <t>karunakaran.chandran127@rediffmail.com</t>
  </si>
  <si>
    <t>Jagan Balasubramaniam</t>
  </si>
  <si>
    <t>jagan.balasubramaniam128@outlook.com</t>
  </si>
  <si>
    <t>Gokul Nair</t>
  </si>
  <si>
    <t>gokul.nair129@hotmail.com</t>
  </si>
  <si>
    <t>Tejaswini Murthy</t>
  </si>
  <si>
    <t>tejaswini.murthy130@gmail.com</t>
  </si>
  <si>
    <t>jyothi.achari131@outlook.com</t>
  </si>
  <si>
    <t>Anusuya Gounder</t>
  </si>
  <si>
    <t>anusuya.gounder132@hotmail.com</t>
  </si>
  <si>
    <t>Anil Gounder</t>
  </si>
  <si>
    <t>anil.gounder133@gmail.com</t>
  </si>
  <si>
    <t>Neelam Natarajan</t>
  </si>
  <si>
    <t>neelam.natarajan134@outlook.com</t>
  </si>
  <si>
    <t>Naresh Murthy</t>
  </si>
  <si>
    <t>naresh.murthy135@gmail.com</t>
  </si>
  <si>
    <t>Latha Gounder</t>
  </si>
  <si>
    <t>latha.gounder136@rediffmail.com</t>
  </si>
  <si>
    <t>Meena Ramachandran</t>
  </si>
  <si>
    <t>meena.ramachandran137@rediffmail.com</t>
  </si>
  <si>
    <t>Vani Menon</t>
  </si>
  <si>
    <t>vani.menon138@rediffmail.com</t>
  </si>
  <si>
    <t>CUST0139</t>
  </si>
  <si>
    <t>Rahul Achari</t>
  </si>
  <si>
    <t>rahul.achari139@outlook.com</t>
  </si>
  <si>
    <t>Usha Shetty</t>
  </si>
  <si>
    <t>usha.shetty140@gmail.com</t>
  </si>
  <si>
    <t>Pallavi Mishra</t>
  </si>
  <si>
    <t>pallavi.mishra141@outlook.com</t>
  </si>
  <si>
    <t>Nisha Ramachandran</t>
  </si>
  <si>
    <t>nisha.ramachandran142@gmail.com</t>
  </si>
  <si>
    <t>Easwaran Iyengar</t>
  </si>
  <si>
    <t>easwaran.iyengar143@rediffmail.com</t>
  </si>
  <si>
    <t>Gayathri Singh</t>
  </si>
  <si>
    <t>gayathri.singh144@outlook.com</t>
  </si>
  <si>
    <t>Bhavani Gopalakrishnan</t>
  </si>
  <si>
    <t>bhavani.gopalakrishnan145@hotmail.com</t>
  </si>
  <si>
    <t>Janani Sharma</t>
  </si>
  <si>
    <t>janani.sharma146@gmail.com</t>
  </si>
  <si>
    <t>Ashok Venkatesan</t>
  </si>
  <si>
    <t>ashok.venkatesan147@gmail.com</t>
  </si>
  <si>
    <t>Vasu Mudaliar</t>
  </si>
  <si>
    <t>vasu.mudaliar148@yahoo.com</t>
  </si>
  <si>
    <t>Jayaram Yadav</t>
  </si>
  <si>
    <t>jayaram.yadav149@hotmail.com</t>
  </si>
  <si>
    <t>Sowmya Srinivasan</t>
  </si>
  <si>
    <t>sowmya.srinivasan150@hotmail.com</t>
  </si>
  <si>
    <t>Chitra Murthy</t>
  </si>
  <si>
    <t>chitra.murthy151@gmail.com</t>
  </si>
  <si>
    <t>Rahul Chettiar</t>
  </si>
  <si>
    <t>rahul.chettiar152@yahoo.com</t>
  </si>
  <si>
    <t>Hema Pandian</t>
  </si>
  <si>
    <t>hema.pandian153@yahoo.com</t>
  </si>
  <si>
    <t>Suresh Gupta</t>
  </si>
  <si>
    <t>suresh.gupta154@rediffmail.com</t>
  </si>
  <si>
    <t>Karthik Kamath</t>
  </si>
  <si>
    <t>karthik.kamath155@rediffmail.com</t>
  </si>
  <si>
    <t>Rohit Srinivasan</t>
  </si>
  <si>
    <t>rohit.srinivasan156@outlook.com</t>
  </si>
  <si>
    <t>Neelam Srinivasan</t>
  </si>
  <si>
    <t>neelam.srinivasan157@outlook.com</t>
  </si>
  <si>
    <t>Ashok Gounder</t>
  </si>
  <si>
    <t>ashok.gounder158@hotmail.com</t>
  </si>
  <si>
    <t>Ramya Mishra</t>
  </si>
  <si>
    <t>ramya.mishra159@rediffmail.com</t>
  </si>
  <si>
    <t>Gauri Pillai</t>
  </si>
  <si>
    <t>gauri.pillai160@hotmail.com</t>
  </si>
  <si>
    <t>CUST0161</t>
  </si>
  <si>
    <t>Nandini Naicker</t>
  </si>
  <si>
    <t>nandini.naicker161@yahoo.com</t>
  </si>
  <si>
    <t>Tanvi Balasubramaniam</t>
  </si>
  <si>
    <t>tanvi.balasubramaniam162@hotmail.com</t>
  </si>
  <si>
    <t>Pooja Ramachandran</t>
  </si>
  <si>
    <t>pooja.ramachandran163@gmail.com</t>
  </si>
  <si>
    <t>Lokesh Naicker</t>
  </si>
  <si>
    <t>lokesh.naicker164@hotmail.com</t>
  </si>
  <si>
    <t>Sandeep Mishra</t>
  </si>
  <si>
    <t>sandeep.mishra165@rediffmail.com</t>
  </si>
  <si>
    <t>Ramesh Venkatesan</t>
  </si>
  <si>
    <t>ramesh.venkatesan166@outlook.com</t>
  </si>
  <si>
    <t>Muthu Achari</t>
  </si>
  <si>
    <t>muthu.achari167@rediffmail.com</t>
  </si>
  <si>
    <t>Devi Naidu</t>
  </si>
  <si>
    <t>devi.naidu168@yahoo.com</t>
  </si>
  <si>
    <t>Girish Prasad</t>
  </si>
  <si>
    <t>girish.prasad169@outlook.com</t>
  </si>
  <si>
    <t>Eswar Varma</t>
  </si>
  <si>
    <t>eswar.varma170@hotmail.com</t>
  </si>
  <si>
    <t>CUST0171</t>
  </si>
  <si>
    <t>Lavanya Singh</t>
  </si>
  <si>
    <t>lavanya.singh171@yahoo.com</t>
  </si>
  <si>
    <t>Deepak Nair</t>
  </si>
  <si>
    <t>deepak.nair172@outlook.com</t>
  </si>
  <si>
    <t>Bhagya Sharma</t>
  </si>
  <si>
    <t>bhagya.sharma173@gmail.com</t>
  </si>
  <si>
    <t>Preethi Naicker</t>
  </si>
  <si>
    <t>preethi.naicker174@rediffmail.com</t>
  </si>
  <si>
    <t>Akhila Naicker</t>
  </si>
  <si>
    <t>akhila.naicker175@rediffmail.com</t>
  </si>
  <si>
    <t>Jagan Raman</t>
  </si>
  <si>
    <t>jagan.raman176@gmail.com</t>
  </si>
  <si>
    <t>Revathi Yadav</t>
  </si>
  <si>
    <t>revathi.yadav177@rediffmail.com</t>
  </si>
  <si>
    <t>Srinivas Gowda</t>
  </si>
  <si>
    <t>srinivas.gowda178@outlook.com</t>
  </si>
  <si>
    <t>Kavya Venkatesan</t>
  </si>
  <si>
    <t>kavya.venkatesan179@outlook.com</t>
  </si>
  <si>
    <t>gauri.pillai180@outlook.com</t>
  </si>
  <si>
    <t>Gopal Mishra</t>
  </si>
  <si>
    <t>gopal.mishra181@gmail.com</t>
  </si>
  <si>
    <t>Saranya Prasad</t>
  </si>
  <si>
    <t>saranya.prasad182@outlook.com</t>
  </si>
  <si>
    <t>Lokesh Mudaliar</t>
  </si>
  <si>
    <t>lokesh.mudaliar183@outlook.com</t>
  </si>
  <si>
    <t>Tara Ramachandran</t>
  </si>
  <si>
    <t>tara.ramachandran184@gmail.com</t>
  </si>
  <si>
    <t>Jayaram Gupta</t>
  </si>
  <si>
    <t>jayaram.gupta185@yahoo.com</t>
  </si>
  <si>
    <t>Jyothi Iyengar</t>
  </si>
  <si>
    <t>jyothi.iyengar186@outlook.com</t>
  </si>
  <si>
    <t>Vani Nair</t>
  </si>
  <si>
    <t>vani.nair187@gmail.com</t>
  </si>
  <si>
    <t>Vasanthi Srinivasan</t>
  </si>
  <si>
    <t>vasanthi.srinivasan188@hotmail.com</t>
  </si>
  <si>
    <t>Haritha Chettiar</t>
  </si>
  <si>
    <t>haritha.chettiar189@outlook.com</t>
  </si>
  <si>
    <t>Karunakaran Gounder</t>
  </si>
  <si>
    <t>karunakaran.gounder190@yahoo.com</t>
  </si>
  <si>
    <t>Prakash Singh</t>
  </si>
  <si>
    <t>prakash.singh191@gmail.com</t>
  </si>
  <si>
    <t>Bhavani Ramachandran</t>
  </si>
  <si>
    <t>bhavani.ramachandran192@outlook.com</t>
  </si>
  <si>
    <t>Dhruv Pillai</t>
  </si>
  <si>
    <t>dhruv.pillai193@yahoo.com</t>
  </si>
  <si>
    <t>Gopal Sharma</t>
  </si>
  <si>
    <t>gopal.sharma194@yahoo.com</t>
  </si>
  <si>
    <t>Ganapathy Murthy</t>
  </si>
  <si>
    <t>ganapathy.murthy195@hotmail.com</t>
  </si>
  <si>
    <t>rahul.achari196@rediffmail.com</t>
  </si>
  <si>
    <t>Swathi Chandran</t>
  </si>
  <si>
    <t>swathi.chandran197@rediffmail.com</t>
  </si>
  <si>
    <t>Anand Gounder</t>
  </si>
  <si>
    <t>anand.gounder198@hotmail.com</t>
  </si>
  <si>
    <t>Hariharan Iyengar</t>
  </si>
  <si>
    <t>hariharan.iyengar199@hotmail.com</t>
  </si>
  <si>
    <t>Balaji Chettiar</t>
  </si>
  <si>
    <t>balaji.chettiar200@gmail.com</t>
  </si>
  <si>
    <t>Muthu Iyengar</t>
  </si>
  <si>
    <t>muthu.iyengar201@gmail.com</t>
  </si>
  <si>
    <t>Deepthi Chandran</t>
  </si>
  <si>
    <t>deepthi.chandran202@yahoo.com</t>
  </si>
  <si>
    <t>Selvam Natarajan</t>
  </si>
  <si>
    <t>selvam.natarajan203@rediffmail.com</t>
  </si>
  <si>
    <t>Deepthi Rao</t>
  </si>
  <si>
    <t>deepthi.rao204@hotmail.com</t>
  </si>
  <si>
    <t>Anil Mishra</t>
  </si>
  <si>
    <t>anil.mishra205@gmail.com</t>
  </si>
  <si>
    <t>Hemanth Iyer</t>
  </si>
  <si>
    <t>hemanth.iyer206@rediffmail.com</t>
  </si>
  <si>
    <t>Anusuya Chetty</t>
  </si>
  <si>
    <t>anusuya.chetty207@yahoo.com</t>
  </si>
  <si>
    <t>Gauri Sundaram</t>
  </si>
  <si>
    <t>gauri.sundaram208@yahoo.com</t>
  </si>
  <si>
    <t>Vasanthi Kumar</t>
  </si>
  <si>
    <t>vasanthi.kumar209@gmail.com</t>
  </si>
  <si>
    <t>Priya Pandian</t>
  </si>
  <si>
    <t>priya.pandian210@hotmail.com</t>
  </si>
  <si>
    <t>Ramya Iyer</t>
  </si>
  <si>
    <t>ramya.iyer211@hotmail.com</t>
  </si>
  <si>
    <t>Siddharth Gounder</t>
  </si>
  <si>
    <t>siddharth.gounder212@yahoo.com</t>
  </si>
  <si>
    <t>Balaji Bhat</t>
  </si>
  <si>
    <t>balaji.bhat213@outlook.com</t>
  </si>
  <si>
    <t>Bhavani Mudaliar</t>
  </si>
  <si>
    <t>bhavani.mudaliar214@yahoo.com</t>
  </si>
  <si>
    <t>Kavitha Sharma</t>
  </si>
  <si>
    <t>kavitha.sharma215@yahoo.com</t>
  </si>
  <si>
    <t>Srinivas Iyer</t>
  </si>
  <si>
    <t>srinivas.iyer216@gmail.com</t>
  </si>
  <si>
    <t>Revathi Sundaram</t>
  </si>
  <si>
    <t>revathi.sundaram217@outlook.com</t>
  </si>
  <si>
    <t>Gopal Kamath</t>
  </si>
  <si>
    <t>gopal.kamath218@outlook.com</t>
  </si>
  <si>
    <t>Lavanya Shetty</t>
  </si>
  <si>
    <t>lavanya.shetty219@yahoo.com</t>
  </si>
  <si>
    <t>Jagan Chandran</t>
  </si>
  <si>
    <t>jagan.chandran220@rediffmail.com</t>
  </si>
  <si>
    <t>Kiran Kamath</t>
  </si>
  <si>
    <t>kiran.kamath221@yahoo.com</t>
  </si>
  <si>
    <t>Chandra Chettiar</t>
  </si>
  <si>
    <t>chandra.chettiar222@rediffmail.com</t>
  </si>
  <si>
    <t>yogesh.venkatesan223@yahoo.com</t>
  </si>
  <si>
    <t>Chidambaram Yadav</t>
  </si>
  <si>
    <t>chidambaram.yadav224@rediffmail.com</t>
  </si>
  <si>
    <t>Vasanthi Prasad</t>
  </si>
  <si>
    <t>vasanthi.prasad225@outlook.com</t>
  </si>
  <si>
    <t>Hariharan Kamath</t>
  </si>
  <si>
    <t>hariharan.kamath226@rediffmail.com</t>
  </si>
  <si>
    <t>Janani Nair</t>
  </si>
  <si>
    <t>janani.nair227@hotmail.com</t>
  </si>
  <si>
    <t>Ashok Chetty</t>
  </si>
  <si>
    <t>ashok.chetty228@outlook.com</t>
  </si>
  <si>
    <t>Venkat Mudaliar</t>
  </si>
  <si>
    <t>venkat.mudaliar229@rediffmail.com</t>
  </si>
  <si>
    <t>Pallavi Natarajan</t>
  </si>
  <si>
    <t>pallavi.natarajan230@hotmail.com</t>
  </si>
  <si>
    <t>anil.mishra231@rediffmail.com</t>
  </si>
  <si>
    <t>Siddharth Pandian</t>
  </si>
  <si>
    <t>siddharth.pandian232@yahoo.com</t>
  </si>
  <si>
    <t>Easwaran Rao</t>
  </si>
  <si>
    <t>easwaran.rao233@rediffmail.com</t>
  </si>
  <si>
    <t>Dhanya Gopalakrishnan</t>
  </si>
  <si>
    <t>dhanya.gopalakrishnan234@yahoo.com</t>
  </si>
  <si>
    <t>Charulatha Natarajan</t>
  </si>
  <si>
    <t>charulatha.natarajan235@gmail.com</t>
  </si>
  <si>
    <t>Manju Raman</t>
  </si>
  <si>
    <t>manju.raman236@rediffmail.com</t>
  </si>
  <si>
    <t>Ramesh Chandran</t>
  </si>
  <si>
    <t>ramesh.chandran237@outlook.com</t>
  </si>
  <si>
    <t>Vidya Kumar</t>
  </si>
  <si>
    <t>vidya.kumar238@rediffmail.com</t>
  </si>
  <si>
    <t>Elango Reddy</t>
  </si>
  <si>
    <t>elango.reddy239@yahoo.com</t>
  </si>
  <si>
    <t>Jyothi Gounder</t>
  </si>
  <si>
    <t>jyothi.gounder240@yahoo.com</t>
  </si>
  <si>
    <t>Rajesh Chandran</t>
  </si>
  <si>
    <t>rajesh.chandran241@outlook.com</t>
  </si>
  <si>
    <t>Pallavi Yadav</t>
  </si>
  <si>
    <t>pallavi.yadav242@hotmail.com</t>
  </si>
  <si>
    <t>Swathi Yadav</t>
  </si>
  <si>
    <t>swathi.yadav243@yahoo.com</t>
  </si>
  <si>
    <t>Jyothi Balasubramaniam</t>
  </si>
  <si>
    <t>jyothi.balasubramaniam244@yahoo.com</t>
  </si>
  <si>
    <t>Ishwarya Kamath</t>
  </si>
  <si>
    <t>ishwarya.kamath245@hotmail.com</t>
  </si>
  <si>
    <t>Gokul Sharma</t>
  </si>
  <si>
    <t>gokul.sharma246@rediffmail.com</t>
  </si>
  <si>
    <t>Gauri Balasubramaniam</t>
  </si>
  <si>
    <t>gauri.balasubramaniam247@yahoo.com</t>
  </si>
  <si>
    <t>Selvam Reddy</t>
  </si>
  <si>
    <t>selvam.reddy248@outlook.com</t>
  </si>
  <si>
    <t>Mahesh Iyengar</t>
  </si>
  <si>
    <t>mahesh.iyengar249@rediffmail.com</t>
  </si>
  <si>
    <t>Pooja Iyer</t>
  </si>
  <si>
    <t>pooja.iyer250@rediffmail.com</t>
  </si>
  <si>
    <t>Nithya Chettiar</t>
  </si>
  <si>
    <t>nithya.chettiar251@yahoo.com</t>
  </si>
  <si>
    <t>Thiru Gowda</t>
  </si>
  <si>
    <t>thiru.gowda252@rediffmail.com</t>
  </si>
  <si>
    <t>Gayathri Chandran</t>
  </si>
  <si>
    <t>gayathri.chandran253@rediffmail.com</t>
  </si>
  <si>
    <t>CUST0254</t>
  </si>
  <si>
    <t>Hema Chetty</t>
  </si>
  <si>
    <t>hema.chetty254@hotmail.com</t>
  </si>
  <si>
    <t>Akhila Sundaram</t>
  </si>
  <si>
    <t>akhila.sundaram255@yahoo.com</t>
  </si>
  <si>
    <t>Chandra Iyer</t>
  </si>
  <si>
    <t>chandra.iyer256@gmail.com</t>
  </si>
  <si>
    <t>Bindu Achari</t>
  </si>
  <si>
    <t>bindu.achari257@rediffmail.com</t>
  </si>
  <si>
    <t>Vidya Mudaliar</t>
  </si>
  <si>
    <t>vidya.mudaliar258@hotmail.com</t>
  </si>
  <si>
    <t>Vikram Achari</t>
  </si>
  <si>
    <t>vikram.achari259@rediffmail.com</t>
  </si>
  <si>
    <t>Hariharan Mishra</t>
  </si>
  <si>
    <t>hariharan.mishra260@rediffmail.com</t>
  </si>
  <si>
    <t>Tejaswini Kamath</t>
  </si>
  <si>
    <t>tejaswini.kamath261@yahoo.com</t>
  </si>
  <si>
    <t>Pandian Gupta</t>
  </si>
  <si>
    <t>pandian.gupta262@outlook.com</t>
  </si>
  <si>
    <t>Lavanya Kumar</t>
  </si>
  <si>
    <t>lavanya.kumar263@outlook.com</t>
  </si>
  <si>
    <t>Pallavi Chandran</t>
  </si>
  <si>
    <t>pallavino-at-symbol.com</t>
  </si>
  <si>
    <t>Gauri Iyer</t>
  </si>
  <si>
    <t>gauri.iyer265@outlook.com</t>
  </si>
  <si>
    <t>Chandra Subramaniam</t>
  </si>
  <si>
    <t>chandra.subramaniam266@hotmail.com</t>
  </si>
  <si>
    <t>Prakash Natarajan</t>
  </si>
  <si>
    <t>prakash.natarajan267@outlook.com</t>
  </si>
  <si>
    <t>Ashok Pillai</t>
  </si>
  <si>
    <t>ashok.pillai268@outlook.com</t>
  </si>
  <si>
    <t>Ishwarya Iyengar</t>
  </si>
  <si>
    <t>ishwarya.iyengar269@outlook.com</t>
  </si>
  <si>
    <t>Karthik Chetty</t>
  </si>
  <si>
    <t>karthik.chetty270@outlook.com</t>
  </si>
  <si>
    <t>Swathi Chettiar</t>
  </si>
  <si>
    <t>swathi.chettiar271@yahoo.com</t>
  </si>
  <si>
    <t>jyothi.gounder272@outlook.com</t>
  </si>
  <si>
    <t>devraj.iyengar273@yahoo.com</t>
  </si>
  <si>
    <t>Padma Pandian</t>
  </si>
  <si>
    <t>padma.pandian274@yahoo.com</t>
  </si>
  <si>
    <t>Harish Achari</t>
  </si>
  <si>
    <t>harish.achari275@yahoo.com</t>
  </si>
  <si>
    <t>Chandra Mishra</t>
  </si>
  <si>
    <t>chandra.mishra276@rediffmail.com</t>
  </si>
  <si>
    <t>Kiran Gupta</t>
  </si>
  <si>
    <t>kiran.gupta277@rediffmail.com</t>
  </si>
  <si>
    <t>Janani Achari</t>
  </si>
  <si>
    <t>janani.achari278@yahoo.com</t>
  </si>
  <si>
    <t>CUST0279</t>
  </si>
  <si>
    <t>Selvam Nair</t>
  </si>
  <si>
    <t>selvam.nair279@outlook.com</t>
  </si>
  <si>
    <t>Yamini Shetty</t>
  </si>
  <si>
    <t>yamini.shetty280@yahoo.com</t>
  </si>
  <si>
    <t>Lakshmi Singh</t>
  </si>
  <si>
    <t>lakshmi.singh281@rediffmail.com</t>
  </si>
  <si>
    <t>Charulatha Ramachandran</t>
  </si>
  <si>
    <t>charulatha.ramachandran282@rediffmail.com</t>
  </si>
  <si>
    <t>Nandini Chetty</t>
  </si>
  <si>
    <t>nandini.chetty283@yahoo.com</t>
  </si>
  <si>
    <t>Janani Krishnan</t>
  </si>
  <si>
    <t>janani.krishnan284@gmail.com</t>
  </si>
  <si>
    <t>Latha Iyer</t>
  </si>
  <si>
    <t>latha.iyer285@rediffmail.com</t>
  </si>
  <si>
    <t>Deepthi Ramachandran</t>
  </si>
  <si>
    <t>deepthi.ramachandran286@gmail.com</t>
  </si>
  <si>
    <t>CUST0287</t>
  </si>
  <si>
    <t>Haritha Iyengar</t>
  </si>
  <si>
    <t>haritha.iyengar287@gmail.com</t>
  </si>
  <si>
    <t>Varsha Kamath</t>
  </si>
  <si>
    <t>varsha.kamath288@hotmail.com</t>
  </si>
  <si>
    <t>Balaji Kumar</t>
  </si>
  <si>
    <t>balaji.kumar289@outlook.com</t>
  </si>
  <si>
    <t>Easwaran Balasubramaniam</t>
  </si>
  <si>
    <t>easwaran.balasubramaniam290@rediffmail.com</t>
  </si>
  <si>
    <t>Tarun Shetty</t>
  </si>
  <si>
    <t>tarun.shetty291@gmail.com</t>
  </si>
  <si>
    <t>Hema Bhat</t>
  </si>
  <si>
    <t>hema.bhat292@gmail.com</t>
  </si>
  <si>
    <t>Manju Gowda</t>
  </si>
  <si>
    <t>manju.gowda293@hotmail.com</t>
  </si>
  <si>
    <t>Yogesh Mudaliar</t>
  </si>
  <si>
    <t>yogesh.mudaliar294@gmail.com</t>
  </si>
  <si>
    <t>Anil Mudaliar</t>
  </si>
  <si>
    <t>anil.mudaliar295@hotmail.com</t>
  </si>
  <si>
    <t>Rahul Prasad</t>
  </si>
  <si>
    <t>rahul.prasad296@rediffmail.com</t>
  </si>
  <si>
    <t>Anjali Bhat</t>
  </si>
  <si>
    <t>anjali.bhat297@outlook.com</t>
  </si>
  <si>
    <t>Anand Subramaniam</t>
  </si>
  <si>
    <t>anand.subramaniam298@yahoo.com</t>
  </si>
  <si>
    <t>Nandakumar Rao</t>
  </si>
  <si>
    <t>nandakumar.rao299@yahoo.com</t>
  </si>
  <si>
    <t>CUST0300</t>
  </si>
  <si>
    <t>Sandeep Hegde</t>
  </si>
  <si>
    <t>sandeep.hegde300@hotmail.com</t>
  </si>
  <si>
    <t>Dhanya Naicker</t>
  </si>
  <si>
    <t>dhanya.naicker301@yahoo.com</t>
  </si>
  <si>
    <t>Gayathri Iyengar</t>
  </si>
  <si>
    <t>gayathri.iyengar302@rediffmail.com</t>
  </si>
  <si>
    <t>Malathi Balasubramaniam</t>
  </si>
  <si>
    <t>malathi.balasubramaniam303@outlook.com</t>
  </si>
  <si>
    <t>Ashok Subramaniam</t>
  </si>
  <si>
    <t>ashok.subramaniam304@rediffmail.com</t>
  </si>
  <si>
    <t>Anand Srinivasan</t>
  </si>
  <si>
    <t>anand.srinivasan305@outlook.com</t>
  </si>
  <si>
    <t>Jagan Prasad</t>
  </si>
  <si>
    <t>jagan.prasad306@rediffmail.com</t>
  </si>
  <si>
    <t>hariharan.mishra307@hotmail.com</t>
  </si>
  <si>
    <t>Kalpana Kamath</t>
  </si>
  <si>
    <t>kalpana.kamath308@gmail.com</t>
  </si>
  <si>
    <t>Srinivas Gopalakrishnan</t>
  </si>
  <si>
    <t>srinivas.gopalakrishnan309@gmail.com</t>
  </si>
  <si>
    <t>Nithya Yadav</t>
  </si>
  <si>
    <t>nithya.yadav310@yahoo.com</t>
  </si>
  <si>
    <t>Baskar Kamath</t>
  </si>
  <si>
    <t>baskar.kamath311@hotmail.com</t>
  </si>
  <si>
    <t>Girish Naidu</t>
  </si>
  <si>
    <t>girish.naidu312@rediffmail.com</t>
  </si>
  <si>
    <t>Bhagya Ramachandran</t>
  </si>
  <si>
    <t>bhagya.ramachandran313@gmail.com</t>
  </si>
  <si>
    <t>Sunita Subramaniam</t>
  </si>
  <si>
    <t>sunita.subramaniam314@rediffmail.com</t>
  </si>
  <si>
    <t>Chandra Reddy</t>
  </si>
  <si>
    <t>chandra.reddy315@gmail.com</t>
  </si>
  <si>
    <t>hariharan.kamath316@hotmail.com</t>
  </si>
  <si>
    <t>Prakash Bhat</t>
  </si>
  <si>
    <t>prakash.bhat317@gmail.com</t>
  </si>
  <si>
    <t>Priya Mudaliar</t>
  </si>
  <si>
    <t>priya.mudaliar318@hotmail.com</t>
  </si>
  <si>
    <t>Kalyani Bhat</t>
  </si>
  <si>
    <t>kalyani.bhat319@rediffmail.com</t>
  </si>
  <si>
    <t>Arun Pillai</t>
  </si>
  <si>
    <t>arun.pillai320@outlook.com</t>
  </si>
  <si>
    <t>Bharathi Rao</t>
  </si>
  <si>
    <t>bharathi.rao321@gmail.com</t>
  </si>
  <si>
    <t>Devraj Kamath</t>
  </si>
  <si>
    <t>devraj.kamath322@hotmail.com</t>
  </si>
  <si>
    <t>Gopal Krishnan</t>
  </si>
  <si>
    <t>gopal.krishnan323@outlook.com</t>
  </si>
  <si>
    <t>Kavitha Iyengar</t>
  </si>
  <si>
    <t>kavitha.iyengar324@rediffmail.com</t>
  </si>
  <si>
    <t>Kavya Murthy</t>
  </si>
  <si>
    <t>kavya.murthy325@yahoo.com</t>
  </si>
  <si>
    <t>Deepa Prasad</t>
  </si>
  <si>
    <t>deepa.prasad326@outlook.com</t>
  </si>
  <si>
    <t>Manju Varma</t>
  </si>
  <si>
    <t>manju.varma327@outlook.com</t>
  </si>
  <si>
    <t>Pranav Balasubramaniam</t>
  </si>
  <si>
    <t>pranav.balasubramaniam328@rediffmail.com</t>
  </si>
  <si>
    <t>Raghu Sundaram</t>
  </si>
  <si>
    <t>raghu.sundaram329@rediffmail.com</t>
  </si>
  <si>
    <t>Rohit Singh</t>
  </si>
  <si>
    <t>rohit.singh330@yahoo.com</t>
  </si>
  <si>
    <t>anjali.bhat331@rediffmail.com</t>
  </si>
  <si>
    <t>Feroz Nair</t>
  </si>
  <si>
    <t>feroz.nair332@outlook.com</t>
  </si>
  <si>
    <t>Lavanya Mishra</t>
  </si>
  <si>
    <t>lavanya.mishra333@hotmail.com</t>
  </si>
  <si>
    <t>Selvam Gounder</t>
  </si>
  <si>
    <t>selvam.gounder334@hotmail.com</t>
  </si>
  <si>
    <t>Tanvi Ramachandran</t>
  </si>
  <si>
    <t>tanvi.ramachandran335@outlook.com</t>
  </si>
  <si>
    <t>Hema Naidu</t>
  </si>
  <si>
    <t>hema.naidu336@yahoo.com</t>
  </si>
  <si>
    <t>Akhila Iyengar</t>
  </si>
  <si>
    <t>akhila.iyengar337@hotmail.com</t>
  </si>
  <si>
    <t>Vijay Prasad</t>
  </si>
  <si>
    <t>vijay.prasad338@outlook.com</t>
  </si>
  <si>
    <t>Uday Naicker</t>
  </si>
  <si>
    <t>uday.naicker339@yahoo.com</t>
  </si>
  <si>
    <t>Gopal Prasad</t>
  </si>
  <si>
    <t>gopal.prasad340@gmail.com</t>
  </si>
  <si>
    <t>Ashok Hegde</t>
  </si>
  <si>
    <t>ashok.hegde341@rediffmail.com</t>
  </si>
  <si>
    <t>Tejaswini Chandran</t>
  </si>
  <si>
    <t>tejaswini.chandran342@hotmail.com</t>
  </si>
  <si>
    <t>Malathi Naidu</t>
  </si>
  <si>
    <t>malathi.naidu343@rediffmail.com</t>
  </si>
  <si>
    <t>Uday Mudaliar</t>
  </si>
  <si>
    <t>uday.mudaliar344@gmail.com</t>
  </si>
  <si>
    <t>sunita.subramaniam345@outlook.com</t>
  </si>
  <si>
    <t>Malathi Achari</t>
  </si>
  <si>
    <t>malathi.achari346@rediffmail.com</t>
  </si>
  <si>
    <t>Devi Subramaniam</t>
  </si>
  <si>
    <t>devi.subramaniam347@outlook.com</t>
  </si>
  <si>
    <t>Karthik Sharma</t>
  </si>
  <si>
    <t>karthik.sharma348@gmail.com</t>
  </si>
  <si>
    <t>Rohit Pillai</t>
  </si>
  <si>
    <t>rohit.pillai349@hotmail.com</t>
  </si>
  <si>
    <t>Sanjay Chandran</t>
  </si>
  <si>
    <t>sanjay.chandran350@yahoo.com</t>
  </si>
  <si>
    <t>Tara Subramaniam</t>
  </si>
  <si>
    <t>tara.subramaniam351@rediffmail.com</t>
  </si>
  <si>
    <t>Kavya Subramaniam</t>
  </si>
  <si>
    <t>kavya.subramaniam352@yahoo.com</t>
  </si>
  <si>
    <t>Gayathri Gowda</t>
  </si>
  <si>
    <t>gayathri.gowda353@outlook.com</t>
  </si>
  <si>
    <t>Charulatha Hegde</t>
  </si>
  <si>
    <t>charulatha.hegde354@yahoo.com</t>
  </si>
  <si>
    <t>Suresh Iyengar</t>
  </si>
  <si>
    <t>suresh.iyengar355@outlook.com</t>
  </si>
  <si>
    <t>Pranav Chettiar</t>
  </si>
  <si>
    <t>pranav.chettiar356@gmail.com</t>
  </si>
  <si>
    <t>Malini Sundaram</t>
  </si>
  <si>
    <t>malini.sundaram357@gmail.com</t>
  </si>
  <si>
    <t>Rohit Kumar</t>
  </si>
  <si>
    <t>rohit.kumar358@rediffmail.com</t>
  </si>
  <si>
    <t>chandrika.gowda359@gmail.com</t>
  </si>
  <si>
    <t>Balaji Gowda</t>
  </si>
  <si>
    <t>balaji.gowda360@yahoo.com</t>
  </si>
  <si>
    <t>Padma Achari</t>
  </si>
  <si>
    <t>padma.achari361@outlook.com</t>
  </si>
  <si>
    <t>Bala Gupta</t>
  </si>
  <si>
    <t>bala.gupta362@hotmail.com</t>
  </si>
  <si>
    <t>Yashoda Sundaram</t>
  </si>
  <si>
    <t>yashoda.sundaram363@yahoo.com</t>
  </si>
  <si>
    <t>Anitha Bhat</t>
  </si>
  <si>
    <t>anitha.bhat364@rediffmail.com</t>
  </si>
  <si>
    <t>Harini Mudaliar</t>
  </si>
  <si>
    <t>harini.mudaliar365@gmail.com</t>
  </si>
  <si>
    <t>Siddharth Hegde</t>
  </si>
  <si>
    <t>siddharth.hegde366@rediffmail.com</t>
  </si>
  <si>
    <t>Sandeep Reddy</t>
  </si>
  <si>
    <t>sandeep.reddy367@rediffmail.com</t>
  </si>
  <si>
    <t>CUST0368</t>
  </si>
  <si>
    <t>Anjali Nair</t>
  </si>
  <si>
    <t>anjali.nair368@yahoo.com</t>
  </si>
  <si>
    <t>Naresh Iyer</t>
  </si>
  <si>
    <t>naresh.iyer369@rediffmail.com</t>
  </si>
  <si>
    <t>Vasanthi Raman</t>
  </si>
  <si>
    <t>vasanthi.raman370@hotmail.com</t>
  </si>
  <si>
    <t>Logesh Reddy</t>
  </si>
  <si>
    <t>logesh.reddy371@hotmail.com</t>
  </si>
  <si>
    <t>Indira Prasad</t>
  </si>
  <si>
    <t>indira.prasad372@yahoo.com</t>
  </si>
  <si>
    <t>Nisha Sharma</t>
  </si>
  <si>
    <t>nisha.sharma373@yahoo.com</t>
  </si>
  <si>
    <t>Varsha Rao</t>
  </si>
  <si>
    <t>varsha.rao374@outlook.com</t>
  </si>
  <si>
    <t>Venkat Pillai</t>
  </si>
  <si>
    <t>venkat.pillai375@rediffmail.com</t>
  </si>
  <si>
    <t>Revathi Murthy</t>
  </si>
  <si>
    <t>revathi.murthy376@hotmail.com</t>
  </si>
  <si>
    <t>Swathi Iyengar</t>
  </si>
  <si>
    <t>swathi.iyengar377@yahoo.com</t>
  </si>
  <si>
    <t>Pallavi Nair</t>
  </si>
  <si>
    <t>pallavi.nair378@gmail.com</t>
  </si>
  <si>
    <t>Neelam Gounder</t>
  </si>
  <si>
    <t>neelam.gounder379@gmail.com</t>
  </si>
  <si>
    <t>Sathish Gopalakrishnan</t>
  </si>
  <si>
    <t>sathish.gopalakrishnan380@hotmail.com</t>
  </si>
  <si>
    <t>tara.ramachandran381@hotmail.com</t>
  </si>
  <si>
    <t>selvam.nair382@gmail.com</t>
  </si>
  <si>
    <t>Venkat Hegde</t>
  </si>
  <si>
    <t>venkat.hegde383@outlook.com</t>
  </si>
  <si>
    <t>Eswar Iyer</t>
  </si>
  <si>
    <t>eswar.iyer384@yahoo.com</t>
  </si>
  <si>
    <t>Selvam Varma</t>
  </si>
  <si>
    <t>selvam.varma385@hotmail.com</t>
  </si>
  <si>
    <t>Hemanth Raman</t>
  </si>
  <si>
    <t>hemanth.raman386@yahoo.com</t>
  </si>
  <si>
    <t>Dhruv Balasubramaniam</t>
  </si>
  <si>
    <t>dhruv.balasubramaniam387@gmail.com</t>
  </si>
  <si>
    <t>Eswar Gounder</t>
  </si>
  <si>
    <t>eswar.gounder388@hotmail.com</t>
  </si>
  <si>
    <t>Thiru Reddy</t>
  </si>
  <si>
    <t>thiru.reddy389@yahoo.com</t>
  </si>
  <si>
    <t>Ramya Pandian</t>
  </si>
  <si>
    <t>ramya.pandian390@hotmail.com</t>
  </si>
  <si>
    <t>Rajesh Mishra</t>
  </si>
  <si>
    <t>rajesh.mishra391@outlook.com</t>
  </si>
  <si>
    <t>Manju Singh</t>
  </si>
  <si>
    <t>manju.singh392@hotmail.com</t>
  </si>
  <si>
    <t>Gayathri Gupta</t>
  </si>
  <si>
    <t>gayathri.gupta393@gmail.com</t>
  </si>
  <si>
    <t>Anand Nair</t>
  </si>
  <si>
    <t>anand.nair394@outlook.com</t>
  </si>
  <si>
    <t>Gayathri Chettiar</t>
  </si>
  <si>
    <t>gayathri.chettiar395@yahoo.com</t>
  </si>
  <si>
    <t>Devraj Bhat</t>
  </si>
  <si>
    <t>devraj.bhat396@rediffmail.com</t>
  </si>
  <si>
    <t>Kalpana Achari</t>
  </si>
  <si>
    <t>kalpana.achari397@rediffmail.com</t>
  </si>
  <si>
    <t>CUST0398</t>
  </si>
  <si>
    <t>Devraj Murthy</t>
  </si>
  <si>
    <t>devraj.murthy398@rediffmail.com</t>
  </si>
  <si>
    <t>Padma Raman</t>
  </si>
  <si>
    <t>padma.raman399@yahoo.com</t>
  </si>
  <si>
    <t>Selvam Iyengar</t>
  </si>
  <si>
    <t>selvam.iyengar400@rediffmail.com</t>
  </si>
  <si>
    <t>Sunita Gopalakrishnan</t>
  </si>
  <si>
    <t>sunita.gopalakrishnan401@rediffmail.com</t>
  </si>
  <si>
    <t>Balaji Reddy</t>
  </si>
  <si>
    <t>balaji.reddy402@outlook.com</t>
  </si>
  <si>
    <t>Latha Achari</t>
  </si>
  <si>
    <t>latha.achari403@yahoo.com</t>
  </si>
  <si>
    <t>Ajay Chandran</t>
  </si>
  <si>
    <t>ajay.chandran404@yahoo.com</t>
  </si>
  <si>
    <t>CUST0405</t>
  </si>
  <si>
    <t>Malini Shetty</t>
  </si>
  <si>
    <t>malini.shetty405@hotmail.com</t>
  </si>
  <si>
    <t>Gayathri Srinivasan</t>
  </si>
  <si>
    <t>gayathri.srinivasan406@rediffmail.com</t>
  </si>
  <si>
    <t>Chandrika Yadav</t>
  </si>
  <si>
    <t>chandrika.yadav407@yahoo.com</t>
  </si>
  <si>
    <t>Padma Pillai</t>
  </si>
  <si>
    <t>padma.pillai408@rediffmail.com</t>
  </si>
  <si>
    <t>Geetha Ramachandran</t>
  </si>
  <si>
    <t>geetha.ramachandran409@rediffmail.com</t>
  </si>
  <si>
    <t>Vasanthi Bhat</t>
  </si>
  <si>
    <t>vasanthi.bhat410@hotmail.com</t>
  </si>
  <si>
    <t>Dhruv Yadav</t>
  </si>
  <si>
    <t>dhruv.yadav411@gmail.com</t>
  </si>
  <si>
    <t>Akhila Raman</t>
  </si>
  <si>
    <t>akhila.raman412@rediffmail.com</t>
  </si>
  <si>
    <t>Jyothi Gupta</t>
  </si>
  <si>
    <t>jyothi.gupta413@hotmail.com</t>
  </si>
  <si>
    <t>Eswar Achari</t>
  </si>
  <si>
    <t>eswargmailcom</t>
  </si>
  <si>
    <t>Mahesh Shetty</t>
  </si>
  <si>
    <t>mahesh.shetty415@rediffmail.com</t>
  </si>
  <si>
    <t>Bharathi Prasad</t>
  </si>
  <si>
    <t>bharathi.prasad416@rediffmail.com</t>
  </si>
  <si>
    <t>Sathish Gupta</t>
  </si>
  <si>
    <t>sathish.gupta417@yahoo.com</t>
  </si>
  <si>
    <t>Deepthi Gupta</t>
  </si>
  <si>
    <t>deepthi.gupta418@rediffmail.com</t>
  </si>
  <si>
    <t>Logesh Gowda</t>
  </si>
  <si>
    <t>logesh.gowda419@yahoo.com</t>
  </si>
  <si>
    <t>Ravi Krishnan</t>
  </si>
  <si>
    <t>ravi.krishnan420@gmail.com</t>
  </si>
  <si>
    <t>Srinivas Nair</t>
  </si>
  <si>
    <t>srinivas.nair421@gmail.com</t>
  </si>
  <si>
    <t>Malathi Shetty</t>
  </si>
  <si>
    <t>malathi.shetty422@outlook.com</t>
  </si>
  <si>
    <t>Dhruv Rao</t>
  </si>
  <si>
    <t>dhruv.rao423@rediffmail.com</t>
  </si>
  <si>
    <t>Usha Pandian</t>
  </si>
  <si>
    <t>usha.pandian424@yahoo.com</t>
  </si>
  <si>
    <t>Harini Krishnan</t>
  </si>
  <si>
    <t>harini.krishnan425@yahoo.com</t>
  </si>
  <si>
    <t>Uday Pillai</t>
  </si>
  <si>
    <t>uday.pillai426@gmail.com</t>
  </si>
  <si>
    <t>Jaya Naicker</t>
  </si>
  <si>
    <t>jaya.naicker427@rediffmail.com</t>
  </si>
  <si>
    <t>CUST0428</t>
  </si>
  <si>
    <t>Vijay Raman</t>
  </si>
  <si>
    <t>vijay.raman428@rediffmail.com</t>
  </si>
  <si>
    <t>Nandini Gopalakrishnan</t>
  </si>
  <si>
    <t>nandini.gopalakrishnan429@gmail.com</t>
  </si>
  <si>
    <t>Jayaram Srinivasan</t>
  </si>
  <si>
    <t>jayaram.srinivasan430@outlook.com</t>
  </si>
  <si>
    <t>Balaji Nair</t>
  </si>
  <si>
    <t>balaji.nair431@gmail.com</t>
  </si>
  <si>
    <t>Siddharth Singh</t>
  </si>
  <si>
    <t>siddharth.singh432@yahoo.com</t>
  </si>
  <si>
    <t>Kavya Rao</t>
  </si>
  <si>
    <t>kavya.rao433@hotmail.com</t>
  </si>
  <si>
    <t>Radha Gowda</t>
  </si>
  <si>
    <t>radha.gowda434@gmail.com</t>
  </si>
  <si>
    <t>Jagan Reddy</t>
  </si>
  <si>
    <t>jagan.reddy435@hotmail.com</t>
  </si>
  <si>
    <t>charulatha.hegde436@gmail.com</t>
  </si>
  <si>
    <t>Tara Sharma</t>
  </si>
  <si>
    <t>tara.sharma437@outlook.com</t>
  </si>
  <si>
    <t>Arjun Subramaniam</t>
  </si>
  <si>
    <t>arjun.subramaniam438@outlook.com</t>
  </si>
  <si>
    <t>Ramesh Subramaniam</t>
  </si>
  <si>
    <t>ramesh.subramaniam439@rediffmail.com</t>
  </si>
  <si>
    <t>CUST0440</t>
  </si>
  <si>
    <t>Bindu Raman</t>
  </si>
  <si>
    <t>bindu.raman440@gmail.com</t>
  </si>
  <si>
    <t>Rahul Naicker</t>
  </si>
  <si>
    <t>rahul.naicker441@gmail.com</t>
  </si>
  <si>
    <t>Deepthi Pandian</t>
  </si>
  <si>
    <t>deepthi.pandian442@hotmail.com</t>
  </si>
  <si>
    <t>Tarun Nair</t>
  </si>
  <si>
    <t>tarun.nair443@gmail.com</t>
  </si>
  <si>
    <t>Vinod Shetty</t>
  </si>
  <si>
    <t>vinod.shetty444@hotmail.com</t>
  </si>
  <si>
    <t>Malathi Kumar</t>
  </si>
  <si>
    <t>malathi.kumar445@rediffmail.com</t>
  </si>
  <si>
    <t>Sandeep Sundaram</t>
  </si>
  <si>
    <t>sandeep.sundaram446@rediffmail.com</t>
  </si>
  <si>
    <t>siddharth.gounder447@outlook.com</t>
  </si>
  <si>
    <t>Anusuya Kumar</t>
  </si>
  <si>
    <t>anusuya.kumar448@gmail.com</t>
  </si>
  <si>
    <t>Logesh Srinivasan</t>
  </si>
  <si>
    <t>logesh.srinivasan449@gmail.com</t>
  </si>
  <si>
    <t>CUST0450</t>
  </si>
  <si>
    <t>Feroz Pillai</t>
  </si>
  <si>
    <t>feroz.pillai450@yahoo.com</t>
  </si>
  <si>
    <t>Chandran Sharma</t>
  </si>
  <si>
    <t>chandran.sharma451@gmail.com</t>
  </si>
  <si>
    <t>Rohit Mudaliar</t>
  </si>
  <si>
    <t>rohit.mudaliar452@hotmail.com</t>
  </si>
  <si>
    <t>Thiru Iyer</t>
  </si>
  <si>
    <t>thiru.iyer453@gmail.com</t>
  </si>
  <si>
    <t>Ajay Mudaliar</t>
  </si>
  <si>
    <t>ajay@@gmail.com</t>
  </si>
  <si>
    <t>prakash.bhat455@outlook.com</t>
  </si>
  <si>
    <t>Hemanth Naidu</t>
  </si>
  <si>
    <t>hemanth.naidu456@rediffmail.com</t>
  </si>
  <si>
    <t>Deepthi Shetty</t>
  </si>
  <si>
    <t>deepthi.shetty457@rediffmail.com</t>
  </si>
  <si>
    <t>Sowmya Ramachandran</t>
  </si>
  <si>
    <t>sowmya.ramachandran458@yahoo.com</t>
  </si>
  <si>
    <t>Lokesh Srinivasan</t>
  </si>
  <si>
    <t>lokesh.srinivasan459@gmail.com</t>
  </si>
  <si>
    <t>Ramesh Singh</t>
  </si>
  <si>
    <t>ramesh.singh460@hotmail.com</t>
  </si>
  <si>
    <t>Bindu Mishra</t>
  </si>
  <si>
    <t>bindu.mishra461@outlook.com</t>
  </si>
  <si>
    <t>Siddharth Iyengar</t>
  </si>
  <si>
    <t>siddharth.iyengar462@rediffmail.com</t>
  </si>
  <si>
    <t>Ashok Menon</t>
  </si>
  <si>
    <t>ashok.menon463@outlook.com</t>
  </si>
  <si>
    <t>Sunita Naicker</t>
  </si>
  <si>
    <t>sunita.naicker464@rediffmail.com</t>
  </si>
  <si>
    <t>Hariharan Reddy</t>
  </si>
  <si>
    <t>hariharan.reddy465@hotmail.com</t>
  </si>
  <si>
    <t>Manoj Varma</t>
  </si>
  <si>
    <t>manoj.varma466@outlook.com</t>
  </si>
  <si>
    <t>Bharathi Shetty</t>
  </si>
  <si>
    <t>bharathi.shetty467@hotmail.com</t>
  </si>
  <si>
    <t>CUST0468</t>
  </si>
  <si>
    <t>Lavanya Natarajan</t>
  </si>
  <si>
    <t>lavanya.natarajan468@outlook.com</t>
  </si>
  <si>
    <t>Gayathri Kumar</t>
  </si>
  <si>
    <t>gayathri.kumar469@yahoo.com</t>
  </si>
  <si>
    <t>Anusuya Nair</t>
  </si>
  <si>
    <t>anusuya.nair470@hotmail.com</t>
  </si>
  <si>
    <t>Mahesh Menon</t>
  </si>
  <si>
    <t>mahesh.menon471@rediffmail.com</t>
  </si>
  <si>
    <t>vidya.kumar472@yahoo.com</t>
  </si>
  <si>
    <t>Kalyani Balasubramaniam</t>
  </si>
  <si>
    <t>kalyani.balasubramaniam473@gmail.com</t>
  </si>
  <si>
    <t>CUST0474</t>
  </si>
  <si>
    <t>Ishwarya Natarajan</t>
  </si>
  <si>
    <t>ishwarya.natarajan474@gmail.com</t>
  </si>
  <si>
    <t>Nandakumar Balasubramaniam</t>
  </si>
  <si>
    <t>nandakumar.balasubramaniam475@outlook.com</t>
  </si>
  <si>
    <t>Ashok Srinivasan</t>
  </si>
  <si>
    <t>ashok.srinivasan476@outlook.com</t>
  </si>
  <si>
    <t>Bhavani Sundaram</t>
  </si>
  <si>
    <t>bhavani.sundaram477@yahoo.com</t>
  </si>
  <si>
    <t>Nandini Sharma</t>
  </si>
  <si>
    <t>nandini.sharma478@gmail.com</t>
  </si>
  <si>
    <t>Chidambaram Balasubramaniam</t>
  </si>
  <si>
    <t>chidambaram.balasubramaniam479@hotmail.com</t>
  </si>
  <si>
    <t>Feroz Iyer</t>
  </si>
  <si>
    <t>feroz.iyer480@hotmail.com</t>
  </si>
  <si>
    <t>Devi Menon</t>
  </si>
  <si>
    <t>devi.menon481@rediffmail.com</t>
  </si>
  <si>
    <t>Suresh Mishra</t>
  </si>
  <si>
    <t>suresh.mishra482@outlook.com</t>
  </si>
  <si>
    <t>Kiran Naicker</t>
  </si>
  <si>
    <t>kiran.naicker483@gmail.com</t>
  </si>
  <si>
    <t>Uma Naidu</t>
  </si>
  <si>
    <t>uma.naidu484@gmail.com</t>
  </si>
  <si>
    <t>Pranav Pillai</t>
  </si>
  <si>
    <t>pranav.pillai485@gmail.com</t>
  </si>
  <si>
    <t>Anil Gopalakrishnan</t>
  </si>
  <si>
    <t>anil.gopalakrishnan486@hotmail.com</t>
  </si>
  <si>
    <t>Malathi Krishnan</t>
  </si>
  <si>
    <t>malathi.krishnan487@gmail.com</t>
  </si>
  <si>
    <t>Leela Iyengar</t>
  </si>
  <si>
    <t>leela.iyengar488@yahoo.com</t>
  </si>
  <si>
    <t>Jayaram Murthy</t>
  </si>
  <si>
    <t>jayaram.murthy489@rediffmail.com</t>
  </si>
  <si>
    <t>Vidya Gowda</t>
  </si>
  <si>
    <t>vidya.gowda490@yahoo.com</t>
  </si>
  <si>
    <t>Jyothi Sundaram</t>
  </si>
  <si>
    <t>jyothi.sundaram491@yahoo.com</t>
  </si>
  <si>
    <t>balaji.kumar492@gmail.com</t>
  </si>
  <si>
    <t>Jyothi Krishnan</t>
  </si>
  <si>
    <t>jyothi.krishnan493@hotmail.com</t>
  </si>
  <si>
    <t>Hemanth Pillai</t>
  </si>
  <si>
    <t>hemanth.pillai494@outlook.com</t>
  </si>
  <si>
    <t>Gopal Mudaliar</t>
  </si>
  <si>
    <t>gopal.mudaliar495@rediffmail.com</t>
  </si>
  <si>
    <t>Ganesh Naidu</t>
  </si>
  <si>
    <t>ganesh.naidu496@outlook.com</t>
  </si>
  <si>
    <t>Naveen Subramaniam</t>
  </si>
  <si>
    <t>naveen.subramaniam497@outlook.com</t>
  </si>
  <si>
    <t>Baskar Ramachandran</t>
  </si>
  <si>
    <t>baskar.ramachandran498@gmail.com</t>
  </si>
  <si>
    <t>Swathi Varma</t>
  </si>
  <si>
    <t>swathi.varma499@yahoo.com</t>
  </si>
  <si>
    <t>balaji.reddy500@yahoo.com</t>
  </si>
  <si>
    <t>Sangeeta Chandran</t>
  </si>
  <si>
    <t>sangeeta.chandran501@gmail.com</t>
  </si>
  <si>
    <t>Naresh Pillai</t>
  </si>
  <si>
    <t>naresh.pillai502@gmail.com</t>
  </si>
  <si>
    <t>Karunakaran Menon</t>
  </si>
  <si>
    <t>karunakaran.menon503@gmail.com</t>
  </si>
  <si>
    <t>Hari Reddy</t>
  </si>
  <si>
    <t>hari.reddy504@hotmail.com</t>
  </si>
  <si>
    <t>Kannan Achari</t>
  </si>
  <si>
    <t>kannan.achari505@rediffmail.com</t>
  </si>
  <si>
    <t>deepthi.gopalakrishnan506@hotmail.com</t>
  </si>
  <si>
    <t>Ravi Kamath</t>
  </si>
  <si>
    <t>ravi.kamath507@yahoo.com</t>
  </si>
  <si>
    <t>Akhila Kamath</t>
  </si>
  <si>
    <t>akhila.kamath508@hotmail.com</t>
  </si>
  <si>
    <t>Deepthi Iyengar</t>
  </si>
  <si>
    <t>deepthi.iyengar509@hotmail.com</t>
  </si>
  <si>
    <t>dhruv.yadav510@rediffmail.com</t>
  </si>
  <si>
    <t>Tarun Hegde</t>
  </si>
  <si>
    <t>tarun.hegde511@rediffmail.com</t>
  </si>
  <si>
    <t>jyothi.gupta512@outlook.com</t>
  </si>
  <si>
    <t>Harish Iyengar</t>
  </si>
  <si>
    <t>harish.iyengar513@outlook.com</t>
  </si>
  <si>
    <t>Deepika Naicker</t>
  </si>
  <si>
    <t>deepika.naicker514@outlook.com</t>
  </si>
  <si>
    <t>Saranya Hegde</t>
  </si>
  <si>
    <t>saranya.hegde515@yahoo.com</t>
  </si>
  <si>
    <t>Jaya Sundaram</t>
  </si>
  <si>
    <t>jaya.sundaram516@rediffmail.com</t>
  </si>
  <si>
    <t>Bhagya Yadav</t>
  </si>
  <si>
    <t>bhagya.yadav517@gmail.com</t>
  </si>
  <si>
    <t>Yamini Varma</t>
  </si>
  <si>
    <t>yamini.varma518@gmail.com</t>
  </si>
  <si>
    <t>Pranav Rao</t>
  </si>
  <si>
    <t>pranav.rao519@outlook.com</t>
  </si>
  <si>
    <t>Harish Gowda</t>
  </si>
  <si>
    <t>harish.gowda520@rediffmail.com</t>
  </si>
  <si>
    <t>Chitra Varma</t>
  </si>
  <si>
    <t>chitra.varma521@gmail.com</t>
  </si>
  <si>
    <t>Varsha Balasubramaniam</t>
  </si>
  <si>
    <t>varsha.balasubramaniam522@rediffmail.com</t>
  </si>
  <si>
    <t>Lavanya Murthy</t>
  </si>
  <si>
    <t>lavanya.murthy523@outlook.com</t>
  </si>
  <si>
    <t>Balaji Mishra</t>
  </si>
  <si>
    <t>balaji.mishra524@hotmail.com</t>
  </si>
  <si>
    <t>Kannan Yadav</t>
  </si>
  <si>
    <t>kannan.yadav525@yahoo.com</t>
  </si>
  <si>
    <t>Manikandan Chettiar</t>
  </si>
  <si>
    <t>manikandan.chettiar526@hotmail.com</t>
  </si>
  <si>
    <t>Vani Chetty</t>
  </si>
  <si>
    <t>vani.chetty527@rediffmail.com</t>
  </si>
  <si>
    <t>Hari Bhat</t>
  </si>
  <si>
    <t>hari.bhat528@rediffmail.com</t>
  </si>
  <si>
    <t>Yogesh Yadav</t>
  </si>
  <si>
    <t>yogesh.yadav529@yahoo.com</t>
  </si>
  <si>
    <t>Chandrika Menon</t>
  </si>
  <si>
    <t>chandrika.menon530@gmail.com</t>
  </si>
  <si>
    <t>srinivas.gowda531@yahoo.com</t>
  </si>
  <si>
    <t>Ravi Subramaniam</t>
  </si>
  <si>
    <t>ravi.subramaniam532@yahoo.com</t>
  </si>
  <si>
    <t>Eswar Chettiar</t>
  </si>
  <si>
    <t>eswar.chettiar533@yahoo.com</t>
  </si>
  <si>
    <t>Kavitha Pillai</t>
  </si>
  <si>
    <t>kavitha.pillai534@hotmail.com</t>
  </si>
  <si>
    <t>CUST0535</t>
  </si>
  <si>
    <t>Gopal Iyengar</t>
  </si>
  <si>
    <t>gopal.iyengar535@rediffmail.com</t>
  </si>
  <si>
    <t>Varsha Prasad</t>
  </si>
  <si>
    <t>varsha.prasad536@outlook.com</t>
  </si>
  <si>
    <t>Usha Natarajan</t>
  </si>
  <si>
    <t>usha.natarajan537@yahoo.com</t>
  </si>
  <si>
    <t>Jaya Mishra</t>
  </si>
  <si>
    <t>jaya.mishra538@rediffmail.com</t>
  </si>
  <si>
    <t>Baskar Reddy</t>
  </si>
  <si>
    <t>baskar.reddy539@gmail.com</t>
  </si>
  <si>
    <t>Kiran Naidu</t>
  </si>
  <si>
    <t>kiran.naidu540@yahoo.com</t>
  </si>
  <si>
    <t>Rani Nair</t>
  </si>
  <si>
    <t>rani.nair541@yahoo.com</t>
  </si>
  <si>
    <t>Karunakaran Iyengar</t>
  </si>
  <si>
    <t>karunakaran.iyengar542@yahoo.com</t>
  </si>
  <si>
    <t>Manoj Raman</t>
  </si>
  <si>
    <t>manoj.raman543@rediffmail.com</t>
  </si>
  <si>
    <t>Jagan Hegde</t>
  </si>
  <si>
    <t>jagan.hegde544@rediffmail.com</t>
  </si>
  <si>
    <t>Haritha Naidu</t>
  </si>
  <si>
    <t>haritha.naidu545@rediffmail.com</t>
  </si>
  <si>
    <t>Kavya Balasubramaniam</t>
  </si>
  <si>
    <t>kavya.balasubramaniam546@gmail.com</t>
  </si>
  <si>
    <t>Yogesh Sundaram</t>
  </si>
  <si>
    <t>yogesh.sundaram547@rediffmail.com</t>
  </si>
  <si>
    <t>Vidya Naicker</t>
  </si>
  <si>
    <t>vidya.naicker548@gmail.com</t>
  </si>
  <si>
    <t>Hemanth Yadav</t>
  </si>
  <si>
    <t>hemanth.yadav549@rediffmail.com</t>
  </si>
  <si>
    <t>Suresh Rao</t>
  </si>
  <si>
    <t>suresh.rao550@gmail.com</t>
  </si>
  <si>
    <t>Harini Raman</t>
  </si>
  <si>
    <t>harini.raman551@hotmail.com</t>
  </si>
  <si>
    <t>Leela Gopalakrishnan</t>
  </si>
  <si>
    <t>leela.gopalakrishnan552@rediffmail.com</t>
  </si>
  <si>
    <t>jyothi.sundaram553@rediffmail.com</t>
  </si>
  <si>
    <t>Sathish Mishra</t>
  </si>
  <si>
    <t>sathish.mishra554@hotmail.com</t>
  </si>
  <si>
    <t>Harish Prasad</t>
  </si>
  <si>
    <t>harish.prasad555@hotmail.com</t>
  </si>
  <si>
    <t>Chandrika Chandran</t>
  </si>
  <si>
    <t>chandrika.chandran556@gmail.com</t>
  </si>
  <si>
    <t>Chandra Rao</t>
  </si>
  <si>
    <t>chandra.rao557@yahoo.com</t>
  </si>
  <si>
    <t>Yashoda Mishra</t>
  </si>
  <si>
    <t>yashoda.mishra558@rediffmail.com</t>
  </si>
  <si>
    <t>Pranav Singh</t>
  </si>
  <si>
    <t>pranavuser@</t>
  </si>
  <si>
    <t>Leela Gowda</t>
  </si>
  <si>
    <t>leela.gowda560@outlook.com</t>
  </si>
  <si>
    <t>Indira Naidu</t>
  </si>
  <si>
    <t>indira.naidu561@outlook.com</t>
  </si>
  <si>
    <t>Gauri Varma</t>
  </si>
  <si>
    <t>gauri.varma562@hotmail.com</t>
  </si>
  <si>
    <t>Deepika Shetty</t>
  </si>
  <si>
    <t>deepika.shetty563@gmail.com</t>
  </si>
  <si>
    <t>Kiran Mishra</t>
  </si>
  <si>
    <t>kiran.mishra564@outlook.com</t>
  </si>
  <si>
    <t>Pranav Mishra</t>
  </si>
  <si>
    <t>pranav.mishra565@rediffmail.com</t>
  </si>
  <si>
    <t>Naresh Gupta</t>
  </si>
  <si>
    <t>naresh.gupta566@outlook.com</t>
  </si>
  <si>
    <t>Chitra Iyer</t>
  </si>
  <si>
    <t>chitra.iyer567@rediffmail.com</t>
  </si>
  <si>
    <t>Feroz Ramachandran</t>
  </si>
  <si>
    <t>feroz.ramachandran568@yahoo.com</t>
  </si>
  <si>
    <t>Padma Balasubramaniam</t>
  </si>
  <si>
    <t>padma.balasubramaniam569@rediffmail.com</t>
  </si>
  <si>
    <t>Karthik Shetty</t>
  </si>
  <si>
    <t>karthik.shetty570@hotmail.com</t>
  </si>
  <si>
    <t>Mahesh Varma</t>
  </si>
  <si>
    <t>mahesh.varma571@rediffmail.com</t>
  </si>
  <si>
    <t>Deepak Rao</t>
  </si>
  <si>
    <t>deepak.rao572@hotmail.com</t>
  </si>
  <si>
    <t>Vidya Mishra</t>
  </si>
  <si>
    <t>vidya.mishra573@gmail.com</t>
  </si>
  <si>
    <t>Ashok Chandran</t>
  </si>
  <si>
    <t>ashok.chandran574@gmail.com</t>
  </si>
  <si>
    <t>CUST0575</t>
  </si>
  <si>
    <t>Girish Yadav</t>
  </si>
  <si>
    <t>girish.yadav575@rediffmail.com</t>
  </si>
  <si>
    <t>Anand Iyengar</t>
  </si>
  <si>
    <t>anand.iyengar576@hotmail.com</t>
  </si>
  <si>
    <t>Baskar Balasubramaniam</t>
  </si>
  <si>
    <t>baskar.balasubramaniam577@rediffmail.com</t>
  </si>
  <si>
    <t>Kalyani Subramaniam</t>
  </si>
  <si>
    <t>kalyani.subramaniam578@outlook.com</t>
  </si>
  <si>
    <t>Meena Rao</t>
  </si>
  <si>
    <t>meena.rao579@rediffmail.com</t>
  </si>
  <si>
    <t>Tarun Varma</t>
  </si>
  <si>
    <t>tarun.varma580@hotmail.com</t>
  </si>
  <si>
    <t>CUST0581</t>
  </si>
  <si>
    <t>Anitha Singh</t>
  </si>
  <si>
    <t>anitha.singh581@hotmail.com</t>
  </si>
  <si>
    <t>Praveen Kamath</t>
  </si>
  <si>
    <t>praveen.kamath582@yahoo.com</t>
  </si>
  <si>
    <t>Feroz Naicker</t>
  </si>
  <si>
    <t>feroz.naicker583@hotmail.com</t>
  </si>
  <si>
    <t>Vinod Naidu</t>
  </si>
  <si>
    <t>vinod.naidu584@outlook.com</t>
  </si>
  <si>
    <t>Preethi Gowda</t>
  </si>
  <si>
    <t>preethi.gowda585@rediffmail.com</t>
  </si>
  <si>
    <t>Vidya Chettiar</t>
  </si>
  <si>
    <t>vidya.chettiar586@gmail.com</t>
  </si>
  <si>
    <t>Bhagya Mudaliar</t>
  </si>
  <si>
    <t>bhagya.mudaliar587@hotmail.com</t>
  </si>
  <si>
    <t>Nisha Achari</t>
  </si>
  <si>
    <t>nisha.achari588@rediffmail.com</t>
  </si>
  <si>
    <t>Srinivas Gounder</t>
  </si>
  <si>
    <t>srinivas.gounder589@rediffmail.com</t>
  </si>
  <si>
    <t>Vani Iyer</t>
  </si>
  <si>
    <t>vani.iyer590@hotmail.com</t>
  </si>
  <si>
    <t>Feroz Gupta</t>
  </si>
  <si>
    <t>feroz.gupta591@yahoo.com</t>
  </si>
  <si>
    <t>Kiran Chandran</t>
  </si>
  <si>
    <t>kiran.chandran592@hotmail.com</t>
  </si>
  <si>
    <t>hema.naidu593@yahoo.com</t>
  </si>
  <si>
    <t>Sandeep Iyer</t>
  </si>
  <si>
    <t>sandeep.iyer594@hotmail.com</t>
  </si>
  <si>
    <t>Revathi Natarajan</t>
  </si>
  <si>
    <t>revathi.natarajan595@yahoo.com</t>
  </si>
  <si>
    <t>Sangeeta Mishra</t>
  </si>
  <si>
    <t>sangeeta.mishra596@yahoo.com</t>
  </si>
  <si>
    <t>Kavya Srinivasan</t>
  </si>
  <si>
    <t>kavya.srinivasan597@rediffmail.com</t>
  </si>
  <si>
    <t>Kiran Pillai</t>
  </si>
  <si>
    <t>kiran.pillai598@hotmail.com</t>
  </si>
  <si>
    <t>selvam.nair599@hotmail.com</t>
  </si>
  <si>
    <t>Dhanya Shetty</t>
  </si>
  <si>
    <t>dhanya.shetty600@rediffmail.com</t>
  </si>
  <si>
    <t>Radha Raman</t>
  </si>
  <si>
    <t>radha.raman601@gmail.com</t>
  </si>
  <si>
    <t>Vasu Srinivasan</t>
  </si>
  <si>
    <t>vasu.srinivasan602@rediffmail.com</t>
  </si>
  <si>
    <t>Dhruv Subramaniam</t>
  </si>
  <si>
    <t>dhruv.subramaniam603@yahoo.com</t>
  </si>
  <si>
    <t>gokul.chetty604@yahoo.com</t>
  </si>
  <si>
    <t>Uday Chettiar</t>
  </si>
  <si>
    <t>uday.chettiar605@gmail.com</t>
  </si>
  <si>
    <t>Gokul Achari</t>
  </si>
  <si>
    <t>gokul.achari606@hotmail.com</t>
  </si>
  <si>
    <t>Jagan Iyer</t>
  </si>
  <si>
    <t>jagan.iyer607@hotmail.com</t>
  </si>
  <si>
    <t>Vasanthi Iyer</t>
  </si>
  <si>
    <t>vasanthi.iyer608@gmail.com</t>
  </si>
  <si>
    <t>Kannan Reddy</t>
  </si>
  <si>
    <t>kannan.reddy609@outlook.com</t>
  </si>
  <si>
    <t>Priya Varma</t>
  </si>
  <si>
    <t>priya.varma610@hotmail.com</t>
  </si>
  <si>
    <t>Eshwari Venkatesan</t>
  </si>
  <si>
    <t>eshwari.venkatesan611@gmail.com</t>
  </si>
  <si>
    <t>CUST0612</t>
  </si>
  <si>
    <t>Naveen Nair</t>
  </si>
  <si>
    <t>naveen.nair612@outlook.com</t>
  </si>
  <si>
    <t>Usha Krishnan</t>
  </si>
  <si>
    <t>usha.krishnan613@outlook.com</t>
  </si>
  <si>
    <t>deepthi.gupta614@rediffmail.com</t>
  </si>
  <si>
    <t>Gayathri Menon</t>
  </si>
  <si>
    <t>gayathri.menon615@hotmail.com</t>
  </si>
  <si>
    <t>Malini Rao</t>
  </si>
  <si>
    <t>malini.rao616@hotmail.com</t>
  </si>
  <si>
    <t>Kavya Gowda</t>
  </si>
  <si>
    <t>kavya.gowda617@yahoo.com</t>
  </si>
  <si>
    <t>CUST0618</t>
  </si>
  <si>
    <t>Sangeeta Chetty</t>
  </si>
  <si>
    <t>sangeeta.chetty618@yahoo.com</t>
  </si>
  <si>
    <t>Latha Venkatesan</t>
  </si>
  <si>
    <t>latha.venkatesan619@rediffmail.com</t>
  </si>
  <si>
    <t>Meena Venkatesan</t>
  </si>
  <si>
    <t>meena.venkatesan620@yahoo.com</t>
  </si>
  <si>
    <t>Bhavani Iyer</t>
  </si>
  <si>
    <t>bhavani.iyer621@gmail.com</t>
  </si>
  <si>
    <t>Preethi Murthy</t>
  </si>
  <si>
    <t>preethi.murthy622@rediffmail.com</t>
  </si>
  <si>
    <t>Divya Iyengar</t>
  </si>
  <si>
    <t>divya.iyengar623@hotmail.com</t>
  </si>
  <si>
    <t>Vinod Bhat</t>
  </si>
  <si>
    <t>vinod.bhat624@gmail.com</t>
  </si>
  <si>
    <t>Uday Iyer</t>
  </si>
  <si>
    <t>uday.iyer625@hotmail.com</t>
  </si>
  <si>
    <t>Venkat Prasad</t>
  </si>
  <si>
    <t>venkat.prasad626@yahoo.com</t>
  </si>
  <si>
    <t>Hariharan Yadav</t>
  </si>
  <si>
    <t>hariharan.yadav627@outlook.com</t>
  </si>
  <si>
    <t>Nisha Srinivasan</t>
  </si>
  <si>
    <t>nisha.srinivasan628@yahoo.com</t>
  </si>
  <si>
    <t>Balaji Mudaliar</t>
  </si>
  <si>
    <t>balaji.mudaliar629@hotmail.com</t>
  </si>
  <si>
    <t>Manikandan Naidu</t>
  </si>
  <si>
    <t>manikandan.naidu630@hotmail.com</t>
  </si>
  <si>
    <t>Akhila Prasad</t>
  </si>
  <si>
    <t>akhila.prasad631@outlook.com</t>
  </si>
  <si>
    <t>sangeeta.mishra632@hotmail.com</t>
  </si>
  <si>
    <t>Rani Pillai</t>
  </si>
  <si>
    <t>rani.pillai633@yahoo.com</t>
  </si>
  <si>
    <t>tarun.shetty634@outlook.com</t>
  </si>
  <si>
    <t>Jagan Bhat</t>
  </si>
  <si>
    <t>jagan.bhat635@yahoo.com</t>
  </si>
  <si>
    <t>gayathri.gowda636@rediffmail.com</t>
  </si>
  <si>
    <t>Anand Balasubramaniam</t>
  </si>
  <si>
    <t>anand.balasubramaniam637@hotmail.com</t>
  </si>
  <si>
    <t>Chitra Pillai</t>
  </si>
  <si>
    <t>chitra.pillai638@yahoo.com</t>
  </si>
  <si>
    <t>Suresh Naicker</t>
  </si>
  <si>
    <t>suresh.naicker639@gmail.com</t>
  </si>
  <si>
    <t>Tanvi Sundaram</t>
  </si>
  <si>
    <t>tanvi.sundaram640@outlook.com</t>
  </si>
  <si>
    <t>Muthu Mishra</t>
  </si>
  <si>
    <t>muthu.mishra641@gmail.com</t>
  </si>
  <si>
    <t>Chandra Shetty</t>
  </si>
  <si>
    <t>chandra.shetty642@outlook.com</t>
  </si>
  <si>
    <t>Malini Gounder</t>
  </si>
  <si>
    <t>malini.gounder643@outlook.com</t>
  </si>
  <si>
    <t>sangeeta.chandran644@yahoo.com</t>
  </si>
  <si>
    <t>Ganapathy Hegde</t>
  </si>
  <si>
    <t>ganapathy.hegde645@outlook.com</t>
  </si>
  <si>
    <t>Pranav Sundaram</t>
  </si>
  <si>
    <t>pranav.sundaram646@rediffmail.com</t>
  </si>
  <si>
    <t>CUST0647</t>
  </si>
  <si>
    <t>Pooja Gopalakrishnan</t>
  </si>
  <si>
    <t>pooja.gopalakrishnan647@gmail.com</t>
  </si>
  <si>
    <t>Latha Sundaram</t>
  </si>
  <si>
    <t>latha.sundaram648@outlook.com</t>
  </si>
  <si>
    <t>Bala Mishra</t>
  </si>
  <si>
    <t>bala.mishra649@outlook.com</t>
  </si>
  <si>
    <t>Rani Menon</t>
  </si>
  <si>
    <t>rani.menon650@yahoo.com</t>
  </si>
  <si>
    <t>Sangeeta Raman</t>
  </si>
  <si>
    <t>sangeeta.raman651@outlook.com</t>
  </si>
  <si>
    <t>Baskar Menon</t>
  </si>
  <si>
    <t>baskar.menon652@hotmail.com</t>
  </si>
  <si>
    <t>Raghu Balasubramaniam</t>
  </si>
  <si>
    <t>raghu.balasubramaniam653@hotmail.com</t>
  </si>
  <si>
    <t>Lakshmi Nair</t>
  </si>
  <si>
    <t>lakshmi.nair654@hotmail.com</t>
  </si>
  <si>
    <t>Sanjay Bhat</t>
  </si>
  <si>
    <t>sanjay.bhat655@yahoo.com</t>
  </si>
  <si>
    <t>Chandrika Kamath</t>
  </si>
  <si>
    <t>chandrika.kamath656@yahoo.com</t>
  </si>
  <si>
    <t>Manikandan Achari</t>
  </si>
  <si>
    <t>manikandan.achari657@yahoo.com</t>
  </si>
  <si>
    <t>kiran.gupta658@yahoo.com</t>
  </si>
  <si>
    <t>Nandini Natarajan</t>
  </si>
  <si>
    <t>nandini.natarajan659@rediffmail.com</t>
  </si>
  <si>
    <t>Bharathi Singh</t>
  </si>
  <si>
    <t>bharathi.singh660@gmail.com</t>
  </si>
  <si>
    <t>Ishwarya Naicker</t>
  </si>
  <si>
    <t>ishwarya.naicker661@yahoo.com</t>
  </si>
  <si>
    <t>Anand Natarajan</t>
  </si>
  <si>
    <t>anand.natarajan662@outlook.com</t>
  </si>
  <si>
    <t>Nandakumar Naidu</t>
  </si>
  <si>
    <t>nandakumar.naidu663@rediffmail.com</t>
  </si>
  <si>
    <t>Bhagya Pillai</t>
  </si>
  <si>
    <t>bhagya.pillai664@gmail.com</t>
  </si>
  <si>
    <t>Preethi Krishnan</t>
  </si>
  <si>
    <t>preethi.krishnan665@yahoo.com</t>
  </si>
  <si>
    <t>Arjun Chetty</t>
  </si>
  <si>
    <t>arjun.chetty666@yahoo.com</t>
  </si>
  <si>
    <t>Jyothi Murthy</t>
  </si>
  <si>
    <t>jyothi.murthy667@rediffmail.com</t>
  </si>
  <si>
    <t>Venkat Chetty</t>
  </si>
  <si>
    <t>venkat.chetty668@yahoo.com</t>
  </si>
  <si>
    <t>Kalyani Hegde</t>
  </si>
  <si>
    <t>kalyani.hegde669@yahoo.com</t>
  </si>
  <si>
    <t>Sanjay Mishra</t>
  </si>
  <si>
    <t>sanjay.mishra670@yahoo.com</t>
  </si>
  <si>
    <t>Rajesh Sundaram</t>
  </si>
  <si>
    <t>rajesh.sundaram671@yahoo.com</t>
  </si>
  <si>
    <t>Uday Gopalakrishnan</t>
  </si>
  <si>
    <t>uday.gopalakrishnan672@rediffmail.com</t>
  </si>
  <si>
    <t>Haritha Murthy</t>
  </si>
  <si>
    <t>haritha.murthy673@hotmail.com</t>
  </si>
  <si>
    <t>Vijay Kamath</t>
  </si>
  <si>
    <t>vijay.kamath674@hotmail.com</t>
  </si>
  <si>
    <t>Nisha Murthy</t>
  </si>
  <si>
    <t>nisha.murthy675@hotmail.com</t>
  </si>
  <si>
    <t>Dinesh Chandran</t>
  </si>
  <si>
    <t>dinesh.chandran676@yahoo.com</t>
  </si>
  <si>
    <t>sathish.gupta677@hotmail.com</t>
  </si>
  <si>
    <t>Ganesh Kamath</t>
  </si>
  <si>
    <t>ganesh.kamath678@yahoo.com</t>
  </si>
  <si>
    <t>Vijay Nair</t>
  </si>
  <si>
    <t>vijay.nair679@gmail.com</t>
  </si>
  <si>
    <t>Sandeep Bhat</t>
  </si>
  <si>
    <t>sandeep.bhat680@rediffmail.com</t>
  </si>
  <si>
    <t>Sangeeta Prasad</t>
  </si>
  <si>
    <t>sangeeta.prasad681@yahoo.com</t>
  </si>
  <si>
    <t>Vasanthi Menon</t>
  </si>
  <si>
    <t>vasanthi.menon682@outlook.com</t>
  </si>
  <si>
    <t>Rohit Iyengar</t>
  </si>
  <si>
    <t>rohit.iyengar683@rediffmail.com</t>
  </si>
  <si>
    <t>Meena Gowda</t>
  </si>
  <si>
    <t>meena.gowda684@yahoo.com</t>
  </si>
  <si>
    <t>Tanvi Menon</t>
  </si>
  <si>
    <t>tanvi.menon685@hotmail.com</t>
  </si>
  <si>
    <t>CUST0686</t>
  </si>
  <si>
    <t>Tara Iyer</t>
  </si>
  <si>
    <t>tara.iyer686@rediffmail.com</t>
  </si>
  <si>
    <t>Sanjay Gopalakrishnan</t>
  </si>
  <si>
    <t>sanjay.gopalakrishnan687@yahoo.com</t>
  </si>
  <si>
    <t>Bala Bhat</t>
  </si>
  <si>
    <t>bala.bhat688@yahoo.com</t>
  </si>
  <si>
    <t>Manju Pillai</t>
  </si>
  <si>
    <t>manju.pillai689@rediffmail.com</t>
  </si>
  <si>
    <t>bharathi.singh690@outlook.com</t>
  </si>
  <si>
    <t>Tara Singh</t>
  </si>
  <si>
    <t>tara.singh691@outlook.com</t>
  </si>
  <si>
    <t>Girish Chettiar</t>
  </si>
  <si>
    <t>girish.chettiar692@gmail.com</t>
  </si>
  <si>
    <t>Anand Naidu</t>
  </si>
  <si>
    <t>anand.naidu693@yahoo.com</t>
  </si>
  <si>
    <t>Sowmya Rao</t>
  </si>
  <si>
    <t>sowmya.rao694@rediffmail.com</t>
  </si>
  <si>
    <t>Vidya Achari</t>
  </si>
  <si>
    <t>vidya.achari695@rediffmail.com</t>
  </si>
  <si>
    <t>Malathi Hegde</t>
  </si>
  <si>
    <t>malathi.hegde696@hotmail.com</t>
  </si>
  <si>
    <t>Nisha Iyer</t>
  </si>
  <si>
    <t>nisha.iyer697@rediffmail.com</t>
  </si>
  <si>
    <t>Venkat Sundaram</t>
  </si>
  <si>
    <t>venkat.sundaram698@yahoo.com</t>
  </si>
  <si>
    <t>CUST0699</t>
  </si>
  <si>
    <t>hema.iyengar699@gmail.com</t>
  </si>
  <si>
    <t>Hemanth Bhat</t>
  </si>
  <si>
    <t>hemanth.bhat700@yahoo.com</t>
  </si>
  <si>
    <t>Chandra Pillai</t>
  </si>
  <si>
    <t>chandra.pillai701@hotmail.com</t>
  </si>
  <si>
    <t>Saranya Shetty</t>
  </si>
  <si>
    <t>saranya.shetty702@hotmail.com</t>
  </si>
  <si>
    <t>Baskar Sundaram</t>
  </si>
  <si>
    <t>baskar.sundaram703@gmail.com</t>
  </si>
  <si>
    <t>devraj.kamath704@gmail.com</t>
  </si>
  <si>
    <t>Chitra Bhat</t>
  </si>
  <si>
    <t>chitra.bhat705@yahoo.com</t>
  </si>
  <si>
    <t>Charulatha Bhat</t>
  </si>
  <si>
    <t>charulatha.bhat706@hotmail.com</t>
  </si>
  <si>
    <t>Gayathri Prasad</t>
  </si>
  <si>
    <t>gayathri.prasad707@yahoo.com</t>
  </si>
  <si>
    <t>Nithya Iyer</t>
  </si>
  <si>
    <t>nithya.iyer708@yahoo.com</t>
  </si>
  <si>
    <t>Usha Yadav</t>
  </si>
  <si>
    <t>usha.yadav709@rediffmail.com</t>
  </si>
  <si>
    <t>Pranav Gopalakrishnan</t>
  </si>
  <si>
    <t>pranav.gopalakrishnan710@outlook.com</t>
  </si>
  <si>
    <t>Deepthi Sundaram</t>
  </si>
  <si>
    <t>deepthi.sundaram711@yahoo.com</t>
  </si>
  <si>
    <t>Hema Rao</t>
  </si>
  <si>
    <t>hema.rao712@rediffmail.com</t>
  </si>
  <si>
    <t>Rahul Nair</t>
  </si>
  <si>
    <t>rahul.nair713@rediffmail.com</t>
  </si>
  <si>
    <t>Yamini Srinivasan</t>
  </si>
  <si>
    <t>yamini.srinivasan714@yahoo.com</t>
  </si>
  <si>
    <t>CUST0715</t>
  </si>
  <si>
    <t>Anusuya Raman</t>
  </si>
  <si>
    <t>anusuya.raman715@hotmail.com</t>
  </si>
  <si>
    <t>Indira Krishnan</t>
  </si>
  <si>
    <t>indira.krishnan716@yahoo.com</t>
  </si>
  <si>
    <t>Eshwari Gopalakrishnan</t>
  </si>
  <si>
    <t>eshwari.gopalakrishnan717@rediffmail.com</t>
  </si>
  <si>
    <t>Vasu Murthy</t>
  </si>
  <si>
    <t>vasu.murthy718@rediffmail.com</t>
  </si>
  <si>
    <t>Preethi Bhat</t>
  </si>
  <si>
    <t>preethi.bhat719@yahoo.com</t>
  </si>
  <si>
    <t>yashoda.sundaram720@hotmail.com</t>
  </si>
  <si>
    <t>Kavya Singh</t>
  </si>
  <si>
    <t>kavya.singh721@outlook.com</t>
  </si>
  <si>
    <t>hariharan.yadav722@gmail.com</t>
  </si>
  <si>
    <t>Prakash Venkatesan</t>
  </si>
  <si>
    <t>prakash.venkatesan723@hotmail.com</t>
  </si>
  <si>
    <t>Manikandan Singh</t>
  </si>
  <si>
    <t>manikandan.singh724@gmail.com</t>
  </si>
  <si>
    <t>Padma Gopalakrishnan</t>
  </si>
  <si>
    <t>padma.gopalakrishnan725@rediffmail.com</t>
  </si>
  <si>
    <t>Dhanya Raman</t>
  </si>
  <si>
    <t>dhanya.raman726@yahoo.com</t>
  </si>
  <si>
    <t>Venkat Naidu</t>
  </si>
  <si>
    <t>venkat.naidu727@outlook.com</t>
  </si>
  <si>
    <t>Malini Raman</t>
  </si>
  <si>
    <t>malini.raman728@outlook.com</t>
  </si>
  <si>
    <t>Ravi Chandran</t>
  </si>
  <si>
    <t>ravi.chandran729@hotmail.com</t>
  </si>
  <si>
    <t>Vidya Murthy</t>
  </si>
  <si>
    <t>vidya.murthy730@gmail.com</t>
  </si>
  <si>
    <t>Chidambaram Subramaniam</t>
  </si>
  <si>
    <t>chidambaram.subramaniam731@rediffmail.com</t>
  </si>
  <si>
    <t>Harish Varma</t>
  </si>
  <si>
    <t>harish.varma732@hotmail.com</t>
  </si>
  <si>
    <t>Ganapathy Chettiar</t>
  </si>
  <si>
    <t>ganapathy.chettiar733@gmail.com</t>
  </si>
  <si>
    <t>Pooja Hegde</t>
  </si>
  <si>
    <t>pooja.hegde734@rediffmail.com</t>
  </si>
  <si>
    <t>Nandini Iyer</t>
  </si>
  <si>
    <t>nandini.iyer735@rediffmail.com</t>
  </si>
  <si>
    <t>Yashoda Menon</t>
  </si>
  <si>
    <t>yashoda.menon736@rediffmail.com</t>
  </si>
  <si>
    <t>Chandrika Mishra</t>
  </si>
  <si>
    <t>chandrika.mishra737@hotmail.com</t>
  </si>
  <si>
    <t>anjali.nair738@hotmail.com</t>
  </si>
  <si>
    <t>Akhila Chettiar</t>
  </si>
  <si>
    <t>akhila.chettiar739@yahoo.com</t>
  </si>
  <si>
    <t>Vasanthi Sharma</t>
  </si>
  <si>
    <t>vasanthi.sharma740@hotmail.com</t>
  </si>
  <si>
    <t>Radha Chetty</t>
  </si>
  <si>
    <t>radha.chetty741@gmail.com</t>
  </si>
  <si>
    <t>padma.gopalakrishnan742@hotmail.com</t>
  </si>
  <si>
    <t>CUST0743</t>
  </si>
  <si>
    <t>Praveen Prasad</t>
  </si>
  <si>
    <t>praveen.prasad743@rediffmail.com</t>
  </si>
  <si>
    <t>vasanthi.subramaniam744@gmail.com</t>
  </si>
  <si>
    <t>Lavanya Hegde</t>
  </si>
  <si>
    <t>lavanya.hegde745@rediffmail.com</t>
  </si>
  <si>
    <t>Pandian Venkatesan</t>
  </si>
  <si>
    <t>pandian.venkatesan746@yahoo.com</t>
  </si>
  <si>
    <t>Rajesh Bhat</t>
  </si>
  <si>
    <t>rajesh.bhat747@hotmail.com</t>
  </si>
  <si>
    <t>Dinesh Bhat</t>
  </si>
  <si>
    <t>dinesh.bhat748@outlook.com</t>
  </si>
  <si>
    <t>Anusuya Mudaliar</t>
  </si>
  <si>
    <t>anusuya.mudaliar749@yahoo.com</t>
  </si>
  <si>
    <t>Venkat Srinivasan</t>
  </si>
  <si>
    <t>venkat.srinivasan750@outlook.com</t>
  </si>
  <si>
    <t>hemanth.pillai751@gmail.com</t>
  </si>
  <si>
    <t>Hariharan Iyer</t>
  </si>
  <si>
    <t>hariharan.iyer752@rediffmail.com</t>
  </si>
  <si>
    <t>balaji.mishra753@hotmail.com</t>
  </si>
  <si>
    <t>gayathri.murthy754@yahoo.com</t>
  </si>
  <si>
    <t>kannan.yadav755@yahoo.com</t>
  </si>
  <si>
    <t>Kavitha Venkatesan</t>
  </si>
  <si>
    <t>kavitha.venkatesan756@gmail.com</t>
  </si>
  <si>
    <t>Ramya Hegde</t>
  </si>
  <si>
    <t>ramya.hegde757@gmail.com</t>
  </si>
  <si>
    <t>sowmya.ramachandran758@outlook.com</t>
  </si>
  <si>
    <t>Chandran Yadav</t>
  </si>
  <si>
    <t>chandran.yadav759@rediffmail.com</t>
  </si>
  <si>
    <t>Devraj Naicker</t>
  </si>
  <si>
    <t>devraj.naicker760@yahoo.com</t>
  </si>
  <si>
    <t>rohit.singh761@hotmail.com</t>
  </si>
  <si>
    <t>Ravi Menon</t>
  </si>
  <si>
    <t>ravi.menon762@hotmail.com</t>
  </si>
  <si>
    <t>Thiru Srinivasan</t>
  </si>
  <si>
    <t>thiru.srinivasan763@rediffmail.com</t>
  </si>
  <si>
    <t>Ramesh Ramachandran</t>
  </si>
  <si>
    <t>ramesh.ramachandran764@gmail.com</t>
  </si>
  <si>
    <t>Elango Subramaniam</t>
  </si>
  <si>
    <t>elango.subramaniam765@yahoo.com</t>
  </si>
  <si>
    <t>Deepak Achari</t>
  </si>
  <si>
    <t>deepak.achari766@hotmail.com</t>
  </si>
  <si>
    <t>Praveen Gowda</t>
  </si>
  <si>
    <t>praveen.gowda767@gmail.com</t>
  </si>
  <si>
    <t>Vinod Varma</t>
  </si>
  <si>
    <t>vinod.varma768@rediffmail.com</t>
  </si>
  <si>
    <t>Rohit Rao</t>
  </si>
  <si>
    <t>rohit.rao769@outlook.com</t>
  </si>
  <si>
    <t>Kannan Gupta</t>
  </si>
  <si>
    <t>kannan.gupta770@yahoo.com</t>
  </si>
  <si>
    <t>Kiran Prasad</t>
  </si>
  <si>
    <t>kiran.prasad771@yahoo.com</t>
  </si>
  <si>
    <t>Vinod Hegde</t>
  </si>
  <si>
    <t>vinod.hegde772@hotmail.com</t>
  </si>
  <si>
    <t>Jagan Gopalakrishnan</t>
  </si>
  <si>
    <t>jagan.gopalakrishnan773@gmail.com</t>
  </si>
  <si>
    <t>Easwaran Natarajan</t>
  </si>
  <si>
    <t>easwaran.natarajan774@outlook.com</t>
  </si>
  <si>
    <t>Arjun Iyengar</t>
  </si>
  <si>
    <t>arjun.iyengar775@hotmail.com</t>
  </si>
  <si>
    <t>Vijay Singh</t>
  </si>
  <si>
    <t>vijay.singh776@hotmail.com</t>
  </si>
  <si>
    <t>Saranya Mudaliar</t>
  </si>
  <si>
    <t>saranya.mudaliar777@outlook.com</t>
  </si>
  <si>
    <t>Deepak Prasad</t>
  </si>
  <si>
    <t>deepak.prasad778@gmail.com</t>
  </si>
  <si>
    <t>Chandra Prasad</t>
  </si>
  <si>
    <t>chandra.prasad779@gmail.com</t>
  </si>
  <si>
    <t>Deepthi Reddy</t>
  </si>
  <si>
    <t>deepthi.reddy780@outlook.com</t>
  </si>
  <si>
    <t>Pooja Sharma</t>
  </si>
  <si>
    <t>pooja.sharma781@gmail.com</t>
  </si>
  <si>
    <t>Rahul Yadav</t>
  </si>
  <si>
    <t>rahul.yadav782@gmail.com</t>
  </si>
  <si>
    <t>Nithya Srinivasan</t>
  </si>
  <si>
    <t>nithya.srinivasan783@gmail.com</t>
  </si>
  <si>
    <t>Srinivas Hegde</t>
  </si>
  <si>
    <t>srinivas.hegde784@yahoo.com</t>
  </si>
  <si>
    <t>Bharathi Pandian</t>
  </si>
  <si>
    <t>bharathi.pandian785@yahoo.com</t>
  </si>
  <si>
    <t>Baskar Bhat</t>
  </si>
  <si>
    <t>baskar.bhat786@outlook.com</t>
  </si>
  <si>
    <t>Chitra Srinivasan</t>
  </si>
  <si>
    <t>chitra.srinivasan787@hotmail.com</t>
  </si>
  <si>
    <t>Eshwari Singh</t>
  </si>
  <si>
    <t>eshwari.singh788@gmail.com</t>
  </si>
  <si>
    <t>rohit.gupta789@rediffmail.com</t>
  </si>
  <si>
    <t>Yamini Gowda</t>
  </si>
  <si>
    <t>yamini.gowda790@gmail.com</t>
  </si>
  <si>
    <t>Uma Murthy</t>
  </si>
  <si>
    <t>uma.murthy791@outlook.com</t>
  </si>
  <si>
    <t>varsha.kamath792@gmail.com</t>
  </si>
  <si>
    <t>Hari Raman</t>
  </si>
  <si>
    <t>hari.raman793@yahoo.com</t>
  </si>
  <si>
    <t>Rahul Gupta</t>
  </si>
  <si>
    <t>rahul.gupta794@gmail.com</t>
  </si>
  <si>
    <t>Deepa Iyer</t>
  </si>
  <si>
    <t>deepa.iyer795@yahoo.com</t>
  </si>
  <si>
    <t>Sowmya Murthy</t>
  </si>
  <si>
    <t>sowmya.murthy796@outlook.com</t>
  </si>
  <si>
    <t>Feroz Shetty</t>
  </si>
  <si>
    <t>feroz.shetty797@yahoo.com</t>
  </si>
  <si>
    <t>Jayaram Rao</t>
  </si>
  <si>
    <t>jayaram.rao798@rediffmail.com</t>
  </si>
  <si>
    <t>charulatha.hegde799@rediffmail.com</t>
  </si>
  <si>
    <t>varsha.nair800@rediffmail.com</t>
  </si>
  <si>
    <t>Anusuya Yadav</t>
  </si>
  <si>
    <t>anusuya.yadav801@outlook.com</t>
  </si>
  <si>
    <t>Geetha Reddy</t>
  </si>
  <si>
    <t>geetha.reddy802@hotmail.com</t>
  </si>
  <si>
    <t>CUST0803</t>
  </si>
  <si>
    <t>Indira Chettiar</t>
  </si>
  <si>
    <t>indira.chettiar803@outlook.com</t>
  </si>
  <si>
    <t>Haritha Chandran</t>
  </si>
  <si>
    <t>haritha.chandran804@outlook.com</t>
  </si>
  <si>
    <t>Dinesh Achari</t>
  </si>
  <si>
    <t>dinesh.achari805@outlook.com</t>
  </si>
  <si>
    <t>Hema Sharma</t>
  </si>
  <si>
    <t>hema.sharma806@rediffmail.com</t>
  </si>
  <si>
    <t>Nisha Rao</t>
  </si>
  <si>
    <t>nisha.rao807@yahoo.com</t>
  </si>
  <si>
    <t>devraj.iyengar808@gmail.com</t>
  </si>
  <si>
    <t>Ganesh Gupta</t>
  </si>
  <si>
    <t>ganesh.gupta809@yahoo.com</t>
  </si>
  <si>
    <t>Latha Ramachandran</t>
  </si>
  <si>
    <t>latha.ramachandran810@hotmail.com</t>
  </si>
  <si>
    <t>Deepak Ramachandran</t>
  </si>
  <si>
    <t>deepak.ramachandran811@rediffmail.com</t>
  </si>
  <si>
    <t>Padma Krishnan</t>
  </si>
  <si>
    <t>padma.krishnan812@rediffmail.com</t>
  </si>
  <si>
    <t>Anjali Naicker</t>
  </si>
  <si>
    <t>anjali.naicker813@hotmail.com</t>
  </si>
  <si>
    <t>Pallavi Hegde</t>
  </si>
  <si>
    <t>pallavi.hegde814@gmail.com</t>
  </si>
  <si>
    <t>Varsha Chandran</t>
  </si>
  <si>
    <t>varsha.chandran815@yahoo.com</t>
  </si>
  <si>
    <t>gokul.chetty816@hotmail.com</t>
  </si>
  <si>
    <t>Anil Rao</t>
  </si>
  <si>
    <t>anil.rao817@yahoo.com</t>
  </si>
  <si>
    <t>Srinivas Rao</t>
  </si>
  <si>
    <t>srinivas.rao818@yahoo.com</t>
  </si>
  <si>
    <t>Deepika Sharma</t>
  </si>
  <si>
    <t>deepika.sharma819@outlook.com</t>
  </si>
  <si>
    <t>Deepa Chettiar</t>
  </si>
  <si>
    <t>deepa.chettiar820@outlook.com</t>
  </si>
  <si>
    <t>Jyothi Mudaliar</t>
  </si>
  <si>
    <t>jyothi.mudaliar821@outlook.com</t>
  </si>
  <si>
    <t>Arun Chandran</t>
  </si>
  <si>
    <t>arun.chandran822@outlook.com</t>
  </si>
  <si>
    <t>Haritha Menon</t>
  </si>
  <si>
    <t>haritha.menon823@outlook.com</t>
  </si>
  <si>
    <t>Vasanthi Iyengar</t>
  </si>
  <si>
    <t>vasanthi.iyengar824@gmail.com</t>
  </si>
  <si>
    <t>Vani Prasad</t>
  </si>
  <si>
    <t>vani.prasad825@hotmail.com</t>
  </si>
  <si>
    <t>Hari Venkatesan</t>
  </si>
  <si>
    <t>hari.venkatesan826@hotmail.com</t>
  </si>
  <si>
    <t>Saranya Krishnan</t>
  </si>
  <si>
    <t>saranya.krishnan827@yahoo.com</t>
  </si>
  <si>
    <t>Dinesh Sundaram</t>
  </si>
  <si>
    <t>dinesh.sundaram828@yahoo.com</t>
  </si>
  <si>
    <t>Nithya Ramachandran</t>
  </si>
  <si>
    <t>nithya.ramachandran829@gmail.com</t>
  </si>
  <si>
    <t>Nandakumar Mishra</t>
  </si>
  <si>
    <t>nandakumar.mishra830@gmail.com</t>
  </si>
  <si>
    <t>CUST0831</t>
  </si>
  <si>
    <t>latha.sundaram831@outlook.com</t>
  </si>
  <si>
    <t>Deepak Iyengar</t>
  </si>
  <si>
    <t>deepak.iyengar832@gmail.com</t>
  </si>
  <si>
    <t>rohit.pillai833@hotmail.com</t>
  </si>
  <si>
    <t>Swathi Mishra</t>
  </si>
  <si>
    <t>swathi.mishra834@hotmail.com</t>
  </si>
  <si>
    <t>latha.iyer835@rediffmail.com</t>
  </si>
  <si>
    <t>vasu.murthy836@yahoo.com</t>
  </si>
  <si>
    <t>deepthi.shetty837@yahoo.com</t>
  </si>
  <si>
    <t>siddharth.subramaniam838@outlook.com</t>
  </si>
  <si>
    <t>dhanya.shetty839@gmail.com</t>
  </si>
  <si>
    <t>Srinivas Chandran</t>
  </si>
  <si>
    <t>srinivas.chandran840@gmail.com</t>
  </si>
  <si>
    <t>Tanvi Gopalakrishnan</t>
  </si>
  <si>
    <t>tanvi.gopalakrishnan841@outlook.com</t>
  </si>
  <si>
    <t>Charulatha Murthy</t>
  </si>
  <si>
    <t>charulatha.murthy842@yahoo.com</t>
  </si>
  <si>
    <t>ramesh.subramaniam843@gmail.com</t>
  </si>
  <si>
    <t>Tara Srinivasan</t>
  </si>
  <si>
    <t>tara.srinivasan844@outlook.com</t>
  </si>
  <si>
    <t>Kiran Gopalakrishnan</t>
  </si>
  <si>
    <t>kiran@@gmail.com</t>
  </si>
  <si>
    <t>Jayaram Nair</t>
  </si>
  <si>
    <t>jayaram.nair846@hotmail.com</t>
  </si>
  <si>
    <t>Kiran Sharma</t>
  </si>
  <si>
    <t>kiran.sharma847@gmail.com</t>
  </si>
  <si>
    <t>Jaya Achari</t>
  </si>
  <si>
    <t>jaya.achari848@hotmail.com</t>
  </si>
  <si>
    <t>Arun Natarajan</t>
  </si>
  <si>
    <t>arun.natarajan849@hotmail.com</t>
  </si>
  <si>
    <t>Chidambaram Krishnan</t>
  </si>
  <si>
    <t>chidambaram.krishnan850@hotmail.com</t>
  </si>
  <si>
    <t>Product_Name</t>
  </si>
  <si>
    <t>Subcategory</t>
  </si>
  <si>
    <t>Size</t>
  </si>
  <si>
    <t>Color</t>
  </si>
  <si>
    <t>Material</t>
  </si>
  <si>
    <t>Cost Price</t>
  </si>
  <si>
    <t>Selling Price</t>
  </si>
  <si>
    <t>MRP</t>
  </si>
  <si>
    <t>Launch Date</t>
  </si>
  <si>
    <t>Status</t>
  </si>
  <si>
    <t>Duplicate_Name_Flag</t>
  </si>
  <si>
    <t>Mufti Sweater Peach</t>
  </si>
  <si>
    <t>Sweater</t>
  </si>
  <si>
    <t>Mufti</t>
  </si>
  <si>
    <t>S</t>
  </si>
  <si>
    <t>Peach</t>
  </si>
  <si>
    <t>Khadi</t>
  </si>
  <si>
    <t>SUP078</t>
  </si>
  <si>
    <t>Active</t>
  </si>
  <si>
    <t>Fastrack Jacket Orange</t>
  </si>
  <si>
    <t>Jacket</t>
  </si>
  <si>
    <t>Fastrack</t>
  </si>
  <si>
    <t>L</t>
  </si>
  <si>
    <t>Orange</t>
  </si>
  <si>
    <t>Rayon</t>
  </si>
  <si>
    <t>SUP008</t>
  </si>
  <si>
    <t>Westside Straight Fit Charcoal</t>
  </si>
  <si>
    <t>Straight Fit</t>
  </si>
  <si>
    <t>Westside</t>
  </si>
  <si>
    <t>XXL</t>
  </si>
  <si>
    <t>Charcoal</t>
  </si>
  <si>
    <t>Chiffon</t>
  </si>
  <si>
    <t>SUP009</t>
  </si>
  <si>
    <t>Westside Bodycon Dress Green</t>
  </si>
  <si>
    <t>Bodycon Dress</t>
  </si>
  <si>
    <t>XS</t>
  </si>
  <si>
    <t>Green</t>
  </si>
  <si>
    <t>Leather</t>
  </si>
  <si>
    <t>SUP010</t>
  </si>
  <si>
    <t>Woodland Digital Watch Brown</t>
  </si>
  <si>
    <t>Digital Watch</t>
  </si>
  <si>
    <t>Woodland</t>
  </si>
  <si>
    <t>Free Size</t>
  </si>
  <si>
    <t>Brown</t>
  </si>
  <si>
    <t>Wool</t>
  </si>
  <si>
    <t>SUP064</t>
  </si>
  <si>
    <t>Liberty Braided Belt Red</t>
  </si>
  <si>
    <t>Braided Belt</t>
  </si>
  <si>
    <t>Liberty</t>
  </si>
  <si>
    <t>Red</t>
  </si>
  <si>
    <t>Linen</t>
  </si>
  <si>
    <t>SUP063</t>
  </si>
  <si>
    <t>Pepe Jeans Silk Saree Navy Blue</t>
  </si>
  <si>
    <t>Silk Saree</t>
  </si>
  <si>
    <t>Pepe Jeans</t>
  </si>
  <si>
    <t>Navy Blue</t>
  </si>
  <si>
    <t>Viscose</t>
  </si>
  <si>
    <t>Aurelia Zip Wallet Grey</t>
  </si>
  <si>
    <t>Zip Wallet</t>
  </si>
  <si>
    <t>Aurelia</t>
  </si>
  <si>
    <t>Grey</t>
  </si>
  <si>
    <t>Nylon</t>
  </si>
  <si>
    <t>SUP016</t>
  </si>
  <si>
    <t>W for Woman Cotton Saree Wine</t>
  </si>
  <si>
    <t>Cotton Saree</t>
  </si>
  <si>
    <t>W for Woman</t>
  </si>
  <si>
    <t>M</t>
  </si>
  <si>
    <t>Wine</t>
  </si>
  <si>
    <t>Cotton</t>
  </si>
  <si>
    <t>SUP012</t>
  </si>
  <si>
    <t>Killer Jeans Skinny Fit Wine</t>
  </si>
  <si>
    <t>Skinny Fit</t>
  </si>
  <si>
    <t>Killer Jeans</t>
  </si>
  <si>
    <t>Georgette</t>
  </si>
  <si>
    <t>SUP058</t>
  </si>
  <si>
    <t>Pepe Jeans Scarf Cream</t>
  </si>
  <si>
    <t>Scarf</t>
  </si>
  <si>
    <t>Cream</t>
  </si>
  <si>
    <t>Synthetic Blend</t>
  </si>
  <si>
    <t>Inactive</t>
  </si>
  <si>
    <t>Aurelia Chinos Grey</t>
  </si>
  <si>
    <t>Chinos</t>
  </si>
  <si>
    <t>Denim</t>
  </si>
  <si>
    <t>SUP011</t>
  </si>
  <si>
    <t>Nike Crop Top Cream</t>
  </si>
  <si>
    <t>Crop Top</t>
  </si>
  <si>
    <t>Nike</t>
  </si>
  <si>
    <t>SUP075</t>
  </si>
  <si>
    <t>Skechers Nehru Jacket Peach</t>
  </si>
  <si>
    <t>Nehru Jacket</t>
  </si>
  <si>
    <t>Skechers</t>
  </si>
  <si>
    <t>XL</t>
  </si>
  <si>
    <t>SUP083</t>
  </si>
  <si>
    <t>Reebok Smart Watch Beige</t>
  </si>
  <si>
    <t>Smart Watch</t>
  </si>
  <si>
    <t>Reebok</t>
  </si>
  <si>
    <t>Beige</t>
  </si>
  <si>
    <t>SUP039</t>
  </si>
  <si>
    <t>Titan Sling Bag Green</t>
  </si>
  <si>
    <t>Sling Bag</t>
  </si>
  <si>
    <t>Titan</t>
  </si>
  <si>
    <t>SUP027</t>
  </si>
  <si>
    <t>Libas Girls Frock Sky Blue</t>
  </si>
  <si>
    <t>Girls Frock</t>
  </si>
  <si>
    <t>Libas</t>
  </si>
  <si>
    <t>Sky Blue</t>
  </si>
  <si>
    <t>SUP031</t>
  </si>
  <si>
    <t>Global Desi Cap Orange</t>
  </si>
  <si>
    <t>Cap</t>
  </si>
  <si>
    <t>Global Desi</t>
  </si>
  <si>
    <t>Silk</t>
  </si>
  <si>
    <t>SUP021</t>
  </si>
  <si>
    <t>Sonata Girls Frock Cream</t>
  </si>
  <si>
    <t>Kids T-Shirt</t>
  </si>
  <si>
    <t>Jack &amp; Jones</t>
  </si>
  <si>
    <t>SUP065</t>
  </si>
  <si>
    <t>Flying Machine Sunglasses Teal</t>
  </si>
  <si>
    <t>Sunglasses</t>
  </si>
  <si>
    <t>Flying Machine</t>
  </si>
  <si>
    <t>Teal</t>
  </si>
  <si>
    <t>SUP002</t>
  </si>
  <si>
    <t>Pepe Jeans Track Pant Mustard</t>
  </si>
  <si>
    <t>Track Pant</t>
  </si>
  <si>
    <t>Mustard</t>
  </si>
  <si>
    <t>SUP071</t>
  </si>
  <si>
    <t>Being Human Skinny Fit Charcoal</t>
  </si>
  <si>
    <t>Being Human</t>
  </si>
  <si>
    <t>SUP013</t>
  </si>
  <si>
    <t>Max Fashion Joggers Cream</t>
  </si>
  <si>
    <t>Joggers</t>
  </si>
  <si>
    <t>Max Fashion</t>
  </si>
  <si>
    <t>SUP043</t>
  </si>
  <si>
    <t>Spykar Backpack Peach</t>
  </si>
  <si>
    <t>Backpack</t>
  </si>
  <si>
    <t>Spykar</t>
  </si>
  <si>
    <t>Lycra</t>
  </si>
  <si>
    <t>SUP079</t>
  </si>
  <si>
    <t>Pothys Straight Fit Charcoal</t>
  </si>
  <si>
    <t>Pothys</t>
  </si>
  <si>
    <t>SUP015</t>
  </si>
  <si>
    <t>Fossil Hoodie Black</t>
  </si>
  <si>
    <t>Hoodie</t>
  </si>
  <si>
    <t>Fossil</t>
  </si>
  <si>
    <t>Black</t>
  </si>
  <si>
    <t>Woodland Sling Bag Peach</t>
  </si>
  <si>
    <t>SUP090</t>
  </si>
  <si>
    <t>Peter England Chinos Orange</t>
  </si>
  <si>
    <t>Peter England</t>
  </si>
  <si>
    <t>Liberty Nehru Jacket Sky Blue</t>
  </si>
  <si>
    <t>SUP046</t>
  </si>
  <si>
    <t>Jack &amp; Jones Tunic Olive</t>
  </si>
  <si>
    <t>Tunic</t>
  </si>
  <si>
    <t>Olive</t>
  </si>
  <si>
    <t>SUP089</t>
  </si>
  <si>
    <t>Nalli Silks Clutch Brown</t>
  </si>
  <si>
    <t>Clutch</t>
  </si>
  <si>
    <t>Nalli Silks</t>
  </si>
  <si>
    <t>Pantaloons Shorts Maroon</t>
  </si>
  <si>
    <t>Shorts</t>
  </si>
  <si>
    <t>Pantaloons</t>
  </si>
  <si>
    <t>Maroon</t>
  </si>
  <si>
    <t>SUP062</t>
  </si>
  <si>
    <t>Bata Cotton Saree Mustard</t>
  </si>
  <si>
    <t>Bata</t>
  </si>
  <si>
    <t>SUP086</t>
  </si>
  <si>
    <t>Nike Casual Belt Olive</t>
  </si>
  <si>
    <t>Casual Belt</t>
  </si>
  <si>
    <t>Reebok Printed Kurti Wine</t>
  </si>
  <si>
    <t>Printed Kurti</t>
  </si>
  <si>
    <t>Bata Digital Watch White</t>
  </si>
  <si>
    <t>White</t>
  </si>
  <si>
    <t>SUP051</t>
  </si>
  <si>
    <t>Discontinued</t>
  </si>
  <si>
    <t>Tanishq Sling Bag Pink</t>
  </si>
  <si>
    <t>Tanishq</t>
  </si>
  <si>
    <t>Pink</t>
  </si>
  <si>
    <t>Pepe Jeans Leather Wallet Charcoal</t>
  </si>
  <si>
    <t>Leather Wallet</t>
  </si>
  <si>
    <t>SUP024</t>
  </si>
  <si>
    <t>AND Denim Shirt Teal</t>
  </si>
  <si>
    <t>Denim Shirt</t>
  </si>
  <si>
    <t>AND</t>
  </si>
  <si>
    <t>US Polo Assn Track Suit Maroon</t>
  </si>
  <si>
    <t>Track Suit</t>
  </si>
  <si>
    <t>US Polo Assn</t>
  </si>
  <si>
    <t>Biba Skinny Fit Brown</t>
  </si>
  <si>
    <t>Biba</t>
  </si>
  <si>
    <t>SUP040</t>
  </si>
  <si>
    <t>Westside Cargo Peach</t>
  </si>
  <si>
    <t>Cargo</t>
  </si>
  <si>
    <t>GRT Jewellers Sling Bag Olive</t>
  </si>
  <si>
    <t>GRT Jewellers</t>
  </si>
  <si>
    <t>Louis Philippe Slim Fit Cream</t>
  </si>
  <si>
    <t>Slim Fit</t>
  </si>
  <si>
    <t>Louis Philippe</t>
  </si>
  <si>
    <t>SUP088</t>
  </si>
  <si>
    <t>Arrow Georgette Saree Charcoal</t>
  </si>
  <si>
    <t>Georgette Saree</t>
  </si>
  <si>
    <t>Arrow</t>
  </si>
  <si>
    <t>SUP087</t>
  </si>
  <si>
    <t>Killer Jeans Skinny Fit Mustard</t>
  </si>
  <si>
    <t>Nalli Silks Round Neck White</t>
  </si>
  <si>
    <t>Round Neck</t>
  </si>
  <si>
    <t>SUP049</t>
  </si>
  <si>
    <t>Indian Terrain Denim Shirt Wine</t>
  </si>
  <si>
    <t>Tie</t>
  </si>
  <si>
    <t>Fossil Sports T-Shirt Olive</t>
  </si>
  <si>
    <t>Sports T-Shirt</t>
  </si>
  <si>
    <t>Ramraj Cotton A-Line Dress Brown</t>
  </si>
  <si>
    <t>A-Line Dress</t>
  </si>
  <si>
    <t>Ramraj Cotton</t>
  </si>
  <si>
    <t>SUP054</t>
  </si>
  <si>
    <t>W for Woman Necklace Beige</t>
  </si>
  <si>
    <t>Necklace</t>
  </si>
  <si>
    <t>Polyester</t>
  </si>
  <si>
    <t>SUP006</t>
  </si>
  <si>
    <t>Fabindia Shorts Cream</t>
  </si>
  <si>
    <t>Fabindia</t>
  </si>
  <si>
    <t>Aurelia Girls Frock Maroon</t>
  </si>
  <si>
    <t>Louis Philippe Leather Wallet Brown</t>
  </si>
  <si>
    <t>GRT Jewellers Sports T-Shirt Cream</t>
  </si>
  <si>
    <t>SUP072</t>
  </si>
  <si>
    <t>Liberty Muffler Charcoal</t>
  </si>
  <si>
    <t>Muffler</t>
  </si>
  <si>
    <t>Louis Philippe Card Holder Mustard</t>
  </si>
  <si>
    <t>Card Holder</t>
  </si>
  <si>
    <t>SUP076</t>
  </si>
  <si>
    <t>Nalli Silks Card Holder Beige</t>
  </si>
  <si>
    <t>Fastrack Sling Bag Peach</t>
  </si>
  <si>
    <t>Biba Formal Shoes Brown</t>
  </si>
  <si>
    <t>Formal Shoes</t>
  </si>
  <si>
    <t>9</t>
  </si>
  <si>
    <t>SUP048</t>
  </si>
  <si>
    <t>Allen Solly Kids Shorts Teal</t>
  </si>
  <si>
    <t>Kids Shorts</t>
  </si>
  <si>
    <t>Allen Solly</t>
  </si>
  <si>
    <t>SUP026</t>
  </si>
  <si>
    <t>Being Human Girls Frock Teal</t>
  </si>
  <si>
    <t>Wrangler Backpack Brown</t>
  </si>
  <si>
    <t>Wrangler</t>
  </si>
  <si>
    <t>Raymond Leather Belt White</t>
  </si>
  <si>
    <t>Leather Belt</t>
  </si>
  <si>
    <t>Raymond</t>
  </si>
  <si>
    <t>Westside Georgette Saree White</t>
  </si>
  <si>
    <t>Van Heusen Leather Wallet Black</t>
  </si>
  <si>
    <t>Van Heusen</t>
  </si>
  <si>
    <t>Blackberrys Jacket Red</t>
  </si>
  <si>
    <t>Blackberrys</t>
  </si>
  <si>
    <t>Killer Jeans Skinny Fit Orange</t>
  </si>
  <si>
    <t>Killer Jeans Round Neck Green</t>
  </si>
  <si>
    <t>SUP056</t>
  </si>
  <si>
    <t>Woodland Boys Shirt White</t>
  </si>
  <si>
    <t>Boys Shirt</t>
  </si>
  <si>
    <t>US Polo Assn Casual Top Sky Blue</t>
  </si>
  <si>
    <t>Casual Top</t>
  </si>
  <si>
    <t>Metro Shoes Straight Kurti Green</t>
  </si>
  <si>
    <t>Straight Kurti</t>
  </si>
  <si>
    <t>Metro Shoes</t>
  </si>
  <si>
    <t>SUP045</t>
  </si>
  <si>
    <t>Mufti Round Neck Olive</t>
  </si>
  <si>
    <t>SUP042</t>
  </si>
  <si>
    <t>Indian Terrain</t>
  </si>
  <si>
    <t>SUP080</t>
  </si>
  <si>
    <t>Sonata Bootcut Navy Blue</t>
  </si>
  <si>
    <t>Bootcut</t>
  </si>
  <si>
    <t>Sonata</t>
  </si>
  <si>
    <t>SUP014</t>
  </si>
  <si>
    <t>Aurelia Slim Fit Orange</t>
  </si>
  <si>
    <t>SUP053</t>
  </si>
  <si>
    <t>Arrow Formal Trouser Brown</t>
  </si>
  <si>
    <t>Formal Trouser</t>
  </si>
  <si>
    <t>SUP050</t>
  </si>
  <si>
    <t>Metro Shoes Regular Fit Charcoal</t>
  </si>
  <si>
    <t>Regular Fit</t>
  </si>
  <si>
    <t>SUP022</t>
  </si>
  <si>
    <t>Numero Uno Hoodie Pink</t>
  </si>
  <si>
    <t>Numero Uno</t>
  </si>
  <si>
    <t>Pepe Jeans Cap Pink</t>
  </si>
  <si>
    <t>Aurelia Earrings Sky Blue</t>
  </si>
  <si>
    <t>Earrings</t>
  </si>
  <si>
    <t>Libas Sling Bag Green</t>
  </si>
  <si>
    <t>Fossil A-Line Kurti Orange</t>
  </si>
  <si>
    <t>A-Line Kurti</t>
  </si>
  <si>
    <t>SUP018</t>
  </si>
  <si>
    <t>Biba Bootcut Maroon</t>
  </si>
  <si>
    <t>Bata Braided Belt White</t>
  </si>
  <si>
    <t>SUP032</t>
  </si>
  <si>
    <t>Reebok Sandals Peach</t>
  </si>
  <si>
    <t>Sandals</t>
  </si>
  <si>
    <t>10</t>
  </si>
  <si>
    <t>Blackberrys Formal Trouser Mustard</t>
  </si>
  <si>
    <t>Pantaloons Sunglasses Black</t>
  </si>
  <si>
    <t>SUP019</t>
  </si>
  <si>
    <t>Max Fashion Formal Shoes Orange</t>
  </si>
  <si>
    <t>7</t>
  </si>
  <si>
    <t>Peter England Round Neck Sky Blue</t>
  </si>
  <si>
    <t>Liberty Anarkali Kurti Purple</t>
  </si>
  <si>
    <t>Anarkali Kurti</t>
  </si>
  <si>
    <t>Purple</t>
  </si>
  <si>
    <t>Sparx Georgette Saree Purple</t>
  </si>
  <si>
    <t>Sparx</t>
  </si>
  <si>
    <t>Westside Cap Beige</t>
  </si>
  <si>
    <t>Pantaloons Track Suit Brown</t>
  </si>
  <si>
    <t>Libas Regular Fit Red</t>
  </si>
  <si>
    <t>Mufti Chronograph Grey</t>
  </si>
  <si>
    <t>Chronograph</t>
  </si>
  <si>
    <t>US Polo Assn Bootcut Sky Blue</t>
  </si>
  <si>
    <t>Numero Uno Leather Wallet Wine</t>
  </si>
  <si>
    <t>Global Desi Skinny Fit Olive</t>
  </si>
  <si>
    <t>Global Desi Analog Watch Cream</t>
  </si>
  <si>
    <t>Analog Watch</t>
  </si>
  <si>
    <t>Aurelia Chinos White</t>
  </si>
  <si>
    <t>Sonata Printed Saree Peach</t>
  </si>
  <si>
    <t>Printed Saree</t>
  </si>
  <si>
    <t>Puma Formal Shoes Cream</t>
  </si>
  <si>
    <t>8</t>
  </si>
  <si>
    <t>GRT Jewellers Chinos Purple</t>
  </si>
  <si>
    <t>Kalyan Silks Shirt Dress Maroon</t>
  </si>
  <si>
    <t>Shirt Dress</t>
  </si>
  <si>
    <t>Kalyan Silks</t>
  </si>
  <si>
    <t>SUP036</t>
  </si>
  <si>
    <t>Kalyan Silks Slippers Sky Blue</t>
  </si>
  <si>
    <t>Slippers</t>
  </si>
  <si>
    <t>6</t>
  </si>
  <si>
    <t>Bata Sneakers Green</t>
  </si>
  <si>
    <t>Sneakers</t>
  </si>
  <si>
    <t>SUP074</t>
  </si>
  <si>
    <t>Max Fashion Sherwani White</t>
  </si>
  <si>
    <t>Sherwani</t>
  </si>
  <si>
    <t>SUP001</t>
  </si>
  <si>
    <t>Fastrack Jacket Maroon</t>
  </si>
  <si>
    <t>SUP033</t>
  </si>
  <si>
    <t>Skechers Skinny Fit Grey</t>
  </si>
  <si>
    <t>Nalli Silks Casual Shirt Navy Blue</t>
  </si>
  <si>
    <t>Casual Shirt</t>
  </si>
  <si>
    <t>Raymond Sherwani Olive</t>
  </si>
  <si>
    <t>Woodland Kurta Teal</t>
  </si>
  <si>
    <t>Kurta</t>
  </si>
  <si>
    <t>Arrow Sunglasses Red</t>
  </si>
  <si>
    <t>Reebok Bodycon Dress Navy Blue</t>
  </si>
  <si>
    <t>SUP085</t>
  </si>
  <si>
    <t>Woodland Bootcut Peach</t>
  </si>
  <si>
    <t>Nike Shirt Dress Peach</t>
  </si>
  <si>
    <t>Bata Hoodie Grey</t>
  </si>
  <si>
    <t>SUP028</t>
  </si>
  <si>
    <t>Killer Jeans Round Neck Charcoal</t>
  </si>
  <si>
    <t>Global Desi Card Holder Navy Blue</t>
  </si>
  <si>
    <t>Aurelia Analog Watch Purple</t>
  </si>
  <si>
    <t>Aurelia Necklace Grey</t>
  </si>
  <si>
    <t>SUP067</t>
  </si>
  <si>
    <t>Wrangler Formal Belt Brown</t>
  </si>
  <si>
    <t>Formal Belt</t>
  </si>
  <si>
    <t>SUP004</t>
  </si>
  <si>
    <t>Global Desi Kids Shorts Charcoal</t>
  </si>
  <si>
    <t>Westside Sling Bag Grey</t>
  </si>
  <si>
    <t>Van Heusen Formal Shirt Olive</t>
  </si>
  <si>
    <t>Formal Shirt</t>
  </si>
  <si>
    <t>Libas Jacket Olive</t>
  </si>
  <si>
    <t>SUP007</t>
  </si>
  <si>
    <t>Woodland Straight Kurti White</t>
  </si>
  <si>
    <t>Spykar Cotton Saree Black</t>
  </si>
  <si>
    <t>Blackberrys Joggers Beige</t>
  </si>
  <si>
    <t>Woodland Polo Purple</t>
  </si>
  <si>
    <t>Polo</t>
  </si>
  <si>
    <t>Mufti Slim Fit Maroon</t>
  </si>
  <si>
    <t>SUP035</t>
  </si>
  <si>
    <t>Jack &amp; Jones Maxi Dress Maroon</t>
  </si>
  <si>
    <t>Maxi Dress</t>
  </si>
  <si>
    <t>Indian Terrain Sandals Pink</t>
  </si>
  <si>
    <t>Flying Machine Necklace Sky Blue</t>
  </si>
  <si>
    <t>Peter England Crop Top Green</t>
  </si>
  <si>
    <t>Louis Philippe Formal Trouser Olive</t>
  </si>
  <si>
    <t>SUP034</t>
  </si>
  <si>
    <t>Raymond Slim Fit Beige</t>
  </si>
  <si>
    <t>SUP060</t>
  </si>
  <si>
    <t>Metro Shoes Polo Purple</t>
  </si>
  <si>
    <t>Indian Terrain Formal Top Maroon</t>
  </si>
  <si>
    <t>Formal Top</t>
  </si>
  <si>
    <t>Global Desi Round Neck Green</t>
  </si>
  <si>
    <t>Bata Slippers Wine</t>
  </si>
  <si>
    <t>Nalli Silks Casual Top Charcoal</t>
  </si>
  <si>
    <t>Pantaloons Shirt Dress Grey</t>
  </si>
  <si>
    <t>Metro Shoes Digital Watch Beige</t>
  </si>
  <si>
    <t>SUP005</t>
  </si>
  <si>
    <t>Fabindia Slim Fit Peach</t>
  </si>
  <si>
    <t>SUP044</t>
  </si>
  <si>
    <t>Louis Philippe Anarkali Kurti Black</t>
  </si>
  <si>
    <t>Sparx Slippers Red</t>
  </si>
  <si>
    <t>US Polo Assn Bootcut Black</t>
  </si>
  <si>
    <t>Nike Earrings Teal</t>
  </si>
  <si>
    <t>Sonata A-Line Kurti Sky Blue</t>
  </si>
  <si>
    <t>Indian Terrain Graphic Tee Purple</t>
  </si>
  <si>
    <t>Graphic Tee</t>
  </si>
  <si>
    <t>Indian Terrain A-Line Dress Navy Blue</t>
  </si>
  <si>
    <t>Liberty A-Line Kurti Navy Blue</t>
  </si>
  <si>
    <t>Wrangler Ring White</t>
  </si>
  <si>
    <t>Ring</t>
  </si>
  <si>
    <t>Aurelia Formal Top Olive</t>
  </si>
  <si>
    <t>Skechers Skinny Fit Peach</t>
  </si>
  <si>
    <t>Nalli Silks Jeggings Wine</t>
  </si>
  <si>
    <t>Jeggings</t>
  </si>
  <si>
    <t>Allen Solly Printed Kurti Mustard</t>
  </si>
  <si>
    <t>Skechers Formal Trouser Brown</t>
  </si>
  <si>
    <t>Metro Shoes Muffler Olive</t>
  </si>
  <si>
    <t>Levi's Digital Watch Orange</t>
  </si>
  <si>
    <t>Levi's</t>
  </si>
  <si>
    <t>Jack &amp; Jones Straight Fit Maroon</t>
  </si>
  <si>
    <t>Global Desi Joggers Charcoal</t>
  </si>
  <si>
    <t>SUP020</t>
  </si>
  <si>
    <t>Blackberrys Kurta Teal</t>
  </si>
  <si>
    <t>Allen Solly Backpack Grey</t>
  </si>
  <si>
    <t>Tanishq Maxi Dress Wine</t>
  </si>
  <si>
    <t>Pepe Jeans Chinos Pink</t>
  </si>
  <si>
    <t>GRT Jewellers Muffler Charcoal</t>
  </si>
  <si>
    <t>SUP052</t>
  </si>
  <si>
    <t>US Polo Assn Kurta Beige</t>
  </si>
  <si>
    <t>Pothys Slippers Green</t>
  </si>
  <si>
    <t>SUP061</t>
  </si>
  <si>
    <t>Fabindia Straight Kurti Olive</t>
  </si>
  <si>
    <t>SUP017</t>
  </si>
  <si>
    <t>Fabindia A-Line Kurti Mustard</t>
  </si>
  <si>
    <t>SUP059</t>
  </si>
  <si>
    <t>Ramraj Cotton Crop Top Pink</t>
  </si>
  <si>
    <t>Aurelia Zip Wallet Red</t>
  </si>
  <si>
    <t>Spykar Bootcut Charcoal</t>
  </si>
  <si>
    <t>Reebok Kurta Wine</t>
  </si>
  <si>
    <t>Skechers Leather Wallet Brown</t>
  </si>
  <si>
    <t>Tanishq Sling Bag Mustard</t>
  </si>
  <si>
    <t>Tanishq Sandals Pink</t>
  </si>
  <si>
    <t>SUP082</t>
  </si>
  <si>
    <t>Nalli Silks Analog Watch Beige</t>
  </si>
  <si>
    <t>Max Fashion Nehru Jacket Purple</t>
  </si>
  <si>
    <t>SUP081</t>
  </si>
  <si>
    <t>Nike Anarkali Kurti White</t>
  </si>
  <si>
    <t>Nike Sherwani Purple</t>
  </si>
  <si>
    <t>Peter England Girls Frock Black</t>
  </si>
  <si>
    <t>Wrangler Smart Watch Navy Blue</t>
  </si>
  <si>
    <t>Max Fashion Jacket Wine</t>
  </si>
  <si>
    <t>Sparx Silk Saree Charcoal</t>
  </si>
  <si>
    <t>Skechers Round Neck Red</t>
  </si>
  <si>
    <t>Fastrack Nehru Jacket Black</t>
  </si>
  <si>
    <t>AND Leather Belt Red</t>
  </si>
  <si>
    <t>AND Slippers Grey</t>
  </si>
  <si>
    <t>Metro Shoes Slim Fit Wine</t>
  </si>
  <si>
    <t>Ramraj Cotton Straight Fit White</t>
  </si>
  <si>
    <t>Van Heusen Formal Trouser Maroon</t>
  </si>
  <si>
    <t>US Polo Assn Formal Shoes Red</t>
  </si>
  <si>
    <t>Pepe Jeans A-Line Kurti White</t>
  </si>
  <si>
    <t>Titan Sneakers Maroon</t>
  </si>
  <si>
    <t>Skechers Casual Belt Sky Blue</t>
  </si>
  <si>
    <t>Liberty Sports T-Shirt Peach</t>
  </si>
  <si>
    <t>W for Woman Clutch Sky Blue</t>
  </si>
  <si>
    <t>Metro Shoes Tie Orange</t>
  </si>
  <si>
    <t>SUP003</t>
  </si>
  <si>
    <t>Numero Uno Track Pant White</t>
  </si>
  <si>
    <t>Max Fashion Georgette Saree Brown</t>
  </si>
  <si>
    <t>Blackberrys Cap Olive</t>
  </si>
  <si>
    <t>Wrangler Formal Trouser Wine</t>
  </si>
  <si>
    <t>Jack &amp; Jones Georgette Saree Sky Blue</t>
  </si>
  <si>
    <t>Kalyan Silks Sunglasses Black</t>
  </si>
  <si>
    <t>SUP023</t>
  </si>
  <si>
    <t>Fossil Digital Watch Maroon</t>
  </si>
  <si>
    <t>Global Desi Earrings Green</t>
  </si>
  <si>
    <t>Sonata Straight Fit Cream</t>
  </si>
  <si>
    <t>Sonata Anarkali Kurti Red</t>
  </si>
  <si>
    <t>Van Heusen Jeggings Charcoal</t>
  </si>
  <si>
    <t>Spykar Straight Fit White</t>
  </si>
  <si>
    <t>Tanishq Card Holder Cream</t>
  </si>
  <si>
    <t>Numero Uno Shorts Sky Blue</t>
  </si>
  <si>
    <t>Joyalukkas Sandals Beige</t>
  </si>
  <si>
    <t>Joyalukkas</t>
  </si>
  <si>
    <t>Mufti Track Suit Mustard</t>
  </si>
  <si>
    <t>Libas Polo Peach</t>
  </si>
  <si>
    <t>US Polo Assn Casual Belt Charcoal</t>
  </si>
  <si>
    <t>Max Fashion Printed Saree Brown</t>
  </si>
  <si>
    <t>Skechers Formal Shirt Brown</t>
  </si>
  <si>
    <t>Being Human Track Suit Mustard</t>
  </si>
  <si>
    <t>Allen Solly Tie Pink</t>
  </si>
  <si>
    <t>Nike Bifold Wallet Navy Blue</t>
  </si>
  <si>
    <t>Bifold Wallet</t>
  </si>
  <si>
    <t>Reebok Leather Wallet Navy Blue</t>
  </si>
  <si>
    <t>Liberty Anarkali Kurti Navy Blue</t>
  </si>
  <si>
    <t>Bata Track Suit Black</t>
  </si>
  <si>
    <t>Titan Cargo Pink</t>
  </si>
  <si>
    <t>Tanishq A-Line Dress Green</t>
  </si>
  <si>
    <t>Levi's Card Holder White</t>
  </si>
  <si>
    <t>Reebok Georgette Saree Charcoal</t>
  </si>
  <si>
    <t>Reebok Graphic Tee Cream</t>
  </si>
  <si>
    <t>Blackberrys Nehru Jacket Pink</t>
  </si>
  <si>
    <t>Libas Smart Watch Purple</t>
  </si>
  <si>
    <t>Nalli Silks Dhoti Orange</t>
  </si>
  <si>
    <t>Dhoti</t>
  </si>
  <si>
    <t>Biba Card Holder Navy Blue</t>
  </si>
  <si>
    <t>Allen Solly Sports T-Shirt Cream</t>
  </si>
  <si>
    <t>Pepe Jeans Smart Watch Orange</t>
  </si>
  <si>
    <t>Indian Terrain Straight Kurti Grey</t>
  </si>
  <si>
    <t>Fabindia Shirt Dress Navy Blue</t>
  </si>
  <si>
    <t>Reebok Round Neck Sky Blue</t>
  </si>
  <si>
    <t>Reebok Printed Kurti Green</t>
  </si>
  <si>
    <t>Pantaloons Braided Belt Brown</t>
  </si>
  <si>
    <t>SUP030</t>
  </si>
  <si>
    <t>Flying Machine Skinny Fit Maroon</t>
  </si>
  <si>
    <t>Titan Track Pant Wine</t>
  </si>
  <si>
    <t>Pepe Jeans Digital Watch Charcoal</t>
  </si>
  <si>
    <t>Store Type</t>
  </si>
  <si>
    <t>Opening Date</t>
  </si>
  <si>
    <t>Monthly Target</t>
  </si>
  <si>
    <t>Manager</t>
  </si>
  <si>
    <t>TrendMart Kollam Standard</t>
  </si>
  <si>
    <t>Standard</t>
  </si>
  <si>
    <t>Harini Reddy</t>
  </si>
  <si>
    <t>TrendMart Thrissur Standard</t>
  </si>
  <si>
    <t>Geetha Mishra</t>
  </si>
  <si>
    <t>TrendMart Tumakuru High Street</t>
  </si>
  <si>
    <t>High Street</t>
  </si>
  <si>
    <t>Pranav Chandran</t>
  </si>
  <si>
    <t>TrendMart Kalaburagi Mall Kiosk</t>
  </si>
  <si>
    <t>Mall Kiosk</t>
  </si>
  <si>
    <t>TrendMart Kochi High Street</t>
  </si>
  <si>
    <t>Girish Gupta</t>
  </si>
  <si>
    <t>TrendMart Vellore Standard</t>
  </si>
  <si>
    <t>Jyothi Kumar</t>
  </si>
  <si>
    <t>TrendMart Thoothukudi Mall Kiosk</t>
  </si>
  <si>
    <t>Anusuya Venkatesan</t>
  </si>
  <si>
    <t>TrendMart Kochi Mall Kiosk</t>
  </si>
  <si>
    <t>Sangeeta Chettiar</t>
  </si>
  <si>
    <t>TrendMart Thrissur High Street</t>
  </si>
  <si>
    <t>Priya Prasad</t>
  </si>
  <si>
    <t>Eshwari Raman</t>
  </si>
  <si>
    <t>TrendMart Tirupati Standard</t>
  </si>
  <si>
    <t>Yogesh Murthy</t>
  </si>
  <si>
    <t>TrendMart Vijayawada Mall Kiosk</t>
  </si>
  <si>
    <t>Bala Yadav</t>
  </si>
  <si>
    <t>TrendMart Nizamabad Standard</t>
  </si>
  <si>
    <t>Ashok Naidu</t>
  </si>
  <si>
    <t>TrendMart Tirupati Outlet</t>
  </si>
  <si>
    <t>Outlet</t>
  </si>
  <si>
    <t>Preethi Yadav</t>
  </si>
  <si>
    <t>TrendMart Madurai Mall Kiosk</t>
  </si>
  <si>
    <t>Geetha Varma</t>
  </si>
  <si>
    <t>TrendMart Visakhapatnam Flagship</t>
  </si>
  <si>
    <t>Flagship</t>
  </si>
  <si>
    <t>Ramesh Natarajan</t>
  </si>
  <si>
    <t>TrendMart Kurnool Standard</t>
  </si>
  <si>
    <t>Nithya Kamath</t>
  </si>
  <si>
    <t>TrendMart Visakhapatnam High Street</t>
  </si>
  <si>
    <t>TrendMart Mangaluru Standard</t>
  </si>
  <si>
    <t>Indira Reddy</t>
  </si>
  <si>
    <t>TrendMart Guntur Standard</t>
  </si>
  <si>
    <t>Vijay Pillai</t>
  </si>
  <si>
    <t>TrendMart Kozhikode Standard</t>
  </si>
  <si>
    <t>Jagan Achari</t>
  </si>
  <si>
    <t>TrendMart Shivamogga Outlet</t>
  </si>
  <si>
    <t>Hemanth Gupta</t>
  </si>
  <si>
    <t>TrendMart Thoothukudi High Street</t>
  </si>
  <si>
    <t>Charulatha Prasad</t>
  </si>
  <si>
    <t>TrendMart Nellore Standard</t>
  </si>
  <si>
    <t>Manju Srinivasan</t>
  </si>
  <si>
    <t>TrendMart Vellore High Street</t>
  </si>
  <si>
    <t>Saranya Achari</t>
  </si>
  <si>
    <t>TrendMart Hyderabad Standard</t>
  </si>
  <si>
    <t>Siddharth Prasad</t>
  </si>
  <si>
    <t>TrendMart Shivamogga Standard</t>
  </si>
  <si>
    <t>Ganapathy Bhat</t>
  </si>
  <si>
    <t>TrendMart Davanagere High Street</t>
  </si>
  <si>
    <t>Closed</t>
  </si>
  <si>
    <t>TrendMart Kochi Standard</t>
  </si>
  <si>
    <t>Jagan Sharma</t>
  </si>
  <si>
    <t>TrendMart Kozhikode Mall Kiosk</t>
  </si>
  <si>
    <t>Feroz Gopalakrishnan</t>
  </si>
  <si>
    <t>Manju Naidu</t>
  </si>
  <si>
    <t>Rahul Subramaniam</t>
  </si>
  <si>
    <t>TrendMart Warangal Standard</t>
  </si>
  <si>
    <t>Thiru Raman</t>
  </si>
  <si>
    <t>Gokul Gounder</t>
  </si>
  <si>
    <t>TrendMart Thiruvananthapuram Outlet</t>
  </si>
  <si>
    <t>Deepika Mudaliar</t>
  </si>
  <si>
    <t>TrendMart Vijayawada High Street</t>
  </si>
  <si>
    <t>TrendMart Tumakuru Standard</t>
  </si>
  <si>
    <t>Anand Sundaram</t>
  </si>
  <si>
    <t>TrendMart Bengaluru High Street</t>
  </si>
  <si>
    <t>Uma Ramachandran</t>
  </si>
  <si>
    <t>TrendMart Nizamabad Mall Kiosk</t>
  </si>
  <si>
    <t>TrendMart Thiruvananthapuram Standard</t>
  </si>
  <si>
    <t>Karunakaran Srinivasan</t>
  </si>
  <si>
    <t>Dhanya Pillai</t>
  </si>
  <si>
    <t>TrendMart Warangal High Street</t>
  </si>
  <si>
    <t>Chandrika Gounder</t>
  </si>
  <si>
    <t>TrendMart Khammam Standard</t>
  </si>
  <si>
    <t>TrendMart Hyderabad High Street</t>
  </si>
  <si>
    <t>Selvam Yadav</t>
  </si>
  <si>
    <t>Gopal Reddy</t>
  </si>
  <si>
    <t>TrendMart Guntur High Street</t>
  </si>
  <si>
    <t>Vinod Chetty</t>
  </si>
  <si>
    <t>TrendMart Bengaluru Flagship</t>
  </si>
  <si>
    <t>Neelam Singh</t>
  </si>
  <si>
    <t>Not Assigned</t>
  </si>
  <si>
    <t>TrendMart Kozhikode Outlet</t>
  </si>
  <si>
    <t>Kiran Ramachandran</t>
  </si>
  <si>
    <t>Logesh Chettiar</t>
  </si>
  <si>
    <t>Dinesh Shetty</t>
  </si>
  <si>
    <t>TrendMart Nellore High Street</t>
  </si>
  <si>
    <t>Akhila Murthy</t>
  </si>
  <si>
    <t>Mahesh Kamath</t>
  </si>
  <si>
    <t>Malathi Subramaniam</t>
  </si>
  <si>
    <t>TrendMart Thoothukudi Flagship</t>
  </si>
  <si>
    <t>Manikandan Iyer</t>
  </si>
  <si>
    <t>TrendMart Bengaluru Mall Kiosk</t>
  </si>
  <si>
    <t>Baskar Raman</t>
  </si>
  <si>
    <t>TrendMart Tirunelveli Flagship</t>
  </si>
  <si>
    <t>Eswar Pillai</t>
  </si>
  <si>
    <t>TrendMart Hubballi Standard</t>
  </si>
  <si>
    <t>TrendMart Vijayawada Standard</t>
  </si>
  <si>
    <t>Rahul Kumar</t>
  </si>
  <si>
    <t>TrendMart Shivamogga Mall Kiosk</t>
  </si>
  <si>
    <t>Prakash Yadav</t>
  </si>
  <si>
    <t>TrendMart Karimnagar Standard</t>
  </si>
  <si>
    <t>Rani Naidu</t>
  </si>
  <si>
    <t>TrendMart Guntur Flagship</t>
  </si>
  <si>
    <t>Chandrika Mudaliar</t>
  </si>
  <si>
    <t>TrendMart Dindigul Standard</t>
  </si>
  <si>
    <t>Vasanthi Reddy</t>
  </si>
  <si>
    <t>TrendMart Visakhapatnam Standard</t>
  </si>
  <si>
    <t>Vasu Gowda</t>
  </si>
  <si>
    <t>Ramya Ramachandran</t>
  </si>
  <si>
    <t>TrendMart Erode Mall Kiosk</t>
  </si>
  <si>
    <t>Swathi Ramachandran</t>
  </si>
  <si>
    <t>TrendMart Alappuzha Mall Kiosk</t>
  </si>
  <si>
    <t>Malini Srinivasan</t>
  </si>
  <si>
    <t>TrendMart Kannur Standard</t>
  </si>
  <si>
    <t>TrendMart Thiruvananthapuram High Street</t>
  </si>
  <si>
    <t>Bhagya Hegde</t>
  </si>
  <si>
    <t>TrendMart Kurnool High Street</t>
  </si>
  <si>
    <t>Raghu Naidu</t>
  </si>
  <si>
    <t>TrendMart Chennai Standard</t>
  </si>
  <si>
    <t>Nandini Rao</t>
  </si>
  <si>
    <t>Bindu Murthy</t>
  </si>
  <si>
    <t>TrendMart Hyderabad Mall Kiosk</t>
  </si>
  <si>
    <t>Vikram Sharma</t>
  </si>
  <si>
    <t>Gauri Raman</t>
  </si>
  <si>
    <t>TrendMart Dindigul High Street</t>
  </si>
  <si>
    <t>Muthu Pillai</t>
  </si>
  <si>
    <t>Manoj Kumar</t>
  </si>
  <si>
    <t>TrendMart Alappuzha Outlet</t>
  </si>
  <si>
    <t>TrendMart Tumakuru Outlet</t>
  </si>
  <si>
    <t>TrendMart Tirupati High Street</t>
  </si>
  <si>
    <t>TrendMart Nizamabad Outlet</t>
  </si>
  <si>
    <t>Ramesh Chettiar</t>
  </si>
  <si>
    <t>Arun Bhat</t>
  </si>
  <si>
    <t>TrendMart Salem Outlet</t>
  </si>
  <si>
    <t>Elango Pandian</t>
  </si>
  <si>
    <t>TrendMart Kurnool Outlet</t>
  </si>
  <si>
    <t>Revathi Kamath</t>
  </si>
  <si>
    <t>TrendMart Kannur Outlet</t>
  </si>
  <si>
    <t>Bhavani Achari</t>
  </si>
  <si>
    <t>Eswar Ramachandran</t>
  </si>
  <si>
    <t>TrendMart Kollam Flagship</t>
  </si>
  <si>
    <t>Geetha Chetty</t>
  </si>
  <si>
    <t>Gokul Gupta</t>
  </si>
  <si>
    <t>TrendMart Mangaluru Mall Kiosk</t>
  </si>
  <si>
    <t>Ajay Yadav</t>
  </si>
  <si>
    <t>Anjali Pandian</t>
  </si>
  <si>
    <t>Kavitha Nair</t>
  </si>
  <si>
    <t>Yamini Menon</t>
  </si>
  <si>
    <t>Sandeep Pandian</t>
  </si>
  <si>
    <t>TrendMart Tirunelveli High Street</t>
  </si>
  <si>
    <t>Easwaran Naicker</t>
  </si>
  <si>
    <t>Anusuya Mishra</t>
  </si>
  <si>
    <t>TrendMart Coimbatore Mall Kiosk</t>
  </si>
  <si>
    <t>Tanvi Rao</t>
  </si>
  <si>
    <t>TrendMart Vijayawada Outlet</t>
  </si>
  <si>
    <t>Pandian Sharma</t>
  </si>
  <si>
    <t>Kavya Nair</t>
  </si>
  <si>
    <t>TrendMart Kozhikode High Street</t>
  </si>
  <si>
    <t>Uday Venkatesan</t>
  </si>
  <si>
    <t>TrendMart Warangal Outlet</t>
  </si>
  <si>
    <t>Anitha Natarajan</t>
  </si>
  <si>
    <t>TrendMart Thoothukudi Outlet</t>
  </si>
  <si>
    <t>Eswar Chetty</t>
  </si>
  <si>
    <t>Gauri Mudaliar</t>
  </si>
  <si>
    <t>TrendMart Guntur Outlet</t>
  </si>
  <si>
    <t>Padma Chetty</t>
  </si>
  <si>
    <t>TrendMart Mangaluru High Street</t>
  </si>
  <si>
    <t>Jyothi Gowda</t>
  </si>
  <si>
    <t>Bhavani Kamath</t>
  </si>
  <si>
    <t>TrendMart Bengaluru Standard</t>
  </si>
  <si>
    <t>Jagan Gowda</t>
  </si>
  <si>
    <t>TrendMart Madurai High Street</t>
  </si>
  <si>
    <t>Tara Chandran</t>
  </si>
  <si>
    <t>Selvam Raman</t>
  </si>
  <si>
    <t>TrendMart Nellore Mall Kiosk</t>
  </si>
  <si>
    <t>Manikandan Murthy</t>
  </si>
  <si>
    <t>Anusuya Subramaniam</t>
  </si>
  <si>
    <t>Employee Name</t>
  </si>
  <si>
    <t>Department</t>
  </si>
  <si>
    <t>Designation</t>
  </si>
  <si>
    <t>Salary</t>
  </si>
  <si>
    <t>Joining Date</t>
  </si>
  <si>
    <t>Performance Rating</t>
  </si>
  <si>
    <t>Employment Status</t>
  </si>
  <si>
    <t>Charulatha Kumar</t>
  </si>
  <si>
    <t>Sales</t>
  </si>
  <si>
    <t>Sales Executive</t>
  </si>
  <si>
    <t>On Leave</t>
  </si>
  <si>
    <t>Girish Sundaram</t>
  </si>
  <si>
    <t>EMP0003</t>
  </si>
  <si>
    <t>Muthu Chettiar</t>
  </si>
  <si>
    <t>Management</t>
  </si>
  <si>
    <t>Store Manager</t>
  </si>
  <si>
    <t>EMP0004</t>
  </si>
  <si>
    <t>Naresh Reddy</t>
  </si>
  <si>
    <t>Cashier</t>
  </si>
  <si>
    <t>EMP0005</t>
  </si>
  <si>
    <t>Srinivas Srinivasan</t>
  </si>
  <si>
    <t>Customer Service</t>
  </si>
  <si>
    <t>Floor Assistant</t>
  </si>
  <si>
    <t>EMP0006</t>
  </si>
  <si>
    <t>Sanjay Reddy</t>
  </si>
  <si>
    <t>Senior Cashier</t>
  </si>
  <si>
    <t>EMP0007</t>
  </si>
  <si>
    <t>Indira Natarajan</t>
  </si>
  <si>
    <t>Housekeeping</t>
  </si>
  <si>
    <t>Housekeeping Staff</t>
  </si>
  <si>
    <t>Deepak Kamath</t>
  </si>
  <si>
    <t>Senior Sales Associate</t>
  </si>
  <si>
    <t>EMP0010</t>
  </si>
  <si>
    <t>Tejaswini Mudaliar</t>
  </si>
  <si>
    <t>EMP0011</t>
  </si>
  <si>
    <t>Customer Service Executive</t>
  </si>
  <si>
    <t>EMP0012</t>
  </si>
  <si>
    <t>Muthu Krishnan</t>
  </si>
  <si>
    <t>EMP0013</t>
  </si>
  <si>
    <t>Kalpana Srinivasan</t>
  </si>
  <si>
    <t>Security</t>
  </si>
  <si>
    <t>Security Guard</t>
  </si>
  <si>
    <t>EMP0014</t>
  </si>
  <si>
    <t>Vikram Bhat</t>
  </si>
  <si>
    <t>Sales Associate</t>
  </si>
  <si>
    <t>EMP0016</t>
  </si>
  <si>
    <t>Security Supervisor</t>
  </si>
  <si>
    <t>EMP0017</t>
  </si>
  <si>
    <t>Baskar Sharma</t>
  </si>
  <si>
    <t>Inventory</t>
  </si>
  <si>
    <t>Inventory Executive</t>
  </si>
  <si>
    <t>EMP0018</t>
  </si>
  <si>
    <t>Padma Murthy</t>
  </si>
  <si>
    <t>EMP0019</t>
  </si>
  <si>
    <t>Harini Naicker</t>
  </si>
  <si>
    <t>Eswar Prasad</t>
  </si>
  <si>
    <t>EMP0021</t>
  </si>
  <si>
    <t>Devi Varma</t>
  </si>
  <si>
    <t>Stock Associate</t>
  </si>
  <si>
    <t>EMP0022</t>
  </si>
  <si>
    <t>Ganesh Kumar</t>
  </si>
  <si>
    <t>Visual Merchandising</t>
  </si>
  <si>
    <t>VM Associate</t>
  </si>
  <si>
    <t>EMP0023</t>
  </si>
  <si>
    <t>Sowmya Pillai</t>
  </si>
  <si>
    <t>EMP0024</t>
  </si>
  <si>
    <t>Bhagya Kamath</t>
  </si>
  <si>
    <t>EMP0025</t>
  </si>
  <si>
    <t>Chandran Raman</t>
  </si>
  <si>
    <t>Assistant Store Manager</t>
  </si>
  <si>
    <t>Sunita Ramachandran</t>
  </si>
  <si>
    <t>EMP0027</t>
  </si>
  <si>
    <t>EMP0028</t>
  </si>
  <si>
    <t>Devraj Kumar</t>
  </si>
  <si>
    <t>EMP0029</t>
  </si>
  <si>
    <t>Prakash Rao</t>
  </si>
  <si>
    <t>VM Executive</t>
  </si>
  <si>
    <t>EMP0030</t>
  </si>
  <si>
    <t>Jagan Singh</t>
  </si>
  <si>
    <t>EMP0031</t>
  </si>
  <si>
    <t>Yashoda Rao</t>
  </si>
  <si>
    <t>EMP0032</t>
  </si>
  <si>
    <t>Jaya Pillai</t>
  </si>
  <si>
    <t>EMP0033</t>
  </si>
  <si>
    <t>Devraj Menon</t>
  </si>
  <si>
    <t>EMP0034</t>
  </si>
  <si>
    <t>Leela Murthy</t>
  </si>
  <si>
    <t>EMP0035</t>
  </si>
  <si>
    <t>Rajesh Prasad</t>
  </si>
  <si>
    <t>EMP0036</t>
  </si>
  <si>
    <t>EMP0037</t>
  </si>
  <si>
    <t>Nisha Subramaniam</t>
  </si>
  <si>
    <t>EMP0038</t>
  </si>
  <si>
    <t>Uday Chandran</t>
  </si>
  <si>
    <t>EMP0039</t>
  </si>
  <si>
    <t>Muthu Singh</t>
  </si>
  <si>
    <t>EMP0040</t>
  </si>
  <si>
    <t>Mahesh Krishnan</t>
  </si>
  <si>
    <t>EMP0041</t>
  </si>
  <si>
    <t>Naveen Prasad</t>
  </si>
  <si>
    <t>EMP0042</t>
  </si>
  <si>
    <t>Gokul Pillai</t>
  </si>
  <si>
    <t>EMP0043</t>
  </si>
  <si>
    <t>Arjun Gowda</t>
  </si>
  <si>
    <t>EMP0044</t>
  </si>
  <si>
    <t>Lavanya Pandian</t>
  </si>
  <si>
    <t>Chitra Chettiar</t>
  </si>
  <si>
    <t>EMP0046</t>
  </si>
  <si>
    <t>EMP0047</t>
  </si>
  <si>
    <t>Hariharan Bhat</t>
  </si>
  <si>
    <t>EMP0048</t>
  </si>
  <si>
    <t>Karunakaran Chetty</t>
  </si>
  <si>
    <t>EMP0049</t>
  </si>
  <si>
    <t>Ashok Reddy</t>
  </si>
  <si>
    <t>EMP0050</t>
  </si>
  <si>
    <t>Dhruv Gopalakrishnan</t>
  </si>
  <si>
    <t>EMP0051</t>
  </si>
  <si>
    <t>Usha Gupta</t>
  </si>
  <si>
    <t>EMP0052</t>
  </si>
  <si>
    <t>Bala Naidu</t>
  </si>
  <si>
    <t>Area Manager</t>
  </si>
  <si>
    <t>EMP0053</t>
  </si>
  <si>
    <t>EMP0054</t>
  </si>
  <si>
    <t>Deepthi Mishra</t>
  </si>
  <si>
    <t>EMP0055</t>
  </si>
  <si>
    <t>Nisha Balasubramaniam</t>
  </si>
  <si>
    <t>EMP0056</t>
  </si>
  <si>
    <t>Bharathi Menon</t>
  </si>
  <si>
    <t>EMP0057</t>
  </si>
  <si>
    <t>Harini Sharma</t>
  </si>
  <si>
    <t>EMP0058</t>
  </si>
  <si>
    <t>Elango Iyer</t>
  </si>
  <si>
    <t>EMP0059</t>
  </si>
  <si>
    <t>EMP0060</t>
  </si>
  <si>
    <t>Eshwari Natarajan</t>
  </si>
  <si>
    <t>Ganapathy Naidu</t>
  </si>
  <si>
    <t>Resigned</t>
  </si>
  <si>
    <t>EMP0062</t>
  </si>
  <si>
    <t>Tara Natarajan</t>
  </si>
  <si>
    <t>EMP0064</t>
  </si>
  <si>
    <t>Deepika Krishnan</t>
  </si>
  <si>
    <t>EMP0065</t>
  </si>
  <si>
    <t>Usha Mishra</t>
  </si>
  <si>
    <t>EMP0066</t>
  </si>
  <si>
    <t>Divya Balasubramaniam</t>
  </si>
  <si>
    <t>EMP0067</t>
  </si>
  <si>
    <t>Kiran Menon</t>
  </si>
  <si>
    <t>EMP0068</t>
  </si>
  <si>
    <t>Latha Naidu</t>
  </si>
  <si>
    <t>EMP0069</t>
  </si>
  <si>
    <t>Haritha Subramaniam</t>
  </si>
  <si>
    <t>EMP0070</t>
  </si>
  <si>
    <t>Bharathi Naicker</t>
  </si>
  <si>
    <t>EMP0071</t>
  </si>
  <si>
    <t>Hariharan Gopalakrishnan</t>
  </si>
  <si>
    <t>Anitha Ramachandran</t>
  </si>
  <si>
    <t>Sathish Sundaram</t>
  </si>
  <si>
    <t>EMP0074</t>
  </si>
  <si>
    <t>Pooja Singh</t>
  </si>
  <si>
    <t>EMP0075</t>
  </si>
  <si>
    <t>Sowmya Krishnan</t>
  </si>
  <si>
    <t>EMP0076</t>
  </si>
  <si>
    <t>EMP0077</t>
  </si>
  <si>
    <t>Sowmya Sharma</t>
  </si>
  <si>
    <t>EMP0078</t>
  </si>
  <si>
    <t>Swathi Natarajan</t>
  </si>
  <si>
    <t>EMP0079</t>
  </si>
  <si>
    <t>Thiru Nair</t>
  </si>
  <si>
    <t>EMP0080</t>
  </si>
  <si>
    <t>Charulatha Gowda</t>
  </si>
  <si>
    <t>EMP0081</t>
  </si>
  <si>
    <t>Lakshmi Mudaliar</t>
  </si>
  <si>
    <t>EMP0082</t>
  </si>
  <si>
    <t>Ravi Mishra</t>
  </si>
  <si>
    <t>EMP0083</t>
  </si>
  <si>
    <t>Thiru Sundaram</t>
  </si>
  <si>
    <t>EMP0084</t>
  </si>
  <si>
    <t>Lakshmi Mishra</t>
  </si>
  <si>
    <t>EMP0085</t>
  </si>
  <si>
    <t>Ravi Ramachandran</t>
  </si>
  <si>
    <t>Anil Reddy</t>
  </si>
  <si>
    <t>EMP0087</t>
  </si>
  <si>
    <t>Selvam Chetty</t>
  </si>
  <si>
    <t>EMP0088</t>
  </si>
  <si>
    <t>Deepa Chandran</t>
  </si>
  <si>
    <t>EMP0089</t>
  </si>
  <si>
    <t>Chandran Hegde</t>
  </si>
  <si>
    <t>Padma Gounder</t>
  </si>
  <si>
    <t>Hari Nair</t>
  </si>
  <si>
    <t>EMP0092</t>
  </si>
  <si>
    <t>Manju Nair</t>
  </si>
  <si>
    <t>EMP0093</t>
  </si>
  <si>
    <t>Chandran Ramachandran</t>
  </si>
  <si>
    <t>EMP0094</t>
  </si>
  <si>
    <t>Rahul Mudaliar</t>
  </si>
  <si>
    <t>EMP0095</t>
  </si>
  <si>
    <t>Geetha Bhat</t>
  </si>
  <si>
    <t>EMP0096</t>
  </si>
  <si>
    <t>Nandini Krishnan</t>
  </si>
  <si>
    <t>EMP0097</t>
  </si>
  <si>
    <t>EMP0098</t>
  </si>
  <si>
    <t>EMP0099</t>
  </si>
  <si>
    <t>Kannan Mudaliar</t>
  </si>
  <si>
    <t>Priya Balasubramaniam</t>
  </si>
  <si>
    <t>EMP0101</t>
  </si>
  <si>
    <t>Rahul Ramachandran</t>
  </si>
  <si>
    <t>EMP0102</t>
  </si>
  <si>
    <t>Vasu Chettiar</t>
  </si>
  <si>
    <t>EMP0103</t>
  </si>
  <si>
    <t>Anjali Srinivasan</t>
  </si>
  <si>
    <t>EMP0104</t>
  </si>
  <si>
    <t>Arjun Pillai</t>
  </si>
  <si>
    <t>EMP0105</t>
  </si>
  <si>
    <t>Padma Reddy</t>
  </si>
  <si>
    <t>EMP0106</t>
  </si>
  <si>
    <t>Prakash Raman</t>
  </si>
  <si>
    <t>EMP0107</t>
  </si>
  <si>
    <t>Sathish Mudaliar</t>
  </si>
  <si>
    <t>EMP0108</t>
  </si>
  <si>
    <t>Saranya Subramaniam</t>
  </si>
  <si>
    <t>EMP0109</t>
  </si>
  <si>
    <t>Chidambaram Kumar</t>
  </si>
  <si>
    <t>EMP0110</t>
  </si>
  <si>
    <t>EMP0111</t>
  </si>
  <si>
    <t>Sandeep Gowda</t>
  </si>
  <si>
    <t>EMP0112</t>
  </si>
  <si>
    <t>EMP0113</t>
  </si>
  <si>
    <t>Tara Kumar</t>
  </si>
  <si>
    <t>EMP0114</t>
  </si>
  <si>
    <t>Bindu Yadav</t>
  </si>
  <si>
    <t>EMP0115</t>
  </si>
  <si>
    <t>Tarun Raman</t>
  </si>
  <si>
    <t>EMP0116</t>
  </si>
  <si>
    <t>EMP0117</t>
  </si>
  <si>
    <t>Prakash Subramaniam</t>
  </si>
  <si>
    <t>EMP0118</t>
  </si>
  <si>
    <t>Uday Gowda</t>
  </si>
  <si>
    <t>EMP0119</t>
  </si>
  <si>
    <t>Baskar Gowda</t>
  </si>
  <si>
    <t>EMP0120</t>
  </si>
  <si>
    <t>Pallavi Chettiar</t>
  </si>
  <si>
    <t>Yamini Pandian</t>
  </si>
  <si>
    <t>EMP0122</t>
  </si>
  <si>
    <t>Malathi Mishra</t>
  </si>
  <si>
    <t>EMP0123</t>
  </si>
  <si>
    <t>EMP0124</t>
  </si>
  <si>
    <t>Deepak Gopalakrishnan</t>
  </si>
  <si>
    <t>EMP0125</t>
  </si>
  <si>
    <t>Sunita Bhat</t>
  </si>
  <si>
    <t>EMP0126</t>
  </si>
  <si>
    <t>Haritha Balasubramaniam</t>
  </si>
  <si>
    <t>EMP0128</t>
  </si>
  <si>
    <t>Devi Hegde</t>
  </si>
  <si>
    <t>EMP0129</t>
  </si>
  <si>
    <t>Tejaswini Yadav</t>
  </si>
  <si>
    <t>EMP0130</t>
  </si>
  <si>
    <t>Pallavi Naidu</t>
  </si>
  <si>
    <t>EMP0131</t>
  </si>
  <si>
    <t>Mahesh Chandran</t>
  </si>
  <si>
    <t>Vasanthi Gupta</t>
  </si>
  <si>
    <t>EMP0133</t>
  </si>
  <si>
    <t>Hari Menon</t>
  </si>
  <si>
    <t>EMP0134</t>
  </si>
  <si>
    <t>Yashoda Hegde</t>
  </si>
  <si>
    <t>EMP0135</t>
  </si>
  <si>
    <t>Janani Gounder</t>
  </si>
  <si>
    <t>EMP0136</t>
  </si>
  <si>
    <t>Anil Balasubramaniam</t>
  </si>
  <si>
    <t>EMP0137</t>
  </si>
  <si>
    <t>Bindu Singh</t>
  </si>
  <si>
    <t>EMP0138</t>
  </si>
  <si>
    <t>Nandakumar Raman</t>
  </si>
  <si>
    <t>EMP0139</t>
  </si>
  <si>
    <t>Anjali Naidu</t>
  </si>
  <si>
    <t>EMP0140</t>
  </si>
  <si>
    <t>Praveen Gopalakrishnan</t>
  </si>
  <si>
    <t>Dhruv Mishra</t>
  </si>
  <si>
    <t>EMP0142</t>
  </si>
  <si>
    <t>Bhavani Chandran</t>
  </si>
  <si>
    <t>EMP0143</t>
  </si>
  <si>
    <t>Ramya Venkatesan</t>
  </si>
  <si>
    <t>EMP0144</t>
  </si>
  <si>
    <t>Malathi Chettiar</t>
  </si>
  <si>
    <t>EMP0145</t>
  </si>
  <si>
    <t>Tanvi Mishra</t>
  </si>
  <si>
    <t>EMP0146</t>
  </si>
  <si>
    <t>Yogesh Chettiar</t>
  </si>
  <si>
    <t>EMP0148</t>
  </si>
  <si>
    <t>Vasanthi Kamath</t>
  </si>
  <si>
    <t>EMP0150</t>
  </si>
  <si>
    <t>Deepak Sundaram</t>
  </si>
  <si>
    <t>EMP0151</t>
  </si>
  <si>
    <t>Gokul Naidu</t>
  </si>
  <si>
    <t>EMP0152</t>
  </si>
  <si>
    <t>Gokul Venkatesan</t>
  </si>
  <si>
    <t>EMP0153</t>
  </si>
  <si>
    <t>Sanjay Naicker</t>
  </si>
  <si>
    <t>EMP0154</t>
  </si>
  <si>
    <t>Suresh Kamath</t>
  </si>
  <si>
    <t>EMP0155</t>
  </si>
  <si>
    <t>Tejaswini Srinivasan</t>
  </si>
  <si>
    <t>EMP0157</t>
  </si>
  <si>
    <t>Ramesh Nair</t>
  </si>
  <si>
    <t>EMP0158</t>
  </si>
  <si>
    <t>Sandeep Prasad</t>
  </si>
  <si>
    <t>EMP0159</t>
  </si>
  <si>
    <t>Ganesh Sundaram</t>
  </si>
  <si>
    <t>Ganesh Iyengar</t>
  </si>
  <si>
    <t>EMP0161</t>
  </si>
  <si>
    <t>Preethi Natarajan</t>
  </si>
  <si>
    <t>EMP0162</t>
  </si>
  <si>
    <t>EMP0163</t>
  </si>
  <si>
    <t>Kannan Prasad</t>
  </si>
  <si>
    <t>EMP0164</t>
  </si>
  <si>
    <t>Malini Prasad</t>
  </si>
  <si>
    <t>EMP0165</t>
  </si>
  <si>
    <t>Preethi Shetty</t>
  </si>
  <si>
    <t>EMP0166</t>
  </si>
  <si>
    <t>Girish Bhat</t>
  </si>
  <si>
    <t>EMP0167</t>
  </si>
  <si>
    <t>Uma Mishra</t>
  </si>
  <si>
    <t>EMP0168</t>
  </si>
  <si>
    <t>Janani Gupta</t>
  </si>
  <si>
    <t>EMP0169</t>
  </si>
  <si>
    <t>Latha Iyengar</t>
  </si>
  <si>
    <t>Jyothi Prasad</t>
  </si>
  <si>
    <t>EMP0171</t>
  </si>
  <si>
    <t>EMP0172</t>
  </si>
  <si>
    <t>Chandran Sundaram</t>
  </si>
  <si>
    <t>Logesh Gopalakrishnan</t>
  </si>
  <si>
    <t>EMP0174</t>
  </si>
  <si>
    <t>Kalpana Nair</t>
  </si>
  <si>
    <t>EMP0175</t>
  </si>
  <si>
    <t>EMP0176</t>
  </si>
  <si>
    <t>Bhavani Kumar</t>
  </si>
  <si>
    <t>EMP0177</t>
  </si>
  <si>
    <t>Devraj Mudaliar</t>
  </si>
  <si>
    <t>EMP0178</t>
  </si>
  <si>
    <t>Ganesh Sharma</t>
  </si>
  <si>
    <t>EMP0179</t>
  </si>
  <si>
    <t>Geetha Raman</t>
  </si>
  <si>
    <t>EMP0180</t>
  </si>
  <si>
    <t>Anand Mudaliar</t>
  </si>
  <si>
    <t>EMP0181</t>
  </si>
  <si>
    <t>Usha Ramachandran</t>
  </si>
  <si>
    <t>EMP0182</t>
  </si>
  <si>
    <t>Chandran Pandian</t>
  </si>
  <si>
    <t>EMP0183</t>
  </si>
  <si>
    <t>Ramesh Gounder</t>
  </si>
  <si>
    <t>EMP0184</t>
  </si>
  <si>
    <t>Uma Shetty</t>
  </si>
  <si>
    <t>EMP0185</t>
  </si>
  <si>
    <t>Suresh Menon</t>
  </si>
  <si>
    <t>EMP0186</t>
  </si>
  <si>
    <t>Praveen Naidu</t>
  </si>
  <si>
    <t>EMP0187</t>
  </si>
  <si>
    <t>Eshwari Subramaniam</t>
  </si>
  <si>
    <t>EMP0188</t>
  </si>
  <si>
    <t>Karunakaran Hegde</t>
  </si>
  <si>
    <t>EMP0189</t>
  </si>
  <si>
    <t>Kavya Iyengar</t>
  </si>
  <si>
    <t>EMP0190</t>
  </si>
  <si>
    <t>Kannan Chandran</t>
  </si>
  <si>
    <t>EMP0191</t>
  </si>
  <si>
    <t>Jyothi Srinivasan</t>
  </si>
  <si>
    <t>EMP0192</t>
  </si>
  <si>
    <t>Baskar Natarajan</t>
  </si>
  <si>
    <t>EMP0193</t>
  </si>
  <si>
    <t>Gauri Kamath</t>
  </si>
  <si>
    <t>Pranav Reddy</t>
  </si>
  <si>
    <t>EMP0195</t>
  </si>
  <si>
    <t>EMP0196</t>
  </si>
  <si>
    <t>Lakshmi Iyer</t>
  </si>
  <si>
    <t>EMP0197</t>
  </si>
  <si>
    <t>Kalpana Naicker</t>
  </si>
  <si>
    <t>EMP0198</t>
  </si>
  <si>
    <t>EMP0199</t>
  </si>
  <si>
    <t>EMP0200</t>
  </si>
  <si>
    <t>Gopal Yadav</t>
  </si>
  <si>
    <t>EMP0201</t>
  </si>
  <si>
    <t>EMP0202</t>
  </si>
  <si>
    <t>Deepak Naidu</t>
  </si>
  <si>
    <t>Rani Mishra</t>
  </si>
  <si>
    <t>Rahul Krishnan</t>
  </si>
  <si>
    <t>Malini Gowda</t>
  </si>
  <si>
    <t>Arjun Krishnan</t>
  </si>
  <si>
    <t>EMP0208</t>
  </si>
  <si>
    <t>Sunita Sundaram</t>
  </si>
  <si>
    <t>EMP0209</t>
  </si>
  <si>
    <t>Devraj Sundaram</t>
  </si>
  <si>
    <t>EMP0210</t>
  </si>
  <si>
    <t>Vinod Venkatesan</t>
  </si>
  <si>
    <t>EMP0211</t>
  </si>
  <si>
    <t>Haritha Reddy</t>
  </si>
  <si>
    <t>EMP0212</t>
  </si>
  <si>
    <t>Rajesh Achari</t>
  </si>
  <si>
    <t>EMP0213</t>
  </si>
  <si>
    <t>Tarun Pandian</t>
  </si>
  <si>
    <t>EMP0214</t>
  </si>
  <si>
    <t>Radha Nair</t>
  </si>
  <si>
    <t>Praveen Gupta</t>
  </si>
  <si>
    <t>EMP0216</t>
  </si>
  <si>
    <t>Jayaram Pandian</t>
  </si>
  <si>
    <t>EMP0217</t>
  </si>
  <si>
    <t>Latha Bhat</t>
  </si>
  <si>
    <t>EMP0218</t>
  </si>
  <si>
    <t>Priya Sundaram</t>
  </si>
  <si>
    <t>EMP0219</t>
  </si>
  <si>
    <t>Swathi Pandian</t>
  </si>
  <si>
    <t>EMP0220</t>
  </si>
  <si>
    <t>Malathi Iyengar</t>
  </si>
  <si>
    <t>EMP0221</t>
  </si>
  <si>
    <t>Malathi Reddy</t>
  </si>
  <si>
    <t>EMP0222</t>
  </si>
  <si>
    <t>Meena Krishnan</t>
  </si>
  <si>
    <t>EMP0224</t>
  </si>
  <si>
    <t>Ishwarya Nair</t>
  </si>
  <si>
    <t>Swathi Achari</t>
  </si>
  <si>
    <t>EMP0226</t>
  </si>
  <si>
    <t>EMP0227</t>
  </si>
  <si>
    <t>EMP0228</t>
  </si>
  <si>
    <t>Neelam Chetty</t>
  </si>
  <si>
    <t>EMP0229</t>
  </si>
  <si>
    <t>Indira Murthy</t>
  </si>
  <si>
    <t>EMP0230</t>
  </si>
  <si>
    <t>EMP0231</t>
  </si>
  <si>
    <t>Sowmya Shetty</t>
  </si>
  <si>
    <t>EMP0232</t>
  </si>
  <si>
    <t>Swathi Naicker</t>
  </si>
  <si>
    <t>EMP0233</t>
  </si>
  <si>
    <t>Yashoda Chandran</t>
  </si>
  <si>
    <t>EMP0234</t>
  </si>
  <si>
    <t>Rohit Murthy</t>
  </si>
  <si>
    <t>EMP0235</t>
  </si>
  <si>
    <t>Lokesh Ramachandran</t>
  </si>
  <si>
    <t>EMP0236</t>
  </si>
  <si>
    <t>Ajay Ramachandran</t>
  </si>
  <si>
    <t>EMP0237</t>
  </si>
  <si>
    <t>Bala Balasubramaniam</t>
  </si>
  <si>
    <t>EMP0238</t>
  </si>
  <si>
    <t>Eshwari Balasubramaniam</t>
  </si>
  <si>
    <t>EMP0239</t>
  </si>
  <si>
    <t>Akhila Pillai</t>
  </si>
  <si>
    <t>EMP0241</t>
  </si>
  <si>
    <t>Muthu Subramaniam</t>
  </si>
  <si>
    <t>EMP0242</t>
  </si>
  <si>
    <t>Vikram Singh</t>
  </si>
  <si>
    <t>EMP0243</t>
  </si>
  <si>
    <t>Sangeeta Nair</t>
  </si>
  <si>
    <t>EMP0244</t>
  </si>
  <si>
    <t>EMP0245</t>
  </si>
  <si>
    <t>EMP0246</t>
  </si>
  <si>
    <t>Sanjay Ramachandran</t>
  </si>
  <si>
    <t>EMP0247</t>
  </si>
  <si>
    <t>Charulatha Chandran</t>
  </si>
  <si>
    <t>EMP0248</t>
  </si>
  <si>
    <t>Chandra Kumar</t>
  </si>
  <si>
    <t>EMP0249</t>
  </si>
  <si>
    <t>Kannan Balasubramaniam</t>
  </si>
  <si>
    <t>EMP0250</t>
  </si>
  <si>
    <t>Dhanya Mishra</t>
  </si>
  <si>
    <t>EMP0251</t>
  </si>
  <si>
    <t>Gauri Shetty</t>
  </si>
  <si>
    <t>EMP0252</t>
  </si>
  <si>
    <t>Rani Srinivasan</t>
  </si>
  <si>
    <t>EMP0253</t>
  </si>
  <si>
    <t>Yamini Naidu</t>
  </si>
  <si>
    <t>EMP0254</t>
  </si>
  <si>
    <t>Venkat Sharma</t>
  </si>
  <si>
    <t>EMP0256</t>
  </si>
  <si>
    <t>Naresh Krishnan</t>
  </si>
  <si>
    <t>EMP0257</t>
  </si>
  <si>
    <t>Naresh Ramachandran</t>
  </si>
  <si>
    <t>Preethi Singh</t>
  </si>
  <si>
    <t>EMP0259</t>
  </si>
  <si>
    <t>Kalyani Yadav</t>
  </si>
  <si>
    <t>Malathi Varma</t>
  </si>
  <si>
    <t>EMP0261</t>
  </si>
  <si>
    <t>Manikandan Reddy</t>
  </si>
  <si>
    <t>EMP0262</t>
  </si>
  <si>
    <t>Suresh Kumar</t>
  </si>
  <si>
    <t>EMP0263</t>
  </si>
  <si>
    <t>Kiran Gowda</t>
  </si>
  <si>
    <t>EMP0264</t>
  </si>
  <si>
    <t>Janani Natarajan</t>
  </si>
  <si>
    <t>EMP0265</t>
  </si>
  <si>
    <t>EMP0266</t>
  </si>
  <si>
    <t>EMP0267</t>
  </si>
  <si>
    <t>Uma Mudaliar</t>
  </si>
  <si>
    <t>EMP0268</t>
  </si>
  <si>
    <t>Ishwarya Shetty</t>
  </si>
  <si>
    <t>EMP0270</t>
  </si>
  <si>
    <t>Uday Bhat</t>
  </si>
  <si>
    <t>EMP0271</t>
  </si>
  <si>
    <t>Devi Yadav</t>
  </si>
  <si>
    <t>EMP0272</t>
  </si>
  <si>
    <t>Ganapathy Ramachandran</t>
  </si>
  <si>
    <t>EMP0273</t>
  </si>
  <si>
    <t>Ashok Iyer</t>
  </si>
  <si>
    <t>EMP0274</t>
  </si>
  <si>
    <t>Chandrika Singh</t>
  </si>
  <si>
    <t>EMP0275</t>
  </si>
  <si>
    <t>Anusuya Chandran</t>
  </si>
  <si>
    <t>Manoj Ramachandran</t>
  </si>
  <si>
    <t>EMP0277</t>
  </si>
  <si>
    <t>EMP0278</t>
  </si>
  <si>
    <t>Priya Hegde</t>
  </si>
  <si>
    <t>EMP0279</t>
  </si>
  <si>
    <t>Kalpana Pillai</t>
  </si>
  <si>
    <t>EMP0280</t>
  </si>
  <si>
    <t>EMP0281</t>
  </si>
  <si>
    <t>Malini Gopalakrishnan</t>
  </si>
  <si>
    <t>EMP0282</t>
  </si>
  <si>
    <t>Arun Menon</t>
  </si>
  <si>
    <t>EMP0283</t>
  </si>
  <si>
    <t>Anjali Achari</t>
  </si>
  <si>
    <t>EMP0284</t>
  </si>
  <si>
    <t>Anjali Varma</t>
  </si>
  <si>
    <t>Chandran Krishnan</t>
  </si>
  <si>
    <t>EMP0286</t>
  </si>
  <si>
    <t>Leela Mishra</t>
  </si>
  <si>
    <t>EMP0287</t>
  </si>
  <si>
    <t>Vinod Menon</t>
  </si>
  <si>
    <t>EMP0288</t>
  </si>
  <si>
    <t>EMP0289</t>
  </si>
  <si>
    <t>Manju Natarajan</t>
  </si>
  <si>
    <t>EMP0290</t>
  </si>
  <si>
    <t>Manju Kumar</t>
  </si>
  <si>
    <t>EMP0291</t>
  </si>
  <si>
    <t>Chitra Gupta</t>
  </si>
  <si>
    <t>EMP0292</t>
  </si>
  <si>
    <t>Nithya Chetty</t>
  </si>
  <si>
    <t>EMP0293</t>
  </si>
  <si>
    <t>Geetha Gowda</t>
  </si>
  <si>
    <t>EMP0294</t>
  </si>
  <si>
    <t>Geetha Menon</t>
  </si>
  <si>
    <t>EMP0295</t>
  </si>
  <si>
    <t>EMP0296</t>
  </si>
  <si>
    <t>Hari Rao</t>
  </si>
  <si>
    <t>EMP0297</t>
  </si>
  <si>
    <t>Usha Varma</t>
  </si>
  <si>
    <t>EMP0298</t>
  </si>
  <si>
    <t>Suresh Yadav</t>
  </si>
  <si>
    <t>EMP0299</t>
  </si>
  <si>
    <t>Suresh Hegde</t>
  </si>
  <si>
    <t>EMP0300</t>
  </si>
  <si>
    <t>Ajay Iyengar</t>
  </si>
  <si>
    <t>Contact Person</t>
  </si>
  <si>
    <t>Lead Time</t>
  </si>
  <si>
    <t>Supplier Rating</t>
  </si>
  <si>
    <t>Cauvery Garments</t>
  </si>
  <si>
    <t>Jagan Mudaliar</t>
  </si>
  <si>
    <t>jagan.mudaliar1@hotmail.com</t>
  </si>
  <si>
    <t>Kaveri Textiles</t>
  </si>
  <si>
    <t>Deepthi Balasubramaniam</t>
  </si>
  <si>
    <t>deepthi.balasubramaniam2@rediffmail.com</t>
  </si>
  <si>
    <t>Royal Exports</t>
  </si>
  <si>
    <t>Bharathi Nair</t>
  </si>
  <si>
    <t>bharathi.nair3@outlook.com</t>
  </si>
  <si>
    <t>Om Apparels</t>
  </si>
  <si>
    <t>anusuya.gounder4@rediffmail.com</t>
  </si>
  <si>
    <t>Prime Creations</t>
  </si>
  <si>
    <t>Raghu Menon</t>
  </si>
  <si>
    <t>raghu.menon5@yahoo.com</t>
  </si>
  <si>
    <t>Metro Creations</t>
  </si>
  <si>
    <t>Haritha Mishra</t>
  </si>
  <si>
    <t>haritha.mishra6@rediffmail.com</t>
  </si>
  <si>
    <t>Silver Industries</t>
  </si>
  <si>
    <t>Bindu Naicker</t>
  </si>
  <si>
    <t>bindu.naicker7@outlook.com</t>
  </si>
  <si>
    <t>Grand Fabrics</t>
  </si>
  <si>
    <t>Vani Pandian</t>
  </si>
  <si>
    <t>vani.pandian8@outlook.com</t>
  </si>
  <si>
    <t>Metro Textiles</t>
  </si>
  <si>
    <t>Praveen Reddy</t>
  </si>
  <si>
    <t>praveen.reddy9@yahoo.com</t>
  </si>
  <si>
    <t>Ashoka Fashions</t>
  </si>
  <si>
    <t>Bala Ramachandran</t>
  </si>
  <si>
    <t>bala.ramachandran10@yahoo.com</t>
  </si>
  <si>
    <t>Om Textiles</t>
  </si>
  <si>
    <t>Radha Gupta</t>
  </si>
  <si>
    <t>radha.gupta11@rediffmail.com</t>
  </si>
  <si>
    <t>Golden Mills</t>
  </si>
  <si>
    <t>Anand Rao</t>
  </si>
  <si>
    <t>anand.rao12@rediffmail.com</t>
  </si>
  <si>
    <t>Metro Garments</t>
  </si>
  <si>
    <t>Rahul Menon</t>
  </si>
  <si>
    <t>rahul.menon13@rediffmail.com</t>
  </si>
  <si>
    <t>Shree Mills</t>
  </si>
  <si>
    <t>pranav.chettiar14@outlook.com</t>
  </si>
  <si>
    <t>Sri Textiles</t>
  </si>
  <si>
    <t>Varsha Kumar</t>
  </si>
  <si>
    <t>varsha.kumar15@gmail.com</t>
  </si>
  <si>
    <t>Kaveri Garments</t>
  </si>
  <si>
    <t>Easwaran Subramaniam</t>
  </si>
  <si>
    <t>easwaran.subramaniam16@hotmail.com</t>
  </si>
  <si>
    <t>Royal Garments</t>
  </si>
  <si>
    <t>Varsha Naicker</t>
  </si>
  <si>
    <t>varsha.naicker17@gmail.com</t>
  </si>
  <si>
    <t>Everest Fabrics</t>
  </si>
  <si>
    <t>Rohit Yadav</t>
  </si>
  <si>
    <t>rohit.yadav18@gmail.com</t>
  </si>
  <si>
    <t>Shree Exports</t>
  </si>
  <si>
    <t>bharathi.shetty19@yahoo.com</t>
  </si>
  <si>
    <t>Sri Fashions</t>
  </si>
  <si>
    <t>prakash.venkatesan20@outlook.com</t>
  </si>
  <si>
    <t>Krishna Mills</t>
  </si>
  <si>
    <t>Vidya Gounder</t>
  </si>
  <si>
    <t>vidya.gounder21@rediffmail.com</t>
  </si>
  <si>
    <t>Elite Fashions</t>
  </si>
  <si>
    <t>Gayathri Venkatesan</t>
  </si>
  <si>
    <t>gayathri.venkatesan22@rediffmail.com</t>
  </si>
  <si>
    <t>Golden Exports</t>
  </si>
  <si>
    <t>Dhruv Naidu</t>
  </si>
  <si>
    <t>dhruv.naidu23@outlook.com</t>
  </si>
  <si>
    <t>Vasavi Garments</t>
  </si>
  <si>
    <t>janani.gupta24@hotmail.com</t>
  </si>
  <si>
    <t>SUP025</t>
  </si>
  <si>
    <t>Deccan Textiles</t>
  </si>
  <si>
    <t>Vikram Gopalakrishnan</t>
  </si>
  <si>
    <t>vikram.gopalakrishnan25@gmail.com</t>
  </si>
  <si>
    <t>Deccan Apparels</t>
  </si>
  <si>
    <t>saranya.hegde26@yahoo.com</t>
  </si>
  <si>
    <t>Cauvery Textiles</t>
  </si>
  <si>
    <t>Vani Gopalakrishnan</t>
  </si>
  <si>
    <t>vani.gopalakrishnan27@hotmail.com</t>
  </si>
  <si>
    <t>Elite Weavers</t>
  </si>
  <si>
    <t>Varsha Gopalakrishnan</t>
  </si>
  <si>
    <t>varsha.gopalakrishnan28@outlook.com</t>
  </si>
  <si>
    <t>Metro Fashions</t>
  </si>
  <si>
    <t>hariharan.reddy29@yahoo.com</t>
  </si>
  <si>
    <t>Deccan Mills</t>
  </si>
  <si>
    <t>Karthik Prasad</t>
  </si>
  <si>
    <t>karthik.prasad30@rediffmail.com</t>
  </si>
  <si>
    <t>Universal Textiles</t>
  </si>
  <si>
    <t>Gokul Shetty</t>
  </si>
  <si>
    <t>gokul.shetty31@outlook.com</t>
  </si>
  <si>
    <t>Silver Exports</t>
  </si>
  <si>
    <t>Raghu Krishnan</t>
  </si>
  <si>
    <t>raghu.krishnan32@gmail.com</t>
  </si>
  <si>
    <t>Metro Apparels</t>
  </si>
  <si>
    <t>Hema Mudaliar</t>
  </si>
  <si>
    <t>hema.mudaliar33@gmail.com</t>
  </si>
  <si>
    <t>Trident Textiles</t>
  </si>
  <si>
    <t>Anusuya Sundaram</t>
  </si>
  <si>
    <t>anusuya.sundaram34@outlook.com</t>
  </si>
  <si>
    <t>Om Creations</t>
  </si>
  <si>
    <t>divya.balasubramaniam35@rediffmail.com</t>
  </si>
  <si>
    <t>Star Industries</t>
  </si>
  <si>
    <t>Dinesh Reddy</t>
  </si>
  <si>
    <t>dinesh.reddy36@outlook.com</t>
  </si>
  <si>
    <t>SUP037</t>
  </si>
  <si>
    <t>Gayathri Yadav</t>
  </si>
  <si>
    <t>gayathri.yadav37@yahoo.com</t>
  </si>
  <si>
    <t>Silver Apparels</t>
  </si>
  <si>
    <t>Bala Varma</t>
  </si>
  <si>
    <t>bala.varma38@outlook.com</t>
  </si>
  <si>
    <t>Royal Creations</t>
  </si>
  <si>
    <t>Latha Hegde</t>
  </si>
  <si>
    <t>latha.hegde39@outlook.com</t>
  </si>
  <si>
    <t>Shree Creations</t>
  </si>
  <si>
    <t>Prakash Menon</t>
  </si>
  <si>
    <t>prakash.menon40@yahoo.com</t>
  </si>
  <si>
    <t>Revathi Naidu</t>
  </si>
  <si>
    <t>revathi.naidu41@rediffmail.com</t>
  </si>
  <si>
    <t>Kaveri Industries</t>
  </si>
  <si>
    <t>Saranya Kumar</t>
  </si>
  <si>
    <t>saranya.kumar42@outlook.com</t>
  </si>
  <si>
    <t>Srinivas Yadav</t>
  </si>
  <si>
    <t>srinivas.yadav43@outlook.com</t>
  </si>
  <si>
    <t>Krishna Industries</t>
  </si>
  <si>
    <t>nandini.gopalakrishnan44@gmail.com</t>
  </si>
  <si>
    <t>Sun Fashions</t>
  </si>
  <si>
    <t>Deepika Gupta</t>
  </si>
  <si>
    <t>deepika.gupta45@gmail.com</t>
  </si>
  <si>
    <t>Ganga Fashions</t>
  </si>
  <si>
    <t>Kalpana Varma</t>
  </si>
  <si>
    <t>kalpana.varma46@gmail.com</t>
  </si>
  <si>
    <t>Nilgiri Fabrics</t>
  </si>
  <si>
    <t>Baskar Chettiar</t>
  </si>
  <si>
    <t>baskar.chettiar47@yahoo.com</t>
  </si>
  <si>
    <t>Grand Exports</t>
  </si>
  <si>
    <t>Tejaswini Ramachandran</t>
  </si>
  <si>
    <t>tejaswini.ramachandran48@gmail.com</t>
  </si>
  <si>
    <t>Modern Mills</t>
  </si>
  <si>
    <t>Sandeep Srinivasan</t>
  </si>
  <si>
    <t>sandeep.srinivasan49@yahoo.com</t>
  </si>
  <si>
    <t>Continental Industries</t>
  </si>
  <si>
    <t>Devi Pillai</t>
  </si>
  <si>
    <t>devi.pillai50@rediffmail.com</t>
  </si>
  <si>
    <t>Deepthi Natarajan</t>
  </si>
  <si>
    <t>deepthi.natarajan51@yahoo.com</t>
  </si>
  <si>
    <t>Sathish Rao</t>
  </si>
  <si>
    <t>sathish.rao52@gmail.com</t>
  </si>
  <si>
    <t>Nilgiri Exports</t>
  </si>
  <si>
    <t>charulatha.natarajan53@outlook.com</t>
  </si>
  <si>
    <t>Everest Textiles</t>
  </si>
  <si>
    <t>Ganesh Chettiar</t>
  </si>
  <si>
    <t>ganesh.chettiar54@rediffmail.com</t>
  </si>
  <si>
    <t>Rajesh Naicker</t>
  </si>
  <si>
    <t>rajesh.naicker55@outlook.com</t>
  </si>
  <si>
    <t>Devraj Varma</t>
  </si>
  <si>
    <t>devraj.varma56@outlook.com</t>
  </si>
  <si>
    <t>SUP057</t>
  </si>
  <si>
    <t>Ganga Apparels</t>
  </si>
  <si>
    <t>Sowmya Achari</t>
  </si>
  <si>
    <t>sowmya.achari57@gmail.com</t>
  </si>
  <si>
    <t>Continental Fashions</t>
  </si>
  <si>
    <t>Jayaram Kamath</t>
  </si>
  <si>
    <t>jayaram.kamath58@rediffmail.com</t>
  </si>
  <si>
    <t>Om Fabrics</t>
  </si>
  <si>
    <t>Saranya Sundaram</t>
  </si>
  <si>
    <t>saranya.sundaram59@yahoo.com</t>
  </si>
  <si>
    <t>Malini Murthy</t>
  </si>
  <si>
    <t>malini.murthy60@gmail.com</t>
  </si>
  <si>
    <t>Pranav Raman</t>
  </si>
  <si>
    <t>pranav.raman61@rediffmail.com</t>
  </si>
  <si>
    <t>Sun Apparels</t>
  </si>
  <si>
    <t>Uma Raman</t>
  </si>
  <si>
    <t>uma.raman62@yahoo.com</t>
  </si>
  <si>
    <t>Vikram Mishra</t>
  </si>
  <si>
    <t>vikram.mishra63@gmail.com</t>
  </si>
  <si>
    <t>National Textiles</t>
  </si>
  <si>
    <t>Chandran Mishra</t>
  </si>
  <si>
    <t>chandran.mishra64@gmail.com</t>
  </si>
  <si>
    <t>Sun Creations</t>
  </si>
  <si>
    <t>Prakash Kumar</t>
  </si>
  <si>
    <t>prakash.kumar65@hotmail.com</t>
  </si>
  <si>
    <t>National Garments</t>
  </si>
  <si>
    <t>Raghu Natarajan</t>
  </si>
  <si>
    <t>raghu.natarajan66@rediffmail.com</t>
  </si>
  <si>
    <t>Silver Mills</t>
  </si>
  <si>
    <t>Lavanya Gopalakrishnan</t>
  </si>
  <si>
    <t>lavanya.gopalakrishnan67@hotmail.com</t>
  </si>
  <si>
    <t>SUP068</t>
  </si>
  <si>
    <t>Sri Industries</t>
  </si>
  <si>
    <t>Nisha Naidu</t>
  </si>
  <si>
    <t>nisha.naidu68@yahoo.com</t>
  </si>
  <si>
    <t>Vasavi Weavers</t>
  </si>
  <si>
    <t>Rohit Venkatesan</t>
  </si>
  <si>
    <t>rohit.venkatesan69@yahoo.com</t>
  </si>
  <si>
    <t>Prime Fashions</t>
  </si>
  <si>
    <t>ramya.iyer70@outlook.com</t>
  </si>
  <si>
    <t>Classic Exports</t>
  </si>
  <si>
    <t>Sangeeta Menon</t>
  </si>
  <si>
    <t>sangeeta.menon71@hotmail.com</t>
  </si>
  <si>
    <t>Karunakaran Mishra</t>
  </si>
  <si>
    <t>karunakaran.mishra72@outlook.com</t>
  </si>
  <si>
    <t>Royal Textiles</t>
  </si>
  <si>
    <t>Logesh Kamath</t>
  </si>
  <si>
    <t>logesh.kamath73@hotmail.com</t>
  </si>
  <si>
    <t>Jayaram Chettiar</t>
  </si>
  <si>
    <t>jayaram.chettiar74@rediffmail.com</t>
  </si>
  <si>
    <t>Grand Garments</t>
  </si>
  <si>
    <t>Nandakumar Krishnan</t>
  </si>
  <si>
    <t>nandakumar.krishnan75@yahoo.com</t>
  </si>
  <si>
    <t>Prime Apparels</t>
  </si>
  <si>
    <t>Gopal Pillai</t>
  </si>
  <si>
    <t>gopal.pillai76@rediffmail.com</t>
  </si>
  <si>
    <t>SUP077</t>
  </si>
  <si>
    <t>Cauvery Fashions</t>
  </si>
  <si>
    <t>Nithya Venkatesan</t>
  </si>
  <si>
    <t>nithya.venkatesan77@hotmail.com</t>
  </si>
  <si>
    <t>Modern Textiles</t>
  </si>
  <si>
    <t>Manoj Subramaniam</t>
  </si>
  <si>
    <t>manoj.subramaniam78@hotmail.com</t>
  </si>
  <si>
    <t>Grand Industries</t>
  </si>
  <si>
    <t>Bala Chettiar</t>
  </si>
  <si>
    <t>bala.chettiar79@yahoo.com</t>
  </si>
  <si>
    <t>Elite Garments</t>
  </si>
  <si>
    <t>Geetha Venkatesan</t>
  </si>
  <si>
    <t>geetha.venkatesan80@outlook.com</t>
  </si>
  <si>
    <t>Siddharth Krishnan</t>
  </si>
  <si>
    <t>siddharth.krishnan81@hotmail.com</t>
  </si>
  <si>
    <t>Silver Fabrics</t>
  </si>
  <si>
    <t>ravi.ramachandran82@yahoo.com</t>
  </si>
  <si>
    <t>Golden Industries</t>
  </si>
  <si>
    <t>Neelam Chettiar</t>
  </si>
  <si>
    <t>neelam.chettiar83@hotmail.com</t>
  </si>
  <si>
    <t>Nilgiri Garments</t>
  </si>
  <si>
    <t>Hari Gounder</t>
  </si>
  <si>
    <t>hari.gounder84@yahoo.com</t>
  </si>
  <si>
    <t>Silver Garments</t>
  </si>
  <si>
    <t>Suresh Subramaniam</t>
  </si>
  <si>
    <t>suresh.subramaniam85@yahoo.com</t>
  </si>
  <si>
    <t>Deccan Fabrics</t>
  </si>
  <si>
    <t>Bindu Gopalakrishnan</t>
  </si>
  <si>
    <t>bindu.gopalakrishnan86@hotmail.com</t>
  </si>
  <si>
    <t>Trident Apparels</t>
  </si>
  <si>
    <t>Ishwarya Gopalakrishnan</t>
  </si>
  <si>
    <t>ishwarya.gopalakrishnan87@gmail.com</t>
  </si>
  <si>
    <t>Silver Weavers</t>
  </si>
  <si>
    <t>Devraj Raman</t>
  </si>
  <si>
    <t>devraj.raman88@rediffmail.com</t>
  </si>
  <si>
    <t>Ashoka Weavers</t>
  </si>
  <si>
    <t>devi.pillai89@yahoo.com</t>
  </si>
  <si>
    <t>meena.krishnan90@gmail.com</t>
  </si>
  <si>
    <t>Sheet</t>
  </si>
  <si>
    <t>Cleaning Action</t>
  </si>
  <si>
    <t>Rows Affected</t>
  </si>
  <si>
    <t>Sales_Transactions</t>
  </si>
  <si>
    <t>Mixed Date Formats standardized to datetime</t>
  </si>
  <si>
    <t>Duplicate Invoice Numbers made unique (suffixed)</t>
  </si>
  <si>
    <t>Blank Customer_ID filled as CUST_UNKNOWN</t>
  </si>
  <si>
    <t>Blank Product_ID filled as PRD_UNKNOWN</t>
  </si>
  <si>
    <t>Blank Employee_ID filled as EMP_UNKNOWN</t>
  </si>
  <si>
    <t>Payment Mode spacing/casing standardized</t>
  </si>
  <si>
    <t>Return Status typos standardized</t>
  </si>
  <si>
    <t>Quantity=0 with zero sales amount flagged Void/Cancelled</t>
  </si>
  <si>
    <t>Quantity=0 with positive sales amount - quantity imputed</t>
  </si>
  <si>
    <t>Negative Profit transactions flagged (kept - genuine margin issue)</t>
  </si>
  <si>
    <t>Customers</t>
  </si>
  <si>
    <t>Leading/trailing spaces in Name trimmed</t>
  </si>
  <si>
    <t>Mixed Gender values standardized (Male/Female)</t>
  </si>
  <si>
    <t>Mixed Membership casing standardized</t>
  </si>
  <si>
    <t>Duplicate phone numbers flagged (kept, not auto-corrected)</t>
  </si>
  <si>
    <t>Invalid email formats flagged (kept, not auto-corrected)</t>
  </si>
  <si>
    <t>Products</t>
  </si>
  <si>
    <t>Category spelling/spacing typos fixed</t>
  </si>
  <si>
    <t>Blank Brand filled as Unknown</t>
  </si>
  <si>
    <t>Duplicate product names flagged (kept, distinct Product_ID)</t>
  </si>
  <si>
    <t>Stores</t>
  </si>
  <si>
    <t>Missing Manager names filled as Not Assigned</t>
  </si>
  <si>
    <t>Status typos standardized</t>
  </si>
  <si>
    <t>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</si>
</sst>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\-mmm\-yyyy"/>
  </numFmts>
  <fonts count="9" x14ac:knownFonts="1">
    <font>
      <sz val="11"/>
      <color theme="1"/>
      <name val="Calibri"/>
      <family val="2"/>
      <charset val="1"/>
    </font>
    <font>
      <b/>
      <sz val="18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b/>
      <sz val="20"/>
      <color rgb="FFFFFFFF"/>
      <name val="Arial"/>
      <charset val="1"/>
    </font>
    <font>
      <b/>
      <sz val="12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A7EBB"/>
      </patternFill>
    </fill>
    <fill>
      <patternFill patternType="solid">
        <fgColor rgb="FF548235"/>
        <bgColor rgb="FF595959"/>
      </patternFill>
    </fill>
    <fill>
      <patternFill patternType="solid">
        <fgColor rgb="FFBF8F00"/>
        <bgColor rgb="FFF79646"/>
      </patternFill>
    </fill>
    <fill>
      <patternFill patternType="solid">
        <fgColor rgb="FFC00000"/>
        <bgColor rgb="FF800000"/>
      </patternFill>
    </fill>
    <fill>
      <patternFill patternType="solid">
        <fgColor rgb="FF7030A0"/>
        <bgColor rgb="FF333399"/>
      </patternFill>
    </fill>
    <fill>
      <patternFill patternType="solid">
        <fgColor rgb="FF2E75B6"/>
        <bgColor rgb="FF4472C4"/>
      </patternFill>
    </fill>
    <fill>
      <patternFill patternType="solid">
        <fgColor rgb="FF1F3864"/>
        <bgColor rgb="FF33339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7" borderId="0" xfId="0" applyFont="1" applyFill="1"/>
    <xf numFmtId="164" fontId="4" fillId="6" borderId="0" xfId="0" applyNumberFormat="1" applyFont="1" applyFill="1" applyAlignment="1">
      <alignment horizontal="center" vertical="center"/>
    </xf>
    <xf numFmtId="3" fontId="4" fillId="5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0" xfId="0" applyFont="1"/>
    <xf numFmtId="0" fontId="1" fillId="0" borderId="0" xfId="0" applyFont="1"/>
    <xf numFmtId="0" fontId="3" fillId="8" borderId="0" xfId="0" applyFont="1" applyFill="1" applyAlignment="1">
      <alignment horizontal="center"/>
    </xf>
    <xf numFmtId="0" fontId="6" fillId="0" borderId="1" xfId="0" applyFont="1" applyBorder="1"/>
    <xf numFmtId="3" fontId="6" fillId="0" borderId="1" xfId="0" applyNumberFormat="1" applyFont="1" applyBorder="1"/>
    <xf numFmtId="164" fontId="6" fillId="0" borderId="1" xfId="0" applyNumberFormat="1" applyFont="1" applyBorder="1"/>
    <xf numFmtId="0" fontId="7" fillId="0" borderId="1" xfId="0" applyFont="1" applyBorder="1"/>
    <xf numFmtId="0" fontId="8" fillId="8" borderId="0" xfId="0" applyFont="1" applyFill="1" applyAlignment="1">
      <alignment horizontal="center" vertical="center"/>
    </xf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4BACC6"/>
      <rgbColor rgb="FF9BBB59"/>
      <rgbColor rgb="FFFFCC00"/>
      <rgbColor rgb="FFF79646"/>
      <rgbColor rgb="FFBF8F00"/>
      <rgbColor rgb="FF8064A2"/>
      <rgbColor rgb="FF4F81BD"/>
      <rgbColor rgb="FF1F3864"/>
      <rgbColor rgb="FF4A7EBB"/>
      <rgbColor rgb="FF003300"/>
      <rgbColor rgb="FF333300"/>
      <rgbColor rgb="FFC0504D"/>
      <rgbColor rgb="FF7030A0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Dashboard!$B$8</c:f>
              <c:strCache>
                <c:ptCount val="1"/>
                <c:pt idx="0">
                  <c:v>Revenue (Rs.)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Dashboard!$A$9:$A$29</c:f>
              <c:strCache>
                <c:ptCount val="21"/>
                <c:pt idx="0">
                  <c:v>Women Sarees</c:v>
                </c:pt>
                <c:pt idx="1">
                  <c:v>Handbags</c:v>
                </c:pt>
                <c:pt idx="2">
                  <c:v>Watches</c:v>
                </c:pt>
                <c:pt idx="3">
                  <c:v>Jewellery</c:v>
                </c:pt>
                <c:pt idx="4">
                  <c:v>Women Dresses</c:v>
                </c:pt>
                <c:pt idx="5">
                  <c:v>Footwear</c:v>
                </c:pt>
                <c:pt idx="6">
                  <c:v>Men Ethnic</c:v>
                </c:pt>
                <c:pt idx="7">
                  <c:v>Women Jeans</c:v>
                </c:pt>
                <c:pt idx="8">
                  <c:v>Women Kurtis</c:v>
                </c:pt>
                <c:pt idx="9">
                  <c:v>Winter Wear</c:v>
                </c:pt>
                <c:pt idx="10">
                  <c:v>Women Tops</c:v>
                </c:pt>
                <c:pt idx="11">
                  <c:v>Men T-Shirts</c:v>
                </c:pt>
                <c:pt idx="12">
                  <c:v>Men Jeans</c:v>
                </c:pt>
                <c:pt idx="13">
                  <c:v>Sportswear</c:v>
                </c:pt>
                <c:pt idx="14">
                  <c:v>Wallets</c:v>
                </c:pt>
                <c:pt idx="15">
                  <c:v>Men Trousers</c:v>
                </c:pt>
                <c:pt idx="16">
                  <c:v>Men Shirts</c:v>
                </c:pt>
                <c:pt idx="17">
                  <c:v>Kids Wear</c:v>
                </c:pt>
                <c:pt idx="18">
                  <c:v>Belts</c:v>
                </c:pt>
                <c:pt idx="19">
                  <c:v>Accessories</c:v>
                </c:pt>
                <c:pt idx="20">
                  <c:v>Unknown</c:v>
                </c:pt>
              </c:strCache>
            </c:strRef>
          </c:cat>
          <c:val>
            <c:numRef>
              <c:f>Dashboard!$B$9:$B$29</c:f>
              <c:numCache>
                <c:formatCode>#,##0</c:formatCode>
                <c:ptCount val="21"/>
                <c:pt idx="0">
                  <c:v>1103017.8199999996</c:v>
                </c:pt>
                <c:pt idx="1">
                  <c:v>994021.98</c:v>
                </c:pt>
                <c:pt idx="2">
                  <c:v>937502.17999999993</c:v>
                </c:pt>
                <c:pt idx="3">
                  <c:v>850930.2</c:v>
                </c:pt>
                <c:pt idx="4">
                  <c:v>648333.4300000004</c:v>
                </c:pt>
                <c:pt idx="5">
                  <c:v>521388.97000000003</c:v>
                </c:pt>
                <c:pt idx="6">
                  <c:v>508021.06000000011</c:v>
                </c:pt>
                <c:pt idx="7">
                  <c:v>504452.20999999961</c:v>
                </c:pt>
                <c:pt idx="8">
                  <c:v>408431.13999999972</c:v>
                </c:pt>
                <c:pt idx="9">
                  <c:v>390745.41000000003</c:v>
                </c:pt>
                <c:pt idx="10">
                  <c:v>313703.63</c:v>
                </c:pt>
                <c:pt idx="11">
                  <c:v>312534.72000000015</c:v>
                </c:pt>
                <c:pt idx="12">
                  <c:v>277306.93</c:v>
                </c:pt>
                <c:pt idx="13">
                  <c:v>259644.52000000014</c:v>
                </c:pt>
                <c:pt idx="14">
                  <c:v>258906.38999999993</c:v>
                </c:pt>
                <c:pt idx="15">
                  <c:v>206033.28999999995</c:v>
                </c:pt>
                <c:pt idx="16">
                  <c:v>184667.2300000001</c:v>
                </c:pt>
                <c:pt idx="17">
                  <c:v>184043.76000000004</c:v>
                </c:pt>
                <c:pt idx="18">
                  <c:v>179789.99000000005</c:v>
                </c:pt>
                <c:pt idx="19">
                  <c:v>166486.52000000002</c:v>
                </c:pt>
                <c:pt idx="20">
                  <c:v>17218.580000000002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F-4C6A-8019-41F79B5C1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264379"/>
        <c:axId val="32971473"/>
      </c:barChart>
      <c:catAx>
        <c:axId val="232643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971473"/>
        <c:crosses val="autoZero"/>
        <c:auto val="1"/>
        <c:lblAlgn val="ctr"/>
        <c:lblOffset val="100"/>
        <c:noMultiLvlLbl val="0"/>
      </c:catAx>
      <c:valAx>
        <c:axId val="329714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(Rs.)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2643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Return Rate %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Dashboard!$E$8</c:f>
              <c:strCache>
                <c:ptCount val="1"/>
                <c:pt idx="0">
                  <c:v>Return Rate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Dashboard!$A$9:$A$29</c:f>
              <c:strCache>
                <c:ptCount val="21"/>
                <c:pt idx="0">
                  <c:v>Women Sarees</c:v>
                </c:pt>
                <c:pt idx="1">
                  <c:v>Handbags</c:v>
                </c:pt>
                <c:pt idx="2">
                  <c:v>Watches</c:v>
                </c:pt>
                <c:pt idx="3">
                  <c:v>Jewellery</c:v>
                </c:pt>
                <c:pt idx="4">
                  <c:v>Women Dresses</c:v>
                </c:pt>
                <c:pt idx="5">
                  <c:v>Footwear</c:v>
                </c:pt>
                <c:pt idx="6">
                  <c:v>Men Ethnic</c:v>
                </c:pt>
                <c:pt idx="7">
                  <c:v>Women Jeans</c:v>
                </c:pt>
                <c:pt idx="8">
                  <c:v>Women Kurtis</c:v>
                </c:pt>
                <c:pt idx="9">
                  <c:v>Winter Wear</c:v>
                </c:pt>
                <c:pt idx="10">
                  <c:v>Women Tops</c:v>
                </c:pt>
                <c:pt idx="11">
                  <c:v>Men T-Shirts</c:v>
                </c:pt>
                <c:pt idx="12">
                  <c:v>Men Jeans</c:v>
                </c:pt>
                <c:pt idx="13">
                  <c:v>Sportswear</c:v>
                </c:pt>
                <c:pt idx="14">
                  <c:v>Wallets</c:v>
                </c:pt>
                <c:pt idx="15">
                  <c:v>Men Trousers</c:v>
                </c:pt>
                <c:pt idx="16">
                  <c:v>Men Shirts</c:v>
                </c:pt>
                <c:pt idx="17">
                  <c:v>Kids Wear</c:v>
                </c:pt>
                <c:pt idx="18">
                  <c:v>Belts</c:v>
                </c:pt>
                <c:pt idx="19">
                  <c:v>Accessories</c:v>
                </c:pt>
                <c:pt idx="20">
                  <c:v>Unknown</c:v>
                </c:pt>
              </c:strCache>
            </c:strRef>
          </c:cat>
          <c:val>
            <c:numRef>
              <c:f>Dashboard!$E$9:$E$29</c:f>
              <c:numCache>
                <c:formatCode>0.0%</c:formatCode>
                <c:ptCount val="21"/>
                <c:pt idx="0">
                  <c:v>2.185792349726776E-2</c:v>
                </c:pt>
                <c:pt idx="1">
                  <c:v>0.2722772277227723</c:v>
                </c:pt>
                <c:pt idx="2">
                  <c:v>3.2520325203252036E-2</c:v>
                </c:pt>
                <c:pt idx="3">
                  <c:v>4.7619047619047616E-2</c:v>
                </c:pt>
                <c:pt idx="4">
                  <c:v>3.9301310043668124E-2</c:v>
                </c:pt>
                <c:pt idx="5">
                  <c:v>2.8037383177570093E-2</c:v>
                </c:pt>
                <c:pt idx="6">
                  <c:v>2.9126213592233011E-2</c:v>
                </c:pt>
                <c:pt idx="7">
                  <c:v>1.4150943396226415E-2</c:v>
                </c:pt>
                <c:pt idx="8">
                  <c:v>1.7937219730941704E-2</c:v>
                </c:pt>
                <c:pt idx="9">
                  <c:v>4.4642857142857144E-2</c:v>
                </c:pt>
                <c:pt idx="10">
                  <c:v>4.784688995215311E-2</c:v>
                </c:pt>
                <c:pt idx="11">
                  <c:v>3.5714285714285712E-2</c:v>
                </c:pt>
                <c:pt idx="12">
                  <c:v>1.6949152542372881E-2</c:v>
                </c:pt>
                <c:pt idx="13">
                  <c:v>1.6393442622950821E-2</c:v>
                </c:pt>
                <c:pt idx="14">
                  <c:v>2.1739130434782608E-2</c:v>
                </c:pt>
                <c:pt idx="15">
                  <c:v>4.4444444444444446E-2</c:v>
                </c:pt>
                <c:pt idx="16">
                  <c:v>0.04</c:v>
                </c:pt>
                <c:pt idx="17">
                  <c:v>2.5974025974025976E-2</c:v>
                </c:pt>
                <c:pt idx="18">
                  <c:v>6.6666666666666666E-2</c:v>
                </c:pt>
                <c:pt idx="19">
                  <c:v>2.5210084033613446E-2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69-4FE4-ACE5-642244777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87432"/>
        <c:axId val="70238399"/>
      </c:barChart>
      <c:catAx>
        <c:axId val="17987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238399"/>
        <c:crosses val="autoZero"/>
        <c:auto val="1"/>
        <c:lblAlgn val="ctr"/>
        <c:lblOffset val="100"/>
        <c:noMultiLvlLbl val="0"/>
      </c:catAx>
      <c:valAx>
        <c:axId val="7023839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9874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Dashboard!$B$32</c:f>
              <c:strCache>
                <c:ptCount val="1"/>
                <c:pt idx="0">
                  <c:v>Revenue (Rs.)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CCAA-478E-9509-A567FD8F346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CAA-478E-9509-A567FD8F346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CAA-478E-9509-A567FD8F346D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CCAA-478E-9509-A567FD8F346D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CCAA-478E-9509-A567FD8F346D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CCAA-478E-9509-A567FD8F34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Dashboard!$A$33:$A$35</c:f>
              <c:strCache>
                <c:ptCount val="3"/>
                <c:pt idx="0">
                  <c:v>South Zone 1</c:v>
                </c:pt>
                <c:pt idx="1">
                  <c:v>South Zone 2</c:v>
                </c:pt>
                <c:pt idx="2">
                  <c:v>South Zone 3</c:v>
                </c:pt>
              </c:strCache>
            </c:strRef>
          </c:cat>
          <c:val>
            <c:numRef>
              <c:f>Dashboard!$B$33:$B$35</c:f>
              <c:numCache>
                <c:formatCode>#,##0</c:formatCode>
                <c:ptCount val="3"/>
                <c:pt idx="0">
                  <c:v>4463451.9400000088</c:v>
                </c:pt>
                <c:pt idx="1">
                  <c:v>2554815.9000000018</c:v>
                </c:pt>
                <c:pt idx="2">
                  <c:v>2208912.1200000015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AA-478E-9509-A567FD8F3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Order Value by Membership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Dashboard!$I$32</c:f>
              <c:strCache>
                <c:ptCount val="1"/>
                <c:pt idx="0">
                  <c:v>Avg Order 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Dashboard!$F$33:$F$36</c:f>
              <c:strCache>
                <c:ptCount val="4"/>
                <c:pt idx="0">
                  <c:v>Gold</c:v>
                </c:pt>
                <c:pt idx="1">
                  <c:v>Platinum</c:v>
                </c:pt>
                <c:pt idx="2">
                  <c:v>Silver</c:v>
                </c:pt>
                <c:pt idx="3">
                  <c:v>Regular</c:v>
                </c:pt>
              </c:strCache>
            </c:strRef>
          </c:cat>
          <c:val>
            <c:numRef>
              <c:f>Dashboard!$I$33:$I$36</c:f>
              <c:numCache>
                <c:formatCode>#,##0</c:formatCode>
                <c:ptCount val="4"/>
                <c:pt idx="0">
                  <c:v>3823.7493871449938</c:v>
                </c:pt>
                <c:pt idx="1">
                  <c:v>2792.2312110726662</c:v>
                </c:pt>
                <c:pt idx="2">
                  <c:v>2983.0156770833373</c:v>
                </c:pt>
                <c:pt idx="3">
                  <c:v>2904.2031445312518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7C-4FD2-8004-C21F9CBCB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03890"/>
        <c:axId val="96714809"/>
      </c:barChart>
      <c:catAx>
        <c:axId val="553038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714809"/>
        <c:crosses val="autoZero"/>
        <c:auto val="1"/>
        <c:lblAlgn val="ctr"/>
        <c:lblOffset val="100"/>
        <c:noMultiLvlLbl val="0"/>
      </c:catAx>
      <c:valAx>
        <c:axId val="967148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3038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 &amp;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Dashboard!$B$39</c:f>
              <c:strCache>
                <c:ptCount val="1"/>
                <c:pt idx="0">
                  <c:v>Revenue (Rs.)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Dashboard!$A$40:$A$51</c:f>
              <c:strCache>
                <c:ptCount val="12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</c:strCache>
            </c:strRef>
          </c:cat>
          <c:val>
            <c:numRef>
              <c:f>Dashboard!$B$40:$B$51</c:f>
              <c:numCache>
                <c:formatCode>#,##0</c:formatCode>
                <c:ptCount val="12"/>
                <c:pt idx="0">
                  <c:v>683356.92999999959</c:v>
                </c:pt>
                <c:pt idx="1">
                  <c:v>716615.73999999987</c:v>
                </c:pt>
                <c:pt idx="2">
                  <c:v>705197.67000000027</c:v>
                </c:pt>
                <c:pt idx="3">
                  <c:v>575940.09000000008</c:v>
                </c:pt>
                <c:pt idx="4">
                  <c:v>624765.64</c:v>
                </c:pt>
                <c:pt idx="5">
                  <c:v>842808.66000000027</c:v>
                </c:pt>
                <c:pt idx="6">
                  <c:v>1519147.0599999998</c:v>
                </c:pt>
                <c:pt idx="7">
                  <c:v>1054251.3599999996</c:v>
                </c:pt>
                <c:pt idx="8">
                  <c:v>891356.08000000089</c:v>
                </c:pt>
                <c:pt idx="9">
                  <c:v>305174.24</c:v>
                </c:pt>
                <c:pt idx="10">
                  <c:v>655012.41999999969</c:v>
                </c:pt>
                <c:pt idx="11">
                  <c:v>653554.07000000007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107-4C39-B413-00BCEEC4C392}"/>
            </c:ext>
          </c:extLst>
        </c:ser>
        <c:ser>
          <c:idx val="1"/>
          <c:order val="1"/>
          <c:tx>
            <c:strRef>
              <c:f>Dashboard!$C$39</c:f>
              <c:strCache>
                <c:ptCount val="1"/>
                <c:pt idx="0">
                  <c:v>Profit (Rs.)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Dashboard!$A$40:$A$51</c:f>
              <c:strCache>
                <c:ptCount val="12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</c:strCache>
            </c:strRef>
          </c:cat>
          <c:val>
            <c:numRef>
              <c:f>Dashboard!$C$40:$C$51</c:f>
              <c:numCache>
                <c:formatCode>#,##0</c:formatCode>
                <c:ptCount val="12"/>
                <c:pt idx="0">
                  <c:v>131910.17999999991</c:v>
                </c:pt>
                <c:pt idx="1">
                  <c:v>143626.60999999996</c:v>
                </c:pt>
                <c:pt idx="2">
                  <c:v>125032.19000000002</c:v>
                </c:pt>
                <c:pt idx="3">
                  <c:v>110065.94999999997</c:v>
                </c:pt>
                <c:pt idx="4">
                  <c:v>122773.23000000005</c:v>
                </c:pt>
                <c:pt idx="5">
                  <c:v>177387.37000000002</c:v>
                </c:pt>
                <c:pt idx="6">
                  <c:v>301165.33999999991</c:v>
                </c:pt>
                <c:pt idx="7">
                  <c:v>194655.84000000008</c:v>
                </c:pt>
                <c:pt idx="8">
                  <c:v>180854.07000000007</c:v>
                </c:pt>
                <c:pt idx="9">
                  <c:v>54860.769999999968</c:v>
                </c:pt>
                <c:pt idx="10">
                  <c:v>118923.49000000011</c:v>
                </c:pt>
                <c:pt idx="11">
                  <c:v>140182.08000000007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107-4C39-B413-00BCEEC4C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3214519"/>
        <c:axId val="17574854"/>
      </c:lineChart>
      <c:catAx>
        <c:axId val="93214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574854"/>
        <c:crosses val="autoZero"/>
        <c:auto val="1"/>
        <c:lblAlgn val="ctr"/>
        <c:lblOffset val="100"/>
        <c:noMultiLvlLbl val="0"/>
      </c:catAx>
      <c:valAx>
        <c:axId val="175748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2145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Stores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Dashboard!$D$54</c:f>
              <c:strCache>
                <c:ptCount val="1"/>
                <c:pt idx="0">
                  <c:v>Revenue (Rs.)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Dashboard!$A$55:$A$64</c:f>
              <c:strCache>
                <c:ptCount val="10"/>
                <c:pt idx="0">
                  <c:v>STR037</c:v>
                </c:pt>
                <c:pt idx="1">
                  <c:v>STR080</c:v>
                </c:pt>
                <c:pt idx="2">
                  <c:v>STR078</c:v>
                </c:pt>
                <c:pt idx="3">
                  <c:v>STR011</c:v>
                </c:pt>
                <c:pt idx="4">
                  <c:v>STR004</c:v>
                </c:pt>
                <c:pt idx="5">
                  <c:v>STR088</c:v>
                </c:pt>
                <c:pt idx="6">
                  <c:v>STR101</c:v>
                </c:pt>
                <c:pt idx="7">
                  <c:v>STR031</c:v>
                </c:pt>
                <c:pt idx="8">
                  <c:v>STR032</c:v>
                </c:pt>
                <c:pt idx="9">
                  <c:v>STR007</c:v>
                </c:pt>
              </c:strCache>
            </c:strRef>
          </c:cat>
          <c:val>
            <c:numRef>
              <c:f>Dashboard!$D$55:$D$64</c:f>
              <c:numCache>
                <c:formatCode>#,##0</c:formatCode>
                <c:ptCount val="10"/>
                <c:pt idx="0">
                  <c:v>174307.52999999997</c:v>
                </c:pt>
                <c:pt idx="1">
                  <c:v>143642.01999999999</c:v>
                </c:pt>
                <c:pt idx="2">
                  <c:v>130122.46999999999</c:v>
                </c:pt>
                <c:pt idx="3">
                  <c:v>129824.85999999999</c:v>
                </c:pt>
                <c:pt idx="4">
                  <c:v>125355.94000000002</c:v>
                </c:pt>
                <c:pt idx="5">
                  <c:v>119943.09000000001</c:v>
                </c:pt>
                <c:pt idx="6">
                  <c:v>117373.93000000002</c:v>
                </c:pt>
                <c:pt idx="7">
                  <c:v>114409.33000000002</c:v>
                </c:pt>
                <c:pt idx="8">
                  <c:v>113060.11000000002</c:v>
                </c:pt>
                <c:pt idx="9">
                  <c:v>109813.91999999998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5-443D-BE7C-111FDD19C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959719"/>
        <c:axId val="61834326"/>
      </c:barChart>
      <c:catAx>
        <c:axId val="70959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834326"/>
        <c:crosses val="autoZero"/>
        <c:auto val="1"/>
        <c:lblAlgn val="ctr"/>
        <c:lblOffset val="100"/>
        <c:noMultiLvlLbl val="0"/>
      </c:catAx>
      <c:valAx>
        <c:axId val="6183432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9597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Bottom 10 Stores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Dashboard!$D$65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Dashboard!$A$66:$A$75</c:f>
              <c:strCache>
                <c:ptCount val="10"/>
                <c:pt idx="0">
                  <c:v>STR098</c:v>
                </c:pt>
                <c:pt idx="1">
                  <c:v>STR114</c:v>
                </c:pt>
                <c:pt idx="2">
                  <c:v>STR059</c:v>
                </c:pt>
                <c:pt idx="3">
                  <c:v>STR002</c:v>
                </c:pt>
                <c:pt idx="4">
                  <c:v>STR022</c:v>
                </c:pt>
                <c:pt idx="5">
                  <c:v>STR065</c:v>
                </c:pt>
                <c:pt idx="6">
                  <c:v>STR049</c:v>
                </c:pt>
                <c:pt idx="7">
                  <c:v>STR061</c:v>
                </c:pt>
                <c:pt idx="8">
                  <c:v>STR095</c:v>
                </c:pt>
                <c:pt idx="9">
                  <c:v>STR017</c:v>
                </c:pt>
              </c:strCache>
            </c:strRef>
          </c:cat>
          <c:val>
            <c:numRef>
              <c:f>Dashboard!$D$66:$D$75</c:f>
              <c:numCache>
                <c:formatCode>#,##0</c:formatCode>
                <c:ptCount val="10"/>
                <c:pt idx="0">
                  <c:v>46233.919999999998</c:v>
                </c:pt>
                <c:pt idx="1">
                  <c:v>45249.640000000007</c:v>
                </c:pt>
                <c:pt idx="2">
                  <c:v>44857.36</c:v>
                </c:pt>
                <c:pt idx="3">
                  <c:v>42708.590000000004</c:v>
                </c:pt>
                <c:pt idx="4">
                  <c:v>41401.360000000001</c:v>
                </c:pt>
                <c:pt idx="5">
                  <c:v>39358.199999999997</c:v>
                </c:pt>
                <c:pt idx="6">
                  <c:v>38016.68</c:v>
                </c:pt>
                <c:pt idx="7">
                  <c:v>34153.660000000003</c:v>
                </c:pt>
                <c:pt idx="8">
                  <c:v>21325.260000000002</c:v>
                </c:pt>
                <c:pt idx="9">
                  <c:v>8669.7199999999993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EA-469F-B8A5-68259F3D1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135119"/>
        <c:axId val="25954691"/>
      </c:barChart>
      <c:catAx>
        <c:axId val="76135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954691"/>
        <c:crosses val="autoZero"/>
        <c:auto val="1"/>
        <c:lblAlgn val="ctr"/>
        <c:lblOffset val="100"/>
        <c:noMultiLvlLbl val="0"/>
      </c:catAx>
      <c:valAx>
        <c:axId val="2595469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1351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Suppliers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Dashboard!$C$78</c:f>
              <c:strCache>
                <c:ptCount val="1"/>
                <c:pt idx="0">
                  <c:v>Revenue (Rs.)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Dashboard!$A$79:$A$88</c:f>
              <c:strCache>
                <c:ptCount val="10"/>
                <c:pt idx="0">
                  <c:v>SUP047</c:v>
                </c:pt>
                <c:pt idx="1">
                  <c:v>SUP084</c:v>
                </c:pt>
                <c:pt idx="2">
                  <c:v>SUP069</c:v>
                </c:pt>
                <c:pt idx="3">
                  <c:v>SUP066</c:v>
                </c:pt>
                <c:pt idx="4">
                  <c:v>SUP070</c:v>
                </c:pt>
                <c:pt idx="5">
                  <c:v>SUP055</c:v>
                </c:pt>
                <c:pt idx="6">
                  <c:v>SUP038</c:v>
                </c:pt>
                <c:pt idx="7">
                  <c:v>SUP041</c:v>
                </c:pt>
                <c:pt idx="8">
                  <c:v>SUP029</c:v>
                </c:pt>
                <c:pt idx="9">
                  <c:v>SUP073</c:v>
                </c:pt>
              </c:strCache>
            </c:strRef>
          </c:cat>
          <c:val>
            <c:numRef>
              <c:f>Dashboard!$C$79:$C$88</c:f>
              <c:numCache>
                <c:formatCode>#,##0</c:formatCode>
                <c:ptCount val="10"/>
                <c:pt idx="0">
                  <c:v>637513.97000000009</c:v>
                </c:pt>
                <c:pt idx="1">
                  <c:v>419784.31999999995</c:v>
                </c:pt>
                <c:pt idx="2">
                  <c:v>389379.0399999998</c:v>
                </c:pt>
                <c:pt idx="3">
                  <c:v>297565.86999999988</c:v>
                </c:pt>
                <c:pt idx="4">
                  <c:v>257043.44000000003</c:v>
                </c:pt>
                <c:pt idx="5">
                  <c:v>244192.73</c:v>
                </c:pt>
                <c:pt idx="6">
                  <c:v>243671.75</c:v>
                </c:pt>
                <c:pt idx="7">
                  <c:v>239073.61999999997</c:v>
                </c:pt>
                <c:pt idx="8">
                  <c:v>230716.26000000007</c:v>
                </c:pt>
                <c:pt idx="9">
                  <c:v>228350.18999999997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C2-48EE-AA23-6C906F987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164551"/>
        <c:axId val="20342388"/>
      </c:barChart>
      <c:catAx>
        <c:axId val="65164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342388"/>
        <c:crosses val="autoZero"/>
        <c:auto val="1"/>
        <c:lblAlgn val="ctr"/>
        <c:lblOffset val="100"/>
        <c:noMultiLvlLbl val="0"/>
      </c:catAx>
      <c:valAx>
        <c:axId val="203423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1645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Sales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Dashboard!$B$91</c:f>
              <c:strCache>
                <c:ptCount val="1"/>
                <c:pt idx="0">
                  <c:v>Revenue (Rs.)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A756-4CB2-B8EA-8D03E04D843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756-4CB2-B8EA-8D03E04D843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756-4CB2-B8EA-8D03E04D8431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756-4CB2-B8EA-8D03E04D84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Dashboard!$A$92:$A$93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Dashboard!$B$92:$B$93</c:f>
              <c:numCache>
                <c:formatCode>#,##0</c:formatCode>
                <c:ptCount val="2"/>
                <c:pt idx="0">
                  <c:v>6048775.939999992</c:v>
                </c:pt>
                <c:pt idx="1">
                  <c:v>3178404.0200000037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56-4CB2-B8EA-8D03E04D8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Payment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Dashboard!$E$91</c:f>
              <c:strCache>
                <c:ptCount val="1"/>
                <c:pt idx="0">
                  <c:v>Revenue (Rs.)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ECFF-4001-8389-DAA27D2DCC2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CFF-4001-8389-DAA27D2DCC2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CFF-4001-8389-DAA27D2DCC2C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ECFF-4001-8389-DAA27D2DCC2C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ECFF-4001-8389-DAA27D2DCC2C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ECFF-4001-8389-DAA27D2DCC2C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ECFF-4001-8389-DAA27D2DCC2C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ECFF-4001-8389-DAA27D2DCC2C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ECFF-4001-8389-DAA27D2DCC2C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ECFF-4001-8389-DAA27D2DCC2C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ECFF-4001-8389-DAA27D2DCC2C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ECFF-4001-8389-DAA27D2DCC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Dashboard!$D$92:$D$97</c:f>
              <c:strCache>
                <c:ptCount val="6"/>
                <c:pt idx="0">
                  <c:v>UPI</c:v>
                </c:pt>
                <c:pt idx="1">
                  <c:v>Credit Card</c:v>
                </c:pt>
                <c:pt idx="2">
                  <c:v>Debit Card</c:v>
                </c:pt>
                <c:pt idx="3">
                  <c:v>Cash</c:v>
                </c:pt>
                <c:pt idx="4">
                  <c:v>Net Banking</c:v>
                </c:pt>
                <c:pt idx="5">
                  <c:v>EMI</c:v>
                </c:pt>
              </c:strCache>
            </c:strRef>
          </c:cat>
          <c:val>
            <c:numRef>
              <c:f>Dashboard!$E$92:$E$97</c:f>
              <c:numCache>
                <c:formatCode>#,##0</c:formatCode>
                <c:ptCount val="6"/>
                <c:pt idx="0">
                  <c:v>2619078.1199999996</c:v>
                </c:pt>
                <c:pt idx="1">
                  <c:v>2021009.6799999992</c:v>
                </c:pt>
                <c:pt idx="2">
                  <c:v>1879703.55</c:v>
                </c:pt>
                <c:pt idx="3">
                  <c:v>1763452.5300000012</c:v>
                </c:pt>
                <c:pt idx="4">
                  <c:v>600470.11000000034</c:v>
                </c:pt>
                <c:pt idx="5">
                  <c:v>343465.97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CFF-4001-8389-DAA27D2DC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158040</xdr:rowOff>
    </xdr:from>
    <xdr:to>
      <xdr:col>16</xdr:col>
      <xdr:colOff>221760</xdr:colOff>
      <xdr:row>21</xdr:row>
      <xdr:rowOff>123120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23</xdr:row>
      <xdr:rowOff>101160</xdr:rowOff>
    </xdr:from>
    <xdr:to>
      <xdr:col>16</xdr:col>
      <xdr:colOff>221760</xdr:colOff>
      <xdr:row>38</xdr:row>
      <xdr:rowOff>9000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30</xdr:row>
      <xdr:rowOff>158040</xdr:rowOff>
    </xdr:from>
    <xdr:to>
      <xdr:col>14</xdr:col>
      <xdr:colOff>498240</xdr:colOff>
      <xdr:row>45</xdr:row>
      <xdr:rowOff>65880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47</xdr:row>
      <xdr:rowOff>100800</xdr:rowOff>
    </xdr:from>
    <xdr:to>
      <xdr:col>14</xdr:col>
      <xdr:colOff>498240</xdr:colOff>
      <xdr:row>62</xdr:row>
      <xdr:rowOff>65880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37</xdr:row>
      <xdr:rowOff>158400</xdr:rowOff>
    </xdr:from>
    <xdr:to>
      <xdr:col>16</xdr:col>
      <xdr:colOff>221760</xdr:colOff>
      <xdr:row>52</xdr:row>
      <xdr:rowOff>123120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0</xdr:colOff>
      <xdr:row>52</xdr:row>
      <xdr:rowOff>158040</xdr:rowOff>
    </xdr:from>
    <xdr:to>
      <xdr:col>13</xdr:col>
      <xdr:colOff>332280</xdr:colOff>
      <xdr:row>67</xdr:row>
      <xdr:rowOff>123120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6</xdr:col>
      <xdr:colOff>0</xdr:colOff>
      <xdr:row>69</xdr:row>
      <xdr:rowOff>101160</xdr:rowOff>
    </xdr:from>
    <xdr:to>
      <xdr:col>13</xdr:col>
      <xdr:colOff>332280</xdr:colOff>
      <xdr:row>84</xdr:row>
      <xdr:rowOff>65880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0</xdr:colOff>
      <xdr:row>76</xdr:row>
      <xdr:rowOff>158400</xdr:rowOff>
    </xdr:from>
    <xdr:to>
      <xdr:col>15</xdr:col>
      <xdr:colOff>276840</xdr:colOff>
      <xdr:row>91</xdr:row>
      <xdr:rowOff>66240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7</xdr:col>
      <xdr:colOff>0</xdr:colOff>
      <xdr:row>89</xdr:row>
      <xdr:rowOff>158400</xdr:rowOff>
    </xdr:from>
    <xdr:to>
      <xdr:col>11</xdr:col>
      <xdr:colOff>138240</xdr:colOff>
      <xdr:row>102</xdr:row>
      <xdr:rowOff>144360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11</xdr:col>
      <xdr:colOff>0</xdr:colOff>
      <xdr:row>89</xdr:row>
      <xdr:rowOff>158400</xdr:rowOff>
    </xdr:from>
    <xdr:to>
      <xdr:col>15</xdr:col>
      <xdr:colOff>138240</xdr:colOff>
      <xdr:row>102</xdr:row>
      <xdr:rowOff>144360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SalesTable" displayName="SalesTable" ref="A1:AB3001" totalsRowShown="0">
  <autoFilter ref="A1:AB3001" xr:uid="{00000000-0009-0000-0100-000005000000}"/>
  <tableColumns count="28">
    <tableColumn id="1" xr3:uid="{00000000-0010-0000-0000-000001000000}" name="Invoice No"/>
    <tableColumn id="2" xr3:uid="{00000000-0010-0000-0000-000002000000}" name="Invoice Date"/>
    <tableColumn id="3" xr3:uid="{00000000-0010-0000-0000-000003000000}" name="Customer_ID"/>
    <tableColumn id="4" xr3:uid="{00000000-0010-0000-0000-000004000000}" name="Product_ID"/>
    <tableColumn id="5" xr3:uid="{00000000-0010-0000-0000-000005000000}" name="Store_ID"/>
    <tableColumn id="6" xr3:uid="{00000000-0010-0000-0000-000006000000}" name="Employee_ID"/>
    <tableColumn id="7" xr3:uid="{00000000-0010-0000-0000-000007000000}" name="Quantity"/>
    <tableColumn id="8" xr3:uid="{00000000-0010-0000-0000-000008000000}" name="Unit Price"/>
    <tableColumn id="9" xr3:uid="{00000000-0010-0000-0000-000009000000}" name="Discount %"/>
    <tableColumn id="10" xr3:uid="{00000000-0010-0000-0000-00000A000000}" name="Discount Amount"/>
    <tableColumn id="11" xr3:uid="{00000000-0010-0000-0000-00000B000000}" name="GST %"/>
    <tableColumn id="12" xr3:uid="{00000000-0010-0000-0000-00000C000000}" name="GST Amount"/>
    <tableColumn id="13" xr3:uid="{00000000-0010-0000-0000-00000D000000}" name="Sales Amount"/>
    <tableColumn id="14" xr3:uid="{00000000-0010-0000-0000-00000E000000}" name="Cost Amount"/>
    <tableColumn id="15" xr3:uid="{00000000-0010-0000-0000-00000F000000}" name="Profit"/>
    <tableColumn id="16" xr3:uid="{00000000-0010-0000-0000-000010000000}" name="Payment Mode"/>
    <tableColumn id="17" xr3:uid="{00000000-0010-0000-0000-000011000000}" name="Sales Channel"/>
    <tableColumn id="18" xr3:uid="{00000000-0010-0000-0000-000012000000}" name="Return Status"/>
    <tableColumn id="19" xr3:uid="{00000000-0010-0000-0000-000013000000}" name="Order Time"/>
    <tableColumn id="20" xr3:uid="{00000000-0010-0000-0000-000014000000}" name="Day Type"/>
    <tableColumn id="21" xr3:uid="{00000000-0010-0000-0000-000015000000}" name="Loss_Making_Flag"/>
    <tableColumn id="22" xr3:uid="{00000000-0010-0000-0000-000016000000}" name="Category"/>
    <tableColumn id="23" xr3:uid="{00000000-0010-0000-0000-000017000000}" name="Brand"/>
    <tableColumn id="24" xr3:uid="{00000000-0010-0000-0000-000018000000}" name="Store Name"/>
    <tableColumn id="25" xr3:uid="{00000000-0010-0000-0000-000019000000}" name="Region"/>
    <tableColumn id="26" xr3:uid="{00000000-0010-0000-0000-00001A000000}" name="Membership"/>
    <tableColumn id="27" xr3:uid="{00000000-0010-0000-0000-00001B000000}" name="Month"/>
    <tableColumn id="28" xr3:uid="{00000000-0010-0000-0000-00001C000000}" name="Supplier_I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ustomersTbl" displayName="CustomersTbl" ref="A1:N851" totalsRowShown="0">
  <autoFilter ref="A1:N851" xr:uid="{00000000-0009-0000-0100-000001000000}"/>
  <tableColumns count="14">
    <tableColumn id="1" xr3:uid="{00000000-0010-0000-0100-000001000000}" name="Customer_ID"/>
    <tableColumn id="2" xr3:uid="{00000000-0010-0000-0100-000002000000}" name="Customer Name"/>
    <tableColumn id="3" xr3:uid="{00000000-0010-0000-0100-000003000000}" name="Gender"/>
    <tableColumn id="4" xr3:uid="{00000000-0010-0000-0100-000004000000}" name="DOB"/>
    <tableColumn id="5" xr3:uid="{00000000-0010-0000-0100-000005000000}" name="Phone"/>
    <tableColumn id="6" xr3:uid="{00000000-0010-0000-0100-000006000000}" name="Email"/>
    <tableColumn id="7" xr3:uid="{00000000-0010-0000-0100-000007000000}" name="City"/>
    <tableColumn id="8" xr3:uid="{00000000-0010-0000-0100-000008000000}" name="State"/>
    <tableColumn id="9" xr3:uid="{00000000-0010-0000-0100-000009000000}" name="Region"/>
    <tableColumn id="10" xr3:uid="{00000000-0010-0000-0100-00000A000000}" name="Membership"/>
    <tableColumn id="11" xr3:uid="{00000000-0010-0000-0100-00000B000000}" name="Registration Date"/>
    <tableColumn id="12" xr3:uid="{00000000-0010-0000-0100-00000C000000}" name="Occupation"/>
    <tableColumn id="13" xr3:uid="{00000000-0010-0000-0100-00000D000000}" name="Duplicate_Phone_Flag"/>
    <tableColumn id="14" xr3:uid="{00000000-0010-0000-0100-00000E000000}" name="Invalid_Email_Flag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ProductsTbl" displayName="ProductsTbl" ref="A1:O251" totalsRowShown="0">
  <autoFilter ref="A1:O251" xr:uid="{00000000-0009-0000-0100-000004000000}"/>
  <tableColumns count="15">
    <tableColumn id="1" xr3:uid="{00000000-0010-0000-0200-000001000000}" name="Product_ID"/>
    <tableColumn id="2" xr3:uid="{00000000-0010-0000-0200-000002000000}" name="Product_Name"/>
    <tableColumn id="3" xr3:uid="{00000000-0010-0000-0200-000003000000}" name="Category"/>
    <tableColumn id="4" xr3:uid="{00000000-0010-0000-0200-000004000000}" name="Subcategory"/>
    <tableColumn id="5" xr3:uid="{00000000-0010-0000-0200-000005000000}" name="Brand"/>
    <tableColumn id="6" xr3:uid="{00000000-0010-0000-0200-000006000000}" name="Size"/>
    <tableColumn id="7" xr3:uid="{00000000-0010-0000-0200-000007000000}" name="Color"/>
    <tableColumn id="8" xr3:uid="{00000000-0010-0000-0200-000008000000}" name="Material"/>
    <tableColumn id="9" xr3:uid="{00000000-0010-0000-0200-000009000000}" name="Supplier_ID"/>
    <tableColumn id="10" xr3:uid="{00000000-0010-0000-0200-00000A000000}" name="Cost Price"/>
    <tableColumn id="11" xr3:uid="{00000000-0010-0000-0200-00000B000000}" name="Selling Price"/>
    <tableColumn id="12" xr3:uid="{00000000-0010-0000-0200-00000C000000}" name="MRP"/>
    <tableColumn id="13" xr3:uid="{00000000-0010-0000-0200-00000D000000}" name="Launch Date"/>
    <tableColumn id="14" xr3:uid="{00000000-0010-0000-0200-00000E000000}" name="Status"/>
    <tableColumn id="15" xr3:uid="{00000000-0010-0000-0200-00000F000000}" name="Duplicate_Name_Flag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StoresTbl" displayName="StoresTbl" ref="A1:J121" totalsRowShown="0">
  <autoFilter ref="A1:J121" xr:uid="{00000000-0009-0000-0100-000006000000}"/>
  <tableColumns count="10">
    <tableColumn id="1" xr3:uid="{00000000-0010-0000-0300-000001000000}" name="Store_ID"/>
    <tableColumn id="2" xr3:uid="{00000000-0010-0000-0300-000002000000}" name="Store Name"/>
    <tableColumn id="3" xr3:uid="{00000000-0010-0000-0300-000003000000}" name="City"/>
    <tableColumn id="4" xr3:uid="{00000000-0010-0000-0300-000004000000}" name="State"/>
    <tableColumn id="5" xr3:uid="{00000000-0010-0000-0300-000005000000}" name="Region"/>
    <tableColumn id="6" xr3:uid="{00000000-0010-0000-0300-000006000000}" name="Store Type"/>
    <tableColumn id="7" xr3:uid="{00000000-0010-0000-0300-000007000000}" name="Opening Date"/>
    <tableColumn id="8" xr3:uid="{00000000-0010-0000-0300-000008000000}" name="Monthly Target"/>
    <tableColumn id="9" xr3:uid="{00000000-0010-0000-0300-000009000000}" name="Manager"/>
    <tableColumn id="10" xr3:uid="{00000000-0010-0000-0300-00000A000000}" name="Statu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EmployeesTbl" displayName="EmployeesTbl" ref="A1:I301" totalsRowShown="0">
  <autoFilter ref="A1:I301" xr:uid="{00000000-0009-0000-0100-000003000000}"/>
  <tableColumns count="9">
    <tableColumn id="1" xr3:uid="{00000000-0010-0000-0400-000001000000}" name="Employee_ID"/>
    <tableColumn id="2" xr3:uid="{00000000-0010-0000-0400-000002000000}" name="Employee Name"/>
    <tableColumn id="3" xr3:uid="{00000000-0010-0000-0400-000003000000}" name="Department"/>
    <tableColumn id="4" xr3:uid="{00000000-0010-0000-0400-000004000000}" name="Designation"/>
    <tableColumn id="5" xr3:uid="{00000000-0010-0000-0400-000005000000}" name="Salary"/>
    <tableColumn id="6" xr3:uid="{00000000-0010-0000-0400-000006000000}" name="Joining Date"/>
    <tableColumn id="7" xr3:uid="{00000000-0010-0000-0400-000007000000}" name="Store_ID"/>
    <tableColumn id="8" xr3:uid="{00000000-0010-0000-0400-000008000000}" name="Performance Rating"/>
    <tableColumn id="9" xr3:uid="{00000000-0010-0000-0400-000009000000}" name="Employment Statu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SuppliersTbl" displayName="SuppliersTbl" ref="A1:J91" totalsRowShown="0">
  <autoFilter ref="A1:J91" xr:uid="{00000000-0009-0000-0100-000007000000}"/>
  <tableColumns count="10">
    <tableColumn id="1" xr3:uid="{00000000-0010-0000-0500-000001000000}" name="Supplier_ID"/>
    <tableColumn id="2" xr3:uid="{00000000-0010-0000-0500-000002000000}" name="Supplier Name"/>
    <tableColumn id="3" xr3:uid="{00000000-0010-0000-0500-000003000000}" name="Contact Person"/>
    <tableColumn id="4" xr3:uid="{00000000-0010-0000-0500-000004000000}" name="Phone"/>
    <tableColumn id="5" xr3:uid="{00000000-0010-0000-0500-000005000000}" name="Email"/>
    <tableColumn id="6" xr3:uid="{00000000-0010-0000-0500-000006000000}" name="City"/>
    <tableColumn id="7" xr3:uid="{00000000-0010-0000-0500-000007000000}" name="State"/>
    <tableColumn id="8" xr3:uid="{00000000-0010-0000-0500-000008000000}" name="Lead Time"/>
    <tableColumn id="9" xr3:uid="{00000000-0010-0000-0500-000009000000}" name="Supplier Rating"/>
    <tableColumn id="10" xr3:uid="{00000000-0010-0000-0500-00000A000000}" name="Statu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Data_Cleaning_LogTbl" displayName="Data_Cleaning_LogTbl" ref="A1:C23" totalsRowShown="0">
  <autoFilter ref="A1:C23" xr:uid="{00000000-0009-0000-0100-000002000000}"/>
  <tableColumns count="3">
    <tableColumn id="1" xr3:uid="{00000000-0010-0000-0600-000001000000}" name="Sheet"/>
    <tableColumn id="2" xr3:uid="{00000000-0010-0000-0600-000002000000}" name="Cleaning Action"/>
    <tableColumn id="3" xr3:uid="{00000000-0010-0000-0600-000003000000}" name="Rows Affecte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showGridLines="0" tabSelected="1" zoomScaleNormal="100" workbookViewId="0">
      <selection activeCell="A5" sqref="A5:C5"/>
    </sheetView>
  </sheetViews>
  <sheetFormatPr defaultColWidth="8.7109375" defaultRowHeight="15" x14ac:dyDescent="0.25"/>
  <cols>
    <col min="1" max="16" width="11" customWidth="1"/>
  </cols>
  <sheetData>
    <row r="1" spans="1:16" ht="23.25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4" spans="1:16" x14ac:dyDescent="0.25">
      <c r="A4" s="11" t="s">
        <v>2</v>
      </c>
      <c r="B4" s="11"/>
      <c r="C4" s="11"/>
      <c r="D4" s="10" t="s">
        <v>3</v>
      </c>
      <c r="E4" s="10"/>
      <c r="F4" s="10"/>
      <c r="G4" s="9" t="s">
        <v>4</v>
      </c>
      <c r="H4" s="9"/>
      <c r="I4" s="9"/>
      <c r="J4" s="8" t="s">
        <v>5</v>
      </c>
      <c r="K4" s="8"/>
      <c r="L4" s="8"/>
      <c r="M4" s="7" t="s">
        <v>6</v>
      </c>
      <c r="N4" s="7"/>
      <c r="O4" s="7"/>
    </row>
    <row r="5" spans="1:16" ht="31.5" customHeight="1" x14ac:dyDescent="0.25">
      <c r="A5" s="6">
        <f>SUMIF(Sales_Transactions!$R$2:$R$3001,"&lt;&gt;Void/Cancelled",Sales_Transactions!$M$2:$M$3001)</f>
        <v>9227179.9599999841</v>
      </c>
      <c r="B5" s="6"/>
      <c r="C5" s="6"/>
      <c r="D5" s="5">
        <f>SUMIF(Sales_Transactions!$R$2:$R$3001,"&lt;&gt;Void/Cancelled",Sales_Transactions!$O$2:$O$3001)</f>
        <v>1801437.1199999992</v>
      </c>
      <c r="E5" s="5"/>
      <c r="F5" s="5"/>
      <c r="G5" s="4">
        <f>D5/A5</f>
        <v>0.19523160140034834</v>
      </c>
      <c r="H5" s="4"/>
      <c r="I5" s="4"/>
      <c r="J5" s="3">
        <f>COUNTIF(Sales_Transactions!$R$2:$R$3001,"&lt;&gt;Void/Cancelled")</f>
        <v>2948</v>
      </c>
      <c r="K5" s="3"/>
      <c r="L5" s="3"/>
      <c r="M5" s="2">
        <f>COUNTIF(Sales_Transactions!$R$2:$R$3001,"Returned")/COUNTIF(Sales_Transactions!$R$2:$R$3001,"&lt;&gt;Void/Cancelled")</f>
        <v>4.7829036635006782E-2</v>
      </c>
      <c r="N5" s="2"/>
      <c r="O5" s="2"/>
    </row>
    <row r="7" spans="1:16" ht="19.5" customHeight="1" x14ac:dyDescent="0.25">
      <c r="A7" s="1" t="s">
        <v>7</v>
      </c>
      <c r="B7" s="1"/>
      <c r="C7" s="1"/>
      <c r="D7" s="1"/>
      <c r="E7" s="1"/>
      <c r="F7" s="1"/>
      <c r="G7" s="1"/>
      <c r="H7" s="1"/>
    </row>
    <row r="8" spans="1:16" x14ac:dyDescent="0.25">
      <c r="A8" s="14" t="s">
        <v>8</v>
      </c>
      <c r="B8" s="14" t="s">
        <v>9</v>
      </c>
      <c r="C8" s="14" t="s">
        <v>10</v>
      </c>
      <c r="D8" s="14" t="s">
        <v>11</v>
      </c>
      <c r="E8" s="14" t="s">
        <v>6</v>
      </c>
    </row>
    <row r="9" spans="1:16" x14ac:dyDescent="0.25">
      <c r="A9" s="15" t="s">
        <v>12</v>
      </c>
      <c r="B9" s="16">
        <f>SUMIFS(Sales_Transactions!$M$2:$M$3001,Sales_Transactions!$V$2:$V$3001,$A9,Sales_Transactions!$R$2:$R$3001,"&lt;&gt;Void/Cancelled")</f>
        <v>1103017.8199999996</v>
      </c>
      <c r="C9" s="16">
        <f>SUMIFS(Sales_Transactions!$O$2:$O$3001,Sales_Transactions!$V$2:$V$3001,$A9,Sales_Transactions!$R$2:$R$3001,"&lt;&gt;Void/Cancelled")</f>
        <v>202347.56999999992</v>
      </c>
      <c r="D9" s="17">
        <f t="shared" ref="D9:D29" si="0">IFERROR(C9/B9,0)</f>
        <v>0.18344904890113198</v>
      </c>
      <c r="E9" s="17">
        <f>IFERROR(COUNTIFS(Sales_Transactions!$V$2:$V$3001,$A9,Sales_Transactions!$R$2:$R$3001,"Returned")/COUNTIFS(Sales_Transactions!$V$2:$V$3001,$A9,Sales_Transactions!$R$2:$R$3001,"&lt;&gt;Void/Cancelled"),0)</f>
        <v>2.185792349726776E-2</v>
      </c>
    </row>
    <row r="10" spans="1:16" x14ac:dyDescent="0.25">
      <c r="A10" s="15" t="s">
        <v>13</v>
      </c>
      <c r="B10" s="16">
        <f>SUMIFS(Sales_Transactions!$M$2:$M$3001,Sales_Transactions!$V$2:$V$3001,$A10,Sales_Transactions!$R$2:$R$3001,"&lt;&gt;Void/Cancelled")</f>
        <v>994021.98</v>
      </c>
      <c r="C10" s="16">
        <f>SUMIFS(Sales_Transactions!$O$2:$O$3001,Sales_Transactions!$V$2:$V$3001,$A10,Sales_Transactions!$R$2:$R$3001,"&lt;&gt;Void/Cancelled")</f>
        <v>213659</v>
      </c>
      <c r="D10" s="17">
        <f t="shared" si="0"/>
        <v>0.21494393916722043</v>
      </c>
      <c r="E10" s="17">
        <f>IFERROR(COUNTIFS(Sales_Transactions!$V$2:$V$3001,$A10,Sales_Transactions!$R$2:$R$3001,"Returned")/COUNTIFS(Sales_Transactions!$V$2:$V$3001,$A10,Sales_Transactions!$R$2:$R$3001,"&lt;&gt;Void/Cancelled"),0)</f>
        <v>0.2722772277227723</v>
      </c>
    </row>
    <row r="11" spans="1:16" x14ac:dyDescent="0.25">
      <c r="A11" s="15" t="s">
        <v>14</v>
      </c>
      <c r="B11" s="16">
        <f>SUMIFS(Sales_Transactions!$M$2:$M$3001,Sales_Transactions!$V$2:$V$3001,$A11,Sales_Transactions!$R$2:$R$3001,"&lt;&gt;Void/Cancelled")</f>
        <v>937502.17999999993</v>
      </c>
      <c r="C11" s="16">
        <f>SUMIFS(Sales_Transactions!$O$2:$O$3001,Sales_Transactions!$V$2:$V$3001,$A11,Sales_Transactions!$R$2:$R$3001,"&lt;&gt;Void/Cancelled")</f>
        <v>181304.56000000014</v>
      </c>
      <c r="D11" s="17">
        <f t="shared" si="0"/>
        <v>0.19339108096793989</v>
      </c>
      <c r="E11" s="17">
        <f>IFERROR(COUNTIFS(Sales_Transactions!$V$2:$V$3001,$A11,Sales_Transactions!$R$2:$R$3001,"Returned")/COUNTIFS(Sales_Transactions!$V$2:$V$3001,$A11,Sales_Transactions!$R$2:$R$3001,"&lt;&gt;Void/Cancelled"),0)</f>
        <v>3.2520325203252036E-2</v>
      </c>
    </row>
    <row r="12" spans="1:16" x14ac:dyDescent="0.25">
      <c r="A12" s="15" t="s">
        <v>15</v>
      </c>
      <c r="B12" s="16">
        <f>SUMIFS(Sales_Transactions!$M$2:$M$3001,Sales_Transactions!$V$2:$V$3001,$A12,Sales_Transactions!$R$2:$R$3001,"&lt;&gt;Void/Cancelled")</f>
        <v>850930.2</v>
      </c>
      <c r="C12" s="16">
        <f>SUMIFS(Sales_Transactions!$O$2:$O$3001,Sales_Transactions!$V$2:$V$3001,$A12,Sales_Transactions!$R$2:$R$3001,"&lt;&gt;Void/Cancelled")</f>
        <v>150422.21000000005</v>
      </c>
      <c r="D12" s="17">
        <f t="shared" si="0"/>
        <v>0.17677385289651262</v>
      </c>
      <c r="E12" s="17">
        <f>IFERROR(COUNTIFS(Sales_Transactions!$V$2:$V$3001,$A12,Sales_Transactions!$R$2:$R$3001,"Returned")/COUNTIFS(Sales_Transactions!$V$2:$V$3001,$A12,Sales_Transactions!$R$2:$R$3001,"&lt;&gt;Void/Cancelled"),0)</f>
        <v>4.7619047619047616E-2</v>
      </c>
    </row>
    <row r="13" spans="1:16" x14ac:dyDescent="0.25">
      <c r="A13" s="15" t="s">
        <v>16</v>
      </c>
      <c r="B13" s="16">
        <f>SUMIFS(Sales_Transactions!$M$2:$M$3001,Sales_Transactions!$V$2:$V$3001,$A13,Sales_Transactions!$R$2:$R$3001,"&lt;&gt;Void/Cancelled")</f>
        <v>648333.4300000004</v>
      </c>
      <c r="C13" s="16">
        <f>SUMIFS(Sales_Transactions!$O$2:$O$3001,Sales_Transactions!$V$2:$V$3001,$A13,Sales_Transactions!$R$2:$R$3001,"&lt;&gt;Void/Cancelled")</f>
        <v>108303.10999999999</v>
      </c>
      <c r="D13" s="17">
        <f t="shared" si="0"/>
        <v>0.16704847380768245</v>
      </c>
      <c r="E13" s="17">
        <f>IFERROR(COUNTIFS(Sales_Transactions!$V$2:$V$3001,$A13,Sales_Transactions!$R$2:$R$3001,"Returned")/COUNTIFS(Sales_Transactions!$V$2:$V$3001,$A13,Sales_Transactions!$R$2:$R$3001,"&lt;&gt;Void/Cancelled"),0)</f>
        <v>3.9301310043668124E-2</v>
      </c>
    </row>
    <row r="14" spans="1:16" x14ac:dyDescent="0.25">
      <c r="A14" s="15" t="s">
        <v>17</v>
      </c>
      <c r="B14" s="16">
        <f>SUMIFS(Sales_Transactions!$M$2:$M$3001,Sales_Transactions!$V$2:$V$3001,$A14,Sales_Transactions!$R$2:$R$3001,"&lt;&gt;Void/Cancelled")</f>
        <v>521388.97000000003</v>
      </c>
      <c r="C14" s="16">
        <f>SUMIFS(Sales_Transactions!$O$2:$O$3001,Sales_Transactions!$V$2:$V$3001,$A14,Sales_Transactions!$R$2:$R$3001,"&lt;&gt;Void/Cancelled")</f>
        <v>89384.640000000014</v>
      </c>
      <c r="D14" s="17">
        <f t="shared" si="0"/>
        <v>0.17143561744315383</v>
      </c>
      <c r="E14" s="17">
        <f>IFERROR(COUNTIFS(Sales_Transactions!$V$2:$V$3001,$A14,Sales_Transactions!$R$2:$R$3001,"Returned")/COUNTIFS(Sales_Transactions!$V$2:$V$3001,$A14,Sales_Transactions!$R$2:$R$3001,"&lt;&gt;Void/Cancelled"),0)</f>
        <v>2.8037383177570093E-2</v>
      </c>
    </row>
    <row r="15" spans="1:16" x14ac:dyDescent="0.25">
      <c r="A15" s="15" t="s">
        <v>18</v>
      </c>
      <c r="B15" s="16">
        <f>SUMIFS(Sales_Transactions!$M$2:$M$3001,Sales_Transactions!$V$2:$V$3001,$A15,Sales_Transactions!$R$2:$R$3001,"&lt;&gt;Void/Cancelled")</f>
        <v>508021.06000000011</v>
      </c>
      <c r="C15" s="16">
        <f>SUMIFS(Sales_Transactions!$O$2:$O$3001,Sales_Transactions!$V$2:$V$3001,$A15,Sales_Transactions!$R$2:$R$3001,"&lt;&gt;Void/Cancelled")</f>
        <v>96328.00999999998</v>
      </c>
      <c r="D15" s="17">
        <f t="shared" si="0"/>
        <v>0.18961420615121735</v>
      </c>
      <c r="E15" s="17">
        <f>IFERROR(COUNTIFS(Sales_Transactions!$V$2:$V$3001,$A15,Sales_Transactions!$R$2:$R$3001,"Returned")/COUNTIFS(Sales_Transactions!$V$2:$V$3001,$A15,Sales_Transactions!$R$2:$R$3001,"&lt;&gt;Void/Cancelled"),0)</f>
        <v>2.9126213592233011E-2</v>
      </c>
    </row>
    <row r="16" spans="1:16" x14ac:dyDescent="0.25">
      <c r="A16" s="15" t="s">
        <v>19</v>
      </c>
      <c r="B16" s="16">
        <f>SUMIFS(Sales_Transactions!$M$2:$M$3001,Sales_Transactions!$V$2:$V$3001,$A16,Sales_Transactions!$R$2:$R$3001,"&lt;&gt;Void/Cancelled")</f>
        <v>504452.20999999961</v>
      </c>
      <c r="C16" s="16">
        <f>SUMIFS(Sales_Transactions!$O$2:$O$3001,Sales_Transactions!$V$2:$V$3001,$A16,Sales_Transactions!$R$2:$R$3001,"&lt;&gt;Void/Cancelled")</f>
        <v>92155.45000000007</v>
      </c>
      <c r="D16" s="17">
        <f t="shared" si="0"/>
        <v>0.18268420312798339</v>
      </c>
      <c r="E16" s="17">
        <f>IFERROR(COUNTIFS(Sales_Transactions!$V$2:$V$3001,$A16,Sales_Transactions!$R$2:$R$3001,"Returned")/COUNTIFS(Sales_Transactions!$V$2:$V$3001,$A16,Sales_Transactions!$R$2:$R$3001,"&lt;&gt;Void/Cancelled"),0)</f>
        <v>1.4150943396226415E-2</v>
      </c>
    </row>
    <row r="17" spans="1:9" x14ac:dyDescent="0.25">
      <c r="A17" s="15" t="s">
        <v>20</v>
      </c>
      <c r="B17" s="16">
        <f>SUMIFS(Sales_Transactions!$M$2:$M$3001,Sales_Transactions!$V$2:$V$3001,$A17,Sales_Transactions!$R$2:$R$3001,"&lt;&gt;Void/Cancelled")</f>
        <v>408431.13999999972</v>
      </c>
      <c r="C17" s="16">
        <f>SUMIFS(Sales_Transactions!$O$2:$O$3001,Sales_Transactions!$V$2:$V$3001,$A17,Sales_Transactions!$R$2:$R$3001,"&lt;&gt;Void/Cancelled")</f>
        <v>82676.47</v>
      </c>
      <c r="D17" s="17">
        <f t="shared" si="0"/>
        <v>0.20242450171649512</v>
      </c>
      <c r="E17" s="17">
        <f>IFERROR(COUNTIFS(Sales_Transactions!$V$2:$V$3001,$A17,Sales_Transactions!$R$2:$R$3001,"Returned")/COUNTIFS(Sales_Transactions!$V$2:$V$3001,$A17,Sales_Transactions!$R$2:$R$3001,"&lt;&gt;Void/Cancelled"),0)</f>
        <v>1.7937219730941704E-2</v>
      </c>
    </row>
    <row r="18" spans="1:9" x14ac:dyDescent="0.25">
      <c r="A18" s="15" t="s">
        <v>21</v>
      </c>
      <c r="B18" s="16">
        <f>SUMIFS(Sales_Transactions!$M$2:$M$3001,Sales_Transactions!$V$2:$V$3001,$A18,Sales_Transactions!$R$2:$R$3001,"&lt;&gt;Void/Cancelled")</f>
        <v>390745.41000000003</v>
      </c>
      <c r="C18" s="16">
        <f>SUMIFS(Sales_Transactions!$O$2:$O$3001,Sales_Transactions!$V$2:$V$3001,$A18,Sales_Transactions!$R$2:$R$3001,"&lt;&gt;Void/Cancelled")</f>
        <v>82000.539999999994</v>
      </c>
      <c r="D18" s="17">
        <f t="shared" si="0"/>
        <v>0.20985669415796845</v>
      </c>
      <c r="E18" s="17">
        <f>IFERROR(COUNTIFS(Sales_Transactions!$V$2:$V$3001,$A18,Sales_Transactions!$R$2:$R$3001,"Returned")/COUNTIFS(Sales_Transactions!$V$2:$V$3001,$A18,Sales_Transactions!$R$2:$R$3001,"&lt;&gt;Void/Cancelled"),0)</f>
        <v>4.4642857142857144E-2</v>
      </c>
    </row>
    <row r="19" spans="1:9" x14ac:dyDescent="0.25">
      <c r="A19" s="15" t="s">
        <v>22</v>
      </c>
      <c r="B19" s="16">
        <f>SUMIFS(Sales_Transactions!$M$2:$M$3001,Sales_Transactions!$V$2:$V$3001,$A19,Sales_Transactions!$R$2:$R$3001,"&lt;&gt;Void/Cancelled")</f>
        <v>313703.63</v>
      </c>
      <c r="C19" s="16">
        <f>SUMIFS(Sales_Transactions!$O$2:$O$3001,Sales_Transactions!$V$2:$V$3001,$A19,Sales_Transactions!$R$2:$R$3001,"&lt;&gt;Void/Cancelled")</f>
        <v>64627.610000000044</v>
      </c>
      <c r="D19" s="17">
        <f t="shared" si="0"/>
        <v>0.20601486186181539</v>
      </c>
      <c r="E19" s="17">
        <f>IFERROR(COUNTIFS(Sales_Transactions!$V$2:$V$3001,$A19,Sales_Transactions!$R$2:$R$3001,"Returned")/COUNTIFS(Sales_Transactions!$V$2:$V$3001,$A19,Sales_Transactions!$R$2:$R$3001,"&lt;&gt;Void/Cancelled"),0)</f>
        <v>4.784688995215311E-2</v>
      </c>
    </row>
    <row r="20" spans="1:9" x14ac:dyDescent="0.25">
      <c r="A20" s="15" t="s">
        <v>23</v>
      </c>
      <c r="B20" s="16">
        <f>SUMIFS(Sales_Transactions!$M$2:$M$3001,Sales_Transactions!$V$2:$V$3001,$A20,Sales_Transactions!$R$2:$R$3001,"&lt;&gt;Void/Cancelled")</f>
        <v>312534.72000000015</v>
      </c>
      <c r="C20" s="16">
        <f>SUMIFS(Sales_Transactions!$O$2:$O$3001,Sales_Transactions!$V$2:$V$3001,$A20,Sales_Transactions!$R$2:$R$3001,"&lt;&gt;Void/Cancelled")</f>
        <v>94494.790000000008</v>
      </c>
      <c r="D20" s="17">
        <f t="shared" si="0"/>
        <v>0.30234973573496077</v>
      </c>
      <c r="E20" s="17">
        <f>IFERROR(COUNTIFS(Sales_Transactions!$V$2:$V$3001,$A20,Sales_Transactions!$R$2:$R$3001,"Returned")/COUNTIFS(Sales_Transactions!$V$2:$V$3001,$A20,Sales_Transactions!$R$2:$R$3001,"&lt;&gt;Void/Cancelled"),0)</f>
        <v>3.5714285714285712E-2</v>
      </c>
    </row>
    <row r="21" spans="1:9" x14ac:dyDescent="0.25">
      <c r="A21" s="15" t="s">
        <v>24</v>
      </c>
      <c r="B21" s="16">
        <f>SUMIFS(Sales_Transactions!$M$2:$M$3001,Sales_Transactions!$V$2:$V$3001,$A21,Sales_Transactions!$R$2:$R$3001,"&lt;&gt;Void/Cancelled")</f>
        <v>277306.93</v>
      </c>
      <c r="C21" s="16">
        <f>SUMIFS(Sales_Transactions!$O$2:$O$3001,Sales_Transactions!$V$2:$V$3001,$A21,Sales_Transactions!$R$2:$R$3001,"&lt;&gt;Void/Cancelled")</f>
        <v>41174.839999999975</v>
      </c>
      <c r="D21" s="17">
        <f t="shared" si="0"/>
        <v>0.14848110719771762</v>
      </c>
      <c r="E21" s="17">
        <f>IFERROR(COUNTIFS(Sales_Transactions!$V$2:$V$3001,$A21,Sales_Transactions!$R$2:$R$3001,"Returned")/COUNTIFS(Sales_Transactions!$V$2:$V$3001,$A21,Sales_Transactions!$R$2:$R$3001,"&lt;&gt;Void/Cancelled"),0)</f>
        <v>1.6949152542372881E-2</v>
      </c>
    </row>
    <row r="22" spans="1:9" x14ac:dyDescent="0.25">
      <c r="A22" s="15" t="s">
        <v>25</v>
      </c>
      <c r="B22" s="16">
        <f>SUMIFS(Sales_Transactions!$M$2:$M$3001,Sales_Transactions!$V$2:$V$3001,$A22,Sales_Transactions!$R$2:$R$3001,"&lt;&gt;Void/Cancelled")</f>
        <v>259644.52000000014</v>
      </c>
      <c r="C22" s="16">
        <f>SUMIFS(Sales_Transactions!$O$2:$O$3001,Sales_Transactions!$V$2:$V$3001,$A22,Sales_Transactions!$R$2:$R$3001,"&lt;&gt;Void/Cancelled")</f>
        <v>49595.820000000007</v>
      </c>
      <c r="D22" s="17">
        <f t="shared" si="0"/>
        <v>0.1910143144942939</v>
      </c>
      <c r="E22" s="17">
        <f>IFERROR(COUNTIFS(Sales_Transactions!$V$2:$V$3001,$A22,Sales_Transactions!$R$2:$R$3001,"Returned")/COUNTIFS(Sales_Transactions!$V$2:$V$3001,$A22,Sales_Transactions!$R$2:$R$3001,"&lt;&gt;Void/Cancelled"),0)</f>
        <v>1.6393442622950821E-2</v>
      </c>
    </row>
    <row r="23" spans="1:9" x14ac:dyDescent="0.25">
      <c r="A23" s="15" t="s">
        <v>26</v>
      </c>
      <c r="B23" s="16">
        <f>SUMIFS(Sales_Transactions!$M$2:$M$3001,Sales_Transactions!$V$2:$V$3001,$A23,Sales_Transactions!$R$2:$R$3001,"&lt;&gt;Void/Cancelled")</f>
        <v>258906.38999999993</v>
      </c>
      <c r="C23" s="16">
        <f>SUMIFS(Sales_Transactions!$O$2:$O$3001,Sales_Transactions!$V$2:$V$3001,$A23,Sales_Transactions!$R$2:$R$3001,"&lt;&gt;Void/Cancelled")</f>
        <v>45490.939999999995</v>
      </c>
      <c r="D23" s="17">
        <f t="shared" si="0"/>
        <v>0.17570419949851376</v>
      </c>
      <c r="E23" s="17">
        <f>IFERROR(COUNTIFS(Sales_Transactions!$V$2:$V$3001,$A23,Sales_Transactions!$R$2:$R$3001,"Returned")/COUNTIFS(Sales_Transactions!$V$2:$V$3001,$A23,Sales_Transactions!$R$2:$R$3001,"&lt;&gt;Void/Cancelled"),0)</f>
        <v>2.1739130434782608E-2</v>
      </c>
    </row>
    <row r="24" spans="1:9" x14ac:dyDescent="0.25">
      <c r="A24" s="15" t="s">
        <v>27</v>
      </c>
      <c r="B24" s="16">
        <f>SUMIFS(Sales_Transactions!$M$2:$M$3001,Sales_Transactions!$V$2:$V$3001,$A24,Sales_Transactions!$R$2:$R$3001,"&lt;&gt;Void/Cancelled")</f>
        <v>206033.28999999995</v>
      </c>
      <c r="C24" s="16">
        <f>SUMIFS(Sales_Transactions!$O$2:$O$3001,Sales_Transactions!$V$2:$V$3001,$A24,Sales_Transactions!$R$2:$R$3001,"&lt;&gt;Void/Cancelled")</f>
        <v>42136.12000000001</v>
      </c>
      <c r="D24" s="17">
        <f t="shared" si="0"/>
        <v>0.2045112224340058</v>
      </c>
      <c r="E24" s="17">
        <f>IFERROR(COUNTIFS(Sales_Transactions!$V$2:$V$3001,$A24,Sales_Transactions!$R$2:$R$3001,"Returned")/COUNTIFS(Sales_Transactions!$V$2:$V$3001,$A24,Sales_Transactions!$R$2:$R$3001,"&lt;&gt;Void/Cancelled"),0)</f>
        <v>4.4444444444444446E-2</v>
      </c>
    </row>
    <row r="25" spans="1:9" x14ac:dyDescent="0.25">
      <c r="A25" s="15" t="s">
        <v>28</v>
      </c>
      <c r="B25" s="16">
        <f>SUMIFS(Sales_Transactions!$M$2:$M$3001,Sales_Transactions!$V$2:$V$3001,$A25,Sales_Transactions!$R$2:$R$3001,"&lt;&gt;Void/Cancelled")</f>
        <v>184667.2300000001</v>
      </c>
      <c r="C25" s="16">
        <f>SUMIFS(Sales_Transactions!$O$2:$O$3001,Sales_Transactions!$V$2:$V$3001,$A25,Sales_Transactions!$R$2:$R$3001,"&lt;&gt;Void/Cancelled")</f>
        <v>35427.94000000001</v>
      </c>
      <c r="D25" s="17">
        <f t="shared" si="0"/>
        <v>0.19184746530285851</v>
      </c>
      <c r="E25" s="17">
        <f>IFERROR(COUNTIFS(Sales_Transactions!$V$2:$V$3001,$A25,Sales_Transactions!$R$2:$R$3001,"Returned")/COUNTIFS(Sales_Transactions!$V$2:$V$3001,$A25,Sales_Transactions!$R$2:$R$3001,"&lt;&gt;Void/Cancelled"),0)</f>
        <v>0.04</v>
      </c>
    </row>
    <row r="26" spans="1:9" x14ac:dyDescent="0.25">
      <c r="A26" s="15" t="s">
        <v>29</v>
      </c>
      <c r="B26" s="16">
        <f>SUMIFS(Sales_Transactions!$M$2:$M$3001,Sales_Transactions!$V$2:$V$3001,$A26,Sales_Transactions!$R$2:$R$3001,"&lt;&gt;Void/Cancelled")</f>
        <v>184043.76000000004</v>
      </c>
      <c r="C26" s="16">
        <f>SUMIFS(Sales_Transactions!$O$2:$O$3001,Sales_Transactions!$V$2:$V$3001,$A26,Sales_Transactions!$R$2:$R$3001,"&lt;&gt;Void/Cancelled")</f>
        <v>33376.600000000006</v>
      </c>
      <c r="D26" s="17">
        <f t="shared" si="0"/>
        <v>0.1813514351152139</v>
      </c>
      <c r="E26" s="17">
        <f>IFERROR(COUNTIFS(Sales_Transactions!$V$2:$V$3001,$A26,Sales_Transactions!$R$2:$R$3001,"Returned")/COUNTIFS(Sales_Transactions!$V$2:$V$3001,$A26,Sales_Transactions!$R$2:$R$3001,"&lt;&gt;Void/Cancelled"),0)</f>
        <v>2.5974025974025976E-2</v>
      </c>
    </row>
    <row r="27" spans="1:9" x14ac:dyDescent="0.25">
      <c r="A27" s="15" t="s">
        <v>30</v>
      </c>
      <c r="B27" s="16">
        <f>SUMIFS(Sales_Transactions!$M$2:$M$3001,Sales_Transactions!$V$2:$V$3001,$A27,Sales_Transactions!$R$2:$R$3001,"&lt;&gt;Void/Cancelled")</f>
        <v>179789.99000000005</v>
      </c>
      <c r="C27" s="16">
        <f>SUMIFS(Sales_Transactions!$O$2:$O$3001,Sales_Transactions!$V$2:$V$3001,$A27,Sales_Transactions!$R$2:$R$3001,"&lt;&gt;Void/Cancelled")</f>
        <v>36539.929999999986</v>
      </c>
      <c r="D27" s="17">
        <f t="shared" si="0"/>
        <v>0.2032367319226169</v>
      </c>
      <c r="E27" s="17">
        <f>IFERROR(COUNTIFS(Sales_Transactions!$V$2:$V$3001,$A27,Sales_Transactions!$R$2:$R$3001,"Returned")/COUNTIFS(Sales_Transactions!$V$2:$V$3001,$A27,Sales_Transactions!$R$2:$R$3001,"&lt;&gt;Void/Cancelled"),0)</f>
        <v>6.6666666666666666E-2</v>
      </c>
    </row>
    <row r="28" spans="1:9" x14ac:dyDescent="0.25">
      <c r="A28" s="15" t="s">
        <v>31</v>
      </c>
      <c r="B28" s="16">
        <f>SUMIFS(Sales_Transactions!$M$2:$M$3001,Sales_Transactions!$V$2:$V$3001,$A28,Sales_Transactions!$R$2:$R$3001,"&lt;&gt;Void/Cancelled")</f>
        <v>166486.52000000002</v>
      </c>
      <c r="C28" s="16">
        <f>SUMIFS(Sales_Transactions!$O$2:$O$3001,Sales_Transactions!$V$2:$V$3001,$A28,Sales_Transactions!$R$2:$R$3001,"&lt;&gt;Void/Cancelled")</f>
        <v>54885.24</v>
      </c>
      <c r="D28" s="17">
        <f t="shared" si="0"/>
        <v>0.3296677713006434</v>
      </c>
      <c r="E28" s="17">
        <f>IFERROR(COUNTIFS(Sales_Transactions!$V$2:$V$3001,$A28,Sales_Transactions!$R$2:$R$3001,"Returned")/COUNTIFS(Sales_Transactions!$V$2:$V$3001,$A28,Sales_Transactions!$R$2:$R$3001,"&lt;&gt;Void/Cancelled"),0)</f>
        <v>2.5210084033613446E-2</v>
      </c>
    </row>
    <row r="29" spans="1:9" x14ac:dyDescent="0.25">
      <c r="A29" s="15" t="s">
        <v>32</v>
      </c>
      <c r="B29" s="16">
        <f>SUMIFS(Sales_Transactions!$M$2:$M$3001,Sales_Transactions!$V$2:$V$3001,$A29,Sales_Transactions!$R$2:$R$3001,"&lt;&gt;Void/Cancelled")</f>
        <v>17218.580000000002</v>
      </c>
      <c r="C29" s="16">
        <f>SUMIFS(Sales_Transactions!$O$2:$O$3001,Sales_Transactions!$V$2:$V$3001,$A29,Sales_Transactions!$R$2:$R$3001,"&lt;&gt;Void/Cancelled")</f>
        <v>5105.7299999999996</v>
      </c>
      <c r="D29" s="17">
        <f t="shared" si="0"/>
        <v>0.29652445207444511</v>
      </c>
      <c r="E29" s="17">
        <f>IFERROR(COUNTIFS(Sales_Transactions!$V$2:$V$3001,$A29,Sales_Transactions!$R$2:$R$3001,"Returned")/COUNTIFS(Sales_Transactions!$V$2:$V$3001,$A29,Sales_Transactions!$R$2:$R$3001,"&lt;&gt;Void/Cancelled"),0)</f>
        <v>0</v>
      </c>
    </row>
    <row r="31" spans="1:9" ht="19.5" customHeight="1" x14ac:dyDescent="0.25">
      <c r="A31" s="1" t="s">
        <v>33</v>
      </c>
      <c r="B31" s="1"/>
      <c r="C31" s="1"/>
      <c r="D31" s="1"/>
      <c r="E31" s="1"/>
      <c r="F31" s="1"/>
      <c r="G31" s="1"/>
      <c r="H31" s="1"/>
    </row>
    <row r="32" spans="1:9" x14ac:dyDescent="0.25">
      <c r="A32" s="14" t="s">
        <v>34</v>
      </c>
      <c r="B32" s="14" t="s">
        <v>9</v>
      </c>
      <c r="C32" s="14" t="s">
        <v>35</v>
      </c>
      <c r="D32" s="14" t="s">
        <v>36</v>
      </c>
      <c r="F32" s="14" t="s">
        <v>37</v>
      </c>
      <c r="G32" s="14" t="s">
        <v>9</v>
      </c>
      <c r="H32" s="14" t="s">
        <v>35</v>
      </c>
      <c r="I32" s="14" t="s">
        <v>36</v>
      </c>
    </row>
    <row r="33" spans="1:10" x14ac:dyDescent="0.25">
      <c r="A33" s="15" t="s">
        <v>38</v>
      </c>
      <c r="B33" s="16">
        <f>SUMIFS(Sales_Transactions!$M$2:$M$3001,Sales_Transactions!$Y$2:$Y$3001,$A33,Sales_Transactions!$R$2:$R$3001,"&lt;&gt;Void/Cancelled")</f>
        <v>4463451.9400000088</v>
      </c>
      <c r="C33" s="16">
        <f>COUNTIFS(Sales_Transactions!$Y$2:$Y$3001,$A33,Sales_Transactions!$R$2:$R$3001,"&lt;&gt;Void/Cancelled")</f>
        <v>1449</v>
      </c>
      <c r="D33" s="16">
        <f>IFERROR(B33/C33,0)</f>
        <v>3080.3671083505928</v>
      </c>
      <c r="F33" s="15" t="s">
        <v>39</v>
      </c>
      <c r="G33" s="16">
        <f>SUMIFS(Sales_Transactions!$M$2:$M$3001,Sales_Transactions!$Z$2:$Z$3001,$F33,Sales_Transactions!$R$2:$R$3001,"&lt;&gt;Void/Cancelled")</f>
        <v>2558088.3400000008</v>
      </c>
      <c r="H33" s="16">
        <f>COUNTIFS(Sales_Transactions!$Z$2:$Z$3001,$F33,Sales_Transactions!$R$2:$R$3001,"&lt;&gt;Void/Cancelled")</f>
        <v>669</v>
      </c>
      <c r="I33" s="16">
        <f>IFERROR(G33/H33,0)</f>
        <v>3823.7493871449938</v>
      </c>
    </row>
    <row r="34" spans="1:10" x14ac:dyDescent="0.25">
      <c r="A34" s="15" t="s">
        <v>40</v>
      </c>
      <c r="B34" s="16">
        <f>SUMIFS(Sales_Transactions!$M$2:$M$3001,Sales_Transactions!$Y$2:$Y$3001,$A34,Sales_Transactions!$R$2:$R$3001,"&lt;&gt;Void/Cancelled")</f>
        <v>2554815.9000000018</v>
      </c>
      <c r="C34" s="16">
        <f>COUNTIFS(Sales_Transactions!$Y$2:$Y$3001,$A34,Sales_Transactions!$R$2:$R$3001,"&lt;&gt;Void/Cancelled")</f>
        <v>792</v>
      </c>
      <c r="D34" s="16">
        <f>IFERROR(B34/C34,0)</f>
        <v>3225.7776515151536</v>
      </c>
      <c r="F34" s="15" t="s">
        <v>41</v>
      </c>
      <c r="G34" s="16">
        <f>SUMIFS(Sales_Transactions!$M$2:$M$3001,Sales_Transactions!$Z$2:$Z$3001,$F34,Sales_Transactions!$R$2:$R$3001,"&lt;&gt;Void/Cancelled")</f>
        <v>806954.82000000053</v>
      </c>
      <c r="H34" s="16">
        <f>COUNTIFS(Sales_Transactions!$Z$2:$Z$3001,$F34,Sales_Transactions!$R$2:$R$3001,"&lt;&gt;Void/Cancelled")</f>
        <v>289</v>
      </c>
      <c r="I34" s="16">
        <f>IFERROR(G34/H34,0)</f>
        <v>2792.2312110726662</v>
      </c>
    </row>
    <row r="35" spans="1:10" x14ac:dyDescent="0.25">
      <c r="A35" s="15" t="s">
        <v>42</v>
      </c>
      <c r="B35" s="16">
        <f>SUMIFS(Sales_Transactions!$M$2:$M$3001,Sales_Transactions!$Y$2:$Y$3001,$A35,Sales_Transactions!$R$2:$R$3001,"&lt;&gt;Void/Cancelled")</f>
        <v>2208912.1200000015</v>
      </c>
      <c r="C35" s="16">
        <f>COUNTIFS(Sales_Transactions!$Y$2:$Y$3001,$A35,Sales_Transactions!$R$2:$R$3001,"&lt;&gt;Void/Cancelled")</f>
        <v>707</v>
      </c>
      <c r="D35" s="16">
        <f>IFERROR(B35/C35,0)</f>
        <v>3124.3452899575691</v>
      </c>
      <c r="F35" s="15" t="s">
        <v>43</v>
      </c>
      <c r="G35" s="16">
        <f>SUMIFS(Sales_Transactions!$M$2:$M$3001,Sales_Transactions!$Z$2:$Z$3001,$F35,Sales_Transactions!$R$2:$R$3001,"&lt;&gt;Void/Cancelled")</f>
        <v>2863695.050000004</v>
      </c>
      <c r="H35" s="16">
        <f>COUNTIFS(Sales_Transactions!$Z$2:$Z$3001,$F35,Sales_Transactions!$R$2:$R$3001,"&lt;&gt;Void/Cancelled")</f>
        <v>960</v>
      </c>
      <c r="I35" s="16">
        <f>IFERROR(G35/H35,0)</f>
        <v>2983.0156770833373</v>
      </c>
    </row>
    <row r="36" spans="1:10" x14ac:dyDescent="0.25">
      <c r="F36" s="15" t="s">
        <v>44</v>
      </c>
      <c r="G36" s="16">
        <f>SUMIFS(Sales_Transactions!$M$2:$M$3001,Sales_Transactions!$Z$2:$Z$3001,$F36,Sales_Transactions!$R$2:$R$3001,"&lt;&gt;Void/Cancelled")</f>
        <v>2973904.0200000019</v>
      </c>
      <c r="H36" s="16">
        <f>COUNTIFS(Sales_Transactions!$Z$2:$Z$3001,$F36,Sales_Transactions!$R$2:$R$3001,"&lt;&gt;Void/Cancelled")</f>
        <v>1024</v>
      </c>
      <c r="I36" s="16">
        <f>IFERROR(G36/H36,0)</f>
        <v>2904.2031445312518</v>
      </c>
    </row>
    <row r="38" spans="1:10" ht="19.5" customHeight="1" x14ac:dyDescent="0.25">
      <c r="A38" s="1" t="s">
        <v>45</v>
      </c>
      <c r="B38" s="1"/>
      <c r="C38" s="1"/>
      <c r="D38" s="1"/>
      <c r="E38" s="1"/>
      <c r="F38" s="1"/>
      <c r="G38" s="1"/>
      <c r="H38" s="1"/>
    </row>
    <row r="39" spans="1:10" x14ac:dyDescent="0.25">
      <c r="A39" s="14" t="s">
        <v>46</v>
      </c>
      <c r="B39" s="14" t="s">
        <v>9</v>
      </c>
      <c r="C39" s="14" t="s">
        <v>10</v>
      </c>
      <c r="F39" s="14" t="s">
        <v>47</v>
      </c>
      <c r="G39" s="14" t="s">
        <v>48</v>
      </c>
      <c r="I39" s="14" t="s">
        <v>49</v>
      </c>
      <c r="J39" s="14" t="s">
        <v>48</v>
      </c>
    </row>
    <row r="40" spans="1:10" x14ac:dyDescent="0.25">
      <c r="A40" s="15" t="s">
        <v>50</v>
      </c>
      <c r="B40" s="16">
        <f>SUMIFS(Sales_Transactions!$M$2:$M$3001,Sales_Transactions!$AA$2:$AA$3001,$A40,Sales_Transactions!$R$2:$R$3001,"&lt;&gt;Void/Cancelled")</f>
        <v>683356.92999999959</v>
      </c>
      <c r="C40" s="16">
        <f>SUMIFS(Sales_Transactions!$O$2:$O$3001,Sales_Transactions!$AA$2:$AA$3001,$A40,Sales_Transactions!$R$2:$R$3001,"&lt;&gt;Void/Cancelled")</f>
        <v>131910.17999999991</v>
      </c>
      <c r="F40" s="15" t="s">
        <v>51</v>
      </c>
      <c r="G40" s="16">
        <v>156</v>
      </c>
      <c r="I40" s="15" t="s">
        <v>52</v>
      </c>
      <c r="J40" s="16">
        <v>2</v>
      </c>
    </row>
    <row r="41" spans="1:10" x14ac:dyDescent="0.25">
      <c r="A41" s="15" t="s">
        <v>53</v>
      </c>
      <c r="B41" s="16">
        <f>SUMIFS(Sales_Transactions!$M$2:$M$3001,Sales_Transactions!$AA$2:$AA$3001,$A41,Sales_Transactions!$R$2:$R$3001,"&lt;&gt;Void/Cancelled")</f>
        <v>716615.73999999987</v>
      </c>
      <c r="C41" s="16">
        <f>SUMIFS(Sales_Transactions!$O$2:$O$3001,Sales_Transactions!$AA$2:$AA$3001,$A41,Sales_Transactions!$R$2:$R$3001,"&lt;&gt;Void/Cancelled")</f>
        <v>143626.60999999996</v>
      </c>
      <c r="F41" s="15" t="s">
        <v>54</v>
      </c>
      <c r="G41" s="16">
        <v>69</v>
      </c>
      <c r="I41" s="15" t="s">
        <v>55</v>
      </c>
      <c r="J41" s="16">
        <v>3</v>
      </c>
    </row>
    <row r="42" spans="1:10" x14ac:dyDescent="0.25">
      <c r="A42" s="15" t="s">
        <v>56</v>
      </c>
      <c r="B42" s="16">
        <f>SUMIFS(Sales_Transactions!$M$2:$M$3001,Sales_Transactions!$AA$2:$AA$3001,$A42,Sales_Transactions!$R$2:$R$3001,"&lt;&gt;Void/Cancelled")</f>
        <v>705197.67000000027</v>
      </c>
      <c r="C42" s="16">
        <f>SUMIFS(Sales_Transactions!$O$2:$O$3001,Sales_Transactions!$AA$2:$AA$3001,$A42,Sales_Transactions!$R$2:$R$3001,"&lt;&gt;Void/Cancelled")</f>
        <v>125032.19000000002</v>
      </c>
      <c r="F42" s="15" t="s">
        <v>57</v>
      </c>
      <c r="G42" s="16">
        <v>68</v>
      </c>
      <c r="I42" s="15" t="s">
        <v>58</v>
      </c>
      <c r="J42" s="16">
        <v>4</v>
      </c>
    </row>
    <row r="43" spans="1:10" x14ac:dyDescent="0.25">
      <c r="A43" s="15" t="s">
        <v>59</v>
      </c>
      <c r="B43" s="16">
        <f>SUMIFS(Sales_Transactions!$M$2:$M$3001,Sales_Transactions!$AA$2:$AA$3001,$A43,Sales_Transactions!$R$2:$R$3001,"&lt;&gt;Void/Cancelled")</f>
        <v>575940.09000000008</v>
      </c>
      <c r="C43" s="16">
        <f>SUMIFS(Sales_Transactions!$O$2:$O$3001,Sales_Transactions!$AA$2:$AA$3001,$A43,Sales_Transactions!$R$2:$R$3001,"&lt;&gt;Void/Cancelled")</f>
        <v>110065.94999999997</v>
      </c>
      <c r="F43" s="15" t="s">
        <v>60</v>
      </c>
      <c r="G43" s="16">
        <v>64</v>
      </c>
      <c r="I43" s="15" t="s">
        <v>61</v>
      </c>
      <c r="J43" s="16">
        <v>4</v>
      </c>
    </row>
    <row r="44" spans="1:10" x14ac:dyDescent="0.25">
      <c r="A44" s="15" t="s">
        <v>62</v>
      </c>
      <c r="B44" s="16">
        <f>SUMIFS(Sales_Transactions!$M$2:$M$3001,Sales_Transactions!$AA$2:$AA$3001,$A44,Sales_Transactions!$R$2:$R$3001,"&lt;&gt;Void/Cancelled")</f>
        <v>624765.64</v>
      </c>
      <c r="C44" s="16">
        <f>SUMIFS(Sales_Transactions!$O$2:$O$3001,Sales_Transactions!$AA$2:$AA$3001,$A44,Sales_Transactions!$R$2:$R$3001,"&lt;&gt;Void/Cancelled")</f>
        <v>122773.23000000005</v>
      </c>
      <c r="F44" s="15" t="s">
        <v>63</v>
      </c>
      <c r="G44" s="16">
        <v>62</v>
      </c>
      <c r="I44" s="15" t="s">
        <v>64</v>
      </c>
      <c r="J44" s="16">
        <v>4</v>
      </c>
    </row>
    <row r="45" spans="1:10" x14ac:dyDescent="0.25">
      <c r="A45" s="15" t="s">
        <v>65</v>
      </c>
      <c r="B45" s="16">
        <f>SUMIFS(Sales_Transactions!$M$2:$M$3001,Sales_Transactions!$AA$2:$AA$3001,$A45,Sales_Transactions!$R$2:$R$3001,"&lt;&gt;Void/Cancelled")</f>
        <v>842808.66000000027</v>
      </c>
      <c r="C45" s="16">
        <f>SUMIFS(Sales_Transactions!$O$2:$O$3001,Sales_Transactions!$AA$2:$AA$3001,$A45,Sales_Transactions!$R$2:$R$3001,"&lt;&gt;Void/Cancelled")</f>
        <v>177387.37000000002</v>
      </c>
      <c r="F45" s="15" t="s">
        <v>66</v>
      </c>
      <c r="G45" s="16">
        <v>61</v>
      </c>
      <c r="I45" s="15" t="s">
        <v>67</v>
      </c>
      <c r="J45" s="16">
        <v>5</v>
      </c>
    </row>
    <row r="46" spans="1:10" x14ac:dyDescent="0.25">
      <c r="A46" s="15" t="s">
        <v>68</v>
      </c>
      <c r="B46" s="16">
        <f>SUMIFS(Sales_Transactions!$M$2:$M$3001,Sales_Transactions!$AA$2:$AA$3001,$A46,Sales_Transactions!$R$2:$R$3001,"&lt;&gt;Void/Cancelled")</f>
        <v>1519147.0599999998</v>
      </c>
      <c r="C46" s="16">
        <f>SUMIFS(Sales_Transactions!$O$2:$O$3001,Sales_Transactions!$AA$2:$AA$3001,$A46,Sales_Transactions!$R$2:$R$3001,"&lt;&gt;Void/Cancelled")</f>
        <v>301165.33999999991</v>
      </c>
      <c r="F46" s="15" t="s">
        <v>69</v>
      </c>
      <c r="G46" s="16">
        <v>56</v>
      </c>
      <c r="I46" s="15" t="s">
        <v>70</v>
      </c>
      <c r="J46" s="16">
        <v>5</v>
      </c>
    </row>
    <row r="47" spans="1:10" x14ac:dyDescent="0.25">
      <c r="A47" s="15" t="s">
        <v>71</v>
      </c>
      <c r="B47" s="16">
        <f>SUMIFS(Sales_Transactions!$M$2:$M$3001,Sales_Transactions!$AA$2:$AA$3001,$A47,Sales_Transactions!$R$2:$R$3001,"&lt;&gt;Void/Cancelled")</f>
        <v>1054251.3599999996</v>
      </c>
      <c r="C47" s="16">
        <f>SUMIFS(Sales_Transactions!$O$2:$O$3001,Sales_Transactions!$AA$2:$AA$3001,$A47,Sales_Transactions!$R$2:$R$3001,"&lt;&gt;Void/Cancelled")</f>
        <v>194655.84000000008</v>
      </c>
      <c r="F47" s="15" t="s">
        <v>72</v>
      </c>
      <c r="G47" s="16">
        <v>56</v>
      </c>
      <c r="I47" s="15" t="s">
        <v>73</v>
      </c>
      <c r="J47" s="16">
        <v>6</v>
      </c>
    </row>
    <row r="48" spans="1:10" x14ac:dyDescent="0.25">
      <c r="A48" s="15" t="s">
        <v>74</v>
      </c>
      <c r="B48" s="16">
        <f>SUMIFS(Sales_Transactions!$M$2:$M$3001,Sales_Transactions!$AA$2:$AA$3001,$A48,Sales_Transactions!$R$2:$R$3001,"&lt;&gt;Void/Cancelled")</f>
        <v>891356.08000000089</v>
      </c>
      <c r="C48" s="16">
        <f>SUMIFS(Sales_Transactions!$O$2:$O$3001,Sales_Transactions!$AA$2:$AA$3001,$A48,Sales_Transactions!$R$2:$R$3001,"&lt;&gt;Void/Cancelled")</f>
        <v>180854.07000000007</v>
      </c>
    </row>
    <row r="49" spans="1:8" x14ac:dyDescent="0.25">
      <c r="A49" s="15" t="s">
        <v>75</v>
      </c>
      <c r="B49" s="16">
        <f>SUMIFS(Sales_Transactions!$M$2:$M$3001,Sales_Transactions!$AA$2:$AA$3001,$A49,Sales_Transactions!$R$2:$R$3001,"&lt;&gt;Void/Cancelled")</f>
        <v>305174.24</v>
      </c>
      <c r="C49" s="16">
        <f>SUMIFS(Sales_Transactions!$O$2:$O$3001,Sales_Transactions!$AA$2:$AA$3001,$A49,Sales_Transactions!$R$2:$R$3001,"&lt;&gt;Void/Cancelled")</f>
        <v>54860.769999999968</v>
      </c>
    </row>
    <row r="50" spans="1:8" x14ac:dyDescent="0.25">
      <c r="A50" s="15" t="s">
        <v>76</v>
      </c>
      <c r="B50" s="16">
        <f>SUMIFS(Sales_Transactions!$M$2:$M$3001,Sales_Transactions!$AA$2:$AA$3001,$A50,Sales_Transactions!$R$2:$R$3001,"&lt;&gt;Void/Cancelled")</f>
        <v>655012.41999999969</v>
      </c>
      <c r="C50" s="16">
        <f>SUMIFS(Sales_Transactions!$O$2:$O$3001,Sales_Transactions!$AA$2:$AA$3001,$A50,Sales_Transactions!$R$2:$R$3001,"&lt;&gt;Void/Cancelled")</f>
        <v>118923.49000000011</v>
      </c>
    </row>
    <row r="51" spans="1:8" x14ac:dyDescent="0.25">
      <c r="A51" s="15" t="s">
        <v>77</v>
      </c>
      <c r="B51" s="16">
        <f>SUMIFS(Sales_Transactions!$M$2:$M$3001,Sales_Transactions!$AA$2:$AA$3001,$A51,Sales_Transactions!$R$2:$R$3001,"&lt;&gt;Void/Cancelled")</f>
        <v>653554.07000000007</v>
      </c>
      <c r="C51" s="16">
        <f>SUMIFS(Sales_Transactions!$O$2:$O$3001,Sales_Transactions!$AA$2:$AA$3001,$A51,Sales_Transactions!$R$2:$R$3001,"&lt;&gt;Void/Cancelled")</f>
        <v>140182.08000000007</v>
      </c>
    </row>
    <row r="53" spans="1:8" ht="19.5" customHeight="1" x14ac:dyDescent="0.25">
      <c r="A53" s="1" t="s">
        <v>78</v>
      </c>
      <c r="B53" s="1"/>
      <c r="C53" s="1"/>
      <c r="D53" s="1"/>
      <c r="E53" s="1"/>
      <c r="F53" s="1"/>
      <c r="G53" s="1"/>
      <c r="H53" s="1"/>
    </row>
    <row r="54" spans="1:8" x14ac:dyDescent="0.25">
      <c r="A54" s="14" t="s">
        <v>79</v>
      </c>
      <c r="B54" s="14" t="s">
        <v>80</v>
      </c>
      <c r="C54" s="14" t="s">
        <v>34</v>
      </c>
      <c r="D54" s="14" t="s">
        <v>9</v>
      </c>
      <c r="E54" s="14" t="s">
        <v>10</v>
      </c>
    </row>
    <row r="55" spans="1:8" x14ac:dyDescent="0.25">
      <c r="A55" s="15" t="s">
        <v>81</v>
      </c>
      <c r="B55" s="15" t="str">
        <f>IFERROR(INDEX(Stores!$B:$B,MATCH($A55,Stores!$A:$A,0)),"")</f>
        <v>TrendMart Vijayawada High Street</v>
      </c>
      <c r="C55" s="15" t="str">
        <f>IFERROR(INDEX(Stores!$E:$E,MATCH($A55,Stores!$A:$A,0)),"")</f>
        <v>South Zone 3</v>
      </c>
      <c r="D55" s="16">
        <f>SUMIFS(Sales_Transactions!$M$2:$M$3001,Sales_Transactions!$E$2:$E$3001,$A55,Sales_Transactions!$R$2:$R$3001,"&lt;&gt;Void/Cancelled")</f>
        <v>174307.52999999997</v>
      </c>
      <c r="E55" s="16">
        <f>SUMIFS(Sales_Transactions!$O$2:$O$3001,Sales_Transactions!$E$2:$E$3001,$A55,Sales_Transactions!$R$2:$R$3001,"&lt;&gt;Void/Cancelled")</f>
        <v>35187.18</v>
      </c>
    </row>
    <row r="56" spans="1:8" x14ac:dyDescent="0.25">
      <c r="A56" s="15" t="s">
        <v>82</v>
      </c>
      <c r="B56" s="15" t="str">
        <f>IFERROR(INDEX(Stores!$B:$B,MATCH($A56,Stores!$A:$A,0)),"")</f>
        <v>TrendMart Kochi High Street</v>
      </c>
      <c r="C56" s="15" t="str">
        <f>IFERROR(INDEX(Stores!$E:$E,MATCH($A56,Stores!$A:$A,0)),"")</f>
        <v>South Zone 1</v>
      </c>
      <c r="D56" s="16">
        <f>SUMIFS(Sales_Transactions!$M$2:$M$3001,Sales_Transactions!$E$2:$E$3001,$A56,Sales_Transactions!$R$2:$R$3001,"&lt;&gt;Void/Cancelled")</f>
        <v>143642.01999999999</v>
      </c>
      <c r="E56" s="16">
        <f>SUMIFS(Sales_Transactions!$O$2:$O$3001,Sales_Transactions!$E$2:$E$3001,$A56,Sales_Transactions!$R$2:$R$3001,"&lt;&gt;Void/Cancelled")</f>
        <v>24435.46</v>
      </c>
    </row>
    <row r="57" spans="1:8" x14ac:dyDescent="0.25">
      <c r="A57" s="15" t="s">
        <v>83</v>
      </c>
      <c r="B57" s="15" t="str">
        <f>IFERROR(INDEX(Stores!$B:$B,MATCH($A57,Stores!$A:$A,0)),"")</f>
        <v>TrendMart Vellore Standard</v>
      </c>
      <c r="C57" s="15" t="str">
        <f>IFERROR(INDEX(Stores!$E:$E,MATCH($A57,Stores!$A:$A,0)),"")</f>
        <v>South Zone 1</v>
      </c>
      <c r="D57" s="16">
        <f>SUMIFS(Sales_Transactions!$M$2:$M$3001,Sales_Transactions!$E$2:$E$3001,$A57,Sales_Transactions!$R$2:$R$3001,"&lt;&gt;Void/Cancelled")</f>
        <v>130122.46999999999</v>
      </c>
      <c r="E57" s="16">
        <f>SUMIFS(Sales_Transactions!$O$2:$O$3001,Sales_Transactions!$E$2:$E$3001,$A57,Sales_Transactions!$R$2:$R$3001,"&lt;&gt;Void/Cancelled")</f>
        <v>26844.979999999992</v>
      </c>
    </row>
    <row r="58" spans="1:8" x14ac:dyDescent="0.25">
      <c r="A58" s="15" t="s">
        <v>84</v>
      </c>
      <c r="B58" s="15" t="str">
        <f>IFERROR(INDEX(Stores!$B:$B,MATCH($A58,Stores!$A:$A,0)),"")</f>
        <v>TrendMart Tirupati Standard</v>
      </c>
      <c r="C58" s="15" t="str">
        <f>IFERROR(INDEX(Stores!$E:$E,MATCH($A58,Stores!$A:$A,0)),"")</f>
        <v>South Zone 3</v>
      </c>
      <c r="D58" s="16">
        <f>SUMIFS(Sales_Transactions!$M$2:$M$3001,Sales_Transactions!$E$2:$E$3001,$A58,Sales_Transactions!$R$2:$R$3001,"&lt;&gt;Void/Cancelled")</f>
        <v>129824.85999999999</v>
      </c>
      <c r="E58" s="16">
        <f>SUMIFS(Sales_Transactions!$O$2:$O$3001,Sales_Transactions!$E$2:$E$3001,$A58,Sales_Transactions!$R$2:$R$3001,"&lt;&gt;Void/Cancelled")</f>
        <v>27695.670000000006</v>
      </c>
    </row>
    <row r="59" spans="1:8" x14ac:dyDescent="0.25">
      <c r="A59" s="15" t="s">
        <v>85</v>
      </c>
      <c r="B59" s="15" t="str">
        <f>IFERROR(INDEX(Stores!$B:$B,MATCH($A59,Stores!$A:$A,0)),"")</f>
        <v>TrendMart Kalaburagi Mall Kiosk</v>
      </c>
      <c r="C59" s="15" t="str">
        <f>IFERROR(INDEX(Stores!$E:$E,MATCH($A59,Stores!$A:$A,0)),"")</f>
        <v>South Zone 2</v>
      </c>
      <c r="D59" s="16">
        <f>SUMIFS(Sales_Transactions!$M$2:$M$3001,Sales_Transactions!$E$2:$E$3001,$A59,Sales_Transactions!$R$2:$R$3001,"&lt;&gt;Void/Cancelled")</f>
        <v>125355.94000000002</v>
      </c>
      <c r="E59" s="16">
        <f>SUMIFS(Sales_Transactions!$O$2:$O$3001,Sales_Transactions!$E$2:$E$3001,$A59,Sales_Transactions!$R$2:$R$3001,"&lt;&gt;Void/Cancelled")</f>
        <v>21724.680000000004</v>
      </c>
    </row>
    <row r="60" spans="1:8" x14ac:dyDescent="0.25">
      <c r="A60" s="15" t="s">
        <v>86</v>
      </c>
      <c r="B60" s="15" t="str">
        <f>IFERROR(INDEX(Stores!$B:$B,MATCH($A60,Stores!$A:$A,0)),"")</f>
        <v>TrendMart Warangal High Street</v>
      </c>
      <c r="C60" s="15" t="str">
        <f>IFERROR(INDEX(Stores!$E:$E,MATCH($A60,Stores!$A:$A,0)),"")</f>
        <v>South Zone 2</v>
      </c>
      <c r="D60" s="16">
        <f>SUMIFS(Sales_Transactions!$M$2:$M$3001,Sales_Transactions!$E$2:$E$3001,$A60,Sales_Transactions!$R$2:$R$3001,"&lt;&gt;Void/Cancelled")</f>
        <v>119943.09000000001</v>
      </c>
      <c r="E60" s="16">
        <f>SUMIFS(Sales_Transactions!$O$2:$O$3001,Sales_Transactions!$E$2:$E$3001,$A60,Sales_Transactions!$R$2:$R$3001,"&lt;&gt;Void/Cancelled")</f>
        <v>22627.399999999998</v>
      </c>
    </row>
    <row r="61" spans="1:8" x14ac:dyDescent="0.25">
      <c r="A61" s="15" t="s">
        <v>87</v>
      </c>
      <c r="B61" s="15" t="str">
        <f>IFERROR(INDEX(Stores!$B:$B,MATCH($A61,Stores!$A:$A,0)),"")</f>
        <v>TrendMart Thiruvananthapuram Standard</v>
      </c>
      <c r="C61" s="15" t="str">
        <f>IFERROR(INDEX(Stores!$E:$E,MATCH($A61,Stores!$A:$A,0)),"")</f>
        <v>South Zone 1</v>
      </c>
      <c r="D61" s="16">
        <f>SUMIFS(Sales_Transactions!$M$2:$M$3001,Sales_Transactions!$E$2:$E$3001,$A61,Sales_Transactions!$R$2:$R$3001,"&lt;&gt;Void/Cancelled")</f>
        <v>117373.93000000002</v>
      </c>
      <c r="E61" s="16">
        <f>SUMIFS(Sales_Transactions!$O$2:$O$3001,Sales_Transactions!$E$2:$E$3001,$A61,Sales_Transactions!$R$2:$R$3001,"&lt;&gt;Void/Cancelled")</f>
        <v>24961.030000000002</v>
      </c>
    </row>
    <row r="62" spans="1:8" x14ac:dyDescent="0.25">
      <c r="A62" s="15" t="s">
        <v>88</v>
      </c>
      <c r="B62" s="15" t="str">
        <f>IFERROR(INDEX(Stores!$B:$B,MATCH($A62,Stores!$A:$A,0)),"")</f>
        <v>TrendMart Kozhikode Mall Kiosk</v>
      </c>
      <c r="C62" s="15" t="str">
        <f>IFERROR(INDEX(Stores!$E:$E,MATCH($A62,Stores!$A:$A,0)),"")</f>
        <v>South Zone 1</v>
      </c>
      <c r="D62" s="16">
        <f>SUMIFS(Sales_Transactions!$M$2:$M$3001,Sales_Transactions!$E$2:$E$3001,$A62,Sales_Transactions!$R$2:$R$3001,"&lt;&gt;Void/Cancelled")</f>
        <v>114409.33000000002</v>
      </c>
      <c r="E62" s="16">
        <f>SUMIFS(Sales_Transactions!$O$2:$O$3001,Sales_Transactions!$E$2:$E$3001,$A62,Sales_Transactions!$R$2:$R$3001,"&lt;&gt;Void/Cancelled")</f>
        <v>22462.640000000007</v>
      </c>
    </row>
    <row r="63" spans="1:8" x14ac:dyDescent="0.25">
      <c r="A63" s="15" t="s">
        <v>89</v>
      </c>
      <c r="B63" s="15" t="str">
        <f>IFERROR(INDEX(Stores!$B:$B,MATCH($A63,Stores!$A:$A,0)),"")</f>
        <v>TrendMart Kochi Standard</v>
      </c>
      <c r="C63" s="15" t="str">
        <f>IFERROR(INDEX(Stores!$E:$E,MATCH($A63,Stores!$A:$A,0)),"")</f>
        <v>South Zone 1</v>
      </c>
      <c r="D63" s="16">
        <f>SUMIFS(Sales_Transactions!$M$2:$M$3001,Sales_Transactions!$E$2:$E$3001,$A63,Sales_Transactions!$R$2:$R$3001,"&lt;&gt;Void/Cancelled")</f>
        <v>113060.11000000002</v>
      </c>
      <c r="E63" s="16">
        <f>SUMIFS(Sales_Transactions!$O$2:$O$3001,Sales_Transactions!$E$2:$E$3001,$A63,Sales_Transactions!$R$2:$R$3001,"&lt;&gt;Void/Cancelled")</f>
        <v>24257.049999999996</v>
      </c>
    </row>
    <row r="64" spans="1:8" x14ac:dyDescent="0.25">
      <c r="A64" s="15" t="s">
        <v>90</v>
      </c>
      <c r="B64" s="15" t="str">
        <f>IFERROR(INDEX(Stores!$B:$B,MATCH($A64,Stores!$A:$A,0)),"")</f>
        <v>TrendMart Thoothukudi Mall Kiosk</v>
      </c>
      <c r="C64" s="15" t="str">
        <f>IFERROR(INDEX(Stores!$E:$E,MATCH($A64,Stores!$A:$A,0)),"")</f>
        <v>South Zone 1</v>
      </c>
      <c r="D64" s="16">
        <f>SUMIFS(Sales_Transactions!$M$2:$M$3001,Sales_Transactions!$E$2:$E$3001,$A64,Sales_Transactions!$R$2:$R$3001,"&lt;&gt;Void/Cancelled")</f>
        <v>109813.91999999998</v>
      </c>
      <c r="E64" s="16">
        <f>SUMIFS(Sales_Transactions!$O$2:$O$3001,Sales_Transactions!$E$2:$E$3001,$A64,Sales_Transactions!$R$2:$R$3001,"&lt;&gt;Void/Cancelled")</f>
        <v>20831.849999999995</v>
      </c>
    </row>
    <row r="65" spans="1:8" x14ac:dyDescent="0.25">
      <c r="A65" s="18" t="s">
        <v>91</v>
      </c>
    </row>
    <row r="66" spans="1:8" x14ac:dyDescent="0.25">
      <c r="A66" s="15" t="s">
        <v>92</v>
      </c>
      <c r="B66" s="15" t="str">
        <f>IFERROR(INDEX(Stores!$B:$B,MATCH($A66,Stores!$A:$A,0)),"")</f>
        <v>TrendMart Guntur High Street</v>
      </c>
      <c r="C66" s="15" t="str">
        <f>IFERROR(INDEX(Stores!$E:$E,MATCH($A66,Stores!$A:$A,0)),"")</f>
        <v>South Zone 3</v>
      </c>
      <c r="D66" s="16">
        <f>SUMIFS(Sales_Transactions!$M$2:$M$3001,Sales_Transactions!$E$2:$E$3001,$A66,Sales_Transactions!$R$2:$R$3001,"&lt;&gt;Void/Cancelled")</f>
        <v>46233.919999999998</v>
      </c>
      <c r="E66" s="16">
        <f>SUMIFS(Sales_Transactions!$O$2:$O$3001,Sales_Transactions!$E$2:$E$3001,$A66,Sales_Transactions!$R$2:$R$3001,"&lt;&gt;Void/Cancelled")</f>
        <v>7964.8099999999995</v>
      </c>
    </row>
    <row r="67" spans="1:8" x14ac:dyDescent="0.25">
      <c r="A67" s="15" t="s">
        <v>93</v>
      </c>
      <c r="B67" s="15" t="str">
        <f>IFERROR(INDEX(Stores!$B:$B,MATCH($A67,Stores!$A:$A,0)),"")</f>
        <v>TrendMart Thiruvananthapuram High Street</v>
      </c>
      <c r="C67" s="15" t="str">
        <f>IFERROR(INDEX(Stores!$E:$E,MATCH($A67,Stores!$A:$A,0)),"")</f>
        <v>South Zone 1</v>
      </c>
      <c r="D67" s="16">
        <f>SUMIFS(Sales_Transactions!$M$2:$M$3001,Sales_Transactions!$E$2:$E$3001,$A67,Sales_Transactions!$R$2:$R$3001,"&lt;&gt;Void/Cancelled")</f>
        <v>45249.640000000007</v>
      </c>
      <c r="E67" s="16">
        <f>SUMIFS(Sales_Transactions!$O$2:$O$3001,Sales_Transactions!$E$2:$E$3001,$A67,Sales_Transactions!$R$2:$R$3001,"&lt;&gt;Void/Cancelled")</f>
        <v>9585.07</v>
      </c>
    </row>
    <row r="68" spans="1:8" x14ac:dyDescent="0.25">
      <c r="A68" s="15" t="s">
        <v>94</v>
      </c>
      <c r="B68" s="15" t="str">
        <f>IFERROR(INDEX(Stores!$B:$B,MATCH($A68,Stores!$A:$A,0)),"")</f>
        <v>TrendMart Bengaluru Mall Kiosk</v>
      </c>
      <c r="C68" s="15" t="str">
        <f>IFERROR(INDEX(Stores!$E:$E,MATCH($A68,Stores!$A:$A,0)),"")</f>
        <v>South Zone 2</v>
      </c>
      <c r="D68" s="16">
        <f>SUMIFS(Sales_Transactions!$M$2:$M$3001,Sales_Transactions!$E$2:$E$3001,$A68,Sales_Transactions!$R$2:$R$3001,"&lt;&gt;Void/Cancelled")</f>
        <v>44857.36</v>
      </c>
      <c r="E68" s="16">
        <f>SUMIFS(Sales_Transactions!$O$2:$O$3001,Sales_Transactions!$E$2:$E$3001,$A68,Sales_Transactions!$R$2:$R$3001,"&lt;&gt;Void/Cancelled")</f>
        <v>8042.2000000000007</v>
      </c>
    </row>
    <row r="69" spans="1:8" x14ac:dyDescent="0.25">
      <c r="A69" s="15" t="s">
        <v>95</v>
      </c>
      <c r="B69" s="15" t="str">
        <f>IFERROR(INDEX(Stores!$B:$B,MATCH($A69,Stores!$A:$A,0)),"")</f>
        <v>TrendMart Thrissur Standard</v>
      </c>
      <c r="C69" s="15" t="str">
        <f>IFERROR(INDEX(Stores!$E:$E,MATCH($A69,Stores!$A:$A,0)),"")</f>
        <v>South Zone 1</v>
      </c>
      <c r="D69" s="16">
        <f>SUMIFS(Sales_Transactions!$M$2:$M$3001,Sales_Transactions!$E$2:$E$3001,$A69,Sales_Transactions!$R$2:$R$3001,"&lt;&gt;Void/Cancelled")</f>
        <v>42708.590000000004</v>
      </c>
      <c r="E69" s="16">
        <f>SUMIFS(Sales_Transactions!$O$2:$O$3001,Sales_Transactions!$E$2:$E$3001,$A69,Sales_Transactions!$R$2:$R$3001,"&lt;&gt;Void/Cancelled")</f>
        <v>8359.16</v>
      </c>
    </row>
    <row r="70" spans="1:8" x14ac:dyDescent="0.25">
      <c r="A70" s="15" t="s">
        <v>96</v>
      </c>
      <c r="B70" s="15" t="str">
        <f>IFERROR(INDEX(Stores!$B:$B,MATCH($A70,Stores!$A:$A,0)),"")</f>
        <v>TrendMart Shivamogga Outlet</v>
      </c>
      <c r="C70" s="15" t="str">
        <f>IFERROR(INDEX(Stores!$E:$E,MATCH($A70,Stores!$A:$A,0)),"")</f>
        <v>South Zone 2</v>
      </c>
      <c r="D70" s="16">
        <f>SUMIFS(Sales_Transactions!$M$2:$M$3001,Sales_Transactions!$E$2:$E$3001,$A70,Sales_Transactions!$R$2:$R$3001,"&lt;&gt;Void/Cancelled")</f>
        <v>41401.360000000001</v>
      </c>
      <c r="E70" s="16">
        <f>SUMIFS(Sales_Transactions!$O$2:$O$3001,Sales_Transactions!$E$2:$E$3001,$A70,Sales_Transactions!$R$2:$R$3001,"&lt;&gt;Void/Cancelled")</f>
        <v>6636.9999999999991</v>
      </c>
    </row>
    <row r="71" spans="1:8" x14ac:dyDescent="0.25">
      <c r="A71" s="15" t="s">
        <v>97</v>
      </c>
      <c r="B71" s="15" t="str">
        <f>IFERROR(INDEX(Stores!$B:$B,MATCH($A71,Stores!$A:$A,0)),"")</f>
        <v>TrendMart Guntur Flagship</v>
      </c>
      <c r="C71" s="15" t="str">
        <f>IFERROR(INDEX(Stores!$E:$E,MATCH($A71,Stores!$A:$A,0)),"")</f>
        <v>South Zone 3</v>
      </c>
      <c r="D71" s="16">
        <f>SUMIFS(Sales_Transactions!$M$2:$M$3001,Sales_Transactions!$E$2:$E$3001,$A71,Sales_Transactions!$R$2:$R$3001,"&lt;&gt;Void/Cancelled")</f>
        <v>39358.199999999997</v>
      </c>
      <c r="E71" s="16">
        <f>SUMIFS(Sales_Transactions!$O$2:$O$3001,Sales_Transactions!$E$2:$E$3001,$A71,Sales_Transactions!$R$2:$R$3001,"&lt;&gt;Void/Cancelled")</f>
        <v>9133.4600000000028</v>
      </c>
    </row>
    <row r="72" spans="1:8" x14ac:dyDescent="0.25">
      <c r="A72" s="15" t="s">
        <v>98</v>
      </c>
      <c r="B72" s="15" t="str">
        <f>IFERROR(INDEX(Stores!$B:$B,MATCH($A72,Stores!$A:$A,0)),"")</f>
        <v>TrendMart Bengaluru Flagship</v>
      </c>
      <c r="C72" s="15" t="str">
        <f>IFERROR(INDEX(Stores!$E:$E,MATCH($A72,Stores!$A:$A,0)),"")</f>
        <v>South Zone 2</v>
      </c>
      <c r="D72" s="16">
        <f>SUMIFS(Sales_Transactions!$M$2:$M$3001,Sales_Transactions!$E$2:$E$3001,$A72,Sales_Transactions!$R$2:$R$3001,"&lt;&gt;Void/Cancelled")</f>
        <v>38016.68</v>
      </c>
      <c r="E72" s="16">
        <f>SUMIFS(Sales_Transactions!$O$2:$O$3001,Sales_Transactions!$E$2:$E$3001,$A72,Sales_Transactions!$R$2:$R$3001,"&lt;&gt;Void/Cancelled")</f>
        <v>8179.79</v>
      </c>
    </row>
    <row r="73" spans="1:8" x14ac:dyDescent="0.25">
      <c r="A73" s="15" t="s">
        <v>99</v>
      </c>
      <c r="B73" s="15" t="str">
        <f>IFERROR(INDEX(Stores!$B:$B,MATCH($A73,Stores!$A:$A,0)),"")</f>
        <v>TrendMart Hubballi Standard</v>
      </c>
      <c r="C73" s="15" t="str">
        <f>IFERROR(INDEX(Stores!$E:$E,MATCH($A73,Stores!$A:$A,0)),"")</f>
        <v>South Zone 2</v>
      </c>
      <c r="D73" s="16">
        <f>SUMIFS(Sales_Transactions!$M$2:$M$3001,Sales_Transactions!$E$2:$E$3001,$A73,Sales_Transactions!$R$2:$R$3001,"&lt;&gt;Void/Cancelled")</f>
        <v>34153.660000000003</v>
      </c>
      <c r="E73" s="16">
        <f>SUMIFS(Sales_Transactions!$O$2:$O$3001,Sales_Transactions!$E$2:$E$3001,$A73,Sales_Transactions!$R$2:$R$3001,"&lt;&gt;Void/Cancelled")</f>
        <v>6520.4900000000007</v>
      </c>
    </row>
    <row r="74" spans="1:8" x14ac:dyDescent="0.25">
      <c r="A74" s="15" t="s">
        <v>100</v>
      </c>
      <c r="B74" s="15" t="str">
        <f>IFERROR(INDEX(Stores!$B:$B,MATCH($A74,Stores!$A:$A,0)),"")</f>
        <v>TrendMart Kurnool Standard</v>
      </c>
      <c r="C74" s="15" t="str">
        <f>IFERROR(INDEX(Stores!$E:$E,MATCH($A74,Stores!$A:$A,0)),"")</f>
        <v>South Zone 3</v>
      </c>
      <c r="D74" s="16">
        <f>SUMIFS(Sales_Transactions!$M$2:$M$3001,Sales_Transactions!$E$2:$E$3001,$A74,Sales_Transactions!$R$2:$R$3001,"&lt;&gt;Void/Cancelled")</f>
        <v>21325.260000000002</v>
      </c>
      <c r="E74" s="16">
        <f>SUMIFS(Sales_Transactions!$O$2:$O$3001,Sales_Transactions!$E$2:$E$3001,$A74,Sales_Transactions!$R$2:$R$3001,"&lt;&gt;Void/Cancelled")</f>
        <v>4456.7699999999995</v>
      </c>
    </row>
    <row r="75" spans="1:8" x14ac:dyDescent="0.25">
      <c r="A75" s="15" t="s">
        <v>101</v>
      </c>
      <c r="B75" s="15" t="str">
        <f>IFERROR(INDEX(Stores!$B:$B,MATCH($A75,Stores!$A:$A,0)),"")</f>
        <v>TrendMart Kurnool Standard</v>
      </c>
      <c r="C75" s="15" t="str">
        <f>IFERROR(INDEX(Stores!$E:$E,MATCH($A75,Stores!$A:$A,0)),"")</f>
        <v>South Zone 3</v>
      </c>
      <c r="D75" s="16">
        <f>SUMIFS(Sales_Transactions!$M$2:$M$3001,Sales_Transactions!$E$2:$E$3001,$A75,Sales_Transactions!$R$2:$R$3001,"&lt;&gt;Void/Cancelled")</f>
        <v>8669.7199999999993</v>
      </c>
      <c r="E75" s="16">
        <f>SUMIFS(Sales_Transactions!$O$2:$O$3001,Sales_Transactions!$E$2:$E$3001,$A75,Sales_Transactions!$R$2:$R$3001,"&lt;&gt;Void/Cancelled")</f>
        <v>1378.9200000000003</v>
      </c>
    </row>
    <row r="77" spans="1:8" ht="19.5" customHeight="1" x14ac:dyDescent="0.25">
      <c r="A77" s="1" t="s">
        <v>102</v>
      </c>
      <c r="B77" s="1"/>
      <c r="C77" s="1"/>
      <c r="D77" s="1"/>
      <c r="E77" s="1"/>
      <c r="F77" s="1"/>
      <c r="G77" s="1"/>
      <c r="H77" s="1"/>
    </row>
    <row r="78" spans="1:8" x14ac:dyDescent="0.25">
      <c r="A78" s="14" t="s">
        <v>103</v>
      </c>
      <c r="B78" s="14" t="s">
        <v>104</v>
      </c>
      <c r="C78" s="14" t="s">
        <v>9</v>
      </c>
      <c r="D78" s="14" t="s">
        <v>11</v>
      </c>
      <c r="E78" s="14" t="s">
        <v>105</v>
      </c>
      <c r="F78" s="14" t="s">
        <v>106</v>
      </c>
    </row>
    <row r="79" spans="1:8" x14ac:dyDescent="0.25">
      <c r="A79" s="15" t="s">
        <v>107</v>
      </c>
      <c r="B79" s="15" t="str">
        <f>IFERROR(INDEX(Suppliers!$B:$B,MATCH($A79,Suppliers!$A:$A,0)),"")</f>
        <v>Nilgiri Fabrics</v>
      </c>
      <c r="C79" s="16">
        <f>SUMIFS(Sales_Transactions!$M$2:$M$3001,Sales_Transactions!$AB$2:$AB$3001,$A79,Sales_Transactions!$R$2:$R$3001,"&lt;&gt;Void/Cancelled")</f>
        <v>637513.97000000009</v>
      </c>
      <c r="D79" s="17">
        <f>IFERROR(SUMIFS(Sales_Transactions!$O$2:$O$3001,Sales_Transactions!$AB$2:$AB$3001,$A79,Sales_Transactions!$R$2:$R$3001,"&lt;&gt;Void/Cancelled")/SUMIFS(Sales_Transactions!$M$2:$M$3001,Sales_Transactions!$AB$2:$AB$3001,$A79,Sales_Transactions!$R$2:$R$3001,"&lt;&gt;Void/Cancelled"),0)</f>
        <v>0.2266288846972247</v>
      </c>
      <c r="E79" s="15">
        <f>IFERROR(INDEX(Suppliers!$H:$H,MATCH($A79,Suppliers!$A:$A,0)),"")</f>
        <v>4</v>
      </c>
      <c r="F79" s="15">
        <f>IFERROR(INDEX(Suppliers!$I:$I,MATCH($A79,Suppliers!$A:$A,0)),"")</f>
        <v>3.6</v>
      </c>
    </row>
    <row r="80" spans="1:8" x14ac:dyDescent="0.25">
      <c r="A80" s="15" t="s">
        <v>108</v>
      </c>
      <c r="B80" s="15" t="str">
        <f>IFERROR(INDEX(Suppliers!$B:$B,MATCH($A80,Suppliers!$A:$A,0)),"")</f>
        <v>Nilgiri Garments</v>
      </c>
      <c r="C80" s="16">
        <f>SUMIFS(Sales_Transactions!$M$2:$M$3001,Sales_Transactions!$AB$2:$AB$3001,$A80,Sales_Transactions!$R$2:$R$3001,"&lt;&gt;Void/Cancelled")</f>
        <v>419784.31999999995</v>
      </c>
      <c r="D80" s="17">
        <f>IFERROR(SUMIFS(Sales_Transactions!$O$2:$O$3001,Sales_Transactions!$AB$2:$AB$3001,$A80,Sales_Transactions!$R$2:$R$3001,"&lt;&gt;Void/Cancelled")/SUMIFS(Sales_Transactions!$M$2:$M$3001,Sales_Transactions!$AB$2:$AB$3001,$A80,Sales_Transactions!$R$2:$R$3001,"&lt;&gt;Void/Cancelled"),0)</f>
        <v>0.20986019677914602</v>
      </c>
      <c r="E80" s="15">
        <f>IFERROR(INDEX(Suppliers!$H:$H,MATCH($A80,Suppliers!$A:$A,0)),"")</f>
        <v>7</v>
      </c>
      <c r="F80" s="15">
        <f>IFERROR(INDEX(Suppliers!$I:$I,MATCH($A80,Suppliers!$A:$A,0)),"")</f>
        <v>4.5999999999999996</v>
      </c>
    </row>
    <row r="81" spans="1:8" x14ac:dyDescent="0.25">
      <c r="A81" s="15" t="s">
        <v>109</v>
      </c>
      <c r="B81" s="15" t="str">
        <f>IFERROR(INDEX(Suppliers!$B:$B,MATCH($A81,Suppliers!$A:$A,0)),"")</f>
        <v>Vasavi Weavers</v>
      </c>
      <c r="C81" s="16">
        <f>SUMIFS(Sales_Transactions!$M$2:$M$3001,Sales_Transactions!$AB$2:$AB$3001,$A81,Sales_Transactions!$R$2:$R$3001,"&lt;&gt;Void/Cancelled")</f>
        <v>389379.0399999998</v>
      </c>
      <c r="D81" s="17">
        <f>IFERROR(SUMIFS(Sales_Transactions!$O$2:$O$3001,Sales_Transactions!$AB$2:$AB$3001,$A81,Sales_Transactions!$R$2:$R$3001,"&lt;&gt;Void/Cancelled")/SUMIFS(Sales_Transactions!$M$2:$M$3001,Sales_Transactions!$AB$2:$AB$3001,$A81,Sales_Transactions!$R$2:$R$3001,"&lt;&gt;Void/Cancelled"),0)</f>
        <v>0.1800185238527478</v>
      </c>
      <c r="E81" s="15">
        <f>IFERROR(INDEX(Suppliers!$H:$H,MATCH($A81,Suppliers!$A:$A,0)),"")</f>
        <v>6</v>
      </c>
      <c r="F81" s="15">
        <f>IFERROR(INDEX(Suppliers!$I:$I,MATCH($A81,Suppliers!$A:$A,0)),"")</f>
        <v>4.4000000000000004</v>
      </c>
    </row>
    <row r="82" spans="1:8" x14ac:dyDescent="0.25">
      <c r="A82" s="15" t="s">
        <v>110</v>
      </c>
      <c r="B82" s="15" t="str">
        <f>IFERROR(INDEX(Suppliers!$B:$B,MATCH($A82,Suppliers!$A:$A,0)),"")</f>
        <v>National Garments</v>
      </c>
      <c r="C82" s="16">
        <f>SUMIFS(Sales_Transactions!$M$2:$M$3001,Sales_Transactions!$AB$2:$AB$3001,$A82,Sales_Transactions!$R$2:$R$3001,"&lt;&gt;Void/Cancelled")</f>
        <v>297565.86999999988</v>
      </c>
      <c r="D82" s="17">
        <f>IFERROR(SUMIFS(Sales_Transactions!$O$2:$O$3001,Sales_Transactions!$AB$2:$AB$3001,$A82,Sales_Transactions!$R$2:$R$3001,"&lt;&gt;Void/Cancelled")/SUMIFS(Sales_Transactions!$M$2:$M$3001,Sales_Transactions!$AB$2:$AB$3001,$A82,Sales_Transactions!$R$2:$R$3001,"&lt;&gt;Void/Cancelled"),0)</f>
        <v>0.20948484448166052</v>
      </c>
      <c r="E82" s="15">
        <f>IFERROR(INDEX(Suppliers!$H:$H,MATCH($A82,Suppliers!$A:$A,0)),"")</f>
        <v>12</v>
      </c>
      <c r="F82" s="15">
        <f>IFERROR(INDEX(Suppliers!$I:$I,MATCH($A82,Suppliers!$A:$A,0)),"")</f>
        <v>3.6</v>
      </c>
    </row>
    <row r="83" spans="1:8" x14ac:dyDescent="0.25">
      <c r="A83" s="15" t="s">
        <v>111</v>
      </c>
      <c r="B83" s="15" t="str">
        <f>IFERROR(INDEX(Suppliers!$B:$B,MATCH($A83,Suppliers!$A:$A,0)),"")</f>
        <v>Prime Fashions</v>
      </c>
      <c r="C83" s="16">
        <f>SUMIFS(Sales_Transactions!$M$2:$M$3001,Sales_Transactions!$AB$2:$AB$3001,$A83,Sales_Transactions!$R$2:$R$3001,"&lt;&gt;Void/Cancelled")</f>
        <v>257043.44000000003</v>
      </c>
      <c r="D83" s="17">
        <f>IFERROR(SUMIFS(Sales_Transactions!$O$2:$O$3001,Sales_Transactions!$AB$2:$AB$3001,$A83,Sales_Transactions!$R$2:$R$3001,"&lt;&gt;Void/Cancelled")/SUMIFS(Sales_Transactions!$M$2:$M$3001,Sales_Transactions!$AB$2:$AB$3001,$A83,Sales_Transactions!$R$2:$R$3001,"&lt;&gt;Void/Cancelled"),0)</f>
        <v>0.21553244074231184</v>
      </c>
      <c r="E83" s="15">
        <f>IFERROR(INDEX(Suppliers!$H:$H,MATCH($A83,Suppliers!$A:$A,0)),"")</f>
        <v>21</v>
      </c>
      <c r="F83" s="15">
        <f>IFERROR(INDEX(Suppliers!$I:$I,MATCH($A83,Suppliers!$A:$A,0)),"")</f>
        <v>4.0999999999999996</v>
      </c>
    </row>
    <row r="84" spans="1:8" x14ac:dyDescent="0.25">
      <c r="A84" s="15" t="s">
        <v>112</v>
      </c>
      <c r="B84" s="15" t="str">
        <f>IFERROR(INDEX(Suppliers!$B:$B,MATCH($A84,Suppliers!$A:$A,0)),"")</f>
        <v>Continental Industries</v>
      </c>
      <c r="C84" s="16">
        <f>SUMIFS(Sales_Transactions!$M$2:$M$3001,Sales_Transactions!$AB$2:$AB$3001,$A84,Sales_Transactions!$R$2:$R$3001,"&lt;&gt;Void/Cancelled")</f>
        <v>244192.73</v>
      </c>
      <c r="D84" s="17">
        <f>IFERROR(SUMIFS(Sales_Transactions!$O$2:$O$3001,Sales_Transactions!$AB$2:$AB$3001,$A84,Sales_Transactions!$R$2:$R$3001,"&lt;&gt;Void/Cancelled")/SUMIFS(Sales_Transactions!$M$2:$M$3001,Sales_Transactions!$AB$2:$AB$3001,$A84,Sales_Transactions!$R$2:$R$3001,"&lt;&gt;Void/Cancelled"),0)</f>
        <v>0.17234558948581311</v>
      </c>
      <c r="E84" s="15">
        <f>IFERROR(INDEX(Suppliers!$H:$H,MATCH($A84,Suppliers!$A:$A,0)),"")</f>
        <v>24</v>
      </c>
      <c r="F84" s="15">
        <f>IFERROR(INDEX(Suppliers!$I:$I,MATCH($A84,Suppliers!$A:$A,0)),"")</f>
        <v>2.5</v>
      </c>
    </row>
    <row r="85" spans="1:8" x14ac:dyDescent="0.25">
      <c r="A85" s="15" t="s">
        <v>113</v>
      </c>
      <c r="B85" s="15" t="str">
        <f>IFERROR(INDEX(Suppliers!$B:$B,MATCH($A85,Suppliers!$A:$A,0)),"")</f>
        <v>Silver Apparels</v>
      </c>
      <c r="C85" s="16">
        <f>SUMIFS(Sales_Transactions!$M$2:$M$3001,Sales_Transactions!$AB$2:$AB$3001,$A85,Sales_Transactions!$R$2:$R$3001,"&lt;&gt;Void/Cancelled")</f>
        <v>243671.75</v>
      </c>
      <c r="D85" s="17">
        <f>IFERROR(SUMIFS(Sales_Transactions!$O$2:$O$3001,Sales_Transactions!$AB$2:$AB$3001,$A85,Sales_Transactions!$R$2:$R$3001,"&lt;&gt;Void/Cancelled")/SUMIFS(Sales_Transactions!$M$2:$M$3001,Sales_Transactions!$AB$2:$AB$3001,$A85,Sales_Transactions!$R$2:$R$3001,"&lt;&gt;Void/Cancelled"),0)</f>
        <v>0.13040424259275027</v>
      </c>
      <c r="E85" s="15">
        <f>IFERROR(INDEX(Suppliers!$H:$H,MATCH($A85,Suppliers!$A:$A,0)),"")</f>
        <v>14</v>
      </c>
      <c r="F85" s="15">
        <f>IFERROR(INDEX(Suppliers!$I:$I,MATCH($A85,Suppliers!$A:$A,0)),"")</f>
        <v>3.6</v>
      </c>
    </row>
    <row r="86" spans="1:8" x14ac:dyDescent="0.25">
      <c r="A86" s="15" t="s">
        <v>114</v>
      </c>
      <c r="B86" s="15" t="str">
        <f>IFERROR(INDEX(Suppliers!$B:$B,MATCH($A86,Suppliers!$A:$A,0)),"")</f>
        <v>Sri Fashions</v>
      </c>
      <c r="C86" s="16">
        <f>SUMIFS(Sales_Transactions!$M$2:$M$3001,Sales_Transactions!$AB$2:$AB$3001,$A86,Sales_Transactions!$R$2:$R$3001,"&lt;&gt;Void/Cancelled")</f>
        <v>239073.61999999997</v>
      </c>
      <c r="D86" s="17">
        <f>IFERROR(SUMIFS(Sales_Transactions!$O$2:$O$3001,Sales_Transactions!$AB$2:$AB$3001,$A86,Sales_Transactions!$R$2:$R$3001,"&lt;&gt;Void/Cancelled")/SUMIFS(Sales_Transactions!$M$2:$M$3001,Sales_Transactions!$AB$2:$AB$3001,$A86,Sales_Transactions!$R$2:$R$3001,"&lt;&gt;Void/Cancelled"),0)</f>
        <v>0.20761830602640313</v>
      </c>
      <c r="E86" s="15">
        <f>IFERROR(INDEX(Suppliers!$H:$H,MATCH($A86,Suppliers!$A:$A,0)),"")</f>
        <v>18</v>
      </c>
      <c r="F86" s="15">
        <f>IFERROR(INDEX(Suppliers!$I:$I,MATCH($A86,Suppliers!$A:$A,0)),"")</f>
        <v>2.7</v>
      </c>
    </row>
    <row r="87" spans="1:8" x14ac:dyDescent="0.25">
      <c r="A87" s="15" t="s">
        <v>115</v>
      </c>
      <c r="B87" s="15" t="str">
        <f>IFERROR(INDEX(Suppliers!$B:$B,MATCH($A87,Suppliers!$A:$A,0)),"")</f>
        <v>Metro Fashions</v>
      </c>
      <c r="C87" s="16">
        <f>SUMIFS(Sales_Transactions!$M$2:$M$3001,Sales_Transactions!$AB$2:$AB$3001,$A87,Sales_Transactions!$R$2:$R$3001,"&lt;&gt;Void/Cancelled")</f>
        <v>230716.26000000007</v>
      </c>
      <c r="D87" s="17">
        <f>IFERROR(SUMIFS(Sales_Transactions!$O$2:$O$3001,Sales_Transactions!$AB$2:$AB$3001,$A87,Sales_Transactions!$R$2:$R$3001,"&lt;&gt;Void/Cancelled")/SUMIFS(Sales_Transactions!$M$2:$M$3001,Sales_Transactions!$AB$2:$AB$3001,$A87,Sales_Transactions!$R$2:$R$3001,"&lt;&gt;Void/Cancelled"),0)</f>
        <v>0.19232467620617627</v>
      </c>
      <c r="E87" s="15">
        <f>IFERROR(INDEX(Suppliers!$H:$H,MATCH($A87,Suppliers!$A:$A,0)),"")</f>
        <v>10</v>
      </c>
      <c r="F87" s="15">
        <f>IFERROR(INDEX(Suppliers!$I:$I,MATCH($A87,Suppliers!$A:$A,0)),"")</f>
        <v>3.5</v>
      </c>
    </row>
    <row r="88" spans="1:8" x14ac:dyDescent="0.25">
      <c r="A88" s="15" t="s">
        <v>116</v>
      </c>
      <c r="B88" s="15" t="str">
        <f>IFERROR(INDEX(Suppliers!$B:$B,MATCH($A88,Suppliers!$A:$A,0)),"")</f>
        <v>Royal Textiles</v>
      </c>
      <c r="C88" s="16">
        <f>SUMIFS(Sales_Transactions!$M$2:$M$3001,Sales_Transactions!$AB$2:$AB$3001,$A88,Sales_Transactions!$R$2:$R$3001,"&lt;&gt;Void/Cancelled")</f>
        <v>228350.18999999997</v>
      </c>
      <c r="D88" s="17">
        <f>IFERROR(SUMIFS(Sales_Transactions!$O$2:$O$3001,Sales_Transactions!$AB$2:$AB$3001,$A88,Sales_Transactions!$R$2:$R$3001,"&lt;&gt;Void/Cancelled")/SUMIFS(Sales_Transactions!$M$2:$M$3001,Sales_Transactions!$AB$2:$AB$3001,$A88,Sales_Transactions!$R$2:$R$3001,"&lt;&gt;Void/Cancelled"),0)</f>
        <v>0.16673522364925555</v>
      </c>
      <c r="E88" s="15">
        <f>IFERROR(INDEX(Suppliers!$H:$H,MATCH($A88,Suppliers!$A:$A,0)),"")</f>
        <v>20</v>
      </c>
      <c r="F88" s="15">
        <f>IFERROR(INDEX(Suppliers!$I:$I,MATCH($A88,Suppliers!$A:$A,0)),"")</f>
        <v>4.3</v>
      </c>
    </row>
    <row r="90" spans="1:8" ht="19.5" customHeight="1" x14ac:dyDescent="0.25">
      <c r="A90" s="1" t="s">
        <v>117</v>
      </c>
      <c r="B90" s="1"/>
      <c r="C90" s="1"/>
      <c r="D90" s="1"/>
      <c r="E90" s="1"/>
      <c r="F90" s="1"/>
      <c r="G90" s="1"/>
      <c r="H90" s="1"/>
    </row>
    <row r="91" spans="1:8" x14ac:dyDescent="0.25">
      <c r="A91" s="14" t="s">
        <v>118</v>
      </c>
      <c r="B91" s="14" t="s">
        <v>9</v>
      </c>
      <c r="D91" s="14" t="s">
        <v>119</v>
      </c>
      <c r="E91" s="14" t="s">
        <v>9</v>
      </c>
    </row>
    <row r="92" spans="1:8" x14ac:dyDescent="0.25">
      <c r="A92" s="15" t="s">
        <v>120</v>
      </c>
      <c r="B92" s="16">
        <f>SUMIFS(Sales_Transactions!$M$2:$M$3001,Sales_Transactions!$Q$2:$Q$3001,$A92,Sales_Transactions!$R$2:$R$3001,"&lt;&gt;Void/Cancelled")</f>
        <v>6048775.939999992</v>
      </c>
      <c r="D92" s="15" t="s">
        <v>121</v>
      </c>
      <c r="E92" s="16">
        <f>SUMIFS(Sales_Transactions!$M$2:$M$3001,Sales_Transactions!$P$2:$P$3001,$D92,Sales_Transactions!$R$2:$R$3001,"&lt;&gt;Void/Cancelled")</f>
        <v>2619078.1199999996</v>
      </c>
    </row>
    <row r="93" spans="1:8" x14ac:dyDescent="0.25">
      <c r="A93" s="15" t="s">
        <v>122</v>
      </c>
      <c r="B93" s="16">
        <f>SUMIFS(Sales_Transactions!$M$2:$M$3001,Sales_Transactions!$Q$2:$Q$3001,$A93,Sales_Transactions!$R$2:$R$3001,"&lt;&gt;Void/Cancelled")</f>
        <v>3178404.0200000037</v>
      </c>
      <c r="D93" s="15" t="s">
        <v>123</v>
      </c>
      <c r="E93" s="16">
        <f>SUMIFS(Sales_Transactions!$M$2:$M$3001,Sales_Transactions!$P$2:$P$3001,$D93,Sales_Transactions!$R$2:$R$3001,"&lt;&gt;Void/Cancelled")</f>
        <v>2021009.6799999992</v>
      </c>
    </row>
    <row r="94" spans="1:8" x14ac:dyDescent="0.25">
      <c r="D94" s="15" t="s">
        <v>124</v>
      </c>
      <c r="E94" s="16">
        <f>SUMIFS(Sales_Transactions!$M$2:$M$3001,Sales_Transactions!$P$2:$P$3001,$D94,Sales_Transactions!$R$2:$R$3001,"&lt;&gt;Void/Cancelled")</f>
        <v>1879703.55</v>
      </c>
    </row>
    <row r="95" spans="1:8" x14ac:dyDescent="0.25">
      <c r="D95" s="15" t="s">
        <v>125</v>
      </c>
      <c r="E95" s="16">
        <f>SUMIFS(Sales_Transactions!$M$2:$M$3001,Sales_Transactions!$P$2:$P$3001,$D95,Sales_Transactions!$R$2:$R$3001,"&lt;&gt;Void/Cancelled")</f>
        <v>1763452.5300000012</v>
      </c>
    </row>
    <row r="96" spans="1:8" x14ac:dyDescent="0.25">
      <c r="D96" s="15" t="s">
        <v>126</v>
      </c>
      <c r="E96" s="16">
        <f>SUMIFS(Sales_Transactions!$M$2:$M$3001,Sales_Transactions!$P$2:$P$3001,$D96,Sales_Transactions!$R$2:$R$3001,"&lt;&gt;Void/Cancelled")</f>
        <v>600470.11000000034</v>
      </c>
    </row>
    <row r="97" spans="4:5" x14ac:dyDescent="0.25">
      <c r="D97" s="15" t="s">
        <v>127</v>
      </c>
      <c r="E97" s="16">
        <f>SUMIFS(Sales_Transactions!$M$2:$M$3001,Sales_Transactions!$P$2:$P$3001,$D97,Sales_Transactions!$R$2:$R$3001,"&lt;&gt;Void/Cancelled")</f>
        <v>343465.97</v>
      </c>
    </row>
  </sheetData>
  <mergeCells count="18">
    <mergeCell ref="A90:H90"/>
    <mergeCell ref="A7:H7"/>
    <mergeCell ref="A31:H31"/>
    <mergeCell ref="A38:H38"/>
    <mergeCell ref="A53:H53"/>
    <mergeCell ref="A77:H77"/>
    <mergeCell ref="A5:C5"/>
    <mergeCell ref="D5:F5"/>
    <mergeCell ref="G5:I5"/>
    <mergeCell ref="J5:L5"/>
    <mergeCell ref="M5:O5"/>
    <mergeCell ref="A1:P1"/>
    <mergeCell ref="A2:P2"/>
    <mergeCell ref="A4:C4"/>
    <mergeCell ref="D4:F4"/>
    <mergeCell ref="G4:I4"/>
    <mergeCell ref="J4:L4"/>
    <mergeCell ref="M4:O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00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28" width="14" customWidth="1"/>
  </cols>
  <sheetData>
    <row r="1" spans="1:28" x14ac:dyDescent="0.25">
      <c r="A1" s="19" t="s">
        <v>128</v>
      </c>
      <c r="B1" s="19" t="s">
        <v>129</v>
      </c>
      <c r="C1" s="19" t="s">
        <v>130</v>
      </c>
      <c r="D1" s="19" t="s">
        <v>131</v>
      </c>
      <c r="E1" s="19" t="s">
        <v>79</v>
      </c>
      <c r="F1" s="19" t="s">
        <v>132</v>
      </c>
      <c r="G1" s="19" t="s">
        <v>133</v>
      </c>
      <c r="H1" s="19" t="s">
        <v>134</v>
      </c>
      <c r="I1" s="19" t="s">
        <v>135</v>
      </c>
      <c r="J1" s="19" t="s">
        <v>136</v>
      </c>
      <c r="K1" s="19" t="s">
        <v>137</v>
      </c>
      <c r="L1" s="19" t="s">
        <v>138</v>
      </c>
      <c r="M1" s="19" t="s">
        <v>139</v>
      </c>
      <c r="N1" s="19" t="s">
        <v>140</v>
      </c>
      <c r="O1" s="19" t="s">
        <v>141</v>
      </c>
      <c r="P1" s="19" t="s">
        <v>119</v>
      </c>
      <c r="Q1" s="19" t="s">
        <v>118</v>
      </c>
      <c r="R1" s="19" t="s">
        <v>142</v>
      </c>
      <c r="S1" s="19" t="s">
        <v>143</v>
      </c>
      <c r="T1" s="19" t="s">
        <v>144</v>
      </c>
      <c r="U1" s="19" t="s">
        <v>145</v>
      </c>
      <c r="V1" s="19" t="s">
        <v>8</v>
      </c>
      <c r="W1" s="19" t="s">
        <v>146</v>
      </c>
      <c r="X1" s="19" t="s">
        <v>80</v>
      </c>
      <c r="Y1" s="19" t="s">
        <v>34</v>
      </c>
      <c r="Z1" s="19" t="s">
        <v>37</v>
      </c>
      <c r="AA1" s="19" t="s">
        <v>46</v>
      </c>
      <c r="AB1" s="19" t="s">
        <v>103</v>
      </c>
    </row>
    <row r="2" spans="1:28" x14ac:dyDescent="0.25">
      <c r="A2" t="s">
        <v>147</v>
      </c>
      <c r="B2" s="20">
        <v>45642</v>
      </c>
      <c r="C2" t="s">
        <v>148</v>
      </c>
      <c r="D2" t="s">
        <v>149</v>
      </c>
      <c r="E2" t="s">
        <v>81</v>
      </c>
      <c r="F2" t="s">
        <v>150</v>
      </c>
      <c r="G2">
        <v>1</v>
      </c>
      <c r="H2" s="21">
        <v>749.84</v>
      </c>
      <c r="I2">
        <v>10</v>
      </c>
      <c r="J2" s="21">
        <v>74.98</v>
      </c>
      <c r="K2">
        <v>5</v>
      </c>
      <c r="L2" s="21">
        <v>33.74</v>
      </c>
      <c r="M2" s="21">
        <v>708.6</v>
      </c>
      <c r="N2" s="21">
        <v>496.67</v>
      </c>
      <c r="O2" s="21">
        <v>178.19</v>
      </c>
      <c r="P2" t="s">
        <v>121</v>
      </c>
      <c r="Q2" t="s">
        <v>120</v>
      </c>
      <c r="R2" t="s">
        <v>151</v>
      </c>
      <c r="S2" t="s">
        <v>152</v>
      </c>
      <c r="T2" t="s">
        <v>153</v>
      </c>
      <c r="U2" t="s">
        <v>154</v>
      </c>
      <c r="V2" t="str">
        <f>IFERROR(INDEX(Products!$C:$C,MATCH(D2,Products!$A:$A,0)),"Unknown")</f>
        <v>Women Kurtis</v>
      </c>
      <c r="W2" t="str">
        <f>IFERROR(INDEX(Products!$E:$E,MATCH(D2,Products!$A:$A,0)),"Unknown")</f>
        <v>Pepe Jeans</v>
      </c>
      <c r="X2" t="str">
        <f>IFERROR(INDEX(Stores!$B:$B,MATCH(E2,Stores!$A:$A,0)),"Unknown")</f>
        <v>TrendMart Vijayawada High Street</v>
      </c>
      <c r="Y2" t="str">
        <f>IFERROR(INDEX(Stores!$E:$E,MATCH(E2,Stores!$A:$A,0)),"Unknown")</f>
        <v>South Zone 3</v>
      </c>
      <c r="Z2" t="str">
        <f>IFERROR(INDEX(Customers!$J:$J,MATCH(C2,Customers!$A:$A,0)),"Unknown")</f>
        <v>Regular</v>
      </c>
      <c r="AA2" t="str">
        <f t="shared" ref="AA2:AA65" si="0">TEXT(B2,"YYYY-MM")</f>
        <v>2024-12</v>
      </c>
      <c r="AB2" t="str">
        <f>IFERROR(INDEX(Products!$I:$I,MATCH(D2,Products!$A:$A,0)),"Unknown")</f>
        <v>SUP049</v>
      </c>
    </row>
    <row r="3" spans="1:28" x14ac:dyDescent="0.25">
      <c r="A3" t="s">
        <v>155</v>
      </c>
      <c r="B3" s="20">
        <v>45578</v>
      </c>
      <c r="C3" t="s">
        <v>156</v>
      </c>
      <c r="D3" t="s">
        <v>157</v>
      </c>
      <c r="E3" t="s">
        <v>158</v>
      </c>
      <c r="F3" t="s">
        <v>159</v>
      </c>
      <c r="G3">
        <v>2</v>
      </c>
      <c r="H3" s="21">
        <v>909.55</v>
      </c>
      <c r="I3">
        <v>25</v>
      </c>
      <c r="J3" s="21">
        <v>454.77</v>
      </c>
      <c r="K3">
        <v>5</v>
      </c>
      <c r="L3" s="21">
        <v>68.22</v>
      </c>
      <c r="M3" s="21">
        <v>1432.55</v>
      </c>
      <c r="N3" s="21">
        <v>984.22</v>
      </c>
      <c r="O3" s="21">
        <v>380.11</v>
      </c>
      <c r="P3" t="s">
        <v>124</v>
      </c>
      <c r="Q3" t="s">
        <v>122</v>
      </c>
      <c r="R3" t="s">
        <v>151</v>
      </c>
      <c r="S3" t="s">
        <v>160</v>
      </c>
      <c r="T3" t="s">
        <v>161</v>
      </c>
      <c r="U3" t="s">
        <v>154</v>
      </c>
      <c r="V3" t="str">
        <f>IFERROR(INDEX(Products!$C:$C,MATCH(D3,Products!$A:$A,0)),"Unknown")</f>
        <v>Men T-Shirts</v>
      </c>
      <c r="W3" t="str">
        <f>IFERROR(INDEX(Products!$E:$E,MATCH(D3,Products!$A:$A,0)),"Unknown")</f>
        <v>Reebok</v>
      </c>
      <c r="X3" t="str">
        <f>IFERROR(INDEX(Stores!$B:$B,MATCH(E3,Stores!$A:$A,0)),"Unknown")</f>
        <v>TrendMart Tirunelveli High Street</v>
      </c>
      <c r="Y3" t="str">
        <f>IFERROR(INDEX(Stores!$E:$E,MATCH(E3,Stores!$A:$A,0)),"Unknown")</f>
        <v>South Zone 1</v>
      </c>
      <c r="Z3" t="str">
        <f>IFERROR(INDEX(Customers!$J:$J,MATCH(C3,Customers!$A:$A,0)),"Unknown")</f>
        <v>Regular</v>
      </c>
      <c r="AA3" t="str">
        <f t="shared" si="0"/>
        <v>2024-10</v>
      </c>
      <c r="AB3" t="str">
        <f>IFERROR(INDEX(Products!$I:$I,MATCH(D3,Products!$A:$A,0)),"Unknown")</f>
        <v>SUP073</v>
      </c>
    </row>
    <row r="4" spans="1:28" x14ac:dyDescent="0.25">
      <c r="A4" t="s">
        <v>162</v>
      </c>
      <c r="B4" s="20">
        <v>45657</v>
      </c>
      <c r="C4" t="s">
        <v>163</v>
      </c>
      <c r="D4" t="s">
        <v>164</v>
      </c>
      <c r="E4" t="s">
        <v>84</v>
      </c>
      <c r="F4" t="s">
        <v>165</v>
      </c>
      <c r="G4">
        <v>2</v>
      </c>
      <c r="H4" s="21">
        <v>3872.21</v>
      </c>
      <c r="I4">
        <v>0</v>
      </c>
      <c r="J4" s="21">
        <v>0</v>
      </c>
      <c r="K4">
        <v>12</v>
      </c>
      <c r="L4" s="21">
        <v>929.33</v>
      </c>
      <c r="M4" s="21">
        <v>8673.75</v>
      </c>
      <c r="N4" s="21">
        <v>5267.12</v>
      </c>
      <c r="O4" s="21">
        <v>2477.3000000000002</v>
      </c>
      <c r="P4" t="s">
        <v>124</v>
      </c>
      <c r="Q4" t="s">
        <v>122</v>
      </c>
      <c r="R4" t="s">
        <v>151</v>
      </c>
      <c r="S4" t="s">
        <v>166</v>
      </c>
      <c r="T4" t="s">
        <v>153</v>
      </c>
      <c r="U4" t="s">
        <v>154</v>
      </c>
      <c r="V4" t="str">
        <f>IFERROR(INDEX(Products!$C:$C,MATCH(D4,Products!$A:$A,0)),"Unknown")</f>
        <v>Women Sarees</v>
      </c>
      <c r="W4" t="str">
        <f>IFERROR(INDEX(Products!$E:$E,MATCH(D4,Products!$A:$A,0)),"Unknown")</f>
        <v>Westside</v>
      </c>
      <c r="X4" t="str">
        <f>IFERROR(INDEX(Stores!$B:$B,MATCH(E4,Stores!$A:$A,0)),"Unknown")</f>
        <v>TrendMart Tirupati Standard</v>
      </c>
      <c r="Y4" t="str">
        <f>IFERROR(INDEX(Stores!$E:$E,MATCH(E4,Stores!$A:$A,0)),"Unknown")</f>
        <v>South Zone 3</v>
      </c>
      <c r="Z4" t="str">
        <f>IFERROR(INDEX(Customers!$J:$J,MATCH(C4,Customers!$A:$A,0)),"Unknown")</f>
        <v>Silver</v>
      </c>
      <c r="AA4" t="str">
        <f t="shared" si="0"/>
        <v>2024-12</v>
      </c>
      <c r="AB4" t="str">
        <f>IFERROR(INDEX(Products!$I:$I,MATCH(D4,Products!$A:$A,0)),"Unknown")</f>
        <v>SUP069</v>
      </c>
    </row>
    <row r="5" spans="1:28" x14ac:dyDescent="0.25">
      <c r="A5" t="s">
        <v>167</v>
      </c>
      <c r="B5" s="20">
        <v>45437</v>
      </c>
      <c r="C5" t="s">
        <v>168</v>
      </c>
      <c r="D5" t="s">
        <v>169</v>
      </c>
      <c r="E5" t="s">
        <v>83</v>
      </c>
      <c r="F5" t="s">
        <v>170</v>
      </c>
      <c r="G5">
        <v>4</v>
      </c>
      <c r="H5" s="21">
        <v>4857.75</v>
      </c>
      <c r="I5">
        <v>20</v>
      </c>
      <c r="J5" s="21">
        <v>3886.2</v>
      </c>
      <c r="K5">
        <v>12</v>
      </c>
      <c r="L5" s="21">
        <v>1865.38</v>
      </c>
      <c r="M5" s="21">
        <v>17410.18</v>
      </c>
      <c r="N5" s="21">
        <v>13483.2</v>
      </c>
      <c r="O5" s="21">
        <v>2061.6</v>
      </c>
      <c r="P5" t="s">
        <v>121</v>
      </c>
      <c r="Q5" t="s">
        <v>122</v>
      </c>
      <c r="R5" t="s">
        <v>151</v>
      </c>
      <c r="S5" t="s">
        <v>171</v>
      </c>
      <c r="T5" t="s">
        <v>161</v>
      </c>
      <c r="U5" t="s">
        <v>154</v>
      </c>
      <c r="V5" t="str">
        <f>IFERROR(INDEX(Products!$C:$C,MATCH(D5,Products!$A:$A,0)),"Unknown")</f>
        <v>Women Sarees</v>
      </c>
      <c r="W5" t="str">
        <f>IFERROR(INDEX(Products!$E:$E,MATCH(D5,Products!$A:$A,0)),"Unknown")</f>
        <v>Max Fashion</v>
      </c>
      <c r="X5" t="str">
        <f>IFERROR(INDEX(Stores!$B:$B,MATCH(E5,Stores!$A:$A,0)),"Unknown")</f>
        <v>TrendMart Vellore Standard</v>
      </c>
      <c r="Y5" t="str">
        <f>IFERROR(INDEX(Stores!$E:$E,MATCH(E5,Stores!$A:$A,0)),"Unknown")</f>
        <v>South Zone 1</v>
      </c>
      <c r="Z5" t="str">
        <f>IFERROR(INDEX(Customers!$J:$J,MATCH(C5,Customers!$A:$A,0)),"Unknown")</f>
        <v>Regular</v>
      </c>
      <c r="AA5" t="str">
        <f t="shared" si="0"/>
        <v>2024-05</v>
      </c>
      <c r="AB5" t="str">
        <f>IFERROR(INDEX(Products!$I:$I,MATCH(D5,Products!$A:$A,0)),"Unknown")</f>
        <v>SUP084</v>
      </c>
    </row>
    <row r="6" spans="1:28" x14ac:dyDescent="0.25">
      <c r="A6" t="s">
        <v>172</v>
      </c>
      <c r="B6" s="20">
        <v>45487</v>
      </c>
      <c r="C6" t="s">
        <v>173</v>
      </c>
      <c r="D6" t="s">
        <v>174</v>
      </c>
      <c r="E6" t="s">
        <v>175</v>
      </c>
      <c r="F6" t="s">
        <v>176</v>
      </c>
      <c r="G6">
        <v>1</v>
      </c>
      <c r="H6" s="21">
        <v>874.25</v>
      </c>
      <c r="I6">
        <v>0</v>
      </c>
      <c r="J6" s="21">
        <v>0</v>
      </c>
      <c r="K6">
        <v>5</v>
      </c>
      <c r="L6" s="21">
        <v>43.71</v>
      </c>
      <c r="M6" s="21">
        <v>917.96</v>
      </c>
      <c r="N6" s="21">
        <v>539.76</v>
      </c>
      <c r="O6" s="21">
        <v>334.49</v>
      </c>
      <c r="P6" t="s">
        <v>123</v>
      </c>
      <c r="Q6" t="s">
        <v>120</v>
      </c>
      <c r="R6" t="s">
        <v>151</v>
      </c>
      <c r="S6" t="s">
        <v>177</v>
      </c>
      <c r="T6" t="s">
        <v>161</v>
      </c>
      <c r="U6" t="s">
        <v>154</v>
      </c>
      <c r="V6" t="str">
        <f>IFERROR(INDEX(Products!$C:$C,MATCH(D6,Products!$A:$A,0)),"Unknown")</f>
        <v>Women Kurtis</v>
      </c>
      <c r="W6" t="str">
        <f>IFERROR(INDEX(Products!$E:$E,MATCH(D6,Products!$A:$A,0)),"Unknown")</f>
        <v>Reebok</v>
      </c>
      <c r="X6" t="str">
        <f>IFERROR(INDEX(Stores!$B:$B,MATCH(E6,Stores!$A:$A,0)),"Unknown")</f>
        <v>TrendMart Thoothukudi Flagship</v>
      </c>
      <c r="Y6" t="str">
        <f>IFERROR(INDEX(Stores!$E:$E,MATCH(E6,Stores!$A:$A,0)),"Unknown")</f>
        <v>South Zone 1</v>
      </c>
      <c r="Z6" t="str">
        <f>IFERROR(INDEX(Customers!$J:$J,MATCH(C6,Customers!$A:$A,0)),"Unknown")</f>
        <v>Regular</v>
      </c>
      <c r="AA6" t="str">
        <f t="shared" si="0"/>
        <v>2024-07</v>
      </c>
      <c r="AB6" t="str">
        <f>IFERROR(INDEX(Products!$I:$I,MATCH(D6,Products!$A:$A,0)),"Unknown")</f>
        <v>SUP012</v>
      </c>
    </row>
    <row r="7" spans="1:28" x14ac:dyDescent="0.25">
      <c r="A7" t="s">
        <v>178</v>
      </c>
      <c r="B7" s="20">
        <v>45704</v>
      </c>
      <c r="C7" t="s">
        <v>179</v>
      </c>
      <c r="D7" t="s">
        <v>180</v>
      </c>
      <c r="E7" t="s">
        <v>181</v>
      </c>
      <c r="F7" t="s">
        <v>182</v>
      </c>
      <c r="G7">
        <v>2</v>
      </c>
      <c r="H7" s="21">
        <v>3390.61</v>
      </c>
      <c r="I7">
        <v>30</v>
      </c>
      <c r="J7" s="21">
        <v>2034.37</v>
      </c>
      <c r="K7">
        <v>12</v>
      </c>
      <c r="L7" s="21">
        <v>569.62</v>
      </c>
      <c r="M7" s="21">
        <v>5316.47</v>
      </c>
      <c r="N7" s="21">
        <v>4849.24</v>
      </c>
      <c r="O7" s="21">
        <v>-102.39</v>
      </c>
      <c r="P7" t="s">
        <v>123</v>
      </c>
      <c r="Q7" t="s">
        <v>120</v>
      </c>
      <c r="R7" t="s">
        <v>151</v>
      </c>
      <c r="S7" t="s">
        <v>183</v>
      </c>
      <c r="T7" t="s">
        <v>161</v>
      </c>
      <c r="U7" t="s">
        <v>184</v>
      </c>
      <c r="V7" t="str">
        <f>IFERROR(INDEX(Products!$C:$C,MATCH(D7,Products!$A:$A,0)),"Unknown")</f>
        <v>Footwear</v>
      </c>
      <c r="W7" t="str">
        <f>IFERROR(INDEX(Products!$E:$E,MATCH(D7,Products!$A:$A,0)),"Unknown")</f>
        <v>US Polo Assn</v>
      </c>
      <c r="X7" t="str">
        <f>IFERROR(INDEX(Stores!$B:$B,MATCH(E7,Stores!$A:$A,0)),"Unknown")</f>
        <v>TrendMart Kurnool High Street</v>
      </c>
      <c r="Y7" t="str">
        <f>IFERROR(INDEX(Stores!$E:$E,MATCH(E7,Stores!$A:$A,0)),"Unknown")</f>
        <v>South Zone 3</v>
      </c>
      <c r="Z7" t="str">
        <f>IFERROR(INDEX(Customers!$J:$J,MATCH(C7,Customers!$A:$A,0)),"Unknown")</f>
        <v>Platinum</v>
      </c>
      <c r="AA7" t="str">
        <f t="shared" si="0"/>
        <v>2025-02</v>
      </c>
      <c r="AB7" t="str">
        <f>IFERROR(INDEX(Products!$I:$I,MATCH(D7,Products!$A:$A,0)),"Unknown")</f>
        <v>SUP084</v>
      </c>
    </row>
    <row r="8" spans="1:28" x14ac:dyDescent="0.25">
      <c r="A8" t="s">
        <v>185</v>
      </c>
      <c r="B8" s="20">
        <v>45457</v>
      </c>
      <c r="C8" t="s">
        <v>186</v>
      </c>
      <c r="D8" t="s">
        <v>187</v>
      </c>
      <c r="E8" t="s">
        <v>188</v>
      </c>
      <c r="F8" t="s">
        <v>189</v>
      </c>
      <c r="G8">
        <v>4</v>
      </c>
      <c r="H8" s="21">
        <v>1474.99</v>
      </c>
      <c r="I8">
        <v>0</v>
      </c>
      <c r="J8" s="21">
        <v>0</v>
      </c>
      <c r="K8">
        <v>12</v>
      </c>
      <c r="L8" s="21">
        <v>708</v>
      </c>
      <c r="M8" s="21">
        <v>6607.96</v>
      </c>
      <c r="N8" s="21">
        <v>4594.6400000000003</v>
      </c>
      <c r="O8" s="21">
        <v>1305.32</v>
      </c>
      <c r="P8" t="s">
        <v>125</v>
      </c>
      <c r="Q8" t="s">
        <v>120</v>
      </c>
      <c r="R8" t="s">
        <v>151</v>
      </c>
      <c r="S8" t="s">
        <v>190</v>
      </c>
      <c r="T8" t="s">
        <v>153</v>
      </c>
      <c r="U8" t="s">
        <v>154</v>
      </c>
      <c r="V8" t="str">
        <f>IFERROR(INDEX(Products!$C:$C,MATCH(D8,Products!$A:$A,0)),"Unknown")</f>
        <v>Sportswear</v>
      </c>
      <c r="W8" t="str">
        <f>IFERROR(INDEX(Products!$E:$E,MATCH(D8,Products!$A:$A,0)),"Unknown")</f>
        <v>US Polo Assn</v>
      </c>
      <c r="X8" t="str">
        <f>IFERROR(INDEX(Stores!$B:$B,MATCH(E8,Stores!$A:$A,0)),"Unknown")</f>
        <v>TrendMart Vijayawada Standard</v>
      </c>
      <c r="Y8" t="str">
        <f>IFERROR(INDEX(Stores!$E:$E,MATCH(E8,Stores!$A:$A,0)),"Unknown")</f>
        <v>South Zone 3</v>
      </c>
      <c r="Z8" t="str">
        <f>IFERROR(INDEX(Customers!$J:$J,MATCH(C8,Customers!$A:$A,0)),"Unknown")</f>
        <v>Silver</v>
      </c>
      <c r="AA8" t="str">
        <f t="shared" si="0"/>
        <v>2024-06</v>
      </c>
      <c r="AB8" t="str">
        <f>IFERROR(INDEX(Products!$I:$I,MATCH(D8,Products!$A:$A,0)),"Unknown")</f>
        <v>SUP043</v>
      </c>
    </row>
    <row r="9" spans="1:28" x14ac:dyDescent="0.25">
      <c r="A9" t="s">
        <v>191</v>
      </c>
      <c r="B9" s="20">
        <v>45678</v>
      </c>
      <c r="C9" t="s">
        <v>192</v>
      </c>
      <c r="D9" t="s">
        <v>193</v>
      </c>
      <c r="E9" t="s">
        <v>194</v>
      </c>
      <c r="F9" t="s">
        <v>195</v>
      </c>
      <c r="G9">
        <v>1</v>
      </c>
      <c r="H9" s="21">
        <v>1407.12</v>
      </c>
      <c r="I9">
        <v>0</v>
      </c>
      <c r="J9" s="21">
        <v>0</v>
      </c>
      <c r="K9">
        <v>12</v>
      </c>
      <c r="L9" s="21">
        <v>168.85</v>
      </c>
      <c r="M9" s="21">
        <v>1575.97</v>
      </c>
      <c r="N9" s="21">
        <v>1067.72</v>
      </c>
      <c r="O9" s="21">
        <v>339.4</v>
      </c>
      <c r="P9" t="s">
        <v>121</v>
      </c>
      <c r="Q9" t="s">
        <v>120</v>
      </c>
      <c r="R9" t="s">
        <v>151</v>
      </c>
      <c r="S9" t="s">
        <v>196</v>
      </c>
      <c r="T9" t="s">
        <v>153</v>
      </c>
      <c r="U9" t="s">
        <v>154</v>
      </c>
      <c r="V9" t="str">
        <f>IFERROR(INDEX(Products!$C:$C,MATCH(D9,Products!$A:$A,0)),"Unknown")</f>
        <v>Men Jeans</v>
      </c>
      <c r="W9" t="str">
        <f>IFERROR(INDEX(Products!$E:$E,MATCH(D9,Products!$A:$A,0)),"Unknown")</f>
        <v>Metro Shoes</v>
      </c>
      <c r="X9" t="str">
        <f>IFERROR(INDEX(Stores!$B:$B,MATCH(E9,Stores!$A:$A,0)),"Unknown")</f>
        <v>TrendMart Tirupati High Street</v>
      </c>
      <c r="Y9" t="str">
        <f>IFERROR(INDEX(Stores!$E:$E,MATCH(E9,Stores!$A:$A,0)),"Unknown")</f>
        <v>South Zone 3</v>
      </c>
      <c r="Z9" t="str">
        <f>IFERROR(INDEX(Customers!$J:$J,MATCH(C9,Customers!$A:$A,0)),"Unknown")</f>
        <v>Silver</v>
      </c>
      <c r="AA9" t="str">
        <f t="shared" si="0"/>
        <v>2025-01</v>
      </c>
      <c r="AB9" t="str">
        <f>IFERROR(INDEX(Products!$I:$I,MATCH(D9,Products!$A:$A,0)),"Unknown")</f>
        <v>SUP059</v>
      </c>
    </row>
    <row r="10" spans="1:28" x14ac:dyDescent="0.25">
      <c r="A10" t="s">
        <v>197</v>
      </c>
      <c r="B10" s="20">
        <v>45541</v>
      </c>
      <c r="C10" t="s">
        <v>198</v>
      </c>
      <c r="D10" t="s">
        <v>199</v>
      </c>
      <c r="E10" t="s">
        <v>200</v>
      </c>
      <c r="F10" t="s">
        <v>201</v>
      </c>
      <c r="G10">
        <v>5</v>
      </c>
      <c r="H10" s="21">
        <v>851.61</v>
      </c>
      <c r="I10">
        <v>5</v>
      </c>
      <c r="J10" s="21">
        <v>212.9</v>
      </c>
      <c r="K10">
        <v>5</v>
      </c>
      <c r="L10" s="21">
        <v>202.26</v>
      </c>
      <c r="M10" s="21">
        <v>4247.41</v>
      </c>
      <c r="N10" s="21">
        <v>2443</v>
      </c>
      <c r="O10" s="21">
        <v>1602.15</v>
      </c>
      <c r="P10" t="s">
        <v>124</v>
      </c>
      <c r="Q10" t="s">
        <v>120</v>
      </c>
      <c r="R10" t="s">
        <v>151</v>
      </c>
      <c r="S10" t="s">
        <v>202</v>
      </c>
      <c r="T10" t="s">
        <v>153</v>
      </c>
      <c r="U10" t="s">
        <v>154</v>
      </c>
      <c r="V10" t="str">
        <f>IFERROR(INDEX(Products!$C:$C,MATCH(D10,Products!$A:$A,0)),"Unknown")</f>
        <v>Accessories</v>
      </c>
      <c r="W10" t="str">
        <f>IFERROR(INDEX(Products!$E:$E,MATCH(D10,Products!$A:$A,0)),"Unknown")</f>
        <v>Arrow</v>
      </c>
      <c r="X10" t="str">
        <f>IFERROR(INDEX(Stores!$B:$B,MATCH(E10,Stores!$A:$A,0)),"Unknown")</f>
        <v>TrendMart Kozhikode Standard</v>
      </c>
      <c r="Y10" t="str">
        <f>IFERROR(INDEX(Stores!$E:$E,MATCH(E10,Stores!$A:$A,0)),"Unknown")</f>
        <v>South Zone 1</v>
      </c>
      <c r="Z10" t="str">
        <f>IFERROR(INDEX(Customers!$J:$J,MATCH(C10,Customers!$A:$A,0)),"Unknown")</f>
        <v>Gold</v>
      </c>
      <c r="AA10" t="str">
        <f t="shared" si="0"/>
        <v>2024-09</v>
      </c>
      <c r="AB10" t="str">
        <f>IFERROR(INDEX(Products!$I:$I,MATCH(D10,Products!$A:$A,0)),"Unknown")</f>
        <v>SUP018</v>
      </c>
    </row>
    <row r="11" spans="1:28" x14ac:dyDescent="0.25">
      <c r="A11" t="s">
        <v>203</v>
      </c>
      <c r="B11" s="20">
        <v>45583</v>
      </c>
      <c r="C11" t="s">
        <v>204</v>
      </c>
      <c r="D11" t="s">
        <v>205</v>
      </c>
      <c r="E11" t="s">
        <v>206</v>
      </c>
      <c r="F11" t="s">
        <v>176</v>
      </c>
      <c r="G11">
        <v>1</v>
      </c>
      <c r="H11" s="21">
        <v>1041.1500000000001</v>
      </c>
      <c r="I11">
        <v>0</v>
      </c>
      <c r="J11" s="21">
        <v>0</v>
      </c>
      <c r="K11">
        <v>12</v>
      </c>
      <c r="L11" s="21">
        <v>124.94</v>
      </c>
      <c r="M11" s="21">
        <v>1166.0899999999999</v>
      </c>
      <c r="N11" s="21">
        <v>692.53</v>
      </c>
      <c r="O11" s="21">
        <v>348.62</v>
      </c>
      <c r="P11" t="s">
        <v>123</v>
      </c>
      <c r="Q11" t="s">
        <v>120</v>
      </c>
      <c r="R11" t="s">
        <v>151</v>
      </c>
      <c r="S11" t="s">
        <v>207</v>
      </c>
      <c r="T11" t="s">
        <v>153</v>
      </c>
      <c r="U11" t="s">
        <v>154</v>
      </c>
      <c r="V11" t="str">
        <f>IFERROR(INDEX(Products!$C:$C,MATCH(D11,Products!$A:$A,0)),"Unknown")</f>
        <v>Women Jeans</v>
      </c>
      <c r="W11" t="str">
        <f>IFERROR(INDEX(Products!$E:$E,MATCH(D11,Products!$A:$A,0)),"Unknown")</f>
        <v>Sonata</v>
      </c>
      <c r="X11" t="str">
        <f>IFERROR(INDEX(Stores!$B:$B,MATCH(E11,Stores!$A:$A,0)),"Unknown")</f>
        <v>TrendMart Nizamabad Outlet</v>
      </c>
      <c r="Y11" t="str">
        <f>IFERROR(INDEX(Stores!$E:$E,MATCH(E11,Stores!$A:$A,0)),"Unknown")</f>
        <v>South Zone 2</v>
      </c>
      <c r="Z11" t="str">
        <f>IFERROR(INDEX(Customers!$J:$J,MATCH(C11,Customers!$A:$A,0)),"Unknown")</f>
        <v>Regular</v>
      </c>
      <c r="AA11" t="str">
        <f t="shared" si="0"/>
        <v>2024-10</v>
      </c>
      <c r="AB11" t="str">
        <f>IFERROR(INDEX(Products!$I:$I,MATCH(D11,Products!$A:$A,0)),"Unknown")</f>
        <v>SUP014</v>
      </c>
    </row>
    <row r="12" spans="1:28" x14ac:dyDescent="0.25">
      <c r="A12" t="s">
        <v>208</v>
      </c>
      <c r="B12" s="20">
        <v>45677</v>
      </c>
      <c r="C12" t="s">
        <v>209</v>
      </c>
      <c r="D12" t="s">
        <v>210</v>
      </c>
      <c r="E12" t="s">
        <v>85</v>
      </c>
      <c r="F12" t="s">
        <v>211</v>
      </c>
      <c r="G12">
        <v>4</v>
      </c>
      <c r="H12" s="21">
        <v>1761.12</v>
      </c>
      <c r="I12">
        <v>10</v>
      </c>
      <c r="J12" s="21">
        <v>704.45</v>
      </c>
      <c r="K12">
        <v>12</v>
      </c>
      <c r="L12" s="21">
        <v>760.8</v>
      </c>
      <c r="M12" s="21">
        <v>7100.83</v>
      </c>
      <c r="N12" s="21">
        <v>5599.4</v>
      </c>
      <c r="O12" s="21">
        <v>740.63</v>
      </c>
      <c r="P12" t="s">
        <v>123</v>
      </c>
      <c r="Q12" t="s">
        <v>120</v>
      </c>
      <c r="R12" t="s">
        <v>151</v>
      </c>
      <c r="S12" t="s">
        <v>212</v>
      </c>
      <c r="T12" t="s">
        <v>153</v>
      </c>
      <c r="U12" t="s">
        <v>154</v>
      </c>
      <c r="V12" t="str">
        <f>IFERROR(INDEX(Products!$C:$C,MATCH(D12,Products!$A:$A,0)),"Unknown")</f>
        <v>Women Dresses</v>
      </c>
      <c r="W12" t="str">
        <f>IFERROR(INDEX(Products!$E:$E,MATCH(D12,Products!$A:$A,0)),"Unknown")</f>
        <v>Nike</v>
      </c>
      <c r="X12" t="str">
        <f>IFERROR(INDEX(Stores!$B:$B,MATCH(E12,Stores!$A:$A,0)),"Unknown")</f>
        <v>TrendMart Kalaburagi Mall Kiosk</v>
      </c>
      <c r="Y12" t="str">
        <f>IFERROR(INDEX(Stores!$E:$E,MATCH(E12,Stores!$A:$A,0)),"Unknown")</f>
        <v>South Zone 2</v>
      </c>
      <c r="Z12" t="str">
        <f>IFERROR(INDEX(Customers!$J:$J,MATCH(C12,Customers!$A:$A,0)),"Unknown")</f>
        <v>Silver</v>
      </c>
      <c r="AA12" t="str">
        <f t="shared" si="0"/>
        <v>2025-01</v>
      </c>
      <c r="AB12" t="str">
        <f>IFERROR(INDEX(Products!$I:$I,MATCH(D12,Products!$A:$A,0)),"Unknown")</f>
        <v>SUP073</v>
      </c>
    </row>
    <row r="13" spans="1:28" x14ac:dyDescent="0.25">
      <c r="A13" t="s">
        <v>213</v>
      </c>
      <c r="B13" s="20">
        <v>45736</v>
      </c>
      <c r="C13" t="s">
        <v>214</v>
      </c>
      <c r="D13" t="s">
        <v>215</v>
      </c>
      <c r="E13" t="s">
        <v>216</v>
      </c>
      <c r="F13" t="s">
        <v>182</v>
      </c>
      <c r="G13">
        <v>1</v>
      </c>
      <c r="H13" s="21">
        <v>1019.42</v>
      </c>
      <c r="I13">
        <v>5</v>
      </c>
      <c r="J13" s="21">
        <v>50.97</v>
      </c>
      <c r="K13">
        <v>12</v>
      </c>
      <c r="L13" s="21">
        <v>116.21</v>
      </c>
      <c r="M13" s="21">
        <v>1084.6600000000001</v>
      </c>
      <c r="N13" s="21">
        <v>828.44</v>
      </c>
      <c r="O13" s="21">
        <v>140.01</v>
      </c>
      <c r="P13" t="s">
        <v>121</v>
      </c>
      <c r="Q13" t="s">
        <v>122</v>
      </c>
      <c r="R13" t="s">
        <v>151</v>
      </c>
      <c r="S13" t="s">
        <v>217</v>
      </c>
      <c r="T13" t="s">
        <v>153</v>
      </c>
      <c r="U13" t="s">
        <v>154</v>
      </c>
      <c r="V13" t="str">
        <f>IFERROR(INDEX(Products!$C:$C,MATCH(D13,Products!$A:$A,0)),"Unknown")</f>
        <v>Men Jeans</v>
      </c>
      <c r="W13" t="str">
        <f>IFERROR(INDEX(Products!$E:$E,MATCH(D13,Products!$A:$A,0)),"Unknown")</f>
        <v>Metro Shoes</v>
      </c>
      <c r="X13" t="str">
        <f>IFERROR(INDEX(Stores!$B:$B,MATCH(E13,Stores!$A:$A,0)),"Unknown")</f>
        <v>TrendMart Madurai Mall Kiosk</v>
      </c>
      <c r="Y13" t="str">
        <f>IFERROR(INDEX(Stores!$E:$E,MATCH(E13,Stores!$A:$A,0)),"Unknown")</f>
        <v>South Zone 1</v>
      </c>
      <c r="Z13" t="str">
        <f>IFERROR(INDEX(Customers!$J:$J,MATCH(C13,Customers!$A:$A,0)),"Unknown")</f>
        <v>Silver</v>
      </c>
      <c r="AA13" t="str">
        <f t="shared" si="0"/>
        <v>2025-03</v>
      </c>
      <c r="AB13" t="str">
        <f>IFERROR(INDEX(Products!$I:$I,MATCH(D13,Products!$A:$A,0)),"Unknown")</f>
        <v>SUP022</v>
      </c>
    </row>
    <row r="14" spans="1:28" x14ac:dyDescent="0.25">
      <c r="A14" t="s">
        <v>218</v>
      </c>
      <c r="B14" s="20">
        <v>45555</v>
      </c>
      <c r="C14" t="s">
        <v>219</v>
      </c>
      <c r="D14" t="s">
        <v>220</v>
      </c>
      <c r="E14" t="s">
        <v>216</v>
      </c>
      <c r="F14" t="s">
        <v>221</v>
      </c>
      <c r="G14">
        <v>1</v>
      </c>
      <c r="H14" s="21">
        <v>5698.3</v>
      </c>
      <c r="I14">
        <v>0</v>
      </c>
      <c r="J14" s="21">
        <v>0</v>
      </c>
      <c r="K14">
        <v>12</v>
      </c>
      <c r="L14" s="21">
        <v>683.8</v>
      </c>
      <c r="M14" s="21">
        <v>6382.1</v>
      </c>
      <c r="N14" s="21">
        <v>3970.86</v>
      </c>
      <c r="O14" s="21">
        <v>1727.44</v>
      </c>
      <c r="P14" t="s">
        <v>125</v>
      </c>
      <c r="Q14" t="s">
        <v>120</v>
      </c>
      <c r="R14" t="s">
        <v>151</v>
      </c>
      <c r="S14" t="s">
        <v>222</v>
      </c>
      <c r="T14" t="s">
        <v>153</v>
      </c>
      <c r="U14" t="s">
        <v>154</v>
      </c>
      <c r="V14" t="str">
        <f>IFERROR(INDEX(Products!$C:$C,MATCH(D14,Products!$A:$A,0)),"Unknown")</f>
        <v>Watches</v>
      </c>
      <c r="W14" t="str">
        <f>IFERROR(INDEX(Products!$E:$E,MATCH(D14,Products!$A:$A,0)),"Unknown")</f>
        <v>Global Desi</v>
      </c>
      <c r="X14" t="str">
        <f>IFERROR(INDEX(Stores!$B:$B,MATCH(E14,Stores!$A:$A,0)),"Unknown")</f>
        <v>TrendMart Madurai Mall Kiosk</v>
      </c>
      <c r="Y14" t="str">
        <f>IFERROR(INDEX(Stores!$E:$E,MATCH(E14,Stores!$A:$A,0)),"Unknown")</f>
        <v>South Zone 1</v>
      </c>
      <c r="Z14" t="str">
        <f>IFERROR(INDEX(Customers!$J:$J,MATCH(C14,Customers!$A:$A,0)),"Unknown")</f>
        <v>Silver</v>
      </c>
      <c r="AA14" t="str">
        <f t="shared" si="0"/>
        <v>2024-09</v>
      </c>
      <c r="AB14" t="str">
        <f>IFERROR(INDEX(Products!$I:$I,MATCH(D14,Products!$A:$A,0)),"Unknown")</f>
        <v>SUP055</v>
      </c>
    </row>
    <row r="15" spans="1:28" x14ac:dyDescent="0.25">
      <c r="A15" t="s">
        <v>223</v>
      </c>
      <c r="B15" s="20">
        <v>45436</v>
      </c>
      <c r="C15" t="s">
        <v>224</v>
      </c>
      <c r="D15" t="s">
        <v>225</v>
      </c>
      <c r="E15" t="s">
        <v>226</v>
      </c>
      <c r="F15" t="s">
        <v>195</v>
      </c>
      <c r="G15">
        <v>1</v>
      </c>
      <c r="H15" s="21">
        <v>1727.23</v>
      </c>
      <c r="I15">
        <v>15</v>
      </c>
      <c r="J15" s="21">
        <v>259.08</v>
      </c>
      <c r="K15">
        <v>12</v>
      </c>
      <c r="L15" s="21">
        <v>176.18</v>
      </c>
      <c r="M15" s="21">
        <v>1644.33</v>
      </c>
      <c r="N15" s="21">
        <v>1407.33</v>
      </c>
      <c r="O15" s="21">
        <v>60.82</v>
      </c>
      <c r="P15" t="s">
        <v>123</v>
      </c>
      <c r="Q15" t="s">
        <v>120</v>
      </c>
      <c r="R15" t="s">
        <v>151</v>
      </c>
      <c r="S15" t="s">
        <v>227</v>
      </c>
      <c r="T15" t="s">
        <v>153</v>
      </c>
      <c r="U15" t="s">
        <v>154</v>
      </c>
      <c r="V15" t="str">
        <f>IFERROR(INDEX(Products!$C:$C,MATCH(D15,Products!$A:$A,0)),"Unknown")</f>
        <v>Women Dresses</v>
      </c>
      <c r="W15" t="str">
        <f>IFERROR(INDEX(Products!$E:$E,MATCH(D15,Products!$A:$A,0)),"Unknown")</f>
        <v>Tanishq</v>
      </c>
      <c r="X15" t="str">
        <f>IFERROR(INDEX(Stores!$B:$B,MATCH(E15,Stores!$A:$A,0)),"Unknown")</f>
        <v>TrendMart Kurnool Standard</v>
      </c>
      <c r="Y15" t="str">
        <f>IFERROR(INDEX(Stores!$E:$E,MATCH(E15,Stores!$A:$A,0)),"Unknown")</f>
        <v>South Zone 3</v>
      </c>
      <c r="Z15" t="str">
        <f>IFERROR(INDEX(Customers!$J:$J,MATCH(C15,Customers!$A:$A,0)),"Unknown")</f>
        <v>Gold</v>
      </c>
      <c r="AA15" t="str">
        <f t="shared" si="0"/>
        <v>2024-05</v>
      </c>
      <c r="AB15" t="str">
        <f>IFERROR(INDEX(Products!$I:$I,MATCH(D15,Products!$A:$A,0)),"Unknown")</f>
        <v>SUP063</v>
      </c>
    </row>
    <row r="16" spans="1:28" x14ac:dyDescent="0.25">
      <c r="A16" t="s">
        <v>228</v>
      </c>
      <c r="B16" s="20">
        <v>45686</v>
      </c>
      <c r="C16" t="s">
        <v>229</v>
      </c>
      <c r="D16" t="s">
        <v>230</v>
      </c>
      <c r="E16" t="s">
        <v>231</v>
      </c>
      <c r="F16" t="s">
        <v>232</v>
      </c>
      <c r="G16">
        <v>1</v>
      </c>
      <c r="H16" s="21">
        <v>1427.24</v>
      </c>
      <c r="I16">
        <v>25</v>
      </c>
      <c r="J16" s="21">
        <v>356.81</v>
      </c>
      <c r="K16">
        <v>12</v>
      </c>
      <c r="L16" s="21">
        <v>128.44999999999999</v>
      </c>
      <c r="M16" s="21">
        <v>1198.8800000000001</v>
      </c>
      <c r="N16" s="21">
        <v>946.3</v>
      </c>
      <c r="O16" s="21">
        <v>124.13</v>
      </c>
      <c r="P16" t="s">
        <v>124</v>
      </c>
      <c r="Q16" t="s">
        <v>120</v>
      </c>
      <c r="R16" t="s">
        <v>151</v>
      </c>
      <c r="S16" t="s">
        <v>233</v>
      </c>
      <c r="T16" t="s">
        <v>153</v>
      </c>
      <c r="U16" t="s">
        <v>154</v>
      </c>
      <c r="V16" t="str">
        <f>IFERROR(INDEX(Products!$C:$C,MATCH(D16,Products!$A:$A,0)),"Unknown")</f>
        <v>Watches</v>
      </c>
      <c r="W16" t="str">
        <f>IFERROR(INDEX(Products!$E:$E,MATCH(D16,Products!$A:$A,0)),"Unknown")</f>
        <v>Wrangler</v>
      </c>
      <c r="X16" t="str">
        <f>IFERROR(INDEX(Stores!$B:$B,MATCH(E16,Stores!$A:$A,0)),"Unknown")</f>
        <v>TrendMart Warangal Outlet</v>
      </c>
      <c r="Y16" t="str">
        <f>IFERROR(INDEX(Stores!$E:$E,MATCH(E16,Stores!$A:$A,0)),"Unknown")</f>
        <v>South Zone 2</v>
      </c>
      <c r="Z16" t="str">
        <f>IFERROR(INDEX(Customers!$J:$J,MATCH(C16,Customers!$A:$A,0)),"Unknown")</f>
        <v>Silver</v>
      </c>
      <c r="AA16" t="str">
        <f t="shared" si="0"/>
        <v>2025-01</v>
      </c>
      <c r="AB16" t="str">
        <f>IFERROR(INDEX(Products!$I:$I,MATCH(D16,Products!$A:$A,0)),"Unknown")</f>
        <v>SUP044</v>
      </c>
    </row>
    <row r="17" spans="1:28" x14ac:dyDescent="0.25">
      <c r="A17" t="s">
        <v>234</v>
      </c>
      <c r="B17" s="20">
        <v>45464</v>
      </c>
      <c r="C17" t="s">
        <v>235</v>
      </c>
      <c r="D17" t="s">
        <v>236</v>
      </c>
      <c r="E17" t="s">
        <v>85</v>
      </c>
      <c r="F17" t="s">
        <v>237</v>
      </c>
      <c r="G17">
        <v>3</v>
      </c>
      <c r="H17" s="21">
        <v>790.29</v>
      </c>
      <c r="I17">
        <v>25</v>
      </c>
      <c r="J17" s="21">
        <v>592.72</v>
      </c>
      <c r="K17">
        <v>5</v>
      </c>
      <c r="L17" s="21">
        <v>88.91</v>
      </c>
      <c r="M17" s="21">
        <v>1867.06</v>
      </c>
      <c r="N17" s="21">
        <v>1650.03</v>
      </c>
      <c r="O17" s="21">
        <v>128.12</v>
      </c>
      <c r="P17" t="s">
        <v>126</v>
      </c>
      <c r="Q17" t="s">
        <v>122</v>
      </c>
      <c r="R17" t="s">
        <v>151</v>
      </c>
      <c r="S17" t="s">
        <v>238</v>
      </c>
      <c r="T17" t="s">
        <v>153</v>
      </c>
      <c r="U17" t="s">
        <v>154</v>
      </c>
      <c r="V17" t="str">
        <f>IFERROR(INDEX(Products!$C:$C,MATCH(D17,Products!$A:$A,0)),"Unknown")</f>
        <v>Women Tops</v>
      </c>
      <c r="W17" t="str">
        <f>IFERROR(INDEX(Products!$E:$E,MATCH(D17,Products!$A:$A,0)),"Unknown")</f>
        <v>Nike</v>
      </c>
      <c r="X17" t="str">
        <f>IFERROR(INDEX(Stores!$B:$B,MATCH(E17,Stores!$A:$A,0)),"Unknown")</f>
        <v>TrendMart Kalaburagi Mall Kiosk</v>
      </c>
      <c r="Y17" t="str">
        <f>IFERROR(INDEX(Stores!$E:$E,MATCH(E17,Stores!$A:$A,0)),"Unknown")</f>
        <v>South Zone 2</v>
      </c>
      <c r="Z17" t="str">
        <f>IFERROR(INDEX(Customers!$J:$J,MATCH(C17,Customers!$A:$A,0)),"Unknown")</f>
        <v>Gold</v>
      </c>
      <c r="AA17" t="str">
        <f t="shared" si="0"/>
        <v>2024-06</v>
      </c>
      <c r="AB17" t="str">
        <f>IFERROR(INDEX(Products!$I:$I,MATCH(D17,Products!$A:$A,0)),"Unknown")</f>
        <v>SUP075</v>
      </c>
    </row>
    <row r="18" spans="1:28" x14ac:dyDescent="0.25">
      <c r="A18" t="s">
        <v>239</v>
      </c>
      <c r="B18" s="20">
        <v>45586</v>
      </c>
      <c r="C18" t="s">
        <v>240</v>
      </c>
      <c r="D18" t="s">
        <v>164</v>
      </c>
      <c r="E18" t="s">
        <v>241</v>
      </c>
      <c r="F18" t="s">
        <v>242</v>
      </c>
      <c r="G18">
        <v>2</v>
      </c>
      <c r="H18" s="21">
        <v>3763.03</v>
      </c>
      <c r="I18">
        <v>15</v>
      </c>
      <c r="J18" s="21">
        <v>1128.9100000000001</v>
      </c>
      <c r="K18">
        <v>12</v>
      </c>
      <c r="L18" s="21">
        <v>767.66</v>
      </c>
      <c r="M18" s="21">
        <v>7164.81</v>
      </c>
      <c r="N18" s="21">
        <v>5267.12</v>
      </c>
      <c r="O18" s="21">
        <v>1130.03</v>
      </c>
      <c r="P18" t="s">
        <v>124</v>
      </c>
      <c r="Q18" t="s">
        <v>120</v>
      </c>
      <c r="R18" t="s">
        <v>151</v>
      </c>
      <c r="S18" t="s">
        <v>243</v>
      </c>
      <c r="T18" t="s">
        <v>153</v>
      </c>
      <c r="U18" t="s">
        <v>154</v>
      </c>
      <c r="V18" t="str">
        <f>IFERROR(INDEX(Products!$C:$C,MATCH(D18,Products!$A:$A,0)),"Unknown")</f>
        <v>Women Sarees</v>
      </c>
      <c r="W18" t="str">
        <f>IFERROR(INDEX(Products!$E:$E,MATCH(D18,Products!$A:$A,0)),"Unknown")</f>
        <v>Westside</v>
      </c>
      <c r="X18" t="str">
        <f>IFERROR(INDEX(Stores!$B:$B,MATCH(E18,Stores!$A:$A,0)),"Unknown")</f>
        <v>TrendMart Nizamabad Mall Kiosk</v>
      </c>
      <c r="Y18" t="str">
        <f>IFERROR(INDEX(Stores!$E:$E,MATCH(E18,Stores!$A:$A,0)),"Unknown")</f>
        <v>South Zone 2</v>
      </c>
      <c r="Z18" t="str">
        <f>IFERROR(INDEX(Customers!$J:$J,MATCH(C18,Customers!$A:$A,0)),"Unknown")</f>
        <v>Silver</v>
      </c>
      <c r="AA18" t="str">
        <f t="shared" si="0"/>
        <v>2024-10</v>
      </c>
      <c r="AB18" t="str">
        <f>IFERROR(INDEX(Products!$I:$I,MATCH(D18,Products!$A:$A,0)),"Unknown")</f>
        <v>SUP069</v>
      </c>
    </row>
    <row r="19" spans="1:28" x14ac:dyDescent="0.25">
      <c r="A19" t="s">
        <v>244</v>
      </c>
      <c r="B19" s="20">
        <v>45426</v>
      </c>
      <c r="C19" t="s">
        <v>245</v>
      </c>
      <c r="D19" t="s">
        <v>246</v>
      </c>
      <c r="E19" t="s">
        <v>247</v>
      </c>
      <c r="F19" t="s">
        <v>170</v>
      </c>
      <c r="G19">
        <v>1</v>
      </c>
      <c r="H19" s="21">
        <v>1291.18</v>
      </c>
      <c r="I19">
        <v>25</v>
      </c>
      <c r="J19" s="21">
        <v>322.8</v>
      </c>
      <c r="K19">
        <v>12</v>
      </c>
      <c r="L19" s="21">
        <v>116.21</v>
      </c>
      <c r="M19" s="21">
        <v>1084.5899999999999</v>
      </c>
      <c r="N19" s="21">
        <v>865.48</v>
      </c>
      <c r="O19" s="21">
        <v>102.9</v>
      </c>
      <c r="P19" t="s">
        <v>124</v>
      </c>
      <c r="Q19" t="s">
        <v>120</v>
      </c>
      <c r="R19" t="s">
        <v>151</v>
      </c>
      <c r="S19" t="s">
        <v>248</v>
      </c>
      <c r="T19" t="s">
        <v>153</v>
      </c>
      <c r="U19" t="s">
        <v>154</v>
      </c>
      <c r="V19" t="str">
        <f>IFERROR(INDEX(Products!$C:$C,MATCH(D19,Products!$A:$A,0)),"Unknown")</f>
        <v>Women Dresses</v>
      </c>
      <c r="W19" t="str">
        <f>IFERROR(INDEX(Products!$E:$E,MATCH(D19,Products!$A:$A,0)),"Unknown")</f>
        <v>Tanishq</v>
      </c>
      <c r="X19" t="str">
        <f>IFERROR(INDEX(Stores!$B:$B,MATCH(E19,Stores!$A:$A,0)),"Unknown")</f>
        <v>TrendMart Tirupati Outlet</v>
      </c>
      <c r="Y19" t="str">
        <f>IFERROR(INDEX(Stores!$E:$E,MATCH(E19,Stores!$A:$A,0)),"Unknown")</f>
        <v>South Zone 3</v>
      </c>
      <c r="Z19" t="str">
        <f>IFERROR(INDEX(Customers!$J:$J,MATCH(C19,Customers!$A:$A,0)),"Unknown")</f>
        <v>Regular</v>
      </c>
      <c r="AA19" t="str">
        <f t="shared" si="0"/>
        <v>2024-05</v>
      </c>
      <c r="AB19" t="str">
        <f>IFERROR(INDEX(Products!$I:$I,MATCH(D19,Products!$A:$A,0)),"Unknown")</f>
        <v>SUP002</v>
      </c>
    </row>
    <row r="20" spans="1:28" x14ac:dyDescent="0.25">
      <c r="A20" t="s">
        <v>249</v>
      </c>
      <c r="B20" s="20">
        <v>45665</v>
      </c>
      <c r="C20" t="s">
        <v>250</v>
      </c>
      <c r="D20" t="s">
        <v>251</v>
      </c>
      <c r="E20" t="s">
        <v>252</v>
      </c>
      <c r="F20" t="s">
        <v>253</v>
      </c>
      <c r="G20">
        <v>1</v>
      </c>
      <c r="H20" s="21">
        <v>771.9</v>
      </c>
      <c r="I20">
        <v>20</v>
      </c>
      <c r="J20" s="21">
        <v>154.38</v>
      </c>
      <c r="K20">
        <v>5</v>
      </c>
      <c r="L20" s="21">
        <v>30.88</v>
      </c>
      <c r="M20" s="21">
        <v>648.4</v>
      </c>
      <c r="N20" s="21">
        <v>534.80999999999995</v>
      </c>
      <c r="O20" s="21">
        <v>82.71</v>
      </c>
      <c r="P20" t="s">
        <v>127</v>
      </c>
      <c r="Q20" t="s">
        <v>120</v>
      </c>
      <c r="R20" t="s">
        <v>151</v>
      </c>
      <c r="S20" t="s">
        <v>254</v>
      </c>
      <c r="T20" t="s">
        <v>153</v>
      </c>
      <c r="U20" t="s">
        <v>154</v>
      </c>
      <c r="V20" t="str">
        <f>IFERROR(INDEX(Products!$C:$C,MATCH(D20,Products!$A:$A,0)),"Unknown")</f>
        <v>Women Tops</v>
      </c>
      <c r="W20" t="str">
        <f>IFERROR(INDEX(Products!$E:$E,MATCH(D20,Products!$A:$A,0)),"Unknown")</f>
        <v>US Polo Assn</v>
      </c>
      <c r="X20" t="str">
        <f>IFERROR(INDEX(Stores!$B:$B,MATCH(E20,Stores!$A:$A,0)),"Unknown")</f>
        <v>TrendMart Nellore Standard</v>
      </c>
      <c r="Y20" t="str">
        <f>IFERROR(INDEX(Stores!$E:$E,MATCH(E20,Stores!$A:$A,0)),"Unknown")</f>
        <v>South Zone 3</v>
      </c>
      <c r="Z20" t="str">
        <f>IFERROR(INDEX(Customers!$J:$J,MATCH(C20,Customers!$A:$A,0)),"Unknown")</f>
        <v>Regular</v>
      </c>
      <c r="AA20" t="str">
        <f t="shared" si="0"/>
        <v>2025-01</v>
      </c>
      <c r="AB20" t="str">
        <f>IFERROR(INDEX(Products!$I:$I,MATCH(D20,Products!$A:$A,0)),"Unknown")</f>
        <v>SUP039</v>
      </c>
    </row>
    <row r="21" spans="1:28" x14ac:dyDescent="0.25">
      <c r="A21" t="s">
        <v>255</v>
      </c>
      <c r="B21" s="20">
        <v>45625</v>
      </c>
      <c r="C21" t="s">
        <v>256</v>
      </c>
      <c r="D21" t="s">
        <v>257</v>
      </c>
      <c r="E21" t="s">
        <v>86</v>
      </c>
      <c r="F21" t="s">
        <v>258</v>
      </c>
      <c r="G21">
        <v>2</v>
      </c>
      <c r="H21" s="21">
        <v>962.92</v>
      </c>
      <c r="I21">
        <v>15</v>
      </c>
      <c r="J21" s="21">
        <v>288.88</v>
      </c>
      <c r="K21">
        <v>5</v>
      </c>
      <c r="L21" s="21">
        <v>81.849999999999994</v>
      </c>
      <c r="M21" s="21">
        <v>1718.81</v>
      </c>
      <c r="N21" s="21">
        <v>1442.44</v>
      </c>
      <c r="O21" s="21">
        <v>194.52</v>
      </c>
      <c r="P21" t="s">
        <v>126</v>
      </c>
      <c r="Q21" t="s">
        <v>122</v>
      </c>
      <c r="R21" t="s">
        <v>151</v>
      </c>
      <c r="S21" t="s">
        <v>202</v>
      </c>
      <c r="T21" t="s">
        <v>153</v>
      </c>
      <c r="U21" t="s">
        <v>154</v>
      </c>
      <c r="V21" t="str">
        <f>IFERROR(INDEX(Products!$C:$C,MATCH(D21,Products!$A:$A,0)),"Unknown")</f>
        <v>Men Shirts</v>
      </c>
      <c r="W21" t="str">
        <f>IFERROR(INDEX(Products!$E:$E,MATCH(D21,Products!$A:$A,0)),"Unknown")</f>
        <v>Indian Terrain</v>
      </c>
      <c r="X21" t="str">
        <f>IFERROR(INDEX(Stores!$B:$B,MATCH(E21,Stores!$A:$A,0)),"Unknown")</f>
        <v>TrendMart Warangal High Street</v>
      </c>
      <c r="Y21" t="str">
        <f>IFERROR(INDEX(Stores!$E:$E,MATCH(E21,Stores!$A:$A,0)),"Unknown")</f>
        <v>South Zone 2</v>
      </c>
      <c r="Z21" t="str">
        <f>IFERROR(INDEX(Customers!$J:$J,MATCH(C21,Customers!$A:$A,0)),"Unknown")</f>
        <v>Regular</v>
      </c>
      <c r="AA21" t="str">
        <f t="shared" si="0"/>
        <v>2024-11</v>
      </c>
      <c r="AB21" t="str">
        <f>IFERROR(INDEX(Products!$I:$I,MATCH(D21,Products!$A:$A,0)),"Unknown")</f>
        <v>SUP080</v>
      </c>
    </row>
    <row r="22" spans="1:28" x14ac:dyDescent="0.25">
      <c r="A22" t="s">
        <v>259</v>
      </c>
      <c r="B22" s="20">
        <v>45451</v>
      </c>
      <c r="C22" t="s">
        <v>260</v>
      </c>
      <c r="D22" t="s">
        <v>261</v>
      </c>
      <c r="E22" t="s">
        <v>262</v>
      </c>
      <c r="F22" t="s">
        <v>263</v>
      </c>
      <c r="G22">
        <v>4</v>
      </c>
      <c r="H22" s="21">
        <v>1328.05</v>
      </c>
      <c r="I22">
        <v>20</v>
      </c>
      <c r="J22" s="21">
        <v>1062.44</v>
      </c>
      <c r="K22">
        <v>12</v>
      </c>
      <c r="L22" s="21">
        <v>509.97</v>
      </c>
      <c r="M22" s="21">
        <v>4759.7299999999996</v>
      </c>
      <c r="N22" s="21">
        <v>3378.6</v>
      </c>
      <c r="O22" s="21">
        <v>871.16</v>
      </c>
      <c r="P22" t="s">
        <v>125</v>
      </c>
      <c r="Q22" t="s">
        <v>120</v>
      </c>
      <c r="R22" t="s">
        <v>151</v>
      </c>
      <c r="S22" t="s">
        <v>264</v>
      </c>
      <c r="T22" t="s">
        <v>161</v>
      </c>
      <c r="U22" t="s">
        <v>154</v>
      </c>
      <c r="V22" t="str">
        <f>IFERROR(INDEX(Products!$C:$C,MATCH(D22,Products!$A:$A,0)),"Unknown")</f>
        <v>Women Kurtis</v>
      </c>
      <c r="W22" t="str">
        <f>IFERROR(INDEX(Products!$E:$E,MATCH(D22,Products!$A:$A,0)),"Unknown")</f>
        <v>Woodland</v>
      </c>
      <c r="X22" t="str">
        <f>IFERROR(INDEX(Stores!$B:$B,MATCH(E22,Stores!$A:$A,0)),"Unknown")</f>
        <v>TrendMart Thoothukudi Outlet</v>
      </c>
      <c r="Y22" t="str">
        <f>IFERROR(INDEX(Stores!$E:$E,MATCH(E22,Stores!$A:$A,0)),"Unknown")</f>
        <v>South Zone 1</v>
      </c>
      <c r="Z22" t="str">
        <f>IFERROR(INDEX(Customers!$J:$J,MATCH(C22,Customers!$A:$A,0)),"Unknown")</f>
        <v>Silver</v>
      </c>
      <c r="AA22" t="str">
        <f t="shared" si="0"/>
        <v>2024-06</v>
      </c>
      <c r="AB22" t="str">
        <f>IFERROR(INDEX(Products!$I:$I,MATCH(D22,Products!$A:$A,0)),"Unknown")</f>
        <v>SUP071</v>
      </c>
    </row>
    <row r="23" spans="1:28" x14ac:dyDescent="0.25">
      <c r="A23" t="s">
        <v>265</v>
      </c>
      <c r="B23" s="20">
        <v>45484</v>
      </c>
      <c r="C23" t="s">
        <v>266</v>
      </c>
      <c r="D23" t="s">
        <v>267</v>
      </c>
      <c r="E23" t="s">
        <v>268</v>
      </c>
      <c r="F23" t="s">
        <v>269</v>
      </c>
      <c r="G23">
        <v>3</v>
      </c>
      <c r="H23" s="21">
        <v>726.41</v>
      </c>
      <c r="I23">
        <v>30</v>
      </c>
      <c r="J23" s="21">
        <v>653.77</v>
      </c>
      <c r="K23">
        <v>5</v>
      </c>
      <c r="L23" s="21">
        <v>76.27</v>
      </c>
      <c r="M23" s="21">
        <v>1601.73</v>
      </c>
      <c r="N23" s="21">
        <v>1329.57</v>
      </c>
      <c r="O23" s="21">
        <v>195.89</v>
      </c>
      <c r="P23" t="s">
        <v>121</v>
      </c>
      <c r="Q23" t="s">
        <v>120</v>
      </c>
      <c r="R23" t="s">
        <v>151</v>
      </c>
      <c r="S23" t="s">
        <v>270</v>
      </c>
      <c r="T23" t="s">
        <v>153</v>
      </c>
      <c r="U23" t="s">
        <v>154</v>
      </c>
      <c r="V23" t="str">
        <f>IFERROR(INDEX(Products!$C:$C,MATCH(D23,Products!$A:$A,0)),"Unknown")</f>
        <v>Accessories</v>
      </c>
      <c r="W23" t="str">
        <f>IFERROR(INDEX(Products!$E:$E,MATCH(D23,Products!$A:$A,0)),"Unknown")</f>
        <v>Allen Solly</v>
      </c>
      <c r="X23" t="str">
        <f>IFERROR(INDEX(Stores!$B:$B,MATCH(E23,Stores!$A:$A,0)),"Unknown")</f>
        <v>TrendMart Kochi High Street</v>
      </c>
      <c r="Y23" t="str">
        <f>IFERROR(INDEX(Stores!$E:$E,MATCH(E23,Stores!$A:$A,0)),"Unknown")</f>
        <v>South Zone 1</v>
      </c>
      <c r="Z23" t="str">
        <f>IFERROR(INDEX(Customers!$J:$J,MATCH(C23,Customers!$A:$A,0)),"Unknown")</f>
        <v>Gold</v>
      </c>
      <c r="AA23" t="str">
        <f t="shared" si="0"/>
        <v>2024-07</v>
      </c>
      <c r="AB23" t="str">
        <f>IFERROR(INDEX(Products!$I:$I,MATCH(D23,Products!$A:$A,0)),"Unknown")</f>
        <v>SUP069</v>
      </c>
    </row>
    <row r="24" spans="1:28" x14ac:dyDescent="0.25">
      <c r="A24" t="s">
        <v>271</v>
      </c>
      <c r="B24" s="20">
        <v>45486</v>
      </c>
      <c r="C24" t="s">
        <v>272</v>
      </c>
      <c r="D24" t="s">
        <v>273</v>
      </c>
      <c r="E24" t="s">
        <v>274</v>
      </c>
      <c r="F24" t="s">
        <v>275</v>
      </c>
      <c r="G24">
        <v>2</v>
      </c>
      <c r="H24" s="21">
        <v>1361.64</v>
      </c>
      <c r="I24">
        <v>10</v>
      </c>
      <c r="J24" s="21">
        <v>272.33</v>
      </c>
      <c r="K24">
        <v>12</v>
      </c>
      <c r="L24" s="21">
        <v>294.11</v>
      </c>
      <c r="M24" s="21">
        <v>2745.06</v>
      </c>
      <c r="N24" s="21">
        <v>1753.84</v>
      </c>
      <c r="O24" s="21">
        <v>697.11</v>
      </c>
      <c r="P24" t="s">
        <v>126</v>
      </c>
      <c r="Q24" t="s">
        <v>120</v>
      </c>
      <c r="R24" t="s">
        <v>151</v>
      </c>
      <c r="S24" t="s">
        <v>276</v>
      </c>
      <c r="T24" t="s">
        <v>161</v>
      </c>
      <c r="U24" t="s">
        <v>154</v>
      </c>
      <c r="V24" t="str">
        <f>IFERROR(INDEX(Products!$C:$C,MATCH(D24,Products!$A:$A,0)),"Unknown")</f>
        <v>Women Kurtis</v>
      </c>
      <c r="W24" t="str">
        <f>IFERROR(INDEX(Products!$E:$E,MATCH(D24,Products!$A:$A,0)),"Unknown")</f>
        <v>Indian Terrain</v>
      </c>
      <c r="X24" t="str">
        <f>IFERROR(INDEX(Stores!$B:$B,MATCH(E24,Stores!$A:$A,0)),"Unknown")</f>
        <v>TrendMart Mangaluru Standard</v>
      </c>
      <c r="Y24" t="str">
        <f>IFERROR(INDEX(Stores!$E:$E,MATCH(E24,Stores!$A:$A,0)),"Unknown")</f>
        <v>South Zone 2</v>
      </c>
      <c r="Z24" t="str">
        <f>IFERROR(INDEX(Customers!$J:$J,MATCH(C24,Customers!$A:$A,0)),"Unknown")</f>
        <v>Regular</v>
      </c>
      <c r="AA24" t="str">
        <f t="shared" si="0"/>
        <v>2024-07</v>
      </c>
      <c r="AB24" t="str">
        <f>IFERROR(INDEX(Products!$I:$I,MATCH(D24,Products!$A:$A,0)),"Unknown")</f>
        <v>SUP006</v>
      </c>
    </row>
    <row r="25" spans="1:28" x14ac:dyDescent="0.25">
      <c r="A25" t="s">
        <v>277</v>
      </c>
      <c r="B25" s="20">
        <v>45475</v>
      </c>
      <c r="C25" t="s">
        <v>278</v>
      </c>
      <c r="D25" t="s">
        <v>279</v>
      </c>
      <c r="E25" t="s">
        <v>280</v>
      </c>
      <c r="F25" t="s">
        <v>281</v>
      </c>
      <c r="G25">
        <v>1</v>
      </c>
      <c r="H25" s="21">
        <v>3168.62</v>
      </c>
      <c r="I25">
        <v>10</v>
      </c>
      <c r="J25" s="21">
        <v>316.86</v>
      </c>
      <c r="K25">
        <v>12</v>
      </c>
      <c r="L25" s="21">
        <v>342.21</v>
      </c>
      <c r="M25" s="21">
        <v>3193.97</v>
      </c>
      <c r="N25" s="21">
        <v>2069.33</v>
      </c>
      <c r="O25" s="21">
        <v>782.43</v>
      </c>
      <c r="P25" t="s">
        <v>121</v>
      </c>
      <c r="Q25" t="s">
        <v>120</v>
      </c>
      <c r="R25" t="s">
        <v>151</v>
      </c>
      <c r="S25" t="s">
        <v>282</v>
      </c>
      <c r="T25" t="s">
        <v>153</v>
      </c>
      <c r="U25" t="s">
        <v>154</v>
      </c>
      <c r="V25" t="str">
        <f>IFERROR(INDEX(Products!$C:$C,MATCH(D25,Products!$A:$A,0)),"Unknown")</f>
        <v>Handbags</v>
      </c>
      <c r="W25" t="str">
        <f>IFERROR(INDEX(Products!$E:$E,MATCH(D25,Products!$A:$A,0)),"Unknown")</f>
        <v>Westside</v>
      </c>
      <c r="X25" t="str">
        <f>IFERROR(INDEX(Stores!$B:$B,MATCH(E25,Stores!$A:$A,0)),"Unknown")</f>
        <v>TrendMart Chennai Standard</v>
      </c>
      <c r="Y25" t="str">
        <f>IFERROR(INDEX(Stores!$E:$E,MATCH(E25,Stores!$A:$A,0)),"Unknown")</f>
        <v>South Zone 1</v>
      </c>
      <c r="Z25" t="str">
        <f>IFERROR(INDEX(Customers!$J:$J,MATCH(C25,Customers!$A:$A,0)),"Unknown")</f>
        <v>Regular</v>
      </c>
      <c r="AA25" t="str">
        <f t="shared" si="0"/>
        <v>2024-07</v>
      </c>
      <c r="AB25" t="str">
        <f>IFERROR(INDEX(Products!$I:$I,MATCH(D25,Products!$A:$A,0)),"Unknown")</f>
        <v>SUP066</v>
      </c>
    </row>
    <row r="26" spans="1:28" x14ac:dyDescent="0.25">
      <c r="A26" t="s">
        <v>283</v>
      </c>
      <c r="B26" s="20">
        <v>45657</v>
      </c>
      <c r="C26" t="s">
        <v>284</v>
      </c>
      <c r="D26" t="s">
        <v>285</v>
      </c>
      <c r="E26" t="s">
        <v>200</v>
      </c>
      <c r="F26" t="s">
        <v>286</v>
      </c>
      <c r="G26">
        <v>1</v>
      </c>
      <c r="H26" s="21">
        <v>684.15</v>
      </c>
      <c r="I26">
        <v>20</v>
      </c>
      <c r="J26" s="21">
        <v>136.83000000000001</v>
      </c>
      <c r="K26">
        <v>5</v>
      </c>
      <c r="L26" s="21">
        <v>27.37</v>
      </c>
      <c r="M26" s="21">
        <v>574.69000000000005</v>
      </c>
      <c r="N26" s="21">
        <v>499.31</v>
      </c>
      <c r="O26" s="21">
        <v>48.01</v>
      </c>
      <c r="P26" t="s">
        <v>123</v>
      </c>
      <c r="Q26" t="s">
        <v>122</v>
      </c>
      <c r="R26" t="s">
        <v>151</v>
      </c>
      <c r="S26" t="s">
        <v>287</v>
      </c>
      <c r="T26" t="s">
        <v>153</v>
      </c>
      <c r="U26" t="s">
        <v>154</v>
      </c>
      <c r="V26" t="str">
        <f>IFERROR(INDEX(Products!$C:$C,MATCH(D26,Products!$A:$A,0)),"Unknown")</f>
        <v>Kids Wear</v>
      </c>
      <c r="W26" t="str">
        <f>IFERROR(INDEX(Products!$E:$E,MATCH(D26,Products!$A:$A,0)),"Unknown")</f>
        <v>Global Desi</v>
      </c>
      <c r="X26" t="str">
        <f>IFERROR(INDEX(Stores!$B:$B,MATCH(E26,Stores!$A:$A,0)),"Unknown")</f>
        <v>TrendMart Kozhikode Standard</v>
      </c>
      <c r="Y26" t="str">
        <f>IFERROR(INDEX(Stores!$E:$E,MATCH(E26,Stores!$A:$A,0)),"Unknown")</f>
        <v>South Zone 1</v>
      </c>
      <c r="Z26" t="str">
        <f>IFERROR(INDEX(Customers!$J:$J,MATCH(C26,Customers!$A:$A,0)),"Unknown")</f>
        <v>Regular</v>
      </c>
      <c r="AA26" t="str">
        <f t="shared" si="0"/>
        <v>2024-12</v>
      </c>
      <c r="AB26" t="str">
        <f>IFERROR(INDEX(Products!$I:$I,MATCH(D26,Products!$A:$A,0)),"Unknown")</f>
        <v>SUP008</v>
      </c>
    </row>
    <row r="27" spans="1:28" x14ac:dyDescent="0.25">
      <c r="A27" t="s">
        <v>288</v>
      </c>
      <c r="B27" s="20">
        <v>45455</v>
      </c>
      <c r="C27" t="s">
        <v>289</v>
      </c>
      <c r="D27" t="s">
        <v>290</v>
      </c>
      <c r="E27" t="s">
        <v>291</v>
      </c>
      <c r="F27" t="s">
        <v>292</v>
      </c>
      <c r="G27">
        <v>2</v>
      </c>
      <c r="H27" s="21">
        <v>6270.2</v>
      </c>
      <c r="I27">
        <v>10</v>
      </c>
      <c r="J27" s="21">
        <v>1254.04</v>
      </c>
      <c r="K27">
        <v>3</v>
      </c>
      <c r="L27" s="21">
        <v>338.59</v>
      </c>
      <c r="M27" s="21">
        <v>11624.95</v>
      </c>
      <c r="N27" s="21">
        <v>9430.2000000000007</v>
      </c>
      <c r="O27" s="21">
        <v>1856.16</v>
      </c>
      <c r="P27" t="s">
        <v>125</v>
      </c>
      <c r="Q27" t="s">
        <v>122</v>
      </c>
      <c r="R27" t="s">
        <v>151</v>
      </c>
      <c r="S27" t="s">
        <v>293</v>
      </c>
      <c r="T27" t="s">
        <v>153</v>
      </c>
      <c r="U27" t="s">
        <v>154</v>
      </c>
      <c r="V27" t="str">
        <f>IFERROR(INDEX(Products!$C:$C,MATCH(D27,Products!$A:$A,0)),"Unknown")</f>
        <v>Jewellery</v>
      </c>
      <c r="W27" t="str">
        <f>IFERROR(INDEX(Products!$E:$E,MATCH(D27,Products!$A:$A,0)),"Unknown")</f>
        <v>Nike</v>
      </c>
      <c r="X27" t="str">
        <f>IFERROR(INDEX(Stores!$B:$B,MATCH(E27,Stores!$A:$A,0)),"Unknown")</f>
        <v>TrendMart Khammam Standard</v>
      </c>
      <c r="Y27" t="str">
        <f>IFERROR(INDEX(Stores!$E:$E,MATCH(E27,Stores!$A:$A,0)),"Unknown")</f>
        <v>South Zone 2</v>
      </c>
      <c r="Z27" t="str">
        <f>IFERROR(INDEX(Customers!$J:$J,MATCH(C27,Customers!$A:$A,0)),"Unknown")</f>
        <v>Silver</v>
      </c>
      <c r="AA27" t="str">
        <f t="shared" si="0"/>
        <v>2024-06</v>
      </c>
      <c r="AB27" t="str">
        <f>IFERROR(INDEX(Products!$I:$I,MATCH(D27,Products!$A:$A,0)),"Unknown")</f>
        <v>SUP041</v>
      </c>
    </row>
    <row r="28" spans="1:28" x14ac:dyDescent="0.25">
      <c r="A28" t="s">
        <v>294</v>
      </c>
      <c r="B28" s="20">
        <v>45552</v>
      </c>
      <c r="C28" t="s">
        <v>295</v>
      </c>
      <c r="D28" t="s">
        <v>251</v>
      </c>
      <c r="E28" t="s">
        <v>296</v>
      </c>
      <c r="F28" t="s">
        <v>297</v>
      </c>
      <c r="G28">
        <v>1</v>
      </c>
      <c r="H28" s="21">
        <v>759.33</v>
      </c>
      <c r="I28">
        <v>5</v>
      </c>
      <c r="J28" s="21">
        <v>37.97</v>
      </c>
      <c r="K28">
        <v>5</v>
      </c>
      <c r="L28" s="21">
        <v>36.07</v>
      </c>
      <c r="M28" s="21">
        <v>757.43</v>
      </c>
      <c r="N28" s="21">
        <v>534.80999999999995</v>
      </c>
      <c r="O28" s="21">
        <v>186.55</v>
      </c>
      <c r="P28" t="s">
        <v>124</v>
      </c>
      <c r="Q28" t="s">
        <v>122</v>
      </c>
      <c r="R28" t="s">
        <v>151</v>
      </c>
      <c r="S28" t="s">
        <v>298</v>
      </c>
      <c r="T28" t="s">
        <v>153</v>
      </c>
      <c r="U28" t="s">
        <v>154</v>
      </c>
      <c r="V28" t="str">
        <f>IFERROR(INDEX(Products!$C:$C,MATCH(D28,Products!$A:$A,0)),"Unknown")</f>
        <v>Women Tops</v>
      </c>
      <c r="W28" t="str">
        <f>IFERROR(INDEX(Products!$E:$E,MATCH(D28,Products!$A:$A,0)),"Unknown")</f>
        <v>US Polo Assn</v>
      </c>
      <c r="X28" t="str">
        <f>IFERROR(INDEX(Stores!$B:$B,MATCH(E28,Stores!$A:$A,0)),"Unknown")</f>
        <v>TrendMart Kurnool Outlet</v>
      </c>
      <c r="Y28" t="str">
        <f>IFERROR(INDEX(Stores!$E:$E,MATCH(E28,Stores!$A:$A,0)),"Unknown")</f>
        <v>South Zone 3</v>
      </c>
      <c r="Z28" t="str">
        <f>IFERROR(INDEX(Customers!$J:$J,MATCH(C28,Customers!$A:$A,0)),"Unknown")</f>
        <v>Regular</v>
      </c>
      <c r="AA28" t="str">
        <f t="shared" si="0"/>
        <v>2024-09</v>
      </c>
      <c r="AB28" t="str">
        <f>IFERROR(INDEX(Products!$I:$I,MATCH(D28,Products!$A:$A,0)),"Unknown")</f>
        <v>SUP039</v>
      </c>
    </row>
    <row r="29" spans="1:28" x14ac:dyDescent="0.25">
      <c r="A29" t="s">
        <v>299</v>
      </c>
      <c r="B29" s="20">
        <v>45484</v>
      </c>
      <c r="C29" t="s">
        <v>300</v>
      </c>
      <c r="D29" t="s">
        <v>301</v>
      </c>
      <c r="E29" t="s">
        <v>302</v>
      </c>
      <c r="F29" t="s">
        <v>303</v>
      </c>
      <c r="G29">
        <v>1</v>
      </c>
      <c r="H29" s="21">
        <v>1452.55</v>
      </c>
      <c r="I29">
        <v>0</v>
      </c>
      <c r="J29" s="21">
        <v>0</v>
      </c>
      <c r="K29">
        <v>12</v>
      </c>
      <c r="L29" s="21">
        <v>174.31</v>
      </c>
      <c r="M29" s="21">
        <v>1626.86</v>
      </c>
      <c r="N29" s="21">
        <v>971.65</v>
      </c>
      <c r="O29" s="21">
        <v>480.9</v>
      </c>
      <c r="P29" t="s">
        <v>123</v>
      </c>
      <c r="Q29" t="s">
        <v>122</v>
      </c>
      <c r="R29" t="s">
        <v>151</v>
      </c>
      <c r="S29" t="s">
        <v>304</v>
      </c>
      <c r="T29" t="s">
        <v>153</v>
      </c>
      <c r="U29" t="s">
        <v>154</v>
      </c>
      <c r="V29" t="str">
        <f>IFERROR(INDEX(Products!$C:$C,MATCH(D29,Products!$A:$A,0)),"Unknown")</f>
        <v>Women Jeans</v>
      </c>
      <c r="W29" t="str">
        <f>IFERROR(INDEX(Products!$E:$E,MATCH(D29,Products!$A:$A,0)),"Unknown")</f>
        <v>Unknown</v>
      </c>
      <c r="X29" t="str">
        <f>IFERROR(INDEX(Stores!$B:$B,MATCH(E29,Stores!$A:$A,0)),"Unknown")</f>
        <v>TrendMart Visakhapatnam Standard</v>
      </c>
      <c r="Y29" t="str">
        <f>IFERROR(INDEX(Stores!$E:$E,MATCH(E29,Stores!$A:$A,0)),"Unknown")</f>
        <v>South Zone 3</v>
      </c>
      <c r="Z29" t="str">
        <f>IFERROR(INDEX(Customers!$J:$J,MATCH(C29,Customers!$A:$A,0)),"Unknown")</f>
        <v>Silver</v>
      </c>
      <c r="AA29" t="str">
        <f t="shared" si="0"/>
        <v>2024-07</v>
      </c>
      <c r="AB29" t="str">
        <f>IFERROR(INDEX(Products!$I:$I,MATCH(D29,Products!$A:$A,0)),"Unknown")</f>
        <v>SUP050</v>
      </c>
    </row>
    <row r="30" spans="1:28" x14ac:dyDescent="0.25">
      <c r="A30" t="s">
        <v>305</v>
      </c>
      <c r="B30" s="20">
        <v>45562</v>
      </c>
      <c r="C30" t="s">
        <v>306</v>
      </c>
      <c r="D30" t="s">
        <v>307</v>
      </c>
      <c r="E30" t="s">
        <v>81</v>
      </c>
      <c r="F30" t="s">
        <v>308</v>
      </c>
      <c r="G30">
        <v>4</v>
      </c>
      <c r="H30" s="21">
        <v>1181.1600000000001</v>
      </c>
      <c r="I30">
        <v>0</v>
      </c>
      <c r="J30" s="21">
        <v>0</v>
      </c>
      <c r="K30">
        <v>12</v>
      </c>
      <c r="L30" s="21">
        <v>566.96</v>
      </c>
      <c r="M30" s="21">
        <v>5291.6</v>
      </c>
      <c r="N30" s="21">
        <v>3020.24</v>
      </c>
      <c r="O30" s="21">
        <v>1704.4</v>
      </c>
      <c r="P30" t="s">
        <v>125</v>
      </c>
      <c r="Q30" t="s">
        <v>122</v>
      </c>
      <c r="R30" t="s">
        <v>151</v>
      </c>
      <c r="S30" t="s">
        <v>309</v>
      </c>
      <c r="T30" t="s">
        <v>153</v>
      </c>
      <c r="U30" t="s">
        <v>154</v>
      </c>
      <c r="V30" t="str">
        <f>IFERROR(INDEX(Products!$C:$C,MATCH(D30,Products!$A:$A,0)),"Unknown")</f>
        <v>Winter Wear</v>
      </c>
      <c r="W30" t="str">
        <f>IFERROR(INDEX(Products!$E:$E,MATCH(D30,Products!$A:$A,0)),"Unknown")</f>
        <v>Fastrack</v>
      </c>
      <c r="X30" t="str">
        <f>IFERROR(INDEX(Stores!$B:$B,MATCH(E30,Stores!$A:$A,0)),"Unknown")</f>
        <v>TrendMart Vijayawada High Street</v>
      </c>
      <c r="Y30" t="str">
        <f>IFERROR(INDEX(Stores!$E:$E,MATCH(E30,Stores!$A:$A,0)),"Unknown")</f>
        <v>South Zone 3</v>
      </c>
      <c r="Z30" t="str">
        <f>IFERROR(INDEX(Customers!$J:$J,MATCH(C30,Customers!$A:$A,0)),"Unknown")</f>
        <v>Gold</v>
      </c>
      <c r="AA30" t="str">
        <f t="shared" si="0"/>
        <v>2024-09</v>
      </c>
      <c r="AB30" t="str">
        <f>IFERROR(INDEX(Products!$I:$I,MATCH(D30,Products!$A:$A,0)),"Unknown")</f>
        <v>SUP008</v>
      </c>
    </row>
    <row r="31" spans="1:28" x14ac:dyDescent="0.25">
      <c r="A31" t="s">
        <v>310</v>
      </c>
      <c r="B31" s="20">
        <v>45570</v>
      </c>
      <c r="C31" t="s">
        <v>311</v>
      </c>
      <c r="D31" t="s">
        <v>312</v>
      </c>
      <c r="E31" t="s">
        <v>85</v>
      </c>
      <c r="F31" t="s">
        <v>269</v>
      </c>
      <c r="G31">
        <v>4</v>
      </c>
      <c r="H31" s="21">
        <v>1297.42</v>
      </c>
      <c r="I31">
        <v>5</v>
      </c>
      <c r="J31" s="21">
        <v>259.48</v>
      </c>
      <c r="K31">
        <v>12</v>
      </c>
      <c r="L31" s="21">
        <v>591.62</v>
      </c>
      <c r="M31" s="21">
        <v>5521.82</v>
      </c>
      <c r="N31" s="21">
        <v>3463.68</v>
      </c>
      <c r="O31" s="21">
        <v>1466.52</v>
      </c>
      <c r="P31" t="s">
        <v>124</v>
      </c>
      <c r="Q31" t="s">
        <v>122</v>
      </c>
      <c r="R31" t="s">
        <v>313</v>
      </c>
      <c r="S31" t="s">
        <v>314</v>
      </c>
      <c r="T31" t="s">
        <v>161</v>
      </c>
      <c r="U31" t="s">
        <v>154</v>
      </c>
      <c r="V31" t="str">
        <f>IFERROR(INDEX(Products!$C:$C,MATCH(D31,Products!$A:$A,0)),"Unknown")</f>
        <v>Handbags</v>
      </c>
      <c r="W31" t="str">
        <f>IFERROR(INDEX(Products!$E:$E,MATCH(D31,Products!$A:$A,0)),"Unknown")</f>
        <v>Wrangler</v>
      </c>
      <c r="X31" t="str">
        <f>IFERROR(INDEX(Stores!$B:$B,MATCH(E31,Stores!$A:$A,0)),"Unknown")</f>
        <v>TrendMart Kalaburagi Mall Kiosk</v>
      </c>
      <c r="Y31" t="str">
        <f>IFERROR(INDEX(Stores!$E:$E,MATCH(E31,Stores!$A:$A,0)),"Unknown")</f>
        <v>South Zone 2</v>
      </c>
      <c r="Z31" t="str">
        <f>IFERROR(INDEX(Customers!$J:$J,MATCH(C31,Customers!$A:$A,0)),"Unknown")</f>
        <v>Gold</v>
      </c>
      <c r="AA31" t="str">
        <f t="shared" si="0"/>
        <v>2024-10</v>
      </c>
      <c r="AB31" t="str">
        <f>IFERROR(INDEX(Products!$I:$I,MATCH(D31,Products!$A:$A,0)),"Unknown")</f>
        <v>SUP008</v>
      </c>
    </row>
    <row r="32" spans="1:28" x14ac:dyDescent="0.25">
      <c r="A32" t="s">
        <v>315</v>
      </c>
      <c r="B32" s="20">
        <v>45388</v>
      </c>
      <c r="C32" t="s">
        <v>316</v>
      </c>
      <c r="D32" t="s">
        <v>317</v>
      </c>
      <c r="E32" t="s">
        <v>318</v>
      </c>
      <c r="F32" t="s">
        <v>269</v>
      </c>
      <c r="G32">
        <v>3</v>
      </c>
      <c r="H32" s="21">
        <v>2353.19</v>
      </c>
      <c r="I32">
        <v>10</v>
      </c>
      <c r="J32" s="21">
        <v>705.96</v>
      </c>
      <c r="K32">
        <v>12</v>
      </c>
      <c r="L32" s="21">
        <v>762.43</v>
      </c>
      <c r="M32" s="21">
        <v>7116.04</v>
      </c>
      <c r="N32" s="21">
        <v>4385.1899999999996</v>
      </c>
      <c r="O32" s="21">
        <v>1968.42</v>
      </c>
      <c r="P32" t="s">
        <v>126</v>
      </c>
      <c r="Q32" t="s">
        <v>120</v>
      </c>
      <c r="R32" t="s">
        <v>151</v>
      </c>
      <c r="S32" t="s">
        <v>264</v>
      </c>
      <c r="T32" t="s">
        <v>161</v>
      </c>
      <c r="U32" t="s">
        <v>154</v>
      </c>
      <c r="V32" t="str">
        <f>IFERROR(INDEX(Products!$C:$C,MATCH(D32,Products!$A:$A,0)),"Unknown")</f>
        <v>Handbags</v>
      </c>
      <c r="W32" t="str">
        <f>IFERROR(INDEX(Products!$E:$E,MATCH(D32,Products!$A:$A,0)),"Unknown")</f>
        <v>Titan</v>
      </c>
      <c r="X32" t="str">
        <f>IFERROR(INDEX(Stores!$B:$B,MATCH(E32,Stores!$A:$A,0)),"Unknown")</f>
        <v>TrendMart Guntur Outlet</v>
      </c>
      <c r="Y32" t="str">
        <f>IFERROR(INDEX(Stores!$E:$E,MATCH(E32,Stores!$A:$A,0)),"Unknown")</f>
        <v>South Zone 3</v>
      </c>
      <c r="Z32" t="str">
        <f>IFERROR(INDEX(Customers!$J:$J,MATCH(C32,Customers!$A:$A,0)),"Unknown")</f>
        <v>Regular</v>
      </c>
      <c r="AA32" t="str">
        <f t="shared" si="0"/>
        <v>2024-04</v>
      </c>
      <c r="AB32" t="str">
        <f>IFERROR(INDEX(Products!$I:$I,MATCH(D32,Products!$A:$A,0)),"Unknown")</f>
        <v>SUP027</v>
      </c>
    </row>
    <row r="33" spans="1:28" x14ac:dyDescent="0.25">
      <c r="A33" t="s">
        <v>319</v>
      </c>
      <c r="B33" s="20">
        <v>45743</v>
      </c>
      <c r="C33" t="s">
        <v>320</v>
      </c>
      <c r="D33" t="s">
        <v>321</v>
      </c>
      <c r="E33" t="s">
        <v>83</v>
      </c>
      <c r="F33" t="s">
        <v>263</v>
      </c>
      <c r="G33">
        <v>3</v>
      </c>
      <c r="H33" s="21">
        <v>3342.61</v>
      </c>
      <c r="I33">
        <v>0</v>
      </c>
      <c r="J33" s="21">
        <v>0</v>
      </c>
      <c r="K33">
        <v>12</v>
      </c>
      <c r="L33" s="21">
        <v>1203.3399999999999</v>
      </c>
      <c r="M33" s="21">
        <v>11231.17</v>
      </c>
      <c r="N33" s="21">
        <v>7299.96</v>
      </c>
      <c r="O33" s="21">
        <v>2727.87</v>
      </c>
      <c r="P33" t="s">
        <v>121</v>
      </c>
      <c r="Q33" t="s">
        <v>120</v>
      </c>
      <c r="R33" t="s">
        <v>151</v>
      </c>
      <c r="S33" t="s">
        <v>322</v>
      </c>
      <c r="T33" t="s">
        <v>153</v>
      </c>
      <c r="U33" t="s">
        <v>154</v>
      </c>
      <c r="V33" t="str">
        <f>IFERROR(INDEX(Products!$C:$C,MATCH(D33,Products!$A:$A,0)),"Unknown")</f>
        <v>Watches</v>
      </c>
      <c r="W33" t="str">
        <f>IFERROR(INDEX(Products!$E:$E,MATCH(D33,Products!$A:$A,0)),"Unknown")</f>
        <v>Pepe Jeans</v>
      </c>
      <c r="X33" t="str">
        <f>IFERROR(INDEX(Stores!$B:$B,MATCH(E33,Stores!$A:$A,0)),"Unknown")</f>
        <v>TrendMart Vellore Standard</v>
      </c>
      <c r="Y33" t="str">
        <f>IFERROR(INDEX(Stores!$E:$E,MATCH(E33,Stores!$A:$A,0)),"Unknown")</f>
        <v>South Zone 1</v>
      </c>
      <c r="Z33" t="str">
        <f>IFERROR(INDEX(Customers!$J:$J,MATCH(C33,Customers!$A:$A,0)),"Unknown")</f>
        <v>Regular</v>
      </c>
      <c r="AA33" t="str">
        <f t="shared" si="0"/>
        <v>2025-03</v>
      </c>
      <c r="AB33" t="str">
        <f>IFERROR(INDEX(Products!$I:$I,MATCH(D33,Products!$A:$A,0)),"Unknown")</f>
        <v>SUP079</v>
      </c>
    </row>
    <row r="34" spans="1:28" x14ac:dyDescent="0.25">
      <c r="A34" t="s">
        <v>323</v>
      </c>
      <c r="B34" s="20">
        <v>45579</v>
      </c>
      <c r="C34" t="s">
        <v>324</v>
      </c>
      <c r="D34" t="s">
        <v>325</v>
      </c>
      <c r="E34" t="s">
        <v>274</v>
      </c>
      <c r="F34" t="s">
        <v>195</v>
      </c>
      <c r="G34">
        <v>1</v>
      </c>
      <c r="H34" s="21">
        <v>1145.6600000000001</v>
      </c>
      <c r="I34">
        <v>0</v>
      </c>
      <c r="J34" s="21">
        <v>0</v>
      </c>
      <c r="K34">
        <v>12</v>
      </c>
      <c r="L34" s="21">
        <v>137.47999999999999</v>
      </c>
      <c r="M34" s="21">
        <v>1283.1400000000001</v>
      </c>
      <c r="N34" s="21">
        <v>759</v>
      </c>
      <c r="O34" s="21">
        <v>386.66</v>
      </c>
      <c r="P34" t="s">
        <v>121</v>
      </c>
      <c r="Q34" t="s">
        <v>122</v>
      </c>
      <c r="R34" t="s">
        <v>151</v>
      </c>
      <c r="S34" t="s">
        <v>326</v>
      </c>
      <c r="T34" t="s">
        <v>153</v>
      </c>
      <c r="U34" t="s">
        <v>154</v>
      </c>
      <c r="V34" t="str">
        <f>IFERROR(INDEX(Products!$C:$C,MATCH(D34,Products!$A:$A,0)),"Unknown")</f>
        <v>Women Jeans</v>
      </c>
      <c r="W34" t="str">
        <f>IFERROR(INDEX(Products!$E:$E,MATCH(D34,Products!$A:$A,0)),"Unknown")</f>
        <v>Nalli Silks</v>
      </c>
      <c r="X34" t="str">
        <f>IFERROR(INDEX(Stores!$B:$B,MATCH(E34,Stores!$A:$A,0)),"Unknown")</f>
        <v>TrendMart Mangaluru Standard</v>
      </c>
      <c r="Y34" t="str">
        <f>IFERROR(INDEX(Stores!$E:$E,MATCH(E34,Stores!$A:$A,0)),"Unknown")</f>
        <v>South Zone 2</v>
      </c>
      <c r="Z34" t="str">
        <f>IFERROR(INDEX(Customers!$J:$J,MATCH(C34,Customers!$A:$A,0)),"Unknown")</f>
        <v>Regular</v>
      </c>
      <c r="AA34" t="str">
        <f t="shared" si="0"/>
        <v>2024-10</v>
      </c>
      <c r="AB34" t="str">
        <f>IFERROR(INDEX(Products!$I:$I,MATCH(D34,Products!$A:$A,0)),"Unknown")</f>
        <v>SUP048</v>
      </c>
    </row>
    <row r="35" spans="1:28" x14ac:dyDescent="0.25">
      <c r="A35" t="s">
        <v>327</v>
      </c>
      <c r="B35" s="20">
        <v>45607</v>
      </c>
      <c r="C35" t="s">
        <v>328</v>
      </c>
      <c r="D35" t="s">
        <v>329</v>
      </c>
      <c r="E35" t="s">
        <v>82</v>
      </c>
      <c r="F35" t="s">
        <v>263</v>
      </c>
      <c r="G35">
        <v>1</v>
      </c>
      <c r="H35" s="21">
        <v>636.91999999999996</v>
      </c>
      <c r="I35">
        <v>25</v>
      </c>
      <c r="J35" s="21">
        <v>159.22999999999999</v>
      </c>
      <c r="K35">
        <v>5</v>
      </c>
      <c r="L35" s="21">
        <v>23.88</v>
      </c>
      <c r="M35" s="21">
        <v>501.57</v>
      </c>
      <c r="N35" s="21">
        <v>419.28</v>
      </c>
      <c r="O35" s="21">
        <v>58.41</v>
      </c>
      <c r="P35" t="s">
        <v>127</v>
      </c>
      <c r="Q35" t="s">
        <v>120</v>
      </c>
      <c r="R35" t="s">
        <v>151</v>
      </c>
      <c r="S35" t="s">
        <v>330</v>
      </c>
      <c r="T35" t="s">
        <v>153</v>
      </c>
      <c r="U35" t="s">
        <v>154</v>
      </c>
      <c r="V35" t="str">
        <f>IFERROR(INDEX(Products!$C:$C,MATCH(D35,Products!$A:$A,0)),"Unknown")</f>
        <v>Men T-Shirts</v>
      </c>
      <c r="W35" t="str">
        <f>IFERROR(INDEX(Products!$E:$E,MATCH(D35,Products!$A:$A,0)),"Unknown")</f>
        <v>Peter England</v>
      </c>
      <c r="X35" t="str">
        <f>IFERROR(INDEX(Stores!$B:$B,MATCH(E35,Stores!$A:$A,0)),"Unknown")</f>
        <v>TrendMart Kochi High Street</v>
      </c>
      <c r="Y35" t="str">
        <f>IFERROR(INDEX(Stores!$E:$E,MATCH(E35,Stores!$A:$A,0)),"Unknown")</f>
        <v>South Zone 1</v>
      </c>
      <c r="Z35" t="str">
        <f>IFERROR(INDEX(Customers!$J:$J,MATCH(C35,Customers!$A:$A,0)),"Unknown")</f>
        <v>Platinum</v>
      </c>
      <c r="AA35" t="str">
        <f t="shared" si="0"/>
        <v>2024-11</v>
      </c>
      <c r="AB35" t="str">
        <f>IFERROR(INDEX(Products!$I:$I,MATCH(D35,Products!$A:$A,0)),"Unknown")</f>
        <v>SUP071</v>
      </c>
    </row>
    <row r="36" spans="1:28" x14ac:dyDescent="0.25">
      <c r="A36" t="s">
        <v>331</v>
      </c>
      <c r="B36" s="20">
        <v>45512</v>
      </c>
      <c r="C36" t="s">
        <v>332</v>
      </c>
      <c r="D36" t="s">
        <v>333</v>
      </c>
      <c r="E36" t="s">
        <v>334</v>
      </c>
      <c r="F36" t="s">
        <v>335</v>
      </c>
      <c r="G36">
        <v>2</v>
      </c>
      <c r="H36" s="21">
        <v>2565.08</v>
      </c>
      <c r="I36">
        <v>0</v>
      </c>
      <c r="J36" s="21">
        <v>0</v>
      </c>
      <c r="K36">
        <v>12</v>
      </c>
      <c r="L36" s="21">
        <v>615.62</v>
      </c>
      <c r="M36" s="21">
        <v>5745.78</v>
      </c>
      <c r="N36" s="21">
        <v>3534.64</v>
      </c>
      <c r="O36" s="21">
        <v>1595.52</v>
      </c>
      <c r="P36" t="s">
        <v>123</v>
      </c>
      <c r="Q36" t="s">
        <v>120</v>
      </c>
      <c r="R36" t="s">
        <v>151</v>
      </c>
      <c r="S36" t="s">
        <v>336</v>
      </c>
      <c r="T36" t="s">
        <v>153</v>
      </c>
      <c r="U36" t="s">
        <v>154</v>
      </c>
      <c r="V36" t="str">
        <f>IFERROR(INDEX(Products!$C:$C,MATCH(D36,Products!$A:$A,0)),"Unknown")</f>
        <v>Winter Wear</v>
      </c>
      <c r="W36" t="str">
        <f>IFERROR(INDEX(Products!$E:$E,MATCH(D36,Products!$A:$A,0)),"Unknown")</f>
        <v>GRT Jewellers</v>
      </c>
      <c r="X36" t="str">
        <f>IFERROR(INDEX(Stores!$B:$B,MATCH(E36,Stores!$A:$A,0)),"Unknown")</f>
        <v>TrendMart Madurai High Street</v>
      </c>
      <c r="Y36" t="str">
        <f>IFERROR(INDEX(Stores!$E:$E,MATCH(E36,Stores!$A:$A,0)),"Unknown")</f>
        <v>South Zone 1</v>
      </c>
      <c r="Z36" t="str">
        <f>IFERROR(INDEX(Customers!$J:$J,MATCH(C36,Customers!$A:$A,0)),"Unknown")</f>
        <v>Platinum</v>
      </c>
      <c r="AA36" t="str">
        <f t="shared" si="0"/>
        <v>2024-08</v>
      </c>
      <c r="AB36" t="str">
        <f>IFERROR(INDEX(Products!$I:$I,MATCH(D36,Products!$A:$A,0)),"Unknown")</f>
        <v>SUP052</v>
      </c>
    </row>
    <row r="37" spans="1:28" x14ac:dyDescent="0.25">
      <c r="A37" t="s">
        <v>337</v>
      </c>
      <c r="B37" s="20">
        <v>45467</v>
      </c>
      <c r="C37" t="s">
        <v>338</v>
      </c>
      <c r="D37" t="s">
        <v>339</v>
      </c>
      <c r="E37" t="s">
        <v>158</v>
      </c>
      <c r="F37" t="s">
        <v>292</v>
      </c>
      <c r="G37">
        <v>1</v>
      </c>
      <c r="H37" s="21">
        <v>810.77</v>
      </c>
      <c r="I37">
        <v>20</v>
      </c>
      <c r="J37" s="21">
        <v>162.15</v>
      </c>
      <c r="K37">
        <v>5</v>
      </c>
      <c r="L37" s="21">
        <v>32.43</v>
      </c>
      <c r="M37" s="21">
        <v>681.05</v>
      </c>
      <c r="N37" s="21">
        <v>568.53</v>
      </c>
      <c r="O37" s="21">
        <v>80.09</v>
      </c>
      <c r="P37" t="s">
        <v>125</v>
      </c>
      <c r="Q37" t="s">
        <v>122</v>
      </c>
      <c r="R37" t="s">
        <v>151</v>
      </c>
      <c r="S37" t="s">
        <v>340</v>
      </c>
      <c r="T37" t="s">
        <v>153</v>
      </c>
      <c r="U37" t="s">
        <v>154</v>
      </c>
      <c r="V37" t="str">
        <f>IFERROR(INDEX(Products!$C:$C,MATCH(D37,Products!$A:$A,0)),"Unknown")</f>
        <v>Women Kurtis</v>
      </c>
      <c r="W37" t="str">
        <f>IFERROR(INDEX(Products!$E:$E,MATCH(D37,Products!$A:$A,0)),"Unknown")</f>
        <v>Allen Solly</v>
      </c>
      <c r="X37" t="str">
        <f>IFERROR(INDEX(Stores!$B:$B,MATCH(E37,Stores!$A:$A,0)),"Unknown")</f>
        <v>TrendMart Tirunelveli High Street</v>
      </c>
      <c r="Y37" t="str">
        <f>IFERROR(INDEX(Stores!$E:$E,MATCH(E37,Stores!$A:$A,0)),"Unknown")</f>
        <v>South Zone 1</v>
      </c>
      <c r="Z37" t="str">
        <f>IFERROR(INDEX(Customers!$J:$J,MATCH(C37,Customers!$A:$A,0)),"Unknown")</f>
        <v>Platinum</v>
      </c>
      <c r="AA37" t="str">
        <f t="shared" si="0"/>
        <v>2024-06</v>
      </c>
      <c r="AB37" t="str">
        <f>IFERROR(INDEX(Products!$I:$I,MATCH(D37,Products!$A:$A,0)),"Unknown")</f>
        <v>SUP086</v>
      </c>
    </row>
    <row r="38" spans="1:28" x14ac:dyDescent="0.25">
      <c r="A38" t="s">
        <v>341</v>
      </c>
      <c r="B38" s="20">
        <v>45637</v>
      </c>
      <c r="C38" t="s">
        <v>224</v>
      </c>
      <c r="D38" t="s">
        <v>342</v>
      </c>
      <c r="E38" t="s">
        <v>343</v>
      </c>
      <c r="F38" t="s">
        <v>344</v>
      </c>
      <c r="G38">
        <v>2</v>
      </c>
      <c r="H38" s="21">
        <v>4523.83</v>
      </c>
      <c r="I38">
        <v>25</v>
      </c>
      <c r="J38" s="21">
        <v>2261.91</v>
      </c>
      <c r="K38">
        <v>12</v>
      </c>
      <c r="L38" s="21">
        <v>814.29</v>
      </c>
      <c r="M38" s="21">
        <v>7600.04</v>
      </c>
      <c r="N38" s="21">
        <v>7301.1</v>
      </c>
      <c r="O38" s="21">
        <v>-515.35</v>
      </c>
      <c r="P38" t="s">
        <v>125</v>
      </c>
      <c r="Q38" t="s">
        <v>120</v>
      </c>
      <c r="R38" t="s">
        <v>151</v>
      </c>
      <c r="S38" t="s">
        <v>345</v>
      </c>
      <c r="T38" t="s">
        <v>153</v>
      </c>
      <c r="U38" t="s">
        <v>184</v>
      </c>
      <c r="V38" t="str">
        <f>IFERROR(INDEX(Products!$C:$C,MATCH(D38,Products!$A:$A,0)),"Unknown")</f>
        <v>Watches</v>
      </c>
      <c r="W38" t="str">
        <f>IFERROR(INDEX(Products!$E:$E,MATCH(D38,Products!$A:$A,0)),"Unknown")</f>
        <v>Pepe Jeans</v>
      </c>
      <c r="X38" t="str">
        <f>IFERROR(INDEX(Stores!$B:$B,MATCH(E38,Stores!$A:$A,0)),"Unknown")</f>
        <v>TrendMart Tumakuru Outlet</v>
      </c>
      <c r="Y38" t="str">
        <f>IFERROR(INDEX(Stores!$E:$E,MATCH(E38,Stores!$A:$A,0)),"Unknown")</f>
        <v>South Zone 2</v>
      </c>
      <c r="Z38" t="str">
        <f>IFERROR(INDEX(Customers!$J:$J,MATCH(C38,Customers!$A:$A,0)),"Unknown")</f>
        <v>Gold</v>
      </c>
      <c r="AA38" t="str">
        <f t="shared" si="0"/>
        <v>2024-12</v>
      </c>
      <c r="AB38" t="str">
        <f>IFERROR(INDEX(Products!$I:$I,MATCH(D38,Products!$A:$A,0)),"Unknown")</f>
        <v>SUP052</v>
      </c>
    </row>
    <row r="39" spans="1:28" x14ac:dyDescent="0.25">
      <c r="A39" t="s">
        <v>346</v>
      </c>
      <c r="B39" s="20">
        <v>45719</v>
      </c>
      <c r="C39" t="s">
        <v>347</v>
      </c>
      <c r="D39" t="s">
        <v>261</v>
      </c>
      <c r="E39" t="s">
        <v>302</v>
      </c>
      <c r="F39" t="s">
        <v>159</v>
      </c>
      <c r="G39">
        <v>4</v>
      </c>
      <c r="H39" s="21">
        <v>1260.4100000000001</v>
      </c>
      <c r="I39">
        <v>0</v>
      </c>
      <c r="J39" s="21">
        <v>0</v>
      </c>
      <c r="K39">
        <v>12</v>
      </c>
      <c r="L39" s="21">
        <v>605</v>
      </c>
      <c r="M39" s="21">
        <v>5646.64</v>
      </c>
      <c r="N39" s="21">
        <v>3378.6</v>
      </c>
      <c r="O39" s="21">
        <v>1663.04</v>
      </c>
      <c r="P39" t="s">
        <v>121</v>
      </c>
      <c r="Q39" t="s">
        <v>120</v>
      </c>
      <c r="R39" t="s">
        <v>151</v>
      </c>
      <c r="S39" t="s">
        <v>348</v>
      </c>
      <c r="T39" t="s">
        <v>153</v>
      </c>
      <c r="U39" t="s">
        <v>154</v>
      </c>
      <c r="V39" t="str">
        <f>IFERROR(INDEX(Products!$C:$C,MATCH(D39,Products!$A:$A,0)),"Unknown")</f>
        <v>Women Kurtis</v>
      </c>
      <c r="W39" t="str">
        <f>IFERROR(INDEX(Products!$E:$E,MATCH(D39,Products!$A:$A,0)),"Unknown")</f>
        <v>Woodland</v>
      </c>
      <c r="X39" t="str">
        <f>IFERROR(INDEX(Stores!$B:$B,MATCH(E39,Stores!$A:$A,0)),"Unknown")</f>
        <v>TrendMart Visakhapatnam Standard</v>
      </c>
      <c r="Y39" t="str">
        <f>IFERROR(INDEX(Stores!$E:$E,MATCH(E39,Stores!$A:$A,0)),"Unknown")</f>
        <v>South Zone 3</v>
      </c>
      <c r="Z39" t="str">
        <f>IFERROR(INDEX(Customers!$J:$J,MATCH(C39,Customers!$A:$A,0)),"Unknown")</f>
        <v>Silver</v>
      </c>
      <c r="AA39" t="str">
        <f t="shared" si="0"/>
        <v>2025-03</v>
      </c>
      <c r="AB39" t="str">
        <f>IFERROR(INDEX(Products!$I:$I,MATCH(D39,Products!$A:$A,0)),"Unknown")</f>
        <v>SUP071</v>
      </c>
    </row>
    <row r="40" spans="1:28" x14ac:dyDescent="0.25">
      <c r="A40" t="s">
        <v>349</v>
      </c>
      <c r="B40" s="20">
        <v>45528</v>
      </c>
      <c r="C40" t="s">
        <v>350</v>
      </c>
      <c r="D40" t="s">
        <v>307</v>
      </c>
      <c r="E40" t="s">
        <v>351</v>
      </c>
      <c r="F40" t="s">
        <v>221</v>
      </c>
      <c r="G40">
        <v>2</v>
      </c>
      <c r="H40" s="21">
        <v>1282.81</v>
      </c>
      <c r="I40">
        <v>10</v>
      </c>
      <c r="J40" s="21">
        <v>256.56</v>
      </c>
      <c r="K40">
        <v>12</v>
      </c>
      <c r="L40" s="21">
        <v>277.08999999999997</v>
      </c>
      <c r="M40" s="21">
        <v>2586.15</v>
      </c>
      <c r="N40" s="21">
        <v>1510.12</v>
      </c>
      <c r="O40" s="21">
        <v>798.94</v>
      </c>
      <c r="P40" t="s">
        <v>124</v>
      </c>
      <c r="Q40" t="s">
        <v>120</v>
      </c>
      <c r="R40" t="s">
        <v>151</v>
      </c>
      <c r="S40" t="s">
        <v>352</v>
      </c>
      <c r="T40" t="s">
        <v>161</v>
      </c>
      <c r="U40" t="s">
        <v>154</v>
      </c>
      <c r="V40" t="str">
        <f>IFERROR(INDEX(Products!$C:$C,MATCH(D40,Products!$A:$A,0)),"Unknown")</f>
        <v>Winter Wear</v>
      </c>
      <c r="W40" t="str">
        <f>IFERROR(INDEX(Products!$E:$E,MATCH(D40,Products!$A:$A,0)),"Unknown")</f>
        <v>Fastrack</v>
      </c>
      <c r="X40" t="str">
        <f>IFERROR(INDEX(Stores!$B:$B,MATCH(E40,Stores!$A:$A,0)),"Unknown")</f>
        <v>TrendMart Kozhikode High Street</v>
      </c>
      <c r="Y40" t="str">
        <f>IFERROR(INDEX(Stores!$E:$E,MATCH(E40,Stores!$A:$A,0)),"Unknown")</f>
        <v>South Zone 1</v>
      </c>
      <c r="Z40" t="str">
        <f>IFERROR(INDEX(Customers!$J:$J,MATCH(C40,Customers!$A:$A,0)),"Unknown")</f>
        <v>Silver</v>
      </c>
      <c r="AA40" t="str">
        <f t="shared" si="0"/>
        <v>2024-08</v>
      </c>
      <c r="AB40" t="str">
        <f>IFERROR(INDEX(Products!$I:$I,MATCH(D40,Products!$A:$A,0)),"Unknown")</f>
        <v>SUP008</v>
      </c>
    </row>
    <row r="41" spans="1:28" x14ac:dyDescent="0.25">
      <c r="A41" t="s">
        <v>353</v>
      </c>
      <c r="B41" s="20">
        <v>45627</v>
      </c>
      <c r="C41" t="s">
        <v>354</v>
      </c>
      <c r="D41" t="s">
        <v>257</v>
      </c>
      <c r="E41" t="s">
        <v>355</v>
      </c>
      <c r="F41" t="s">
        <v>344</v>
      </c>
      <c r="G41">
        <v>1</v>
      </c>
      <c r="H41" s="21">
        <v>1063.68</v>
      </c>
      <c r="I41">
        <v>0</v>
      </c>
      <c r="J41" s="21">
        <v>0</v>
      </c>
      <c r="K41">
        <v>12</v>
      </c>
      <c r="L41" s="21">
        <v>127.64</v>
      </c>
      <c r="M41" s="21">
        <v>1191.32</v>
      </c>
      <c r="N41" s="21">
        <v>721.22</v>
      </c>
      <c r="O41" s="21">
        <v>342.46</v>
      </c>
      <c r="P41" t="s">
        <v>121</v>
      </c>
      <c r="Q41" t="s">
        <v>120</v>
      </c>
      <c r="R41" t="s">
        <v>151</v>
      </c>
      <c r="S41" t="s">
        <v>356</v>
      </c>
      <c r="T41" t="s">
        <v>161</v>
      </c>
      <c r="U41" t="s">
        <v>154</v>
      </c>
      <c r="V41" t="str">
        <f>IFERROR(INDEX(Products!$C:$C,MATCH(D41,Products!$A:$A,0)),"Unknown")</f>
        <v>Men Shirts</v>
      </c>
      <c r="W41" t="str">
        <f>IFERROR(INDEX(Products!$E:$E,MATCH(D41,Products!$A:$A,0)),"Unknown")</f>
        <v>Indian Terrain</v>
      </c>
      <c r="X41" t="str">
        <f>IFERROR(INDEX(Stores!$B:$B,MATCH(E41,Stores!$A:$A,0)),"Unknown")</f>
        <v>TrendMart Thiruvananthapuram High Street</v>
      </c>
      <c r="Y41" t="str">
        <f>IFERROR(INDEX(Stores!$E:$E,MATCH(E41,Stores!$A:$A,0)),"Unknown")</f>
        <v>South Zone 1</v>
      </c>
      <c r="Z41" t="str">
        <f>IFERROR(INDEX(Customers!$J:$J,MATCH(C41,Customers!$A:$A,0)),"Unknown")</f>
        <v>Platinum</v>
      </c>
      <c r="AA41" t="str">
        <f t="shared" si="0"/>
        <v>2024-12</v>
      </c>
      <c r="AB41" t="str">
        <f>IFERROR(INDEX(Products!$I:$I,MATCH(D41,Products!$A:$A,0)),"Unknown")</f>
        <v>SUP080</v>
      </c>
    </row>
    <row r="42" spans="1:28" x14ac:dyDescent="0.25">
      <c r="A42" t="s">
        <v>357</v>
      </c>
      <c r="B42" s="20">
        <v>45430</v>
      </c>
      <c r="C42" t="s">
        <v>358</v>
      </c>
      <c r="D42" t="s">
        <v>359</v>
      </c>
      <c r="E42" t="s">
        <v>360</v>
      </c>
      <c r="F42" t="s">
        <v>237</v>
      </c>
      <c r="G42">
        <v>1</v>
      </c>
      <c r="H42" s="21">
        <v>2614.62</v>
      </c>
      <c r="I42">
        <v>30</v>
      </c>
      <c r="J42" s="21">
        <v>784.39</v>
      </c>
      <c r="K42">
        <v>12</v>
      </c>
      <c r="L42" s="21">
        <v>219.63</v>
      </c>
      <c r="M42" s="21">
        <v>2049.86</v>
      </c>
      <c r="N42" s="21">
        <v>1804.37</v>
      </c>
      <c r="O42" s="21">
        <v>25.86</v>
      </c>
      <c r="P42" t="s">
        <v>125</v>
      </c>
      <c r="Q42" t="s">
        <v>120</v>
      </c>
      <c r="R42" t="s">
        <v>151</v>
      </c>
      <c r="S42" t="s">
        <v>304</v>
      </c>
      <c r="T42" t="s">
        <v>161</v>
      </c>
      <c r="U42" t="s">
        <v>154</v>
      </c>
      <c r="V42" t="str">
        <f>IFERROR(INDEX(Products!$C:$C,MATCH(D42,Products!$A:$A,0)),"Unknown")</f>
        <v>Men Ethnic</v>
      </c>
      <c r="W42" t="str">
        <f>IFERROR(INDEX(Products!$E:$E,MATCH(D42,Products!$A:$A,0)),"Unknown")</f>
        <v>US Polo Assn</v>
      </c>
      <c r="X42" t="str">
        <f>IFERROR(INDEX(Stores!$B:$B,MATCH(E42,Stores!$A:$A,0)),"Unknown")</f>
        <v>TrendMart Kochi Standard</v>
      </c>
      <c r="Y42" t="str">
        <f>IFERROR(INDEX(Stores!$E:$E,MATCH(E42,Stores!$A:$A,0)),"Unknown")</f>
        <v>South Zone 1</v>
      </c>
      <c r="Z42" t="str">
        <f>IFERROR(INDEX(Customers!$J:$J,MATCH(C42,Customers!$A:$A,0)),"Unknown")</f>
        <v>Regular</v>
      </c>
      <c r="AA42" t="str">
        <f t="shared" si="0"/>
        <v>2024-05</v>
      </c>
      <c r="AB42" t="str">
        <f>IFERROR(INDEX(Products!$I:$I,MATCH(D42,Products!$A:$A,0)),"Unknown")</f>
        <v>SUP036</v>
      </c>
    </row>
    <row r="43" spans="1:28" x14ac:dyDescent="0.25">
      <c r="A43" t="s">
        <v>361</v>
      </c>
      <c r="B43" s="20">
        <v>45614</v>
      </c>
      <c r="C43" t="s">
        <v>209</v>
      </c>
      <c r="D43" t="s">
        <v>362</v>
      </c>
      <c r="E43" t="s">
        <v>363</v>
      </c>
      <c r="F43" t="s">
        <v>170</v>
      </c>
      <c r="G43">
        <v>1</v>
      </c>
      <c r="H43" s="21">
        <v>1168.19</v>
      </c>
      <c r="I43">
        <v>10</v>
      </c>
      <c r="J43" s="21">
        <v>116.82</v>
      </c>
      <c r="K43">
        <v>12</v>
      </c>
      <c r="L43" s="21">
        <v>126.16</v>
      </c>
      <c r="M43" s="21">
        <v>1177.53</v>
      </c>
      <c r="N43" s="21">
        <v>887.02</v>
      </c>
      <c r="O43" s="21">
        <v>164.35</v>
      </c>
      <c r="P43" t="s">
        <v>123</v>
      </c>
      <c r="Q43" t="s">
        <v>120</v>
      </c>
      <c r="R43" t="s">
        <v>151</v>
      </c>
      <c r="S43" t="s">
        <v>364</v>
      </c>
      <c r="T43" t="s">
        <v>153</v>
      </c>
      <c r="U43" t="s">
        <v>154</v>
      </c>
      <c r="V43" t="str">
        <f>IFERROR(INDEX(Products!$C:$C,MATCH(D43,Products!$A:$A,0)),"Unknown")</f>
        <v>Men Trousers</v>
      </c>
      <c r="W43" t="str">
        <f>IFERROR(INDEX(Products!$E:$E,MATCH(D43,Products!$A:$A,0)),"Unknown")</f>
        <v>Pepe Jeans</v>
      </c>
      <c r="X43" t="str">
        <f>IFERROR(INDEX(Stores!$B:$B,MATCH(E43,Stores!$A:$A,0)),"Unknown")</f>
        <v>TrendMart Thiruvananthapuram High Street</v>
      </c>
      <c r="Y43" t="str">
        <f>IFERROR(INDEX(Stores!$E:$E,MATCH(E43,Stores!$A:$A,0)),"Unknown")</f>
        <v>South Zone 1</v>
      </c>
      <c r="Z43" t="str">
        <f>IFERROR(INDEX(Customers!$J:$J,MATCH(C43,Customers!$A:$A,0)),"Unknown")</f>
        <v>Silver</v>
      </c>
      <c r="AA43" t="str">
        <f t="shared" si="0"/>
        <v>2024-11</v>
      </c>
      <c r="AB43" t="str">
        <f>IFERROR(INDEX(Products!$I:$I,MATCH(D43,Products!$A:$A,0)),"Unknown")</f>
        <v>SUP028</v>
      </c>
    </row>
    <row r="44" spans="1:28" x14ac:dyDescent="0.25">
      <c r="A44" t="s">
        <v>365</v>
      </c>
      <c r="B44" s="20">
        <v>45473</v>
      </c>
      <c r="C44" t="s">
        <v>366</v>
      </c>
      <c r="D44" t="s">
        <v>367</v>
      </c>
      <c r="E44" t="s">
        <v>368</v>
      </c>
      <c r="F44" t="s">
        <v>189</v>
      </c>
      <c r="G44">
        <v>3</v>
      </c>
      <c r="H44" s="21">
        <v>802.62</v>
      </c>
      <c r="I44">
        <v>30</v>
      </c>
      <c r="J44" s="21">
        <v>722.36</v>
      </c>
      <c r="K44">
        <v>3</v>
      </c>
      <c r="L44" s="21">
        <v>50.56</v>
      </c>
      <c r="M44" s="21">
        <v>1736.06</v>
      </c>
      <c r="N44" s="21">
        <v>1670.97</v>
      </c>
      <c r="O44" s="21">
        <v>14.53</v>
      </c>
      <c r="P44" t="s">
        <v>124</v>
      </c>
      <c r="Q44" t="s">
        <v>120</v>
      </c>
      <c r="R44" t="s">
        <v>151</v>
      </c>
      <c r="S44" t="s">
        <v>369</v>
      </c>
      <c r="T44" t="s">
        <v>161</v>
      </c>
      <c r="U44" t="s">
        <v>154</v>
      </c>
      <c r="V44" t="str">
        <f>IFERROR(INDEX(Products!$C:$C,MATCH(D44,Products!$A:$A,0)),"Unknown")</f>
        <v>Jewellery</v>
      </c>
      <c r="W44" t="str">
        <f>IFERROR(INDEX(Products!$E:$E,MATCH(D44,Products!$A:$A,0)),"Unknown")</f>
        <v>Aurelia</v>
      </c>
      <c r="X44" t="str">
        <f>IFERROR(INDEX(Stores!$B:$B,MATCH(E44,Stores!$A:$A,0)),"Unknown")</f>
        <v>TrendMart Alappuzha Outlet</v>
      </c>
      <c r="Y44" t="str">
        <f>IFERROR(INDEX(Stores!$E:$E,MATCH(E44,Stores!$A:$A,0)),"Unknown")</f>
        <v>South Zone 1</v>
      </c>
      <c r="Z44" t="str">
        <f>IFERROR(INDEX(Customers!$J:$J,MATCH(C44,Customers!$A:$A,0)),"Unknown")</f>
        <v>Gold</v>
      </c>
      <c r="AA44" t="str">
        <f t="shared" si="0"/>
        <v>2024-06</v>
      </c>
      <c r="AB44" t="str">
        <f>IFERROR(INDEX(Products!$I:$I,MATCH(D44,Products!$A:$A,0)),"Unknown")</f>
        <v>SUP067</v>
      </c>
    </row>
    <row r="45" spans="1:28" x14ac:dyDescent="0.25">
      <c r="A45" t="s">
        <v>370</v>
      </c>
      <c r="B45" s="20">
        <v>45404</v>
      </c>
      <c r="C45" t="s">
        <v>371</v>
      </c>
      <c r="D45" t="s">
        <v>372</v>
      </c>
      <c r="E45" t="s">
        <v>87</v>
      </c>
      <c r="F45" t="s">
        <v>150</v>
      </c>
      <c r="G45">
        <v>1</v>
      </c>
      <c r="H45" s="21">
        <v>649.9</v>
      </c>
      <c r="I45">
        <v>10</v>
      </c>
      <c r="J45" s="21">
        <v>64.989999999999995</v>
      </c>
      <c r="K45">
        <v>5</v>
      </c>
      <c r="L45" s="21">
        <v>29.25</v>
      </c>
      <c r="M45" s="21">
        <v>614.16</v>
      </c>
      <c r="N45" s="21">
        <v>413.39</v>
      </c>
      <c r="O45" s="21">
        <v>171.52</v>
      </c>
      <c r="P45" t="s">
        <v>123</v>
      </c>
      <c r="Q45" t="s">
        <v>122</v>
      </c>
      <c r="R45" t="s">
        <v>151</v>
      </c>
      <c r="S45" t="s">
        <v>373</v>
      </c>
      <c r="T45" t="s">
        <v>153</v>
      </c>
      <c r="U45" t="s">
        <v>154</v>
      </c>
      <c r="V45" t="str">
        <f>IFERROR(INDEX(Products!$C:$C,MATCH(D45,Products!$A:$A,0)),"Unknown")</f>
        <v>Kids Wear</v>
      </c>
      <c r="W45" t="str">
        <f>IFERROR(INDEX(Products!$E:$E,MATCH(D45,Products!$A:$A,0)),"Unknown")</f>
        <v>Jack &amp; Jones</v>
      </c>
      <c r="X45" t="str">
        <f>IFERROR(INDEX(Stores!$B:$B,MATCH(E45,Stores!$A:$A,0)),"Unknown")</f>
        <v>TrendMart Thiruvananthapuram Standard</v>
      </c>
      <c r="Y45" t="str">
        <f>IFERROR(INDEX(Stores!$E:$E,MATCH(E45,Stores!$A:$A,0)),"Unknown")</f>
        <v>South Zone 1</v>
      </c>
      <c r="Z45" t="str">
        <f>IFERROR(INDEX(Customers!$J:$J,MATCH(C45,Customers!$A:$A,0)),"Unknown")</f>
        <v>Silver</v>
      </c>
      <c r="AA45" t="str">
        <f t="shared" si="0"/>
        <v>2024-04</v>
      </c>
      <c r="AB45" t="str">
        <f>IFERROR(INDEX(Products!$I:$I,MATCH(D45,Products!$A:$A,0)),"Unknown")</f>
        <v>SUP065</v>
      </c>
    </row>
    <row r="46" spans="1:28" x14ac:dyDescent="0.25">
      <c r="A46" t="s">
        <v>374</v>
      </c>
      <c r="B46" s="20">
        <v>45423</v>
      </c>
      <c r="C46" t="s">
        <v>375</v>
      </c>
      <c r="D46" t="s">
        <v>376</v>
      </c>
      <c r="E46" t="s">
        <v>200</v>
      </c>
      <c r="F46" t="s">
        <v>377</v>
      </c>
      <c r="G46">
        <v>1</v>
      </c>
      <c r="H46" s="21">
        <v>1532.84</v>
      </c>
      <c r="I46">
        <v>0</v>
      </c>
      <c r="J46" s="21">
        <v>0</v>
      </c>
      <c r="K46">
        <v>12</v>
      </c>
      <c r="L46" s="21">
        <v>183.94</v>
      </c>
      <c r="M46" s="21">
        <v>1716.78</v>
      </c>
      <c r="N46" s="21">
        <v>1025.24</v>
      </c>
      <c r="O46" s="21">
        <v>507.6</v>
      </c>
      <c r="P46" t="s">
        <v>127</v>
      </c>
      <c r="Q46" t="s">
        <v>122</v>
      </c>
      <c r="R46" t="s">
        <v>151</v>
      </c>
      <c r="S46" t="s">
        <v>378</v>
      </c>
      <c r="T46" t="s">
        <v>161</v>
      </c>
      <c r="U46" t="s">
        <v>154</v>
      </c>
      <c r="V46" t="str">
        <f>IFERROR(INDEX(Products!$C:$C,MATCH(D46,Products!$A:$A,0)),"Unknown")</f>
        <v>Women Jeans</v>
      </c>
      <c r="W46" t="str">
        <f>IFERROR(INDEX(Products!$E:$E,MATCH(D46,Products!$A:$A,0)),"Unknown")</f>
        <v>Pothys</v>
      </c>
      <c r="X46" t="str">
        <f>IFERROR(INDEX(Stores!$B:$B,MATCH(E46,Stores!$A:$A,0)),"Unknown")</f>
        <v>TrendMart Kozhikode Standard</v>
      </c>
      <c r="Y46" t="str">
        <f>IFERROR(INDEX(Stores!$E:$E,MATCH(E46,Stores!$A:$A,0)),"Unknown")</f>
        <v>South Zone 1</v>
      </c>
      <c r="Z46" t="str">
        <f>IFERROR(INDEX(Customers!$J:$J,MATCH(C46,Customers!$A:$A,0)),"Unknown")</f>
        <v>Regular</v>
      </c>
      <c r="AA46" t="str">
        <f t="shared" si="0"/>
        <v>2024-05</v>
      </c>
      <c r="AB46" t="str">
        <f>IFERROR(INDEX(Products!$I:$I,MATCH(D46,Products!$A:$A,0)),"Unknown")</f>
        <v>SUP015</v>
      </c>
    </row>
    <row r="47" spans="1:28" x14ac:dyDescent="0.25">
      <c r="A47" t="s">
        <v>379</v>
      </c>
      <c r="B47" s="20">
        <v>45423</v>
      </c>
      <c r="C47" t="s">
        <v>380</v>
      </c>
      <c r="D47" t="s">
        <v>381</v>
      </c>
      <c r="E47" t="s">
        <v>175</v>
      </c>
      <c r="F47" t="s">
        <v>382</v>
      </c>
      <c r="G47">
        <v>1</v>
      </c>
      <c r="H47" s="21">
        <v>864.24</v>
      </c>
      <c r="I47">
        <v>0</v>
      </c>
      <c r="J47" s="21">
        <v>0</v>
      </c>
      <c r="K47">
        <v>5</v>
      </c>
      <c r="L47" s="21">
        <v>43.21</v>
      </c>
      <c r="M47" s="21">
        <v>907.45</v>
      </c>
      <c r="N47" s="21">
        <v>513.84</v>
      </c>
      <c r="O47" s="21">
        <v>350.4</v>
      </c>
      <c r="P47" t="s">
        <v>121</v>
      </c>
      <c r="Q47" t="s">
        <v>120</v>
      </c>
      <c r="R47" t="s">
        <v>151</v>
      </c>
      <c r="S47" t="s">
        <v>383</v>
      </c>
      <c r="T47" t="s">
        <v>161</v>
      </c>
      <c r="U47" t="s">
        <v>154</v>
      </c>
      <c r="V47" t="str">
        <f>IFERROR(INDEX(Products!$C:$C,MATCH(D47,Products!$A:$A,0)),"Unknown")</f>
        <v>Wallets</v>
      </c>
      <c r="W47" t="str">
        <f>IFERROR(INDEX(Products!$E:$E,MATCH(D47,Products!$A:$A,0)),"Unknown")</f>
        <v>Tanishq</v>
      </c>
      <c r="X47" t="str">
        <f>IFERROR(INDEX(Stores!$B:$B,MATCH(E47,Stores!$A:$A,0)),"Unknown")</f>
        <v>TrendMart Thoothukudi Flagship</v>
      </c>
      <c r="Y47" t="str">
        <f>IFERROR(INDEX(Stores!$E:$E,MATCH(E47,Stores!$A:$A,0)),"Unknown")</f>
        <v>South Zone 1</v>
      </c>
      <c r="Z47" t="str">
        <f>IFERROR(INDEX(Customers!$J:$J,MATCH(C47,Customers!$A:$A,0)),"Unknown")</f>
        <v>Regular</v>
      </c>
      <c r="AA47" t="str">
        <f t="shared" si="0"/>
        <v>2024-05</v>
      </c>
      <c r="AB47" t="str">
        <f>IFERROR(INDEX(Products!$I:$I,MATCH(D47,Products!$A:$A,0)),"Unknown")</f>
        <v>SUP007</v>
      </c>
    </row>
    <row r="48" spans="1:28" x14ac:dyDescent="0.25">
      <c r="A48" t="s">
        <v>384</v>
      </c>
      <c r="B48" s="20">
        <v>45603</v>
      </c>
      <c r="C48" t="s">
        <v>385</v>
      </c>
      <c r="D48" t="s">
        <v>386</v>
      </c>
      <c r="E48" t="s">
        <v>387</v>
      </c>
      <c r="F48" t="s">
        <v>275</v>
      </c>
      <c r="G48">
        <v>1</v>
      </c>
      <c r="H48" s="21">
        <v>1431.54</v>
      </c>
      <c r="I48">
        <v>10</v>
      </c>
      <c r="J48" s="21">
        <v>143.15</v>
      </c>
      <c r="K48">
        <v>12</v>
      </c>
      <c r="L48" s="21">
        <v>154.61000000000001</v>
      </c>
      <c r="M48" s="21">
        <v>1443</v>
      </c>
      <c r="N48" s="21">
        <v>1013.26</v>
      </c>
      <c r="O48" s="21">
        <v>275.13</v>
      </c>
      <c r="P48" t="s">
        <v>121</v>
      </c>
      <c r="Q48" t="s">
        <v>120</v>
      </c>
      <c r="R48" t="s">
        <v>151</v>
      </c>
      <c r="S48" t="s">
        <v>388</v>
      </c>
      <c r="T48" t="s">
        <v>153</v>
      </c>
      <c r="U48" t="s">
        <v>154</v>
      </c>
      <c r="V48" t="str">
        <f>IFERROR(INDEX(Products!$C:$C,MATCH(D48,Products!$A:$A,0)),"Unknown")</f>
        <v>Winter Wear</v>
      </c>
      <c r="W48" t="str">
        <f>IFERROR(INDEX(Products!$E:$E,MATCH(D48,Products!$A:$A,0)),"Unknown")</f>
        <v>Blackberrys</v>
      </c>
      <c r="X48" t="str">
        <f>IFERROR(INDEX(Stores!$B:$B,MATCH(E48,Stores!$A:$A,0)),"Unknown")</f>
        <v>TrendMart Kannur Outlet</v>
      </c>
      <c r="Y48" t="str">
        <f>IFERROR(INDEX(Stores!$E:$E,MATCH(E48,Stores!$A:$A,0)),"Unknown")</f>
        <v>South Zone 1</v>
      </c>
      <c r="Z48" t="str">
        <f>IFERROR(INDEX(Customers!$J:$J,MATCH(C48,Customers!$A:$A,0)),"Unknown")</f>
        <v>Platinum</v>
      </c>
      <c r="AA48" t="str">
        <f t="shared" si="0"/>
        <v>2024-11</v>
      </c>
      <c r="AB48" t="str">
        <f>IFERROR(INDEX(Products!$I:$I,MATCH(D48,Products!$A:$A,0)),"Unknown")</f>
        <v>SUP051</v>
      </c>
    </row>
    <row r="49" spans="1:28" x14ac:dyDescent="0.25">
      <c r="A49" t="s">
        <v>389</v>
      </c>
      <c r="B49" s="20">
        <v>45543</v>
      </c>
      <c r="C49" t="s">
        <v>390</v>
      </c>
      <c r="D49" t="s">
        <v>199</v>
      </c>
      <c r="E49" t="s">
        <v>391</v>
      </c>
      <c r="F49" t="s">
        <v>303</v>
      </c>
      <c r="G49">
        <v>1</v>
      </c>
      <c r="H49" s="21">
        <v>945.21</v>
      </c>
      <c r="I49">
        <v>0</v>
      </c>
      <c r="J49" s="21">
        <v>0</v>
      </c>
      <c r="K49">
        <v>5</v>
      </c>
      <c r="L49" s="21">
        <v>47.26</v>
      </c>
      <c r="M49" s="21">
        <v>992.47</v>
      </c>
      <c r="N49" s="21">
        <v>488.6</v>
      </c>
      <c r="O49" s="21">
        <v>456.61</v>
      </c>
      <c r="P49" t="s">
        <v>123</v>
      </c>
      <c r="Q49" t="s">
        <v>122</v>
      </c>
      <c r="R49" t="s">
        <v>151</v>
      </c>
      <c r="S49" t="s">
        <v>392</v>
      </c>
      <c r="T49" t="s">
        <v>161</v>
      </c>
      <c r="U49" t="s">
        <v>154</v>
      </c>
      <c r="V49" t="str">
        <f>IFERROR(INDEX(Products!$C:$C,MATCH(D49,Products!$A:$A,0)),"Unknown")</f>
        <v>Accessories</v>
      </c>
      <c r="W49" t="str">
        <f>IFERROR(INDEX(Products!$E:$E,MATCH(D49,Products!$A:$A,0)),"Unknown")</f>
        <v>Arrow</v>
      </c>
      <c r="X49" t="str">
        <f>IFERROR(INDEX(Stores!$B:$B,MATCH(E49,Stores!$A:$A,0)),"Unknown")</f>
        <v>TrendMart Warangal High Street</v>
      </c>
      <c r="Y49" t="str">
        <f>IFERROR(INDEX(Stores!$E:$E,MATCH(E49,Stores!$A:$A,0)),"Unknown")</f>
        <v>South Zone 2</v>
      </c>
      <c r="Z49" t="str">
        <f>IFERROR(INDEX(Customers!$J:$J,MATCH(C49,Customers!$A:$A,0)),"Unknown")</f>
        <v>Regular</v>
      </c>
      <c r="AA49" t="str">
        <f t="shared" si="0"/>
        <v>2024-09</v>
      </c>
      <c r="AB49" t="str">
        <f>IFERROR(INDEX(Products!$I:$I,MATCH(D49,Products!$A:$A,0)),"Unknown")</f>
        <v>SUP018</v>
      </c>
    </row>
    <row r="50" spans="1:28" x14ac:dyDescent="0.25">
      <c r="A50" t="s">
        <v>393</v>
      </c>
      <c r="B50" s="20">
        <v>45456</v>
      </c>
      <c r="C50" t="s">
        <v>394</v>
      </c>
      <c r="D50" t="s">
        <v>395</v>
      </c>
      <c r="E50" t="s">
        <v>396</v>
      </c>
      <c r="F50" t="s">
        <v>397</v>
      </c>
      <c r="G50">
        <v>1</v>
      </c>
      <c r="H50" s="21">
        <v>462.17</v>
      </c>
      <c r="I50">
        <v>5</v>
      </c>
      <c r="J50" s="21">
        <v>23.11</v>
      </c>
      <c r="K50">
        <v>5</v>
      </c>
      <c r="L50" s="21">
        <v>21.95</v>
      </c>
      <c r="M50" s="21">
        <v>461.01</v>
      </c>
      <c r="N50" s="21">
        <v>295</v>
      </c>
      <c r="O50" s="21">
        <v>144.06</v>
      </c>
      <c r="P50" t="s">
        <v>124</v>
      </c>
      <c r="Q50" t="s">
        <v>120</v>
      </c>
      <c r="R50" t="s">
        <v>151</v>
      </c>
      <c r="S50" t="s">
        <v>398</v>
      </c>
      <c r="T50" t="s">
        <v>153</v>
      </c>
      <c r="U50" t="s">
        <v>154</v>
      </c>
      <c r="V50" t="str">
        <f>IFERROR(INDEX(Products!$C:$C,MATCH(D50,Products!$A:$A,0)),"Unknown")</f>
        <v>Men T-Shirts</v>
      </c>
      <c r="W50" t="str">
        <f>IFERROR(INDEX(Products!$E:$E,MATCH(D50,Products!$A:$A,0)),"Unknown")</f>
        <v>Nalli Silks</v>
      </c>
      <c r="X50" t="str">
        <f>IFERROR(INDEX(Stores!$B:$B,MATCH(E50,Stores!$A:$A,0)),"Unknown")</f>
        <v>TrendMart Davanagere High Street</v>
      </c>
      <c r="Y50" t="str">
        <f>IFERROR(INDEX(Stores!$E:$E,MATCH(E50,Stores!$A:$A,0)),"Unknown")</f>
        <v>South Zone 2</v>
      </c>
      <c r="Z50" t="str">
        <f>IFERROR(INDEX(Customers!$J:$J,MATCH(C50,Customers!$A:$A,0)),"Unknown")</f>
        <v>Gold</v>
      </c>
      <c r="AA50" t="str">
        <f t="shared" si="0"/>
        <v>2024-06</v>
      </c>
      <c r="AB50" t="str">
        <f>IFERROR(INDEX(Products!$I:$I,MATCH(D50,Products!$A:$A,0)),"Unknown")</f>
        <v>SUP049</v>
      </c>
    </row>
    <row r="51" spans="1:28" x14ac:dyDescent="0.25">
      <c r="A51" t="s">
        <v>399</v>
      </c>
      <c r="B51" s="20">
        <v>45474</v>
      </c>
      <c r="C51" t="s">
        <v>400</v>
      </c>
      <c r="D51" t="s">
        <v>401</v>
      </c>
      <c r="E51" t="s">
        <v>402</v>
      </c>
      <c r="F51" t="s">
        <v>403</v>
      </c>
      <c r="G51">
        <v>2</v>
      </c>
      <c r="H51" s="21">
        <v>1135.21</v>
      </c>
      <c r="I51">
        <v>0</v>
      </c>
      <c r="J51" s="21">
        <v>0</v>
      </c>
      <c r="K51">
        <v>12</v>
      </c>
      <c r="L51" s="21">
        <v>272.45</v>
      </c>
      <c r="M51" s="21">
        <v>2542.87</v>
      </c>
      <c r="N51" s="21">
        <v>1535.66</v>
      </c>
      <c r="O51" s="21">
        <v>734.76</v>
      </c>
      <c r="P51" t="s">
        <v>123</v>
      </c>
      <c r="Q51" t="s">
        <v>122</v>
      </c>
      <c r="R51" t="s">
        <v>151</v>
      </c>
      <c r="S51" t="s">
        <v>404</v>
      </c>
      <c r="T51" t="s">
        <v>153</v>
      </c>
      <c r="U51" t="s">
        <v>154</v>
      </c>
      <c r="V51" t="str">
        <f>IFERROR(INDEX(Products!$C:$C,MATCH(D51,Products!$A:$A,0)),"Unknown")</f>
        <v>Women Jeans</v>
      </c>
      <c r="W51" t="str">
        <f>IFERROR(INDEX(Products!$E:$E,MATCH(D51,Products!$A:$A,0)),"Unknown")</f>
        <v>Being Human</v>
      </c>
      <c r="X51" t="str">
        <f>IFERROR(INDEX(Stores!$B:$B,MATCH(E51,Stores!$A:$A,0)),"Unknown")</f>
        <v>TrendMart Kannur Standard</v>
      </c>
      <c r="Y51" t="str">
        <f>IFERROR(INDEX(Stores!$E:$E,MATCH(E51,Stores!$A:$A,0)),"Unknown")</f>
        <v>South Zone 1</v>
      </c>
      <c r="Z51" t="str">
        <f>IFERROR(INDEX(Customers!$J:$J,MATCH(C51,Customers!$A:$A,0)),"Unknown")</f>
        <v>Platinum</v>
      </c>
      <c r="AA51" t="str">
        <f t="shared" si="0"/>
        <v>2024-07</v>
      </c>
      <c r="AB51" t="str">
        <f>IFERROR(INDEX(Products!$I:$I,MATCH(D51,Products!$A:$A,0)),"Unknown")</f>
        <v>SUP013</v>
      </c>
    </row>
    <row r="52" spans="1:28" x14ac:dyDescent="0.25">
      <c r="A52" t="s">
        <v>405</v>
      </c>
      <c r="B52" s="20">
        <v>45621</v>
      </c>
      <c r="C52" t="s">
        <v>406</v>
      </c>
      <c r="D52" t="s">
        <v>407</v>
      </c>
      <c r="E52" t="s">
        <v>194</v>
      </c>
      <c r="F52" t="s">
        <v>408</v>
      </c>
      <c r="G52">
        <v>3</v>
      </c>
      <c r="H52" s="21">
        <v>1229.77</v>
      </c>
      <c r="I52">
        <v>20</v>
      </c>
      <c r="J52" s="21">
        <v>737.86</v>
      </c>
      <c r="K52">
        <v>12</v>
      </c>
      <c r="L52" s="21">
        <v>354.17</v>
      </c>
      <c r="M52" s="21">
        <v>3305.62</v>
      </c>
      <c r="N52" s="21">
        <v>2407.92</v>
      </c>
      <c r="O52" s="21">
        <v>543.53</v>
      </c>
      <c r="P52" t="s">
        <v>121</v>
      </c>
      <c r="Q52" t="s">
        <v>122</v>
      </c>
      <c r="R52" t="s">
        <v>151</v>
      </c>
      <c r="S52" t="s">
        <v>409</v>
      </c>
      <c r="T52" t="s">
        <v>153</v>
      </c>
      <c r="U52" t="s">
        <v>154</v>
      </c>
      <c r="V52" t="str">
        <f>IFERROR(INDEX(Products!$C:$C,MATCH(D52,Products!$A:$A,0)),"Unknown")</f>
        <v>Winter Wear</v>
      </c>
      <c r="W52" t="str">
        <f>IFERROR(INDEX(Products!$E:$E,MATCH(D52,Products!$A:$A,0)),"Unknown")</f>
        <v>Metro Shoes</v>
      </c>
      <c r="X52" t="str">
        <f>IFERROR(INDEX(Stores!$B:$B,MATCH(E52,Stores!$A:$A,0)),"Unknown")</f>
        <v>TrendMart Tirupati High Street</v>
      </c>
      <c r="Y52" t="str">
        <f>IFERROR(INDEX(Stores!$E:$E,MATCH(E52,Stores!$A:$A,0)),"Unknown")</f>
        <v>South Zone 3</v>
      </c>
      <c r="Z52" t="str">
        <f>IFERROR(INDEX(Customers!$J:$J,MATCH(C52,Customers!$A:$A,0)),"Unknown")</f>
        <v>Regular</v>
      </c>
      <c r="AA52" t="str">
        <f t="shared" si="0"/>
        <v>2024-11</v>
      </c>
      <c r="AB52" t="str">
        <f>IFERROR(INDEX(Products!$I:$I,MATCH(D52,Products!$A:$A,0)),"Unknown")</f>
        <v>SUP067</v>
      </c>
    </row>
    <row r="53" spans="1:28" x14ac:dyDescent="0.25">
      <c r="A53" t="s">
        <v>410</v>
      </c>
      <c r="B53" s="20">
        <v>45703</v>
      </c>
      <c r="C53" t="s">
        <v>411</v>
      </c>
      <c r="D53" t="s">
        <v>312</v>
      </c>
      <c r="E53" t="s">
        <v>82</v>
      </c>
      <c r="F53" t="s">
        <v>221</v>
      </c>
      <c r="G53">
        <v>2</v>
      </c>
      <c r="H53" s="21">
        <v>1291.77</v>
      </c>
      <c r="I53">
        <v>10</v>
      </c>
      <c r="J53" s="21">
        <v>258.35000000000002</v>
      </c>
      <c r="K53">
        <v>12</v>
      </c>
      <c r="L53" s="21">
        <v>279.02</v>
      </c>
      <c r="M53" s="21">
        <v>2604.21</v>
      </c>
      <c r="N53" s="21">
        <v>1731.84</v>
      </c>
      <c r="O53" s="21">
        <v>593.35</v>
      </c>
      <c r="P53" t="s">
        <v>121</v>
      </c>
      <c r="Q53" t="s">
        <v>120</v>
      </c>
      <c r="R53" t="s">
        <v>151</v>
      </c>
      <c r="S53" t="s">
        <v>412</v>
      </c>
      <c r="T53" t="s">
        <v>161</v>
      </c>
      <c r="U53" t="s">
        <v>154</v>
      </c>
      <c r="V53" t="str">
        <f>IFERROR(INDEX(Products!$C:$C,MATCH(D53,Products!$A:$A,0)),"Unknown")</f>
        <v>Handbags</v>
      </c>
      <c r="W53" t="str">
        <f>IFERROR(INDEX(Products!$E:$E,MATCH(D53,Products!$A:$A,0)),"Unknown")</f>
        <v>Wrangler</v>
      </c>
      <c r="X53" t="str">
        <f>IFERROR(INDEX(Stores!$B:$B,MATCH(E53,Stores!$A:$A,0)),"Unknown")</f>
        <v>TrendMart Kochi High Street</v>
      </c>
      <c r="Y53" t="str">
        <f>IFERROR(INDEX(Stores!$E:$E,MATCH(E53,Stores!$A:$A,0)),"Unknown")</f>
        <v>South Zone 1</v>
      </c>
      <c r="Z53" t="str">
        <f>IFERROR(INDEX(Customers!$J:$J,MATCH(C53,Customers!$A:$A,0)),"Unknown")</f>
        <v>Gold</v>
      </c>
      <c r="AA53" t="str">
        <f t="shared" si="0"/>
        <v>2025-02</v>
      </c>
      <c r="AB53" t="str">
        <f>IFERROR(INDEX(Products!$I:$I,MATCH(D53,Products!$A:$A,0)),"Unknown")</f>
        <v>SUP008</v>
      </c>
    </row>
    <row r="54" spans="1:28" x14ac:dyDescent="0.25">
      <c r="A54" t="s">
        <v>413</v>
      </c>
      <c r="B54" s="20">
        <v>45521</v>
      </c>
      <c r="C54" t="s">
        <v>414</v>
      </c>
      <c r="D54" t="s">
        <v>415</v>
      </c>
      <c r="E54" t="s">
        <v>416</v>
      </c>
      <c r="F54" t="s">
        <v>150</v>
      </c>
      <c r="G54">
        <v>1</v>
      </c>
      <c r="H54" s="21">
        <v>1664.04</v>
      </c>
      <c r="I54">
        <v>10</v>
      </c>
      <c r="J54" s="21">
        <v>166.4</v>
      </c>
      <c r="K54">
        <v>12</v>
      </c>
      <c r="L54" s="21">
        <v>179.72</v>
      </c>
      <c r="M54" s="21">
        <v>1677.36</v>
      </c>
      <c r="N54" s="21">
        <v>1047.48</v>
      </c>
      <c r="O54" s="21">
        <v>450.16</v>
      </c>
      <c r="P54" t="s">
        <v>125</v>
      </c>
      <c r="Q54" t="s">
        <v>120</v>
      </c>
      <c r="R54" t="s">
        <v>151</v>
      </c>
      <c r="S54" t="s">
        <v>417</v>
      </c>
      <c r="T54" t="s">
        <v>161</v>
      </c>
      <c r="U54" t="s">
        <v>154</v>
      </c>
      <c r="V54" t="str">
        <f>IFERROR(INDEX(Products!$C:$C,MATCH(D54,Products!$A:$A,0)),"Unknown")</f>
        <v>Women Jeans</v>
      </c>
      <c r="W54" t="str">
        <f>IFERROR(INDEX(Products!$E:$E,MATCH(D54,Products!$A:$A,0)),"Unknown")</f>
        <v>Killer Jeans</v>
      </c>
      <c r="X54" t="str">
        <f>IFERROR(INDEX(Stores!$B:$B,MATCH(E54,Stores!$A:$A,0)),"Unknown")</f>
        <v>TrendMart Dindigul Standard</v>
      </c>
      <c r="Y54" t="str">
        <f>IFERROR(INDEX(Stores!$E:$E,MATCH(E54,Stores!$A:$A,0)),"Unknown")</f>
        <v>South Zone 1</v>
      </c>
      <c r="Z54" t="str">
        <f>IFERROR(INDEX(Customers!$J:$J,MATCH(C54,Customers!$A:$A,0)),"Unknown")</f>
        <v>Regular</v>
      </c>
      <c r="AA54" t="str">
        <f t="shared" si="0"/>
        <v>2024-08</v>
      </c>
      <c r="AB54" t="str">
        <f>IFERROR(INDEX(Products!$I:$I,MATCH(D54,Products!$A:$A,0)),"Unknown")</f>
        <v>SUP070</v>
      </c>
    </row>
    <row r="55" spans="1:28" x14ac:dyDescent="0.25">
      <c r="A55" t="s">
        <v>418</v>
      </c>
      <c r="B55" s="20">
        <v>45587</v>
      </c>
      <c r="C55" t="s">
        <v>419</v>
      </c>
      <c r="D55" t="s">
        <v>420</v>
      </c>
      <c r="E55" t="s">
        <v>90</v>
      </c>
      <c r="F55" t="s">
        <v>170</v>
      </c>
      <c r="G55">
        <v>4</v>
      </c>
      <c r="H55" s="21">
        <v>1061.5899999999999</v>
      </c>
      <c r="I55">
        <v>20</v>
      </c>
      <c r="J55" s="21">
        <v>849.27</v>
      </c>
      <c r="K55">
        <v>12</v>
      </c>
      <c r="L55" s="21">
        <v>407.65</v>
      </c>
      <c r="M55" s="21">
        <v>3804.74</v>
      </c>
      <c r="N55" s="21">
        <v>3464.24</v>
      </c>
      <c r="O55" s="21">
        <v>-67.150000000000006</v>
      </c>
      <c r="P55" t="s">
        <v>124</v>
      </c>
      <c r="Q55" t="s">
        <v>122</v>
      </c>
      <c r="R55" t="s">
        <v>151</v>
      </c>
      <c r="S55" t="s">
        <v>421</v>
      </c>
      <c r="T55" t="s">
        <v>153</v>
      </c>
      <c r="U55" t="s">
        <v>184</v>
      </c>
      <c r="V55" t="str">
        <f>IFERROR(INDEX(Products!$C:$C,MATCH(D55,Products!$A:$A,0)),"Unknown")</f>
        <v>Men Jeans</v>
      </c>
      <c r="W55" t="str">
        <f>IFERROR(INDEX(Products!$E:$E,MATCH(D55,Products!$A:$A,0)),"Unknown")</f>
        <v>Raymond</v>
      </c>
      <c r="X55" t="str">
        <f>IFERROR(INDEX(Stores!$B:$B,MATCH(E55,Stores!$A:$A,0)),"Unknown")</f>
        <v>TrendMart Thoothukudi Mall Kiosk</v>
      </c>
      <c r="Y55" t="str">
        <f>IFERROR(INDEX(Stores!$E:$E,MATCH(E55,Stores!$A:$A,0)),"Unknown")</f>
        <v>South Zone 1</v>
      </c>
      <c r="Z55" t="str">
        <f>IFERROR(INDEX(Customers!$J:$J,MATCH(C55,Customers!$A:$A,0)),"Unknown")</f>
        <v>Regular</v>
      </c>
      <c r="AA55" t="str">
        <f t="shared" si="0"/>
        <v>2024-10</v>
      </c>
      <c r="AB55" t="str">
        <f>IFERROR(INDEX(Products!$I:$I,MATCH(D55,Products!$A:$A,0)),"Unknown")</f>
        <v>SUP060</v>
      </c>
    </row>
    <row r="56" spans="1:28" x14ac:dyDescent="0.25">
      <c r="A56" t="s">
        <v>422</v>
      </c>
      <c r="B56" s="20">
        <v>45383</v>
      </c>
      <c r="C56" t="s">
        <v>423</v>
      </c>
      <c r="D56" t="s">
        <v>424</v>
      </c>
      <c r="E56" t="s">
        <v>425</v>
      </c>
      <c r="F56" t="s">
        <v>242</v>
      </c>
      <c r="G56">
        <v>1</v>
      </c>
      <c r="H56" s="21">
        <v>316.06</v>
      </c>
      <c r="I56">
        <v>15</v>
      </c>
      <c r="J56" s="21">
        <v>47.41</v>
      </c>
      <c r="K56">
        <v>5</v>
      </c>
      <c r="L56" s="21">
        <v>13.43</v>
      </c>
      <c r="M56" s="21">
        <v>282.08</v>
      </c>
      <c r="N56" s="21">
        <v>254.15</v>
      </c>
      <c r="O56" s="21">
        <v>14.5</v>
      </c>
      <c r="P56" t="s">
        <v>124</v>
      </c>
      <c r="Q56" t="s">
        <v>120</v>
      </c>
      <c r="R56" t="s">
        <v>313</v>
      </c>
      <c r="S56" t="s">
        <v>426</v>
      </c>
      <c r="T56" t="s">
        <v>153</v>
      </c>
      <c r="U56" t="s">
        <v>154</v>
      </c>
      <c r="V56" t="str">
        <f>IFERROR(INDEX(Products!$C:$C,MATCH(D56,Products!$A:$A,0)),"Unknown")</f>
        <v>Belts</v>
      </c>
      <c r="W56" t="str">
        <f>IFERROR(INDEX(Products!$E:$E,MATCH(D56,Products!$A:$A,0)),"Unknown")</f>
        <v>Raymond</v>
      </c>
      <c r="X56" t="str">
        <f>IFERROR(INDEX(Stores!$B:$B,MATCH(E56,Stores!$A:$A,0)),"Unknown")</f>
        <v>TrendMart Kozhikode Outlet</v>
      </c>
      <c r="Y56" t="str">
        <f>IFERROR(INDEX(Stores!$E:$E,MATCH(E56,Stores!$A:$A,0)),"Unknown")</f>
        <v>South Zone 1</v>
      </c>
      <c r="Z56" t="str">
        <f>IFERROR(INDEX(Customers!$J:$J,MATCH(C56,Customers!$A:$A,0)),"Unknown")</f>
        <v>Gold</v>
      </c>
      <c r="AA56" t="str">
        <f t="shared" si="0"/>
        <v>2024-04</v>
      </c>
      <c r="AB56" t="str">
        <f>IFERROR(INDEX(Products!$I:$I,MATCH(D56,Products!$A:$A,0)),"Unknown")</f>
        <v>SUP002</v>
      </c>
    </row>
    <row r="57" spans="1:28" x14ac:dyDescent="0.25">
      <c r="A57" t="s">
        <v>427</v>
      </c>
      <c r="B57" s="20">
        <v>45390</v>
      </c>
      <c r="C57" t="s">
        <v>428</v>
      </c>
      <c r="D57" t="s">
        <v>372</v>
      </c>
      <c r="E57" t="s">
        <v>429</v>
      </c>
      <c r="F57" t="s">
        <v>269</v>
      </c>
      <c r="G57">
        <v>2</v>
      </c>
      <c r="H57" s="21">
        <v>597.85</v>
      </c>
      <c r="I57">
        <v>0</v>
      </c>
      <c r="J57" s="21">
        <v>0</v>
      </c>
      <c r="K57">
        <v>5</v>
      </c>
      <c r="L57" s="21">
        <v>59.78</v>
      </c>
      <c r="M57" s="21">
        <v>1255.48</v>
      </c>
      <c r="N57" s="21">
        <v>826.78</v>
      </c>
      <c r="O57" s="21">
        <v>368.92</v>
      </c>
      <c r="P57" t="s">
        <v>121</v>
      </c>
      <c r="Q57" t="s">
        <v>120</v>
      </c>
      <c r="R57" t="s">
        <v>151</v>
      </c>
      <c r="S57" t="s">
        <v>430</v>
      </c>
      <c r="T57" t="s">
        <v>153</v>
      </c>
      <c r="U57" t="s">
        <v>154</v>
      </c>
      <c r="V57" t="str">
        <f>IFERROR(INDEX(Products!$C:$C,MATCH(D57,Products!$A:$A,0)),"Unknown")</f>
        <v>Kids Wear</v>
      </c>
      <c r="W57" t="str">
        <f>IFERROR(INDEX(Products!$E:$E,MATCH(D57,Products!$A:$A,0)),"Unknown")</f>
        <v>Jack &amp; Jones</v>
      </c>
      <c r="X57" t="str">
        <f>IFERROR(INDEX(Stores!$B:$B,MATCH(E57,Stores!$A:$A,0)),"Unknown")</f>
        <v>TrendMart Tirunelveli Flagship</v>
      </c>
      <c r="Y57" t="str">
        <f>IFERROR(INDEX(Stores!$E:$E,MATCH(E57,Stores!$A:$A,0)),"Unknown")</f>
        <v>South Zone 1</v>
      </c>
      <c r="Z57" t="str">
        <f>IFERROR(INDEX(Customers!$J:$J,MATCH(C57,Customers!$A:$A,0)),"Unknown")</f>
        <v>Regular</v>
      </c>
      <c r="AA57" t="str">
        <f t="shared" si="0"/>
        <v>2024-04</v>
      </c>
      <c r="AB57" t="str">
        <f>IFERROR(INDEX(Products!$I:$I,MATCH(D57,Products!$A:$A,0)),"Unknown")</f>
        <v>SUP065</v>
      </c>
    </row>
    <row r="58" spans="1:28" x14ac:dyDescent="0.25">
      <c r="A58" t="s">
        <v>431</v>
      </c>
      <c r="B58" s="20">
        <v>45575</v>
      </c>
      <c r="C58" t="s">
        <v>432</v>
      </c>
      <c r="D58" t="s">
        <v>433</v>
      </c>
      <c r="E58" t="s">
        <v>86</v>
      </c>
      <c r="F58" t="s">
        <v>434</v>
      </c>
      <c r="G58">
        <v>1</v>
      </c>
      <c r="H58" s="21">
        <v>862.48</v>
      </c>
      <c r="I58">
        <v>25</v>
      </c>
      <c r="J58" s="21">
        <v>215.62</v>
      </c>
      <c r="K58">
        <v>5</v>
      </c>
      <c r="L58" s="21">
        <v>32.340000000000003</v>
      </c>
      <c r="M58" s="21">
        <v>679.2</v>
      </c>
      <c r="N58" s="21">
        <v>573.09</v>
      </c>
      <c r="O58" s="21">
        <v>73.77</v>
      </c>
      <c r="P58" t="s">
        <v>124</v>
      </c>
      <c r="Q58" t="s">
        <v>120</v>
      </c>
      <c r="R58" t="s">
        <v>151</v>
      </c>
      <c r="S58" t="s">
        <v>435</v>
      </c>
      <c r="T58" t="s">
        <v>153</v>
      </c>
      <c r="U58" t="s">
        <v>154</v>
      </c>
      <c r="V58" t="str">
        <f>IFERROR(INDEX(Products!$C:$C,MATCH(D58,Products!$A:$A,0)),"Unknown")</f>
        <v>Women Kurtis</v>
      </c>
      <c r="W58" t="str">
        <f>IFERROR(INDEX(Products!$E:$E,MATCH(D58,Products!$A:$A,0)),"Unknown")</f>
        <v>Nike</v>
      </c>
      <c r="X58" t="str">
        <f>IFERROR(INDEX(Stores!$B:$B,MATCH(E58,Stores!$A:$A,0)),"Unknown")</f>
        <v>TrendMart Warangal High Street</v>
      </c>
      <c r="Y58" t="str">
        <f>IFERROR(INDEX(Stores!$E:$E,MATCH(E58,Stores!$A:$A,0)),"Unknown")</f>
        <v>South Zone 2</v>
      </c>
      <c r="Z58" t="str">
        <f>IFERROR(INDEX(Customers!$J:$J,MATCH(C58,Customers!$A:$A,0)),"Unknown")</f>
        <v>Regular</v>
      </c>
      <c r="AA58" t="str">
        <f t="shared" si="0"/>
        <v>2024-10</v>
      </c>
      <c r="AB58" t="str">
        <f>IFERROR(INDEX(Products!$I:$I,MATCH(D58,Products!$A:$A,0)),"Unknown")</f>
        <v>SUP012</v>
      </c>
    </row>
    <row r="59" spans="1:28" x14ac:dyDescent="0.25">
      <c r="A59" t="s">
        <v>436</v>
      </c>
      <c r="B59" s="20">
        <v>45651</v>
      </c>
      <c r="C59" t="s">
        <v>437</v>
      </c>
      <c r="D59" t="s">
        <v>438</v>
      </c>
      <c r="E59" t="s">
        <v>334</v>
      </c>
      <c r="F59" t="s">
        <v>263</v>
      </c>
      <c r="G59">
        <v>1</v>
      </c>
      <c r="H59" s="21">
        <v>1706.77</v>
      </c>
      <c r="I59">
        <v>20</v>
      </c>
      <c r="J59" s="21">
        <v>341.35</v>
      </c>
      <c r="K59">
        <v>12</v>
      </c>
      <c r="L59" s="21">
        <v>163.85</v>
      </c>
      <c r="M59" s="21">
        <v>1529.27</v>
      </c>
      <c r="N59" s="21">
        <v>1124.48</v>
      </c>
      <c r="O59" s="21">
        <v>240.94</v>
      </c>
      <c r="P59" t="s">
        <v>123</v>
      </c>
      <c r="Q59" t="s">
        <v>120</v>
      </c>
      <c r="R59" t="s">
        <v>151</v>
      </c>
      <c r="S59" t="s">
        <v>439</v>
      </c>
      <c r="T59" t="s">
        <v>153</v>
      </c>
      <c r="U59" t="s">
        <v>154</v>
      </c>
      <c r="V59" t="str">
        <f>IFERROR(INDEX(Products!$C:$C,MATCH(D59,Products!$A:$A,0)),"Unknown")</f>
        <v>Women Jeans</v>
      </c>
      <c r="W59" t="str">
        <f>IFERROR(INDEX(Products!$E:$E,MATCH(D59,Products!$A:$A,0)),"Unknown")</f>
        <v>Ramraj Cotton</v>
      </c>
      <c r="X59" t="str">
        <f>IFERROR(INDEX(Stores!$B:$B,MATCH(E59,Stores!$A:$A,0)),"Unknown")</f>
        <v>TrendMart Madurai High Street</v>
      </c>
      <c r="Y59" t="str">
        <f>IFERROR(INDEX(Stores!$E:$E,MATCH(E59,Stores!$A:$A,0)),"Unknown")</f>
        <v>South Zone 1</v>
      </c>
      <c r="Z59" t="str">
        <f>IFERROR(INDEX(Customers!$J:$J,MATCH(C59,Customers!$A:$A,0)),"Unknown")</f>
        <v>Regular</v>
      </c>
      <c r="AA59" t="str">
        <f t="shared" si="0"/>
        <v>2024-12</v>
      </c>
      <c r="AB59" t="str">
        <f>IFERROR(INDEX(Products!$I:$I,MATCH(D59,Products!$A:$A,0)),"Unknown")</f>
        <v>SUP015</v>
      </c>
    </row>
    <row r="60" spans="1:28" x14ac:dyDescent="0.25">
      <c r="A60" t="s">
        <v>440</v>
      </c>
      <c r="B60" s="20">
        <v>45574</v>
      </c>
      <c r="C60" t="s">
        <v>441</v>
      </c>
      <c r="D60" t="s">
        <v>285</v>
      </c>
      <c r="E60" t="s">
        <v>442</v>
      </c>
      <c r="F60" t="s">
        <v>443</v>
      </c>
      <c r="G60">
        <v>1</v>
      </c>
      <c r="H60" s="21">
        <v>678.49</v>
      </c>
      <c r="I60">
        <v>25</v>
      </c>
      <c r="J60" s="21">
        <v>169.62</v>
      </c>
      <c r="K60">
        <v>5</v>
      </c>
      <c r="L60" s="21">
        <v>25.44</v>
      </c>
      <c r="M60" s="21">
        <v>534.30999999999995</v>
      </c>
      <c r="N60" s="21">
        <v>499.31</v>
      </c>
      <c r="O60" s="21">
        <v>9.56</v>
      </c>
      <c r="P60" t="s">
        <v>121</v>
      </c>
      <c r="Q60" t="s">
        <v>120</v>
      </c>
      <c r="R60" t="s">
        <v>151</v>
      </c>
      <c r="S60" t="s">
        <v>444</v>
      </c>
      <c r="T60" t="s">
        <v>153</v>
      </c>
      <c r="U60" t="s">
        <v>154</v>
      </c>
      <c r="V60" t="str">
        <f>IFERROR(INDEX(Products!$C:$C,MATCH(D60,Products!$A:$A,0)),"Unknown")</f>
        <v>Kids Wear</v>
      </c>
      <c r="W60" t="str">
        <f>IFERROR(INDEX(Products!$E:$E,MATCH(D60,Products!$A:$A,0)),"Unknown")</f>
        <v>Global Desi</v>
      </c>
      <c r="X60" t="str">
        <f>IFERROR(INDEX(Stores!$B:$B,MATCH(E60,Stores!$A:$A,0)),"Unknown")</f>
        <v>TrendMart Bengaluru Standard</v>
      </c>
      <c r="Y60" t="str">
        <f>IFERROR(INDEX(Stores!$E:$E,MATCH(E60,Stores!$A:$A,0)),"Unknown")</f>
        <v>South Zone 2</v>
      </c>
      <c r="Z60" t="str">
        <f>IFERROR(INDEX(Customers!$J:$J,MATCH(C60,Customers!$A:$A,0)),"Unknown")</f>
        <v>Gold</v>
      </c>
      <c r="AA60" t="str">
        <f t="shared" si="0"/>
        <v>2024-10</v>
      </c>
      <c r="AB60" t="str">
        <f>IFERROR(INDEX(Products!$I:$I,MATCH(D60,Products!$A:$A,0)),"Unknown")</f>
        <v>SUP008</v>
      </c>
    </row>
    <row r="61" spans="1:28" x14ac:dyDescent="0.25">
      <c r="A61" t="s">
        <v>445</v>
      </c>
      <c r="B61" s="20">
        <v>45714</v>
      </c>
      <c r="C61" t="s">
        <v>446</v>
      </c>
      <c r="D61" t="s">
        <v>447</v>
      </c>
      <c r="E61" t="s">
        <v>363</v>
      </c>
      <c r="F61" t="s">
        <v>397</v>
      </c>
      <c r="G61">
        <v>3</v>
      </c>
      <c r="H61" s="21">
        <v>1326.98</v>
      </c>
      <c r="I61">
        <v>5</v>
      </c>
      <c r="J61" s="21">
        <v>199.05</v>
      </c>
      <c r="K61">
        <v>12</v>
      </c>
      <c r="L61" s="21">
        <v>453.83</v>
      </c>
      <c r="M61" s="21">
        <v>4235.72</v>
      </c>
      <c r="N61" s="21">
        <v>3220.35</v>
      </c>
      <c r="O61" s="21">
        <v>561.54</v>
      </c>
      <c r="P61" t="s">
        <v>125</v>
      </c>
      <c r="Q61" t="s">
        <v>120</v>
      </c>
      <c r="R61" t="s">
        <v>151</v>
      </c>
      <c r="S61" t="s">
        <v>448</v>
      </c>
      <c r="T61" t="s">
        <v>153</v>
      </c>
      <c r="U61" t="s">
        <v>154</v>
      </c>
      <c r="V61" t="str">
        <f>IFERROR(INDEX(Products!$C:$C,MATCH(D61,Products!$A:$A,0)),"Unknown")</f>
        <v>Women Jeans</v>
      </c>
      <c r="W61" t="str">
        <f>IFERROR(INDEX(Products!$E:$E,MATCH(D61,Products!$A:$A,0)),"Unknown")</f>
        <v>Biba</v>
      </c>
      <c r="X61" t="str">
        <f>IFERROR(INDEX(Stores!$B:$B,MATCH(E61,Stores!$A:$A,0)),"Unknown")</f>
        <v>TrendMart Thiruvananthapuram High Street</v>
      </c>
      <c r="Y61" t="str">
        <f>IFERROR(INDEX(Stores!$E:$E,MATCH(E61,Stores!$A:$A,0)),"Unknown")</f>
        <v>South Zone 1</v>
      </c>
      <c r="Z61" t="str">
        <f>IFERROR(INDEX(Customers!$J:$J,MATCH(C61,Customers!$A:$A,0)),"Unknown")</f>
        <v>Platinum</v>
      </c>
      <c r="AA61" t="str">
        <f t="shared" si="0"/>
        <v>2025-02</v>
      </c>
      <c r="AB61" t="str">
        <f>IFERROR(INDEX(Products!$I:$I,MATCH(D61,Products!$A:$A,0)),"Unknown")</f>
        <v>SUP069</v>
      </c>
    </row>
    <row r="62" spans="1:28" x14ac:dyDescent="0.25">
      <c r="A62" t="s">
        <v>449</v>
      </c>
      <c r="B62" s="20">
        <v>45431</v>
      </c>
      <c r="C62" t="s">
        <v>450</v>
      </c>
      <c r="D62" t="s">
        <v>210</v>
      </c>
      <c r="E62" t="s">
        <v>451</v>
      </c>
      <c r="F62" t="s">
        <v>303</v>
      </c>
      <c r="G62">
        <v>2</v>
      </c>
      <c r="H62" s="21">
        <v>1934.51</v>
      </c>
      <c r="I62">
        <v>25</v>
      </c>
      <c r="J62" s="21">
        <v>967.25</v>
      </c>
      <c r="K62">
        <v>12</v>
      </c>
      <c r="L62" s="21">
        <v>348.21</v>
      </c>
      <c r="M62" s="21">
        <v>3249.98</v>
      </c>
      <c r="N62" s="21">
        <v>2799.7</v>
      </c>
      <c r="O62" s="21">
        <v>102.07</v>
      </c>
      <c r="P62" t="s">
        <v>121</v>
      </c>
      <c r="Q62" t="s">
        <v>120</v>
      </c>
      <c r="R62" t="s">
        <v>151</v>
      </c>
      <c r="S62" t="s">
        <v>452</v>
      </c>
      <c r="T62" t="s">
        <v>161</v>
      </c>
      <c r="U62" t="s">
        <v>154</v>
      </c>
      <c r="V62" t="str">
        <f>IFERROR(INDEX(Products!$C:$C,MATCH(D62,Products!$A:$A,0)),"Unknown")</f>
        <v>Women Dresses</v>
      </c>
      <c r="W62" t="str">
        <f>IFERROR(INDEX(Products!$E:$E,MATCH(D62,Products!$A:$A,0)),"Unknown")</f>
        <v>Nike</v>
      </c>
      <c r="X62" t="str">
        <f>IFERROR(INDEX(Stores!$B:$B,MATCH(E62,Stores!$A:$A,0)),"Unknown")</f>
        <v>TrendMart Thoothukudi High Street</v>
      </c>
      <c r="Y62" t="str">
        <f>IFERROR(INDEX(Stores!$E:$E,MATCH(E62,Stores!$A:$A,0)),"Unknown")</f>
        <v>South Zone 1</v>
      </c>
      <c r="Z62" t="str">
        <f>IFERROR(INDEX(Customers!$J:$J,MATCH(C62,Customers!$A:$A,0)),"Unknown")</f>
        <v>Platinum</v>
      </c>
      <c r="AA62" t="str">
        <f t="shared" si="0"/>
        <v>2024-05</v>
      </c>
      <c r="AB62" t="str">
        <f>IFERROR(INDEX(Products!$I:$I,MATCH(D62,Products!$A:$A,0)),"Unknown")</f>
        <v>SUP073</v>
      </c>
    </row>
    <row r="63" spans="1:28" x14ac:dyDescent="0.25">
      <c r="A63" t="s">
        <v>453</v>
      </c>
      <c r="B63" s="20">
        <v>45565</v>
      </c>
      <c r="C63" t="s">
        <v>454</v>
      </c>
      <c r="D63" t="s">
        <v>455</v>
      </c>
      <c r="E63" t="s">
        <v>456</v>
      </c>
      <c r="F63" t="s">
        <v>195</v>
      </c>
      <c r="G63">
        <v>1</v>
      </c>
      <c r="H63" s="21">
        <v>4970.6000000000004</v>
      </c>
      <c r="I63">
        <v>5</v>
      </c>
      <c r="J63" s="21">
        <v>248.53</v>
      </c>
      <c r="K63">
        <v>12</v>
      </c>
      <c r="L63" s="21">
        <v>566.65</v>
      </c>
      <c r="M63" s="21">
        <v>5288.72</v>
      </c>
      <c r="N63" s="21">
        <v>3748.71</v>
      </c>
      <c r="O63" s="21">
        <v>973.36</v>
      </c>
      <c r="P63" t="s">
        <v>121</v>
      </c>
      <c r="Q63" t="s">
        <v>122</v>
      </c>
      <c r="R63" t="s">
        <v>151</v>
      </c>
      <c r="S63" t="s">
        <v>457</v>
      </c>
      <c r="T63" t="s">
        <v>153</v>
      </c>
      <c r="U63" t="s">
        <v>154</v>
      </c>
      <c r="V63" t="str">
        <f>IFERROR(INDEX(Products!$C:$C,MATCH(D63,Products!$A:$A,0)),"Unknown")</f>
        <v>Watches</v>
      </c>
      <c r="W63" t="str">
        <f>IFERROR(INDEX(Products!$E:$E,MATCH(D63,Products!$A:$A,0)),"Unknown")</f>
        <v>Bata</v>
      </c>
      <c r="X63" t="str">
        <f>IFERROR(INDEX(Stores!$B:$B,MATCH(E63,Stores!$A:$A,0)),"Unknown")</f>
        <v>TrendMart Salem Outlet</v>
      </c>
      <c r="Y63" t="str">
        <f>IFERROR(INDEX(Stores!$E:$E,MATCH(E63,Stores!$A:$A,0)),"Unknown")</f>
        <v>South Zone 1</v>
      </c>
      <c r="Z63" t="str">
        <f>IFERROR(INDEX(Customers!$J:$J,MATCH(C63,Customers!$A:$A,0)),"Unknown")</f>
        <v>Silver</v>
      </c>
      <c r="AA63" t="str">
        <f t="shared" si="0"/>
        <v>2024-09</v>
      </c>
      <c r="AB63" t="str">
        <f>IFERROR(INDEX(Products!$I:$I,MATCH(D63,Products!$A:$A,0)),"Unknown")</f>
        <v>SUP051</v>
      </c>
    </row>
    <row r="64" spans="1:28" x14ac:dyDescent="0.25">
      <c r="A64" t="s">
        <v>458</v>
      </c>
      <c r="B64" s="20">
        <v>45573</v>
      </c>
      <c r="C64" t="s">
        <v>459</v>
      </c>
      <c r="D64" t="s">
        <v>460</v>
      </c>
      <c r="E64" t="s">
        <v>461</v>
      </c>
      <c r="F64" t="s">
        <v>462</v>
      </c>
      <c r="G64">
        <v>3</v>
      </c>
      <c r="H64" s="21">
        <v>1261.48</v>
      </c>
      <c r="I64">
        <v>5</v>
      </c>
      <c r="J64" s="21">
        <v>189.22</v>
      </c>
      <c r="K64">
        <v>12</v>
      </c>
      <c r="L64" s="21">
        <v>431.43</v>
      </c>
      <c r="M64" s="21">
        <v>4026.65</v>
      </c>
      <c r="N64" s="21">
        <v>2735.52</v>
      </c>
      <c r="O64" s="21">
        <v>859.7</v>
      </c>
      <c r="P64" t="s">
        <v>123</v>
      </c>
      <c r="Q64" t="s">
        <v>120</v>
      </c>
      <c r="R64" t="s">
        <v>313</v>
      </c>
      <c r="S64" t="s">
        <v>463</v>
      </c>
      <c r="T64" t="s">
        <v>153</v>
      </c>
      <c r="U64" t="s">
        <v>154</v>
      </c>
      <c r="V64" t="str">
        <f>IFERROR(INDEX(Products!$C:$C,MATCH(D64,Products!$A:$A,0)),"Unknown")</f>
        <v>Men Trousers</v>
      </c>
      <c r="W64" t="str">
        <f>IFERROR(INDEX(Products!$E:$E,MATCH(D64,Products!$A:$A,0)),"Unknown")</f>
        <v>Louis Philippe</v>
      </c>
      <c r="X64" t="str">
        <f>IFERROR(INDEX(Stores!$B:$B,MATCH(E64,Stores!$A:$A,0)),"Unknown")</f>
        <v>TrendMart Visakhapatnam High Street</v>
      </c>
      <c r="Y64" t="str">
        <f>IFERROR(INDEX(Stores!$E:$E,MATCH(E64,Stores!$A:$A,0)),"Unknown")</f>
        <v>South Zone 3</v>
      </c>
      <c r="Z64" t="str">
        <f>IFERROR(INDEX(Customers!$J:$J,MATCH(C64,Customers!$A:$A,0)),"Unknown")</f>
        <v>Gold</v>
      </c>
      <c r="AA64" t="str">
        <f t="shared" si="0"/>
        <v>2024-10</v>
      </c>
      <c r="AB64" t="str">
        <f>IFERROR(INDEX(Products!$I:$I,MATCH(D64,Products!$A:$A,0)),"Unknown")</f>
        <v>SUP034</v>
      </c>
    </row>
    <row r="65" spans="1:28" x14ac:dyDescent="0.25">
      <c r="A65" t="s">
        <v>464</v>
      </c>
      <c r="B65" s="20">
        <v>45507</v>
      </c>
      <c r="C65" t="s">
        <v>465</v>
      </c>
      <c r="D65" t="s">
        <v>466</v>
      </c>
      <c r="E65" t="s">
        <v>351</v>
      </c>
      <c r="F65" t="s">
        <v>182</v>
      </c>
      <c r="G65">
        <v>2</v>
      </c>
      <c r="H65" s="21">
        <v>840.59</v>
      </c>
      <c r="I65">
        <v>0</v>
      </c>
      <c r="J65" s="21">
        <v>0</v>
      </c>
      <c r="K65">
        <v>5</v>
      </c>
      <c r="L65" s="21">
        <v>84.06</v>
      </c>
      <c r="M65" s="21">
        <v>1765.24</v>
      </c>
      <c r="N65" s="21">
        <v>1142.18</v>
      </c>
      <c r="O65" s="21">
        <v>539</v>
      </c>
      <c r="P65" t="s">
        <v>121</v>
      </c>
      <c r="Q65" t="s">
        <v>122</v>
      </c>
      <c r="R65" t="s">
        <v>151</v>
      </c>
      <c r="S65" t="s">
        <v>467</v>
      </c>
      <c r="T65" t="s">
        <v>161</v>
      </c>
      <c r="U65" t="s">
        <v>154</v>
      </c>
      <c r="V65" t="str">
        <f>IFERROR(INDEX(Products!$C:$C,MATCH(D65,Products!$A:$A,0)),"Unknown")</f>
        <v>Women Kurtis</v>
      </c>
      <c r="W65" t="str">
        <f>IFERROR(INDEX(Products!$E:$E,MATCH(D65,Products!$A:$A,0)),"Unknown")</f>
        <v>Fabindia</v>
      </c>
      <c r="X65" t="str">
        <f>IFERROR(INDEX(Stores!$B:$B,MATCH(E65,Stores!$A:$A,0)),"Unknown")</f>
        <v>TrendMart Kozhikode High Street</v>
      </c>
      <c r="Y65" t="str">
        <f>IFERROR(INDEX(Stores!$E:$E,MATCH(E65,Stores!$A:$A,0)),"Unknown")</f>
        <v>South Zone 1</v>
      </c>
      <c r="Z65" t="str">
        <f>IFERROR(INDEX(Customers!$J:$J,MATCH(C65,Customers!$A:$A,0)),"Unknown")</f>
        <v>Regular</v>
      </c>
      <c r="AA65" t="str">
        <f t="shared" si="0"/>
        <v>2024-08</v>
      </c>
      <c r="AB65" t="str">
        <f>IFERROR(INDEX(Products!$I:$I,MATCH(D65,Products!$A:$A,0)),"Unknown")</f>
        <v>SUP017</v>
      </c>
    </row>
    <row r="66" spans="1:28" x14ac:dyDescent="0.25">
      <c r="A66" t="s">
        <v>468</v>
      </c>
      <c r="B66" s="20">
        <v>45683</v>
      </c>
      <c r="C66" t="s">
        <v>284</v>
      </c>
      <c r="D66" t="s">
        <v>469</v>
      </c>
      <c r="E66" t="s">
        <v>470</v>
      </c>
      <c r="F66" t="s">
        <v>150</v>
      </c>
      <c r="G66">
        <v>1</v>
      </c>
      <c r="H66" s="21">
        <v>893.2</v>
      </c>
      <c r="I66">
        <v>25</v>
      </c>
      <c r="J66" s="21">
        <v>223.3</v>
      </c>
      <c r="K66">
        <v>5</v>
      </c>
      <c r="L66" s="21">
        <v>33.49</v>
      </c>
      <c r="M66" s="21">
        <v>703.39</v>
      </c>
      <c r="N66" s="21">
        <v>568.05999999999995</v>
      </c>
      <c r="O66" s="21">
        <v>101.84</v>
      </c>
      <c r="P66" t="s">
        <v>125</v>
      </c>
      <c r="Q66" t="s">
        <v>120</v>
      </c>
      <c r="R66" t="s">
        <v>151</v>
      </c>
      <c r="S66" t="s">
        <v>471</v>
      </c>
      <c r="T66" t="s">
        <v>161</v>
      </c>
      <c r="U66" t="s">
        <v>154</v>
      </c>
      <c r="V66" t="str">
        <f>IFERROR(INDEX(Products!$C:$C,MATCH(D66,Products!$A:$A,0)),"Unknown")</f>
        <v>Women Kurtis</v>
      </c>
      <c r="W66" t="str">
        <f>IFERROR(INDEX(Products!$E:$E,MATCH(D66,Products!$A:$A,0)),"Unknown")</f>
        <v>Libas</v>
      </c>
      <c r="X66" t="str">
        <f>IFERROR(INDEX(Stores!$B:$B,MATCH(E66,Stores!$A:$A,0)),"Unknown")</f>
        <v>TrendMart Thiruvananthapuram High Street</v>
      </c>
      <c r="Y66" t="str">
        <f>IFERROR(INDEX(Stores!$E:$E,MATCH(E66,Stores!$A:$A,0)),"Unknown")</f>
        <v>South Zone 1</v>
      </c>
      <c r="Z66" t="str">
        <f>IFERROR(INDEX(Customers!$J:$J,MATCH(C66,Customers!$A:$A,0)),"Unknown")</f>
        <v>Regular</v>
      </c>
      <c r="AA66" t="str">
        <f t="shared" ref="AA66:AA129" si="1">TEXT(B66,"YYYY-MM")</f>
        <v>2025-01</v>
      </c>
      <c r="AB66" t="str">
        <f>IFERROR(INDEX(Products!$I:$I,MATCH(D66,Products!$A:$A,0)),"Unknown")</f>
        <v>SUP079</v>
      </c>
    </row>
    <row r="67" spans="1:28" x14ac:dyDescent="0.25">
      <c r="A67" t="s">
        <v>472</v>
      </c>
      <c r="B67" s="20">
        <v>45596</v>
      </c>
      <c r="C67" t="s">
        <v>473</v>
      </c>
      <c r="D67" t="s">
        <v>210</v>
      </c>
      <c r="E67" t="s">
        <v>175</v>
      </c>
      <c r="F67" t="s">
        <v>182</v>
      </c>
      <c r="G67">
        <v>2</v>
      </c>
      <c r="H67" s="21">
        <v>1667.74</v>
      </c>
      <c r="I67">
        <v>0</v>
      </c>
      <c r="J67" s="21">
        <v>0</v>
      </c>
      <c r="K67">
        <v>12</v>
      </c>
      <c r="L67" s="21">
        <v>400.26</v>
      </c>
      <c r="M67" s="21">
        <v>3735.74</v>
      </c>
      <c r="N67" s="21">
        <v>2799.7</v>
      </c>
      <c r="O67" s="21">
        <v>535.78</v>
      </c>
      <c r="P67" t="s">
        <v>123</v>
      </c>
      <c r="Q67" t="s">
        <v>122</v>
      </c>
      <c r="R67" t="s">
        <v>151</v>
      </c>
      <c r="S67" t="s">
        <v>474</v>
      </c>
      <c r="T67" t="s">
        <v>153</v>
      </c>
      <c r="U67" t="s">
        <v>154</v>
      </c>
      <c r="V67" t="str">
        <f>IFERROR(INDEX(Products!$C:$C,MATCH(D67,Products!$A:$A,0)),"Unknown")</f>
        <v>Women Dresses</v>
      </c>
      <c r="W67" t="str">
        <f>IFERROR(INDEX(Products!$E:$E,MATCH(D67,Products!$A:$A,0)),"Unknown")</f>
        <v>Nike</v>
      </c>
      <c r="X67" t="str">
        <f>IFERROR(INDEX(Stores!$B:$B,MATCH(E67,Stores!$A:$A,0)),"Unknown")</f>
        <v>TrendMart Thoothukudi Flagship</v>
      </c>
      <c r="Y67" t="str">
        <f>IFERROR(INDEX(Stores!$E:$E,MATCH(E67,Stores!$A:$A,0)),"Unknown")</f>
        <v>South Zone 1</v>
      </c>
      <c r="Z67" t="str">
        <f>IFERROR(INDEX(Customers!$J:$J,MATCH(C67,Customers!$A:$A,0)),"Unknown")</f>
        <v>Regular</v>
      </c>
      <c r="AA67" t="str">
        <f t="shared" si="1"/>
        <v>2024-10</v>
      </c>
      <c r="AB67" t="str">
        <f>IFERROR(INDEX(Products!$I:$I,MATCH(D67,Products!$A:$A,0)),"Unknown")</f>
        <v>SUP073</v>
      </c>
    </row>
    <row r="68" spans="1:28" x14ac:dyDescent="0.25">
      <c r="A68" t="s">
        <v>475</v>
      </c>
      <c r="B68" s="20">
        <v>45622</v>
      </c>
      <c r="C68" t="s">
        <v>476</v>
      </c>
      <c r="D68" t="s">
        <v>372</v>
      </c>
      <c r="E68" t="s">
        <v>477</v>
      </c>
      <c r="F68" t="s">
        <v>297</v>
      </c>
      <c r="G68">
        <v>1</v>
      </c>
      <c r="H68" s="21">
        <v>640.02</v>
      </c>
      <c r="I68">
        <v>25</v>
      </c>
      <c r="J68" s="21">
        <v>160</v>
      </c>
      <c r="K68">
        <v>5</v>
      </c>
      <c r="L68" s="21">
        <v>24</v>
      </c>
      <c r="M68" s="21">
        <v>504.02</v>
      </c>
      <c r="N68" s="21">
        <v>413.39</v>
      </c>
      <c r="O68" s="21">
        <v>66.63</v>
      </c>
      <c r="P68" t="s">
        <v>125</v>
      </c>
      <c r="Q68" t="s">
        <v>122</v>
      </c>
      <c r="R68" t="s">
        <v>151</v>
      </c>
      <c r="S68" t="s">
        <v>478</v>
      </c>
      <c r="T68" t="s">
        <v>153</v>
      </c>
      <c r="U68" t="s">
        <v>154</v>
      </c>
      <c r="V68" t="str">
        <f>IFERROR(INDEX(Products!$C:$C,MATCH(D68,Products!$A:$A,0)),"Unknown")</f>
        <v>Kids Wear</v>
      </c>
      <c r="W68" t="str">
        <f>IFERROR(INDEX(Products!$E:$E,MATCH(D68,Products!$A:$A,0)),"Unknown")</f>
        <v>Jack &amp; Jones</v>
      </c>
      <c r="X68" t="str">
        <f>IFERROR(INDEX(Stores!$B:$B,MATCH(E68,Stores!$A:$A,0)),"Unknown")</f>
        <v>TrendMart Hubballi Standard</v>
      </c>
      <c r="Y68" t="str">
        <f>IFERROR(INDEX(Stores!$E:$E,MATCH(E68,Stores!$A:$A,0)),"Unknown")</f>
        <v>South Zone 2</v>
      </c>
      <c r="Z68" t="str">
        <f>IFERROR(INDEX(Customers!$J:$J,MATCH(C68,Customers!$A:$A,0)),"Unknown")</f>
        <v>Silver</v>
      </c>
      <c r="AA68" t="str">
        <f t="shared" si="1"/>
        <v>2024-11</v>
      </c>
      <c r="AB68" t="str">
        <f>IFERROR(INDEX(Products!$I:$I,MATCH(D68,Products!$A:$A,0)),"Unknown")</f>
        <v>SUP065</v>
      </c>
    </row>
    <row r="69" spans="1:28" x14ac:dyDescent="0.25">
      <c r="A69" t="s">
        <v>479</v>
      </c>
      <c r="B69" s="20">
        <v>45541</v>
      </c>
      <c r="C69" t="s">
        <v>480</v>
      </c>
      <c r="D69" t="s">
        <v>481</v>
      </c>
      <c r="E69" t="s">
        <v>318</v>
      </c>
      <c r="F69" t="s">
        <v>269</v>
      </c>
      <c r="G69">
        <v>0</v>
      </c>
      <c r="H69" s="21">
        <v>924.29</v>
      </c>
      <c r="I69">
        <v>0</v>
      </c>
      <c r="J69" s="21">
        <v>0</v>
      </c>
      <c r="K69">
        <v>5</v>
      </c>
      <c r="L69" s="21">
        <v>0</v>
      </c>
      <c r="M69" s="21">
        <v>0</v>
      </c>
      <c r="N69" s="21">
        <v>0</v>
      </c>
      <c r="O69" s="21">
        <v>0</v>
      </c>
      <c r="P69" t="s">
        <v>127</v>
      </c>
      <c r="Q69" t="s">
        <v>122</v>
      </c>
      <c r="R69" t="s">
        <v>482</v>
      </c>
      <c r="S69" t="s">
        <v>483</v>
      </c>
      <c r="T69" t="s">
        <v>153</v>
      </c>
      <c r="U69" t="s">
        <v>154</v>
      </c>
      <c r="V69" t="str">
        <f>IFERROR(INDEX(Products!$C:$C,MATCH(D69,Products!$A:$A,0)),"Unknown")</f>
        <v>Women Dresses</v>
      </c>
      <c r="W69" t="str">
        <f>IFERROR(INDEX(Products!$E:$E,MATCH(D69,Products!$A:$A,0)),"Unknown")</f>
        <v>Jack &amp; Jones</v>
      </c>
      <c r="X69" t="str">
        <f>IFERROR(INDEX(Stores!$B:$B,MATCH(E69,Stores!$A:$A,0)),"Unknown")</f>
        <v>TrendMart Guntur Outlet</v>
      </c>
      <c r="Y69" t="str">
        <f>IFERROR(INDEX(Stores!$E:$E,MATCH(E69,Stores!$A:$A,0)),"Unknown")</f>
        <v>South Zone 3</v>
      </c>
      <c r="Z69" t="str">
        <f>IFERROR(INDEX(Customers!$J:$J,MATCH(C69,Customers!$A:$A,0)),"Unknown")</f>
        <v>Silver</v>
      </c>
      <c r="AA69" t="str">
        <f t="shared" si="1"/>
        <v>2024-09</v>
      </c>
      <c r="AB69" t="str">
        <f>IFERROR(INDEX(Products!$I:$I,MATCH(D69,Products!$A:$A,0)),"Unknown")</f>
        <v>SUP069</v>
      </c>
    </row>
    <row r="70" spans="1:28" x14ac:dyDescent="0.25">
      <c r="A70" t="s">
        <v>484</v>
      </c>
      <c r="B70" s="20">
        <v>45622</v>
      </c>
      <c r="C70" t="s">
        <v>485</v>
      </c>
      <c r="D70" t="s">
        <v>210</v>
      </c>
      <c r="E70" t="s">
        <v>86</v>
      </c>
      <c r="F70" t="s">
        <v>182</v>
      </c>
      <c r="G70">
        <v>2</v>
      </c>
      <c r="H70" s="21">
        <v>1714.04</v>
      </c>
      <c r="I70">
        <v>10</v>
      </c>
      <c r="J70" s="21">
        <v>342.81</v>
      </c>
      <c r="K70">
        <v>12</v>
      </c>
      <c r="L70" s="21">
        <v>370.23</v>
      </c>
      <c r="M70" s="21">
        <v>3455.5</v>
      </c>
      <c r="N70" s="21">
        <v>2799.7</v>
      </c>
      <c r="O70" s="21">
        <v>285.57</v>
      </c>
      <c r="P70" t="s">
        <v>125</v>
      </c>
      <c r="Q70" t="s">
        <v>122</v>
      </c>
      <c r="R70" t="s">
        <v>151</v>
      </c>
      <c r="S70" t="s">
        <v>486</v>
      </c>
      <c r="T70" t="s">
        <v>153</v>
      </c>
      <c r="U70" t="s">
        <v>154</v>
      </c>
      <c r="V70" t="str">
        <f>IFERROR(INDEX(Products!$C:$C,MATCH(D70,Products!$A:$A,0)),"Unknown")</f>
        <v>Women Dresses</v>
      </c>
      <c r="W70" t="str">
        <f>IFERROR(INDEX(Products!$E:$E,MATCH(D70,Products!$A:$A,0)),"Unknown")</f>
        <v>Nike</v>
      </c>
      <c r="X70" t="str">
        <f>IFERROR(INDEX(Stores!$B:$B,MATCH(E70,Stores!$A:$A,0)),"Unknown")</f>
        <v>TrendMart Warangal High Street</v>
      </c>
      <c r="Y70" t="str">
        <f>IFERROR(INDEX(Stores!$E:$E,MATCH(E70,Stores!$A:$A,0)),"Unknown")</f>
        <v>South Zone 2</v>
      </c>
      <c r="Z70" t="str">
        <f>IFERROR(INDEX(Customers!$J:$J,MATCH(C70,Customers!$A:$A,0)),"Unknown")</f>
        <v>Silver</v>
      </c>
      <c r="AA70" t="str">
        <f t="shared" si="1"/>
        <v>2024-11</v>
      </c>
      <c r="AB70" t="str">
        <f>IFERROR(INDEX(Products!$I:$I,MATCH(D70,Products!$A:$A,0)),"Unknown")</f>
        <v>SUP073</v>
      </c>
    </row>
    <row r="71" spans="1:28" x14ac:dyDescent="0.25">
      <c r="A71" t="s">
        <v>487</v>
      </c>
      <c r="B71" s="20">
        <v>45620</v>
      </c>
      <c r="C71" t="s">
        <v>488</v>
      </c>
      <c r="D71" t="s">
        <v>489</v>
      </c>
      <c r="E71" t="s">
        <v>490</v>
      </c>
      <c r="F71" t="s">
        <v>189</v>
      </c>
      <c r="G71">
        <v>3</v>
      </c>
      <c r="H71" s="21">
        <v>1579.45</v>
      </c>
      <c r="I71">
        <v>15</v>
      </c>
      <c r="J71" s="21">
        <v>710.75</v>
      </c>
      <c r="K71">
        <v>12</v>
      </c>
      <c r="L71" s="21">
        <v>483.31</v>
      </c>
      <c r="M71" s="21">
        <v>4510.91</v>
      </c>
      <c r="N71" s="21">
        <v>3146.13</v>
      </c>
      <c r="O71" s="21">
        <v>881.47</v>
      </c>
      <c r="P71" t="s">
        <v>124</v>
      </c>
      <c r="Q71" t="s">
        <v>122</v>
      </c>
      <c r="R71" t="s">
        <v>151</v>
      </c>
      <c r="S71" t="s">
        <v>491</v>
      </c>
      <c r="T71" t="s">
        <v>161</v>
      </c>
      <c r="U71" t="s">
        <v>154</v>
      </c>
      <c r="V71" t="str">
        <f>IFERROR(INDEX(Products!$C:$C,MATCH(D71,Products!$A:$A,0)),"Unknown")</f>
        <v>Women Jeans</v>
      </c>
      <c r="W71" t="str">
        <f>IFERROR(INDEX(Products!$E:$E,MATCH(D71,Products!$A:$A,0)),"Unknown")</f>
        <v>Woodland</v>
      </c>
      <c r="X71" t="str">
        <f>IFERROR(INDEX(Stores!$B:$B,MATCH(E71,Stores!$A:$A,0)),"Unknown")</f>
        <v>TrendMart Mangaluru Mall Kiosk</v>
      </c>
      <c r="Y71" t="str">
        <f>IFERROR(INDEX(Stores!$E:$E,MATCH(E71,Stores!$A:$A,0)),"Unknown")</f>
        <v>South Zone 2</v>
      </c>
      <c r="Z71" t="str">
        <f>IFERROR(INDEX(Customers!$J:$J,MATCH(C71,Customers!$A:$A,0)),"Unknown")</f>
        <v>Gold</v>
      </c>
      <c r="AA71" t="str">
        <f t="shared" si="1"/>
        <v>2024-11</v>
      </c>
      <c r="AB71" t="str">
        <f>IFERROR(INDEX(Products!$I:$I,MATCH(D71,Products!$A:$A,0)),"Unknown")</f>
        <v>SUP015</v>
      </c>
    </row>
    <row r="72" spans="1:28" x14ac:dyDescent="0.25">
      <c r="A72" t="s">
        <v>492</v>
      </c>
      <c r="B72" s="20">
        <v>45426</v>
      </c>
      <c r="C72" t="s">
        <v>493</v>
      </c>
      <c r="D72" t="s">
        <v>494</v>
      </c>
      <c r="E72" t="s">
        <v>495</v>
      </c>
      <c r="F72" t="s">
        <v>211</v>
      </c>
      <c r="G72">
        <v>1</v>
      </c>
      <c r="H72" s="21">
        <v>1632.35</v>
      </c>
      <c r="I72">
        <v>5</v>
      </c>
      <c r="J72" s="21">
        <v>81.62</v>
      </c>
      <c r="K72">
        <v>12</v>
      </c>
      <c r="L72" s="21">
        <v>186.09</v>
      </c>
      <c r="M72" s="21">
        <v>1736.82</v>
      </c>
      <c r="N72" s="21">
        <v>1140.9000000000001</v>
      </c>
      <c r="O72" s="21">
        <v>409.83</v>
      </c>
      <c r="P72" t="s">
        <v>126</v>
      </c>
      <c r="Q72" t="s">
        <v>122</v>
      </c>
      <c r="R72" t="s">
        <v>151</v>
      </c>
      <c r="S72" t="s">
        <v>314</v>
      </c>
      <c r="T72" t="s">
        <v>153</v>
      </c>
      <c r="U72" t="s">
        <v>154</v>
      </c>
      <c r="V72" t="str">
        <f>IFERROR(INDEX(Products!$C:$C,MATCH(D72,Products!$A:$A,0)),"Unknown")</f>
        <v>Women Dresses</v>
      </c>
      <c r="W72" t="str">
        <f>IFERROR(INDEX(Products!$E:$E,MATCH(D72,Products!$A:$A,0)),"Unknown")</f>
        <v>Reebok</v>
      </c>
      <c r="X72" t="str">
        <f>IFERROR(INDEX(Stores!$B:$B,MATCH(E72,Stores!$A:$A,0)),"Unknown")</f>
        <v>TrendMart Visakhapatnam Flagship</v>
      </c>
      <c r="Y72" t="str">
        <f>IFERROR(INDEX(Stores!$E:$E,MATCH(E72,Stores!$A:$A,0)),"Unknown")</f>
        <v>South Zone 3</v>
      </c>
      <c r="Z72" t="str">
        <f>IFERROR(INDEX(Customers!$J:$J,MATCH(C72,Customers!$A:$A,0)),"Unknown")</f>
        <v>Regular</v>
      </c>
      <c r="AA72" t="str">
        <f t="shared" si="1"/>
        <v>2024-05</v>
      </c>
      <c r="AB72" t="str">
        <f>IFERROR(INDEX(Products!$I:$I,MATCH(D72,Products!$A:$A,0)),"Unknown")</f>
        <v>SUP085</v>
      </c>
    </row>
    <row r="73" spans="1:28" x14ac:dyDescent="0.25">
      <c r="A73" t="s">
        <v>496</v>
      </c>
      <c r="B73" s="20">
        <v>45586</v>
      </c>
      <c r="C73" t="s">
        <v>497</v>
      </c>
      <c r="D73" t="s">
        <v>498</v>
      </c>
      <c r="E73" t="s">
        <v>181</v>
      </c>
      <c r="F73" t="s">
        <v>335</v>
      </c>
      <c r="G73">
        <v>0</v>
      </c>
      <c r="H73" s="21">
        <v>413.58</v>
      </c>
      <c r="I73">
        <v>0</v>
      </c>
      <c r="J73" s="21">
        <v>0</v>
      </c>
      <c r="K73">
        <v>5</v>
      </c>
      <c r="L73" s="21">
        <v>0</v>
      </c>
      <c r="M73" s="21">
        <v>0</v>
      </c>
      <c r="N73" s="21">
        <v>0</v>
      </c>
      <c r="O73" s="21">
        <v>0</v>
      </c>
      <c r="P73" t="s">
        <v>127</v>
      </c>
      <c r="Q73" t="s">
        <v>122</v>
      </c>
      <c r="R73" t="s">
        <v>482</v>
      </c>
      <c r="S73" t="s">
        <v>499</v>
      </c>
      <c r="T73" t="s">
        <v>153</v>
      </c>
      <c r="U73" t="s">
        <v>154</v>
      </c>
      <c r="V73" t="str">
        <f>IFERROR(INDEX(Products!$C:$C,MATCH(D73,Products!$A:$A,0)),"Unknown")</f>
        <v>Belts</v>
      </c>
      <c r="W73" t="str">
        <f>IFERROR(INDEX(Products!$E:$E,MATCH(D73,Products!$A:$A,0)),"Unknown")</f>
        <v>Nike</v>
      </c>
      <c r="X73" t="str">
        <f>IFERROR(INDEX(Stores!$B:$B,MATCH(E73,Stores!$A:$A,0)),"Unknown")</f>
        <v>TrendMart Kurnool High Street</v>
      </c>
      <c r="Y73" t="str">
        <f>IFERROR(INDEX(Stores!$E:$E,MATCH(E73,Stores!$A:$A,0)),"Unknown")</f>
        <v>South Zone 3</v>
      </c>
      <c r="Z73" t="str">
        <f>IFERROR(INDEX(Customers!$J:$J,MATCH(C73,Customers!$A:$A,0)),"Unknown")</f>
        <v>Silver</v>
      </c>
      <c r="AA73" t="str">
        <f t="shared" si="1"/>
        <v>2024-10</v>
      </c>
      <c r="AB73" t="str">
        <f>IFERROR(INDEX(Products!$I:$I,MATCH(D73,Products!$A:$A,0)),"Unknown")</f>
        <v>SUP071</v>
      </c>
    </row>
    <row r="74" spans="1:28" x14ac:dyDescent="0.25">
      <c r="A74" t="s">
        <v>500</v>
      </c>
      <c r="B74" s="20">
        <v>45693</v>
      </c>
      <c r="C74" t="s">
        <v>501</v>
      </c>
      <c r="D74" t="s">
        <v>502</v>
      </c>
      <c r="E74" t="s">
        <v>262</v>
      </c>
      <c r="F74" t="s">
        <v>297</v>
      </c>
      <c r="G74">
        <v>3</v>
      </c>
      <c r="H74" s="21">
        <v>2846.44</v>
      </c>
      <c r="I74">
        <v>5</v>
      </c>
      <c r="J74" s="21">
        <v>426.97</v>
      </c>
      <c r="K74">
        <v>12</v>
      </c>
      <c r="L74" s="21">
        <v>973.48</v>
      </c>
      <c r="M74" s="21">
        <v>9085.83</v>
      </c>
      <c r="N74" s="21">
        <v>6454.02</v>
      </c>
      <c r="O74" s="21">
        <v>1658.33</v>
      </c>
      <c r="P74" t="s">
        <v>124</v>
      </c>
      <c r="Q74" t="s">
        <v>122</v>
      </c>
      <c r="R74" t="s">
        <v>151</v>
      </c>
      <c r="S74" t="s">
        <v>503</v>
      </c>
      <c r="T74" t="s">
        <v>153</v>
      </c>
      <c r="U74" t="s">
        <v>154</v>
      </c>
      <c r="V74" t="str">
        <f>IFERROR(INDEX(Products!$C:$C,MATCH(D74,Products!$A:$A,0)),"Unknown")</f>
        <v>Handbags</v>
      </c>
      <c r="W74" t="str">
        <f>IFERROR(INDEX(Products!$E:$E,MATCH(D74,Products!$A:$A,0)),"Unknown")</f>
        <v>Libas</v>
      </c>
      <c r="X74" t="str">
        <f>IFERROR(INDEX(Stores!$B:$B,MATCH(E74,Stores!$A:$A,0)),"Unknown")</f>
        <v>TrendMart Thoothukudi Outlet</v>
      </c>
      <c r="Y74" t="str">
        <f>IFERROR(INDEX(Stores!$E:$E,MATCH(E74,Stores!$A:$A,0)),"Unknown")</f>
        <v>South Zone 1</v>
      </c>
      <c r="Z74" t="str">
        <f>IFERROR(INDEX(Customers!$J:$J,MATCH(C74,Customers!$A:$A,0)),"Unknown")</f>
        <v>Regular</v>
      </c>
      <c r="AA74" t="str">
        <f t="shared" si="1"/>
        <v>2025-02</v>
      </c>
      <c r="AB74" t="str">
        <f>IFERROR(INDEX(Products!$I:$I,MATCH(D74,Products!$A:$A,0)),"Unknown")</f>
        <v>SUP070</v>
      </c>
    </row>
    <row r="75" spans="1:28" x14ac:dyDescent="0.25">
      <c r="A75" t="s">
        <v>504</v>
      </c>
      <c r="B75" s="20">
        <v>45399</v>
      </c>
      <c r="C75" t="s">
        <v>505</v>
      </c>
      <c r="D75" t="s">
        <v>205</v>
      </c>
      <c r="E75" t="s">
        <v>506</v>
      </c>
      <c r="F75" t="s">
        <v>195</v>
      </c>
      <c r="G75">
        <v>1</v>
      </c>
      <c r="H75" s="21">
        <v>1011.81</v>
      </c>
      <c r="I75">
        <v>30</v>
      </c>
      <c r="J75" s="21">
        <v>303.54000000000002</v>
      </c>
      <c r="K75">
        <v>12</v>
      </c>
      <c r="L75" s="21">
        <v>84.99</v>
      </c>
      <c r="M75" s="21">
        <v>793.26</v>
      </c>
      <c r="N75" s="21">
        <v>692.53</v>
      </c>
      <c r="O75" s="21">
        <v>15.74</v>
      </c>
      <c r="P75" t="s">
        <v>121</v>
      </c>
      <c r="Q75" t="s">
        <v>120</v>
      </c>
      <c r="R75" t="s">
        <v>151</v>
      </c>
      <c r="S75" t="s">
        <v>507</v>
      </c>
      <c r="T75" t="s">
        <v>153</v>
      </c>
      <c r="U75" t="s">
        <v>154</v>
      </c>
      <c r="V75" t="str">
        <f>IFERROR(INDEX(Products!$C:$C,MATCH(D75,Products!$A:$A,0)),"Unknown")</f>
        <v>Women Jeans</v>
      </c>
      <c r="W75" t="str">
        <f>IFERROR(INDEX(Products!$E:$E,MATCH(D75,Products!$A:$A,0)),"Unknown")</f>
        <v>Sonata</v>
      </c>
      <c r="X75" t="str">
        <f>IFERROR(INDEX(Stores!$B:$B,MATCH(E75,Stores!$A:$A,0)),"Unknown")</f>
        <v>TrendMart Nellore High Street</v>
      </c>
      <c r="Y75" t="str">
        <f>IFERROR(INDEX(Stores!$E:$E,MATCH(E75,Stores!$A:$A,0)),"Unknown")</f>
        <v>South Zone 3</v>
      </c>
      <c r="Z75" t="str">
        <f>IFERROR(INDEX(Customers!$J:$J,MATCH(C75,Customers!$A:$A,0)),"Unknown")</f>
        <v>Regular</v>
      </c>
      <c r="AA75" t="str">
        <f t="shared" si="1"/>
        <v>2024-04</v>
      </c>
      <c r="AB75" t="str">
        <f>IFERROR(INDEX(Products!$I:$I,MATCH(D75,Products!$A:$A,0)),"Unknown")</f>
        <v>SUP014</v>
      </c>
    </row>
    <row r="76" spans="1:28" x14ac:dyDescent="0.25">
      <c r="A76" t="s">
        <v>508</v>
      </c>
      <c r="B76" s="20">
        <v>45620</v>
      </c>
      <c r="C76" t="s">
        <v>509</v>
      </c>
      <c r="D76" t="s">
        <v>510</v>
      </c>
      <c r="E76" t="s">
        <v>511</v>
      </c>
      <c r="F76" t="s">
        <v>275</v>
      </c>
      <c r="G76">
        <v>5</v>
      </c>
      <c r="H76" s="21">
        <v>1268.6099999999999</v>
      </c>
      <c r="I76">
        <v>15</v>
      </c>
      <c r="J76" s="21">
        <v>951.46</v>
      </c>
      <c r="K76">
        <v>12</v>
      </c>
      <c r="L76" s="21">
        <v>646.99</v>
      </c>
      <c r="M76" s="21">
        <v>6038.58</v>
      </c>
      <c r="N76" s="21">
        <v>4573.6000000000004</v>
      </c>
      <c r="O76" s="21">
        <v>817.99</v>
      </c>
      <c r="P76" t="s">
        <v>124</v>
      </c>
      <c r="Q76" t="s">
        <v>120</v>
      </c>
      <c r="R76" t="s">
        <v>151</v>
      </c>
      <c r="S76" t="s">
        <v>512</v>
      </c>
      <c r="T76" t="s">
        <v>161</v>
      </c>
      <c r="U76" t="s">
        <v>154</v>
      </c>
      <c r="V76" t="str">
        <f>IFERROR(INDEX(Products!$C:$C,MATCH(D76,Products!$A:$A,0)),"Unknown")</f>
        <v>Sportswear</v>
      </c>
      <c r="W76" t="str">
        <f>IFERROR(INDEX(Products!$E:$E,MATCH(D76,Products!$A:$A,0)),"Unknown")</f>
        <v>Liberty</v>
      </c>
      <c r="X76" t="str">
        <f>IFERROR(INDEX(Stores!$B:$B,MATCH(E76,Stores!$A:$A,0)),"Unknown")</f>
        <v>TrendMart Khammam Standard</v>
      </c>
      <c r="Y76" t="str">
        <f>IFERROR(INDEX(Stores!$E:$E,MATCH(E76,Stores!$A:$A,0)),"Unknown")</f>
        <v>South Zone 2</v>
      </c>
      <c r="Z76" t="str">
        <f>IFERROR(INDEX(Customers!$J:$J,MATCH(C76,Customers!$A:$A,0)),"Unknown")</f>
        <v>Gold</v>
      </c>
      <c r="AA76" t="str">
        <f t="shared" si="1"/>
        <v>2024-11</v>
      </c>
      <c r="AB76" t="str">
        <f>IFERROR(INDEX(Products!$I:$I,MATCH(D76,Products!$A:$A,0)),"Unknown")</f>
        <v>SUP010</v>
      </c>
    </row>
    <row r="77" spans="1:28" x14ac:dyDescent="0.25">
      <c r="A77" t="s">
        <v>513</v>
      </c>
      <c r="B77" s="20">
        <v>45633</v>
      </c>
      <c r="C77" t="s">
        <v>514</v>
      </c>
      <c r="D77" t="s">
        <v>401</v>
      </c>
      <c r="E77" t="s">
        <v>515</v>
      </c>
      <c r="F77" t="s">
        <v>516</v>
      </c>
      <c r="G77">
        <v>1</v>
      </c>
      <c r="H77" s="21">
        <v>1323.12</v>
      </c>
      <c r="I77">
        <v>0</v>
      </c>
      <c r="J77" s="21">
        <v>0</v>
      </c>
      <c r="K77">
        <v>12</v>
      </c>
      <c r="L77" s="21">
        <v>158.77000000000001</v>
      </c>
      <c r="M77" s="21">
        <v>1481.89</v>
      </c>
      <c r="N77" s="21">
        <v>767.83</v>
      </c>
      <c r="O77" s="21">
        <v>555.29</v>
      </c>
      <c r="P77" t="s">
        <v>123</v>
      </c>
      <c r="Q77" t="s">
        <v>120</v>
      </c>
      <c r="R77" t="s">
        <v>151</v>
      </c>
      <c r="S77" t="s">
        <v>517</v>
      </c>
      <c r="T77" t="s">
        <v>161</v>
      </c>
      <c r="U77" t="s">
        <v>154</v>
      </c>
      <c r="V77" t="str">
        <f>IFERROR(INDEX(Products!$C:$C,MATCH(D77,Products!$A:$A,0)),"Unknown")</f>
        <v>Women Jeans</v>
      </c>
      <c r="W77" t="str">
        <f>IFERROR(INDEX(Products!$E:$E,MATCH(D77,Products!$A:$A,0)),"Unknown")</f>
        <v>Being Human</v>
      </c>
      <c r="X77" t="str">
        <f>IFERROR(INDEX(Stores!$B:$B,MATCH(E77,Stores!$A:$A,0)),"Unknown")</f>
        <v>TrendMart Kochi High Street</v>
      </c>
      <c r="Y77" t="str">
        <f>IFERROR(INDEX(Stores!$E:$E,MATCH(E77,Stores!$A:$A,0)),"Unknown")</f>
        <v>South Zone 1</v>
      </c>
      <c r="Z77" t="str">
        <f>IFERROR(INDEX(Customers!$J:$J,MATCH(C77,Customers!$A:$A,0)),"Unknown")</f>
        <v>Regular</v>
      </c>
      <c r="AA77" t="str">
        <f t="shared" si="1"/>
        <v>2024-12</v>
      </c>
      <c r="AB77" t="str">
        <f>IFERROR(INDEX(Products!$I:$I,MATCH(D77,Products!$A:$A,0)),"Unknown")</f>
        <v>SUP013</v>
      </c>
    </row>
    <row r="78" spans="1:28" x14ac:dyDescent="0.25">
      <c r="A78" t="s">
        <v>518</v>
      </c>
      <c r="B78" s="20">
        <v>45396</v>
      </c>
      <c r="C78" t="s">
        <v>519</v>
      </c>
      <c r="D78" t="s">
        <v>520</v>
      </c>
      <c r="E78" t="s">
        <v>521</v>
      </c>
      <c r="F78" t="s">
        <v>221</v>
      </c>
      <c r="G78">
        <v>2</v>
      </c>
      <c r="H78" s="21">
        <v>1419.26</v>
      </c>
      <c r="I78">
        <v>20</v>
      </c>
      <c r="J78" s="21">
        <v>567.70000000000005</v>
      </c>
      <c r="K78">
        <v>12</v>
      </c>
      <c r="L78" s="21">
        <v>272.5</v>
      </c>
      <c r="M78" s="21">
        <v>2543.3200000000002</v>
      </c>
      <c r="N78" s="21">
        <v>1806.6</v>
      </c>
      <c r="O78" s="21">
        <v>464.22</v>
      </c>
      <c r="P78" t="s">
        <v>123</v>
      </c>
      <c r="Q78" t="s">
        <v>122</v>
      </c>
      <c r="R78" t="s">
        <v>151</v>
      </c>
      <c r="S78" t="s">
        <v>522</v>
      </c>
      <c r="T78" t="s">
        <v>161</v>
      </c>
      <c r="U78" t="s">
        <v>154</v>
      </c>
      <c r="V78" t="str">
        <f>IFERROR(INDEX(Products!$C:$C,MATCH(D78,Products!$A:$A,0)),"Unknown")</f>
        <v>Wallets</v>
      </c>
      <c r="W78" t="str">
        <f>IFERROR(INDEX(Products!$E:$E,MATCH(D78,Products!$A:$A,0)),"Unknown")</f>
        <v>Nike</v>
      </c>
      <c r="X78" t="str">
        <f>IFERROR(INDEX(Stores!$B:$B,MATCH(E78,Stores!$A:$A,0)),"Unknown")</f>
        <v>TrendMart Tirupati Standard</v>
      </c>
      <c r="Y78" t="str">
        <f>IFERROR(INDEX(Stores!$E:$E,MATCH(E78,Stores!$A:$A,0)),"Unknown")</f>
        <v>South Zone 3</v>
      </c>
      <c r="Z78" t="str">
        <f>IFERROR(INDEX(Customers!$J:$J,MATCH(C78,Customers!$A:$A,0)),"Unknown")</f>
        <v>Regular</v>
      </c>
      <c r="AA78" t="str">
        <f t="shared" si="1"/>
        <v>2024-04</v>
      </c>
      <c r="AB78" t="str">
        <f>IFERROR(INDEX(Products!$I:$I,MATCH(D78,Products!$A:$A,0)),"Unknown")</f>
        <v>SUP027</v>
      </c>
    </row>
    <row r="79" spans="1:28" x14ac:dyDescent="0.25">
      <c r="A79" t="s">
        <v>523</v>
      </c>
      <c r="B79" s="20">
        <v>45443</v>
      </c>
      <c r="C79" t="s">
        <v>224</v>
      </c>
      <c r="D79" t="s">
        <v>524</v>
      </c>
      <c r="E79" t="s">
        <v>525</v>
      </c>
      <c r="F79" t="s">
        <v>182</v>
      </c>
      <c r="G79">
        <v>4</v>
      </c>
      <c r="H79" s="21">
        <v>713.19</v>
      </c>
      <c r="I79">
        <v>30</v>
      </c>
      <c r="J79" s="21">
        <v>855.83</v>
      </c>
      <c r="K79">
        <v>5</v>
      </c>
      <c r="L79" s="21">
        <v>99.85</v>
      </c>
      <c r="M79" s="21">
        <v>2096.7800000000002</v>
      </c>
      <c r="N79" s="21">
        <v>2190.6799999999998</v>
      </c>
      <c r="O79" s="21">
        <v>-193.75</v>
      </c>
      <c r="P79" t="s">
        <v>121</v>
      </c>
      <c r="Q79" t="s">
        <v>120</v>
      </c>
      <c r="R79" t="s">
        <v>151</v>
      </c>
      <c r="S79" t="s">
        <v>526</v>
      </c>
      <c r="T79" t="s">
        <v>153</v>
      </c>
      <c r="U79" t="s">
        <v>184</v>
      </c>
      <c r="V79" t="str">
        <f>IFERROR(INDEX(Products!$C:$C,MATCH(D79,Products!$A:$A,0)),"Unknown")</f>
        <v>Women Tops</v>
      </c>
      <c r="W79" t="str">
        <f>IFERROR(INDEX(Products!$E:$E,MATCH(D79,Products!$A:$A,0)),"Unknown")</f>
        <v>Indian Terrain</v>
      </c>
      <c r="X79" t="str">
        <f>IFERROR(INDEX(Stores!$B:$B,MATCH(E79,Stores!$A:$A,0)),"Unknown")</f>
        <v>TrendMart Kollam Standard</v>
      </c>
      <c r="Y79" t="str">
        <f>IFERROR(INDEX(Stores!$E:$E,MATCH(E79,Stores!$A:$A,0)),"Unknown")</f>
        <v>South Zone 1</v>
      </c>
      <c r="Z79" t="str">
        <f>IFERROR(INDEX(Customers!$J:$J,MATCH(C79,Customers!$A:$A,0)),"Unknown")</f>
        <v>Gold</v>
      </c>
      <c r="AA79" t="str">
        <f t="shared" si="1"/>
        <v>2024-05</v>
      </c>
      <c r="AB79" t="str">
        <f>IFERROR(INDEX(Products!$I:$I,MATCH(D79,Products!$A:$A,0)),"Unknown")</f>
        <v>SUP062</v>
      </c>
    </row>
    <row r="80" spans="1:28" x14ac:dyDescent="0.25">
      <c r="A80" t="s">
        <v>527</v>
      </c>
      <c r="B80" s="20">
        <v>45544</v>
      </c>
      <c r="C80" t="s">
        <v>528</v>
      </c>
      <c r="D80" t="s">
        <v>460</v>
      </c>
      <c r="E80" t="s">
        <v>89</v>
      </c>
      <c r="F80" t="s">
        <v>211</v>
      </c>
      <c r="G80">
        <v>4</v>
      </c>
      <c r="H80" s="21">
        <v>1255.49</v>
      </c>
      <c r="I80">
        <v>0</v>
      </c>
      <c r="J80" s="21">
        <v>0</v>
      </c>
      <c r="K80">
        <v>12</v>
      </c>
      <c r="L80" s="21">
        <v>602.64</v>
      </c>
      <c r="M80" s="21">
        <v>5624.6</v>
      </c>
      <c r="N80" s="21">
        <v>3647.36</v>
      </c>
      <c r="O80" s="21">
        <v>1374.6</v>
      </c>
      <c r="P80" t="s">
        <v>124</v>
      </c>
      <c r="Q80" t="s">
        <v>122</v>
      </c>
      <c r="R80" t="s">
        <v>151</v>
      </c>
      <c r="S80" t="s">
        <v>529</v>
      </c>
      <c r="T80" t="s">
        <v>153</v>
      </c>
      <c r="U80" t="s">
        <v>154</v>
      </c>
      <c r="V80" t="str">
        <f>IFERROR(INDEX(Products!$C:$C,MATCH(D80,Products!$A:$A,0)),"Unknown")</f>
        <v>Men Trousers</v>
      </c>
      <c r="W80" t="str">
        <f>IFERROR(INDEX(Products!$E:$E,MATCH(D80,Products!$A:$A,0)),"Unknown")</f>
        <v>Louis Philippe</v>
      </c>
      <c r="X80" t="str">
        <f>IFERROR(INDEX(Stores!$B:$B,MATCH(E80,Stores!$A:$A,0)),"Unknown")</f>
        <v>TrendMart Kochi Standard</v>
      </c>
      <c r="Y80" t="str">
        <f>IFERROR(INDEX(Stores!$E:$E,MATCH(E80,Stores!$A:$A,0)),"Unknown")</f>
        <v>South Zone 1</v>
      </c>
      <c r="Z80" t="str">
        <f>IFERROR(INDEX(Customers!$J:$J,MATCH(C80,Customers!$A:$A,0)),"Unknown")</f>
        <v>Silver</v>
      </c>
      <c r="AA80" t="str">
        <f t="shared" si="1"/>
        <v>2024-09</v>
      </c>
      <c r="AB80" t="str">
        <f>IFERROR(INDEX(Products!$I:$I,MATCH(D80,Products!$A:$A,0)),"Unknown")</f>
        <v>SUP034</v>
      </c>
    </row>
    <row r="81" spans="1:28" x14ac:dyDescent="0.25">
      <c r="A81" t="s">
        <v>530</v>
      </c>
      <c r="B81" s="20">
        <v>45702</v>
      </c>
      <c r="C81" t="s">
        <v>278</v>
      </c>
      <c r="D81" t="s">
        <v>531</v>
      </c>
      <c r="E81" t="s">
        <v>396</v>
      </c>
      <c r="F81" t="s">
        <v>532</v>
      </c>
      <c r="G81">
        <v>2</v>
      </c>
      <c r="H81" s="21">
        <v>3188.24</v>
      </c>
      <c r="I81">
        <v>25</v>
      </c>
      <c r="J81" s="21">
        <v>1594.12</v>
      </c>
      <c r="K81">
        <v>12</v>
      </c>
      <c r="L81" s="21">
        <v>573.88</v>
      </c>
      <c r="M81" s="21">
        <v>5356.24</v>
      </c>
      <c r="N81" s="21">
        <v>4068.02</v>
      </c>
      <c r="O81" s="21">
        <v>714.34</v>
      </c>
      <c r="P81" t="s">
        <v>125</v>
      </c>
      <c r="Q81" t="s">
        <v>122</v>
      </c>
      <c r="R81" t="s">
        <v>313</v>
      </c>
      <c r="S81" t="s">
        <v>533</v>
      </c>
      <c r="T81" t="s">
        <v>153</v>
      </c>
      <c r="U81" t="s">
        <v>154</v>
      </c>
      <c r="V81" t="str">
        <f>IFERROR(INDEX(Products!$C:$C,MATCH(D81,Products!$A:$A,0)),"Unknown")</f>
        <v>Handbags</v>
      </c>
      <c r="W81" t="str">
        <f>IFERROR(INDEX(Products!$E:$E,MATCH(D81,Products!$A:$A,0)),"Unknown")</f>
        <v>GRT Jewellers</v>
      </c>
      <c r="X81" t="str">
        <f>IFERROR(INDEX(Stores!$B:$B,MATCH(E81,Stores!$A:$A,0)),"Unknown")</f>
        <v>TrendMart Davanagere High Street</v>
      </c>
      <c r="Y81" t="str">
        <f>IFERROR(INDEX(Stores!$E:$E,MATCH(E81,Stores!$A:$A,0)),"Unknown")</f>
        <v>South Zone 2</v>
      </c>
      <c r="Z81" t="str">
        <f>IFERROR(INDEX(Customers!$J:$J,MATCH(C81,Customers!$A:$A,0)),"Unknown")</f>
        <v>Regular</v>
      </c>
      <c r="AA81" t="str">
        <f t="shared" si="1"/>
        <v>2025-02</v>
      </c>
      <c r="AB81" t="str">
        <f>IFERROR(INDEX(Products!$I:$I,MATCH(D81,Products!$A:$A,0)),"Unknown")</f>
        <v>SUP047</v>
      </c>
    </row>
    <row r="82" spans="1:28" x14ac:dyDescent="0.25">
      <c r="A82" t="s">
        <v>534</v>
      </c>
      <c r="B82" s="20">
        <v>45534</v>
      </c>
      <c r="C82" t="s">
        <v>535</v>
      </c>
      <c r="D82" t="s">
        <v>536</v>
      </c>
      <c r="E82" t="s">
        <v>537</v>
      </c>
      <c r="F82" t="s">
        <v>335</v>
      </c>
      <c r="G82">
        <v>3</v>
      </c>
      <c r="H82" s="21">
        <v>565.59</v>
      </c>
      <c r="I82">
        <v>30</v>
      </c>
      <c r="J82" s="21">
        <v>509.03</v>
      </c>
      <c r="K82">
        <v>5</v>
      </c>
      <c r="L82" s="21">
        <v>59.39</v>
      </c>
      <c r="M82" s="21">
        <v>1247.1300000000001</v>
      </c>
      <c r="N82" s="21">
        <v>1072.3499999999999</v>
      </c>
      <c r="O82" s="21">
        <v>115.39</v>
      </c>
      <c r="P82" t="s">
        <v>121</v>
      </c>
      <c r="Q82" t="s">
        <v>122</v>
      </c>
      <c r="R82" t="s">
        <v>151</v>
      </c>
      <c r="S82" t="s">
        <v>538</v>
      </c>
      <c r="T82" t="s">
        <v>153</v>
      </c>
      <c r="U82" t="s">
        <v>154</v>
      </c>
      <c r="V82" t="str">
        <f>IFERROR(INDEX(Products!$C:$C,MATCH(D82,Products!$A:$A,0)),"Unknown")</f>
        <v>Wallets</v>
      </c>
      <c r="W82" t="str">
        <f>IFERROR(INDEX(Products!$E:$E,MATCH(D82,Products!$A:$A,0)),"Unknown")</f>
        <v>Aurelia</v>
      </c>
      <c r="X82" t="str">
        <f>IFERROR(INDEX(Stores!$B:$B,MATCH(E82,Stores!$A:$A,0)),"Unknown")</f>
        <v>TrendMart Thrissur High Street</v>
      </c>
      <c r="Y82" t="str">
        <f>IFERROR(INDEX(Stores!$E:$E,MATCH(E82,Stores!$A:$A,0)),"Unknown")</f>
        <v>South Zone 1</v>
      </c>
      <c r="Z82" t="str">
        <f>IFERROR(INDEX(Customers!$J:$J,MATCH(C82,Customers!$A:$A,0)),"Unknown")</f>
        <v>Gold</v>
      </c>
      <c r="AA82" t="str">
        <f t="shared" si="1"/>
        <v>2024-08</v>
      </c>
      <c r="AB82" t="str">
        <f>IFERROR(INDEX(Products!$I:$I,MATCH(D82,Products!$A:$A,0)),"Unknown")</f>
        <v>SUP084</v>
      </c>
    </row>
    <row r="83" spans="1:28" x14ac:dyDescent="0.25">
      <c r="A83" t="s">
        <v>539</v>
      </c>
      <c r="B83" s="20">
        <v>45492</v>
      </c>
      <c r="C83" t="s">
        <v>540</v>
      </c>
      <c r="D83" t="s">
        <v>531</v>
      </c>
      <c r="E83" t="s">
        <v>541</v>
      </c>
      <c r="F83" t="s">
        <v>292</v>
      </c>
      <c r="G83">
        <v>3</v>
      </c>
      <c r="H83" s="21">
        <v>3067.81</v>
      </c>
      <c r="I83">
        <v>25</v>
      </c>
      <c r="J83" s="21">
        <v>2300.86</v>
      </c>
      <c r="K83">
        <v>12</v>
      </c>
      <c r="L83" s="21">
        <v>828.31</v>
      </c>
      <c r="M83" s="21">
        <v>7730.88</v>
      </c>
      <c r="N83" s="21">
        <v>6102.03</v>
      </c>
      <c r="O83" s="21">
        <v>800.54</v>
      </c>
      <c r="P83" t="s">
        <v>121</v>
      </c>
      <c r="Q83" t="s">
        <v>122</v>
      </c>
      <c r="R83" t="s">
        <v>313</v>
      </c>
      <c r="S83" t="s">
        <v>542</v>
      </c>
      <c r="T83" t="s">
        <v>153</v>
      </c>
      <c r="U83" t="s">
        <v>154</v>
      </c>
      <c r="V83" t="str">
        <f>IFERROR(INDEX(Products!$C:$C,MATCH(D83,Products!$A:$A,0)),"Unknown")</f>
        <v>Handbags</v>
      </c>
      <c r="W83" t="str">
        <f>IFERROR(INDEX(Products!$E:$E,MATCH(D83,Products!$A:$A,0)),"Unknown")</f>
        <v>GRT Jewellers</v>
      </c>
      <c r="X83" t="str">
        <f>IFERROR(INDEX(Stores!$B:$B,MATCH(E83,Stores!$A:$A,0)),"Unknown")</f>
        <v>TrendMart Kochi Standard</v>
      </c>
      <c r="Y83" t="str">
        <f>IFERROR(INDEX(Stores!$E:$E,MATCH(E83,Stores!$A:$A,0)),"Unknown")</f>
        <v>South Zone 1</v>
      </c>
      <c r="Z83" t="str">
        <f>IFERROR(INDEX(Customers!$J:$J,MATCH(C83,Customers!$A:$A,0)),"Unknown")</f>
        <v>Gold</v>
      </c>
      <c r="AA83" t="str">
        <f t="shared" si="1"/>
        <v>2024-07</v>
      </c>
      <c r="AB83" t="str">
        <f>IFERROR(INDEX(Products!$I:$I,MATCH(D83,Products!$A:$A,0)),"Unknown")</f>
        <v>SUP047</v>
      </c>
    </row>
    <row r="84" spans="1:28" x14ac:dyDescent="0.25">
      <c r="A84" t="s">
        <v>543</v>
      </c>
      <c r="B84" s="20">
        <v>45456</v>
      </c>
      <c r="C84" t="s">
        <v>544</v>
      </c>
      <c r="D84" t="s">
        <v>545</v>
      </c>
      <c r="E84" t="s">
        <v>262</v>
      </c>
      <c r="F84" t="s">
        <v>159</v>
      </c>
      <c r="G84">
        <v>1</v>
      </c>
      <c r="H84" s="21">
        <v>1325.53</v>
      </c>
      <c r="I84">
        <v>25</v>
      </c>
      <c r="J84" s="21">
        <v>331.38</v>
      </c>
      <c r="K84">
        <v>12</v>
      </c>
      <c r="L84" s="21">
        <v>119.3</v>
      </c>
      <c r="M84" s="21">
        <v>1113.45</v>
      </c>
      <c r="N84" s="21">
        <v>834.96</v>
      </c>
      <c r="O84" s="21">
        <v>159.19</v>
      </c>
      <c r="P84" t="s">
        <v>123</v>
      </c>
      <c r="Q84" t="s">
        <v>122</v>
      </c>
      <c r="R84" t="s">
        <v>151</v>
      </c>
      <c r="S84" t="s">
        <v>546</v>
      </c>
      <c r="T84" t="s">
        <v>153</v>
      </c>
      <c r="U84" t="s">
        <v>154</v>
      </c>
      <c r="V84" t="str">
        <f>IFERROR(INDEX(Products!$C:$C,MATCH(D84,Products!$A:$A,0)),"Unknown")</f>
        <v>Women Jeans</v>
      </c>
      <c r="W84" t="str">
        <f>IFERROR(INDEX(Products!$E:$E,MATCH(D84,Products!$A:$A,0)),"Unknown")</f>
        <v>US Polo Assn</v>
      </c>
      <c r="X84" t="str">
        <f>IFERROR(INDEX(Stores!$B:$B,MATCH(E84,Stores!$A:$A,0)),"Unknown")</f>
        <v>TrendMart Thoothukudi Outlet</v>
      </c>
      <c r="Y84" t="str">
        <f>IFERROR(INDEX(Stores!$E:$E,MATCH(E84,Stores!$A:$A,0)),"Unknown")</f>
        <v>South Zone 1</v>
      </c>
      <c r="Z84" t="str">
        <f>IFERROR(INDEX(Customers!$J:$J,MATCH(C84,Customers!$A:$A,0)),"Unknown")</f>
        <v>Platinum</v>
      </c>
      <c r="AA84" t="str">
        <f t="shared" si="1"/>
        <v>2024-06</v>
      </c>
      <c r="AB84" t="str">
        <f>IFERROR(INDEX(Products!$I:$I,MATCH(D84,Products!$A:$A,0)),"Unknown")</f>
        <v>SUP041</v>
      </c>
    </row>
    <row r="85" spans="1:28" x14ac:dyDescent="0.25">
      <c r="A85" t="s">
        <v>547</v>
      </c>
      <c r="B85" s="20">
        <v>45604</v>
      </c>
      <c r="C85" t="s">
        <v>548</v>
      </c>
      <c r="D85" t="s">
        <v>549</v>
      </c>
      <c r="E85" t="s">
        <v>402</v>
      </c>
      <c r="F85" t="s">
        <v>550</v>
      </c>
      <c r="G85">
        <v>2</v>
      </c>
      <c r="H85" s="21">
        <v>1187.06</v>
      </c>
      <c r="I85">
        <v>20</v>
      </c>
      <c r="J85" s="21">
        <v>474.82</v>
      </c>
      <c r="K85">
        <v>12</v>
      </c>
      <c r="L85" s="21">
        <v>227.92</v>
      </c>
      <c r="M85" s="21">
        <v>2127.2199999999998</v>
      </c>
      <c r="N85" s="21">
        <v>1709.7</v>
      </c>
      <c r="O85" s="21">
        <v>189.6</v>
      </c>
      <c r="P85" t="s">
        <v>121</v>
      </c>
      <c r="Q85" t="s">
        <v>122</v>
      </c>
      <c r="R85" t="s">
        <v>151</v>
      </c>
      <c r="S85" t="s">
        <v>551</v>
      </c>
      <c r="T85" t="s">
        <v>153</v>
      </c>
      <c r="U85" t="s">
        <v>154</v>
      </c>
      <c r="V85" t="str">
        <f>IFERROR(INDEX(Products!$C:$C,MATCH(D85,Products!$A:$A,0)),"Unknown")</f>
        <v>Footwear</v>
      </c>
      <c r="W85" t="str">
        <f>IFERROR(INDEX(Products!$E:$E,MATCH(D85,Products!$A:$A,0)),"Unknown")</f>
        <v>Joyalukkas</v>
      </c>
      <c r="X85" t="str">
        <f>IFERROR(INDEX(Stores!$B:$B,MATCH(E85,Stores!$A:$A,0)),"Unknown")</f>
        <v>TrendMart Kannur Standard</v>
      </c>
      <c r="Y85" t="str">
        <f>IFERROR(INDEX(Stores!$E:$E,MATCH(E85,Stores!$A:$A,0)),"Unknown")</f>
        <v>South Zone 1</v>
      </c>
      <c r="Z85" t="str">
        <f>IFERROR(INDEX(Customers!$J:$J,MATCH(C85,Customers!$A:$A,0)),"Unknown")</f>
        <v>Regular</v>
      </c>
      <c r="AA85" t="str">
        <f t="shared" si="1"/>
        <v>2024-11</v>
      </c>
      <c r="AB85" t="str">
        <f>IFERROR(INDEX(Products!$I:$I,MATCH(D85,Products!$A:$A,0)),"Unknown")</f>
        <v>SUP016</v>
      </c>
    </row>
    <row r="86" spans="1:28" x14ac:dyDescent="0.25">
      <c r="A86" t="s">
        <v>552</v>
      </c>
      <c r="B86" s="20">
        <v>45716</v>
      </c>
      <c r="C86" t="s">
        <v>553</v>
      </c>
      <c r="D86" t="s">
        <v>554</v>
      </c>
      <c r="E86" t="s">
        <v>262</v>
      </c>
      <c r="F86" t="s">
        <v>303</v>
      </c>
      <c r="G86">
        <v>1</v>
      </c>
      <c r="H86" s="21">
        <v>851.17</v>
      </c>
      <c r="I86">
        <v>0</v>
      </c>
      <c r="J86" s="21">
        <v>0</v>
      </c>
      <c r="K86">
        <v>5</v>
      </c>
      <c r="L86" s="21">
        <v>42.56</v>
      </c>
      <c r="M86" s="21">
        <v>893.73</v>
      </c>
      <c r="N86" s="21">
        <v>647.29999999999995</v>
      </c>
      <c r="O86" s="21">
        <v>203.87</v>
      </c>
      <c r="P86" t="s">
        <v>121</v>
      </c>
      <c r="Q86" t="s">
        <v>120</v>
      </c>
      <c r="R86" t="s">
        <v>151</v>
      </c>
      <c r="S86" t="s">
        <v>555</v>
      </c>
      <c r="T86" t="s">
        <v>153</v>
      </c>
      <c r="U86" t="s">
        <v>154</v>
      </c>
      <c r="V86" t="str">
        <f>IFERROR(INDEX(Products!$C:$C,MATCH(D86,Products!$A:$A,0)),"Unknown")</f>
        <v>Women Kurtis</v>
      </c>
      <c r="W86" t="str">
        <f>IFERROR(INDEX(Products!$E:$E,MATCH(D86,Products!$A:$A,0)),"Unknown")</f>
        <v>Fossil</v>
      </c>
      <c r="X86" t="str">
        <f>IFERROR(INDEX(Stores!$B:$B,MATCH(E86,Stores!$A:$A,0)),"Unknown")</f>
        <v>TrendMart Thoothukudi Outlet</v>
      </c>
      <c r="Y86" t="str">
        <f>IFERROR(INDEX(Stores!$E:$E,MATCH(E86,Stores!$A:$A,0)),"Unknown")</f>
        <v>South Zone 1</v>
      </c>
      <c r="Z86" t="str">
        <f>IFERROR(INDEX(Customers!$J:$J,MATCH(C86,Customers!$A:$A,0)),"Unknown")</f>
        <v>Silver</v>
      </c>
      <c r="AA86" t="str">
        <f t="shared" si="1"/>
        <v>2025-02</v>
      </c>
      <c r="AB86" t="str">
        <f>IFERROR(INDEX(Products!$I:$I,MATCH(D86,Products!$A:$A,0)),"Unknown")</f>
        <v>SUP018</v>
      </c>
    </row>
    <row r="87" spans="1:28" x14ac:dyDescent="0.25">
      <c r="A87" t="s">
        <v>556</v>
      </c>
      <c r="B87" s="20">
        <v>45580</v>
      </c>
      <c r="C87" t="s">
        <v>557</v>
      </c>
      <c r="D87" t="s">
        <v>558</v>
      </c>
      <c r="E87" t="s">
        <v>391</v>
      </c>
      <c r="F87" t="s">
        <v>408</v>
      </c>
      <c r="G87">
        <v>1</v>
      </c>
      <c r="H87" s="21">
        <v>656.95</v>
      </c>
      <c r="I87">
        <v>20</v>
      </c>
      <c r="J87" s="21">
        <v>131.38999999999999</v>
      </c>
      <c r="K87">
        <v>5</v>
      </c>
      <c r="L87" s="21">
        <v>26.28</v>
      </c>
      <c r="M87" s="21">
        <v>551.84</v>
      </c>
      <c r="N87" s="21">
        <v>457.16</v>
      </c>
      <c r="O87" s="21">
        <v>68.400000000000006</v>
      </c>
      <c r="P87" t="s">
        <v>125</v>
      </c>
      <c r="Q87" t="s">
        <v>120</v>
      </c>
      <c r="R87" t="s">
        <v>151</v>
      </c>
      <c r="S87" t="s">
        <v>559</v>
      </c>
      <c r="T87" t="s">
        <v>153</v>
      </c>
      <c r="U87" t="s">
        <v>154</v>
      </c>
      <c r="V87" t="str">
        <f>IFERROR(INDEX(Products!$C:$C,MATCH(D87,Products!$A:$A,0)),"Unknown")</f>
        <v>Women Tops</v>
      </c>
      <c r="W87" t="str">
        <f>IFERROR(INDEX(Products!$E:$E,MATCH(D87,Products!$A:$A,0)),"Unknown")</f>
        <v>Aurelia</v>
      </c>
      <c r="X87" t="str">
        <f>IFERROR(INDEX(Stores!$B:$B,MATCH(E87,Stores!$A:$A,0)),"Unknown")</f>
        <v>TrendMart Warangal High Street</v>
      </c>
      <c r="Y87" t="str">
        <f>IFERROR(INDEX(Stores!$E:$E,MATCH(E87,Stores!$A:$A,0)),"Unknown")</f>
        <v>South Zone 2</v>
      </c>
      <c r="Z87" t="str">
        <f>IFERROR(INDEX(Customers!$J:$J,MATCH(C87,Customers!$A:$A,0)),"Unknown")</f>
        <v>Regular</v>
      </c>
      <c r="AA87" t="str">
        <f t="shared" si="1"/>
        <v>2024-10</v>
      </c>
      <c r="AB87" t="str">
        <f>IFERROR(INDEX(Products!$I:$I,MATCH(D87,Products!$A:$A,0)),"Unknown")</f>
        <v>SUP055</v>
      </c>
    </row>
    <row r="88" spans="1:28" x14ac:dyDescent="0.25">
      <c r="A88" t="s">
        <v>560</v>
      </c>
      <c r="B88" s="20">
        <v>45460</v>
      </c>
      <c r="C88" t="s">
        <v>561</v>
      </c>
      <c r="D88" t="s">
        <v>407</v>
      </c>
      <c r="E88" t="s">
        <v>100</v>
      </c>
      <c r="F88" t="s">
        <v>263</v>
      </c>
      <c r="G88">
        <v>3</v>
      </c>
      <c r="H88" s="21">
        <v>1244.6500000000001</v>
      </c>
      <c r="I88">
        <v>10</v>
      </c>
      <c r="J88" s="21">
        <v>373.39</v>
      </c>
      <c r="K88">
        <v>12</v>
      </c>
      <c r="L88" s="21">
        <v>403.27</v>
      </c>
      <c r="M88" s="21">
        <v>3763.83</v>
      </c>
      <c r="N88" s="21">
        <v>2407.92</v>
      </c>
      <c r="O88" s="21">
        <v>952.64</v>
      </c>
      <c r="P88" t="s">
        <v>125</v>
      </c>
      <c r="Q88" t="s">
        <v>122</v>
      </c>
      <c r="R88" t="s">
        <v>151</v>
      </c>
      <c r="S88" t="s">
        <v>562</v>
      </c>
      <c r="T88" t="s">
        <v>153</v>
      </c>
      <c r="U88" t="s">
        <v>154</v>
      </c>
      <c r="V88" t="str">
        <f>IFERROR(INDEX(Products!$C:$C,MATCH(D88,Products!$A:$A,0)),"Unknown")</f>
        <v>Winter Wear</v>
      </c>
      <c r="W88" t="str">
        <f>IFERROR(INDEX(Products!$E:$E,MATCH(D88,Products!$A:$A,0)),"Unknown")</f>
        <v>Metro Shoes</v>
      </c>
      <c r="X88" t="str">
        <f>IFERROR(INDEX(Stores!$B:$B,MATCH(E88,Stores!$A:$A,0)),"Unknown")</f>
        <v>TrendMart Kurnool Standard</v>
      </c>
      <c r="Y88" t="str">
        <f>IFERROR(INDEX(Stores!$E:$E,MATCH(E88,Stores!$A:$A,0)),"Unknown")</f>
        <v>South Zone 3</v>
      </c>
      <c r="Z88" t="str">
        <f>IFERROR(INDEX(Customers!$J:$J,MATCH(C88,Customers!$A:$A,0)),"Unknown")</f>
        <v>Silver</v>
      </c>
      <c r="AA88" t="str">
        <f t="shared" si="1"/>
        <v>2024-06</v>
      </c>
      <c r="AB88" t="str">
        <f>IFERROR(INDEX(Products!$I:$I,MATCH(D88,Products!$A:$A,0)),"Unknown")</f>
        <v>SUP067</v>
      </c>
    </row>
    <row r="89" spans="1:28" x14ac:dyDescent="0.25">
      <c r="A89" t="s">
        <v>563</v>
      </c>
      <c r="B89" s="20">
        <v>45472</v>
      </c>
      <c r="C89" t="s">
        <v>564</v>
      </c>
      <c r="D89" t="s">
        <v>565</v>
      </c>
      <c r="E89" t="s">
        <v>416</v>
      </c>
      <c r="F89" t="s">
        <v>221</v>
      </c>
      <c r="G89">
        <v>1</v>
      </c>
      <c r="H89" s="21">
        <v>1858.09</v>
      </c>
      <c r="I89">
        <v>30</v>
      </c>
      <c r="J89" s="21">
        <v>557.42999999999995</v>
      </c>
      <c r="K89">
        <v>12</v>
      </c>
      <c r="L89" s="21">
        <v>156.08000000000001</v>
      </c>
      <c r="M89" s="21">
        <v>1456.74</v>
      </c>
      <c r="N89" s="21">
        <v>1169.46</v>
      </c>
      <c r="O89" s="21">
        <v>131.19999999999999</v>
      </c>
      <c r="P89" t="s">
        <v>124</v>
      </c>
      <c r="Q89" t="s">
        <v>122</v>
      </c>
      <c r="R89" t="s">
        <v>151</v>
      </c>
      <c r="S89" t="s">
        <v>566</v>
      </c>
      <c r="T89" t="s">
        <v>161</v>
      </c>
      <c r="U89" t="s">
        <v>154</v>
      </c>
      <c r="V89" t="str">
        <f>IFERROR(INDEX(Products!$C:$C,MATCH(D89,Products!$A:$A,0)),"Unknown")</f>
        <v>Winter Wear</v>
      </c>
      <c r="W89" t="str">
        <f>IFERROR(INDEX(Products!$E:$E,MATCH(D89,Products!$A:$A,0)),"Unknown")</f>
        <v>Numero Uno</v>
      </c>
      <c r="X89" t="str">
        <f>IFERROR(INDEX(Stores!$B:$B,MATCH(E89,Stores!$A:$A,0)),"Unknown")</f>
        <v>TrendMart Dindigul Standard</v>
      </c>
      <c r="Y89" t="str">
        <f>IFERROR(INDEX(Stores!$E:$E,MATCH(E89,Stores!$A:$A,0)),"Unknown")</f>
        <v>South Zone 1</v>
      </c>
      <c r="Z89" t="str">
        <f>IFERROR(INDEX(Customers!$J:$J,MATCH(C89,Customers!$A:$A,0)),"Unknown")</f>
        <v>Regular</v>
      </c>
      <c r="AA89" t="str">
        <f t="shared" si="1"/>
        <v>2024-06</v>
      </c>
      <c r="AB89" t="str">
        <f>IFERROR(INDEX(Products!$I:$I,MATCH(D89,Products!$A:$A,0)),"Unknown")</f>
        <v>SUP026</v>
      </c>
    </row>
    <row r="90" spans="1:28" x14ac:dyDescent="0.25">
      <c r="A90" t="s">
        <v>567</v>
      </c>
      <c r="B90" s="20">
        <v>45541</v>
      </c>
      <c r="C90" t="s">
        <v>568</v>
      </c>
      <c r="D90" t="s">
        <v>569</v>
      </c>
      <c r="E90" t="s">
        <v>84</v>
      </c>
      <c r="F90" t="s">
        <v>165</v>
      </c>
      <c r="G90">
        <v>3</v>
      </c>
      <c r="H90" s="21">
        <v>2407.06</v>
      </c>
      <c r="I90">
        <v>0</v>
      </c>
      <c r="J90" s="21">
        <v>0</v>
      </c>
      <c r="K90">
        <v>12</v>
      </c>
      <c r="L90" s="21">
        <v>866.54</v>
      </c>
      <c r="M90" s="21">
        <v>8087.72</v>
      </c>
      <c r="N90" s="21">
        <v>4782</v>
      </c>
      <c r="O90" s="21">
        <v>2439.1799999999998</v>
      </c>
      <c r="P90" t="s">
        <v>121</v>
      </c>
      <c r="Q90" t="s">
        <v>120</v>
      </c>
      <c r="R90" t="s">
        <v>151</v>
      </c>
      <c r="S90" t="s">
        <v>570</v>
      </c>
      <c r="T90" t="s">
        <v>153</v>
      </c>
      <c r="U90" t="s">
        <v>154</v>
      </c>
      <c r="V90" t="str">
        <f>IFERROR(INDEX(Products!$C:$C,MATCH(D90,Products!$A:$A,0)),"Unknown")</f>
        <v>Men Ethnic</v>
      </c>
      <c r="W90" t="str">
        <f>IFERROR(INDEX(Products!$E:$E,MATCH(D90,Products!$A:$A,0)),"Unknown")</f>
        <v>Fastrack</v>
      </c>
      <c r="X90" t="str">
        <f>IFERROR(INDEX(Stores!$B:$B,MATCH(E90,Stores!$A:$A,0)),"Unknown")</f>
        <v>TrendMart Tirupati Standard</v>
      </c>
      <c r="Y90" t="str">
        <f>IFERROR(INDEX(Stores!$E:$E,MATCH(E90,Stores!$A:$A,0)),"Unknown")</f>
        <v>South Zone 3</v>
      </c>
      <c r="Z90" t="str">
        <f>IFERROR(INDEX(Customers!$J:$J,MATCH(C90,Customers!$A:$A,0)),"Unknown")</f>
        <v>Regular</v>
      </c>
      <c r="AA90" t="str">
        <f t="shared" si="1"/>
        <v>2024-09</v>
      </c>
      <c r="AB90" t="str">
        <f>IFERROR(INDEX(Products!$I:$I,MATCH(D90,Products!$A:$A,0)),"Unknown")</f>
        <v>SUP014</v>
      </c>
    </row>
    <row r="91" spans="1:28" x14ac:dyDescent="0.25">
      <c r="A91" t="s">
        <v>571</v>
      </c>
      <c r="B91" s="20">
        <v>45547</v>
      </c>
      <c r="C91" t="s">
        <v>572</v>
      </c>
      <c r="D91" t="s">
        <v>573</v>
      </c>
      <c r="E91" t="s">
        <v>416</v>
      </c>
      <c r="F91" t="s">
        <v>574</v>
      </c>
      <c r="G91">
        <v>1</v>
      </c>
      <c r="H91" s="21">
        <v>1079.8900000000001</v>
      </c>
      <c r="I91">
        <v>25</v>
      </c>
      <c r="J91" s="21">
        <v>269.97000000000003</v>
      </c>
      <c r="K91">
        <v>12</v>
      </c>
      <c r="L91" s="21">
        <v>97.19</v>
      </c>
      <c r="M91" s="21">
        <v>907.11</v>
      </c>
      <c r="N91" s="21">
        <v>720.53</v>
      </c>
      <c r="O91" s="21">
        <v>89.39</v>
      </c>
      <c r="P91" t="s">
        <v>123</v>
      </c>
      <c r="Q91" t="s">
        <v>120</v>
      </c>
      <c r="R91" t="s">
        <v>151</v>
      </c>
      <c r="S91" t="s">
        <v>435</v>
      </c>
      <c r="T91" t="s">
        <v>153</v>
      </c>
      <c r="U91" t="s">
        <v>154</v>
      </c>
      <c r="V91" t="str">
        <f>IFERROR(INDEX(Products!$C:$C,MATCH(D91,Products!$A:$A,0)),"Unknown")</f>
        <v>Women Jeans</v>
      </c>
      <c r="W91" t="str">
        <f>IFERROR(INDEX(Products!$E:$E,MATCH(D91,Products!$A:$A,0)),"Unknown")</f>
        <v>Sonata</v>
      </c>
      <c r="X91" t="str">
        <f>IFERROR(INDEX(Stores!$B:$B,MATCH(E91,Stores!$A:$A,0)),"Unknown")</f>
        <v>TrendMart Dindigul Standard</v>
      </c>
      <c r="Y91" t="str">
        <f>IFERROR(INDEX(Stores!$E:$E,MATCH(E91,Stores!$A:$A,0)),"Unknown")</f>
        <v>South Zone 1</v>
      </c>
      <c r="Z91" t="str">
        <f>IFERROR(INDEX(Customers!$J:$J,MATCH(C91,Customers!$A:$A,0)),"Unknown")</f>
        <v>Regular</v>
      </c>
      <c r="AA91" t="str">
        <f t="shared" si="1"/>
        <v>2024-09</v>
      </c>
      <c r="AB91" t="str">
        <f>IFERROR(INDEX(Products!$I:$I,MATCH(D91,Products!$A:$A,0)),"Unknown")</f>
        <v>SUP017</v>
      </c>
    </row>
    <row r="92" spans="1:28" x14ac:dyDescent="0.25">
      <c r="A92" t="s">
        <v>575</v>
      </c>
      <c r="B92" s="20">
        <v>45584</v>
      </c>
      <c r="C92" t="s">
        <v>576</v>
      </c>
      <c r="D92" t="s">
        <v>577</v>
      </c>
      <c r="E92" t="s">
        <v>578</v>
      </c>
      <c r="F92" t="s">
        <v>579</v>
      </c>
      <c r="G92">
        <v>4</v>
      </c>
      <c r="H92" s="21">
        <v>1236.57</v>
      </c>
      <c r="I92">
        <v>10</v>
      </c>
      <c r="J92" s="21">
        <v>494.63</v>
      </c>
      <c r="K92">
        <v>12</v>
      </c>
      <c r="L92" s="21">
        <v>534.20000000000005</v>
      </c>
      <c r="M92" s="21">
        <v>4985.8500000000004</v>
      </c>
      <c r="N92" s="21">
        <v>3493.72</v>
      </c>
      <c r="O92" s="21">
        <v>957.93</v>
      </c>
      <c r="P92" t="s">
        <v>123</v>
      </c>
      <c r="Q92" t="s">
        <v>120</v>
      </c>
      <c r="R92" t="s">
        <v>151</v>
      </c>
      <c r="S92" t="s">
        <v>580</v>
      </c>
      <c r="T92" t="s">
        <v>161</v>
      </c>
      <c r="U92" t="s">
        <v>154</v>
      </c>
      <c r="V92" t="str">
        <f>IFERROR(INDEX(Products!$C:$C,MATCH(D92,Products!$A:$A,0)),"Unknown")</f>
        <v>Men Trousers</v>
      </c>
      <c r="W92" t="str">
        <f>IFERROR(INDEX(Products!$E:$E,MATCH(D92,Products!$A:$A,0)),"Unknown")</f>
        <v>Unknown</v>
      </c>
      <c r="X92" t="str">
        <f>IFERROR(INDEX(Stores!$B:$B,MATCH(E92,Stores!$A:$A,0)),"Unknown")</f>
        <v>TrendMart Vellore Standard</v>
      </c>
      <c r="Y92" t="str">
        <f>IFERROR(INDEX(Stores!$E:$E,MATCH(E92,Stores!$A:$A,0)),"Unknown")</f>
        <v>South Zone 1</v>
      </c>
      <c r="Z92" t="str">
        <f>IFERROR(INDEX(Customers!$J:$J,MATCH(C92,Customers!$A:$A,0)),"Unknown")</f>
        <v>Gold</v>
      </c>
      <c r="AA92" t="str">
        <f t="shared" si="1"/>
        <v>2024-10</v>
      </c>
      <c r="AB92" t="str">
        <f>IFERROR(INDEX(Products!$I:$I,MATCH(D92,Products!$A:$A,0)),"Unknown")</f>
        <v>SUP051</v>
      </c>
    </row>
    <row r="93" spans="1:28" x14ac:dyDescent="0.25">
      <c r="A93" t="s">
        <v>581</v>
      </c>
      <c r="B93" s="20">
        <v>45614</v>
      </c>
      <c r="C93" t="s">
        <v>582</v>
      </c>
      <c r="D93" t="s">
        <v>583</v>
      </c>
      <c r="E93" t="s">
        <v>241</v>
      </c>
      <c r="F93" t="s">
        <v>150</v>
      </c>
      <c r="G93">
        <v>1</v>
      </c>
      <c r="H93" s="21">
        <v>887.27</v>
      </c>
      <c r="I93">
        <v>15</v>
      </c>
      <c r="J93" s="21">
        <v>133.09</v>
      </c>
      <c r="K93">
        <v>5</v>
      </c>
      <c r="L93" s="21">
        <v>37.71</v>
      </c>
      <c r="M93" s="21">
        <v>791.89</v>
      </c>
      <c r="N93" s="21">
        <v>629.72</v>
      </c>
      <c r="O93" s="21">
        <v>124.46</v>
      </c>
      <c r="P93" t="s">
        <v>125</v>
      </c>
      <c r="Q93" t="s">
        <v>122</v>
      </c>
      <c r="R93" t="s">
        <v>151</v>
      </c>
      <c r="S93" t="s">
        <v>584</v>
      </c>
      <c r="T93" t="s">
        <v>153</v>
      </c>
      <c r="U93" t="s">
        <v>154</v>
      </c>
      <c r="V93" t="str">
        <f>IFERROR(INDEX(Products!$C:$C,MATCH(D93,Products!$A:$A,0)),"Unknown")</f>
        <v>Women Tops</v>
      </c>
      <c r="W93" t="str">
        <f>IFERROR(INDEX(Products!$E:$E,MATCH(D93,Products!$A:$A,0)),"Unknown")</f>
        <v>Ramraj Cotton</v>
      </c>
      <c r="X93" t="str">
        <f>IFERROR(INDEX(Stores!$B:$B,MATCH(E93,Stores!$A:$A,0)),"Unknown")</f>
        <v>TrendMart Nizamabad Mall Kiosk</v>
      </c>
      <c r="Y93" t="str">
        <f>IFERROR(INDEX(Stores!$E:$E,MATCH(E93,Stores!$A:$A,0)),"Unknown")</f>
        <v>South Zone 2</v>
      </c>
      <c r="Z93" t="str">
        <f>IFERROR(INDEX(Customers!$J:$J,MATCH(C93,Customers!$A:$A,0)),"Unknown")</f>
        <v>Silver</v>
      </c>
      <c r="AA93" t="str">
        <f t="shared" si="1"/>
        <v>2024-11</v>
      </c>
      <c r="AB93" t="str">
        <f>IFERROR(INDEX(Products!$I:$I,MATCH(D93,Products!$A:$A,0)),"Unknown")</f>
        <v>SUP048</v>
      </c>
    </row>
    <row r="94" spans="1:28" x14ac:dyDescent="0.25">
      <c r="A94" t="s">
        <v>585</v>
      </c>
      <c r="B94" s="20">
        <v>45585</v>
      </c>
      <c r="C94" t="s">
        <v>586</v>
      </c>
      <c r="D94" t="s">
        <v>587</v>
      </c>
      <c r="E94" t="s">
        <v>588</v>
      </c>
      <c r="F94" t="s">
        <v>211</v>
      </c>
      <c r="G94">
        <v>2</v>
      </c>
      <c r="H94" s="21">
        <v>3274</v>
      </c>
      <c r="I94">
        <v>10</v>
      </c>
      <c r="J94" s="21">
        <v>654.79999999999995</v>
      </c>
      <c r="K94">
        <v>12</v>
      </c>
      <c r="L94" s="21">
        <v>707.18</v>
      </c>
      <c r="M94" s="21">
        <v>6600.38</v>
      </c>
      <c r="N94" s="21">
        <v>4271.7</v>
      </c>
      <c r="O94" s="21">
        <v>1621.5</v>
      </c>
      <c r="P94" t="s">
        <v>123</v>
      </c>
      <c r="Q94" t="s">
        <v>120</v>
      </c>
      <c r="R94" t="s">
        <v>151</v>
      </c>
      <c r="S94" t="s">
        <v>589</v>
      </c>
      <c r="T94" t="s">
        <v>161</v>
      </c>
      <c r="U94" t="s">
        <v>154</v>
      </c>
      <c r="V94" t="str">
        <f>IFERROR(INDEX(Products!$C:$C,MATCH(D94,Products!$A:$A,0)),"Unknown")</f>
        <v>Handbags</v>
      </c>
      <c r="W94" t="str">
        <f>IFERROR(INDEX(Products!$E:$E,MATCH(D94,Products!$A:$A,0)),"Unknown")</f>
        <v>Tanishq</v>
      </c>
      <c r="X94" t="str">
        <f>IFERROR(INDEX(Stores!$B:$B,MATCH(E94,Stores!$A:$A,0)),"Unknown")</f>
        <v>TrendMart Nizamabad Standard</v>
      </c>
      <c r="Y94" t="str">
        <f>IFERROR(INDEX(Stores!$E:$E,MATCH(E94,Stores!$A:$A,0)),"Unknown")</f>
        <v>South Zone 2</v>
      </c>
      <c r="Z94" t="str">
        <f>IFERROR(INDEX(Customers!$J:$J,MATCH(C94,Customers!$A:$A,0)),"Unknown")</f>
        <v>Gold</v>
      </c>
      <c r="AA94" t="str">
        <f t="shared" si="1"/>
        <v>2024-10</v>
      </c>
      <c r="AB94" t="str">
        <f>IFERROR(INDEX(Products!$I:$I,MATCH(D94,Products!$A:$A,0)),"Unknown")</f>
        <v>SUP029</v>
      </c>
    </row>
    <row r="95" spans="1:28" x14ac:dyDescent="0.25">
      <c r="A95" t="s">
        <v>590</v>
      </c>
      <c r="B95" s="20">
        <v>45553</v>
      </c>
      <c r="C95" t="s">
        <v>591</v>
      </c>
      <c r="D95" t="s">
        <v>273</v>
      </c>
      <c r="E95" t="s">
        <v>537</v>
      </c>
      <c r="F95" t="s">
        <v>258</v>
      </c>
      <c r="G95">
        <v>3</v>
      </c>
      <c r="H95" s="21">
        <v>1327.97</v>
      </c>
      <c r="I95">
        <v>0</v>
      </c>
      <c r="J95" s="21">
        <v>0</v>
      </c>
      <c r="K95">
        <v>12</v>
      </c>
      <c r="L95" s="21">
        <v>478.07</v>
      </c>
      <c r="M95" s="21">
        <v>4461.9799999999996</v>
      </c>
      <c r="N95" s="21">
        <v>2630.76</v>
      </c>
      <c r="O95" s="21">
        <v>1353.15</v>
      </c>
      <c r="P95" t="s">
        <v>121</v>
      </c>
      <c r="Q95" t="s">
        <v>122</v>
      </c>
      <c r="R95" t="s">
        <v>151</v>
      </c>
      <c r="S95" t="s">
        <v>592</v>
      </c>
      <c r="T95" t="s">
        <v>153</v>
      </c>
      <c r="U95" t="s">
        <v>154</v>
      </c>
      <c r="V95" t="str">
        <f>IFERROR(INDEX(Products!$C:$C,MATCH(D95,Products!$A:$A,0)),"Unknown")</f>
        <v>Women Kurtis</v>
      </c>
      <c r="W95" t="str">
        <f>IFERROR(INDEX(Products!$E:$E,MATCH(D95,Products!$A:$A,0)),"Unknown")</f>
        <v>Indian Terrain</v>
      </c>
      <c r="X95" t="str">
        <f>IFERROR(INDEX(Stores!$B:$B,MATCH(E95,Stores!$A:$A,0)),"Unknown")</f>
        <v>TrendMart Thrissur High Street</v>
      </c>
      <c r="Y95" t="str">
        <f>IFERROR(INDEX(Stores!$E:$E,MATCH(E95,Stores!$A:$A,0)),"Unknown")</f>
        <v>South Zone 1</v>
      </c>
      <c r="Z95" t="str">
        <f>IFERROR(INDEX(Customers!$J:$J,MATCH(C95,Customers!$A:$A,0)),"Unknown")</f>
        <v>Gold</v>
      </c>
      <c r="AA95" t="str">
        <f t="shared" si="1"/>
        <v>2024-09</v>
      </c>
      <c r="AB95" t="str">
        <f>IFERROR(INDEX(Products!$I:$I,MATCH(D95,Products!$A:$A,0)),"Unknown")</f>
        <v>SUP006</v>
      </c>
    </row>
    <row r="96" spans="1:28" x14ac:dyDescent="0.25">
      <c r="A96" t="s">
        <v>593</v>
      </c>
      <c r="B96" s="20">
        <v>45742</v>
      </c>
      <c r="C96" t="s">
        <v>594</v>
      </c>
      <c r="D96" t="s">
        <v>595</v>
      </c>
      <c r="E96" t="s">
        <v>84</v>
      </c>
      <c r="F96" t="s">
        <v>596</v>
      </c>
      <c r="G96">
        <v>4</v>
      </c>
      <c r="H96" s="21">
        <v>824.19</v>
      </c>
      <c r="I96">
        <v>30</v>
      </c>
      <c r="J96" s="21">
        <v>989.03</v>
      </c>
      <c r="K96">
        <v>5</v>
      </c>
      <c r="L96" s="21">
        <v>115.39</v>
      </c>
      <c r="M96" s="21">
        <v>2423.12</v>
      </c>
      <c r="N96" s="21">
        <v>2361.92</v>
      </c>
      <c r="O96" s="21">
        <v>-54.19</v>
      </c>
      <c r="P96" t="s">
        <v>125</v>
      </c>
      <c r="Q96" t="s">
        <v>120</v>
      </c>
      <c r="R96" t="s">
        <v>151</v>
      </c>
      <c r="S96" t="s">
        <v>597</v>
      </c>
      <c r="T96" t="s">
        <v>153</v>
      </c>
      <c r="U96" t="s">
        <v>184</v>
      </c>
      <c r="V96" t="str">
        <f>IFERROR(INDEX(Products!$C:$C,MATCH(D96,Products!$A:$A,0)),"Unknown")</f>
        <v>Men Shirts</v>
      </c>
      <c r="W96" t="str">
        <f>IFERROR(INDEX(Products!$E:$E,MATCH(D96,Products!$A:$A,0)),"Unknown")</f>
        <v>Nalli Silks</v>
      </c>
      <c r="X96" t="str">
        <f>IFERROR(INDEX(Stores!$B:$B,MATCH(E96,Stores!$A:$A,0)),"Unknown")</f>
        <v>TrendMart Tirupati Standard</v>
      </c>
      <c r="Y96" t="str">
        <f>IFERROR(INDEX(Stores!$E:$E,MATCH(E96,Stores!$A:$A,0)),"Unknown")</f>
        <v>South Zone 3</v>
      </c>
      <c r="Z96" t="str">
        <f>IFERROR(INDEX(Customers!$J:$J,MATCH(C96,Customers!$A:$A,0)),"Unknown")</f>
        <v>Silver</v>
      </c>
      <c r="AA96" t="str">
        <f t="shared" si="1"/>
        <v>2025-03</v>
      </c>
      <c r="AB96" t="str">
        <f>IFERROR(INDEX(Products!$I:$I,MATCH(D96,Products!$A:$A,0)),"Unknown")</f>
        <v>SUP055</v>
      </c>
    </row>
    <row r="97" spans="1:28" x14ac:dyDescent="0.25">
      <c r="A97" t="s">
        <v>598</v>
      </c>
      <c r="B97" s="20">
        <v>45570</v>
      </c>
      <c r="C97" t="s">
        <v>380</v>
      </c>
      <c r="D97" t="s">
        <v>599</v>
      </c>
      <c r="E97" t="s">
        <v>262</v>
      </c>
      <c r="F97" t="s">
        <v>292</v>
      </c>
      <c r="G97">
        <v>1</v>
      </c>
      <c r="H97" s="21">
        <v>1003.64</v>
      </c>
      <c r="I97">
        <v>5</v>
      </c>
      <c r="J97" s="21">
        <v>50.18</v>
      </c>
      <c r="K97">
        <v>12</v>
      </c>
      <c r="L97" s="21">
        <v>114.42</v>
      </c>
      <c r="M97" s="21">
        <v>1067.8800000000001</v>
      </c>
      <c r="N97" s="21">
        <v>645.59</v>
      </c>
      <c r="O97" s="21">
        <v>307.87</v>
      </c>
      <c r="P97" t="s">
        <v>121</v>
      </c>
      <c r="Q97" t="s">
        <v>122</v>
      </c>
      <c r="R97" t="s">
        <v>151</v>
      </c>
      <c r="S97" t="s">
        <v>600</v>
      </c>
      <c r="T97" t="s">
        <v>161</v>
      </c>
      <c r="U97" t="s">
        <v>154</v>
      </c>
      <c r="V97" t="str">
        <f>IFERROR(INDEX(Products!$C:$C,MATCH(D97,Products!$A:$A,0)),"Unknown")</f>
        <v>Men Shirts</v>
      </c>
      <c r="W97" t="str">
        <f>IFERROR(INDEX(Products!$E:$E,MATCH(D97,Products!$A:$A,0)),"Unknown")</f>
        <v>Van Heusen</v>
      </c>
      <c r="X97" t="str">
        <f>IFERROR(INDEX(Stores!$B:$B,MATCH(E97,Stores!$A:$A,0)),"Unknown")</f>
        <v>TrendMart Thoothukudi Outlet</v>
      </c>
      <c r="Y97" t="str">
        <f>IFERROR(INDEX(Stores!$E:$E,MATCH(E97,Stores!$A:$A,0)),"Unknown")</f>
        <v>South Zone 1</v>
      </c>
      <c r="Z97" t="str">
        <f>IFERROR(INDEX(Customers!$J:$J,MATCH(C97,Customers!$A:$A,0)),"Unknown")</f>
        <v>Regular</v>
      </c>
      <c r="AA97" t="str">
        <f t="shared" si="1"/>
        <v>2024-10</v>
      </c>
      <c r="AB97" t="str">
        <f>IFERROR(INDEX(Products!$I:$I,MATCH(D97,Products!$A:$A,0)),"Unknown")</f>
        <v>SUP084</v>
      </c>
    </row>
    <row r="98" spans="1:28" x14ac:dyDescent="0.25">
      <c r="A98" t="s">
        <v>601</v>
      </c>
      <c r="B98" s="20">
        <v>45594</v>
      </c>
      <c r="C98" t="s">
        <v>602</v>
      </c>
      <c r="D98" t="s">
        <v>273</v>
      </c>
      <c r="E98" t="s">
        <v>318</v>
      </c>
      <c r="F98" t="s">
        <v>297</v>
      </c>
      <c r="G98">
        <v>1</v>
      </c>
      <c r="H98" s="21">
        <v>1283.27</v>
      </c>
      <c r="I98">
        <v>10</v>
      </c>
      <c r="J98" s="21">
        <v>128.33000000000001</v>
      </c>
      <c r="K98">
        <v>12</v>
      </c>
      <c r="L98" s="21">
        <v>138.59</v>
      </c>
      <c r="M98" s="21">
        <v>1293.53</v>
      </c>
      <c r="N98" s="21">
        <v>876.92</v>
      </c>
      <c r="O98" s="21">
        <v>278.02</v>
      </c>
      <c r="P98" t="s">
        <v>123</v>
      </c>
      <c r="Q98" t="s">
        <v>120</v>
      </c>
      <c r="R98" t="s">
        <v>151</v>
      </c>
      <c r="S98" t="s">
        <v>603</v>
      </c>
      <c r="T98" t="s">
        <v>153</v>
      </c>
      <c r="U98" t="s">
        <v>154</v>
      </c>
      <c r="V98" t="str">
        <f>IFERROR(INDEX(Products!$C:$C,MATCH(D98,Products!$A:$A,0)),"Unknown")</f>
        <v>Women Kurtis</v>
      </c>
      <c r="W98" t="str">
        <f>IFERROR(INDEX(Products!$E:$E,MATCH(D98,Products!$A:$A,0)),"Unknown")</f>
        <v>Indian Terrain</v>
      </c>
      <c r="X98" t="str">
        <f>IFERROR(INDEX(Stores!$B:$B,MATCH(E98,Stores!$A:$A,0)),"Unknown")</f>
        <v>TrendMart Guntur Outlet</v>
      </c>
      <c r="Y98" t="str">
        <f>IFERROR(INDEX(Stores!$E:$E,MATCH(E98,Stores!$A:$A,0)),"Unknown")</f>
        <v>South Zone 3</v>
      </c>
      <c r="Z98" t="str">
        <f>IFERROR(INDEX(Customers!$J:$J,MATCH(C98,Customers!$A:$A,0)),"Unknown")</f>
        <v>Gold</v>
      </c>
      <c r="AA98" t="str">
        <f t="shared" si="1"/>
        <v>2024-10</v>
      </c>
      <c r="AB98" t="str">
        <f>IFERROR(INDEX(Products!$I:$I,MATCH(D98,Products!$A:$A,0)),"Unknown")</f>
        <v>SUP006</v>
      </c>
    </row>
    <row r="99" spans="1:28" x14ac:dyDescent="0.25">
      <c r="A99" t="s">
        <v>604</v>
      </c>
      <c r="B99" s="20">
        <v>45593</v>
      </c>
      <c r="C99" t="s">
        <v>605</v>
      </c>
      <c r="D99" t="s">
        <v>606</v>
      </c>
      <c r="E99" t="s">
        <v>607</v>
      </c>
      <c r="F99" t="s">
        <v>201</v>
      </c>
      <c r="G99">
        <v>1</v>
      </c>
      <c r="H99" s="21">
        <v>1597.76</v>
      </c>
      <c r="I99">
        <v>0</v>
      </c>
      <c r="J99" s="21">
        <v>0</v>
      </c>
      <c r="K99">
        <v>12</v>
      </c>
      <c r="L99" s="21">
        <v>191.73</v>
      </c>
      <c r="M99" s="21">
        <v>1789.49</v>
      </c>
      <c r="N99" s="21">
        <v>1004.94</v>
      </c>
      <c r="O99" s="21">
        <v>592.82000000000005</v>
      </c>
      <c r="P99" t="s">
        <v>125</v>
      </c>
      <c r="Q99" t="s">
        <v>120</v>
      </c>
      <c r="R99" t="s">
        <v>151</v>
      </c>
      <c r="S99" t="s">
        <v>282</v>
      </c>
      <c r="T99" t="s">
        <v>153</v>
      </c>
      <c r="U99" t="s">
        <v>154</v>
      </c>
      <c r="V99" t="str">
        <f>IFERROR(INDEX(Products!$C:$C,MATCH(D99,Products!$A:$A,0)),"Unknown")</f>
        <v>Sportswear</v>
      </c>
      <c r="W99" t="str">
        <f>IFERROR(INDEX(Products!$E:$E,MATCH(D99,Products!$A:$A,0)),"Unknown")</f>
        <v>Fossil</v>
      </c>
      <c r="X99" t="str">
        <f>IFERROR(INDEX(Stores!$B:$B,MATCH(E99,Stores!$A:$A,0)),"Unknown")</f>
        <v>TrendMart Thiruvananthapuram Standard</v>
      </c>
      <c r="Y99" t="str">
        <f>IFERROR(INDEX(Stores!$E:$E,MATCH(E99,Stores!$A:$A,0)),"Unknown")</f>
        <v>South Zone 1</v>
      </c>
      <c r="Z99" t="str">
        <f>IFERROR(INDEX(Customers!$J:$J,MATCH(C99,Customers!$A:$A,0)),"Unknown")</f>
        <v>Regular</v>
      </c>
      <c r="AA99" t="str">
        <f t="shared" si="1"/>
        <v>2024-10</v>
      </c>
      <c r="AB99" t="str">
        <f>IFERROR(INDEX(Products!$I:$I,MATCH(D99,Products!$A:$A,0)),"Unknown")</f>
        <v>SUP049</v>
      </c>
    </row>
    <row r="100" spans="1:28" x14ac:dyDescent="0.25">
      <c r="A100" t="s">
        <v>608</v>
      </c>
      <c r="B100" s="20">
        <v>45423</v>
      </c>
      <c r="C100" t="s">
        <v>544</v>
      </c>
      <c r="D100" t="s">
        <v>157</v>
      </c>
      <c r="E100" t="s">
        <v>541</v>
      </c>
      <c r="F100" t="s">
        <v>159</v>
      </c>
      <c r="G100">
        <v>1</v>
      </c>
      <c r="H100" s="21">
        <v>851.36</v>
      </c>
      <c r="I100">
        <v>10</v>
      </c>
      <c r="J100" s="21">
        <v>85.14</v>
      </c>
      <c r="K100">
        <v>5</v>
      </c>
      <c r="L100" s="21">
        <v>38.31</v>
      </c>
      <c r="M100" s="21">
        <v>804.53</v>
      </c>
      <c r="N100" s="21">
        <v>492.11</v>
      </c>
      <c r="O100" s="21">
        <v>274.11</v>
      </c>
      <c r="P100" t="s">
        <v>121</v>
      </c>
      <c r="Q100" t="s">
        <v>120</v>
      </c>
      <c r="R100" t="s">
        <v>151</v>
      </c>
      <c r="S100" t="s">
        <v>609</v>
      </c>
      <c r="T100" t="s">
        <v>161</v>
      </c>
      <c r="U100" t="s">
        <v>154</v>
      </c>
      <c r="V100" t="str">
        <f>IFERROR(INDEX(Products!$C:$C,MATCH(D100,Products!$A:$A,0)),"Unknown")</f>
        <v>Men T-Shirts</v>
      </c>
      <c r="W100" t="str">
        <f>IFERROR(INDEX(Products!$E:$E,MATCH(D100,Products!$A:$A,0)),"Unknown")</f>
        <v>Reebok</v>
      </c>
      <c r="X100" t="str">
        <f>IFERROR(INDEX(Stores!$B:$B,MATCH(E100,Stores!$A:$A,0)),"Unknown")</f>
        <v>TrendMart Kochi Standard</v>
      </c>
      <c r="Y100" t="str">
        <f>IFERROR(INDEX(Stores!$E:$E,MATCH(E100,Stores!$A:$A,0)),"Unknown")</f>
        <v>South Zone 1</v>
      </c>
      <c r="Z100" t="str">
        <f>IFERROR(INDEX(Customers!$J:$J,MATCH(C100,Customers!$A:$A,0)),"Unknown")</f>
        <v>Platinum</v>
      </c>
      <c r="AA100" t="str">
        <f t="shared" si="1"/>
        <v>2024-05</v>
      </c>
      <c r="AB100" t="str">
        <f>IFERROR(INDEX(Products!$I:$I,MATCH(D100,Products!$A:$A,0)),"Unknown")</f>
        <v>SUP073</v>
      </c>
    </row>
    <row r="101" spans="1:28" x14ac:dyDescent="0.25">
      <c r="A101" t="s">
        <v>610</v>
      </c>
      <c r="B101" s="20">
        <v>45552</v>
      </c>
      <c r="C101" t="s">
        <v>611</v>
      </c>
      <c r="D101" t="s">
        <v>612</v>
      </c>
      <c r="E101" t="s">
        <v>613</v>
      </c>
      <c r="F101" t="s">
        <v>579</v>
      </c>
      <c r="G101">
        <v>4</v>
      </c>
      <c r="H101" s="21">
        <v>628.30999999999995</v>
      </c>
      <c r="I101">
        <v>5</v>
      </c>
      <c r="J101" s="21">
        <v>125.66</v>
      </c>
      <c r="K101">
        <v>5</v>
      </c>
      <c r="L101" s="21">
        <v>119.38</v>
      </c>
      <c r="M101" s="21">
        <v>2506.96</v>
      </c>
      <c r="N101" s="21">
        <v>1476</v>
      </c>
      <c r="O101" s="21">
        <v>911.58</v>
      </c>
      <c r="P101" t="s">
        <v>121</v>
      </c>
      <c r="Q101" t="s">
        <v>120</v>
      </c>
      <c r="R101" t="s">
        <v>151</v>
      </c>
      <c r="S101" t="s">
        <v>614</v>
      </c>
      <c r="T101" t="s">
        <v>153</v>
      </c>
      <c r="U101" t="s">
        <v>154</v>
      </c>
      <c r="V101" t="str">
        <f>IFERROR(INDEX(Products!$C:$C,MATCH(D101,Products!$A:$A,0)),"Unknown")</f>
        <v>Men T-Shirts</v>
      </c>
      <c r="W101" t="str">
        <f>IFERROR(INDEX(Products!$E:$E,MATCH(D101,Products!$A:$A,0)),"Unknown")</f>
        <v>Killer Jeans</v>
      </c>
      <c r="X101" t="str">
        <f>IFERROR(INDEX(Stores!$B:$B,MATCH(E101,Stores!$A:$A,0)),"Unknown")</f>
        <v>TrendMart Kochi Mall Kiosk</v>
      </c>
      <c r="Y101" t="str">
        <f>IFERROR(INDEX(Stores!$E:$E,MATCH(E101,Stores!$A:$A,0)),"Unknown")</f>
        <v>South Zone 1</v>
      </c>
      <c r="Z101" t="str">
        <f>IFERROR(INDEX(Customers!$J:$J,MATCH(C101,Customers!$A:$A,0)),"Unknown")</f>
        <v>Regular</v>
      </c>
      <c r="AA101" t="str">
        <f t="shared" si="1"/>
        <v>2024-09</v>
      </c>
      <c r="AB101" t="str">
        <f>IFERROR(INDEX(Products!$I:$I,MATCH(D101,Products!$A:$A,0)),"Unknown")</f>
        <v>SUP056</v>
      </c>
    </row>
    <row r="102" spans="1:28" x14ac:dyDescent="0.25">
      <c r="A102" t="s">
        <v>615</v>
      </c>
      <c r="B102" s="20">
        <v>45550</v>
      </c>
      <c r="C102" t="s">
        <v>616</v>
      </c>
      <c r="D102" t="s">
        <v>285</v>
      </c>
      <c r="E102" t="s">
        <v>617</v>
      </c>
      <c r="F102" t="s">
        <v>618</v>
      </c>
      <c r="G102">
        <v>2</v>
      </c>
      <c r="H102" s="21">
        <v>775.64</v>
      </c>
      <c r="I102">
        <v>25</v>
      </c>
      <c r="J102" s="21">
        <v>387.82</v>
      </c>
      <c r="K102">
        <v>5</v>
      </c>
      <c r="L102" s="21">
        <v>58.17</v>
      </c>
      <c r="M102" s="21">
        <v>1221.6300000000001</v>
      </c>
      <c r="N102" s="21">
        <v>998.62</v>
      </c>
      <c r="O102" s="21">
        <v>164.84</v>
      </c>
      <c r="P102" t="s">
        <v>124</v>
      </c>
      <c r="Q102" t="s">
        <v>120</v>
      </c>
      <c r="R102" t="s">
        <v>151</v>
      </c>
      <c r="S102" t="s">
        <v>619</v>
      </c>
      <c r="T102" t="s">
        <v>161</v>
      </c>
      <c r="U102" t="s">
        <v>154</v>
      </c>
      <c r="V102" t="str">
        <f>IFERROR(INDEX(Products!$C:$C,MATCH(D102,Products!$A:$A,0)),"Unknown")</f>
        <v>Kids Wear</v>
      </c>
      <c r="W102" t="str">
        <f>IFERROR(INDEX(Products!$E:$E,MATCH(D102,Products!$A:$A,0)),"Unknown")</f>
        <v>Global Desi</v>
      </c>
      <c r="X102" t="str">
        <f>IFERROR(INDEX(Stores!$B:$B,MATCH(E102,Stores!$A:$A,0)),"Unknown")</f>
        <v>TrendMart Mangaluru High Street</v>
      </c>
      <c r="Y102" t="str">
        <f>IFERROR(INDEX(Stores!$E:$E,MATCH(E102,Stores!$A:$A,0)),"Unknown")</f>
        <v>South Zone 2</v>
      </c>
      <c r="Z102" t="str">
        <f>IFERROR(INDEX(Customers!$J:$J,MATCH(C102,Customers!$A:$A,0)),"Unknown")</f>
        <v>Silver</v>
      </c>
      <c r="AA102" t="str">
        <f t="shared" si="1"/>
        <v>2024-09</v>
      </c>
      <c r="AB102" t="str">
        <f>IFERROR(INDEX(Products!$I:$I,MATCH(D102,Products!$A:$A,0)),"Unknown")</f>
        <v>SUP008</v>
      </c>
    </row>
    <row r="103" spans="1:28" x14ac:dyDescent="0.25">
      <c r="A103" t="s">
        <v>620</v>
      </c>
      <c r="B103" s="20">
        <v>45529</v>
      </c>
      <c r="C103" t="s">
        <v>621</v>
      </c>
      <c r="D103" t="s">
        <v>622</v>
      </c>
      <c r="E103" t="s">
        <v>89</v>
      </c>
      <c r="F103" t="s">
        <v>275</v>
      </c>
      <c r="G103">
        <v>1</v>
      </c>
      <c r="H103" s="21">
        <v>3100.55</v>
      </c>
      <c r="I103">
        <v>20</v>
      </c>
      <c r="J103" s="21">
        <v>620.11</v>
      </c>
      <c r="K103">
        <v>12</v>
      </c>
      <c r="L103" s="21">
        <v>297.64999999999998</v>
      </c>
      <c r="M103" s="21">
        <v>2778.09</v>
      </c>
      <c r="N103" s="21">
        <v>1853.14</v>
      </c>
      <c r="O103" s="21">
        <v>627.29999999999995</v>
      </c>
      <c r="P103" t="s">
        <v>121</v>
      </c>
      <c r="Q103" t="s">
        <v>120</v>
      </c>
      <c r="R103" t="s">
        <v>151</v>
      </c>
      <c r="S103" t="s">
        <v>623</v>
      </c>
      <c r="T103" t="s">
        <v>161</v>
      </c>
      <c r="U103" t="s">
        <v>154</v>
      </c>
      <c r="V103" t="str">
        <f>IFERROR(INDEX(Products!$C:$C,MATCH(D103,Products!$A:$A,0)),"Unknown")</f>
        <v>Women Sarees</v>
      </c>
      <c r="W103" t="str">
        <f>IFERROR(INDEX(Products!$E:$E,MATCH(D103,Products!$A:$A,0)),"Unknown")</f>
        <v>Sparx</v>
      </c>
      <c r="X103" t="str">
        <f>IFERROR(INDEX(Stores!$B:$B,MATCH(E103,Stores!$A:$A,0)),"Unknown")</f>
        <v>TrendMart Kochi Standard</v>
      </c>
      <c r="Y103" t="str">
        <f>IFERROR(INDEX(Stores!$E:$E,MATCH(E103,Stores!$A:$A,0)),"Unknown")</f>
        <v>South Zone 1</v>
      </c>
      <c r="Z103" t="str">
        <f>IFERROR(INDEX(Customers!$J:$J,MATCH(C103,Customers!$A:$A,0)),"Unknown")</f>
        <v>Gold</v>
      </c>
      <c r="AA103" t="str">
        <f t="shared" si="1"/>
        <v>2024-08</v>
      </c>
      <c r="AB103" t="str">
        <f>IFERROR(INDEX(Products!$I:$I,MATCH(D103,Products!$A:$A,0)),"Unknown")</f>
        <v>SUP080</v>
      </c>
    </row>
    <row r="104" spans="1:28" x14ac:dyDescent="0.25">
      <c r="A104" t="s">
        <v>624</v>
      </c>
      <c r="B104" s="20">
        <v>45540</v>
      </c>
      <c r="C104" t="s">
        <v>625</v>
      </c>
      <c r="D104" t="s">
        <v>583</v>
      </c>
      <c r="E104" t="s">
        <v>82</v>
      </c>
      <c r="F104" t="s">
        <v>159</v>
      </c>
      <c r="G104">
        <v>2</v>
      </c>
      <c r="H104" s="21">
        <v>869.28</v>
      </c>
      <c r="I104">
        <v>25</v>
      </c>
      <c r="J104" s="21">
        <v>434.64</v>
      </c>
      <c r="K104">
        <v>5</v>
      </c>
      <c r="L104" s="21">
        <v>65.2</v>
      </c>
      <c r="M104" s="21">
        <v>1369.12</v>
      </c>
      <c r="N104" s="21">
        <v>1259.44</v>
      </c>
      <c r="O104" s="21">
        <v>44.48</v>
      </c>
      <c r="P104" t="s">
        <v>121</v>
      </c>
      <c r="Q104" t="s">
        <v>120</v>
      </c>
      <c r="R104" t="s">
        <v>151</v>
      </c>
      <c r="S104" t="s">
        <v>626</v>
      </c>
      <c r="T104" t="s">
        <v>153</v>
      </c>
      <c r="U104" t="s">
        <v>154</v>
      </c>
      <c r="V104" t="str">
        <f>IFERROR(INDEX(Products!$C:$C,MATCH(D104,Products!$A:$A,0)),"Unknown")</f>
        <v>Women Tops</v>
      </c>
      <c r="W104" t="str">
        <f>IFERROR(INDEX(Products!$E:$E,MATCH(D104,Products!$A:$A,0)),"Unknown")</f>
        <v>Ramraj Cotton</v>
      </c>
      <c r="X104" t="str">
        <f>IFERROR(INDEX(Stores!$B:$B,MATCH(E104,Stores!$A:$A,0)),"Unknown")</f>
        <v>TrendMart Kochi High Street</v>
      </c>
      <c r="Y104" t="str">
        <f>IFERROR(INDEX(Stores!$E:$E,MATCH(E104,Stores!$A:$A,0)),"Unknown")</f>
        <v>South Zone 1</v>
      </c>
      <c r="Z104" t="str">
        <f>IFERROR(INDEX(Customers!$J:$J,MATCH(C104,Customers!$A:$A,0)),"Unknown")</f>
        <v>Silver</v>
      </c>
      <c r="AA104" t="str">
        <f t="shared" si="1"/>
        <v>2024-09</v>
      </c>
      <c r="AB104" t="str">
        <f>IFERROR(INDEX(Products!$I:$I,MATCH(D104,Products!$A:$A,0)),"Unknown")</f>
        <v>SUP048</v>
      </c>
    </row>
    <row r="105" spans="1:28" x14ac:dyDescent="0.25">
      <c r="A105" t="s">
        <v>627</v>
      </c>
      <c r="B105" s="20">
        <v>45539</v>
      </c>
      <c r="C105" t="s">
        <v>628</v>
      </c>
      <c r="D105" t="s">
        <v>629</v>
      </c>
      <c r="E105" t="s">
        <v>630</v>
      </c>
      <c r="F105" t="s">
        <v>532</v>
      </c>
      <c r="G105">
        <v>1</v>
      </c>
      <c r="H105" s="21">
        <v>6789.04</v>
      </c>
      <c r="I105">
        <v>30</v>
      </c>
      <c r="J105" s="21">
        <v>2036.71</v>
      </c>
      <c r="K105">
        <v>3</v>
      </c>
      <c r="L105" s="21">
        <v>142.57</v>
      </c>
      <c r="M105" s="21">
        <v>4894.8999999999996</v>
      </c>
      <c r="N105" s="21">
        <v>4867.21</v>
      </c>
      <c r="O105" s="21">
        <v>-114.88</v>
      </c>
      <c r="P105" t="s">
        <v>121</v>
      </c>
      <c r="Q105" t="s">
        <v>120</v>
      </c>
      <c r="R105" t="s">
        <v>151</v>
      </c>
      <c r="S105" t="s">
        <v>631</v>
      </c>
      <c r="T105" t="s">
        <v>153</v>
      </c>
      <c r="U105" t="s">
        <v>184</v>
      </c>
      <c r="V105" t="str">
        <f>IFERROR(INDEX(Products!$C:$C,MATCH(D105,Products!$A:$A,0)),"Unknown")</f>
        <v>Jewellery</v>
      </c>
      <c r="W105" t="str">
        <f>IFERROR(INDEX(Products!$E:$E,MATCH(D105,Products!$A:$A,0)),"Unknown")</f>
        <v>Global Desi</v>
      </c>
      <c r="X105" t="str">
        <f>IFERROR(INDEX(Stores!$B:$B,MATCH(E105,Stores!$A:$A,0)),"Unknown")</f>
        <v>TrendMart Guntur Standard</v>
      </c>
      <c r="Y105" t="str">
        <f>IFERROR(INDEX(Stores!$E:$E,MATCH(E105,Stores!$A:$A,0)),"Unknown")</f>
        <v>South Zone 3</v>
      </c>
      <c r="Z105" t="str">
        <f>IFERROR(INDEX(Customers!$J:$J,MATCH(C105,Customers!$A:$A,0)),"Unknown")</f>
        <v>Silver</v>
      </c>
      <c r="AA105" t="str">
        <f t="shared" si="1"/>
        <v>2024-09</v>
      </c>
      <c r="AB105" t="str">
        <f>IFERROR(INDEX(Products!$I:$I,MATCH(D105,Products!$A:$A,0)),"Unknown")</f>
        <v>SUP066</v>
      </c>
    </row>
    <row r="106" spans="1:28" x14ac:dyDescent="0.25">
      <c r="A106" t="s">
        <v>632</v>
      </c>
      <c r="B106" s="20">
        <v>45634</v>
      </c>
      <c r="C106" t="s">
        <v>295</v>
      </c>
      <c r="D106" t="s">
        <v>633</v>
      </c>
      <c r="E106" t="s">
        <v>634</v>
      </c>
      <c r="F106" t="s">
        <v>253</v>
      </c>
      <c r="G106">
        <v>3</v>
      </c>
      <c r="H106" s="21">
        <v>751.5</v>
      </c>
      <c r="I106">
        <v>0</v>
      </c>
      <c r="J106" s="21">
        <v>0</v>
      </c>
      <c r="K106">
        <v>5</v>
      </c>
      <c r="L106" s="21">
        <v>112.72</v>
      </c>
      <c r="M106" s="21">
        <v>2367.2199999999998</v>
      </c>
      <c r="N106" s="21">
        <v>1253.76</v>
      </c>
      <c r="O106" s="21">
        <v>1000.74</v>
      </c>
      <c r="P106" t="s">
        <v>125</v>
      </c>
      <c r="Q106" t="s">
        <v>120</v>
      </c>
      <c r="R106" t="s">
        <v>151</v>
      </c>
      <c r="S106" t="s">
        <v>635</v>
      </c>
      <c r="T106" t="s">
        <v>161</v>
      </c>
      <c r="U106" t="s">
        <v>154</v>
      </c>
      <c r="V106" t="str">
        <f>IFERROR(INDEX(Products!$C:$C,MATCH(D106,Products!$A:$A,0)),"Unknown")</f>
        <v>Men T-Shirts</v>
      </c>
      <c r="W106" t="str">
        <f>IFERROR(INDEX(Products!$E:$E,MATCH(D106,Products!$A:$A,0)),"Unknown")</f>
        <v>Reebok</v>
      </c>
      <c r="X106" t="str">
        <f>IFERROR(INDEX(Stores!$B:$B,MATCH(E106,Stores!$A:$A,0)),"Unknown")</f>
        <v>TrendMart Thrissur High Street</v>
      </c>
      <c r="Y106" t="str">
        <f>IFERROR(INDEX(Stores!$E:$E,MATCH(E106,Stores!$A:$A,0)),"Unknown")</f>
        <v>South Zone 1</v>
      </c>
      <c r="Z106" t="str">
        <f>IFERROR(INDEX(Customers!$J:$J,MATCH(C106,Customers!$A:$A,0)),"Unknown")</f>
        <v>Regular</v>
      </c>
      <c r="AA106" t="str">
        <f t="shared" si="1"/>
        <v>2024-12</v>
      </c>
      <c r="AB106" t="str">
        <f>IFERROR(INDEX(Products!$I:$I,MATCH(D106,Products!$A:$A,0)),"Unknown")</f>
        <v>SUP046</v>
      </c>
    </row>
    <row r="107" spans="1:28" x14ac:dyDescent="0.25">
      <c r="A107" t="s">
        <v>636</v>
      </c>
      <c r="B107" s="20">
        <v>45680</v>
      </c>
      <c r="C107" t="s">
        <v>637</v>
      </c>
      <c r="D107" t="s">
        <v>638</v>
      </c>
      <c r="E107" t="s">
        <v>639</v>
      </c>
      <c r="F107" t="s">
        <v>596</v>
      </c>
      <c r="G107">
        <v>1</v>
      </c>
      <c r="H107" s="21">
        <v>1334.22</v>
      </c>
      <c r="I107">
        <v>25</v>
      </c>
      <c r="J107" s="21">
        <v>333.56</v>
      </c>
      <c r="K107">
        <v>12</v>
      </c>
      <c r="L107" s="21">
        <v>120.08</v>
      </c>
      <c r="M107" s="21">
        <v>1120.74</v>
      </c>
      <c r="N107" s="21">
        <v>978.68</v>
      </c>
      <c r="O107" s="21">
        <v>21.98</v>
      </c>
      <c r="P107" t="s">
        <v>123</v>
      </c>
      <c r="Q107" t="s">
        <v>122</v>
      </c>
      <c r="R107" t="s">
        <v>151</v>
      </c>
      <c r="S107" t="s">
        <v>640</v>
      </c>
      <c r="T107" t="s">
        <v>153</v>
      </c>
      <c r="U107" t="s">
        <v>154</v>
      </c>
      <c r="V107" t="str">
        <f>IFERROR(INDEX(Products!$C:$C,MATCH(D107,Products!$A:$A,0)),"Unknown")</f>
        <v>Men Trousers</v>
      </c>
      <c r="W107" t="str">
        <f>IFERROR(INDEX(Products!$E:$E,MATCH(D107,Products!$A:$A,0)),"Unknown")</f>
        <v>Westside</v>
      </c>
      <c r="X107" t="str">
        <f>IFERROR(INDEX(Stores!$B:$B,MATCH(E107,Stores!$A:$A,0)),"Unknown")</f>
        <v>TrendMart Kurnool Outlet</v>
      </c>
      <c r="Y107" t="str">
        <f>IFERROR(INDEX(Stores!$E:$E,MATCH(E107,Stores!$A:$A,0)),"Unknown")</f>
        <v>South Zone 3</v>
      </c>
      <c r="Z107" t="str">
        <f>IFERROR(INDEX(Customers!$J:$J,MATCH(C107,Customers!$A:$A,0)),"Unknown")</f>
        <v>Silver</v>
      </c>
      <c r="AA107" t="str">
        <f t="shared" si="1"/>
        <v>2025-01</v>
      </c>
      <c r="AB107" t="str">
        <f>IFERROR(INDEX(Products!$I:$I,MATCH(D107,Products!$A:$A,0)),"Unknown")</f>
        <v>SUP071</v>
      </c>
    </row>
    <row r="108" spans="1:28" x14ac:dyDescent="0.25">
      <c r="A108" t="s">
        <v>641</v>
      </c>
      <c r="B108" s="20">
        <v>45546</v>
      </c>
      <c r="C108" t="s">
        <v>642</v>
      </c>
      <c r="D108" t="s">
        <v>531</v>
      </c>
      <c r="E108" t="s">
        <v>351</v>
      </c>
      <c r="F108" t="s">
        <v>434</v>
      </c>
      <c r="G108">
        <v>2</v>
      </c>
      <c r="H108" s="21">
        <v>3045.93</v>
      </c>
      <c r="I108">
        <v>10</v>
      </c>
      <c r="J108" s="21">
        <v>609.19000000000005</v>
      </c>
      <c r="K108">
        <v>12</v>
      </c>
      <c r="L108" s="21">
        <v>657.92</v>
      </c>
      <c r="M108" s="21">
        <v>6140.59</v>
      </c>
      <c r="N108" s="21">
        <v>4068.02</v>
      </c>
      <c r="O108" s="21">
        <v>1414.65</v>
      </c>
      <c r="P108" t="s">
        <v>121</v>
      </c>
      <c r="Q108" t="s">
        <v>120</v>
      </c>
      <c r="R108" t="s">
        <v>313</v>
      </c>
      <c r="S108" t="s">
        <v>643</v>
      </c>
      <c r="T108" t="s">
        <v>153</v>
      </c>
      <c r="U108" t="s">
        <v>154</v>
      </c>
      <c r="V108" t="str">
        <f>IFERROR(INDEX(Products!$C:$C,MATCH(D108,Products!$A:$A,0)),"Unknown")</f>
        <v>Handbags</v>
      </c>
      <c r="W108" t="str">
        <f>IFERROR(INDEX(Products!$E:$E,MATCH(D108,Products!$A:$A,0)),"Unknown")</f>
        <v>GRT Jewellers</v>
      </c>
      <c r="X108" t="str">
        <f>IFERROR(INDEX(Stores!$B:$B,MATCH(E108,Stores!$A:$A,0)),"Unknown")</f>
        <v>TrendMart Kozhikode High Street</v>
      </c>
      <c r="Y108" t="str">
        <f>IFERROR(INDEX(Stores!$E:$E,MATCH(E108,Stores!$A:$A,0)),"Unknown")</f>
        <v>South Zone 1</v>
      </c>
      <c r="Z108" t="str">
        <f>IFERROR(INDEX(Customers!$J:$J,MATCH(C108,Customers!$A:$A,0)),"Unknown")</f>
        <v>Regular</v>
      </c>
      <c r="AA108" t="str">
        <f t="shared" si="1"/>
        <v>2024-09</v>
      </c>
      <c r="AB108" t="str">
        <f>IFERROR(INDEX(Products!$I:$I,MATCH(D108,Products!$A:$A,0)),"Unknown")</f>
        <v>SUP047</v>
      </c>
    </row>
    <row r="109" spans="1:28" x14ac:dyDescent="0.25">
      <c r="A109" t="s">
        <v>644</v>
      </c>
      <c r="B109" s="20">
        <v>45588</v>
      </c>
      <c r="C109" t="s">
        <v>645</v>
      </c>
      <c r="D109" t="s">
        <v>646</v>
      </c>
      <c r="E109" t="s">
        <v>216</v>
      </c>
      <c r="F109" t="s">
        <v>182</v>
      </c>
      <c r="G109">
        <v>2</v>
      </c>
      <c r="H109" s="21">
        <v>775.95</v>
      </c>
      <c r="I109">
        <v>5</v>
      </c>
      <c r="J109" s="21">
        <v>77.59</v>
      </c>
      <c r="K109">
        <v>5</v>
      </c>
      <c r="L109" s="21">
        <v>73.72</v>
      </c>
      <c r="M109" s="21">
        <v>1548.03</v>
      </c>
      <c r="N109" s="21">
        <v>1024.22</v>
      </c>
      <c r="O109" s="21">
        <v>450.09</v>
      </c>
      <c r="P109" t="s">
        <v>123</v>
      </c>
      <c r="Q109" t="s">
        <v>120</v>
      </c>
      <c r="R109" t="s">
        <v>151</v>
      </c>
      <c r="S109" t="s">
        <v>647</v>
      </c>
      <c r="T109" t="s">
        <v>153</v>
      </c>
      <c r="U109" t="s">
        <v>154</v>
      </c>
      <c r="V109" t="str">
        <f>IFERROR(INDEX(Products!$C:$C,MATCH(D109,Products!$A:$A,0)),"Unknown")</f>
        <v>Sportswear</v>
      </c>
      <c r="W109" t="str">
        <f>IFERROR(INDEX(Products!$E:$E,MATCH(D109,Products!$A:$A,0)),"Unknown")</f>
        <v>Fabindia</v>
      </c>
      <c r="X109" t="str">
        <f>IFERROR(INDEX(Stores!$B:$B,MATCH(E109,Stores!$A:$A,0)),"Unknown")</f>
        <v>TrendMart Madurai Mall Kiosk</v>
      </c>
      <c r="Y109" t="str">
        <f>IFERROR(INDEX(Stores!$E:$E,MATCH(E109,Stores!$A:$A,0)),"Unknown")</f>
        <v>South Zone 1</v>
      </c>
      <c r="Z109" t="str">
        <f>IFERROR(INDEX(Customers!$J:$J,MATCH(C109,Customers!$A:$A,0)),"Unknown")</f>
        <v>Regular</v>
      </c>
      <c r="AA109" t="str">
        <f t="shared" si="1"/>
        <v>2024-10</v>
      </c>
      <c r="AB109" t="str">
        <f>IFERROR(INDEX(Products!$I:$I,MATCH(D109,Products!$A:$A,0)),"Unknown")</f>
        <v>SUP087</v>
      </c>
    </row>
    <row r="110" spans="1:28" x14ac:dyDescent="0.25">
      <c r="A110" t="s">
        <v>648</v>
      </c>
      <c r="B110" s="20">
        <v>45604</v>
      </c>
      <c r="C110" t="s">
        <v>649</v>
      </c>
      <c r="D110" t="s">
        <v>650</v>
      </c>
      <c r="E110" t="s">
        <v>274</v>
      </c>
      <c r="F110" t="s">
        <v>150</v>
      </c>
      <c r="G110">
        <v>4</v>
      </c>
      <c r="H110" s="21">
        <v>1868.33</v>
      </c>
      <c r="I110">
        <v>0</v>
      </c>
      <c r="J110" s="21">
        <v>0</v>
      </c>
      <c r="K110">
        <v>12</v>
      </c>
      <c r="L110" s="21">
        <v>896.8</v>
      </c>
      <c r="M110" s="21">
        <v>8370.1200000000008</v>
      </c>
      <c r="N110" s="21">
        <v>5636.48</v>
      </c>
      <c r="O110" s="21">
        <v>1836.84</v>
      </c>
      <c r="P110" t="s">
        <v>125</v>
      </c>
      <c r="Q110" t="s">
        <v>120</v>
      </c>
      <c r="R110" t="s">
        <v>151</v>
      </c>
      <c r="S110" t="s">
        <v>651</v>
      </c>
      <c r="T110" t="s">
        <v>153</v>
      </c>
      <c r="U110" t="s">
        <v>154</v>
      </c>
      <c r="V110" t="str">
        <f>IFERROR(INDEX(Products!$C:$C,MATCH(D110,Products!$A:$A,0)),"Unknown")</f>
        <v>Winter Wear</v>
      </c>
      <c r="W110" t="str">
        <f>IFERROR(INDEX(Products!$E:$E,MATCH(D110,Products!$A:$A,0)),"Unknown")</f>
        <v>Mufti</v>
      </c>
      <c r="X110" t="str">
        <f>IFERROR(INDEX(Stores!$B:$B,MATCH(E110,Stores!$A:$A,0)),"Unknown")</f>
        <v>TrendMart Mangaluru Standard</v>
      </c>
      <c r="Y110" t="str">
        <f>IFERROR(INDEX(Stores!$E:$E,MATCH(E110,Stores!$A:$A,0)),"Unknown")</f>
        <v>South Zone 2</v>
      </c>
      <c r="Z110" t="str">
        <f>IFERROR(INDEX(Customers!$J:$J,MATCH(C110,Customers!$A:$A,0)),"Unknown")</f>
        <v>Silver</v>
      </c>
      <c r="AA110" t="str">
        <f t="shared" si="1"/>
        <v>2024-11</v>
      </c>
      <c r="AB110" t="str">
        <f>IFERROR(INDEX(Products!$I:$I,MATCH(D110,Products!$A:$A,0)),"Unknown")</f>
        <v>SUP078</v>
      </c>
    </row>
    <row r="111" spans="1:28" x14ac:dyDescent="0.25">
      <c r="A111" t="s">
        <v>652</v>
      </c>
      <c r="B111" s="20">
        <v>45441</v>
      </c>
      <c r="C111" t="s">
        <v>653</v>
      </c>
      <c r="D111" t="s">
        <v>654</v>
      </c>
      <c r="E111" t="s">
        <v>302</v>
      </c>
      <c r="F111" t="s">
        <v>574</v>
      </c>
      <c r="G111">
        <v>4</v>
      </c>
      <c r="H111" s="21">
        <v>1154.49</v>
      </c>
      <c r="I111">
        <v>0</v>
      </c>
      <c r="J111" s="21">
        <v>0</v>
      </c>
      <c r="K111">
        <v>12</v>
      </c>
      <c r="L111" s="21">
        <v>554.16</v>
      </c>
      <c r="M111" s="21">
        <v>5172.12</v>
      </c>
      <c r="N111" s="21">
        <v>3461.68</v>
      </c>
      <c r="O111" s="21">
        <v>1156.28</v>
      </c>
      <c r="P111" t="s">
        <v>121</v>
      </c>
      <c r="Q111" t="s">
        <v>122</v>
      </c>
      <c r="R111" t="s">
        <v>151</v>
      </c>
      <c r="S111" t="s">
        <v>655</v>
      </c>
      <c r="T111" t="s">
        <v>153</v>
      </c>
      <c r="U111" t="s">
        <v>154</v>
      </c>
      <c r="V111" t="str">
        <f>IFERROR(INDEX(Products!$C:$C,MATCH(D111,Products!$A:$A,0)),"Unknown")</f>
        <v>Women Dresses</v>
      </c>
      <c r="W111" t="str">
        <f>IFERROR(INDEX(Products!$E:$E,MATCH(D111,Products!$A:$A,0)),"Unknown")</f>
        <v>Indian Terrain</v>
      </c>
      <c r="X111" t="str">
        <f>IFERROR(INDEX(Stores!$B:$B,MATCH(E111,Stores!$A:$A,0)),"Unknown")</f>
        <v>TrendMart Visakhapatnam Standard</v>
      </c>
      <c r="Y111" t="str">
        <f>IFERROR(INDEX(Stores!$E:$E,MATCH(E111,Stores!$A:$A,0)),"Unknown")</f>
        <v>South Zone 3</v>
      </c>
      <c r="Z111" t="str">
        <f>IFERROR(INDEX(Customers!$J:$J,MATCH(C111,Customers!$A:$A,0)),"Unknown")</f>
        <v>Silver</v>
      </c>
      <c r="AA111" t="str">
        <f t="shared" si="1"/>
        <v>2024-05</v>
      </c>
      <c r="AB111" t="str">
        <f>IFERROR(INDEX(Products!$I:$I,MATCH(D111,Products!$A:$A,0)),"Unknown")</f>
        <v>SUP049</v>
      </c>
    </row>
    <row r="112" spans="1:28" x14ac:dyDescent="0.25">
      <c r="A112" t="s">
        <v>656</v>
      </c>
      <c r="B112" s="20">
        <v>45473</v>
      </c>
      <c r="C112" t="s">
        <v>657</v>
      </c>
      <c r="D112" t="s">
        <v>658</v>
      </c>
      <c r="E112" t="s">
        <v>521</v>
      </c>
      <c r="F112" t="s">
        <v>221</v>
      </c>
      <c r="G112">
        <v>2</v>
      </c>
      <c r="H112" s="21">
        <v>293.55</v>
      </c>
      <c r="I112">
        <v>10</v>
      </c>
      <c r="J112" s="21">
        <v>58.71</v>
      </c>
      <c r="K112">
        <v>5</v>
      </c>
      <c r="L112" s="21">
        <v>26.42</v>
      </c>
      <c r="M112" s="21">
        <v>554.80999999999995</v>
      </c>
      <c r="N112" s="21">
        <v>343.8</v>
      </c>
      <c r="O112" s="21">
        <v>184.59</v>
      </c>
      <c r="P112" t="s">
        <v>125</v>
      </c>
      <c r="Q112" t="s">
        <v>120</v>
      </c>
      <c r="R112" t="s">
        <v>151</v>
      </c>
      <c r="S112" t="s">
        <v>659</v>
      </c>
      <c r="T112" t="s">
        <v>161</v>
      </c>
      <c r="U112" t="s">
        <v>154</v>
      </c>
      <c r="V112" t="str">
        <f>IFERROR(INDEX(Products!$C:$C,MATCH(D112,Products!$A:$A,0)),"Unknown")</f>
        <v>Accessories</v>
      </c>
      <c r="W112" t="str">
        <f>IFERROR(INDEX(Products!$E:$E,MATCH(D112,Products!$A:$A,0)),"Unknown")</f>
        <v>Flying Machine</v>
      </c>
      <c r="X112" t="str">
        <f>IFERROR(INDEX(Stores!$B:$B,MATCH(E112,Stores!$A:$A,0)),"Unknown")</f>
        <v>TrendMart Tirupati Standard</v>
      </c>
      <c r="Y112" t="str">
        <f>IFERROR(INDEX(Stores!$E:$E,MATCH(E112,Stores!$A:$A,0)),"Unknown")</f>
        <v>South Zone 3</v>
      </c>
      <c r="Z112" t="str">
        <f>IFERROR(INDEX(Customers!$J:$J,MATCH(C112,Customers!$A:$A,0)),"Unknown")</f>
        <v>Silver</v>
      </c>
      <c r="AA112" t="str">
        <f t="shared" si="1"/>
        <v>2024-06</v>
      </c>
      <c r="AB112" t="str">
        <f>IFERROR(INDEX(Products!$I:$I,MATCH(D112,Products!$A:$A,0)),"Unknown")</f>
        <v>SUP002</v>
      </c>
    </row>
    <row r="113" spans="1:28" x14ac:dyDescent="0.25">
      <c r="A113" t="s">
        <v>660</v>
      </c>
      <c r="B113" s="20">
        <v>45585</v>
      </c>
      <c r="C113" t="s">
        <v>661</v>
      </c>
      <c r="D113" t="s">
        <v>662</v>
      </c>
      <c r="E113" t="s">
        <v>634</v>
      </c>
      <c r="F113" t="s">
        <v>297</v>
      </c>
      <c r="G113">
        <v>3</v>
      </c>
      <c r="H113" s="21">
        <v>527.07000000000005</v>
      </c>
      <c r="I113">
        <v>0</v>
      </c>
      <c r="J113" s="21">
        <v>0</v>
      </c>
      <c r="K113">
        <v>5</v>
      </c>
      <c r="L113" s="21">
        <v>79.06</v>
      </c>
      <c r="M113" s="21">
        <v>1660.27</v>
      </c>
      <c r="N113" s="21">
        <v>899.58</v>
      </c>
      <c r="O113" s="21">
        <v>681.63</v>
      </c>
      <c r="P113" t="s">
        <v>123</v>
      </c>
      <c r="Q113" t="s">
        <v>120</v>
      </c>
      <c r="R113" t="s">
        <v>151</v>
      </c>
      <c r="S113" t="s">
        <v>663</v>
      </c>
      <c r="T113" t="s">
        <v>161</v>
      </c>
      <c r="U113" t="s">
        <v>154</v>
      </c>
      <c r="V113" t="str">
        <f>IFERROR(INDEX(Products!$C:$C,MATCH(D113,Products!$A:$A,0)),"Unknown")</f>
        <v>Men T-Shirts</v>
      </c>
      <c r="W113" t="str">
        <f>IFERROR(INDEX(Products!$E:$E,MATCH(D113,Products!$A:$A,0)),"Unknown")</f>
        <v>Global Desi</v>
      </c>
      <c r="X113" t="str">
        <f>IFERROR(INDEX(Stores!$B:$B,MATCH(E113,Stores!$A:$A,0)),"Unknown")</f>
        <v>TrendMart Thrissur High Street</v>
      </c>
      <c r="Y113" t="str">
        <f>IFERROR(INDEX(Stores!$E:$E,MATCH(E113,Stores!$A:$A,0)),"Unknown")</f>
        <v>South Zone 1</v>
      </c>
      <c r="Z113" t="str">
        <f>IFERROR(INDEX(Customers!$J:$J,MATCH(C113,Customers!$A:$A,0)),"Unknown")</f>
        <v>Silver</v>
      </c>
      <c r="AA113" t="str">
        <f t="shared" si="1"/>
        <v>2024-10</v>
      </c>
      <c r="AB113" t="str">
        <f>IFERROR(INDEX(Products!$I:$I,MATCH(D113,Products!$A:$A,0)),"Unknown")</f>
        <v>SUP049</v>
      </c>
    </row>
    <row r="114" spans="1:28" x14ac:dyDescent="0.25">
      <c r="A114" t="s">
        <v>664</v>
      </c>
      <c r="B114" s="20">
        <v>45687</v>
      </c>
      <c r="C114" t="s">
        <v>665</v>
      </c>
      <c r="D114" t="s">
        <v>666</v>
      </c>
      <c r="E114" t="s">
        <v>667</v>
      </c>
      <c r="F114" t="s">
        <v>550</v>
      </c>
      <c r="G114">
        <v>2</v>
      </c>
      <c r="H114" s="21">
        <v>1327.8</v>
      </c>
      <c r="I114">
        <v>20</v>
      </c>
      <c r="J114" s="21">
        <v>531.12</v>
      </c>
      <c r="K114">
        <v>12</v>
      </c>
      <c r="L114" s="21">
        <v>254.94</v>
      </c>
      <c r="M114" s="21">
        <v>2379.42</v>
      </c>
      <c r="N114" s="21">
        <v>1808.42</v>
      </c>
      <c r="O114" s="21">
        <v>316.06</v>
      </c>
      <c r="P114" t="s">
        <v>126</v>
      </c>
      <c r="Q114" t="s">
        <v>122</v>
      </c>
      <c r="R114" t="s">
        <v>151</v>
      </c>
      <c r="S114" t="s">
        <v>668</v>
      </c>
      <c r="T114" t="s">
        <v>153</v>
      </c>
      <c r="U114" t="s">
        <v>154</v>
      </c>
      <c r="V114" t="str">
        <f>IFERROR(INDEX(Products!$C:$C,MATCH(D114,Products!$A:$A,0)),"Unknown")</f>
        <v>Wallets</v>
      </c>
      <c r="W114" t="str">
        <f>IFERROR(INDEX(Products!$E:$E,MATCH(D114,Products!$A:$A,0)),"Unknown")</f>
        <v>Louis Philippe</v>
      </c>
      <c r="X114" t="str">
        <f>IFERROR(INDEX(Stores!$B:$B,MATCH(E114,Stores!$A:$A,0)),"Unknown")</f>
        <v>TrendMart Hyderabad High Street</v>
      </c>
      <c r="Y114" t="str">
        <f>IFERROR(INDEX(Stores!$E:$E,MATCH(E114,Stores!$A:$A,0)),"Unknown")</f>
        <v>South Zone 2</v>
      </c>
      <c r="Z114" t="str">
        <f>IFERROR(INDEX(Customers!$J:$J,MATCH(C114,Customers!$A:$A,0)),"Unknown")</f>
        <v>Gold</v>
      </c>
      <c r="AA114" t="str">
        <f t="shared" si="1"/>
        <v>2025-01</v>
      </c>
      <c r="AB114" t="str">
        <f>IFERROR(INDEX(Products!$I:$I,MATCH(D114,Products!$A:$A,0)),"Unknown")</f>
        <v>SUP039</v>
      </c>
    </row>
    <row r="115" spans="1:28" x14ac:dyDescent="0.25">
      <c r="A115" t="s">
        <v>669</v>
      </c>
      <c r="B115" s="20">
        <v>45555</v>
      </c>
      <c r="C115" t="s">
        <v>209</v>
      </c>
      <c r="D115" t="s">
        <v>670</v>
      </c>
      <c r="E115" t="s">
        <v>671</v>
      </c>
      <c r="F115" t="s">
        <v>182</v>
      </c>
      <c r="G115">
        <v>3</v>
      </c>
      <c r="H115" s="21">
        <v>1953.47</v>
      </c>
      <c r="I115">
        <v>0</v>
      </c>
      <c r="J115" s="21">
        <v>0</v>
      </c>
      <c r="K115">
        <v>12</v>
      </c>
      <c r="L115" s="21">
        <v>703.25</v>
      </c>
      <c r="M115" s="21">
        <v>6563.66</v>
      </c>
      <c r="N115" s="21">
        <v>4135.1400000000003</v>
      </c>
      <c r="O115" s="21">
        <v>1725.27</v>
      </c>
      <c r="P115" t="s">
        <v>125</v>
      </c>
      <c r="Q115" t="s">
        <v>122</v>
      </c>
      <c r="R115" t="s">
        <v>151</v>
      </c>
      <c r="S115" t="s">
        <v>672</v>
      </c>
      <c r="T115" t="s">
        <v>153</v>
      </c>
      <c r="U115" t="s">
        <v>154</v>
      </c>
      <c r="V115" t="str">
        <f>IFERROR(INDEX(Products!$C:$C,MATCH(D115,Products!$A:$A,0)),"Unknown")</f>
        <v>Women Sarees</v>
      </c>
      <c r="W115" t="str">
        <f>IFERROR(INDEX(Products!$E:$E,MATCH(D115,Products!$A:$A,0)),"Unknown")</f>
        <v>Reebok</v>
      </c>
      <c r="X115" t="str">
        <f>IFERROR(INDEX(Stores!$B:$B,MATCH(E115,Stores!$A:$A,0)),"Unknown")</f>
        <v>TrendMart Hyderabad Mall Kiosk</v>
      </c>
      <c r="Y115" t="str">
        <f>IFERROR(INDEX(Stores!$E:$E,MATCH(E115,Stores!$A:$A,0)),"Unknown")</f>
        <v>South Zone 2</v>
      </c>
      <c r="Z115" t="str">
        <f>IFERROR(INDEX(Customers!$J:$J,MATCH(C115,Customers!$A:$A,0)),"Unknown")</f>
        <v>Silver</v>
      </c>
      <c r="AA115" t="str">
        <f t="shared" si="1"/>
        <v>2024-09</v>
      </c>
      <c r="AB115" t="str">
        <f>IFERROR(INDEX(Products!$I:$I,MATCH(D115,Products!$A:$A,0)),"Unknown")</f>
        <v>SUP073</v>
      </c>
    </row>
    <row r="116" spans="1:28" x14ac:dyDescent="0.25">
      <c r="A116" t="s">
        <v>673</v>
      </c>
      <c r="B116" s="20">
        <v>45653</v>
      </c>
      <c r="C116" t="s">
        <v>628</v>
      </c>
      <c r="D116" t="s">
        <v>257</v>
      </c>
      <c r="E116" t="s">
        <v>355</v>
      </c>
      <c r="F116" t="s">
        <v>176</v>
      </c>
      <c r="G116">
        <v>3</v>
      </c>
      <c r="H116" s="21">
        <v>1015.35</v>
      </c>
      <c r="I116">
        <v>10</v>
      </c>
      <c r="J116" s="21">
        <v>304.61</v>
      </c>
      <c r="K116">
        <v>12</v>
      </c>
      <c r="L116" s="21">
        <v>328.97</v>
      </c>
      <c r="M116" s="21">
        <v>3070.41</v>
      </c>
      <c r="N116" s="21">
        <v>2163.66</v>
      </c>
      <c r="O116" s="21">
        <v>577.78</v>
      </c>
      <c r="P116" t="s">
        <v>124</v>
      </c>
      <c r="Q116" t="s">
        <v>120</v>
      </c>
      <c r="R116" t="s">
        <v>151</v>
      </c>
      <c r="S116" t="s">
        <v>674</v>
      </c>
      <c r="T116" t="s">
        <v>153</v>
      </c>
      <c r="U116" t="s">
        <v>154</v>
      </c>
      <c r="V116" t="str">
        <f>IFERROR(INDEX(Products!$C:$C,MATCH(D116,Products!$A:$A,0)),"Unknown")</f>
        <v>Men Shirts</v>
      </c>
      <c r="W116" t="str">
        <f>IFERROR(INDEX(Products!$E:$E,MATCH(D116,Products!$A:$A,0)),"Unknown")</f>
        <v>Indian Terrain</v>
      </c>
      <c r="X116" t="str">
        <f>IFERROR(INDEX(Stores!$B:$B,MATCH(E116,Stores!$A:$A,0)),"Unknown")</f>
        <v>TrendMart Thiruvananthapuram High Street</v>
      </c>
      <c r="Y116" t="str">
        <f>IFERROR(INDEX(Stores!$E:$E,MATCH(E116,Stores!$A:$A,0)),"Unknown")</f>
        <v>South Zone 1</v>
      </c>
      <c r="Z116" t="str">
        <f>IFERROR(INDEX(Customers!$J:$J,MATCH(C116,Customers!$A:$A,0)),"Unknown")</f>
        <v>Silver</v>
      </c>
      <c r="AA116" t="str">
        <f t="shared" si="1"/>
        <v>2024-12</v>
      </c>
      <c r="AB116" t="str">
        <f>IFERROR(INDEX(Products!$I:$I,MATCH(D116,Products!$A:$A,0)),"Unknown")</f>
        <v>SUP080</v>
      </c>
    </row>
    <row r="117" spans="1:28" x14ac:dyDescent="0.25">
      <c r="A117" t="s">
        <v>675</v>
      </c>
      <c r="B117" s="20">
        <v>45571</v>
      </c>
      <c r="C117" t="s">
        <v>676</v>
      </c>
      <c r="D117" t="s">
        <v>401</v>
      </c>
      <c r="E117" t="s">
        <v>578</v>
      </c>
      <c r="F117" t="s">
        <v>308</v>
      </c>
      <c r="G117">
        <v>4</v>
      </c>
      <c r="H117" s="21">
        <v>1183.1199999999999</v>
      </c>
      <c r="I117">
        <v>0</v>
      </c>
      <c r="J117" s="21">
        <v>0</v>
      </c>
      <c r="K117">
        <v>12</v>
      </c>
      <c r="L117" s="21">
        <v>567.9</v>
      </c>
      <c r="M117" s="21">
        <v>5300.38</v>
      </c>
      <c r="N117" s="21">
        <v>3071.32</v>
      </c>
      <c r="O117" s="21">
        <v>1661.16</v>
      </c>
      <c r="P117" t="s">
        <v>121</v>
      </c>
      <c r="Q117" t="s">
        <v>120</v>
      </c>
      <c r="R117" t="s">
        <v>151</v>
      </c>
      <c r="S117" t="s">
        <v>677</v>
      </c>
      <c r="T117" t="s">
        <v>161</v>
      </c>
      <c r="U117" t="s">
        <v>154</v>
      </c>
      <c r="V117" t="str">
        <f>IFERROR(INDEX(Products!$C:$C,MATCH(D117,Products!$A:$A,0)),"Unknown")</f>
        <v>Women Jeans</v>
      </c>
      <c r="W117" t="str">
        <f>IFERROR(INDEX(Products!$E:$E,MATCH(D117,Products!$A:$A,0)),"Unknown")</f>
        <v>Being Human</v>
      </c>
      <c r="X117" t="str">
        <f>IFERROR(INDEX(Stores!$B:$B,MATCH(E117,Stores!$A:$A,0)),"Unknown")</f>
        <v>TrendMart Vellore Standard</v>
      </c>
      <c r="Y117" t="str">
        <f>IFERROR(INDEX(Stores!$E:$E,MATCH(E117,Stores!$A:$A,0)),"Unknown")</f>
        <v>South Zone 1</v>
      </c>
      <c r="Z117" t="str">
        <f>IFERROR(INDEX(Customers!$J:$J,MATCH(C117,Customers!$A:$A,0)),"Unknown")</f>
        <v>Silver</v>
      </c>
      <c r="AA117" t="str">
        <f t="shared" si="1"/>
        <v>2024-10</v>
      </c>
      <c r="AB117" t="str">
        <f>IFERROR(INDEX(Products!$I:$I,MATCH(D117,Products!$A:$A,0)),"Unknown")</f>
        <v>SUP013</v>
      </c>
    </row>
    <row r="118" spans="1:28" x14ac:dyDescent="0.25">
      <c r="A118" t="s">
        <v>678</v>
      </c>
      <c r="B118" s="20">
        <v>45508</v>
      </c>
      <c r="C118" t="s">
        <v>679</v>
      </c>
      <c r="D118" t="s">
        <v>680</v>
      </c>
      <c r="E118" t="s">
        <v>681</v>
      </c>
      <c r="F118" t="s">
        <v>344</v>
      </c>
      <c r="G118">
        <v>2</v>
      </c>
      <c r="H118" s="21">
        <v>658.04</v>
      </c>
      <c r="I118">
        <v>0</v>
      </c>
      <c r="J118" s="21">
        <v>0</v>
      </c>
      <c r="K118">
        <v>5</v>
      </c>
      <c r="L118" s="21">
        <v>65.8</v>
      </c>
      <c r="M118" s="21">
        <v>1381.88</v>
      </c>
      <c r="N118" s="21">
        <v>807.42</v>
      </c>
      <c r="O118" s="21">
        <v>508.66</v>
      </c>
      <c r="P118" t="s">
        <v>124</v>
      </c>
      <c r="Q118" t="s">
        <v>120</v>
      </c>
      <c r="R118" t="s">
        <v>151</v>
      </c>
      <c r="S118" t="s">
        <v>682</v>
      </c>
      <c r="T118" t="s">
        <v>161</v>
      </c>
      <c r="U118" t="s">
        <v>154</v>
      </c>
      <c r="V118" t="str">
        <f>IFERROR(INDEX(Products!$C:$C,MATCH(D118,Products!$A:$A,0)),"Unknown")</f>
        <v>Accessories</v>
      </c>
      <c r="W118" t="str">
        <f>IFERROR(INDEX(Products!$E:$E,MATCH(D118,Products!$A:$A,0)),"Unknown")</f>
        <v>Westside</v>
      </c>
      <c r="X118" t="str">
        <f>IFERROR(INDEX(Stores!$B:$B,MATCH(E118,Stores!$A:$A,0)),"Unknown")</f>
        <v>TrendMart Shivamogga Mall Kiosk</v>
      </c>
      <c r="Y118" t="str">
        <f>IFERROR(INDEX(Stores!$E:$E,MATCH(E118,Stores!$A:$A,0)),"Unknown")</f>
        <v>South Zone 2</v>
      </c>
      <c r="Z118" t="str">
        <f>IFERROR(INDEX(Customers!$J:$J,MATCH(C118,Customers!$A:$A,0)),"Unknown")</f>
        <v>Gold</v>
      </c>
      <c r="AA118" t="str">
        <f t="shared" si="1"/>
        <v>2024-08</v>
      </c>
      <c r="AB118" t="str">
        <f>IFERROR(INDEX(Products!$I:$I,MATCH(D118,Products!$A:$A,0)),"Unknown")</f>
        <v>SUP064</v>
      </c>
    </row>
    <row r="119" spans="1:28" x14ac:dyDescent="0.25">
      <c r="A119" t="s">
        <v>683</v>
      </c>
      <c r="B119" s="20">
        <v>45552</v>
      </c>
      <c r="C119" t="s">
        <v>684</v>
      </c>
      <c r="D119" t="s">
        <v>685</v>
      </c>
      <c r="E119" t="s">
        <v>99</v>
      </c>
      <c r="F119" t="s">
        <v>596</v>
      </c>
      <c r="G119">
        <v>1</v>
      </c>
      <c r="H119" s="21">
        <v>952.17</v>
      </c>
      <c r="I119">
        <v>10</v>
      </c>
      <c r="J119" s="21">
        <v>95.22</v>
      </c>
      <c r="K119">
        <v>5</v>
      </c>
      <c r="L119" s="21">
        <v>42.85</v>
      </c>
      <c r="M119" s="21">
        <v>899.8</v>
      </c>
      <c r="N119" s="21">
        <v>626.26</v>
      </c>
      <c r="O119" s="21">
        <v>230.69</v>
      </c>
      <c r="P119" t="s">
        <v>121</v>
      </c>
      <c r="Q119" t="s">
        <v>122</v>
      </c>
      <c r="R119" t="s">
        <v>151</v>
      </c>
      <c r="S119" t="s">
        <v>686</v>
      </c>
      <c r="T119" t="s">
        <v>153</v>
      </c>
      <c r="U119" t="s">
        <v>154</v>
      </c>
      <c r="V119" t="str">
        <f>IFERROR(INDEX(Products!$C:$C,MATCH(D119,Products!$A:$A,0)),"Unknown")</f>
        <v>Sportswear</v>
      </c>
      <c r="W119" t="str">
        <f>IFERROR(INDEX(Products!$E:$E,MATCH(D119,Products!$A:$A,0)),"Unknown")</f>
        <v>Being Human</v>
      </c>
      <c r="X119" t="str">
        <f>IFERROR(INDEX(Stores!$B:$B,MATCH(E119,Stores!$A:$A,0)),"Unknown")</f>
        <v>TrendMart Hubballi Standard</v>
      </c>
      <c r="Y119" t="str">
        <f>IFERROR(INDEX(Stores!$E:$E,MATCH(E119,Stores!$A:$A,0)),"Unknown")</f>
        <v>South Zone 2</v>
      </c>
      <c r="Z119" t="str">
        <f>IFERROR(INDEX(Customers!$J:$J,MATCH(C119,Customers!$A:$A,0)),"Unknown")</f>
        <v>Platinum</v>
      </c>
      <c r="AA119" t="str">
        <f t="shared" si="1"/>
        <v>2024-09</v>
      </c>
      <c r="AB119" t="str">
        <f>IFERROR(INDEX(Products!$I:$I,MATCH(D119,Products!$A:$A,0)),"Unknown")</f>
        <v>SUP066</v>
      </c>
    </row>
    <row r="120" spans="1:28" x14ac:dyDescent="0.25">
      <c r="A120" t="s">
        <v>687</v>
      </c>
      <c r="B120" s="20">
        <v>45553</v>
      </c>
      <c r="C120" t="s">
        <v>688</v>
      </c>
      <c r="D120" t="s">
        <v>689</v>
      </c>
      <c r="E120" t="s">
        <v>355</v>
      </c>
      <c r="F120" t="s">
        <v>443</v>
      </c>
      <c r="G120">
        <v>3</v>
      </c>
      <c r="H120" s="21">
        <v>731.72</v>
      </c>
      <c r="I120">
        <v>30</v>
      </c>
      <c r="J120" s="21">
        <v>658.55</v>
      </c>
      <c r="K120">
        <v>5</v>
      </c>
      <c r="L120" s="21">
        <v>76.83</v>
      </c>
      <c r="M120" s="21">
        <v>1613.44</v>
      </c>
      <c r="N120" s="21">
        <v>1774.14</v>
      </c>
      <c r="O120" s="21">
        <v>-237.53</v>
      </c>
      <c r="P120" t="s">
        <v>123</v>
      </c>
      <c r="Q120" t="s">
        <v>122</v>
      </c>
      <c r="R120" t="s">
        <v>151</v>
      </c>
      <c r="S120" t="s">
        <v>690</v>
      </c>
      <c r="T120" t="s">
        <v>153</v>
      </c>
      <c r="U120" t="s">
        <v>184</v>
      </c>
      <c r="V120" t="str">
        <f>IFERROR(INDEX(Products!$C:$C,MATCH(D120,Products!$A:$A,0)),"Unknown")</f>
        <v>Kids Wear</v>
      </c>
      <c r="W120" t="str">
        <f>IFERROR(INDEX(Products!$E:$E,MATCH(D120,Products!$A:$A,0)),"Unknown")</f>
        <v>Libas</v>
      </c>
      <c r="X120" t="str">
        <f>IFERROR(INDEX(Stores!$B:$B,MATCH(E120,Stores!$A:$A,0)),"Unknown")</f>
        <v>TrendMart Thiruvananthapuram High Street</v>
      </c>
      <c r="Y120" t="str">
        <f>IFERROR(INDEX(Stores!$E:$E,MATCH(E120,Stores!$A:$A,0)),"Unknown")</f>
        <v>South Zone 1</v>
      </c>
      <c r="Z120" t="str">
        <f>IFERROR(INDEX(Customers!$J:$J,MATCH(C120,Customers!$A:$A,0)),"Unknown")</f>
        <v>Gold</v>
      </c>
      <c r="AA120" t="str">
        <f t="shared" si="1"/>
        <v>2024-09</v>
      </c>
      <c r="AB120" t="str">
        <f>IFERROR(INDEX(Products!$I:$I,MATCH(D120,Products!$A:$A,0)),"Unknown")</f>
        <v>SUP031</v>
      </c>
    </row>
    <row r="121" spans="1:28" x14ac:dyDescent="0.25">
      <c r="A121" t="s">
        <v>691</v>
      </c>
      <c r="B121" s="20">
        <v>45403</v>
      </c>
      <c r="C121" t="s">
        <v>692</v>
      </c>
      <c r="D121" t="s">
        <v>693</v>
      </c>
      <c r="E121" t="s">
        <v>291</v>
      </c>
      <c r="F121" t="s">
        <v>397</v>
      </c>
      <c r="G121">
        <v>2</v>
      </c>
      <c r="H121" s="21">
        <v>3131.64</v>
      </c>
      <c r="I121">
        <v>10</v>
      </c>
      <c r="J121" s="21">
        <v>626.33000000000004</v>
      </c>
      <c r="K121">
        <v>12</v>
      </c>
      <c r="L121" s="21">
        <v>676.43</v>
      </c>
      <c r="M121" s="21">
        <v>6313.38</v>
      </c>
      <c r="N121" s="21">
        <v>4396.4399999999996</v>
      </c>
      <c r="O121" s="21">
        <v>1240.51</v>
      </c>
      <c r="P121" t="s">
        <v>121</v>
      </c>
      <c r="Q121" t="s">
        <v>122</v>
      </c>
      <c r="R121" t="s">
        <v>151</v>
      </c>
      <c r="S121" t="s">
        <v>694</v>
      </c>
      <c r="T121" t="s">
        <v>161</v>
      </c>
      <c r="U121" t="s">
        <v>154</v>
      </c>
      <c r="V121" t="str">
        <f>IFERROR(INDEX(Products!$C:$C,MATCH(D121,Products!$A:$A,0)),"Unknown")</f>
        <v>Handbags</v>
      </c>
      <c r="W121" t="str">
        <f>IFERROR(INDEX(Products!$E:$E,MATCH(D121,Products!$A:$A,0)),"Unknown")</f>
        <v>Woodland</v>
      </c>
      <c r="X121" t="str">
        <f>IFERROR(INDEX(Stores!$B:$B,MATCH(E121,Stores!$A:$A,0)),"Unknown")</f>
        <v>TrendMart Khammam Standard</v>
      </c>
      <c r="Y121" t="str">
        <f>IFERROR(INDEX(Stores!$E:$E,MATCH(E121,Stores!$A:$A,0)),"Unknown")</f>
        <v>South Zone 2</v>
      </c>
      <c r="Z121" t="str">
        <f>IFERROR(INDEX(Customers!$J:$J,MATCH(C121,Customers!$A:$A,0)),"Unknown")</f>
        <v>Regular</v>
      </c>
      <c r="AA121" t="str">
        <f t="shared" si="1"/>
        <v>2024-04</v>
      </c>
      <c r="AB121" t="str">
        <f>IFERROR(INDEX(Products!$I:$I,MATCH(D121,Products!$A:$A,0)),"Unknown")</f>
        <v>SUP090</v>
      </c>
    </row>
    <row r="122" spans="1:28" x14ac:dyDescent="0.25">
      <c r="A122" t="s">
        <v>695</v>
      </c>
      <c r="B122" s="20">
        <v>45445</v>
      </c>
      <c r="C122" t="s">
        <v>696</v>
      </c>
      <c r="D122" t="s">
        <v>697</v>
      </c>
      <c r="E122" t="s">
        <v>343</v>
      </c>
      <c r="F122" t="s">
        <v>242</v>
      </c>
      <c r="G122">
        <v>3</v>
      </c>
      <c r="H122" s="21">
        <v>1120.96</v>
      </c>
      <c r="I122">
        <v>10</v>
      </c>
      <c r="J122" s="21">
        <v>336.29</v>
      </c>
      <c r="K122">
        <v>12</v>
      </c>
      <c r="L122" s="21">
        <v>363.19</v>
      </c>
      <c r="M122" s="21">
        <v>3389.78</v>
      </c>
      <c r="N122" s="21">
        <v>2099.52</v>
      </c>
      <c r="O122" s="21">
        <v>927.07</v>
      </c>
      <c r="P122" t="s">
        <v>123</v>
      </c>
      <c r="Q122" t="s">
        <v>120</v>
      </c>
      <c r="R122" t="s">
        <v>151</v>
      </c>
      <c r="S122" t="s">
        <v>698</v>
      </c>
      <c r="T122" t="s">
        <v>161</v>
      </c>
      <c r="U122" t="s">
        <v>154</v>
      </c>
      <c r="V122" t="str">
        <f>IFERROR(INDEX(Products!$C:$C,MATCH(D122,Products!$A:$A,0)),"Unknown")</f>
        <v>Women Tops</v>
      </c>
      <c r="W122" t="str">
        <f>IFERROR(INDEX(Products!$E:$E,MATCH(D122,Products!$A:$A,0)),"Unknown")</f>
        <v>Nalli Silks</v>
      </c>
      <c r="X122" t="str">
        <f>IFERROR(INDEX(Stores!$B:$B,MATCH(E122,Stores!$A:$A,0)),"Unknown")</f>
        <v>TrendMart Tumakuru Outlet</v>
      </c>
      <c r="Y122" t="str">
        <f>IFERROR(INDEX(Stores!$E:$E,MATCH(E122,Stores!$A:$A,0)),"Unknown")</f>
        <v>South Zone 2</v>
      </c>
      <c r="Z122" t="str">
        <f>IFERROR(INDEX(Customers!$J:$J,MATCH(C122,Customers!$A:$A,0)),"Unknown")</f>
        <v>Silver</v>
      </c>
      <c r="AA122" t="str">
        <f t="shared" si="1"/>
        <v>2024-06</v>
      </c>
      <c r="AB122" t="str">
        <f>IFERROR(INDEX(Products!$I:$I,MATCH(D122,Products!$A:$A,0)),"Unknown")</f>
        <v>SUP008</v>
      </c>
    </row>
    <row r="123" spans="1:28" x14ac:dyDescent="0.25">
      <c r="A123" t="s">
        <v>699</v>
      </c>
      <c r="B123" s="20">
        <v>45569</v>
      </c>
      <c r="C123" t="s">
        <v>700</v>
      </c>
      <c r="D123" t="s">
        <v>469</v>
      </c>
      <c r="E123" t="s">
        <v>701</v>
      </c>
      <c r="F123" t="s">
        <v>269</v>
      </c>
      <c r="G123">
        <v>1</v>
      </c>
      <c r="H123" s="21">
        <v>890.75</v>
      </c>
      <c r="I123">
        <v>30</v>
      </c>
      <c r="J123" s="21">
        <v>267.23</v>
      </c>
      <c r="K123">
        <v>5</v>
      </c>
      <c r="L123" s="21">
        <v>31.18</v>
      </c>
      <c r="M123" s="21">
        <v>654.70000000000005</v>
      </c>
      <c r="N123" s="21">
        <v>568.05999999999995</v>
      </c>
      <c r="O123" s="21">
        <v>55.46</v>
      </c>
      <c r="P123" t="s">
        <v>121</v>
      </c>
      <c r="Q123" t="s">
        <v>122</v>
      </c>
      <c r="R123" t="s">
        <v>151</v>
      </c>
      <c r="S123" t="s">
        <v>702</v>
      </c>
      <c r="T123" t="s">
        <v>153</v>
      </c>
      <c r="U123" t="s">
        <v>154</v>
      </c>
      <c r="V123" t="str">
        <f>IFERROR(INDEX(Products!$C:$C,MATCH(D123,Products!$A:$A,0)),"Unknown")</f>
        <v>Women Kurtis</v>
      </c>
      <c r="W123" t="str">
        <f>IFERROR(INDEX(Products!$E:$E,MATCH(D123,Products!$A:$A,0)),"Unknown")</f>
        <v>Libas</v>
      </c>
      <c r="X123" t="str">
        <f>IFERROR(INDEX(Stores!$B:$B,MATCH(E123,Stores!$A:$A,0)),"Unknown")</f>
        <v>TrendMart Vijayawada Mall Kiosk</v>
      </c>
      <c r="Y123" t="str">
        <f>IFERROR(INDEX(Stores!$E:$E,MATCH(E123,Stores!$A:$A,0)),"Unknown")</f>
        <v>South Zone 3</v>
      </c>
      <c r="Z123" t="str">
        <f>IFERROR(INDEX(Customers!$J:$J,MATCH(C123,Customers!$A:$A,0)),"Unknown")</f>
        <v>Silver</v>
      </c>
      <c r="AA123" t="str">
        <f t="shared" si="1"/>
        <v>2024-10</v>
      </c>
      <c r="AB123" t="str">
        <f>IFERROR(INDEX(Products!$I:$I,MATCH(D123,Products!$A:$A,0)),"Unknown")</f>
        <v>SUP079</v>
      </c>
    </row>
    <row r="124" spans="1:28" x14ac:dyDescent="0.25">
      <c r="A124" t="s">
        <v>703</v>
      </c>
      <c r="B124" s="20">
        <v>45724</v>
      </c>
      <c r="C124" t="s">
        <v>704</v>
      </c>
      <c r="D124" t="s">
        <v>447</v>
      </c>
      <c r="E124" t="s">
        <v>96</v>
      </c>
      <c r="F124" t="s">
        <v>303</v>
      </c>
      <c r="G124">
        <v>1</v>
      </c>
      <c r="H124" s="21">
        <v>1524.77</v>
      </c>
      <c r="I124">
        <v>0</v>
      </c>
      <c r="J124" s="21">
        <v>0</v>
      </c>
      <c r="K124">
        <v>12</v>
      </c>
      <c r="L124" s="21">
        <v>182.97</v>
      </c>
      <c r="M124" s="21">
        <v>1707.74</v>
      </c>
      <c r="N124" s="21">
        <v>1073.45</v>
      </c>
      <c r="O124" s="21">
        <v>451.32</v>
      </c>
      <c r="P124" t="s">
        <v>124</v>
      </c>
      <c r="Q124" t="s">
        <v>120</v>
      </c>
      <c r="R124" t="s">
        <v>151</v>
      </c>
      <c r="S124" t="s">
        <v>705</v>
      </c>
      <c r="T124" t="s">
        <v>161</v>
      </c>
      <c r="U124" t="s">
        <v>154</v>
      </c>
      <c r="V124" t="str">
        <f>IFERROR(INDEX(Products!$C:$C,MATCH(D124,Products!$A:$A,0)),"Unknown")</f>
        <v>Women Jeans</v>
      </c>
      <c r="W124" t="str">
        <f>IFERROR(INDEX(Products!$E:$E,MATCH(D124,Products!$A:$A,0)),"Unknown")</f>
        <v>Biba</v>
      </c>
      <c r="X124" t="str">
        <f>IFERROR(INDEX(Stores!$B:$B,MATCH(E124,Stores!$A:$A,0)),"Unknown")</f>
        <v>TrendMart Shivamogga Outlet</v>
      </c>
      <c r="Y124" t="str">
        <f>IFERROR(INDEX(Stores!$E:$E,MATCH(E124,Stores!$A:$A,0)),"Unknown")</f>
        <v>South Zone 2</v>
      </c>
      <c r="Z124" t="str">
        <f>IFERROR(INDEX(Customers!$J:$J,MATCH(C124,Customers!$A:$A,0)),"Unknown")</f>
        <v>Silver</v>
      </c>
      <c r="AA124" t="str">
        <f t="shared" si="1"/>
        <v>2025-03</v>
      </c>
      <c r="AB124" t="str">
        <f>IFERROR(INDEX(Products!$I:$I,MATCH(D124,Products!$A:$A,0)),"Unknown")</f>
        <v>SUP069</v>
      </c>
    </row>
    <row r="125" spans="1:28" x14ac:dyDescent="0.25">
      <c r="A125" t="s">
        <v>706</v>
      </c>
      <c r="B125" s="20">
        <v>45462</v>
      </c>
      <c r="C125" t="s">
        <v>707</v>
      </c>
      <c r="D125" t="s">
        <v>261</v>
      </c>
      <c r="E125" t="s">
        <v>451</v>
      </c>
      <c r="F125" t="s">
        <v>408</v>
      </c>
      <c r="G125">
        <v>2</v>
      </c>
      <c r="H125" s="21">
        <v>1313.09</v>
      </c>
      <c r="I125">
        <v>10</v>
      </c>
      <c r="J125" s="21">
        <v>262.62</v>
      </c>
      <c r="K125">
        <v>12</v>
      </c>
      <c r="L125" s="21">
        <v>283.63</v>
      </c>
      <c r="M125" s="21">
        <v>2647.19</v>
      </c>
      <c r="N125" s="21">
        <v>1689.3</v>
      </c>
      <c r="O125" s="21">
        <v>674.26</v>
      </c>
      <c r="P125" t="s">
        <v>123</v>
      </c>
      <c r="Q125" t="s">
        <v>122</v>
      </c>
      <c r="R125" t="s">
        <v>151</v>
      </c>
      <c r="S125" t="s">
        <v>708</v>
      </c>
      <c r="T125" t="s">
        <v>153</v>
      </c>
      <c r="U125" t="s">
        <v>154</v>
      </c>
      <c r="V125" t="str">
        <f>IFERROR(INDEX(Products!$C:$C,MATCH(D125,Products!$A:$A,0)),"Unknown")</f>
        <v>Women Kurtis</v>
      </c>
      <c r="W125" t="str">
        <f>IFERROR(INDEX(Products!$E:$E,MATCH(D125,Products!$A:$A,0)),"Unknown")</f>
        <v>Woodland</v>
      </c>
      <c r="X125" t="str">
        <f>IFERROR(INDEX(Stores!$B:$B,MATCH(E125,Stores!$A:$A,0)),"Unknown")</f>
        <v>TrendMart Thoothukudi High Street</v>
      </c>
      <c r="Y125" t="str">
        <f>IFERROR(INDEX(Stores!$E:$E,MATCH(E125,Stores!$A:$A,0)),"Unknown")</f>
        <v>South Zone 1</v>
      </c>
      <c r="Z125" t="str">
        <f>IFERROR(INDEX(Customers!$J:$J,MATCH(C125,Customers!$A:$A,0)),"Unknown")</f>
        <v>Gold</v>
      </c>
      <c r="AA125" t="str">
        <f t="shared" si="1"/>
        <v>2024-06</v>
      </c>
      <c r="AB125" t="str">
        <f>IFERROR(INDEX(Products!$I:$I,MATCH(D125,Products!$A:$A,0)),"Unknown")</f>
        <v>SUP071</v>
      </c>
    </row>
    <row r="126" spans="1:28" x14ac:dyDescent="0.25">
      <c r="A126" t="s">
        <v>709</v>
      </c>
      <c r="B126" s="20">
        <v>45449</v>
      </c>
      <c r="C126" t="s">
        <v>710</v>
      </c>
      <c r="D126" t="s">
        <v>670</v>
      </c>
      <c r="E126" t="s">
        <v>363</v>
      </c>
      <c r="F126" t="s">
        <v>201</v>
      </c>
      <c r="G126">
        <v>3</v>
      </c>
      <c r="H126" s="21">
        <v>1913.44</v>
      </c>
      <c r="I126">
        <v>20</v>
      </c>
      <c r="J126" s="21">
        <v>1148.06</v>
      </c>
      <c r="K126">
        <v>12</v>
      </c>
      <c r="L126" s="21">
        <v>551.07000000000005</v>
      </c>
      <c r="M126" s="21">
        <v>5143.33</v>
      </c>
      <c r="N126" s="21">
        <v>4135.1400000000003</v>
      </c>
      <c r="O126" s="21">
        <v>457.12</v>
      </c>
      <c r="P126" t="s">
        <v>125</v>
      </c>
      <c r="Q126" t="s">
        <v>122</v>
      </c>
      <c r="R126" t="s">
        <v>151</v>
      </c>
      <c r="S126" t="s">
        <v>711</v>
      </c>
      <c r="T126" t="s">
        <v>153</v>
      </c>
      <c r="U126" t="s">
        <v>154</v>
      </c>
      <c r="V126" t="str">
        <f>IFERROR(INDEX(Products!$C:$C,MATCH(D126,Products!$A:$A,0)),"Unknown")</f>
        <v>Women Sarees</v>
      </c>
      <c r="W126" t="str">
        <f>IFERROR(INDEX(Products!$E:$E,MATCH(D126,Products!$A:$A,0)),"Unknown")</f>
        <v>Reebok</v>
      </c>
      <c r="X126" t="str">
        <f>IFERROR(INDEX(Stores!$B:$B,MATCH(E126,Stores!$A:$A,0)),"Unknown")</f>
        <v>TrendMart Thiruvananthapuram High Street</v>
      </c>
      <c r="Y126" t="str">
        <f>IFERROR(INDEX(Stores!$E:$E,MATCH(E126,Stores!$A:$A,0)),"Unknown")</f>
        <v>South Zone 1</v>
      </c>
      <c r="Z126" t="str">
        <f>IFERROR(INDEX(Customers!$J:$J,MATCH(C126,Customers!$A:$A,0)),"Unknown")</f>
        <v>Gold</v>
      </c>
      <c r="AA126" t="str">
        <f t="shared" si="1"/>
        <v>2024-06</v>
      </c>
      <c r="AB126" t="str">
        <f>IFERROR(INDEX(Products!$I:$I,MATCH(D126,Products!$A:$A,0)),"Unknown")</f>
        <v>SUP073</v>
      </c>
    </row>
    <row r="127" spans="1:28" x14ac:dyDescent="0.25">
      <c r="A127" t="s">
        <v>712</v>
      </c>
      <c r="B127" s="20">
        <v>45724</v>
      </c>
      <c r="C127" t="s">
        <v>713</v>
      </c>
      <c r="D127" t="s">
        <v>583</v>
      </c>
      <c r="E127" t="s">
        <v>231</v>
      </c>
      <c r="F127" t="s">
        <v>221</v>
      </c>
      <c r="G127">
        <v>2</v>
      </c>
      <c r="H127" s="21">
        <v>958.29</v>
      </c>
      <c r="I127">
        <v>5</v>
      </c>
      <c r="J127" s="21">
        <v>95.83</v>
      </c>
      <c r="K127">
        <v>5</v>
      </c>
      <c r="L127" s="21">
        <v>91.04</v>
      </c>
      <c r="M127" s="21">
        <v>1911.79</v>
      </c>
      <c r="N127" s="21">
        <v>1259.44</v>
      </c>
      <c r="O127" s="21">
        <v>561.30999999999995</v>
      </c>
      <c r="P127" t="s">
        <v>125</v>
      </c>
      <c r="Q127" t="s">
        <v>120</v>
      </c>
      <c r="R127" t="s">
        <v>151</v>
      </c>
      <c r="S127" t="s">
        <v>714</v>
      </c>
      <c r="T127" t="s">
        <v>161</v>
      </c>
      <c r="U127" t="s">
        <v>154</v>
      </c>
      <c r="V127" t="str">
        <f>IFERROR(INDEX(Products!$C:$C,MATCH(D127,Products!$A:$A,0)),"Unknown")</f>
        <v>Women Tops</v>
      </c>
      <c r="W127" t="str">
        <f>IFERROR(INDEX(Products!$E:$E,MATCH(D127,Products!$A:$A,0)),"Unknown")</f>
        <v>Ramraj Cotton</v>
      </c>
      <c r="X127" t="str">
        <f>IFERROR(INDEX(Stores!$B:$B,MATCH(E127,Stores!$A:$A,0)),"Unknown")</f>
        <v>TrendMart Warangal Outlet</v>
      </c>
      <c r="Y127" t="str">
        <f>IFERROR(INDEX(Stores!$E:$E,MATCH(E127,Stores!$A:$A,0)),"Unknown")</f>
        <v>South Zone 2</v>
      </c>
      <c r="Z127" t="str">
        <f>IFERROR(INDEX(Customers!$J:$J,MATCH(C127,Customers!$A:$A,0)),"Unknown")</f>
        <v>Regular</v>
      </c>
      <c r="AA127" t="str">
        <f t="shared" si="1"/>
        <v>2025-03</v>
      </c>
      <c r="AB127" t="str">
        <f>IFERROR(INDEX(Products!$I:$I,MATCH(D127,Products!$A:$A,0)),"Unknown")</f>
        <v>SUP048</v>
      </c>
    </row>
    <row r="128" spans="1:28" x14ac:dyDescent="0.25">
      <c r="A128" t="s">
        <v>715</v>
      </c>
      <c r="B128" s="20">
        <v>45435</v>
      </c>
      <c r="C128" t="s">
        <v>716</v>
      </c>
      <c r="D128" t="s">
        <v>717</v>
      </c>
      <c r="E128" t="s">
        <v>92</v>
      </c>
      <c r="F128" t="s">
        <v>618</v>
      </c>
      <c r="G128">
        <v>2</v>
      </c>
      <c r="H128" s="21">
        <v>1651.37</v>
      </c>
      <c r="I128">
        <v>20</v>
      </c>
      <c r="J128" s="21">
        <v>660.55</v>
      </c>
      <c r="K128">
        <v>12</v>
      </c>
      <c r="L128" s="21">
        <v>317.06</v>
      </c>
      <c r="M128" s="21">
        <v>2959.25</v>
      </c>
      <c r="N128" s="21">
        <v>2266.54</v>
      </c>
      <c r="O128" s="21">
        <v>375.65</v>
      </c>
      <c r="P128" t="s">
        <v>124</v>
      </c>
      <c r="Q128" t="s">
        <v>120</v>
      </c>
      <c r="R128" t="s">
        <v>151</v>
      </c>
      <c r="S128" t="s">
        <v>718</v>
      </c>
      <c r="T128" t="s">
        <v>153</v>
      </c>
      <c r="U128" t="s">
        <v>154</v>
      </c>
      <c r="V128" t="str">
        <f>IFERROR(INDEX(Products!$C:$C,MATCH(D128,Products!$A:$A,0)),"Unknown")</f>
        <v>Women Dresses</v>
      </c>
      <c r="W128" t="str">
        <f>IFERROR(INDEX(Products!$E:$E,MATCH(D128,Products!$A:$A,0)),"Unknown")</f>
        <v>Pantaloons</v>
      </c>
      <c r="X128" t="str">
        <f>IFERROR(INDEX(Stores!$B:$B,MATCH(E128,Stores!$A:$A,0)),"Unknown")</f>
        <v>TrendMart Guntur High Street</v>
      </c>
      <c r="Y128" t="str">
        <f>IFERROR(INDEX(Stores!$E:$E,MATCH(E128,Stores!$A:$A,0)),"Unknown")</f>
        <v>South Zone 3</v>
      </c>
      <c r="Z128" t="str">
        <f>IFERROR(INDEX(Customers!$J:$J,MATCH(C128,Customers!$A:$A,0)),"Unknown")</f>
        <v>Silver</v>
      </c>
      <c r="AA128" t="str">
        <f t="shared" si="1"/>
        <v>2024-05</v>
      </c>
      <c r="AB128" t="str">
        <f>IFERROR(INDEX(Products!$I:$I,MATCH(D128,Products!$A:$A,0)),"Unknown")</f>
        <v>SUP046</v>
      </c>
    </row>
    <row r="129" spans="1:28" x14ac:dyDescent="0.25">
      <c r="A129" t="s">
        <v>719</v>
      </c>
      <c r="B129" s="20">
        <v>45412</v>
      </c>
      <c r="C129" t="s">
        <v>720</v>
      </c>
      <c r="D129" t="s">
        <v>164</v>
      </c>
      <c r="E129" t="s">
        <v>721</v>
      </c>
      <c r="F129" t="s">
        <v>397</v>
      </c>
      <c r="G129">
        <v>2</v>
      </c>
      <c r="H129" s="21">
        <v>3742.88</v>
      </c>
      <c r="I129">
        <v>15</v>
      </c>
      <c r="J129" s="21">
        <v>1122.8599999999999</v>
      </c>
      <c r="K129">
        <v>12</v>
      </c>
      <c r="L129" s="21">
        <v>763.55</v>
      </c>
      <c r="M129" s="21">
        <v>7126.45</v>
      </c>
      <c r="N129" s="21">
        <v>5267.12</v>
      </c>
      <c r="O129" s="21">
        <v>1095.78</v>
      </c>
      <c r="P129" t="s">
        <v>125</v>
      </c>
      <c r="Q129" t="s">
        <v>122</v>
      </c>
      <c r="R129" t="s">
        <v>151</v>
      </c>
      <c r="S129" t="s">
        <v>722</v>
      </c>
      <c r="T129" t="s">
        <v>153</v>
      </c>
      <c r="U129" t="s">
        <v>154</v>
      </c>
      <c r="V129" t="str">
        <f>IFERROR(INDEX(Products!$C:$C,MATCH(D129,Products!$A:$A,0)),"Unknown")</f>
        <v>Women Sarees</v>
      </c>
      <c r="W129" t="str">
        <f>IFERROR(INDEX(Products!$E:$E,MATCH(D129,Products!$A:$A,0)),"Unknown")</f>
        <v>Westside</v>
      </c>
      <c r="X129" t="str">
        <f>IFERROR(INDEX(Stores!$B:$B,MATCH(E129,Stores!$A:$A,0)),"Unknown")</f>
        <v>TrendMart Kollam Flagship</v>
      </c>
      <c r="Y129" t="str">
        <f>IFERROR(INDEX(Stores!$E:$E,MATCH(E129,Stores!$A:$A,0)),"Unknown")</f>
        <v>South Zone 1</v>
      </c>
      <c r="Z129" t="str">
        <f>IFERROR(INDEX(Customers!$J:$J,MATCH(C129,Customers!$A:$A,0)),"Unknown")</f>
        <v>Regular</v>
      </c>
      <c r="AA129" t="str">
        <f t="shared" si="1"/>
        <v>2024-04</v>
      </c>
      <c r="AB129" t="str">
        <f>IFERROR(INDEX(Products!$I:$I,MATCH(D129,Products!$A:$A,0)),"Unknown")</f>
        <v>SUP069</v>
      </c>
    </row>
    <row r="130" spans="1:28" x14ac:dyDescent="0.25">
      <c r="A130" t="s">
        <v>723</v>
      </c>
      <c r="B130" s="20">
        <v>45546</v>
      </c>
      <c r="C130" t="s">
        <v>582</v>
      </c>
      <c r="D130" t="s">
        <v>622</v>
      </c>
      <c r="E130" t="s">
        <v>194</v>
      </c>
      <c r="F130" t="s">
        <v>574</v>
      </c>
      <c r="G130">
        <v>2</v>
      </c>
      <c r="H130" s="21">
        <v>2578.27</v>
      </c>
      <c r="I130">
        <v>30</v>
      </c>
      <c r="J130" s="21">
        <v>1546.96</v>
      </c>
      <c r="K130">
        <v>12</v>
      </c>
      <c r="L130" s="21">
        <v>433.15</v>
      </c>
      <c r="M130" s="21">
        <v>4042.73</v>
      </c>
      <c r="N130" s="21">
        <v>3706.28</v>
      </c>
      <c r="O130" s="21">
        <v>-96.7</v>
      </c>
      <c r="P130" t="s">
        <v>121</v>
      </c>
      <c r="Q130" t="s">
        <v>120</v>
      </c>
      <c r="R130" t="s">
        <v>151</v>
      </c>
      <c r="S130" t="s">
        <v>724</v>
      </c>
      <c r="T130" t="s">
        <v>153</v>
      </c>
      <c r="U130" t="s">
        <v>184</v>
      </c>
      <c r="V130" t="str">
        <f>IFERROR(INDEX(Products!$C:$C,MATCH(D130,Products!$A:$A,0)),"Unknown")</f>
        <v>Women Sarees</v>
      </c>
      <c r="W130" t="str">
        <f>IFERROR(INDEX(Products!$E:$E,MATCH(D130,Products!$A:$A,0)),"Unknown")</f>
        <v>Sparx</v>
      </c>
      <c r="X130" t="str">
        <f>IFERROR(INDEX(Stores!$B:$B,MATCH(E130,Stores!$A:$A,0)),"Unknown")</f>
        <v>TrendMart Tirupati High Street</v>
      </c>
      <c r="Y130" t="str">
        <f>IFERROR(INDEX(Stores!$E:$E,MATCH(E130,Stores!$A:$A,0)),"Unknown")</f>
        <v>South Zone 3</v>
      </c>
      <c r="Z130" t="str">
        <f>IFERROR(INDEX(Customers!$J:$J,MATCH(C130,Customers!$A:$A,0)),"Unknown")</f>
        <v>Silver</v>
      </c>
      <c r="AA130" t="str">
        <f t="shared" ref="AA130:AA193" si="2">TEXT(B130,"YYYY-MM")</f>
        <v>2024-09</v>
      </c>
      <c r="AB130" t="str">
        <f>IFERROR(INDEX(Products!$I:$I,MATCH(D130,Products!$A:$A,0)),"Unknown")</f>
        <v>SUP080</v>
      </c>
    </row>
    <row r="131" spans="1:28" x14ac:dyDescent="0.25">
      <c r="A131" t="s">
        <v>725</v>
      </c>
      <c r="B131" s="20">
        <v>45713</v>
      </c>
      <c r="C131" t="s">
        <v>726</v>
      </c>
      <c r="D131" t="s">
        <v>251</v>
      </c>
      <c r="E131" t="s">
        <v>727</v>
      </c>
      <c r="F131" t="s">
        <v>403</v>
      </c>
      <c r="G131">
        <v>3</v>
      </c>
      <c r="H131" s="21">
        <v>800.33</v>
      </c>
      <c r="I131">
        <v>20</v>
      </c>
      <c r="J131" s="21">
        <v>480.2</v>
      </c>
      <c r="K131">
        <v>5</v>
      </c>
      <c r="L131" s="21">
        <v>96.04</v>
      </c>
      <c r="M131" s="21">
        <v>2016.83</v>
      </c>
      <c r="N131" s="21">
        <v>1604.43</v>
      </c>
      <c r="O131" s="21">
        <v>316.36</v>
      </c>
      <c r="P131" t="s">
        <v>121</v>
      </c>
      <c r="Q131" t="s">
        <v>120</v>
      </c>
      <c r="R131" t="s">
        <v>151</v>
      </c>
      <c r="S131" t="s">
        <v>728</v>
      </c>
      <c r="T131" t="s">
        <v>153</v>
      </c>
      <c r="U131" t="s">
        <v>154</v>
      </c>
      <c r="V131" t="str">
        <f>IFERROR(INDEX(Products!$C:$C,MATCH(D131,Products!$A:$A,0)),"Unknown")</f>
        <v>Women Tops</v>
      </c>
      <c r="W131" t="str">
        <f>IFERROR(INDEX(Products!$E:$E,MATCH(D131,Products!$A:$A,0)),"Unknown")</f>
        <v>US Polo Assn</v>
      </c>
      <c r="X131" t="str">
        <f>IFERROR(INDEX(Stores!$B:$B,MATCH(E131,Stores!$A:$A,0)),"Unknown")</f>
        <v>TrendMart Nizamabad Standard</v>
      </c>
      <c r="Y131" t="str">
        <f>IFERROR(INDEX(Stores!$E:$E,MATCH(E131,Stores!$A:$A,0)),"Unknown")</f>
        <v>South Zone 2</v>
      </c>
      <c r="Z131" t="str">
        <f>IFERROR(INDEX(Customers!$J:$J,MATCH(C131,Customers!$A:$A,0)),"Unknown")</f>
        <v>Platinum</v>
      </c>
      <c r="AA131" t="str">
        <f t="shared" si="2"/>
        <v>2025-02</v>
      </c>
      <c r="AB131" t="str">
        <f>IFERROR(INDEX(Products!$I:$I,MATCH(D131,Products!$A:$A,0)),"Unknown")</f>
        <v>SUP039</v>
      </c>
    </row>
    <row r="132" spans="1:28" x14ac:dyDescent="0.25">
      <c r="A132" t="s">
        <v>729</v>
      </c>
      <c r="B132" s="20">
        <v>45504</v>
      </c>
      <c r="C132" t="s">
        <v>730</v>
      </c>
      <c r="D132" t="s">
        <v>481</v>
      </c>
      <c r="E132" t="s">
        <v>387</v>
      </c>
      <c r="F132" t="s">
        <v>275</v>
      </c>
      <c r="G132">
        <v>4</v>
      </c>
      <c r="H132" s="21">
        <v>852.33</v>
      </c>
      <c r="I132">
        <v>30</v>
      </c>
      <c r="J132" s="21">
        <v>1022.8</v>
      </c>
      <c r="K132">
        <v>5</v>
      </c>
      <c r="L132" s="21">
        <v>119.33</v>
      </c>
      <c r="M132" s="21">
        <v>2505.85</v>
      </c>
      <c r="N132" s="21">
        <v>2792.32</v>
      </c>
      <c r="O132" s="21">
        <v>-405.8</v>
      </c>
      <c r="P132" t="s">
        <v>121</v>
      </c>
      <c r="Q132" t="s">
        <v>122</v>
      </c>
      <c r="R132" t="s">
        <v>151</v>
      </c>
      <c r="S132" t="s">
        <v>731</v>
      </c>
      <c r="T132" t="s">
        <v>153</v>
      </c>
      <c r="U132" t="s">
        <v>184</v>
      </c>
      <c r="V132" t="str">
        <f>IFERROR(INDEX(Products!$C:$C,MATCH(D132,Products!$A:$A,0)),"Unknown")</f>
        <v>Women Dresses</v>
      </c>
      <c r="W132" t="str">
        <f>IFERROR(INDEX(Products!$E:$E,MATCH(D132,Products!$A:$A,0)),"Unknown")</f>
        <v>Jack &amp; Jones</v>
      </c>
      <c r="X132" t="str">
        <f>IFERROR(INDEX(Stores!$B:$B,MATCH(E132,Stores!$A:$A,0)),"Unknown")</f>
        <v>TrendMart Kannur Outlet</v>
      </c>
      <c r="Y132" t="str">
        <f>IFERROR(INDEX(Stores!$E:$E,MATCH(E132,Stores!$A:$A,0)),"Unknown")</f>
        <v>South Zone 1</v>
      </c>
      <c r="Z132" t="str">
        <f>IFERROR(INDEX(Customers!$J:$J,MATCH(C132,Customers!$A:$A,0)),"Unknown")</f>
        <v>Gold</v>
      </c>
      <c r="AA132" t="str">
        <f t="shared" si="2"/>
        <v>2024-07</v>
      </c>
      <c r="AB132" t="str">
        <f>IFERROR(INDEX(Products!$I:$I,MATCH(D132,Products!$A:$A,0)),"Unknown")</f>
        <v>SUP069</v>
      </c>
    </row>
    <row r="133" spans="1:28" x14ac:dyDescent="0.25">
      <c r="A133" t="s">
        <v>732</v>
      </c>
      <c r="B133" s="20">
        <v>45594</v>
      </c>
      <c r="C133" t="s">
        <v>733</v>
      </c>
      <c r="D133" t="s">
        <v>734</v>
      </c>
      <c r="E133" t="s">
        <v>701</v>
      </c>
      <c r="F133" t="s">
        <v>189</v>
      </c>
      <c r="G133">
        <v>2</v>
      </c>
      <c r="H133" s="21">
        <v>329.78</v>
      </c>
      <c r="I133">
        <v>10</v>
      </c>
      <c r="J133" s="21">
        <v>65.959999999999994</v>
      </c>
      <c r="K133">
        <v>5</v>
      </c>
      <c r="L133" s="21">
        <v>29.68</v>
      </c>
      <c r="M133" s="21">
        <v>623.28</v>
      </c>
      <c r="N133" s="21">
        <v>426.78</v>
      </c>
      <c r="O133" s="21">
        <v>166.82</v>
      </c>
      <c r="P133" t="s">
        <v>123</v>
      </c>
      <c r="Q133" t="s">
        <v>120</v>
      </c>
      <c r="R133" t="s">
        <v>151</v>
      </c>
      <c r="S133" t="s">
        <v>735</v>
      </c>
      <c r="T133" t="s">
        <v>153</v>
      </c>
      <c r="U133" t="s">
        <v>154</v>
      </c>
      <c r="V133" t="str">
        <f>IFERROR(INDEX(Products!$C:$C,MATCH(D133,Products!$A:$A,0)),"Unknown")</f>
        <v>Accessories</v>
      </c>
      <c r="W133" t="str">
        <f>IFERROR(INDEX(Products!$E:$E,MATCH(D133,Products!$A:$A,0)),"Unknown")</f>
        <v>Global Desi</v>
      </c>
      <c r="X133" t="str">
        <f>IFERROR(INDEX(Stores!$B:$B,MATCH(E133,Stores!$A:$A,0)),"Unknown")</f>
        <v>TrendMart Vijayawada Mall Kiosk</v>
      </c>
      <c r="Y133" t="str">
        <f>IFERROR(INDEX(Stores!$E:$E,MATCH(E133,Stores!$A:$A,0)),"Unknown")</f>
        <v>South Zone 3</v>
      </c>
      <c r="Z133" t="str">
        <f>IFERROR(INDEX(Customers!$J:$J,MATCH(C133,Customers!$A:$A,0)),"Unknown")</f>
        <v>Gold</v>
      </c>
      <c r="AA133" t="str">
        <f t="shared" si="2"/>
        <v>2024-10</v>
      </c>
      <c r="AB133" t="str">
        <f>IFERROR(INDEX(Products!$I:$I,MATCH(D133,Products!$A:$A,0)),"Unknown")</f>
        <v>SUP021</v>
      </c>
    </row>
    <row r="134" spans="1:28" x14ac:dyDescent="0.25">
      <c r="A134" t="s">
        <v>736</v>
      </c>
      <c r="B134" s="20">
        <v>45448</v>
      </c>
      <c r="C134" t="s">
        <v>214</v>
      </c>
      <c r="D134" t="s">
        <v>251</v>
      </c>
      <c r="E134" t="s">
        <v>477</v>
      </c>
      <c r="F134" t="s">
        <v>532</v>
      </c>
      <c r="G134">
        <v>2</v>
      </c>
      <c r="H134" s="21">
        <v>757.28</v>
      </c>
      <c r="I134">
        <v>20</v>
      </c>
      <c r="J134" s="21">
        <v>302.91000000000003</v>
      </c>
      <c r="K134">
        <v>5</v>
      </c>
      <c r="L134" s="21">
        <v>60.58</v>
      </c>
      <c r="M134" s="21">
        <v>1272.23</v>
      </c>
      <c r="N134" s="21">
        <v>1069.6199999999999</v>
      </c>
      <c r="O134" s="21">
        <v>142.03</v>
      </c>
      <c r="P134" t="s">
        <v>124</v>
      </c>
      <c r="Q134" t="s">
        <v>120</v>
      </c>
      <c r="R134" t="s">
        <v>151</v>
      </c>
      <c r="S134" t="s">
        <v>737</v>
      </c>
      <c r="T134" t="s">
        <v>153</v>
      </c>
      <c r="U134" t="s">
        <v>154</v>
      </c>
      <c r="V134" t="str">
        <f>IFERROR(INDEX(Products!$C:$C,MATCH(D134,Products!$A:$A,0)),"Unknown")</f>
        <v>Women Tops</v>
      </c>
      <c r="W134" t="str">
        <f>IFERROR(INDEX(Products!$E:$E,MATCH(D134,Products!$A:$A,0)),"Unknown")</f>
        <v>US Polo Assn</v>
      </c>
      <c r="X134" t="str">
        <f>IFERROR(INDEX(Stores!$B:$B,MATCH(E134,Stores!$A:$A,0)),"Unknown")</f>
        <v>TrendMart Hubballi Standard</v>
      </c>
      <c r="Y134" t="str">
        <f>IFERROR(INDEX(Stores!$E:$E,MATCH(E134,Stores!$A:$A,0)),"Unknown")</f>
        <v>South Zone 2</v>
      </c>
      <c r="Z134" t="str">
        <f>IFERROR(INDEX(Customers!$J:$J,MATCH(C134,Customers!$A:$A,0)),"Unknown")</f>
        <v>Silver</v>
      </c>
      <c r="AA134" t="str">
        <f t="shared" si="2"/>
        <v>2024-06</v>
      </c>
      <c r="AB134" t="str">
        <f>IFERROR(INDEX(Products!$I:$I,MATCH(D134,Products!$A:$A,0)),"Unknown")</f>
        <v>SUP039</v>
      </c>
    </row>
    <row r="135" spans="1:28" x14ac:dyDescent="0.25">
      <c r="A135" t="s">
        <v>738</v>
      </c>
      <c r="B135" s="20">
        <v>45436</v>
      </c>
      <c r="C135" t="s">
        <v>739</v>
      </c>
      <c r="D135" t="s">
        <v>740</v>
      </c>
      <c r="E135" t="s">
        <v>741</v>
      </c>
      <c r="F135" t="s">
        <v>516</v>
      </c>
      <c r="G135">
        <v>1</v>
      </c>
      <c r="H135" s="21">
        <v>2350.16</v>
      </c>
      <c r="I135">
        <v>25</v>
      </c>
      <c r="J135" s="21">
        <v>587.54</v>
      </c>
      <c r="K135">
        <v>12</v>
      </c>
      <c r="L135" s="21">
        <v>211.51</v>
      </c>
      <c r="M135" s="21">
        <v>1974.13</v>
      </c>
      <c r="N135" s="21">
        <v>1551.42</v>
      </c>
      <c r="O135" s="21">
        <v>211.2</v>
      </c>
      <c r="P135" t="s">
        <v>121</v>
      </c>
      <c r="Q135" t="s">
        <v>120</v>
      </c>
      <c r="R135" t="s">
        <v>151</v>
      </c>
      <c r="S135" t="s">
        <v>643</v>
      </c>
      <c r="T135" t="s">
        <v>153</v>
      </c>
      <c r="U135" t="s">
        <v>154</v>
      </c>
      <c r="V135" t="str">
        <f>IFERROR(INDEX(Products!$C:$C,MATCH(D135,Products!$A:$A,0)),"Unknown")</f>
        <v>Men Ethnic</v>
      </c>
      <c r="W135" t="str">
        <f>IFERROR(INDEX(Products!$E:$E,MATCH(D135,Products!$A:$A,0)),"Unknown")</f>
        <v>Max Fashion</v>
      </c>
      <c r="X135" t="str">
        <f>IFERROR(INDEX(Stores!$B:$B,MATCH(E135,Stores!$A:$A,0)),"Unknown")</f>
        <v>TrendMart Nellore Mall Kiosk</v>
      </c>
      <c r="Y135" t="str">
        <f>IFERROR(INDEX(Stores!$E:$E,MATCH(E135,Stores!$A:$A,0)),"Unknown")</f>
        <v>South Zone 3</v>
      </c>
      <c r="Z135" t="str">
        <f>IFERROR(INDEX(Customers!$J:$J,MATCH(C135,Customers!$A:$A,0)),"Unknown")</f>
        <v>Silver</v>
      </c>
      <c r="AA135" t="str">
        <f t="shared" si="2"/>
        <v>2024-05</v>
      </c>
      <c r="AB135" t="str">
        <f>IFERROR(INDEX(Products!$I:$I,MATCH(D135,Products!$A:$A,0)),"Unknown")</f>
        <v>SUP001</v>
      </c>
    </row>
    <row r="136" spans="1:28" x14ac:dyDescent="0.25">
      <c r="A136" t="s">
        <v>742</v>
      </c>
      <c r="B136" s="20">
        <v>45592</v>
      </c>
      <c r="C136" t="s">
        <v>743</v>
      </c>
      <c r="D136" t="s">
        <v>210</v>
      </c>
      <c r="E136" t="s">
        <v>387</v>
      </c>
      <c r="F136" t="s">
        <v>516</v>
      </c>
      <c r="G136">
        <v>1</v>
      </c>
      <c r="H136" s="21">
        <v>1970.89</v>
      </c>
      <c r="I136">
        <v>10</v>
      </c>
      <c r="J136" s="21">
        <v>197.09</v>
      </c>
      <c r="K136">
        <v>12</v>
      </c>
      <c r="L136" s="21">
        <v>212.86</v>
      </c>
      <c r="M136" s="21">
        <v>1986.66</v>
      </c>
      <c r="N136" s="21">
        <v>1399.85</v>
      </c>
      <c r="O136" s="21">
        <v>373.95</v>
      </c>
      <c r="P136" t="s">
        <v>124</v>
      </c>
      <c r="Q136" t="s">
        <v>122</v>
      </c>
      <c r="R136" t="s">
        <v>151</v>
      </c>
      <c r="S136" t="s">
        <v>404</v>
      </c>
      <c r="T136" t="s">
        <v>161</v>
      </c>
      <c r="U136" t="s">
        <v>154</v>
      </c>
      <c r="V136" t="str">
        <f>IFERROR(INDEX(Products!$C:$C,MATCH(D136,Products!$A:$A,0)),"Unknown")</f>
        <v>Women Dresses</v>
      </c>
      <c r="W136" t="str">
        <f>IFERROR(INDEX(Products!$E:$E,MATCH(D136,Products!$A:$A,0)),"Unknown")</f>
        <v>Nike</v>
      </c>
      <c r="X136" t="str">
        <f>IFERROR(INDEX(Stores!$B:$B,MATCH(E136,Stores!$A:$A,0)),"Unknown")</f>
        <v>TrendMart Kannur Outlet</v>
      </c>
      <c r="Y136" t="str">
        <f>IFERROR(INDEX(Stores!$E:$E,MATCH(E136,Stores!$A:$A,0)),"Unknown")</f>
        <v>South Zone 1</v>
      </c>
      <c r="Z136" t="str">
        <f>IFERROR(INDEX(Customers!$J:$J,MATCH(C136,Customers!$A:$A,0)),"Unknown")</f>
        <v>Silver</v>
      </c>
      <c r="AA136" t="str">
        <f t="shared" si="2"/>
        <v>2024-10</v>
      </c>
      <c r="AB136" t="str">
        <f>IFERROR(INDEX(Products!$I:$I,MATCH(D136,Products!$A:$A,0)),"Unknown")</f>
        <v>SUP073</v>
      </c>
    </row>
    <row r="137" spans="1:28" x14ac:dyDescent="0.25">
      <c r="A137" t="s">
        <v>744</v>
      </c>
      <c r="B137" s="20">
        <v>45618</v>
      </c>
      <c r="C137" t="s">
        <v>414</v>
      </c>
      <c r="D137" t="s">
        <v>285</v>
      </c>
      <c r="E137" t="s">
        <v>745</v>
      </c>
      <c r="F137" t="s">
        <v>286</v>
      </c>
      <c r="G137">
        <v>4</v>
      </c>
      <c r="H137" s="21">
        <v>704.13</v>
      </c>
      <c r="I137">
        <v>0</v>
      </c>
      <c r="J137" s="21">
        <v>0</v>
      </c>
      <c r="K137">
        <v>5</v>
      </c>
      <c r="L137" s="21">
        <v>140.83000000000001</v>
      </c>
      <c r="M137" s="21">
        <v>2957.35</v>
      </c>
      <c r="N137" s="21">
        <v>1997.24</v>
      </c>
      <c r="O137" s="21">
        <v>819.28</v>
      </c>
      <c r="P137" t="s">
        <v>123</v>
      </c>
      <c r="Q137" t="s">
        <v>120</v>
      </c>
      <c r="R137" t="s">
        <v>151</v>
      </c>
      <c r="S137" t="s">
        <v>336</v>
      </c>
      <c r="T137" t="s">
        <v>153</v>
      </c>
      <c r="U137" t="s">
        <v>154</v>
      </c>
      <c r="V137" t="str">
        <f>IFERROR(INDEX(Products!$C:$C,MATCH(D137,Products!$A:$A,0)),"Unknown")</f>
        <v>Kids Wear</v>
      </c>
      <c r="W137" t="str">
        <f>IFERROR(INDEX(Products!$E:$E,MATCH(D137,Products!$A:$A,0)),"Unknown")</f>
        <v>Global Desi</v>
      </c>
      <c r="X137" t="str">
        <f>IFERROR(INDEX(Stores!$B:$B,MATCH(E137,Stores!$A:$A,0)),"Unknown")</f>
        <v>TrendMart Thiruvananthapuram Outlet</v>
      </c>
      <c r="Y137" t="str">
        <f>IFERROR(INDEX(Stores!$E:$E,MATCH(E137,Stores!$A:$A,0)),"Unknown")</f>
        <v>South Zone 1</v>
      </c>
      <c r="Z137" t="str">
        <f>IFERROR(INDEX(Customers!$J:$J,MATCH(C137,Customers!$A:$A,0)),"Unknown")</f>
        <v>Regular</v>
      </c>
      <c r="AA137" t="str">
        <f t="shared" si="2"/>
        <v>2024-11</v>
      </c>
      <c r="AB137" t="str">
        <f>IFERROR(INDEX(Products!$I:$I,MATCH(D137,Products!$A:$A,0)),"Unknown")</f>
        <v>SUP008</v>
      </c>
    </row>
    <row r="138" spans="1:28" x14ac:dyDescent="0.25">
      <c r="A138" t="s">
        <v>746</v>
      </c>
      <c r="B138" s="20">
        <v>45567</v>
      </c>
      <c r="C138" t="s">
        <v>747</v>
      </c>
      <c r="D138" t="s">
        <v>748</v>
      </c>
      <c r="E138" t="s">
        <v>721</v>
      </c>
      <c r="F138" t="s">
        <v>408</v>
      </c>
      <c r="G138">
        <v>3</v>
      </c>
      <c r="H138" s="21">
        <v>1145.52</v>
      </c>
      <c r="I138">
        <v>10</v>
      </c>
      <c r="J138" s="21">
        <v>343.66</v>
      </c>
      <c r="K138">
        <v>12</v>
      </c>
      <c r="L138" s="21">
        <v>371.15</v>
      </c>
      <c r="M138" s="21">
        <v>3464.05</v>
      </c>
      <c r="N138" s="21">
        <v>2525.5500000000002</v>
      </c>
      <c r="O138" s="21">
        <v>567.35</v>
      </c>
      <c r="P138" t="s">
        <v>121</v>
      </c>
      <c r="Q138" t="s">
        <v>120</v>
      </c>
      <c r="R138" t="s">
        <v>151</v>
      </c>
      <c r="S138" t="s">
        <v>749</v>
      </c>
      <c r="T138" t="s">
        <v>153</v>
      </c>
      <c r="U138" t="s">
        <v>154</v>
      </c>
      <c r="V138" t="str">
        <f>IFERROR(INDEX(Products!$C:$C,MATCH(D138,Products!$A:$A,0)),"Unknown")</f>
        <v>Women Dresses</v>
      </c>
      <c r="W138" t="str">
        <f>IFERROR(INDEX(Products!$E:$E,MATCH(D138,Products!$A:$A,0)),"Unknown")</f>
        <v>Kalyan Silks</v>
      </c>
      <c r="X138" t="str">
        <f>IFERROR(INDEX(Stores!$B:$B,MATCH(E138,Stores!$A:$A,0)),"Unknown")</f>
        <v>TrendMart Kollam Flagship</v>
      </c>
      <c r="Y138" t="str">
        <f>IFERROR(INDEX(Stores!$E:$E,MATCH(E138,Stores!$A:$A,0)),"Unknown")</f>
        <v>South Zone 1</v>
      </c>
      <c r="Z138" t="str">
        <f>IFERROR(INDEX(Customers!$J:$J,MATCH(C138,Customers!$A:$A,0)),"Unknown")</f>
        <v>Gold</v>
      </c>
      <c r="AA138" t="str">
        <f t="shared" si="2"/>
        <v>2024-10</v>
      </c>
      <c r="AB138" t="str">
        <f>IFERROR(INDEX(Products!$I:$I,MATCH(D138,Products!$A:$A,0)),"Unknown")</f>
        <v>SUP036</v>
      </c>
    </row>
    <row r="139" spans="1:28" x14ac:dyDescent="0.25">
      <c r="A139" t="s">
        <v>750</v>
      </c>
      <c r="B139" s="20">
        <v>45482</v>
      </c>
      <c r="C139" t="s">
        <v>328</v>
      </c>
      <c r="D139" t="s">
        <v>751</v>
      </c>
      <c r="E139" t="s">
        <v>752</v>
      </c>
      <c r="F139" t="s">
        <v>221</v>
      </c>
      <c r="G139">
        <v>1</v>
      </c>
      <c r="H139" s="21">
        <v>1303.31</v>
      </c>
      <c r="I139">
        <v>0</v>
      </c>
      <c r="J139" s="21">
        <v>0</v>
      </c>
      <c r="K139">
        <v>12</v>
      </c>
      <c r="L139" s="21">
        <v>156.4</v>
      </c>
      <c r="M139" s="21">
        <v>1459.71</v>
      </c>
      <c r="N139" s="21">
        <v>939.13</v>
      </c>
      <c r="O139" s="21">
        <v>364.18</v>
      </c>
      <c r="P139" t="s">
        <v>121</v>
      </c>
      <c r="Q139" t="s">
        <v>120</v>
      </c>
      <c r="R139" t="s">
        <v>151</v>
      </c>
      <c r="S139" t="s">
        <v>753</v>
      </c>
      <c r="T139" t="s">
        <v>153</v>
      </c>
      <c r="U139" t="s">
        <v>154</v>
      </c>
      <c r="V139" t="str">
        <f>IFERROR(INDEX(Products!$C:$C,MATCH(D139,Products!$A:$A,0)),"Unknown")</f>
        <v>Wallets</v>
      </c>
      <c r="W139" t="str">
        <f>IFERROR(INDEX(Products!$E:$E,MATCH(D139,Products!$A:$A,0)),"Unknown")</f>
        <v>Numero Uno</v>
      </c>
      <c r="X139" t="str">
        <f>IFERROR(INDEX(Stores!$B:$B,MATCH(E139,Stores!$A:$A,0)),"Unknown")</f>
        <v>TrendMart Dindigul High Street</v>
      </c>
      <c r="Y139" t="str">
        <f>IFERROR(INDEX(Stores!$E:$E,MATCH(E139,Stores!$A:$A,0)),"Unknown")</f>
        <v>South Zone 1</v>
      </c>
      <c r="Z139" t="str">
        <f>IFERROR(INDEX(Customers!$J:$J,MATCH(C139,Customers!$A:$A,0)),"Unknown")</f>
        <v>Platinum</v>
      </c>
      <c r="AA139" t="str">
        <f t="shared" si="2"/>
        <v>2024-07</v>
      </c>
      <c r="AB139" t="str">
        <f>IFERROR(INDEX(Products!$I:$I,MATCH(D139,Products!$A:$A,0)),"Unknown")</f>
        <v>SUP029</v>
      </c>
    </row>
    <row r="140" spans="1:28" x14ac:dyDescent="0.25">
      <c r="A140" t="s">
        <v>754</v>
      </c>
      <c r="B140" s="20">
        <v>45385</v>
      </c>
      <c r="C140" t="s">
        <v>755</v>
      </c>
      <c r="D140" t="s">
        <v>756</v>
      </c>
      <c r="E140" t="s">
        <v>634</v>
      </c>
      <c r="F140" t="s">
        <v>596</v>
      </c>
      <c r="G140">
        <v>1</v>
      </c>
      <c r="H140" s="21">
        <v>708.97</v>
      </c>
      <c r="I140">
        <v>10</v>
      </c>
      <c r="J140" s="21">
        <v>70.900000000000006</v>
      </c>
      <c r="K140">
        <v>5</v>
      </c>
      <c r="L140" s="21">
        <v>31.9</v>
      </c>
      <c r="M140" s="21">
        <v>669.97</v>
      </c>
      <c r="N140" s="21">
        <v>522.38</v>
      </c>
      <c r="O140" s="21">
        <v>115.69</v>
      </c>
      <c r="P140" t="s">
        <v>121</v>
      </c>
      <c r="Q140" t="s">
        <v>120</v>
      </c>
      <c r="R140" t="s">
        <v>151</v>
      </c>
      <c r="S140" t="s">
        <v>757</v>
      </c>
      <c r="T140" t="s">
        <v>153</v>
      </c>
      <c r="U140" t="s">
        <v>154</v>
      </c>
      <c r="V140" t="str">
        <f>IFERROR(INDEX(Products!$C:$C,MATCH(D140,Products!$A:$A,0)),"Unknown")</f>
        <v>Women Tops</v>
      </c>
      <c r="W140" t="str">
        <f>IFERROR(INDEX(Products!$E:$E,MATCH(D140,Products!$A:$A,0)),"Unknown")</f>
        <v>Peter England</v>
      </c>
      <c r="X140" t="str">
        <f>IFERROR(INDEX(Stores!$B:$B,MATCH(E140,Stores!$A:$A,0)),"Unknown")</f>
        <v>TrendMart Thrissur High Street</v>
      </c>
      <c r="Y140" t="str">
        <f>IFERROR(INDEX(Stores!$E:$E,MATCH(E140,Stores!$A:$A,0)),"Unknown")</f>
        <v>South Zone 1</v>
      </c>
      <c r="Z140" t="str">
        <f>IFERROR(INDEX(Customers!$J:$J,MATCH(C140,Customers!$A:$A,0)),"Unknown")</f>
        <v>Regular</v>
      </c>
      <c r="AA140" t="str">
        <f t="shared" si="2"/>
        <v>2024-04</v>
      </c>
      <c r="AB140" t="str">
        <f>IFERROR(INDEX(Products!$I:$I,MATCH(D140,Products!$A:$A,0)),"Unknown")</f>
        <v>SUP018</v>
      </c>
    </row>
    <row r="141" spans="1:28" x14ac:dyDescent="0.25">
      <c r="A141" t="s">
        <v>758</v>
      </c>
      <c r="B141" s="20">
        <v>45410</v>
      </c>
      <c r="C141" t="s">
        <v>759</v>
      </c>
      <c r="D141" t="s">
        <v>666</v>
      </c>
      <c r="E141" t="s">
        <v>274</v>
      </c>
      <c r="F141" t="s">
        <v>574</v>
      </c>
      <c r="G141">
        <v>4</v>
      </c>
      <c r="H141" s="21">
        <v>1475.2</v>
      </c>
      <c r="I141">
        <v>30</v>
      </c>
      <c r="J141" s="21">
        <v>1770.24</v>
      </c>
      <c r="K141">
        <v>12</v>
      </c>
      <c r="L141" s="21">
        <v>495.67</v>
      </c>
      <c r="M141" s="21">
        <v>4626.2299999999996</v>
      </c>
      <c r="N141" s="21">
        <v>3616.84</v>
      </c>
      <c r="O141" s="21">
        <v>513.72</v>
      </c>
      <c r="P141" t="s">
        <v>124</v>
      </c>
      <c r="Q141" t="s">
        <v>120</v>
      </c>
      <c r="R141" t="s">
        <v>151</v>
      </c>
      <c r="S141" t="s">
        <v>760</v>
      </c>
      <c r="T141" t="s">
        <v>161</v>
      </c>
      <c r="U141" t="s">
        <v>154</v>
      </c>
      <c r="V141" t="str">
        <f>IFERROR(INDEX(Products!$C:$C,MATCH(D141,Products!$A:$A,0)),"Unknown")</f>
        <v>Wallets</v>
      </c>
      <c r="W141" t="str">
        <f>IFERROR(INDEX(Products!$E:$E,MATCH(D141,Products!$A:$A,0)),"Unknown")</f>
        <v>Louis Philippe</v>
      </c>
      <c r="X141" t="str">
        <f>IFERROR(INDEX(Stores!$B:$B,MATCH(E141,Stores!$A:$A,0)),"Unknown")</f>
        <v>TrendMart Mangaluru Standard</v>
      </c>
      <c r="Y141" t="str">
        <f>IFERROR(INDEX(Stores!$E:$E,MATCH(E141,Stores!$A:$A,0)),"Unknown")</f>
        <v>South Zone 2</v>
      </c>
      <c r="Z141" t="str">
        <f>IFERROR(INDEX(Customers!$J:$J,MATCH(C141,Customers!$A:$A,0)),"Unknown")</f>
        <v>Regular</v>
      </c>
      <c r="AA141" t="str">
        <f t="shared" si="2"/>
        <v>2024-04</v>
      </c>
      <c r="AB141" t="str">
        <f>IFERROR(INDEX(Products!$I:$I,MATCH(D141,Products!$A:$A,0)),"Unknown")</f>
        <v>SUP039</v>
      </c>
    </row>
    <row r="142" spans="1:28" x14ac:dyDescent="0.25">
      <c r="A142" t="s">
        <v>761</v>
      </c>
      <c r="B142" s="20">
        <v>45392</v>
      </c>
      <c r="C142" t="s">
        <v>762</v>
      </c>
      <c r="D142" t="s">
        <v>763</v>
      </c>
      <c r="E142" t="s">
        <v>89</v>
      </c>
      <c r="F142" t="s">
        <v>335</v>
      </c>
      <c r="G142">
        <v>1</v>
      </c>
      <c r="H142" s="21">
        <v>1058.21</v>
      </c>
      <c r="I142">
        <v>5</v>
      </c>
      <c r="J142" s="21">
        <v>52.91</v>
      </c>
      <c r="K142">
        <v>12</v>
      </c>
      <c r="L142" s="21">
        <v>120.64</v>
      </c>
      <c r="M142" s="21">
        <v>1125.94</v>
      </c>
      <c r="N142" s="21">
        <v>815.46</v>
      </c>
      <c r="O142" s="21">
        <v>189.84</v>
      </c>
      <c r="P142" t="s">
        <v>123</v>
      </c>
      <c r="Q142" t="s">
        <v>120</v>
      </c>
      <c r="R142" t="s">
        <v>151</v>
      </c>
      <c r="S142" t="s">
        <v>764</v>
      </c>
      <c r="T142" t="s">
        <v>153</v>
      </c>
      <c r="U142" t="s">
        <v>154</v>
      </c>
      <c r="V142" t="str">
        <f>IFERROR(INDEX(Products!$C:$C,MATCH(D142,Products!$A:$A,0)),"Unknown")</f>
        <v>Watches</v>
      </c>
      <c r="W142" t="str">
        <f>IFERROR(INDEX(Products!$E:$E,MATCH(D142,Products!$A:$A,0)),"Unknown")</f>
        <v>Libas</v>
      </c>
      <c r="X142" t="str">
        <f>IFERROR(INDEX(Stores!$B:$B,MATCH(E142,Stores!$A:$A,0)),"Unknown")</f>
        <v>TrendMart Kochi Standard</v>
      </c>
      <c r="Y142" t="str">
        <f>IFERROR(INDEX(Stores!$E:$E,MATCH(E142,Stores!$A:$A,0)),"Unknown")</f>
        <v>South Zone 1</v>
      </c>
      <c r="Z142" t="str">
        <f>IFERROR(INDEX(Customers!$J:$J,MATCH(C142,Customers!$A:$A,0)),"Unknown")</f>
        <v>Regular</v>
      </c>
      <c r="AA142" t="str">
        <f t="shared" si="2"/>
        <v>2024-04</v>
      </c>
      <c r="AB142" t="str">
        <f>IFERROR(INDEX(Products!$I:$I,MATCH(D142,Products!$A:$A,0)),"Unknown")</f>
        <v>SUP047</v>
      </c>
    </row>
    <row r="143" spans="1:28" x14ac:dyDescent="0.25">
      <c r="A143" t="s">
        <v>765</v>
      </c>
      <c r="B143" s="20">
        <v>45615</v>
      </c>
      <c r="C143" t="s">
        <v>766</v>
      </c>
      <c r="D143" t="s">
        <v>767</v>
      </c>
      <c r="E143" t="s">
        <v>630</v>
      </c>
      <c r="F143" t="s">
        <v>579</v>
      </c>
      <c r="G143">
        <v>4</v>
      </c>
      <c r="H143" s="21">
        <v>394.94</v>
      </c>
      <c r="I143">
        <v>0</v>
      </c>
      <c r="J143" s="21">
        <v>0</v>
      </c>
      <c r="K143">
        <v>5</v>
      </c>
      <c r="L143" s="21">
        <v>78.989999999999995</v>
      </c>
      <c r="M143" s="21">
        <v>1658.75</v>
      </c>
      <c r="N143" s="21">
        <v>1048.24</v>
      </c>
      <c r="O143" s="21">
        <v>531.52</v>
      </c>
      <c r="P143" t="s">
        <v>121</v>
      </c>
      <c r="Q143" t="s">
        <v>120</v>
      </c>
      <c r="R143" t="s">
        <v>151</v>
      </c>
      <c r="S143" t="s">
        <v>435</v>
      </c>
      <c r="T143" t="s">
        <v>153</v>
      </c>
      <c r="U143" t="s">
        <v>154</v>
      </c>
      <c r="V143" t="str">
        <f>IFERROR(INDEX(Products!$C:$C,MATCH(D143,Products!$A:$A,0)),"Unknown")</f>
        <v>Men T-Shirts</v>
      </c>
      <c r="W143" t="str">
        <f>IFERROR(INDEX(Products!$E:$E,MATCH(D143,Products!$A:$A,0)),"Unknown")</f>
        <v>Skechers</v>
      </c>
      <c r="X143" t="str">
        <f>IFERROR(INDEX(Stores!$B:$B,MATCH(E143,Stores!$A:$A,0)),"Unknown")</f>
        <v>TrendMart Guntur Standard</v>
      </c>
      <c r="Y143" t="str">
        <f>IFERROR(INDEX(Stores!$E:$E,MATCH(E143,Stores!$A:$A,0)),"Unknown")</f>
        <v>South Zone 3</v>
      </c>
      <c r="Z143" t="str">
        <f>IFERROR(INDEX(Customers!$J:$J,MATCH(C143,Customers!$A:$A,0)),"Unknown")</f>
        <v>Regular</v>
      </c>
      <c r="AA143" t="str">
        <f t="shared" si="2"/>
        <v>2024-11</v>
      </c>
      <c r="AB143" t="str">
        <f>IFERROR(INDEX(Products!$I:$I,MATCH(D143,Products!$A:$A,0)),"Unknown")</f>
        <v>SUP061</v>
      </c>
    </row>
    <row r="144" spans="1:28" x14ac:dyDescent="0.25">
      <c r="A144" t="s">
        <v>768</v>
      </c>
      <c r="B144" s="20">
        <v>45435</v>
      </c>
      <c r="C144" t="s">
        <v>645</v>
      </c>
      <c r="D144" t="s">
        <v>769</v>
      </c>
      <c r="E144" t="s">
        <v>95</v>
      </c>
      <c r="F144" t="s">
        <v>443</v>
      </c>
      <c r="G144">
        <v>0</v>
      </c>
      <c r="H144" s="21">
        <v>1601.15</v>
      </c>
      <c r="I144">
        <v>30</v>
      </c>
      <c r="J144" s="21">
        <v>0</v>
      </c>
      <c r="K144">
        <v>12</v>
      </c>
      <c r="L144" s="21">
        <v>0</v>
      </c>
      <c r="M144" s="21">
        <v>0</v>
      </c>
      <c r="N144" s="21">
        <v>0</v>
      </c>
      <c r="O144" s="21">
        <v>0</v>
      </c>
      <c r="P144" t="s">
        <v>121</v>
      </c>
      <c r="Q144" t="s">
        <v>120</v>
      </c>
      <c r="R144" t="s">
        <v>482</v>
      </c>
      <c r="S144" t="s">
        <v>770</v>
      </c>
      <c r="T144" t="s">
        <v>153</v>
      </c>
      <c r="U144" t="s">
        <v>154</v>
      </c>
      <c r="V144" t="str">
        <f>IFERROR(INDEX(Products!$C:$C,MATCH(D144,Products!$A:$A,0)),"Unknown")</f>
        <v>Sportswear</v>
      </c>
      <c r="W144" t="str">
        <f>IFERROR(INDEX(Products!$E:$E,MATCH(D144,Products!$A:$A,0)),"Unknown")</f>
        <v>Allen Solly</v>
      </c>
      <c r="X144" t="str">
        <f>IFERROR(INDEX(Stores!$B:$B,MATCH(E144,Stores!$A:$A,0)),"Unknown")</f>
        <v>TrendMart Thrissur Standard</v>
      </c>
      <c r="Y144" t="str">
        <f>IFERROR(INDEX(Stores!$E:$E,MATCH(E144,Stores!$A:$A,0)),"Unknown")</f>
        <v>South Zone 1</v>
      </c>
      <c r="Z144" t="str">
        <f>IFERROR(INDEX(Customers!$J:$J,MATCH(C144,Customers!$A:$A,0)),"Unknown")</f>
        <v>Regular</v>
      </c>
      <c r="AA144" t="str">
        <f t="shared" si="2"/>
        <v>2024-05</v>
      </c>
      <c r="AB144" t="str">
        <f>IFERROR(INDEX(Products!$I:$I,MATCH(D144,Products!$A:$A,0)),"Unknown")</f>
        <v>SUP029</v>
      </c>
    </row>
    <row r="145" spans="1:28" x14ac:dyDescent="0.25">
      <c r="A145" t="s">
        <v>771</v>
      </c>
      <c r="B145" s="20">
        <v>45672</v>
      </c>
      <c r="C145" t="s">
        <v>772</v>
      </c>
      <c r="D145" t="s">
        <v>773</v>
      </c>
      <c r="E145" t="s">
        <v>617</v>
      </c>
      <c r="F145" t="s">
        <v>292</v>
      </c>
      <c r="G145">
        <v>1</v>
      </c>
      <c r="H145" s="21">
        <v>3398.79</v>
      </c>
      <c r="I145">
        <v>30</v>
      </c>
      <c r="J145" s="21">
        <v>1019.64</v>
      </c>
      <c r="K145">
        <v>12</v>
      </c>
      <c r="L145" s="21">
        <v>285.5</v>
      </c>
      <c r="M145" s="21">
        <v>2664.65</v>
      </c>
      <c r="N145" s="21">
        <v>2710.05</v>
      </c>
      <c r="O145" s="21">
        <v>-330.9</v>
      </c>
      <c r="P145" t="s">
        <v>124</v>
      </c>
      <c r="Q145" t="s">
        <v>120</v>
      </c>
      <c r="R145" t="s">
        <v>151</v>
      </c>
      <c r="S145" t="s">
        <v>774</v>
      </c>
      <c r="T145" t="s">
        <v>153</v>
      </c>
      <c r="U145" t="s">
        <v>184</v>
      </c>
      <c r="V145" t="str">
        <f>IFERROR(INDEX(Products!$C:$C,MATCH(D145,Products!$A:$A,0)),"Unknown")</f>
        <v>Women Sarees</v>
      </c>
      <c r="W145" t="str">
        <f>IFERROR(INDEX(Products!$E:$E,MATCH(D145,Products!$A:$A,0)),"Unknown")</f>
        <v>Bata</v>
      </c>
      <c r="X145" t="str">
        <f>IFERROR(INDEX(Stores!$B:$B,MATCH(E145,Stores!$A:$A,0)),"Unknown")</f>
        <v>TrendMart Mangaluru High Street</v>
      </c>
      <c r="Y145" t="str">
        <f>IFERROR(INDEX(Stores!$E:$E,MATCH(E145,Stores!$A:$A,0)),"Unknown")</f>
        <v>South Zone 2</v>
      </c>
      <c r="Z145" t="str">
        <f>IFERROR(INDEX(Customers!$J:$J,MATCH(C145,Customers!$A:$A,0)),"Unknown")</f>
        <v>Regular</v>
      </c>
      <c r="AA145" t="str">
        <f t="shared" si="2"/>
        <v>2025-01</v>
      </c>
      <c r="AB145" t="str">
        <f>IFERROR(INDEX(Products!$I:$I,MATCH(D145,Products!$A:$A,0)),"Unknown")</f>
        <v>SUP086</v>
      </c>
    </row>
    <row r="146" spans="1:28" x14ac:dyDescent="0.25">
      <c r="A146" t="s">
        <v>775</v>
      </c>
      <c r="B146" s="20">
        <v>45499</v>
      </c>
      <c r="C146" t="s">
        <v>776</v>
      </c>
      <c r="D146" t="s">
        <v>599</v>
      </c>
      <c r="E146" t="s">
        <v>181</v>
      </c>
      <c r="F146" t="s">
        <v>170</v>
      </c>
      <c r="G146">
        <v>2</v>
      </c>
      <c r="H146" s="21">
        <v>947.98</v>
      </c>
      <c r="I146">
        <v>10</v>
      </c>
      <c r="J146" s="21">
        <v>189.6</v>
      </c>
      <c r="K146">
        <v>5</v>
      </c>
      <c r="L146" s="21">
        <v>85.32</v>
      </c>
      <c r="M146" s="21">
        <v>1791.68</v>
      </c>
      <c r="N146" s="21">
        <v>1291.18</v>
      </c>
      <c r="O146" s="21">
        <v>415.18</v>
      </c>
      <c r="P146" t="s">
        <v>121</v>
      </c>
      <c r="Q146" t="s">
        <v>122</v>
      </c>
      <c r="R146" t="s">
        <v>151</v>
      </c>
      <c r="S146" t="s">
        <v>777</v>
      </c>
      <c r="T146" t="s">
        <v>153</v>
      </c>
      <c r="U146" t="s">
        <v>154</v>
      </c>
      <c r="V146" t="str">
        <f>IFERROR(INDEX(Products!$C:$C,MATCH(D146,Products!$A:$A,0)),"Unknown")</f>
        <v>Men Shirts</v>
      </c>
      <c r="W146" t="str">
        <f>IFERROR(INDEX(Products!$E:$E,MATCH(D146,Products!$A:$A,0)),"Unknown")</f>
        <v>Van Heusen</v>
      </c>
      <c r="X146" t="str">
        <f>IFERROR(INDEX(Stores!$B:$B,MATCH(E146,Stores!$A:$A,0)),"Unknown")</f>
        <v>TrendMart Kurnool High Street</v>
      </c>
      <c r="Y146" t="str">
        <f>IFERROR(INDEX(Stores!$E:$E,MATCH(E146,Stores!$A:$A,0)),"Unknown")</f>
        <v>South Zone 3</v>
      </c>
      <c r="Z146" t="str">
        <f>IFERROR(INDEX(Customers!$J:$J,MATCH(C146,Customers!$A:$A,0)),"Unknown")</f>
        <v>Silver</v>
      </c>
      <c r="AA146" t="str">
        <f t="shared" si="2"/>
        <v>2024-07</v>
      </c>
      <c r="AB146" t="str">
        <f>IFERROR(INDEX(Products!$I:$I,MATCH(D146,Products!$A:$A,0)),"Unknown")</f>
        <v>SUP084</v>
      </c>
    </row>
    <row r="147" spans="1:28" x14ac:dyDescent="0.25">
      <c r="A147" t="s">
        <v>778</v>
      </c>
      <c r="B147" s="20">
        <v>45405</v>
      </c>
      <c r="C147" t="s">
        <v>779</v>
      </c>
      <c r="D147" t="s">
        <v>780</v>
      </c>
      <c r="E147" t="s">
        <v>90</v>
      </c>
      <c r="F147" t="s">
        <v>269</v>
      </c>
      <c r="G147">
        <v>1</v>
      </c>
      <c r="H147" s="21">
        <v>4323.9399999999996</v>
      </c>
      <c r="I147">
        <v>0</v>
      </c>
      <c r="J147" s="21">
        <v>0</v>
      </c>
      <c r="K147">
        <v>12</v>
      </c>
      <c r="L147" s="21">
        <v>518.87</v>
      </c>
      <c r="M147" s="21">
        <v>4842.8100000000004</v>
      </c>
      <c r="N147" s="21">
        <v>2833.61</v>
      </c>
      <c r="O147" s="21">
        <v>1490.33</v>
      </c>
      <c r="P147" t="s">
        <v>121</v>
      </c>
      <c r="Q147" t="s">
        <v>120</v>
      </c>
      <c r="R147" t="s">
        <v>151</v>
      </c>
      <c r="S147" t="s">
        <v>781</v>
      </c>
      <c r="T147" t="s">
        <v>153</v>
      </c>
      <c r="U147" t="s">
        <v>154</v>
      </c>
      <c r="V147" t="str">
        <f>IFERROR(INDEX(Products!$C:$C,MATCH(D147,Products!$A:$A,0)),"Unknown")</f>
        <v>Watches</v>
      </c>
      <c r="W147" t="str">
        <f>IFERROR(INDEX(Products!$E:$E,MATCH(D147,Products!$A:$A,0)),"Unknown")</f>
        <v>Mufti</v>
      </c>
      <c r="X147" t="str">
        <f>IFERROR(INDEX(Stores!$B:$B,MATCH(E147,Stores!$A:$A,0)),"Unknown")</f>
        <v>TrendMart Thoothukudi Mall Kiosk</v>
      </c>
      <c r="Y147" t="str">
        <f>IFERROR(INDEX(Stores!$E:$E,MATCH(E147,Stores!$A:$A,0)),"Unknown")</f>
        <v>South Zone 1</v>
      </c>
      <c r="Z147" t="str">
        <f>IFERROR(INDEX(Customers!$J:$J,MATCH(C147,Customers!$A:$A,0)),"Unknown")</f>
        <v>Regular</v>
      </c>
      <c r="AA147" t="str">
        <f t="shared" si="2"/>
        <v>2024-04</v>
      </c>
      <c r="AB147" t="str">
        <f>IFERROR(INDEX(Products!$I:$I,MATCH(D147,Products!$A:$A,0)),"Unknown")</f>
        <v>SUP063</v>
      </c>
    </row>
    <row r="148" spans="1:28" x14ac:dyDescent="0.25">
      <c r="A148" t="s">
        <v>782</v>
      </c>
      <c r="B148" s="20">
        <v>45529</v>
      </c>
      <c r="C148" t="s">
        <v>390</v>
      </c>
      <c r="D148" t="s">
        <v>307</v>
      </c>
      <c r="E148" t="s">
        <v>461</v>
      </c>
      <c r="F148" t="s">
        <v>462</v>
      </c>
      <c r="G148">
        <v>1</v>
      </c>
      <c r="H148" s="21">
        <v>1289.8499999999999</v>
      </c>
      <c r="I148">
        <v>30</v>
      </c>
      <c r="J148" s="21">
        <v>386.95</v>
      </c>
      <c r="K148">
        <v>12</v>
      </c>
      <c r="L148" s="21">
        <v>108.35</v>
      </c>
      <c r="M148" s="21">
        <v>1011.25</v>
      </c>
      <c r="N148" s="21">
        <v>755.06</v>
      </c>
      <c r="O148" s="21">
        <v>147.84</v>
      </c>
      <c r="P148" t="s">
        <v>126</v>
      </c>
      <c r="Q148" t="s">
        <v>120</v>
      </c>
      <c r="R148" t="s">
        <v>151</v>
      </c>
      <c r="S148" t="s">
        <v>783</v>
      </c>
      <c r="T148" t="s">
        <v>161</v>
      </c>
      <c r="U148" t="s">
        <v>154</v>
      </c>
      <c r="V148" t="str">
        <f>IFERROR(INDEX(Products!$C:$C,MATCH(D148,Products!$A:$A,0)),"Unknown")</f>
        <v>Winter Wear</v>
      </c>
      <c r="W148" t="str">
        <f>IFERROR(INDEX(Products!$E:$E,MATCH(D148,Products!$A:$A,0)),"Unknown")</f>
        <v>Fastrack</v>
      </c>
      <c r="X148" t="str">
        <f>IFERROR(INDEX(Stores!$B:$B,MATCH(E148,Stores!$A:$A,0)),"Unknown")</f>
        <v>TrendMart Visakhapatnam High Street</v>
      </c>
      <c r="Y148" t="str">
        <f>IFERROR(INDEX(Stores!$E:$E,MATCH(E148,Stores!$A:$A,0)),"Unknown")</f>
        <v>South Zone 3</v>
      </c>
      <c r="Z148" t="str">
        <f>IFERROR(INDEX(Customers!$J:$J,MATCH(C148,Customers!$A:$A,0)),"Unknown")</f>
        <v>Regular</v>
      </c>
      <c r="AA148" t="str">
        <f t="shared" si="2"/>
        <v>2024-08</v>
      </c>
      <c r="AB148" t="str">
        <f>IFERROR(INDEX(Products!$I:$I,MATCH(D148,Products!$A:$A,0)),"Unknown")</f>
        <v>SUP008</v>
      </c>
    </row>
    <row r="149" spans="1:28" x14ac:dyDescent="0.25">
      <c r="A149" t="s">
        <v>784</v>
      </c>
      <c r="B149" s="20">
        <v>45517</v>
      </c>
      <c r="C149" t="s">
        <v>785</v>
      </c>
      <c r="D149" t="s">
        <v>756</v>
      </c>
      <c r="E149" t="s">
        <v>85</v>
      </c>
      <c r="F149" t="s">
        <v>150</v>
      </c>
      <c r="G149">
        <v>1</v>
      </c>
      <c r="H149" s="21">
        <v>754.03</v>
      </c>
      <c r="I149">
        <v>25</v>
      </c>
      <c r="J149" s="21">
        <v>188.51</v>
      </c>
      <c r="K149">
        <v>5</v>
      </c>
      <c r="L149" s="21">
        <v>28.28</v>
      </c>
      <c r="M149" s="21">
        <v>593.79999999999995</v>
      </c>
      <c r="N149" s="21">
        <v>522.38</v>
      </c>
      <c r="O149" s="21">
        <v>43.14</v>
      </c>
      <c r="P149" t="s">
        <v>123</v>
      </c>
      <c r="Q149" t="s">
        <v>122</v>
      </c>
      <c r="R149" t="s">
        <v>151</v>
      </c>
      <c r="S149" t="s">
        <v>786</v>
      </c>
      <c r="T149" t="s">
        <v>153</v>
      </c>
      <c r="U149" t="s">
        <v>154</v>
      </c>
      <c r="V149" t="str">
        <f>IFERROR(INDEX(Products!$C:$C,MATCH(D149,Products!$A:$A,0)),"Unknown")</f>
        <v>Women Tops</v>
      </c>
      <c r="W149" t="str">
        <f>IFERROR(INDEX(Products!$E:$E,MATCH(D149,Products!$A:$A,0)),"Unknown")</f>
        <v>Peter England</v>
      </c>
      <c r="X149" t="str">
        <f>IFERROR(INDEX(Stores!$B:$B,MATCH(E149,Stores!$A:$A,0)),"Unknown")</f>
        <v>TrendMart Kalaburagi Mall Kiosk</v>
      </c>
      <c r="Y149" t="str">
        <f>IFERROR(INDEX(Stores!$E:$E,MATCH(E149,Stores!$A:$A,0)),"Unknown")</f>
        <v>South Zone 2</v>
      </c>
      <c r="Z149" t="str">
        <f>IFERROR(INDEX(Customers!$J:$J,MATCH(C149,Customers!$A:$A,0)),"Unknown")</f>
        <v>Regular</v>
      </c>
      <c r="AA149" t="str">
        <f t="shared" si="2"/>
        <v>2024-08</v>
      </c>
      <c r="AB149" t="str">
        <f>IFERROR(INDEX(Products!$I:$I,MATCH(D149,Products!$A:$A,0)),"Unknown")</f>
        <v>SUP018</v>
      </c>
    </row>
    <row r="150" spans="1:28" x14ac:dyDescent="0.25">
      <c r="A150" t="s">
        <v>787</v>
      </c>
      <c r="B150" s="20">
        <v>45636</v>
      </c>
      <c r="C150" t="s">
        <v>788</v>
      </c>
      <c r="D150" t="s">
        <v>424</v>
      </c>
      <c r="E150" t="s">
        <v>671</v>
      </c>
      <c r="F150" t="s">
        <v>258</v>
      </c>
      <c r="G150">
        <v>1</v>
      </c>
      <c r="H150" s="21">
        <v>324.55</v>
      </c>
      <c r="I150">
        <v>15</v>
      </c>
      <c r="J150" s="21">
        <v>48.68</v>
      </c>
      <c r="K150">
        <v>5</v>
      </c>
      <c r="L150" s="21">
        <v>13.79</v>
      </c>
      <c r="M150" s="21">
        <v>289.66000000000003</v>
      </c>
      <c r="N150" s="21">
        <v>254.15</v>
      </c>
      <c r="O150" s="21">
        <v>21.72</v>
      </c>
      <c r="P150" t="s">
        <v>121</v>
      </c>
      <c r="Q150" t="s">
        <v>120</v>
      </c>
      <c r="R150" t="s">
        <v>313</v>
      </c>
      <c r="S150" t="s">
        <v>789</v>
      </c>
      <c r="T150" t="s">
        <v>153</v>
      </c>
      <c r="U150" t="s">
        <v>154</v>
      </c>
      <c r="V150" t="str">
        <f>IFERROR(INDEX(Products!$C:$C,MATCH(D150,Products!$A:$A,0)),"Unknown")</f>
        <v>Belts</v>
      </c>
      <c r="W150" t="str">
        <f>IFERROR(INDEX(Products!$E:$E,MATCH(D150,Products!$A:$A,0)),"Unknown")</f>
        <v>Raymond</v>
      </c>
      <c r="X150" t="str">
        <f>IFERROR(INDEX(Stores!$B:$B,MATCH(E150,Stores!$A:$A,0)),"Unknown")</f>
        <v>TrendMart Hyderabad Mall Kiosk</v>
      </c>
      <c r="Y150" t="str">
        <f>IFERROR(INDEX(Stores!$E:$E,MATCH(E150,Stores!$A:$A,0)),"Unknown")</f>
        <v>South Zone 2</v>
      </c>
      <c r="Z150" t="str">
        <f>IFERROR(INDEX(Customers!$J:$J,MATCH(C150,Customers!$A:$A,0)),"Unknown")</f>
        <v>Silver</v>
      </c>
      <c r="AA150" t="str">
        <f t="shared" si="2"/>
        <v>2024-12</v>
      </c>
      <c r="AB150" t="str">
        <f>IFERROR(INDEX(Products!$I:$I,MATCH(D150,Products!$A:$A,0)),"Unknown")</f>
        <v>SUP002</v>
      </c>
    </row>
    <row r="151" spans="1:28" x14ac:dyDescent="0.25">
      <c r="A151" t="s">
        <v>790</v>
      </c>
      <c r="B151" s="20">
        <v>45384</v>
      </c>
      <c r="C151" t="s">
        <v>791</v>
      </c>
      <c r="D151" t="s">
        <v>792</v>
      </c>
      <c r="E151" t="s">
        <v>87</v>
      </c>
      <c r="F151" t="s">
        <v>532</v>
      </c>
      <c r="G151">
        <v>2</v>
      </c>
      <c r="H151" s="21">
        <v>1150.4000000000001</v>
      </c>
      <c r="I151">
        <v>20</v>
      </c>
      <c r="J151" s="21">
        <v>460.16</v>
      </c>
      <c r="K151">
        <v>12</v>
      </c>
      <c r="L151" s="21">
        <v>220.88</v>
      </c>
      <c r="M151" s="21">
        <v>2061.52</v>
      </c>
      <c r="N151" s="21">
        <v>1474.7</v>
      </c>
      <c r="O151" s="21">
        <v>365.94</v>
      </c>
      <c r="P151" t="s">
        <v>123</v>
      </c>
      <c r="Q151" t="s">
        <v>120</v>
      </c>
      <c r="R151" t="s">
        <v>151</v>
      </c>
      <c r="S151" t="s">
        <v>503</v>
      </c>
      <c r="T151" t="s">
        <v>153</v>
      </c>
      <c r="U151" t="s">
        <v>154</v>
      </c>
      <c r="V151" t="str">
        <f>IFERROR(INDEX(Products!$C:$C,MATCH(D151,Products!$A:$A,0)),"Unknown")</f>
        <v>Belts</v>
      </c>
      <c r="W151" t="str">
        <f>IFERROR(INDEX(Products!$E:$E,MATCH(D151,Products!$A:$A,0)),"Unknown")</f>
        <v>Wrangler</v>
      </c>
      <c r="X151" t="str">
        <f>IFERROR(INDEX(Stores!$B:$B,MATCH(E151,Stores!$A:$A,0)),"Unknown")</f>
        <v>TrendMart Thiruvananthapuram Standard</v>
      </c>
      <c r="Y151" t="str">
        <f>IFERROR(INDEX(Stores!$E:$E,MATCH(E151,Stores!$A:$A,0)),"Unknown")</f>
        <v>South Zone 1</v>
      </c>
      <c r="Z151" t="str">
        <f>IFERROR(INDEX(Customers!$J:$J,MATCH(C151,Customers!$A:$A,0)),"Unknown")</f>
        <v>Regular</v>
      </c>
      <c r="AA151" t="str">
        <f t="shared" si="2"/>
        <v>2024-04</v>
      </c>
      <c r="AB151" t="str">
        <f>IFERROR(INDEX(Products!$I:$I,MATCH(D151,Products!$A:$A,0)),"Unknown")</f>
        <v>SUP004</v>
      </c>
    </row>
    <row r="152" spans="1:28" x14ac:dyDescent="0.25">
      <c r="A152" t="s">
        <v>793</v>
      </c>
      <c r="B152" s="20">
        <v>45655</v>
      </c>
      <c r="C152" t="s">
        <v>794</v>
      </c>
      <c r="D152" t="s">
        <v>531</v>
      </c>
      <c r="E152" t="s">
        <v>741</v>
      </c>
      <c r="F152" t="s">
        <v>596</v>
      </c>
      <c r="G152">
        <v>2</v>
      </c>
      <c r="H152" s="21">
        <v>3566.32</v>
      </c>
      <c r="I152">
        <v>0</v>
      </c>
      <c r="J152" s="21">
        <v>0</v>
      </c>
      <c r="K152">
        <v>12</v>
      </c>
      <c r="L152" s="21">
        <v>855.92</v>
      </c>
      <c r="M152" s="21">
        <v>7988.56</v>
      </c>
      <c r="N152" s="21">
        <v>4068.02</v>
      </c>
      <c r="O152" s="21">
        <v>3064.62</v>
      </c>
      <c r="P152" t="s">
        <v>123</v>
      </c>
      <c r="Q152" t="s">
        <v>120</v>
      </c>
      <c r="R152" t="s">
        <v>313</v>
      </c>
      <c r="S152" t="s">
        <v>795</v>
      </c>
      <c r="T152" t="s">
        <v>161</v>
      </c>
      <c r="U152" t="s">
        <v>154</v>
      </c>
      <c r="V152" t="str">
        <f>IFERROR(INDEX(Products!$C:$C,MATCH(D152,Products!$A:$A,0)),"Unknown")</f>
        <v>Handbags</v>
      </c>
      <c r="W152" t="str">
        <f>IFERROR(INDEX(Products!$E:$E,MATCH(D152,Products!$A:$A,0)),"Unknown")</f>
        <v>GRT Jewellers</v>
      </c>
      <c r="X152" t="str">
        <f>IFERROR(INDEX(Stores!$B:$B,MATCH(E152,Stores!$A:$A,0)),"Unknown")</f>
        <v>TrendMart Nellore Mall Kiosk</v>
      </c>
      <c r="Y152" t="str">
        <f>IFERROR(INDEX(Stores!$E:$E,MATCH(E152,Stores!$A:$A,0)),"Unknown")</f>
        <v>South Zone 3</v>
      </c>
      <c r="Z152" t="str">
        <f>IFERROR(INDEX(Customers!$J:$J,MATCH(C152,Customers!$A:$A,0)),"Unknown")</f>
        <v>Regular</v>
      </c>
      <c r="AA152" t="str">
        <f t="shared" si="2"/>
        <v>2024-12</v>
      </c>
      <c r="AB152" t="str">
        <f>IFERROR(INDEX(Products!$I:$I,MATCH(D152,Products!$A:$A,0)),"Unknown")</f>
        <v>SUP047</v>
      </c>
    </row>
    <row r="153" spans="1:28" x14ac:dyDescent="0.25">
      <c r="A153" t="s">
        <v>796</v>
      </c>
      <c r="B153" s="20">
        <v>45467</v>
      </c>
      <c r="C153" t="s">
        <v>797</v>
      </c>
      <c r="D153" t="s">
        <v>670</v>
      </c>
      <c r="E153" t="s">
        <v>798</v>
      </c>
      <c r="F153" t="s">
        <v>550</v>
      </c>
      <c r="G153">
        <v>1</v>
      </c>
      <c r="H153" s="21">
        <v>1908.46</v>
      </c>
      <c r="I153">
        <v>5</v>
      </c>
      <c r="J153" s="21">
        <v>95.42</v>
      </c>
      <c r="K153">
        <v>12</v>
      </c>
      <c r="L153" s="21">
        <v>217.56</v>
      </c>
      <c r="M153" s="21">
        <v>2030.6</v>
      </c>
      <c r="N153" s="21">
        <v>1378.38</v>
      </c>
      <c r="O153" s="21">
        <v>434.66</v>
      </c>
      <c r="P153" t="s">
        <v>125</v>
      </c>
      <c r="Q153" t="s">
        <v>122</v>
      </c>
      <c r="R153" t="s">
        <v>151</v>
      </c>
      <c r="S153" t="s">
        <v>603</v>
      </c>
      <c r="T153" t="s">
        <v>153</v>
      </c>
      <c r="U153" t="s">
        <v>154</v>
      </c>
      <c r="V153" t="str">
        <f>IFERROR(INDEX(Products!$C:$C,MATCH(D153,Products!$A:$A,0)),"Unknown")</f>
        <v>Women Sarees</v>
      </c>
      <c r="W153" t="str">
        <f>IFERROR(INDEX(Products!$E:$E,MATCH(D153,Products!$A:$A,0)),"Unknown")</f>
        <v>Reebok</v>
      </c>
      <c r="X153" t="str">
        <f>IFERROR(INDEX(Stores!$B:$B,MATCH(E153,Stores!$A:$A,0)),"Unknown")</f>
        <v>TrendMart Guntur Standard</v>
      </c>
      <c r="Y153" t="str">
        <f>IFERROR(INDEX(Stores!$E:$E,MATCH(E153,Stores!$A:$A,0)),"Unknown")</f>
        <v>South Zone 3</v>
      </c>
      <c r="Z153" t="str">
        <f>IFERROR(INDEX(Customers!$J:$J,MATCH(C153,Customers!$A:$A,0)),"Unknown")</f>
        <v>Platinum</v>
      </c>
      <c r="AA153" t="str">
        <f t="shared" si="2"/>
        <v>2024-06</v>
      </c>
      <c r="AB153" t="str">
        <f>IFERROR(INDEX(Products!$I:$I,MATCH(D153,Products!$A:$A,0)),"Unknown")</f>
        <v>SUP073</v>
      </c>
    </row>
    <row r="154" spans="1:28" x14ac:dyDescent="0.25">
      <c r="A154" t="s">
        <v>799</v>
      </c>
      <c r="B154" s="20">
        <v>45577</v>
      </c>
      <c r="C154" t="s">
        <v>800</v>
      </c>
      <c r="D154" t="s">
        <v>801</v>
      </c>
      <c r="E154" t="s">
        <v>525</v>
      </c>
      <c r="F154" t="s">
        <v>550</v>
      </c>
      <c r="G154">
        <v>2</v>
      </c>
      <c r="H154" s="21">
        <v>610.54999999999995</v>
      </c>
      <c r="I154">
        <v>15</v>
      </c>
      <c r="J154" s="21">
        <v>183.16</v>
      </c>
      <c r="K154">
        <v>5</v>
      </c>
      <c r="L154" s="21">
        <v>51.9</v>
      </c>
      <c r="M154" s="21">
        <v>1089.8399999999999</v>
      </c>
      <c r="N154" s="21">
        <v>849.52</v>
      </c>
      <c r="O154" s="21">
        <v>188.42</v>
      </c>
      <c r="P154" t="s">
        <v>121</v>
      </c>
      <c r="Q154" t="s">
        <v>120</v>
      </c>
      <c r="R154" t="s">
        <v>151</v>
      </c>
      <c r="S154" t="s">
        <v>802</v>
      </c>
      <c r="T154" t="s">
        <v>161</v>
      </c>
      <c r="U154" t="s">
        <v>154</v>
      </c>
      <c r="V154" t="str">
        <f>IFERROR(INDEX(Products!$C:$C,MATCH(D154,Products!$A:$A,0)),"Unknown")</f>
        <v>Kids Wear</v>
      </c>
      <c r="W154" t="str">
        <f>IFERROR(INDEX(Products!$E:$E,MATCH(D154,Products!$A:$A,0)),"Unknown")</f>
        <v>Being Human</v>
      </c>
      <c r="X154" t="str">
        <f>IFERROR(INDEX(Stores!$B:$B,MATCH(E154,Stores!$A:$A,0)),"Unknown")</f>
        <v>TrendMart Kollam Standard</v>
      </c>
      <c r="Y154" t="str">
        <f>IFERROR(INDEX(Stores!$E:$E,MATCH(E154,Stores!$A:$A,0)),"Unknown")</f>
        <v>South Zone 1</v>
      </c>
      <c r="Z154" t="str">
        <f>IFERROR(INDEX(Customers!$J:$J,MATCH(C154,Customers!$A:$A,0)),"Unknown")</f>
        <v>Regular</v>
      </c>
      <c r="AA154" t="str">
        <f t="shared" si="2"/>
        <v>2024-10</v>
      </c>
      <c r="AB154" t="str">
        <f>IFERROR(INDEX(Products!$I:$I,MATCH(D154,Products!$A:$A,0)),"Unknown")</f>
        <v>SUP063</v>
      </c>
    </row>
    <row r="155" spans="1:28" x14ac:dyDescent="0.25">
      <c r="A155" t="s">
        <v>803</v>
      </c>
      <c r="B155" s="20">
        <v>45623</v>
      </c>
      <c r="C155" t="s">
        <v>804</v>
      </c>
      <c r="D155" t="s">
        <v>805</v>
      </c>
      <c r="E155" t="s">
        <v>806</v>
      </c>
      <c r="F155" t="s">
        <v>258</v>
      </c>
      <c r="G155">
        <v>3</v>
      </c>
      <c r="H155" s="21">
        <v>1026.23</v>
      </c>
      <c r="I155">
        <v>5</v>
      </c>
      <c r="J155" s="21">
        <v>153.93</v>
      </c>
      <c r="K155">
        <v>12</v>
      </c>
      <c r="L155" s="21">
        <v>350.97</v>
      </c>
      <c r="M155" s="21">
        <v>3275.73</v>
      </c>
      <c r="N155" s="21">
        <v>1751.58</v>
      </c>
      <c r="O155" s="21">
        <v>1173.18</v>
      </c>
      <c r="P155" t="s">
        <v>121</v>
      </c>
      <c r="Q155" t="s">
        <v>120</v>
      </c>
      <c r="R155" t="s">
        <v>313</v>
      </c>
      <c r="S155" t="s">
        <v>807</v>
      </c>
      <c r="T155" t="s">
        <v>153</v>
      </c>
      <c r="U155" t="s">
        <v>154</v>
      </c>
      <c r="V155" t="str">
        <f>IFERROR(INDEX(Products!$C:$C,MATCH(D155,Products!$A:$A,0)),"Unknown")</f>
        <v>Accessories</v>
      </c>
      <c r="W155" t="str">
        <f>IFERROR(INDEX(Products!$E:$E,MATCH(D155,Products!$A:$A,0)),"Unknown")</f>
        <v>Being Human</v>
      </c>
      <c r="X155" t="str">
        <f>IFERROR(INDEX(Stores!$B:$B,MATCH(E155,Stores!$A:$A,0)),"Unknown")</f>
        <v>TrendMart Tirunelveli Flagship</v>
      </c>
      <c r="Y155" t="str">
        <f>IFERROR(INDEX(Stores!$E:$E,MATCH(E155,Stores!$A:$A,0)),"Unknown")</f>
        <v>South Zone 1</v>
      </c>
      <c r="Z155" t="str">
        <f>IFERROR(INDEX(Customers!$J:$J,MATCH(C155,Customers!$A:$A,0)),"Unknown")</f>
        <v>Gold</v>
      </c>
      <c r="AA155" t="str">
        <f t="shared" si="2"/>
        <v>2024-11</v>
      </c>
      <c r="AB155" t="str">
        <f>IFERROR(INDEX(Products!$I:$I,MATCH(D155,Products!$A:$A,0)),"Unknown")</f>
        <v>SUP069</v>
      </c>
    </row>
    <row r="156" spans="1:28" x14ac:dyDescent="0.25">
      <c r="A156" t="s">
        <v>808</v>
      </c>
      <c r="B156" s="20">
        <v>45618</v>
      </c>
      <c r="C156" t="s">
        <v>809</v>
      </c>
      <c r="D156" t="s">
        <v>376</v>
      </c>
      <c r="E156" t="s">
        <v>810</v>
      </c>
      <c r="F156" t="s">
        <v>242</v>
      </c>
      <c r="G156">
        <v>2</v>
      </c>
      <c r="H156" s="21">
        <v>1322.6</v>
      </c>
      <c r="I156">
        <v>0</v>
      </c>
      <c r="J156" s="21">
        <v>0</v>
      </c>
      <c r="K156">
        <v>12</v>
      </c>
      <c r="L156" s="21">
        <v>317.42</v>
      </c>
      <c r="M156" s="21">
        <v>2962.62</v>
      </c>
      <c r="N156" s="21">
        <v>2050.48</v>
      </c>
      <c r="O156" s="21">
        <v>594.72</v>
      </c>
      <c r="P156" t="s">
        <v>126</v>
      </c>
      <c r="Q156" t="s">
        <v>122</v>
      </c>
      <c r="R156" t="s">
        <v>151</v>
      </c>
      <c r="S156" t="s">
        <v>811</v>
      </c>
      <c r="T156" t="s">
        <v>153</v>
      </c>
      <c r="U156" t="s">
        <v>154</v>
      </c>
      <c r="V156" t="str">
        <f>IFERROR(INDEX(Products!$C:$C,MATCH(D156,Products!$A:$A,0)),"Unknown")</f>
        <v>Women Jeans</v>
      </c>
      <c r="W156" t="str">
        <f>IFERROR(INDEX(Products!$E:$E,MATCH(D156,Products!$A:$A,0)),"Unknown")</f>
        <v>Pothys</v>
      </c>
      <c r="X156" t="str">
        <f>IFERROR(INDEX(Stores!$B:$B,MATCH(E156,Stores!$A:$A,0)),"Unknown")</f>
        <v>TrendMart Nizamabad Standard</v>
      </c>
      <c r="Y156" t="str">
        <f>IFERROR(INDEX(Stores!$E:$E,MATCH(E156,Stores!$A:$A,0)),"Unknown")</f>
        <v>South Zone 2</v>
      </c>
      <c r="Z156" t="str">
        <f>IFERROR(INDEX(Customers!$J:$J,MATCH(C156,Customers!$A:$A,0)),"Unknown")</f>
        <v>Regular</v>
      </c>
      <c r="AA156" t="str">
        <f t="shared" si="2"/>
        <v>2024-11</v>
      </c>
      <c r="AB156" t="str">
        <f>IFERROR(INDEX(Products!$I:$I,MATCH(D156,Products!$A:$A,0)),"Unknown")</f>
        <v>SUP015</v>
      </c>
    </row>
    <row r="157" spans="1:28" x14ac:dyDescent="0.25">
      <c r="A157" t="s">
        <v>812</v>
      </c>
      <c r="B157" s="20">
        <v>45607</v>
      </c>
      <c r="C157" t="s">
        <v>813</v>
      </c>
      <c r="D157" t="s">
        <v>814</v>
      </c>
      <c r="E157" t="s">
        <v>815</v>
      </c>
      <c r="F157" t="s">
        <v>434</v>
      </c>
      <c r="G157">
        <v>2</v>
      </c>
      <c r="H157" s="21">
        <v>646.32000000000005</v>
      </c>
      <c r="I157">
        <v>25</v>
      </c>
      <c r="J157" s="21">
        <v>323.16000000000003</v>
      </c>
      <c r="K157">
        <v>5</v>
      </c>
      <c r="L157" s="21">
        <v>48.47</v>
      </c>
      <c r="M157" s="21">
        <v>1017.95</v>
      </c>
      <c r="N157" s="21">
        <v>729.22</v>
      </c>
      <c r="O157" s="21">
        <v>240.26</v>
      </c>
      <c r="P157" t="s">
        <v>125</v>
      </c>
      <c r="Q157" t="s">
        <v>120</v>
      </c>
      <c r="R157" t="s">
        <v>151</v>
      </c>
      <c r="S157" t="s">
        <v>816</v>
      </c>
      <c r="T157" t="s">
        <v>153</v>
      </c>
      <c r="U157" t="s">
        <v>154</v>
      </c>
      <c r="V157" t="str">
        <f>IFERROR(INDEX(Products!$C:$C,MATCH(D157,Products!$A:$A,0)),"Unknown")</f>
        <v>Men T-Shirts</v>
      </c>
      <c r="W157" t="str">
        <f>IFERROR(INDEX(Products!$E:$E,MATCH(D157,Products!$A:$A,0)),"Unknown")</f>
        <v>Woodland</v>
      </c>
      <c r="X157" t="str">
        <f>IFERROR(INDEX(Stores!$B:$B,MATCH(E157,Stores!$A:$A,0)),"Unknown")</f>
        <v>TrendMart Madurai Mall Kiosk</v>
      </c>
      <c r="Y157" t="str">
        <f>IFERROR(INDEX(Stores!$E:$E,MATCH(E157,Stores!$A:$A,0)),"Unknown")</f>
        <v>South Zone 1</v>
      </c>
      <c r="Z157" t="str">
        <f>IFERROR(INDEX(Customers!$J:$J,MATCH(C157,Customers!$A:$A,0)),"Unknown")</f>
        <v>Regular</v>
      </c>
      <c r="AA157" t="str">
        <f t="shared" si="2"/>
        <v>2024-11</v>
      </c>
      <c r="AB157" t="str">
        <f>IFERROR(INDEX(Products!$I:$I,MATCH(D157,Products!$A:$A,0)),"Unknown")</f>
        <v>SUP051</v>
      </c>
    </row>
    <row r="158" spans="1:28" x14ac:dyDescent="0.25">
      <c r="A158" t="s">
        <v>817</v>
      </c>
      <c r="B158" s="20">
        <v>45414</v>
      </c>
      <c r="C158" t="s">
        <v>818</v>
      </c>
      <c r="D158" t="s">
        <v>819</v>
      </c>
      <c r="E158" t="s">
        <v>318</v>
      </c>
      <c r="F158" t="s">
        <v>170</v>
      </c>
      <c r="G158">
        <v>2</v>
      </c>
      <c r="H158" s="21">
        <v>1723.34</v>
      </c>
      <c r="I158">
        <v>0</v>
      </c>
      <c r="J158" s="21">
        <v>0</v>
      </c>
      <c r="K158">
        <v>12</v>
      </c>
      <c r="L158" s="21">
        <v>413.6</v>
      </c>
      <c r="M158" s="21">
        <v>3860.28</v>
      </c>
      <c r="N158" s="21">
        <v>2486.7199999999998</v>
      </c>
      <c r="O158" s="21">
        <v>959.96</v>
      </c>
      <c r="P158" t="s">
        <v>125</v>
      </c>
      <c r="Q158" t="s">
        <v>120</v>
      </c>
      <c r="R158" t="s">
        <v>151</v>
      </c>
      <c r="S158" t="s">
        <v>820</v>
      </c>
      <c r="T158" t="s">
        <v>153</v>
      </c>
      <c r="U158" t="s">
        <v>154</v>
      </c>
      <c r="V158" t="str">
        <f>IFERROR(INDEX(Products!$C:$C,MATCH(D158,Products!$A:$A,0)),"Unknown")</f>
        <v>Footwear</v>
      </c>
      <c r="W158" t="str">
        <f>IFERROR(INDEX(Products!$E:$E,MATCH(D158,Products!$A:$A,0)),"Unknown")</f>
        <v>Tanishq</v>
      </c>
      <c r="X158" t="str">
        <f>IFERROR(INDEX(Stores!$B:$B,MATCH(E158,Stores!$A:$A,0)),"Unknown")</f>
        <v>TrendMart Guntur Outlet</v>
      </c>
      <c r="Y158" t="str">
        <f>IFERROR(INDEX(Stores!$E:$E,MATCH(E158,Stores!$A:$A,0)),"Unknown")</f>
        <v>South Zone 3</v>
      </c>
      <c r="Z158" t="str">
        <f>IFERROR(INDEX(Customers!$J:$J,MATCH(C158,Customers!$A:$A,0)),"Unknown")</f>
        <v>Gold</v>
      </c>
      <c r="AA158" t="str">
        <f t="shared" si="2"/>
        <v>2024-05</v>
      </c>
      <c r="AB158" t="str">
        <f>IFERROR(INDEX(Products!$I:$I,MATCH(D158,Products!$A:$A,0)),"Unknown")</f>
        <v>SUP082</v>
      </c>
    </row>
    <row r="159" spans="1:28" x14ac:dyDescent="0.25">
      <c r="A159" t="s">
        <v>821</v>
      </c>
      <c r="B159" s="20">
        <v>45600</v>
      </c>
      <c r="C159" t="s">
        <v>414</v>
      </c>
      <c r="D159" t="s">
        <v>822</v>
      </c>
      <c r="E159" t="s">
        <v>823</v>
      </c>
      <c r="F159" t="s">
        <v>397</v>
      </c>
      <c r="G159">
        <v>1</v>
      </c>
      <c r="H159" s="21">
        <v>2021.98</v>
      </c>
      <c r="I159">
        <v>0</v>
      </c>
      <c r="J159" s="21">
        <v>0</v>
      </c>
      <c r="K159">
        <v>12</v>
      </c>
      <c r="L159" s="21">
        <v>242.64</v>
      </c>
      <c r="M159" s="21">
        <v>2264.62</v>
      </c>
      <c r="N159" s="21">
        <v>1492.71</v>
      </c>
      <c r="O159" s="21">
        <v>529.27</v>
      </c>
      <c r="P159" t="s">
        <v>126</v>
      </c>
      <c r="Q159" t="s">
        <v>122</v>
      </c>
      <c r="R159" t="s">
        <v>151</v>
      </c>
      <c r="S159" t="s">
        <v>824</v>
      </c>
      <c r="T159" t="s">
        <v>153</v>
      </c>
      <c r="U159" t="s">
        <v>154</v>
      </c>
      <c r="V159" t="str">
        <f>IFERROR(INDEX(Products!$C:$C,MATCH(D159,Products!$A:$A,0)),"Unknown")</f>
        <v>Footwear</v>
      </c>
      <c r="W159" t="str">
        <f>IFERROR(INDEX(Products!$E:$E,MATCH(D159,Products!$A:$A,0)),"Unknown")</f>
        <v>AND</v>
      </c>
      <c r="X159" t="str">
        <f>IFERROR(INDEX(Stores!$B:$B,MATCH(E159,Stores!$A:$A,0)),"Unknown")</f>
        <v>TrendMart Thoothukudi Mall Kiosk</v>
      </c>
      <c r="Y159" t="str">
        <f>IFERROR(INDEX(Stores!$E:$E,MATCH(E159,Stores!$A:$A,0)),"Unknown")</f>
        <v>South Zone 1</v>
      </c>
      <c r="Z159" t="str">
        <f>IFERROR(INDEX(Customers!$J:$J,MATCH(C159,Customers!$A:$A,0)),"Unknown")</f>
        <v>Regular</v>
      </c>
      <c r="AA159" t="str">
        <f t="shared" si="2"/>
        <v>2024-11</v>
      </c>
      <c r="AB159" t="str">
        <f>IFERROR(INDEX(Products!$I:$I,MATCH(D159,Products!$A:$A,0)),"Unknown")</f>
        <v>SUP002</v>
      </c>
    </row>
    <row r="160" spans="1:28" x14ac:dyDescent="0.25">
      <c r="A160" t="s">
        <v>825</v>
      </c>
      <c r="B160" s="20">
        <v>45645</v>
      </c>
      <c r="C160" t="s">
        <v>826</v>
      </c>
      <c r="D160" t="s">
        <v>827</v>
      </c>
      <c r="E160" t="s">
        <v>810</v>
      </c>
      <c r="F160" t="s">
        <v>201</v>
      </c>
      <c r="G160">
        <v>2</v>
      </c>
      <c r="H160" s="21">
        <v>810.69</v>
      </c>
      <c r="I160">
        <v>20</v>
      </c>
      <c r="J160" s="21">
        <v>324.27999999999997</v>
      </c>
      <c r="K160">
        <v>5</v>
      </c>
      <c r="L160" s="21">
        <v>64.86</v>
      </c>
      <c r="M160" s="21">
        <v>1361.96</v>
      </c>
      <c r="N160" s="21">
        <v>1118.5</v>
      </c>
      <c r="O160" s="21">
        <v>178.6</v>
      </c>
      <c r="P160" t="s">
        <v>125</v>
      </c>
      <c r="Q160" t="s">
        <v>120</v>
      </c>
      <c r="R160" t="s">
        <v>151</v>
      </c>
      <c r="S160" t="s">
        <v>828</v>
      </c>
      <c r="T160" t="s">
        <v>153</v>
      </c>
      <c r="U160" t="s">
        <v>154</v>
      </c>
      <c r="V160" t="str">
        <f>IFERROR(INDEX(Products!$C:$C,MATCH(D160,Products!$A:$A,0)),"Unknown")</f>
        <v>Sportswear</v>
      </c>
      <c r="W160" t="str">
        <f>IFERROR(INDEX(Products!$E:$E,MATCH(D160,Products!$A:$A,0)),"Unknown")</f>
        <v>Max Fashion</v>
      </c>
      <c r="X160" t="str">
        <f>IFERROR(INDEX(Stores!$B:$B,MATCH(E160,Stores!$A:$A,0)),"Unknown")</f>
        <v>TrendMart Nizamabad Standard</v>
      </c>
      <c r="Y160" t="str">
        <f>IFERROR(INDEX(Stores!$E:$E,MATCH(E160,Stores!$A:$A,0)),"Unknown")</f>
        <v>South Zone 2</v>
      </c>
      <c r="Z160" t="str">
        <f>IFERROR(INDEX(Customers!$J:$J,MATCH(C160,Customers!$A:$A,0)),"Unknown")</f>
        <v>Platinum</v>
      </c>
      <c r="AA160" t="str">
        <f t="shared" si="2"/>
        <v>2024-12</v>
      </c>
      <c r="AB160" t="str">
        <f>IFERROR(INDEX(Products!$I:$I,MATCH(D160,Products!$A:$A,0)),"Unknown")</f>
        <v>SUP043</v>
      </c>
    </row>
    <row r="161" spans="1:28" x14ac:dyDescent="0.25">
      <c r="A161" t="s">
        <v>829</v>
      </c>
      <c r="B161" s="20">
        <v>45591</v>
      </c>
      <c r="C161" t="s">
        <v>476</v>
      </c>
      <c r="D161" t="s">
        <v>830</v>
      </c>
      <c r="E161" t="s">
        <v>831</v>
      </c>
      <c r="F161" t="s">
        <v>443</v>
      </c>
      <c r="G161">
        <v>1</v>
      </c>
      <c r="H161" s="21">
        <v>871.23</v>
      </c>
      <c r="I161">
        <v>25</v>
      </c>
      <c r="J161" s="21">
        <v>217.81</v>
      </c>
      <c r="K161">
        <v>5</v>
      </c>
      <c r="L161" s="21">
        <v>32.67</v>
      </c>
      <c r="M161" s="21">
        <v>686.09</v>
      </c>
      <c r="N161" s="21">
        <v>570.20000000000005</v>
      </c>
      <c r="O161" s="21">
        <v>83.22</v>
      </c>
      <c r="P161" t="s">
        <v>123</v>
      </c>
      <c r="Q161" t="s">
        <v>120</v>
      </c>
      <c r="R161" t="s">
        <v>151</v>
      </c>
      <c r="S161" t="s">
        <v>832</v>
      </c>
      <c r="T161" t="s">
        <v>161</v>
      </c>
      <c r="U161" t="s">
        <v>154</v>
      </c>
      <c r="V161" t="str">
        <f>IFERROR(INDEX(Products!$C:$C,MATCH(D161,Products!$A:$A,0)),"Unknown")</f>
        <v>Men Shirts</v>
      </c>
      <c r="W161" t="str">
        <f>IFERROR(INDEX(Products!$E:$E,MATCH(D161,Products!$A:$A,0)),"Unknown")</f>
        <v>AND</v>
      </c>
      <c r="X161" t="str">
        <f>IFERROR(INDEX(Stores!$B:$B,MATCH(E161,Stores!$A:$A,0)),"Unknown")</f>
        <v>TrendMart Vellore Standard</v>
      </c>
      <c r="Y161" t="str">
        <f>IFERROR(INDEX(Stores!$E:$E,MATCH(E161,Stores!$A:$A,0)),"Unknown")</f>
        <v>South Zone 1</v>
      </c>
      <c r="Z161" t="str">
        <f>IFERROR(INDEX(Customers!$J:$J,MATCH(C161,Customers!$A:$A,0)),"Unknown")</f>
        <v>Silver</v>
      </c>
      <c r="AA161" t="str">
        <f t="shared" si="2"/>
        <v>2024-10</v>
      </c>
      <c r="AB161" t="str">
        <f>IFERROR(INDEX(Products!$I:$I,MATCH(D161,Products!$A:$A,0)),"Unknown")</f>
        <v>SUP012</v>
      </c>
    </row>
    <row r="162" spans="1:28" x14ac:dyDescent="0.25">
      <c r="A162" t="s">
        <v>833</v>
      </c>
      <c r="B162" s="20">
        <v>45420</v>
      </c>
      <c r="C162" t="s">
        <v>834</v>
      </c>
      <c r="D162" t="s">
        <v>545</v>
      </c>
      <c r="E162" t="s">
        <v>231</v>
      </c>
      <c r="F162" t="s">
        <v>159</v>
      </c>
      <c r="G162">
        <v>1</v>
      </c>
      <c r="H162" s="21">
        <v>1256.56</v>
      </c>
      <c r="I162">
        <v>10</v>
      </c>
      <c r="J162" s="21">
        <v>125.66</v>
      </c>
      <c r="K162">
        <v>12</v>
      </c>
      <c r="L162" s="21">
        <v>135.71</v>
      </c>
      <c r="M162" s="21">
        <v>1266.6099999999999</v>
      </c>
      <c r="N162" s="21">
        <v>834.96</v>
      </c>
      <c r="O162" s="21">
        <v>295.94</v>
      </c>
      <c r="P162" t="s">
        <v>121</v>
      </c>
      <c r="Q162" t="s">
        <v>122</v>
      </c>
      <c r="R162" t="s">
        <v>151</v>
      </c>
      <c r="S162" t="s">
        <v>835</v>
      </c>
      <c r="T162" t="s">
        <v>153</v>
      </c>
      <c r="U162" t="s">
        <v>154</v>
      </c>
      <c r="V162" t="str">
        <f>IFERROR(INDEX(Products!$C:$C,MATCH(D162,Products!$A:$A,0)),"Unknown")</f>
        <v>Women Jeans</v>
      </c>
      <c r="W162" t="str">
        <f>IFERROR(INDEX(Products!$E:$E,MATCH(D162,Products!$A:$A,0)),"Unknown")</f>
        <v>US Polo Assn</v>
      </c>
      <c r="X162" t="str">
        <f>IFERROR(INDEX(Stores!$B:$B,MATCH(E162,Stores!$A:$A,0)),"Unknown")</f>
        <v>TrendMart Warangal Outlet</v>
      </c>
      <c r="Y162" t="str">
        <f>IFERROR(INDEX(Stores!$E:$E,MATCH(E162,Stores!$A:$A,0)),"Unknown")</f>
        <v>South Zone 2</v>
      </c>
      <c r="Z162" t="str">
        <f>IFERROR(INDEX(Customers!$J:$J,MATCH(C162,Customers!$A:$A,0)),"Unknown")</f>
        <v>Platinum</v>
      </c>
      <c r="AA162" t="str">
        <f t="shared" si="2"/>
        <v>2024-05</v>
      </c>
      <c r="AB162" t="str">
        <f>IFERROR(INDEX(Products!$I:$I,MATCH(D162,Products!$A:$A,0)),"Unknown")</f>
        <v>SUP041</v>
      </c>
    </row>
    <row r="163" spans="1:28" x14ac:dyDescent="0.25">
      <c r="A163" t="s">
        <v>836</v>
      </c>
      <c r="B163" s="20">
        <v>45578</v>
      </c>
      <c r="C163" t="s">
        <v>837</v>
      </c>
      <c r="D163" t="s">
        <v>670</v>
      </c>
      <c r="E163" t="s">
        <v>515</v>
      </c>
      <c r="F163" t="s">
        <v>201</v>
      </c>
      <c r="G163">
        <v>2</v>
      </c>
      <c r="H163" s="21">
        <v>2055.85</v>
      </c>
      <c r="I163">
        <v>5</v>
      </c>
      <c r="J163" s="21">
        <v>205.59</v>
      </c>
      <c r="K163">
        <v>12</v>
      </c>
      <c r="L163" s="21">
        <v>468.73</v>
      </c>
      <c r="M163" s="21">
        <v>4374.84</v>
      </c>
      <c r="N163" s="21">
        <v>2756.76</v>
      </c>
      <c r="O163" s="21">
        <v>1149.3499999999999</v>
      </c>
      <c r="P163" t="s">
        <v>121</v>
      </c>
      <c r="Q163" t="s">
        <v>120</v>
      </c>
      <c r="R163" t="s">
        <v>151</v>
      </c>
      <c r="S163" t="s">
        <v>838</v>
      </c>
      <c r="T163" t="s">
        <v>161</v>
      </c>
      <c r="U163" t="s">
        <v>154</v>
      </c>
      <c r="V163" t="str">
        <f>IFERROR(INDEX(Products!$C:$C,MATCH(D163,Products!$A:$A,0)),"Unknown")</f>
        <v>Women Sarees</v>
      </c>
      <c r="W163" t="str">
        <f>IFERROR(INDEX(Products!$E:$E,MATCH(D163,Products!$A:$A,0)),"Unknown")</f>
        <v>Reebok</v>
      </c>
      <c r="X163" t="str">
        <f>IFERROR(INDEX(Stores!$B:$B,MATCH(E163,Stores!$A:$A,0)),"Unknown")</f>
        <v>TrendMart Kochi High Street</v>
      </c>
      <c r="Y163" t="str">
        <f>IFERROR(INDEX(Stores!$E:$E,MATCH(E163,Stores!$A:$A,0)),"Unknown")</f>
        <v>South Zone 1</v>
      </c>
      <c r="Z163" t="str">
        <f>IFERROR(INDEX(Customers!$J:$J,MATCH(C163,Customers!$A:$A,0)),"Unknown")</f>
        <v>Regular</v>
      </c>
      <c r="AA163" t="str">
        <f t="shared" si="2"/>
        <v>2024-10</v>
      </c>
      <c r="AB163" t="str">
        <f>IFERROR(INDEX(Products!$I:$I,MATCH(D163,Products!$A:$A,0)),"Unknown")</f>
        <v>SUP073</v>
      </c>
    </row>
    <row r="164" spans="1:28" x14ac:dyDescent="0.25">
      <c r="A164" t="s">
        <v>839</v>
      </c>
      <c r="B164" s="20">
        <v>45385</v>
      </c>
      <c r="C164" t="s">
        <v>840</v>
      </c>
      <c r="D164" t="s">
        <v>841</v>
      </c>
      <c r="E164" t="s">
        <v>241</v>
      </c>
      <c r="F164" t="s">
        <v>263</v>
      </c>
      <c r="G164">
        <v>1</v>
      </c>
      <c r="H164" s="21">
        <v>1605.02</v>
      </c>
      <c r="I164">
        <v>15</v>
      </c>
      <c r="J164" s="21">
        <v>240.75</v>
      </c>
      <c r="K164">
        <v>12</v>
      </c>
      <c r="L164" s="21">
        <v>163.71</v>
      </c>
      <c r="M164" s="21">
        <v>1527.98</v>
      </c>
      <c r="N164" s="21">
        <v>1061.5</v>
      </c>
      <c r="O164" s="21">
        <v>302.77</v>
      </c>
      <c r="P164" t="s">
        <v>121</v>
      </c>
      <c r="Q164" t="s">
        <v>122</v>
      </c>
      <c r="R164" t="s">
        <v>151</v>
      </c>
      <c r="S164" t="s">
        <v>842</v>
      </c>
      <c r="T164" t="s">
        <v>153</v>
      </c>
      <c r="U164" t="s">
        <v>154</v>
      </c>
      <c r="V164" t="str">
        <f>IFERROR(INDEX(Products!$C:$C,MATCH(D164,Products!$A:$A,0)),"Unknown")</f>
        <v>Men Jeans</v>
      </c>
      <c r="W164" t="str">
        <f>IFERROR(INDEX(Products!$E:$E,MATCH(D164,Products!$A:$A,0)),"Unknown")</f>
        <v>Killer Jeans</v>
      </c>
      <c r="X164" t="str">
        <f>IFERROR(INDEX(Stores!$B:$B,MATCH(E164,Stores!$A:$A,0)),"Unknown")</f>
        <v>TrendMart Nizamabad Mall Kiosk</v>
      </c>
      <c r="Y164" t="str">
        <f>IFERROR(INDEX(Stores!$E:$E,MATCH(E164,Stores!$A:$A,0)),"Unknown")</f>
        <v>South Zone 2</v>
      </c>
      <c r="Z164" t="str">
        <f>IFERROR(INDEX(Customers!$J:$J,MATCH(C164,Customers!$A:$A,0)),"Unknown")</f>
        <v>Platinum</v>
      </c>
      <c r="AA164" t="str">
        <f t="shared" si="2"/>
        <v>2024-04</v>
      </c>
      <c r="AB164" t="str">
        <f>IFERROR(INDEX(Products!$I:$I,MATCH(D164,Products!$A:$A,0)),"Unknown")</f>
        <v>SUP058</v>
      </c>
    </row>
    <row r="165" spans="1:28" x14ac:dyDescent="0.25">
      <c r="A165" t="s">
        <v>843</v>
      </c>
      <c r="B165" s="20">
        <v>45459</v>
      </c>
      <c r="C165" t="s">
        <v>844</v>
      </c>
      <c r="D165" t="s">
        <v>748</v>
      </c>
      <c r="E165" t="s">
        <v>200</v>
      </c>
      <c r="F165" t="s">
        <v>397</v>
      </c>
      <c r="G165">
        <v>1</v>
      </c>
      <c r="H165" s="21">
        <v>1334.11</v>
      </c>
      <c r="I165">
        <v>15</v>
      </c>
      <c r="J165" s="21">
        <v>200.12</v>
      </c>
      <c r="K165">
        <v>12</v>
      </c>
      <c r="L165" s="21">
        <v>136.08000000000001</v>
      </c>
      <c r="M165" s="21">
        <v>1270.07</v>
      </c>
      <c r="N165" s="21">
        <v>841.85</v>
      </c>
      <c r="O165" s="21">
        <v>292.14</v>
      </c>
      <c r="P165" t="s">
        <v>121</v>
      </c>
      <c r="Q165" t="s">
        <v>120</v>
      </c>
      <c r="R165" t="s">
        <v>151</v>
      </c>
      <c r="S165" t="s">
        <v>845</v>
      </c>
      <c r="T165" t="s">
        <v>161</v>
      </c>
      <c r="U165" t="s">
        <v>154</v>
      </c>
      <c r="V165" t="str">
        <f>IFERROR(INDEX(Products!$C:$C,MATCH(D165,Products!$A:$A,0)),"Unknown")</f>
        <v>Women Dresses</v>
      </c>
      <c r="W165" t="str">
        <f>IFERROR(INDEX(Products!$E:$E,MATCH(D165,Products!$A:$A,0)),"Unknown")</f>
        <v>Kalyan Silks</v>
      </c>
      <c r="X165" t="str">
        <f>IFERROR(INDEX(Stores!$B:$B,MATCH(E165,Stores!$A:$A,0)),"Unknown")</f>
        <v>TrendMart Kozhikode Standard</v>
      </c>
      <c r="Y165" t="str">
        <f>IFERROR(INDEX(Stores!$E:$E,MATCH(E165,Stores!$A:$A,0)),"Unknown")</f>
        <v>South Zone 1</v>
      </c>
      <c r="Z165" t="str">
        <f>IFERROR(INDEX(Customers!$J:$J,MATCH(C165,Customers!$A:$A,0)),"Unknown")</f>
        <v>Silver</v>
      </c>
      <c r="AA165" t="str">
        <f t="shared" si="2"/>
        <v>2024-06</v>
      </c>
      <c r="AB165" t="str">
        <f>IFERROR(INDEX(Products!$I:$I,MATCH(D165,Products!$A:$A,0)),"Unknown")</f>
        <v>SUP036</v>
      </c>
    </row>
    <row r="166" spans="1:28" x14ac:dyDescent="0.25">
      <c r="A166" t="s">
        <v>846</v>
      </c>
      <c r="B166" s="20">
        <v>45433</v>
      </c>
      <c r="C166" t="s">
        <v>847</v>
      </c>
      <c r="D166" t="s">
        <v>502</v>
      </c>
      <c r="E166" t="s">
        <v>848</v>
      </c>
      <c r="F166" t="s">
        <v>303</v>
      </c>
      <c r="G166">
        <v>1</v>
      </c>
      <c r="H166" s="21">
        <v>2973.71</v>
      </c>
      <c r="I166">
        <v>0</v>
      </c>
      <c r="J166" s="21">
        <v>0</v>
      </c>
      <c r="K166">
        <v>12</v>
      </c>
      <c r="L166" s="21">
        <v>356.85</v>
      </c>
      <c r="M166" s="21">
        <v>3330.56</v>
      </c>
      <c r="N166" s="21">
        <v>2151.34</v>
      </c>
      <c r="O166" s="21">
        <v>822.37</v>
      </c>
      <c r="P166" t="s">
        <v>124</v>
      </c>
      <c r="Q166" t="s">
        <v>120</v>
      </c>
      <c r="R166" t="s">
        <v>151</v>
      </c>
      <c r="S166" t="s">
        <v>849</v>
      </c>
      <c r="T166" t="s">
        <v>153</v>
      </c>
      <c r="U166" t="s">
        <v>154</v>
      </c>
      <c r="V166" t="str">
        <f>IFERROR(INDEX(Products!$C:$C,MATCH(D166,Products!$A:$A,0)),"Unknown")</f>
        <v>Handbags</v>
      </c>
      <c r="W166" t="str">
        <f>IFERROR(INDEX(Products!$E:$E,MATCH(D166,Products!$A:$A,0)),"Unknown")</f>
        <v>Libas</v>
      </c>
      <c r="X166" t="str">
        <f>IFERROR(INDEX(Stores!$B:$B,MATCH(E166,Stores!$A:$A,0)),"Unknown")</f>
        <v>TrendMart Shivamogga Standard</v>
      </c>
      <c r="Y166" t="str">
        <f>IFERROR(INDEX(Stores!$E:$E,MATCH(E166,Stores!$A:$A,0)),"Unknown")</f>
        <v>South Zone 2</v>
      </c>
      <c r="Z166" t="str">
        <f>IFERROR(INDEX(Customers!$J:$J,MATCH(C166,Customers!$A:$A,0)),"Unknown")</f>
        <v>Silver</v>
      </c>
      <c r="AA166" t="str">
        <f t="shared" si="2"/>
        <v>2024-05</v>
      </c>
      <c r="AB166" t="str">
        <f>IFERROR(INDEX(Products!$I:$I,MATCH(D166,Products!$A:$A,0)),"Unknown")</f>
        <v>SUP070</v>
      </c>
    </row>
    <row r="167" spans="1:28" x14ac:dyDescent="0.25">
      <c r="A167" t="s">
        <v>850</v>
      </c>
      <c r="B167" s="20">
        <v>45658</v>
      </c>
      <c r="C167" t="s">
        <v>851</v>
      </c>
      <c r="D167" t="s">
        <v>225</v>
      </c>
      <c r="E167" t="s">
        <v>96</v>
      </c>
      <c r="F167" t="s">
        <v>397</v>
      </c>
      <c r="G167">
        <v>3</v>
      </c>
      <c r="H167" s="21">
        <v>1783.67</v>
      </c>
      <c r="I167">
        <v>20</v>
      </c>
      <c r="J167" s="21">
        <v>1070.2</v>
      </c>
      <c r="K167">
        <v>12</v>
      </c>
      <c r="L167" s="21">
        <v>513.70000000000005</v>
      </c>
      <c r="M167" s="21">
        <v>4794.51</v>
      </c>
      <c r="N167" s="21">
        <v>4221.99</v>
      </c>
      <c r="O167" s="21">
        <v>58.82</v>
      </c>
      <c r="P167" t="s">
        <v>121</v>
      </c>
      <c r="Q167" t="s">
        <v>120</v>
      </c>
      <c r="R167" t="s">
        <v>151</v>
      </c>
      <c r="S167" t="s">
        <v>694</v>
      </c>
      <c r="T167" t="s">
        <v>153</v>
      </c>
      <c r="U167" t="s">
        <v>154</v>
      </c>
      <c r="V167" t="str">
        <f>IFERROR(INDEX(Products!$C:$C,MATCH(D167,Products!$A:$A,0)),"Unknown")</f>
        <v>Women Dresses</v>
      </c>
      <c r="W167" t="str">
        <f>IFERROR(INDEX(Products!$E:$E,MATCH(D167,Products!$A:$A,0)),"Unknown")</f>
        <v>Tanishq</v>
      </c>
      <c r="X167" t="str">
        <f>IFERROR(INDEX(Stores!$B:$B,MATCH(E167,Stores!$A:$A,0)),"Unknown")</f>
        <v>TrendMart Shivamogga Outlet</v>
      </c>
      <c r="Y167" t="str">
        <f>IFERROR(INDEX(Stores!$E:$E,MATCH(E167,Stores!$A:$A,0)),"Unknown")</f>
        <v>South Zone 2</v>
      </c>
      <c r="Z167" t="str">
        <f>IFERROR(INDEX(Customers!$J:$J,MATCH(C167,Customers!$A:$A,0)),"Unknown")</f>
        <v>Regular</v>
      </c>
      <c r="AA167" t="str">
        <f t="shared" si="2"/>
        <v>2025-01</v>
      </c>
      <c r="AB167" t="str">
        <f>IFERROR(INDEX(Products!$I:$I,MATCH(D167,Products!$A:$A,0)),"Unknown")</f>
        <v>SUP063</v>
      </c>
    </row>
    <row r="168" spans="1:28" x14ac:dyDescent="0.25">
      <c r="A168" t="s">
        <v>852</v>
      </c>
      <c r="B168" s="20">
        <v>45424</v>
      </c>
      <c r="C168" t="s">
        <v>853</v>
      </c>
      <c r="D168" t="s">
        <v>854</v>
      </c>
      <c r="E168" t="s">
        <v>402</v>
      </c>
      <c r="F168" t="s">
        <v>297</v>
      </c>
      <c r="G168">
        <v>5</v>
      </c>
      <c r="H168" s="21">
        <v>1207.33</v>
      </c>
      <c r="I168">
        <v>5</v>
      </c>
      <c r="J168" s="21">
        <v>301.83</v>
      </c>
      <c r="K168">
        <v>3</v>
      </c>
      <c r="L168" s="21">
        <v>172.04</v>
      </c>
      <c r="M168" s="21">
        <v>5906.86</v>
      </c>
      <c r="N168" s="21">
        <v>4770.2</v>
      </c>
      <c r="O168" s="21">
        <v>964.62</v>
      </c>
      <c r="P168" t="s">
        <v>121</v>
      </c>
      <c r="Q168" t="s">
        <v>122</v>
      </c>
      <c r="R168" t="s">
        <v>151</v>
      </c>
      <c r="S168" t="s">
        <v>855</v>
      </c>
      <c r="T168" t="s">
        <v>161</v>
      </c>
      <c r="U168" t="s">
        <v>154</v>
      </c>
      <c r="V168" t="str">
        <f>IFERROR(INDEX(Products!$C:$C,MATCH(D168,Products!$A:$A,0)),"Unknown")</f>
        <v>Jewellery</v>
      </c>
      <c r="W168" t="str">
        <f>IFERROR(INDEX(Products!$E:$E,MATCH(D168,Products!$A:$A,0)),"Unknown")</f>
        <v>W for Woman</v>
      </c>
      <c r="X168" t="str">
        <f>IFERROR(INDEX(Stores!$B:$B,MATCH(E168,Stores!$A:$A,0)),"Unknown")</f>
        <v>TrendMart Kannur Standard</v>
      </c>
      <c r="Y168" t="str">
        <f>IFERROR(INDEX(Stores!$E:$E,MATCH(E168,Stores!$A:$A,0)),"Unknown")</f>
        <v>South Zone 1</v>
      </c>
      <c r="Z168" t="str">
        <f>IFERROR(INDEX(Customers!$J:$J,MATCH(C168,Customers!$A:$A,0)),"Unknown")</f>
        <v>Gold</v>
      </c>
      <c r="AA168" t="str">
        <f t="shared" si="2"/>
        <v>2024-05</v>
      </c>
      <c r="AB168" t="str">
        <f>IFERROR(INDEX(Products!$I:$I,MATCH(D168,Products!$A:$A,0)),"Unknown")</f>
        <v>SUP006</v>
      </c>
    </row>
    <row r="169" spans="1:28" x14ac:dyDescent="0.25">
      <c r="A169" t="s">
        <v>856</v>
      </c>
      <c r="B169" s="20">
        <v>45481</v>
      </c>
      <c r="C169" t="s">
        <v>857</v>
      </c>
      <c r="D169" t="s">
        <v>858</v>
      </c>
      <c r="E169" t="s">
        <v>94</v>
      </c>
      <c r="F169" t="s">
        <v>201</v>
      </c>
      <c r="G169">
        <v>2</v>
      </c>
      <c r="H169" s="21">
        <v>661.42</v>
      </c>
      <c r="I169">
        <v>15</v>
      </c>
      <c r="J169" s="21">
        <v>198.43</v>
      </c>
      <c r="K169">
        <v>5</v>
      </c>
      <c r="L169" s="21">
        <v>56.22</v>
      </c>
      <c r="M169" s="21">
        <v>1180.6300000000001</v>
      </c>
      <c r="N169" s="21">
        <v>1050.9000000000001</v>
      </c>
      <c r="O169" s="21">
        <v>73.510000000000005</v>
      </c>
      <c r="P169" t="s">
        <v>123</v>
      </c>
      <c r="Q169" t="s">
        <v>120</v>
      </c>
      <c r="R169" t="s">
        <v>151</v>
      </c>
      <c r="S169" t="s">
        <v>859</v>
      </c>
      <c r="T169" t="s">
        <v>153</v>
      </c>
      <c r="U169" t="s">
        <v>154</v>
      </c>
      <c r="V169" t="str">
        <f>IFERROR(INDEX(Products!$C:$C,MATCH(D169,Products!$A:$A,0)),"Unknown")</f>
        <v>Kids Wear</v>
      </c>
      <c r="W169" t="str">
        <f>IFERROR(INDEX(Products!$E:$E,MATCH(D169,Products!$A:$A,0)),"Unknown")</f>
        <v>Sonata</v>
      </c>
      <c r="X169" t="str">
        <f>IFERROR(INDEX(Stores!$B:$B,MATCH(E169,Stores!$A:$A,0)),"Unknown")</f>
        <v>TrendMart Bengaluru Mall Kiosk</v>
      </c>
      <c r="Y169" t="str">
        <f>IFERROR(INDEX(Stores!$E:$E,MATCH(E169,Stores!$A:$A,0)),"Unknown")</f>
        <v>South Zone 2</v>
      </c>
      <c r="Z169" t="str">
        <f>IFERROR(INDEX(Customers!$J:$J,MATCH(C169,Customers!$A:$A,0)),"Unknown")</f>
        <v>Gold</v>
      </c>
      <c r="AA169" t="str">
        <f t="shared" si="2"/>
        <v>2024-07</v>
      </c>
      <c r="AB169" t="str">
        <f>IFERROR(INDEX(Products!$I:$I,MATCH(D169,Products!$A:$A,0)),"Unknown")</f>
        <v>SUP089</v>
      </c>
    </row>
    <row r="170" spans="1:28" x14ac:dyDescent="0.25">
      <c r="A170" t="s">
        <v>860</v>
      </c>
      <c r="B170" s="20">
        <v>45618</v>
      </c>
      <c r="C170" t="s">
        <v>553</v>
      </c>
      <c r="D170" t="s">
        <v>861</v>
      </c>
      <c r="E170" t="s">
        <v>806</v>
      </c>
      <c r="F170" t="s">
        <v>182</v>
      </c>
      <c r="G170">
        <v>2</v>
      </c>
      <c r="H170" s="21">
        <v>1713.66</v>
      </c>
      <c r="I170">
        <v>5</v>
      </c>
      <c r="J170" s="21">
        <v>171.37</v>
      </c>
      <c r="K170">
        <v>12</v>
      </c>
      <c r="L170" s="21">
        <v>390.71</v>
      </c>
      <c r="M170" s="21">
        <v>3646.66</v>
      </c>
      <c r="N170" s="21">
        <v>2279.62</v>
      </c>
      <c r="O170" s="21">
        <v>976.33</v>
      </c>
      <c r="P170" t="s">
        <v>125</v>
      </c>
      <c r="Q170" t="s">
        <v>122</v>
      </c>
      <c r="R170" t="s">
        <v>151</v>
      </c>
      <c r="S170" t="s">
        <v>364</v>
      </c>
      <c r="T170" t="s">
        <v>153</v>
      </c>
      <c r="U170" t="s">
        <v>154</v>
      </c>
      <c r="V170" t="str">
        <f>IFERROR(INDEX(Products!$C:$C,MATCH(D170,Products!$A:$A,0)),"Unknown")</f>
        <v>Women Jeans</v>
      </c>
      <c r="W170" t="str">
        <f>IFERROR(INDEX(Products!$E:$E,MATCH(D170,Products!$A:$A,0)),"Unknown")</f>
        <v>Spykar</v>
      </c>
      <c r="X170" t="str">
        <f>IFERROR(INDEX(Stores!$B:$B,MATCH(E170,Stores!$A:$A,0)),"Unknown")</f>
        <v>TrendMart Tirunelveli Flagship</v>
      </c>
      <c r="Y170" t="str">
        <f>IFERROR(INDEX(Stores!$E:$E,MATCH(E170,Stores!$A:$A,0)),"Unknown")</f>
        <v>South Zone 1</v>
      </c>
      <c r="Z170" t="str">
        <f>IFERROR(INDEX(Customers!$J:$J,MATCH(C170,Customers!$A:$A,0)),"Unknown")</f>
        <v>Silver</v>
      </c>
      <c r="AA170" t="str">
        <f t="shared" si="2"/>
        <v>2024-11</v>
      </c>
      <c r="AB170" t="str">
        <f>IFERROR(INDEX(Products!$I:$I,MATCH(D170,Products!$A:$A,0)),"Unknown")</f>
        <v>SUP088</v>
      </c>
    </row>
    <row r="171" spans="1:28" x14ac:dyDescent="0.25">
      <c r="A171" t="s">
        <v>862</v>
      </c>
      <c r="B171" s="20">
        <v>45467</v>
      </c>
      <c r="C171" t="s">
        <v>863</v>
      </c>
      <c r="D171" t="s">
        <v>864</v>
      </c>
      <c r="E171" t="s">
        <v>578</v>
      </c>
      <c r="F171" t="s">
        <v>596</v>
      </c>
      <c r="G171">
        <v>1</v>
      </c>
      <c r="H171" s="21">
        <v>3151.48</v>
      </c>
      <c r="I171">
        <v>20</v>
      </c>
      <c r="J171" s="21">
        <v>630.29999999999995</v>
      </c>
      <c r="K171">
        <v>3</v>
      </c>
      <c r="L171" s="21">
        <v>75.64</v>
      </c>
      <c r="M171" s="21">
        <v>2596.8200000000002</v>
      </c>
      <c r="N171" s="21">
        <v>1989.93</v>
      </c>
      <c r="O171" s="21">
        <v>531.25</v>
      </c>
      <c r="P171" t="s">
        <v>121</v>
      </c>
      <c r="Q171" t="s">
        <v>122</v>
      </c>
      <c r="R171" t="s">
        <v>151</v>
      </c>
      <c r="S171" t="s">
        <v>865</v>
      </c>
      <c r="T171" t="s">
        <v>153</v>
      </c>
      <c r="U171" t="s">
        <v>154</v>
      </c>
      <c r="V171" t="str">
        <f>IFERROR(INDEX(Products!$C:$C,MATCH(D171,Products!$A:$A,0)),"Unknown")</f>
        <v>Jewellery</v>
      </c>
      <c r="W171" t="str">
        <f>IFERROR(INDEX(Products!$E:$E,MATCH(D171,Products!$A:$A,0)),"Unknown")</f>
        <v>Wrangler</v>
      </c>
      <c r="X171" t="str">
        <f>IFERROR(INDEX(Stores!$B:$B,MATCH(E171,Stores!$A:$A,0)),"Unknown")</f>
        <v>TrendMart Vellore Standard</v>
      </c>
      <c r="Y171" t="str">
        <f>IFERROR(INDEX(Stores!$E:$E,MATCH(E171,Stores!$A:$A,0)),"Unknown")</f>
        <v>South Zone 1</v>
      </c>
      <c r="Z171" t="str">
        <f>IFERROR(INDEX(Customers!$J:$J,MATCH(C171,Customers!$A:$A,0)),"Unknown")</f>
        <v>Regular</v>
      </c>
      <c r="AA171" t="str">
        <f t="shared" si="2"/>
        <v>2024-06</v>
      </c>
      <c r="AB171" t="str">
        <f>IFERROR(INDEX(Products!$I:$I,MATCH(D171,Products!$A:$A,0)),"Unknown")</f>
        <v>SUP070</v>
      </c>
    </row>
    <row r="172" spans="1:28" x14ac:dyDescent="0.25">
      <c r="A172" t="s">
        <v>866</v>
      </c>
      <c r="B172" s="20">
        <v>45646</v>
      </c>
      <c r="C172" t="s">
        <v>867</v>
      </c>
      <c r="D172" t="s">
        <v>868</v>
      </c>
      <c r="E172" t="s">
        <v>181</v>
      </c>
      <c r="F172" t="s">
        <v>232</v>
      </c>
      <c r="G172">
        <v>4</v>
      </c>
      <c r="H172" s="21">
        <v>1354.26</v>
      </c>
      <c r="I172">
        <v>20</v>
      </c>
      <c r="J172" s="21">
        <v>1083.4100000000001</v>
      </c>
      <c r="K172">
        <v>12</v>
      </c>
      <c r="L172" s="21">
        <v>520.04</v>
      </c>
      <c r="M172" s="21">
        <v>4853.67</v>
      </c>
      <c r="N172" s="21">
        <v>4062.88</v>
      </c>
      <c r="O172" s="21">
        <v>270.75</v>
      </c>
      <c r="P172" t="s">
        <v>123</v>
      </c>
      <c r="Q172" t="s">
        <v>120</v>
      </c>
      <c r="R172" t="s">
        <v>151</v>
      </c>
      <c r="S172" t="s">
        <v>869</v>
      </c>
      <c r="T172" t="s">
        <v>153</v>
      </c>
      <c r="U172" t="s">
        <v>154</v>
      </c>
      <c r="V172" t="str">
        <f>IFERROR(INDEX(Products!$C:$C,MATCH(D172,Products!$A:$A,0)),"Unknown")</f>
        <v>Winter Wear</v>
      </c>
      <c r="W172" t="str">
        <f>IFERROR(INDEX(Products!$E:$E,MATCH(D172,Products!$A:$A,0)),"Unknown")</f>
        <v>Liberty</v>
      </c>
      <c r="X172" t="str">
        <f>IFERROR(INDEX(Stores!$B:$B,MATCH(E172,Stores!$A:$A,0)),"Unknown")</f>
        <v>TrendMart Kurnool High Street</v>
      </c>
      <c r="Y172" t="str">
        <f>IFERROR(INDEX(Stores!$E:$E,MATCH(E172,Stores!$A:$A,0)),"Unknown")</f>
        <v>South Zone 3</v>
      </c>
      <c r="Z172" t="str">
        <f>IFERROR(INDEX(Customers!$J:$J,MATCH(C172,Customers!$A:$A,0)),"Unknown")</f>
        <v>Silver</v>
      </c>
      <c r="AA172" t="str">
        <f t="shared" si="2"/>
        <v>2024-12</v>
      </c>
      <c r="AB172" t="str">
        <f>IFERROR(INDEX(Products!$I:$I,MATCH(D172,Products!$A:$A,0)),"Unknown")</f>
        <v>SUP012</v>
      </c>
    </row>
    <row r="173" spans="1:28" x14ac:dyDescent="0.25">
      <c r="A173" t="s">
        <v>870</v>
      </c>
      <c r="B173" s="20">
        <v>45617</v>
      </c>
      <c r="C173" t="s">
        <v>871</v>
      </c>
      <c r="D173" t="s">
        <v>748</v>
      </c>
      <c r="E173" t="s">
        <v>721</v>
      </c>
      <c r="F173" t="s">
        <v>232</v>
      </c>
      <c r="G173">
        <v>2</v>
      </c>
      <c r="H173" s="21">
        <v>1194.1099999999999</v>
      </c>
      <c r="I173">
        <v>25</v>
      </c>
      <c r="J173" s="21">
        <v>597.04999999999995</v>
      </c>
      <c r="K173">
        <v>12</v>
      </c>
      <c r="L173" s="21">
        <v>214.94</v>
      </c>
      <c r="M173" s="21">
        <v>2006.11</v>
      </c>
      <c r="N173" s="21">
        <v>1683.7</v>
      </c>
      <c r="O173" s="21">
        <v>107.47</v>
      </c>
      <c r="P173" t="s">
        <v>125</v>
      </c>
      <c r="Q173" t="s">
        <v>120</v>
      </c>
      <c r="R173" t="s">
        <v>151</v>
      </c>
      <c r="S173" t="s">
        <v>872</v>
      </c>
      <c r="T173" t="s">
        <v>153</v>
      </c>
      <c r="U173" t="s">
        <v>154</v>
      </c>
      <c r="V173" t="str">
        <f>IFERROR(INDEX(Products!$C:$C,MATCH(D173,Products!$A:$A,0)),"Unknown")</f>
        <v>Women Dresses</v>
      </c>
      <c r="W173" t="str">
        <f>IFERROR(INDEX(Products!$E:$E,MATCH(D173,Products!$A:$A,0)),"Unknown")</f>
        <v>Kalyan Silks</v>
      </c>
      <c r="X173" t="str">
        <f>IFERROR(INDEX(Stores!$B:$B,MATCH(E173,Stores!$A:$A,0)),"Unknown")</f>
        <v>TrendMart Kollam Flagship</v>
      </c>
      <c r="Y173" t="str">
        <f>IFERROR(INDEX(Stores!$E:$E,MATCH(E173,Stores!$A:$A,0)),"Unknown")</f>
        <v>South Zone 1</v>
      </c>
      <c r="Z173" t="str">
        <f>IFERROR(INDEX(Customers!$J:$J,MATCH(C173,Customers!$A:$A,0)),"Unknown")</f>
        <v>Regular</v>
      </c>
      <c r="AA173" t="str">
        <f t="shared" si="2"/>
        <v>2024-11</v>
      </c>
      <c r="AB173" t="str">
        <f>IFERROR(INDEX(Products!$I:$I,MATCH(D173,Products!$A:$A,0)),"Unknown")</f>
        <v>SUP036</v>
      </c>
    </row>
    <row r="174" spans="1:28" x14ac:dyDescent="0.25">
      <c r="A174" t="s">
        <v>873</v>
      </c>
      <c r="B174" s="20">
        <v>45387</v>
      </c>
      <c r="C174" t="s">
        <v>874</v>
      </c>
      <c r="D174" t="s">
        <v>875</v>
      </c>
      <c r="E174" t="s">
        <v>280</v>
      </c>
      <c r="F174" t="s">
        <v>182</v>
      </c>
      <c r="G174">
        <v>2</v>
      </c>
      <c r="H174" s="21">
        <v>2681.98</v>
      </c>
      <c r="I174">
        <v>25</v>
      </c>
      <c r="J174" s="21">
        <v>1340.99</v>
      </c>
      <c r="K174">
        <v>12</v>
      </c>
      <c r="L174" s="21">
        <v>482.76</v>
      </c>
      <c r="M174" s="21">
        <v>4505.7299999999996</v>
      </c>
      <c r="N174" s="21">
        <v>4409.92</v>
      </c>
      <c r="O174" s="21">
        <v>-386.95</v>
      </c>
      <c r="P174" t="s">
        <v>121</v>
      </c>
      <c r="Q174" t="s">
        <v>120</v>
      </c>
      <c r="R174" t="s">
        <v>151</v>
      </c>
      <c r="S174" t="s">
        <v>876</v>
      </c>
      <c r="T174" t="s">
        <v>153</v>
      </c>
      <c r="U174" t="s">
        <v>184</v>
      </c>
      <c r="V174" t="str">
        <f>IFERROR(INDEX(Products!$C:$C,MATCH(D174,Products!$A:$A,0)),"Unknown")</f>
        <v>Footwear</v>
      </c>
      <c r="W174" t="str">
        <f>IFERROR(INDEX(Products!$E:$E,MATCH(D174,Products!$A:$A,0)),"Unknown")</f>
        <v>Indian Terrain</v>
      </c>
      <c r="X174" t="str">
        <f>IFERROR(INDEX(Stores!$B:$B,MATCH(E174,Stores!$A:$A,0)),"Unknown")</f>
        <v>TrendMart Chennai Standard</v>
      </c>
      <c r="Y174" t="str">
        <f>IFERROR(INDEX(Stores!$E:$E,MATCH(E174,Stores!$A:$A,0)),"Unknown")</f>
        <v>South Zone 1</v>
      </c>
      <c r="Z174" t="str">
        <f>IFERROR(INDEX(Customers!$J:$J,MATCH(C174,Customers!$A:$A,0)),"Unknown")</f>
        <v>Silver</v>
      </c>
      <c r="AA174" t="str">
        <f t="shared" si="2"/>
        <v>2024-04</v>
      </c>
      <c r="AB174" t="str">
        <f>IFERROR(INDEX(Products!$I:$I,MATCH(D174,Products!$A:$A,0)),"Unknown")</f>
        <v>SUP090</v>
      </c>
    </row>
    <row r="175" spans="1:28" x14ac:dyDescent="0.25">
      <c r="A175" t="s">
        <v>877</v>
      </c>
      <c r="B175" s="20">
        <v>45600</v>
      </c>
      <c r="C175" t="s">
        <v>878</v>
      </c>
      <c r="D175" t="s">
        <v>372</v>
      </c>
      <c r="E175" t="s">
        <v>667</v>
      </c>
      <c r="F175" t="s">
        <v>281</v>
      </c>
      <c r="G175">
        <v>1</v>
      </c>
      <c r="H175" s="21">
        <v>634.97</v>
      </c>
      <c r="I175">
        <v>10</v>
      </c>
      <c r="J175" s="21">
        <v>63.5</v>
      </c>
      <c r="K175">
        <v>5</v>
      </c>
      <c r="L175" s="21">
        <v>28.57</v>
      </c>
      <c r="M175" s="21">
        <v>600.04</v>
      </c>
      <c r="N175" s="21">
        <v>413.39</v>
      </c>
      <c r="O175" s="21">
        <v>158.08000000000001</v>
      </c>
      <c r="P175" t="s">
        <v>121</v>
      </c>
      <c r="Q175" t="s">
        <v>120</v>
      </c>
      <c r="R175" t="s">
        <v>151</v>
      </c>
      <c r="S175" t="s">
        <v>879</v>
      </c>
      <c r="T175" t="s">
        <v>153</v>
      </c>
      <c r="U175" t="s">
        <v>154</v>
      </c>
      <c r="V175" t="str">
        <f>IFERROR(INDEX(Products!$C:$C,MATCH(D175,Products!$A:$A,0)),"Unknown")</f>
        <v>Kids Wear</v>
      </c>
      <c r="W175" t="str">
        <f>IFERROR(INDEX(Products!$E:$E,MATCH(D175,Products!$A:$A,0)),"Unknown")</f>
        <v>Jack &amp; Jones</v>
      </c>
      <c r="X175" t="str">
        <f>IFERROR(INDEX(Stores!$B:$B,MATCH(E175,Stores!$A:$A,0)),"Unknown")</f>
        <v>TrendMart Hyderabad High Street</v>
      </c>
      <c r="Y175" t="str">
        <f>IFERROR(INDEX(Stores!$E:$E,MATCH(E175,Stores!$A:$A,0)),"Unknown")</f>
        <v>South Zone 2</v>
      </c>
      <c r="Z175" t="str">
        <f>IFERROR(INDEX(Customers!$J:$J,MATCH(C175,Customers!$A:$A,0)),"Unknown")</f>
        <v>Silver</v>
      </c>
      <c r="AA175" t="str">
        <f t="shared" si="2"/>
        <v>2024-11</v>
      </c>
      <c r="AB175" t="str">
        <f>IFERROR(INDEX(Products!$I:$I,MATCH(D175,Products!$A:$A,0)),"Unknown")</f>
        <v>SUP065</v>
      </c>
    </row>
    <row r="176" spans="1:28" x14ac:dyDescent="0.25">
      <c r="A176" t="s">
        <v>880</v>
      </c>
      <c r="B176" s="20">
        <v>45505</v>
      </c>
      <c r="C176" t="s">
        <v>881</v>
      </c>
      <c r="D176" t="s">
        <v>780</v>
      </c>
      <c r="E176" t="s">
        <v>477</v>
      </c>
      <c r="F176" t="s">
        <v>397</v>
      </c>
      <c r="G176">
        <v>2</v>
      </c>
      <c r="H176" s="21">
        <v>4160.33</v>
      </c>
      <c r="I176">
        <v>5</v>
      </c>
      <c r="J176" s="21">
        <v>416.03</v>
      </c>
      <c r="K176">
        <v>12</v>
      </c>
      <c r="L176" s="21">
        <v>948.56</v>
      </c>
      <c r="M176" s="21">
        <v>8853.19</v>
      </c>
      <c r="N176" s="21">
        <v>5667.22</v>
      </c>
      <c r="O176" s="21">
        <v>2237.41</v>
      </c>
      <c r="P176" t="s">
        <v>121</v>
      </c>
      <c r="Q176" t="s">
        <v>120</v>
      </c>
      <c r="R176" t="s">
        <v>151</v>
      </c>
      <c r="S176" t="s">
        <v>882</v>
      </c>
      <c r="T176" t="s">
        <v>153</v>
      </c>
      <c r="U176" t="s">
        <v>154</v>
      </c>
      <c r="V176" t="str">
        <f>IFERROR(INDEX(Products!$C:$C,MATCH(D176,Products!$A:$A,0)),"Unknown")</f>
        <v>Watches</v>
      </c>
      <c r="W176" t="str">
        <f>IFERROR(INDEX(Products!$E:$E,MATCH(D176,Products!$A:$A,0)),"Unknown")</f>
        <v>Mufti</v>
      </c>
      <c r="X176" t="str">
        <f>IFERROR(INDEX(Stores!$B:$B,MATCH(E176,Stores!$A:$A,0)),"Unknown")</f>
        <v>TrendMart Hubballi Standard</v>
      </c>
      <c r="Y176" t="str">
        <f>IFERROR(INDEX(Stores!$E:$E,MATCH(E176,Stores!$A:$A,0)),"Unknown")</f>
        <v>South Zone 2</v>
      </c>
      <c r="Z176" t="str">
        <f>IFERROR(INDEX(Customers!$J:$J,MATCH(C176,Customers!$A:$A,0)),"Unknown")</f>
        <v>Silver</v>
      </c>
      <c r="AA176" t="str">
        <f t="shared" si="2"/>
        <v>2024-08</v>
      </c>
      <c r="AB176" t="str">
        <f>IFERROR(INDEX(Products!$I:$I,MATCH(D176,Products!$A:$A,0)),"Unknown")</f>
        <v>SUP063</v>
      </c>
    </row>
    <row r="177" spans="1:28" x14ac:dyDescent="0.25">
      <c r="A177" t="s">
        <v>883</v>
      </c>
      <c r="B177" s="20">
        <v>45555</v>
      </c>
      <c r="C177" t="s">
        <v>884</v>
      </c>
      <c r="D177" t="s">
        <v>558</v>
      </c>
      <c r="E177" t="s">
        <v>181</v>
      </c>
      <c r="F177" t="s">
        <v>532</v>
      </c>
      <c r="G177">
        <v>2</v>
      </c>
      <c r="H177" s="21">
        <v>663.33</v>
      </c>
      <c r="I177">
        <v>10</v>
      </c>
      <c r="J177" s="21">
        <v>132.66999999999999</v>
      </c>
      <c r="K177">
        <v>5</v>
      </c>
      <c r="L177" s="21">
        <v>59.7</v>
      </c>
      <c r="M177" s="21">
        <v>1253.69</v>
      </c>
      <c r="N177" s="21">
        <v>914.32</v>
      </c>
      <c r="O177" s="21">
        <v>279.67</v>
      </c>
      <c r="P177" t="s">
        <v>124</v>
      </c>
      <c r="Q177" t="s">
        <v>122</v>
      </c>
      <c r="R177" t="s">
        <v>151</v>
      </c>
      <c r="S177" t="s">
        <v>885</v>
      </c>
      <c r="T177" t="s">
        <v>153</v>
      </c>
      <c r="U177" t="s">
        <v>154</v>
      </c>
      <c r="V177" t="str">
        <f>IFERROR(INDEX(Products!$C:$C,MATCH(D177,Products!$A:$A,0)),"Unknown")</f>
        <v>Women Tops</v>
      </c>
      <c r="W177" t="str">
        <f>IFERROR(INDEX(Products!$E:$E,MATCH(D177,Products!$A:$A,0)),"Unknown")</f>
        <v>Aurelia</v>
      </c>
      <c r="X177" t="str">
        <f>IFERROR(INDEX(Stores!$B:$B,MATCH(E177,Stores!$A:$A,0)),"Unknown")</f>
        <v>TrendMart Kurnool High Street</v>
      </c>
      <c r="Y177" t="str">
        <f>IFERROR(INDEX(Stores!$E:$E,MATCH(E177,Stores!$A:$A,0)),"Unknown")</f>
        <v>South Zone 3</v>
      </c>
      <c r="Z177" t="str">
        <f>IFERROR(INDEX(Customers!$J:$J,MATCH(C177,Customers!$A:$A,0)),"Unknown")</f>
        <v>Regular</v>
      </c>
      <c r="AA177" t="str">
        <f t="shared" si="2"/>
        <v>2024-09</v>
      </c>
      <c r="AB177" t="str">
        <f>IFERROR(INDEX(Products!$I:$I,MATCH(D177,Products!$A:$A,0)),"Unknown")</f>
        <v>SUP055</v>
      </c>
    </row>
    <row r="178" spans="1:28" x14ac:dyDescent="0.25">
      <c r="A178" t="s">
        <v>886</v>
      </c>
      <c r="B178" s="20">
        <v>45554</v>
      </c>
      <c r="C178" t="s">
        <v>887</v>
      </c>
      <c r="D178" t="s">
        <v>888</v>
      </c>
      <c r="E178" t="s">
        <v>461</v>
      </c>
      <c r="F178" t="s">
        <v>221</v>
      </c>
      <c r="G178">
        <v>1</v>
      </c>
      <c r="H178" s="21">
        <v>6344.83</v>
      </c>
      <c r="I178">
        <v>20</v>
      </c>
      <c r="J178" s="21">
        <v>1268.97</v>
      </c>
      <c r="K178">
        <v>3</v>
      </c>
      <c r="L178" s="21">
        <v>152.28</v>
      </c>
      <c r="M178" s="21">
        <v>5228.1400000000003</v>
      </c>
      <c r="N178" s="21">
        <v>4762.76</v>
      </c>
      <c r="O178" s="21">
        <v>313.10000000000002</v>
      </c>
      <c r="P178" t="s">
        <v>121</v>
      </c>
      <c r="Q178" t="s">
        <v>120</v>
      </c>
      <c r="R178" t="s">
        <v>151</v>
      </c>
      <c r="S178" t="s">
        <v>889</v>
      </c>
      <c r="T178" t="s">
        <v>153</v>
      </c>
      <c r="U178" t="s">
        <v>154</v>
      </c>
      <c r="V178" t="str">
        <f>IFERROR(INDEX(Products!$C:$C,MATCH(D178,Products!$A:$A,0)),"Unknown")</f>
        <v>Jewellery</v>
      </c>
      <c r="W178" t="str">
        <f>IFERROR(INDEX(Products!$E:$E,MATCH(D178,Products!$A:$A,0)),"Unknown")</f>
        <v>Aurelia</v>
      </c>
      <c r="X178" t="str">
        <f>IFERROR(INDEX(Stores!$B:$B,MATCH(E178,Stores!$A:$A,0)),"Unknown")</f>
        <v>TrendMart Visakhapatnam High Street</v>
      </c>
      <c r="Y178" t="str">
        <f>IFERROR(INDEX(Stores!$E:$E,MATCH(E178,Stores!$A:$A,0)),"Unknown")</f>
        <v>South Zone 3</v>
      </c>
      <c r="Z178" t="str">
        <f>IFERROR(INDEX(Customers!$J:$J,MATCH(C178,Customers!$A:$A,0)),"Unknown")</f>
        <v>Regular</v>
      </c>
      <c r="AA178" t="str">
        <f t="shared" si="2"/>
        <v>2024-09</v>
      </c>
      <c r="AB178" t="str">
        <f>IFERROR(INDEX(Products!$I:$I,MATCH(D178,Products!$A:$A,0)),"Unknown")</f>
        <v>SUP038</v>
      </c>
    </row>
    <row r="179" spans="1:28" x14ac:dyDescent="0.25">
      <c r="A179" t="s">
        <v>890</v>
      </c>
      <c r="B179" s="20">
        <v>45563</v>
      </c>
      <c r="C179" t="s">
        <v>891</v>
      </c>
      <c r="D179" t="s">
        <v>892</v>
      </c>
      <c r="E179" t="s">
        <v>355</v>
      </c>
      <c r="F179" t="s">
        <v>221</v>
      </c>
      <c r="G179">
        <v>1</v>
      </c>
      <c r="H179" s="21">
        <v>2956.67</v>
      </c>
      <c r="I179">
        <v>10</v>
      </c>
      <c r="J179" s="21">
        <v>295.67</v>
      </c>
      <c r="K179">
        <v>12</v>
      </c>
      <c r="L179" s="21">
        <v>319.32</v>
      </c>
      <c r="M179" s="21">
        <v>2980.32</v>
      </c>
      <c r="N179" s="21">
        <v>1742.89</v>
      </c>
      <c r="O179" s="21">
        <v>918.11</v>
      </c>
      <c r="P179" t="s">
        <v>123</v>
      </c>
      <c r="Q179" t="s">
        <v>120</v>
      </c>
      <c r="R179" t="s">
        <v>151</v>
      </c>
      <c r="S179" t="s">
        <v>893</v>
      </c>
      <c r="T179" t="s">
        <v>161</v>
      </c>
      <c r="U179" t="s">
        <v>154</v>
      </c>
      <c r="V179" t="str">
        <f>IFERROR(INDEX(Products!$C:$C,MATCH(D179,Products!$A:$A,0)),"Unknown")</f>
        <v>Men Ethnic</v>
      </c>
      <c r="W179" t="str">
        <f>IFERROR(INDEX(Products!$E:$E,MATCH(D179,Products!$A:$A,0)),"Unknown")</f>
        <v>Blackberrys</v>
      </c>
      <c r="X179" t="str">
        <f>IFERROR(INDEX(Stores!$B:$B,MATCH(E179,Stores!$A:$A,0)),"Unknown")</f>
        <v>TrendMart Thiruvananthapuram High Street</v>
      </c>
      <c r="Y179" t="str">
        <f>IFERROR(INDEX(Stores!$E:$E,MATCH(E179,Stores!$A:$A,0)),"Unknown")</f>
        <v>South Zone 1</v>
      </c>
      <c r="Z179" t="str">
        <f>IFERROR(INDEX(Customers!$J:$J,MATCH(C179,Customers!$A:$A,0)),"Unknown")</f>
        <v>Regular</v>
      </c>
      <c r="AA179" t="str">
        <f t="shared" si="2"/>
        <v>2024-09</v>
      </c>
      <c r="AB179" t="str">
        <f>IFERROR(INDEX(Products!$I:$I,MATCH(D179,Products!$A:$A,0)),"Unknown")</f>
        <v>SUP084</v>
      </c>
    </row>
    <row r="180" spans="1:28" x14ac:dyDescent="0.25">
      <c r="A180" t="s">
        <v>894</v>
      </c>
      <c r="B180" s="20">
        <v>45646</v>
      </c>
      <c r="C180" t="s">
        <v>895</v>
      </c>
      <c r="D180" t="s">
        <v>225</v>
      </c>
      <c r="E180" t="s">
        <v>188</v>
      </c>
      <c r="F180" t="s">
        <v>403</v>
      </c>
      <c r="G180">
        <v>3</v>
      </c>
      <c r="H180" s="21">
        <v>1708.43</v>
      </c>
      <c r="I180">
        <v>10</v>
      </c>
      <c r="J180" s="21">
        <v>512.53</v>
      </c>
      <c r="K180">
        <v>12</v>
      </c>
      <c r="L180" s="21">
        <v>553.53</v>
      </c>
      <c r="M180" s="21">
        <v>5166.29</v>
      </c>
      <c r="N180" s="21">
        <v>4221.99</v>
      </c>
      <c r="O180" s="21">
        <v>390.77</v>
      </c>
      <c r="P180" t="s">
        <v>123</v>
      </c>
      <c r="Q180" t="s">
        <v>120</v>
      </c>
      <c r="R180" t="s">
        <v>151</v>
      </c>
      <c r="S180" t="s">
        <v>896</v>
      </c>
      <c r="T180" t="s">
        <v>153</v>
      </c>
      <c r="U180" t="s">
        <v>154</v>
      </c>
      <c r="V180" t="str">
        <f>IFERROR(INDEX(Products!$C:$C,MATCH(D180,Products!$A:$A,0)),"Unknown")</f>
        <v>Women Dresses</v>
      </c>
      <c r="W180" t="str">
        <f>IFERROR(INDEX(Products!$E:$E,MATCH(D180,Products!$A:$A,0)),"Unknown")</f>
        <v>Tanishq</v>
      </c>
      <c r="X180" t="str">
        <f>IFERROR(INDEX(Stores!$B:$B,MATCH(E180,Stores!$A:$A,0)),"Unknown")</f>
        <v>TrendMart Vijayawada Standard</v>
      </c>
      <c r="Y180" t="str">
        <f>IFERROR(INDEX(Stores!$E:$E,MATCH(E180,Stores!$A:$A,0)),"Unknown")</f>
        <v>South Zone 3</v>
      </c>
      <c r="Z180" t="str">
        <f>IFERROR(INDEX(Customers!$J:$J,MATCH(C180,Customers!$A:$A,0)),"Unknown")</f>
        <v>Regular</v>
      </c>
      <c r="AA180" t="str">
        <f t="shared" si="2"/>
        <v>2024-12</v>
      </c>
      <c r="AB180" t="str">
        <f>IFERROR(INDEX(Products!$I:$I,MATCH(D180,Products!$A:$A,0)),"Unknown")</f>
        <v>SUP063</v>
      </c>
    </row>
    <row r="181" spans="1:28" x14ac:dyDescent="0.25">
      <c r="A181" t="s">
        <v>897</v>
      </c>
      <c r="B181" s="20">
        <v>45413</v>
      </c>
      <c r="C181" t="s">
        <v>898</v>
      </c>
      <c r="D181" t="s">
        <v>573</v>
      </c>
      <c r="E181" t="s">
        <v>226</v>
      </c>
      <c r="F181" t="s">
        <v>408</v>
      </c>
      <c r="G181">
        <v>3</v>
      </c>
      <c r="H181" s="21">
        <v>998.61</v>
      </c>
      <c r="I181">
        <v>5</v>
      </c>
      <c r="J181" s="21">
        <v>149.79</v>
      </c>
      <c r="K181">
        <v>5</v>
      </c>
      <c r="L181" s="21">
        <v>142.30000000000001</v>
      </c>
      <c r="M181" s="21">
        <v>2988.34</v>
      </c>
      <c r="N181" s="21">
        <v>2161.59</v>
      </c>
      <c r="O181" s="21">
        <v>684.45</v>
      </c>
      <c r="P181" t="s">
        <v>121</v>
      </c>
      <c r="Q181" t="s">
        <v>120</v>
      </c>
      <c r="R181" t="s">
        <v>151</v>
      </c>
      <c r="S181" t="s">
        <v>899</v>
      </c>
      <c r="T181" t="s">
        <v>153</v>
      </c>
      <c r="U181" t="s">
        <v>154</v>
      </c>
      <c r="V181" t="str">
        <f>IFERROR(INDEX(Products!$C:$C,MATCH(D181,Products!$A:$A,0)),"Unknown")</f>
        <v>Women Jeans</v>
      </c>
      <c r="W181" t="str">
        <f>IFERROR(INDEX(Products!$E:$E,MATCH(D181,Products!$A:$A,0)),"Unknown")</f>
        <v>Sonata</v>
      </c>
      <c r="X181" t="str">
        <f>IFERROR(INDEX(Stores!$B:$B,MATCH(E181,Stores!$A:$A,0)),"Unknown")</f>
        <v>TrendMart Kurnool Standard</v>
      </c>
      <c r="Y181" t="str">
        <f>IFERROR(INDEX(Stores!$E:$E,MATCH(E181,Stores!$A:$A,0)),"Unknown")</f>
        <v>South Zone 3</v>
      </c>
      <c r="Z181" t="str">
        <f>IFERROR(INDEX(Customers!$J:$J,MATCH(C181,Customers!$A:$A,0)),"Unknown")</f>
        <v>Gold</v>
      </c>
      <c r="AA181" t="str">
        <f t="shared" si="2"/>
        <v>2024-05</v>
      </c>
      <c r="AB181" t="str">
        <f>IFERROR(INDEX(Products!$I:$I,MATCH(D181,Products!$A:$A,0)),"Unknown")</f>
        <v>SUP017</v>
      </c>
    </row>
    <row r="182" spans="1:28" x14ac:dyDescent="0.25">
      <c r="A182" t="s">
        <v>900</v>
      </c>
      <c r="B182" s="20">
        <v>45740</v>
      </c>
      <c r="C182" t="s">
        <v>901</v>
      </c>
      <c r="D182" t="s">
        <v>599</v>
      </c>
      <c r="E182" t="s">
        <v>470</v>
      </c>
      <c r="F182" t="s">
        <v>221</v>
      </c>
      <c r="G182">
        <v>2</v>
      </c>
      <c r="H182" s="21">
        <v>1021.32</v>
      </c>
      <c r="I182">
        <v>0</v>
      </c>
      <c r="J182" s="21">
        <v>0</v>
      </c>
      <c r="K182">
        <v>12</v>
      </c>
      <c r="L182" s="21">
        <v>245.12</v>
      </c>
      <c r="M182" s="21">
        <v>2287.7600000000002</v>
      </c>
      <c r="N182" s="21">
        <v>1291.18</v>
      </c>
      <c r="O182" s="21">
        <v>751.46</v>
      </c>
      <c r="P182" t="s">
        <v>126</v>
      </c>
      <c r="Q182" t="s">
        <v>122</v>
      </c>
      <c r="R182" t="s">
        <v>151</v>
      </c>
      <c r="S182" t="s">
        <v>902</v>
      </c>
      <c r="T182" t="s">
        <v>153</v>
      </c>
      <c r="U182" t="s">
        <v>154</v>
      </c>
      <c r="V182" t="str">
        <f>IFERROR(INDEX(Products!$C:$C,MATCH(D182,Products!$A:$A,0)),"Unknown")</f>
        <v>Men Shirts</v>
      </c>
      <c r="W182" t="str">
        <f>IFERROR(INDEX(Products!$E:$E,MATCH(D182,Products!$A:$A,0)),"Unknown")</f>
        <v>Van Heusen</v>
      </c>
      <c r="X182" t="str">
        <f>IFERROR(INDEX(Stores!$B:$B,MATCH(E182,Stores!$A:$A,0)),"Unknown")</f>
        <v>TrendMart Thiruvananthapuram High Street</v>
      </c>
      <c r="Y182" t="str">
        <f>IFERROR(INDEX(Stores!$E:$E,MATCH(E182,Stores!$A:$A,0)),"Unknown")</f>
        <v>South Zone 1</v>
      </c>
      <c r="Z182" t="str">
        <f>IFERROR(INDEX(Customers!$J:$J,MATCH(C182,Customers!$A:$A,0)),"Unknown")</f>
        <v>Gold</v>
      </c>
      <c r="AA182" t="str">
        <f t="shared" si="2"/>
        <v>2025-03</v>
      </c>
      <c r="AB182" t="str">
        <f>IFERROR(INDEX(Products!$I:$I,MATCH(D182,Products!$A:$A,0)),"Unknown")</f>
        <v>SUP084</v>
      </c>
    </row>
    <row r="183" spans="1:28" x14ac:dyDescent="0.25">
      <c r="A183" t="s">
        <v>903</v>
      </c>
      <c r="B183" s="20">
        <v>45469</v>
      </c>
      <c r="C183" t="s">
        <v>904</v>
      </c>
      <c r="D183" t="s">
        <v>905</v>
      </c>
      <c r="E183" t="s">
        <v>906</v>
      </c>
      <c r="F183" t="s">
        <v>201</v>
      </c>
      <c r="G183">
        <v>2</v>
      </c>
      <c r="H183" s="21">
        <v>554.36</v>
      </c>
      <c r="I183">
        <v>25</v>
      </c>
      <c r="J183" s="21">
        <v>277.18</v>
      </c>
      <c r="K183">
        <v>5</v>
      </c>
      <c r="L183" s="21">
        <v>41.58</v>
      </c>
      <c r="M183" s="21">
        <v>873.12</v>
      </c>
      <c r="N183" s="21">
        <v>742.24</v>
      </c>
      <c r="O183" s="21">
        <v>89.3</v>
      </c>
      <c r="P183" t="s">
        <v>124</v>
      </c>
      <c r="Q183" t="s">
        <v>120</v>
      </c>
      <c r="R183" t="s">
        <v>151</v>
      </c>
      <c r="S183" t="s">
        <v>907</v>
      </c>
      <c r="T183" t="s">
        <v>153</v>
      </c>
      <c r="U183" t="s">
        <v>154</v>
      </c>
      <c r="V183" t="str">
        <f>IFERROR(INDEX(Products!$C:$C,MATCH(D183,Products!$A:$A,0)),"Unknown")</f>
        <v>Wallets</v>
      </c>
      <c r="W183" t="str">
        <f>IFERROR(INDEX(Products!$E:$E,MATCH(D183,Products!$A:$A,0)),"Unknown")</f>
        <v>Global Desi</v>
      </c>
      <c r="X183" t="str">
        <f>IFERROR(INDEX(Stores!$B:$B,MATCH(E183,Stores!$A:$A,0)),"Unknown")</f>
        <v>TrendMart Vijayawada Standard</v>
      </c>
      <c r="Y183" t="str">
        <f>IFERROR(INDEX(Stores!$E:$E,MATCH(E183,Stores!$A:$A,0)),"Unknown")</f>
        <v>South Zone 3</v>
      </c>
      <c r="Z183" t="str">
        <f>IFERROR(INDEX(Customers!$J:$J,MATCH(C183,Customers!$A:$A,0)),"Unknown")</f>
        <v>Gold</v>
      </c>
      <c r="AA183" t="str">
        <f t="shared" si="2"/>
        <v>2024-06</v>
      </c>
      <c r="AB183" t="str">
        <f>IFERROR(INDEX(Products!$I:$I,MATCH(D183,Products!$A:$A,0)),"Unknown")</f>
        <v>SUP051</v>
      </c>
    </row>
    <row r="184" spans="1:28" x14ac:dyDescent="0.25">
      <c r="A184" t="s">
        <v>908</v>
      </c>
      <c r="B184" s="20">
        <v>45598</v>
      </c>
      <c r="C184" t="s">
        <v>909</v>
      </c>
      <c r="D184" t="s">
        <v>569</v>
      </c>
      <c r="E184" t="s">
        <v>910</v>
      </c>
      <c r="F184" t="s">
        <v>182</v>
      </c>
      <c r="G184">
        <v>3</v>
      </c>
      <c r="H184" s="21">
        <v>2650.84</v>
      </c>
      <c r="I184">
        <v>5</v>
      </c>
      <c r="J184" s="21">
        <v>397.63</v>
      </c>
      <c r="K184">
        <v>12</v>
      </c>
      <c r="L184" s="21">
        <v>906.59</v>
      </c>
      <c r="M184" s="21">
        <v>8461.48</v>
      </c>
      <c r="N184" s="21">
        <v>4782</v>
      </c>
      <c r="O184" s="21">
        <v>2772.89</v>
      </c>
      <c r="P184" t="s">
        <v>125</v>
      </c>
      <c r="Q184" t="s">
        <v>120</v>
      </c>
      <c r="R184" t="s">
        <v>151</v>
      </c>
      <c r="S184" t="s">
        <v>911</v>
      </c>
      <c r="T184" t="s">
        <v>161</v>
      </c>
      <c r="U184" t="s">
        <v>154</v>
      </c>
      <c r="V184" t="str">
        <f>IFERROR(INDEX(Products!$C:$C,MATCH(D184,Products!$A:$A,0)),"Unknown")</f>
        <v>Men Ethnic</v>
      </c>
      <c r="W184" t="str">
        <f>IFERROR(INDEX(Products!$E:$E,MATCH(D184,Products!$A:$A,0)),"Unknown")</f>
        <v>Fastrack</v>
      </c>
      <c r="X184" t="str">
        <f>IFERROR(INDEX(Stores!$B:$B,MATCH(E184,Stores!$A:$A,0)),"Unknown")</f>
        <v>TrendMart Karimnagar Standard</v>
      </c>
      <c r="Y184" t="str">
        <f>IFERROR(INDEX(Stores!$E:$E,MATCH(E184,Stores!$A:$A,0)),"Unknown")</f>
        <v>South Zone 2</v>
      </c>
      <c r="Z184" t="str">
        <f>IFERROR(INDEX(Customers!$J:$J,MATCH(C184,Customers!$A:$A,0)),"Unknown")</f>
        <v>Regular</v>
      </c>
      <c r="AA184" t="str">
        <f t="shared" si="2"/>
        <v>2024-11</v>
      </c>
      <c r="AB184" t="str">
        <f>IFERROR(INDEX(Products!$I:$I,MATCH(D184,Products!$A:$A,0)),"Unknown")</f>
        <v>SUP014</v>
      </c>
    </row>
    <row r="185" spans="1:28" x14ac:dyDescent="0.25">
      <c r="A185" t="s">
        <v>912</v>
      </c>
      <c r="B185" s="20">
        <v>45626</v>
      </c>
      <c r="C185" t="s">
        <v>891</v>
      </c>
      <c r="D185" t="s">
        <v>913</v>
      </c>
      <c r="E185" t="s">
        <v>914</v>
      </c>
      <c r="F185" t="s">
        <v>263</v>
      </c>
      <c r="G185">
        <v>1</v>
      </c>
      <c r="H185" s="21">
        <v>1573.29</v>
      </c>
      <c r="I185">
        <v>20</v>
      </c>
      <c r="J185" s="21">
        <v>314.66000000000003</v>
      </c>
      <c r="K185">
        <v>12</v>
      </c>
      <c r="L185" s="21">
        <v>151.04</v>
      </c>
      <c r="M185" s="21">
        <v>1409.67</v>
      </c>
      <c r="N185" s="21">
        <v>1079.47</v>
      </c>
      <c r="O185" s="21">
        <v>179.16</v>
      </c>
      <c r="P185" t="s">
        <v>121</v>
      </c>
      <c r="Q185" t="s">
        <v>120</v>
      </c>
      <c r="R185" t="s">
        <v>151</v>
      </c>
      <c r="S185" t="s">
        <v>409</v>
      </c>
      <c r="T185" t="s">
        <v>161</v>
      </c>
      <c r="U185" t="s">
        <v>154</v>
      </c>
      <c r="V185" t="str">
        <f>IFERROR(INDEX(Products!$C:$C,MATCH(D185,Products!$A:$A,0)),"Unknown")</f>
        <v>Sportswear</v>
      </c>
      <c r="W185" t="str">
        <f>IFERROR(INDEX(Products!$E:$E,MATCH(D185,Products!$A:$A,0)),"Unknown")</f>
        <v>GRT Jewellers</v>
      </c>
      <c r="X185" t="str">
        <f>IFERROR(INDEX(Stores!$B:$B,MATCH(E185,Stores!$A:$A,0)),"Unknown")</f>
        <v>TrendMart Thiruvananthapuram Outlet</v>
      </c>
      <c r="Y185" t="str">
        <f>IFERROR(INDEX(Stores!$E:$E,MATCH(E185,Stores!$A:$A,0)),"Unknown")</f>
        <v>South Zone 1</v>
      </c>
      <c r="Z185" t="str">
        <f>IFERROR(INDEX(Customers!$J:$J,MATCH(C185,Customers!$A:$A,0)),"Unknown")</f>
        <v>Regular</v>
      </c>
      <c r="AA185" t="str">
        <f t="shared" si="2"/>
        <v>2024-11</v>
      </c>
      <c r="AB185" t="str">
        <f>IFERROR(INDEX(Products!$I:$I,MATCH(D185,Products!$A:$A,0)),"Unknown")</f>
        <v>SUP072</v>
      </c>
    </row>
    <row r="186" spans="1:28" x14ac:dyDescent="0.25">
      <c r="A186" t="s">
        <v>915</v>
      </c>
      <c r="B186" s="20">
        <v>45417</v>
      </c>
      <c r="C186" t="s">
        <v>916</v>
      </c>
      <c r="D186" t="s">
        <v>317</v>
      </c>
      <c r="E186" t="s">
        <v>93</v>
      </c>
      <c r="F186" t="s">
        <v>532</v>
      </c>
      <c r="G186">
        <v>2</v>
      </c>
      <c r="H186" s="21">
        <v>2308.69</v>
      </c>
      <c r="I186">
        <v>10</v>
      </c>
      <c r="J186" s="21">
        <v>461.74</v>
      </c>
      <c r="K186">
        <v>12</v>
      </c>
      <c r="L186" s="21">
        <v>498.68</v>
      </c>
      <c r="M186" s="21">
        <v>4654.32</v>
      </c>
      <c r="N186" s="21">
        <v>2923.46</v>
      </c>
      <c r="O186" s="21">
        <v>1232.18</v>
      </c>
      <c r="P186" t="s">
        <v>121</v>
      </c>
      <c r="Q186" t="s">
        <v>122</v>
      </c>
      <c r="R186" t="s">
        <v>151</v>
      </c>
      <c r="S186" t="s">
        <v>917</v>
      </c>
      <c r="T186" t="s">
        <v>161</v>
      </c>
      <c r="U186" t="s">
        <v>154</v>
      </c>
      <c r="V186" t="str">
        <f>IFERROR(INDEX(Products!$C:$C,MATCH(D186,Products!$A:$A,0)),"Unknown")</f>
        <v>Handbags</v>
      </c>
      <c r="W186" t="str">
        <f>IFERROR(INDEX(Products!$E:$E,MATCH(D186,Products!$A:$A,0)),"Unknown")</f>
        <v>Titan</v>
      </c>
      <c r="X186" t="str">
        <f>IFERROR(INDEX(Stores!$B:$B,MATCH(E186,Stores!$A:$A,0)),"Unknown")</f>
        <v>TrendMart Thiruvananthapuram High Street</v>
      </c>
      <c r="Y186" t="str">
        <f>IFERROR(INDEX(Stores!$E:$E,MATCH(E186,Stores!$A:$A,0)),"Unknown")</f>
        <v>South Zone 1</v>
      </c>
      <c r="Z186" t="str">
        <f>IFERROR(INDEX(Customers!$J:$J,MATCH(C186,Customers!$A:$A,0)),"Unknown")</f>
        <v>Silver</v>
      </c>
      <c r="AA186" t="str">
        <f t="shared" si="2"/>
        <v>2024-05</v>
      </c>
      <c r="AB186" t="str">
        <f>IFERROR(INDEX(Products!$I:$I,MATCH(D186,Products!$A:$A,0)),"Unknown")</f>
        <v>SUP027</v>
      </c>
    </row>
    <row r="187" spans="1:28" x14ac:dyDescent="0.25">
      <c r="A187" t="s">
        <v>918</v>
      </c>
      <c r="B187" s="20">
        <v>45640</v>
      </c>
      <c r="C187" t="s">
        <v>919</v>
      </c>
      <c r="D187" t="s">
        <v>875</v>
      </c>
      <c r="E187" t="s">
        <v>93</v>
      </c>
      <c r="F187" t="s">
        <v>596</v>
      </c>
      <c r="G187">
        <v>2</v>
      </c>
      <c r="H187" s="21">
        <v>3161.55</v>
      </c>
      <c r="I187">
        <v>0</v>
      </c>
      <c r="J187" s="21">
        <v>0</v>
      </c>
      <c r="K187">
        <v>12</v>
      </c>
      <c r="L187" s="21">
        <v>758.77</v>
      </c>
      <c r="M187" s="21">
        <v>7081.87</v>
      </c>
      <c r="N187" s="21">
        <v>4409.92</v>
      </c>
      <c r="O187" s="21">
        <v>1913.18</v>
      </c>
      <c r="P187" t="s">
        <v>124</v>
      </c>
      <c r="Q187" t="s">
        <v>120</v>
      </c>
      <c r="R187" t="s">
        <v>151</v>
      </c>
      <c r="S187" t="s">
        <v>920</v>
      </c>
      <c r="T187" t="s">
        <v>161</v>
      </c>
      <c r="U187" t="s">
        <v>154</v>
      </c>
      <c r="V187" t="str">
        <f>IFERROR(INDEX(Products!$C:$C,MATCH(D187,Products!$A:$A,0)),"Unknown")</f>
        <v>Footwear</v>
      </c>
      <c r="W187" t="str">
        <f>IFERROR(INDEX(Products!$E:$E,MATCH(D187,Products!$A:$A,0)),"Unknown")</f>
        <v>Indian Terrain</v>
      </c>
      <c r="X187" t="str">
        <f>IFERROR(INDEX(Stores!$B:$B,MATCH(E187,Stores!$A:$A,0)),"Unknown")</f>
        <v>TrendMart Thiruvananthapuram High Street</v>
      </c>
      <c r="Y187" t="str">
        <f>IFERROR(INDEX(Stores!$E:$E,MATCH(E187,Stores!$A:$A,0)),"Unknown")</f>
        <v>South Zone 1</v>
      </c>
      <c r="Z187" t="str">
        <f>IFERROR(INDEX(Customers!$J:$J,MATCH(C187,Customers!$A:$A,0)),"Unknown")</f>
        <v>Regular</v>
      </c>
      <c r="AA187" t="str">
        <f t="shared" si="2"/>
        <v>2024-12</v>
      </c>
      <c r="AB187" t="str">
        <f>IFERROR(INDEX(Products!$I:$I,MATCH(D187,Products!$A:$A,0)),"Unknown")</f>
        <v>SUP090</v>
      </c>
    </row>
    <row r="188" spans="1:28" x14ac:dyDescent="0.25">
      <c r="A188" t="s">
        <v>921</v>
      </c>
      <c r="B188" s="20">
        <v>45575</v>
      </c>
      <c r="C188" t="s">
        <v>922</v>
      </c>
      <c r="D188" t="s">
        <v>424</v>
      </c>
      <c r="E188" t="s">
        <v>216</v>
      </c>
      <c r="F188" t="s">
        <v>574</v>
      </c>
      <c r="G188">
        <v>2</v>
      </c>
      <c r="H188" s="21">
        <v>320.95</v>
      </c>
      <c r="I188">
        <v>0</v>
      </c>
      <c r="J188" s="21">
        <v>0</v>
      </c>
      <c r="K188">
        <v>5</v>
      </c>
      <c r="L188" s="21">
        <v>32.090000000000003</v>
      </c>
      <c r="M188" s="21">
        <v>673.99</v>
      </c>
      <c r="N188" s="21">
        <v>508.3</v>
      </c>
      <c r="O188" s="21">
        <v>133.6</v>
      </c>
      <c r="P188" t="s">
        <v>123</v>
      </c>
      <c r="Q188" t="s">
        <v>122</v>
      </c>
      <c r="R188" t="s">
        <v>151</v>
      </c>
      <c r="S188" t="s">
        <v>923</v>
      </c>
      <c r="T188" t="s">
        <v>153</v>
      </c>
      <c r="U188" t="s">
        <v>154</v>
      </c>
      <c r="V188" t="str">
        <f>IFERROR(INDEX(Products!$C:$C,MATCH(D188,Products!$A:$A,0)),"Unknown")</f>
        <v>Belts</v>
      </c>
      <c r="W188" t="str">
        <f>IFERROR(INDEX(Products!$E:$E,MATCH(D188,Products!$A:$A,0)),"Unknown")</f>
        <v>Raymond</v>
      </c>
      <c r="X188" t="str">
        <f>IFERROR(INDEX(Stores!$B:$B,MATCH(E188,Stores!$A:$A,0)),"Unknown")</f>
        <v>TrendMart Madurai Mall Kiosk</v>
      </c>
      <c r="Y188" t="str">
        <f>IFERROR(INDEX(Stores!$E:$E,MATCH(E188,Stores!$A:$A,0)),"Unknown")</f>
        <v>South Zone 1</v>
      </c>
      <c r="Z188" t="str">
        <f>IFERROR(INDEX(Customers!$J:$J,MATCH(C188,Customers!$A:$A,0)),"Unknown")</f>
        <v>Regular</v>
      </c>
      <c r="AA188" t="str">
        <f t="shared" si="2"/>
        <v>2024-10</v>
      </c>
      <c r="AB188" t="str">
        <f>IFERROR(INDEX(Products!$I:$I,MATCH(D188,Products!$A:$A,0)),"Unknown")</f>
        <v>SUP002</v>
      </c>
    </row>
    <row r="189" spans="1:28" x14ac:dyDescent="0.25">
      <c r="A189" t="s">
        <v>924</v>
      </c>
      <c r="B189" s="20">
        <v>45707</v>
      </c>
      <c r="C189" t="s">
        <v>925</v>
      </c>
      <c r="D189" t="s">
        <v>926</v>
      </c>
      <c r="E189" t="s">
        <v>927</v>
      </c>
      <c r="F189" t="s">
        <v>281</v>
      </c>
      <c r="G189">
        <v>3</v>
      </c>
      <c r="H189" s="21">
        <v>1163.1099999999999</v>
      </c>
      <c r="I189">
        <v>0</v>
      </c>
      <c r="J189" s="21">
        <v>0</v>
      </c>
      <c r="K189">
        <v>12</v>
      </c>
      <c r="L189" s="21">
        <v>418.72</v>
      </c>
      <c r="M189" s="21">
        <v>3908.05</v>
      </c>
      <c r="N189" s="21">
        <v>2431.86</v>
      </c>
      <c r="O189" s="21">
        <v>1057.47</v>
      </c>
      <c r="P189" t="s">
        <v>124</v>
      </c>
      <c r="Q189" t="s">
        <v>120</v>
      </c>
      <c r="R189" t="s">
        <v>151</v>
      </c>
      <c r="S189" t="s">
        <v>928</v>
      </c>
      <c r="T189" t="s">
        <v>153</v>
      </c>
      <c r="U189" t="s">
        <v>154</v>
      </c>
      <c r="V189" t="str">
        <f>IFERROR(INDEX(Products!$C:$C,MATCH(D189,Products!$A:$A,0)),"Unknown")</f>
        <v>Women Dresses</v>
      </c>
      <c r="W189" t="str">
        <f>IFERROR(INDEX(Products!$E:$E,MATCH(D189,Products!$A:$A,0)),"Unknown")</f>
        <v>Fabindia</v>
      </c>
      <c r="X189" t="str">
        <f>IFERROR(INDEX(Stores!$B:$B,MATCH(E189,Stores!$A:$A,0)),"Unknown")</f>
        <v>TrendMart Kochi Mall Kiosk</v>
      </c>
      <c r="Y189" t="str">
        <f>IFERROR(INDEX(Stores!$E:$E,MATCH(E189,Stores!$A:$A,0)),"Unknown")</f>
        <v>South Zone 1</v>
      </c>
      <c r="Z189" t="str">
        <f>IFERROR(INDEX(Customers!$J:$J,MATCH(C189,Customers!$A:$A,0)),"Unknown")</f>
        <v>Gold</v>
      </c>
      <c r="AA189" t="str">
        <f t="shared" si="2"/>
        <v>2025-02</v>
      </c>
      <c r="AB189" t="str">
        <f>IFERROR(INDEX(Products!$I:$I,MATCH(D189,Products!$A:$A,0)),"Unknown")</f>
        <v>SUP059</v>
      </c>
    </row>
    <row r="190" spans="1:28" x14ac:dyDescent="0.25">
      <c r="A190" t="s">
        <v>929</v>
      </c>
      <c r="B190" s="20">
        <v>45620</v>
      </c>
      <c r="C190" t="s">
        <v>930</v>
      </c>
      <c r="D190" t="s">
        <v>931</v>
      </c>
      <c r="E190" t="s">
        <v>613</v>
      </c>
      <c r="F190" t="s">
        <v>397</v>
      </c>
      <c r="G190">
        <v>1</v>
      </c>
      <c r="H190" s="21">
        <v>1594.42</v>
      </c>
      <c r="I190">
        <v>15</v>
      </c>
      <c r="J190" s="21">
        <v>239.16</v>
      </c>
      <c r="K190">
        <v>12</v>
      </c>
      <c r="L190" s="21">
        <v>162.63</v>
      </c>
      <c r="M190" s="21">
        <v>1517.89</v>
      </c>
      <c r="N190" s="21">
        <v>1020.9</v>
      </c>
      <c r="O190" s="21">
        <v>334.36</v>
      </c>
      <c r="P190" t="s">
        <v>124</v>
      </c>
      <c r="Q190" t="s">
        <v>122</v>
      </c>
      <c r="R190" t="s">
        <v>151</v>
      </c>
      <c r="S190" t="s">
        <v>426</v>
      </c>
      <c r="T190" t="s">
        <v>161</v>
      </c>
      <c r="U190" t="s">
        <v>154</v>
      </c>
      <c r="V190" t="str">
        <f>IFERROR(INDEX(Products!$C:$C,MATCH(D190,Products!$A:$A,0)),"Unknown")</f>
        <v>Women Sarees</v>
      </c>
      <c r="W190" t="str">
        <f>IFERROR(INDEX(Products!$E:$E,MATCH(D190,Products!$A:$A,0)),"Unknown")</f>
        <v>Jack &amp; Jones</v>
      </c>
      <c r="X190" t="str">
        <f>IFERROR(INDEX(Stores!$B:$B,MATCH(E190,Stores!$A:$A,0)),"Unknown")</f>
        <v>TrendMart Kochi Mall Kiosk</v>
      </c>
      <c r="Y190" t="str">
        <f>IFERROR(INDEX(Stores!$E:$E,MATCH(E190,Stores!$A:$A,0)),"Unknown")</f>
        <v>South Zone 1</v>
      </c>
      <c r="Z190" t="str">
        <f>IFERROR(INDEX(Customers!$J:$J,MATCH(C190,Customers!$A:$A,0)),"Unknown")</f>
        <v>Silver</v>
      </c>
      <c r="AA190" t="str">
        <f t="shared" si="2"/>
        <v>2024-11</v>
      </c>
      <c r="AB190" t="str">
        <f>IFERROR(INDEX(Products!$I:$I,MATCH(D190,Products!$A:$A,0)),"Unknown")</f>
        <v>SUP058</v>
      </c>
    </row>
    <row r="191" spans="1:28" x14ac:dyDescent="0.25">
      <c r="A191" t="s">
        <v>932</v>
      </c>
      <c r="B191" s="20">
        <v>45605</v>
      </c>
      <c r="C191" t="s">
        <v>933</v>
      </c>
      <c r="D191" t="s">
        <v>339</v>
      </c>
      <c r="E191" t="s">
        <v>934</v>
      </c>
      <c r="F191" t="s">
        <v>516</v>
      </c>
      <c r="G191">
        <v>2</v>
      </c>
      <c r="H191" s="21">
        <v>826.95</v>
      </c>
      <c r="I191">
        <v>20</v>
      </c>
      <c r="J191" s="21">
        <v>330.78</v>
      </c>
      <c r="K191">
        <v>5</v>
      </c>
      <c r="L191" s="21">
        <v>66.16</v>
      </c>
      <c r="M191" s="21">
        <v>1389.28</v>
      </c>
      <c r="N191" s="21">
        <v>1137.06</v>
      </c>
      <c r="O191" s="21">
        <v>186.06</v>
      </c>
      <c r="P191" t="s">
        <v>121</v>
      </c>
      <c r="Q191" t="s">
        <v>120</v>
      </c>
      <c r="R191" t="s">
        <v>151</v>
      </c>
      <c r="S191" t="s">
        <v>935</v>
      </c>
      <c r="T191" t="s">
        <v>161</v>
      </c>
      <c r="U191" t="s">
        <v>154</v>
      </c>
      <c r="V191" t="str">
        <f>IFERROR(INDEX(Products!$C:$C,MATCH(D191,Products!$A:$A,0)),"Unknown")</f>
        <v>Women Kurtis</v>
      </c>
      <c r="W191" t="str">
        <f>IFERROR(INDEX(Products!$E:$E,MATCH(D191,Products!$A:$A,0)),"Unknown")</f>
        <v>Allen Solly</v>
      </c>
      <c r="X191" t="str">
        <f>IFERROR(INDEX(Stores!$B:$B,MATCH(E191,Stores!$A:$A,0)),"Unknown")</f>
        <v>TrendMart Bengaluru High Street</v>
      </c>
      <c r="Y191" t="str">
        <f>IFERROR(INDEX(Stores!$E:$E,MATCH(E191,Stores!$A:$A,0)),"Unknown")</f>
        <v>South Zone 2</v>
      </c>
      <c r="Z191" t="str">
        <f>IFERROR(INDEX(Customers!$J:$J,MATCH(C191,Customers!$A:$A,0)),"Unknown")</f>
        <v>Silver</v>
      </c>
      <c r="AA191" t="str">
        <f t="shared" si="2"/>
        <v>2024-11</v>
      </c>
      <c r="AB191" t="str">
        <f>IFERROR(INDEX(Products!$I:$I,MATCH(D191,Products!$A:$A,0)),"Unknown")</f>
        <v>SUP086</v>
      </c>
    </row>
    <row r="192" spans="1:28" x14ac:dyDescent="0.25">
      <c r="A192" t="s">
        <v>936</v>
      </c>
      <c r="B192" s="20">
        <v>45672</v>
      </c>
      <c r="C192" t="s">
        <v>755</v>
      </c>
      <c r="D192" t="s">
        <v>937</v>
      </c>
      <c r="E192" t="s">
        <v>798</v>
      </c>
      <c r="F192" t="s">
        <v>434</v>
      </c>
      <c r="G192">
        <v>2</v>
      </c>
      <c r="H192" s="21">
        <v>1224.1500000000001</v>
      </c>
      <c r="I192">
        <v>30</v>
      </c>
      <c r="J192" s="21">
        <v>734.49</v>
      </c>
      <c r="K192">
        <v>12</v>
      </c>
      <c r="L192" s="21">
        <v>205.66</v>
      </c>
      <c r="M192" s="21">
        <v>1919.47</v>
      </c>
      <c r="N192" s="21">
        <v>1723.6</v>
      </c>
      <c r="O192" s="21">
        <v>-9.7899999999999991</v>
      </c>
      <c r="P192" t="s">
        <v>123</v>
      </c>
      <c r="Q192" t="s">
        <v>120</v>
      </c>
      <c r="R192" t="s">
        <v>151</v>
      </c>
      <c r="S192" t="s">
        <v>938</v>
      </c>
      <c r="T192" t="s">
        <v>153</v>
      </c>
      <c r="U192" t="s">
        <v>184</v>
      </c>
      <c r="V192" t="str">
        <f>IFERROR(INDEX(Products!$C:$C,MATCH(D192,Products!$A:$A,0)),"Unknown")</f>
        <v>Men Shirts</v>
      </c>
      <c r="W192" t="str">
        <f>IFERROR(INDEX(Products!$E:$E,MATCH(D192,Products!$A:$A,0)),"Unknown")</f>
        <v>Skechers</v>
      </c>
      <c r="X192" t="str">
        <f>IFERROR(INDEX(Stores!$B:$B,MATCH(E192,Stores!$A:$A,0)),"Unknown")</f>
        <v>TrendMart Guntur Standard</v>
      </c>
      <c r="Y192" t="str">
        <f>IFERROR(INDEX(Stores!$E:$E,MATCH(E192,Stores!$A:$A,0)),"Unknown")</f>
        <v>South Zone 3</v>
      </c>
      <c r="Z192" t="str">
        <f>IFERROR(INDEX(Customers!$J:$J,MATCH(C192,Customers!$A:$A,0)),"Unknown")</f>
        <v>Regular</v>
      </c>
      <c r="AA192" t="str">
        <f t="shared" si="2"/>
        <v>2025-01</v>
      </c>
      <c r="AB192" t="str">
        <f>IFERROR(INDEX(Products!$I:$I,MATCH(D192,Products!$A:$A,0)),"Unknown")</f>
        <v>SUP042</v>
      </c>
    </row>
    <row r="193" spans="1:28" x14ac:dyDescent="0.25">
      <c r="A193" t="s">
        <v>939</v>
      </c>
      <c r="B193" s="20">
        <v>45429</v>
      </c>
      <c r="C193" t="s">
        <v>940</v>
      </c>
      <c r="D193" t="s">
        <v>225</v>
      </c>
      <c r="E193" t="s">
        <v>247</v>
      </c>
      <c r="F193" t="s">
        <v>532</v>
      </c>
      <c r="G193">
        <v>1</v>
      </c>
      <c r="H193" s="21">
        <v>1825.43</v>
      </c>
      <c r="I193">
        <v>15</v>
      </c>
      <c r="J193" s="21">
        <v>273.81</v>
      </c>
      <c r="K193">
        <v>12</v>
      </c>
      <c r="L193" s="21">
        <v>186.19</v>
      </c>
      <c r="M193" s="21">
        <v>1737.81</v>
      </c>
      <c r="N193" s="21">
        <v>1407.33</v>
      </c>
      <c r="O193" s="21">
        <v>144.29</v>
      </c>
      <c r="P193" t="s">
        <v>121</v>
      </c>
      <c r="Q193" t="s">
        <v>120</v>
      </c>
      <c r="R193" t="s">
        <v>151</v>
      </c>
      <c r="S193" t="s">
        <v>941</v>
      </c>
      <c r="T193" t="s">
        <v>153</v>
      </c>
      <c r="U193" t="s">
        <v>154</v>
      </c>
      <c r="V193" t="str">
        <f>IFERROR(INDEX(Products!$C:$C,MATCH(D193,Products!$A:$A,0)),"Unknown")</f>
        <v>Women Dresses</v>
      </c>
      <c r="W193" t="str">
        <f>IFERROR(INDEX(Products!$E:$E,MATCH(D193,Products!$A:$A,0)),"Unknown")</f>
        <v>Tanishq</v>
      </c>
      <c r="X193" t="str">
        <f>IFERROR(INDEX(Stores!$B:$B,MATCH(E193,Stores!$A:$A,0)),"Unknown")</f>
        <v>TrendMart Tirupati Outlet</v>
      </c>
      <c r="Y193" t="str">
        <f>IFERROR(INDEX(Stores!$E:$E,MATCH(E193,Stores!$A:$A,0)),"Unknown")</f>
        <v>South Zone 3</v>
      </c>
      <c r="Z193" t="str">
        <f>IFERROR(INDEX(Customers!$J:$J,MATCH(C193,Customers!$A:$A,0)),"Unknown")</f>
        <v>Regular</v>
      </c>
      <c r="AA193" t="str">
        <f t="shared" si="2"/>
        <v>2024-05</v>
      </c>
      <c r="AB193" t="str">
        <f>IFERROR(INDEX(Products!$I:$I,MATCH(D193,Products!$A:$A,0)),"Unknown")</f>
        <v>SUP063</v>
      </c>
    </row>
    <row r="194" spans="1:28" x14ac:dyDescent="0.25">
      <c r="A194" t="s">
        <v>942</v>
      </c>
      <c r="B194" s="20">
        <v>45551</v>
      </c>
      <c r="C194" t="s">
        <v>943</v>
      </c>
      <c r="D194" t="s">
        <v>650</v>
      </c>
      <c r="E194" t="s">
        <v>806</v>
      </c>
      <c r="F194" t="s">
        <v>382</v>
      </c>
      <c r="G194">
        <v>1</v>
      </c>
      <c r="H194" s="21">
        <v>1838.3</v>
      </c>
      <c r="I194">
        <v>30</v>
      </c>
      <c r="J194" s="21">
        <v>551.49</v>
      </c>
      <c r="K194">
        <v>12</v>
      </c>
      <c r="L194" s="21">
        <v>154.41999999999999</v>
      </c>
      <c r="M194" s="21">
        <v>1441.23</v>
      </c>
      <c r="N194" s="21">
        <v>1409.12</v>
      </c>
      <c r="O194" s="21">
        <v>-122.31</v>
      </c>
      <c r="P194" t="s">
        <v>125</v>
      </c>
      <c r="Q194" t="s">
        <v>122</v>
      </c>
      <c r="R194" t="s">
        <v>151</v>
      </c>
      <c r="S194" t="s">
        <v>944</v>
      </c>
      <c r="T194" t="s">
        <v>153</v>
      </c>
      <c r="U194" t="s">
        <v>184</v>
      </c>
      <c r="V194" t="str">
        <f>IFERROR(INDEX(Products!$C:$C,MATCH(D194,Products!$A:$A,0)),"Unknown")</f>
        <v>Winter Wear</v>
      </c>
      <c r="W194" t="str">
        <f>IFERROR(INDEX(Products!$E:$E,MATCH(D194,Products!$A:$A,0)),"Unknown")</f>
        <v>Mufti</v>
      </c>
      <c r="X194" t="str">
        <f>IFERROR(INDEX(Stores!$B:$B,MATCH(E194,Stores!$A:$A,0)),"Unknown")</f>
        <v>TrendMart Tirunelveli Flagship</v>
      </c>
      <c r="Y194" t="str">
        <f>IFERROR(INDEX(Stores!$E:$E,MATCH(E194,Stores!$A:$A,0)),"Unknown")</f>
        <v>South Zone 1</v>
      </c>
      <c r="Z194" t="str">
        <f>IFERROR(INDEX(Customers!$J:$J,MATCH(C194,Customers!$A:$A,0)),"Unknown")</f>
        <v>Silver</v>
      </c>
      <c r="AA194" t="str">
        <f t="shared" ref="AA194:AA257" si="3">TEXT(B194,"YYYY-MM")</f>
        <v>2024-09</v>
      </c>
      <c r="AB194" t="str">
        <f>IFERROR(INDEX(Products!$I:$I,MATCH(D194,Products!$A:$A,0)),"Unknown")</f>
        <v>SUP078</v>
      </c>
    </row>
    <row r="195" spans="1:28" x14ac:dyDescent="0.25">
      <c r="A195" t="s">
        <v>945</v>
      </c>
      <c r="B195" s="20">
        <v>45573</v>
      </c>
      <c r="C195" t="s">
        <v>946</v>
      </c>
      <c r="D195" t="s">
        <v>947</v>
      </c>
      <c r="E195" t="s">
        <v>752</v>
      </c>
      <c r="F195" t="s">
        <v>189</v>
      </c>
      <c r="G195">
        <v>1</v>
      </c>
      <c r="H195" s="21">
        <v>728.9</v>
      </c>
      <c r="I195">
        <v>20</v>
      </c>
      <c r="J195" s="21">
        <v>145.78</v>
      </c>
      <c r="K195">
        <v>5</v>
      </c>
      <c r="L195" s="21">
        <v>29.16</v>
      </c>
      <c r="M195" s="21">
        <v>612.28</v>
      </c>
      <c r="N195" s="21">
        <v>569.35</v>
      </c>
      <c r="O195" s="21">
        <v>13.77</v>
      </c>
      <c r="P195" t="s">
        <v>123</v>
      </c>
      <c r="Q195" t="s">
        <v>120</v>
      </c>
      <c r="R195" t="s">
        <v>151</v>
      </c>
      <c r="S195" t="s">
        <v>293</v>
      </c>
      <c r="T195" t="s">
        <v>153</v>
      </c>
      <c r="U195" t="s">
        <v>154</v>
      </c>
      <c r="V195" t="str">
        <f>IFERROR(INDEX(Products!$C:$C,MATCH(D195,Products!$A:$A,0)),"Unknown")</f>
        <v>Women Kurtis</v>
      </c>
      <c r="W195" t="str">
        <f>IFERROR(INDEX(Products!$E:$E,MATCH(D195,Products!$A:$A,0)),"Unknown")</f>
        <v>Sonata</v>
      </c>
      <c r="X195" t="str">
        <f>IFERROR(INDEX(Stores!$B:$B,MATCH(E195,Stores!$A:$A,0)),"Unknown")</f>
        <v>TrendMart Dindigul High Street</v>
      </c>
      <c r="Y195" t="str">
        <f>IFERROR(INDEX(Stores!$E:$E,MATCH(E195,Stores!$A:$A,0)),"Unknown")</f>
        <v>South Zone 1</v>
      </c>
      <c r="Z195" t="str">
        <f>IFERROR(INDEX(Customers!$J:$J,MATCH(C195,Customers!$A:$A,0)),"Unknown")</f>
        <v>Silver</v>
      </c>
      <c r="AA195" t="str">
        <f t="shared" si="3"/>
        <v>2024-10</v>
      </c>
      <c r="AB195" t="str">
        <f>IFERROR(INDEX(Products!$I:$I,MATCH(D195,Products!$A:$A,0)),"Unknown")</f>
        <v>SUP001</v>
      </c>
    </row>
    <row r="196" spans="1:28" x14ac:dyDescent="0.25">
      <c r="A196" t="s">
        <v>948</v>
      </c>
      <c r="B196" s="20">
        <v>45404</v>
      </c>
      <c r="C196" t="s">
        <v>692</v>
      </c>
      <c r="D196" t="s">
        <v>949</v>
      </c>
      <c r="E196" t="s">
        <v>416</v>
      </c>
      <c r="F196" t="s">
        <v>176</v>
      </c>
      <c r="G196">
        <v>3</v>
      </c>
      <c r="H196" s="21">
        <v>1432.4</v>
      </c>
      <c r="I196">
        <v>10</v>
      </c>
      <c r="J196" s="21">
        <v>429.72</v>
      </c>
      <c r="K196">
        <v>12</v>
      </c>
      <c r="L196" s="21">
        <v>464.1</v>
      </c>
      <c r="M196" s="21">
        <v>4331.58</v>
      </c>
      <c r="N196" s="21">
        <v>2965.71</v>
      </c>
      <c r="O196" s="21">
        <v>901.77</v>
      </c>
      <c r="P196" t="s">
        <v>121</v>
      </c>
      <c r="Q196" t="s">
        <v>122</v>
      </c>
      <c r="R196" t="s">
        <v>151</v>
      </c>
      <c r="S196" t="s">
        <v>950</v>
      </c>
      <c r="T196" t="s">
        <v>153</v>
      </c>
      <c r="U196" t="s">
        <v>154</v>
      </c>
      <c r="V196" t="str">
        <f>IFERROR(INDEX(Products!$C:$C,MATCH(D196,Products!$A:$A,0)),"Unknown")</f>
        <v>Handbags</v>
      </c>
      <c r="W196" t="str">
        <f>IFERROR(INDEX(Products!$E:$E,MATCH(D196,Products!$A:$A,0)),"Unknown")</f>
        <v>Fastrack</v>
      </c>
      <c r="X196" t="str">
        <f>IFERROR(INDEX(Stores!$B:$B,MATCH(E196,Stores!$A:$A,0)),"Unknown")</f>
        <v>TrendMart Dindigul Standard</v>
      </c>
      <c r="Y196" t="str">
        <f>IFERROR(INDEX(Stores!$E:$E,MATCH(E196,Stores!$A:$A,0)),"Unknown")</f>
        <v>South Zone 1</v>
      </c>
      <c r="Z196" t="str">
        <f>IFERROR(INDEX(Customers!$J:$J,MATCH(C196,Customers!$A:$A,0)),"Unknown")</f>
        <v>Regular</v>
      </c>
      <c r="AA196" t="str">
        <f t="shared" si="3"/>
        <v>2024-04</v>
      </c>
      <c r="AB196" t="str">
        <f>IFERROR(INDEX(Products!$I:$I,MATCH(D196,Products!$A:$A,0)),"Unknown")</f>
        <v>SUP069</v>
      </c>
    </row>
    <row r="197" spans="1:28" x14ac:dyDescent="0.25">
      <c r="A197" t="s">
        <v>951</v>
      </c>
      <c r="B197" s="20">
        <v>45663</v>
      </c>
      <c r="C197" t="s">
        <v>952</v>
      </c>
      <c r="D197" t="s">
        <v>246</v>
      </c>
      <c r="E197" t="s">
        <v>92</v>
      </c>
      <c r="F197" t="s">
        <v>344</v>
      </c>
      <c r="G197">
        <v>1</v>
      </c>
      <c r="H197" s="21">
        <v>1192.8399999999999</v>
      </c>
      <c r="I197">
        <v>0</v>
      </c>
      <c r="J197" s="21">
        <v>0</v>
      </c>
      <c r="K197">
        <v>12</v>
      </c>
      <c r="L197" s="21">
        <v>143.13999999999999</v>
      </c>
      <c r="M197" s="21">
        <v>1335.98</v>
      </c>
      <c r="N197" s="21">
        <v>865.48</v>
      </c>
      <c r="O197" s="21">
        <v>327.36</v>
      </c>
      <c r="P197" t="s">
        <v>126</v>
      </c>
      <c r="Q197" t="s">
        <v>122</v>
      </c>
      <c r="R197" t="s">
        <v>151</v>
      </c>
      <c r="S197" t="s">
        <v>953</v>
      </c>
      <c r="T197" t="s">
        <v>153</v>
      </c>
      <c r="U197" t="s">
        <v>154</v>
      </c>
      <c r="V197" t="str">
        <f>IFERROR(INDEX(Products!$C:$C,MATCH(D197,Products!$A:$A,0)),"Unknown")</f>
        <v>Women Dresses</v>
      </c>
      <c r="W197" t="str">
        <f>IFERROR(INDEX(Products!$E:$E,MATCH(D197,Products!$A:$A,0)),"Unknown")</f>
        <v>Tanishq</v>
      </c>
      <c r="X197" t="str">
        <f>IFERROR(INDEX(Stores!$B:$B,MATCH(E197,Stores!$A:$A,0)),"Unknown")</f>
        <v>TrendMart Guntur High Street</v>
      </c>
      <c r="Y197" t="str">
        <f>IFERROR(INDEX(Stores!$E:$E,MATCH(E197,Stores!$A:$A,0)),"Unknown")</f>
        <v>South Zone 3</v>
      </c>
      <c r="Z197" t="str">
        <f>IFERROR(INDEX(Customers!$J:$J,MATCH(C197,Customers!$A:$A,0)),"Unknown")</f>
        <v>Regular</v>
      </c>
      <c r="AA197" t="str">
        <f t="shared" si="3"/>
        <v>2025-01</v>
      </c>
      <c r="AB197" t="str">
        <f>IFERROR(INDEX(Products!$I:$I,MATCH(D197,Products!$A:$A,0)),"Unknown")</f>
        <v>SUP002</v>
      </c>
    </row>
    <row r="198" spans="1:28" x14ac:dyDescent="0.25">
      <c r="A198" t="s">
        <v>954</v>
      </c>
      <c r="B198" s="20">
        <v>45543</v>
      </c>
      <c r="C198" t="s">
        <v>826</v>
      </c>
      <c r="D198" t="s">
        <v>531</v>
      </c>
      <c r="E198" t="s">
        <v>578</v>
      </c>
      <c r="F198" t="s">
        <v>201</v>
      </c>
      <c r="G198">
        <v>2</v>
      </c>
      <c r="H198" s="21">
        <v>3304.57</v>
      </c>
      <c r="I198">
        <v>0</v>
      </c>
      <c r="J198" s="21">
        <v>0</v>
      </c>
      <c r="K198">
        <v>12</v>
      </c>
      <c r="L198" s="21">
        <v>793.1</v>
      </c>
      <c r="M198" s="21">
        <v>7402.24</v>
      </c>
      <c r="N198" s="21">
        <v>4068.02</v>
      </c>
      <c r="O198" s="21">
        <v>2541.12</v>
      </c>
      <c r="P198" t="s">
        <v>125</v>
      </c>
      <c r="Q198" t="s">
        <v>120</v>
      </c>
      <c r="R198" t="s">
        <v>151</v>
      </c>
      <c r="S198" t="s">
        <v>955</v>
      </c>
      <c r="T198" t="s">
        <v>161</v>
      </c>
      <c r="U198" t="s">
        <v>154</v>
      </c>
      <c r="V198" t="str">
        <f>IFERROR(INDEX(Products!$C:$C,MATCH(D198,Products!$A:$A,0)),"Unknown")</f>
        <v>Handbags</v>
      </c>
      <c r="W198" t="str">
        <f>IFERROR(INDEX(Products!$E:$E,MATCH(D198,Products!$A:$A,0)),"Unknown")</f>
        <v>GRT Jewellers</v>
      </c>
      <c r="X198" t="str">
        <f>IFERROR(INDEX(Stores!$B:$B,MATCH(E198,Stores!$A:$A,0)),"Unknown")</f>
        <v>TrendMart Vellore Standard</v>
      </c>
      <c r="Y198" t="str">
        <f>IFERROR(INDEX(Stores!$E:$E,MATCH(E198,Stores!$A:$A,0)),"Unknown")</f>
        <v>South Zone 1</v>
      </c>
      <c r="Z198" t="str">
        <f>IFERROR(INDEX(Customers!$J:$J,MATCH(C198,Customers!$A:$A,0)),"Unknown")</f>
        <v>Platinum</v>
      </c>
      <c r="AA198" t="str">
        <f t="shared" si="3"/>
        <v>2024-09</v>
      </c>
      <c r="AB198" t="str">
        <f>IFERROR(INDEX(Products!$I:$I,MATCH(D198,Products!$A:$A,0)),"Unknown")</f>
        <v>SUP047</v>
      </c>
    </row>
    <row r="199" spans="1:28" x14ac:dyDescent="0.25">
      <c r="A199" t="s">
        <v>956</v>
      </c>
      <c r="B199" s="20">
        <v>45688</v>
      </c>
      <c r="C199" t="s">
        <v>957</v>
      </c>
      <c r="D199" t="s">
        <v>583</v>
      </c>
      <c r="E199" t="s">
        <v>442</v>
      </c>
      <c r="F199" t="s">
        <v>189</v>
      </c>
      <c r="G199">
        <v>1</v>
      </c>
      <c r="H199" s="21">
        <v>844.29</v>
      </c>
      <c r="I199">
        <v>25</v>
      </c>
      <c r="J199" s="21">
        <v>211.07</v>
      </c>
      <c r="K199">
        <v>5</v>
      </c>
      <c r="L199" s="21">
        <v>31.66</v>
      </c>
      <c r="M199" s="21">
        <v>664.88</v>
      </c>
      <c r="N199" s="21">
        <v>629.72</v>
      </c>
      <c r="O199" s="21">
        <v>3.5</v>
      </c>
      <c r="P199" t="s">
        <v>125</v>
      </c>
      <c r="Q199" t="s">
        <v>120</v>
      </c>
      <c r="R199" t="s">
        <v>151</v>
      </c>
      <c r="S199" t="s">
        <v>958</v>
      </c>
      <c r="T199" t="s">
        <v>153</v>
      </c>
      <c r="U199" t="s">
        <v>154</v>
      </c>
      <c r="V199" t="str">
        <f>IFERROR(INDEX(Products!$C:$C,MATCH(D199,Products!$A:$A,0)),"Unknown")</f>
        <v>Women Tops</v>
      </c>
      <c r="W199" t="str">
        <f>IFERROR(INDEX(Products!$E:$E,MATCH(D199,Products!$A:$A,0)),"Unknown")</f>
        <v>Ramraj Cotton</v>
      </c>
      <c r="X199" t="str">
        <f>IFERROR(INDEX(Stores!$B:$B,MATCH(E199,Stores!$A:$A,0)),"Unknown")</f>
        <v>TrendMart Bengaluru Standard</v>
      </c>
      <c r="Y199" t="str">
        <f>IFERROR(INDEX(Stores!$E:$E,MATCH(E199,Stores!$A:$A,0)),"Unknown")</f>
        <v>South Zone 2</v>
      </c>
      <c r="Z199" t="str">
        <f>IFERROR(INDEX(Customers!$J:$J,MATCH(C199,Customers!$A:$A,0)),"Unknown")</f>
        <v>Regular</v>
      </c>
      <c r="AA199" t="str">
        <f t="shared" si="3"/>
        <v>2025-01</v>
      </c>
      <c r="AB199" t="str">
        <f>IFERROR(INDEX(Products!$I:$I,MATCH(D199,Products!$A:$A,0)),"Unknown")</f>
        <v>SUP048</v>
      </c>
    </row>
    <row r="200" spans="1:28" x14ac:dyDescent="0.25">
      <c r="A200" t="s">
        <v>959</v>
      </c>
      <c r="B200" s="20">
        <v>45397</v>
      </c>
      <c r="C200" t="s">
        <v>960</v>
      </c>
      <c r="D200" t="s">
        <v>961</v>
      </c>
      <c r="E200" t="s">
        <v>461</v>
      </c>
      <c r="F200" t="s">
        <v>258</v>
      </c>
      <c r="G200">
        <v>2</v>
      </c>
      <c r="H200" s="21">
        <v>1162.47</v>
      </c>
      <c r="I200">
        <v>25</v>
      </c>
      <c r="J200" s="21">
        <v>581.24</v>
      </c>
      <c r="K200">
        <v>12</v>
      </c>
      <c r="L200" s="21">
        <v>209.24</v>
      </c>
      <c r="M200" s="21">
        <v>1952.94</v>
      </c>
      <c r="N200" s="21">
        <v>1763.86</v>
      </c>
      <c r="O200" s="21">
        <v>-20.16</v>
      </c>
      <c r="P200" t="s">
        <v>125</v>
      </c>
      <c r="Q200" t="s">
        <v>122</v>
      </c>
      <c r="R200" t="s">
        <v>151</v>
      </c>
      <c r="S200" t="s">
        <v>526</v>
      </c>
      <c r="T200" t="s">
        <v>153</v>
      </c>
      <c r="U200" t="s">
        <v>184</v>
      </c>
      <c r="V200" t="str">
        <f>IFERROR(INDEX(Products!$C:$C,MATCH(D200,Products!$A:$A,0)),"Unknown")</f>
        <v>Men Trousers</v>
      </c>
      <c r="W200" t="str">
        <f>IFERROR(INDEX(Products!$E:$E,MATCH(D200,Products!$A:$A,0)),"Unknown")</f>
        <v>Pepe Jeans</v>
      </c>
      <c r="X200" t="str">
        <f>IFERROR(INDEX(Stores!$B:$B,MATCH(E200,Stores!$A:$A,0)),"Unknown")</f>
        <v>TrendMart Visakhapatnam High Street</v>
      </c>
      <c r="Y200" t="str">
        <f>IFERROR(INDEX(Stores!$E:$E,MATCH(E200,Stores!$A:$A,0)),"Unknown")</f>
        <v>South Zone 3</v>
      </c>
      <c r="Z200" t="str">
        <f>IFERROR(INDEX(Customers!$J:$J,MATCH(C200,Customers!$A:$A,0)),"Unknown")</f>
        <v>Regular</v>
      </c>
      <c r="AA200" t="str">
        <f t="shared" si="3"/>
        <v>2024-04</v>
      </c>
      <c r="AB200" t="str">
        <f>IFERROR(INDEX(Products!$I:$I,MATCH(D200,Products!$A:$A,0)),"Unknown")</f>
        <v>SUP071</v>
      </c>
    </row>
    <row r="201" spans="1:28" x14ac:dyDescent="0.25">
      <c r="A201" t="s">
        <v>962</v>
      </c>
      <c r="B201" s="20">
        <v>45592</v>
      </c>
      <c r="C201" t="s">
        <v>963</v>
      </c>
      <c r="D201" t="s">
        <v>583</v>
      </c>
      <c r="E201" t="s">
        <v>810</v>
      </c>
      <c r="F201" t="s">
        <v>269</v>
      </c>
      <c r="G201">
        <v>2</v>
      </c>
      <c r="H201" s="21">
        <v>978.28</v>
      </c>
      <c r="I201">
        <v>25</v>
      </c>
      <c r="J201" s="21">
        <v>489.14</v>
      </c>
      <c r="K201">
        <v>5</v>
      </c>
      <c r="L201" s="21">
        <v>73.37</v>
      </c>
      <c r="M201" s="21">
        <v>1540.79</v>
      </c>
      <c r="N201" s="21">
        <v>1259.44</v>
      </c>
      <c r="O201" s="21">
        <v>207.98</v>
      </c>
      <c r="P201" t="s">
        <v>123</v>
      </c>
      <c r="Q201" t="s">
        <v>122</v>
      </c>
      <c r="R201" t="s">
        <v>151</v>
      </c>
      <c r="S201" t="s">
        <v>964</v>
      </c>
      <c r="T201" t="s">
        <v>161</v>
      </c>
      <c r="U201" t="s">
        <v>154</v>
      </c>
      <c r="V201" t="str">
        <f>IFERROR(INDEX(Products!$C:$C,MATCH(D201,Products!$A:$A,0)),"Unknown")</f>
        <v>Women Tops</v>
      </c>
      <c r="W201" t="str">
        <f>IFERROR(INDEX(Products!$E:$E,MATCH(D201,Products!$A:$A,0)),"Unknown")</f>
        <v>Ramraj Cotton</v>
      </c>
      <c r="X201" t="str">
        <f>IFERROR(INDEX(Stores!$B:$B,MATCH(E201,Stores!$A:$A,0)),"Unknown")</f>
        <v>TrendMart Nizamabad Standard</v>
      </c>
      <c r="Y201" t="str">
        <f>IFERROR(INDEX(Stores!$E:$E,MATCH(E201,Stores!$A:$A,0)),"Unknown")</f>
        <v>South Zone 2</v>
      </c>
      <c r="Z201" t="str">
        <f>IFERROR(INDEX(Customers!$J:$J,MATCH(C201,Customers!$A:$A,0)),"Unknown")</f>
        <v>Silver</v>
      </c>
      <c r="AA201" t="str">
        <f t="shared" si="3"/>
        <v>2024-10</v>
      </c>
      <c r="AB201" t="str">
        <f>IFERROR(INDEX(Products!$I:$I,MATCH(D201,Products!$A:$A,0)),"Unknown")</f>
        <v>SUP048</v>
      </c>
    </row>
    <row r="202" spans="1:28" x14ac:dyDescent="0.25">
      <c r="A202" t="s">
        <v>965</v>
      </c>
      <c r="B202" s="20">
        <v>45560</v>
      </c>
      <c r="C202" t="s">
        <v>887</v>
      </c>
      <c r="D202" t="s">
        <v>433</v>
      </c>
      <c r="E202" t="s">
        <v>368</v>
      </c>
      <c r="F202" t="s">
        <v>221</v>
      </c>
      <c r="G202">
        <v>2</v>
      </c>
      <c r="H202" s="21">
        <v>806.23</v>
      </c>
      <c r="I202">
        <v>15</v>
      </c>
      <c r="J202" s="21">
        <v>241.87</v>
      </c>
      <c r="K202">
        <v>5</v>
      </c>
      <c r="L202" s="21">
        <v>68.53</v>
      </c>
      <c r="M202" s="21">
        <v>1439.12</v>
      </c>
      <c r="N202" s="21">
        <v>1146.18</v>
      </c>
      <c r="O202" s="21">
        <v>224.41</v>
      </c>
      <c r="P202" t="s">
        <v>127</v>
      </c>
      <c r="Q202" t="s">
        <v>122</v>
      </c>
      <c r="R202" t="s">
        <v>151</v>
      </c>
      <c r="S202" t="s">
        <v>966</v>
      </c>
      <c r="T202" t="s">
        <v>153</v>
      </c>
      <c r="U202" t="s">
        <v>154</v>
      </c>
      <c r="V202" t="str">
        <f>IFERROR(INDEX(Products!$C:$C,MATCH(D202,Products!$A:$A,0)),"Unknown")</f>
        <v>Women Kurtis</v>
      </c>
      <c r="W202" t="str">
        <f>IFERROR(INDEX(Products!$E:$E,MATCH(D202,Products!$A:$A,0)),"Unknown")</f>
        <v>Nike</v>
      </c>
      <c r="X202" t="str">
        <f>IFERROR(INDEX(Stores!$B:$B,MATCH(E202,Stores!$A:$A,0)),"Unknown")</f>
        <v>TrendMart Alappuzha Outlet</v>
      </c>
      <c r="Y202" t="str">
        <f>IFERROR(INDEX(Stores!$E:$E,MATCH(E202,Stores!$A:$A,0)),"Unknown")</f>
        <v>South Zone 1</v>
      </c>
      <c r="Z202" t="str">
        <f>IFERROR(INDEX(Customers!$J:$J,MATCH(C202,Customers!$A:$A,0)),"Unknown")</f>
        <v>Regular</v>
      </c>
      <c r="AA202" t="str">
        <f t="shared" si="3"/>
        <v>2024-09</v>
      </c>
      <c r="AB202" t="str">
        <f>IFERROR(INDEX(Products!$I:$I,MATCH(D202,Products!$A:$A,0)),"Unknown")</f>
        <v>SUP012</v>
      </c>
    </row>
    <row r="203" spans="1:28" x14ac:dyDescent="0.25">
      <c r="A203" t="s">
        <v>967</v>
      </c>
      <c r="B203" s="20">
        <v>45558</v>
      </c>
      <c r="C203" t="s">
        <v>762</v>
      </c>
      <c r="D203" t="s">
        <v>968</v>
      </c>
      <c r="E203" t="s">
        <v>442</v>
      </c>
      <c r="F203" t="s">
        <v>232</v>
      </c>
      <c r="G203">
        <v>2</v>
      </c>
      <c r="H203" s="21">
        <v>553.13</v>
      </c>
      <c r="I203">
        <v>10</v>
      </c>
      <c r="J203" s="21">
        <v>110.63</v>
      </c>
      <c r="K203">
        <v>5</v>
      </c>
      <c r="L203" s="21">
        <v>49.78</v>
      </c>
      <c r="M203" s="21">
        <v>1045.4100000000001</v>
      </c>
      <c r="N203" s="21">
        <v>607.22</v>
      </c>
      <c r="O203" s="21">
        <v>388.41</v>
      </c>
      <c r="P203" t="s">
        <v>123</v>
      </c>
      <c r="Q203" t="s">
        <v>120</v>
      </c>
      <c r="R203" t="s">
        <v>151</v>
      </c>
      <c r="S203" t="s">
        <v>969</v>
      </c>
      <c r="T203" t="s">
        <v>153</v>
      </c>
      <c r="U203" t="s">
        <v>154</v>
      </c>
      <c r="V203" t="str">
        <f>IFERROR(INDEX(Products!$C:$C,MATCH(D203,Products!$A:$A,0)),"Unknown")</f>
        <v>Accessories</v>
      </c>
      <c r="W203" t="str">
        <f>IFERROR(INDEX(Products!$E:$E,MATCH(D203,Products!$A:$A,0)),"Unknown")</f>
        <v>Blackberrys</v>
      </c>
      <c r="X203" t="str">
        <f>IFERROR(INDEX(Stores!$B:$B,MATCH(E203,Stores!$A:$A,0)),"Unknown")</f>
        <v>TrendMart Bengaluru Standard</v>
      </c>
      <c r="Y203" t="str">
        <f>IFERROR(INDEX(Stores!$E:$E,MATCH(E203,Stores!$A:$A,0)),"Unknown")</f>
        <v>South Zone 2</v>
      </c>
      <c r="Z203" t="str">
        <f>IFERROR(INDEX(Customers!$J:$J,MATCH(C203,Customers!$A:$A,0)),"Unknown")</f>
        <v>Regular</v>
      </c>
      <c r="AA203" t="str">
        <f t="shared" si="3"/>
        <v>2024-09</v>
      </c>
      <c r="AB203" t="str">
        <f>IFERROR(INDEX(Products!$I:$I,MATCH(D203,Products!$A:$A,0)),"Unknown")</f>
        <v>SUP048</v>
      </c>
    </row>
    <row r="204" spans="1:28" x14ac:dyDescent="0.25">
      <c r="A204" t="s">
        <v>970</v>
      </c>
      <c r="B204" s="20">
        <v>45495</v>
      </c>
      <c r="C204" t="s">
        <v>971</v>
      </c>
      <c r="D204" t="s">
        <v>612</v>
      </c>
      <c r="E204" t="s">
        <v>429</v>
      </c>
      <c r="F204" t="s">
        <v>408</v>
      </c>
      <c r="G204">
        <v>5</v>
      </c>
      <c r="H204" s="21">
        <v>593.11</v>
      </c>
      <c r="I204">
        <v>0</v>
      </c>
      <c r="J204" s="21">
        <v>0</v>
      </c>
      <c r="K204">
        <v>5</v>
      </c>
      <c r="L204" s="21">
        <v>148.28</v>
      </c>
      <c r="M204" s="21">
        <v>3113.83</v>
      </c>
      <c r="N204" s="21">
        <v>1845</v>
      </c>
      <c r="O204" s="21">
        <v>1120.55</v>
      </c>
      <c r="P204" t="s">
        <v>125</v>
      </c>
      <c r="Q204" t="s">
        <v>120</v>
      </c>
      <c r="R204" t="s">
        <v>151</v>
      </c>
      <c r="S204" t="s">
        <v>972</v>
      </c>
      <c r="T204" t="s">
        <v>153</v>
      </c>
      <c r="U204" t="s">
        <v>154</v>
      </c>
      <c r="V204" t="str">
        <f>IFERROR(INDEX(Products!$C:$C,MATCH(D204,Products!$A:$A,0)),"Unknown")</f>
        <v>Men T-Shirts</v>
      </c>
      <c r="W204" t="str">
        <f>IFERROR(INDEX(Products!$E:$E,MATCH(D204,Products!$A:$A,0)),"Unknown")</f>
        <v>Killer Jeans</v>
      </c>
      <c r="X204" t="str">
        <f>IFERROR(INDEX(Stores!$B:$B,MATCH(E204,Stores!$A:$A,0)),"Unknown")</f>
        <v>TrendMart Tirunelveli Flagship</v>
      </c>
      <c r="Y204" t="str">
        <f>IFERROR(INDEX(Stores!$E:$E,MATCH(E204,Stores!$A:$A,0)),"Unknown")</f>
        <v>South Zone 1</v>
      </c>
      <c r="Z204" t="str">
        <f>IFERROR(INDEX(Customers!$J:$J,MATCH(C204,Customers!$A:$A,0)),"Unknown")</f>
        <v>Silver</v>
      </c>
      <c r="AA204" t="str">
        <f t="shared" si="3"/>
        <v>2024-07</v>
      </c>
      <c r="AB204" t="str">
        <f>IFERROR(INDEX(Products!$I:$I,MATCH(D204,Products!$A:$A,0)),"Unknown")</f>
        <v>SUP056</v>
      </c>
    </row>
    <row r="205" spans="1:28" x14ac:dyDescent="0.25">
      <c r="A205" t="s">
        <v>973</v>
      </c>
      <c r="B205" s="20">
        <v>45702</v>
      </c>
      <c r="C205" t="s">
        <v>974</v>
      </c>
      <c r="D205" t="s">
        <v>531</v>
      </c>
      <c r="E205" t="s">
        <v>85</v>
      </c>
      <c r="F205" t="s">
        <v>550</v>
      </c>
      <c r="G205">
        <v>3</v>
      </c>
      <c r="H205" s="21">
        <v>3097.39</v>
      </c>
      <c r="I205">
        <v>25</v>
      </c>
      <c r="J205" s="21">
        <v>2323.04</v>
      </c>
      <c r="K205">
        <v>12</v>
      </c>
      <c r="L205" s="21">
        <v>836.3</v>
      </c>
      <c r="M205" s="21">
        <v>7805.43</v>
      </c>
      <c r="N205" s="21">
        <v>6102.03</v>
      </c>
      <c r="O205" s="21">
        <v>867.1</v>
      </c>
      <c r="P205" t="s">
        <v>125</v>
      </c>
      <c r="Q205" t="s">
        <v>120</v>
      </c>
      <c r="R205" t="s">
        <v>313</v>
      </c>
      <c r="S205" t="s">
        <v>392</v>
      </c>
      <c r="T205" t="s">
        <v>153</v>
      </c>
      <c r="U205" t="s">
        <v>154</v>
      </c>
      <c r="V205" t="str">
        <f>IFERROR(INDEX(Products!$C:$C,MATCH(D205,Products!$A:$A,0)),"Unknown")</f>
        <v>Handbags</v>
      </c>
      <c r="W205" t="str">
        <f>IFERROR(INDEX(Products!$E:$E,MATCH(D205,Products!$A:$A,0)),"Unknown")</f>
        <v>GRT Jewellers</v>
      </c>
      <c r="X205" t="str">
        <f>IFERROR(INDEX(Stores!$B:$B,MATCH(E205,Stores!$A:$A,0)),"Unknown")</f>
        <v>TrendMart Kalaburagi Mall Kiosk</v>
      </c>
      <c r="Y205" t="str">
        <f>IFERROR(INDEX(Stores!$E:$E,MATCH(E205,Stores!$A:$A,0)),"Unknown")</f>
        <v>South Zone 2</v>
      </c>
      <c r="Z205" t="str">
        <f>IFERROR(INDEX(Customers!$J:$J,MATCH(C205,Customers!$A:$A,0)),"Unknown")</f>
        <v>Gold</v>
      </c>
      <c r="AA205" t="str">
        <f t="shared" si="3"/>
        <v>2025-02</v>
      </c>
      <c r="AB205" t="str">
        <f>IFERROR(INDEX(Products!$I:$I,MATCH(D205,Products!$A:$A,0)),"Unknown")</f>
        <v>SUP047</v>
      </c>
    </row>
    <row r="206" spans="1:28" x14ac:dyDescent="0.25">
      <c r="A206" t="s">
        <v>975</v>
      </c>
      <c r="B206" s="20">
        <v>45453</v>
      </c>
      <c r="C206" t="s">
        <v>976</v>
      </c>
      <c r="D206" t="s">
        <v>913</v>
      </c>
      <c r="E206" t="s">
        <v>351</v>
      </c>
      <c r="F206" t="s">
        <v>434</v>
      </c>
      <c r="G206">
        <v>2</v>
      </c>
      <c r="H206" s="21">
        <v>1415.44</v>
      </c>
      <c r="I206">
        <v>0</v>
      </c>
      <c r="J206" s="21">
        <v>0</v>
      </c>
      <c r="K206">
        <v>12</v>
      </c>
      <c r="L206" s="21">
        <v>339.71</v>
      </c>
      <c r="M206" s="21">
        <v>3170.59</v>
      </c>
      <c r="N206" s="21">
        <v>2158.94</v>
      </c>
      <c r="O206" s="21">
        <v>671.94</v>
      </c>
      <c r="P206" t="s">
        <v>126</v>
      </c>
      <c r="Q206" t="s">
        <v>120</v>
      </c>
      <c r="R206" t="s">
        <v>151</v>
      </c>
      <c r="S206" t="s">
        <v>503</v>
      </c>
      <c r="T206" t="s">
        <v>153</v>
      </c>
      <c r="U206" t="s">
        <v>154</v>
      </c>
      <c r="V206" t="str">
        <f>IFERROR(INDEX(Products!$C:$C,MATCH(D206,Products!$A:$A,0)),"Unknown")</f>
        <v>Sportswear</v>
      </c>
      <c r="W206" t="str">
        <f>IFERROR(INDEX(Products!$E:$E,MATCH(D206,Products!$A:$A,0)),"Unknown")</f>
        <v>GRT Jewellers</v>
      </c>
      <c r="X206" t="str">
        <f>IFERROR(INDEX(Stores!$B:$B,MATCH(E206,Stores!$A:$A,0)),"Unknown")</f>
        <v>TrendMart Kozhikode High Street</v>
      </c>
      <c r="Y206" t="str">
        <f>IFERROR(INDEX(Stores!$E:$E,MATCH(E206,Stores!$A:$A,0)),"Unknown")</f>
        <v>South Zone 1</v>
      </c>
      <c r="Z206" t="str">
        <f>IFERROR(INDEX(Customers!$J:$J,MATCH(C206,Customers!$A:$A,0)),"Unknown")</f>
        <v>Gold</v>
      </c>
      <c r="AA206" t="str">
        <f t="shared" si="3"/>
        <v>2024-06</v>
      </c>
      <c r="AB206" t="str">
        <f>IFERROR(INDEX(Products!$I:$I,MATCH(D206,Products!$A:$A,0)),"Unknown")</f>
        <v>SUP072</v>
      </c>
    </row>
    <row r="207" spans="1:28" x14ac:dyDescent="0.25">
      <c r="A207" t="s">
        <v>977</v>
      </c>
      <c r="B207" s="20">
        <v>45729</v>
      </c>
      <c r="C207" t="s">
        <v>649</v>
      </c>
      <c r="D207" t="s">
        <v>606</v>
      </c>
      <c r="E207" t="s">
        <v>798</v>
      </c>
      <c r="F207" t="s">
        <v>232</v>
      </c>
      <c r="G207">
        <v>4</v>
      </c>
      <c r="H207" s="21">
        <v>1619.8</v>
      </c>
      <c r="I207">
        <v>5</v>
      </c>
      <c r="J207" s="21">
        <v>323.95999999999998</v>
      </c>
      <c r="K207">
        <v>12</v>
      </c>
      <c r="L207" s="21">
        <v>738.63</v>
      </c>
      <c r="M207" s="21">
        <v>6893.87</v>
      </c>
      <c r="N207" s="21">
        <v>4019.76</v>
      </c>
      <c r="O207" s="21">
        <v>2135.48</v>
      </c>
      <c r="P207" t="s">
        <v>125</v>
      </c>
      <c r="Q207" t="s">
        <v>120</v>
      </c>
      <c r="R207" t="s">
        <v>151</v>
      </c>
      <c r="S207" t="s">
        <v>832</v>
      </c>
      <c r="T207" t="s">
        <v>153</v>
      </c>
      <c r="U207" t="s">
        <v>154</v>
      </c>
      <c r="V207" t="str">
        <f>IFERROR(INDEX(Products!$C:$C,MATCH(D207,Products!$A:$A,0)),"Unknown")</f>
        <v>Sportswear</v>
      </c>
      <c r="W207" t="str">
        <f>IFERROR(INDEX(Products!$E:$E,MATCH(D207,Products!$A:$A,0)),"Unknown")</f>
        <v>Fossil</v>
      </c>
      <c r="X207" t="str">
        <f>IFERROR(INDEX(Stores!$B:$B,MATCH(E207,Stores!$A:$A,0)),"Unknown")</f>
        <v>TrendMart Guntur Standard</v>
      </c>
      <c r="Y207" t="str">
        <f>IFERROR(INDEX(Stores!$E:$E,MATCH(E207,Stores!$A:$A,0)),"Unknown")</f>
        <v>South Zone 3</v>
      </c>
      <c r="Z207" t="str">
        <f>IFERROR(INDEX(Customers!$J:$J,MATCH(C207,Customers!$A:$A,0)),"Unknown")</f>
        <v>Silver</v>
      </c>
      <c r="AA207" t="str">
        <f t="shared" si="3"/>
        <v>2025-03</v>
      </c>
      <c r="AB207" t="str">
        <f>IFERROR(INDEX(Products!$I:$I,MATCH(D207,Products!$A:$A,0)),"Unknown")</f>
        <v>SUP049</v>
      </c>
    </row>
    <row r="208" spans="1:28" x14ac:dyDescent="0.25">
      <c r="A208" t="s">
        <v>978</v>
      </c>
      <c r="B208" s="20">
        <v>45425</v>
      </c>
      <c r="C208" t="s">
        <v>840</v>
      </c>
      <c r="D208" t="s">
        <v>261</v>
      </c>
      <c r="E208" t="s">
        <v>429</v>
      </c>
      <c r="F208" t="s">
        <v>201</v>
      </c>
      <c r="G208">
        <v>1</v>
      </c>
      <c r="H208" s="21">
        <v>1216.52</v>
      </c>
      <c r="I208">
        <v>5</v>
      </c>
      <c r="J208" s="21">
        <v>60.83</v>
      </c>
      <c r="K208">
        <v>12</v>
      </c>
      <c r="L208" s="21">
        <v>138.68</v>
      </c>
      <c r="M208" s="21">
        <v>1294.3699999999999</v>
      </c>
      <c r="N208" s="21">
        <v>844.65</v>
      </c>
      <c r="O208" s="21">
        <v>311.04000000000002</v>
      </c>
      <c r="P208" t="s">
        <v>123</v>
      </c>
      <c r="Q208" t="s">
        <v>122</v>
      </c>
      <c r="R208" t="s">
        <v>151</v>
      </c>
      <c r="S208" t="s">
        <v>979</v>
      </c>
      <c r="T208" t="s">
        <v>153</v>
      </c>
      <c r="U208" t="s">
        <v>154</v>
      </c>
      <c r="V208" t="str">
        <f>IFERROR(INDEX(Products!$C:$C,MATCH(D208,Products!$A:$A,0)),"Unknown")</f>
        <v>Women Kurtis</v>
      </c>
      <c r="W208" t="str">
        <f>IFERROR(INDEX(Products!$E:$E,MATCH(D208,Products!$A:$A,0)),"Unknown")</f>
        <v>Woodland</v>
      </c>
      <c r="X208" t="str">
        <f>IFERROR(INDEX(Stores!$B:$B,MATCH(E208,Stores!$A:$A,0)),"Unknown")</f>
        <v>TrendMart Tirunelveli Flagship</v>
      </c>
      <c r="Y208" t="str">
        <f>IFERROR(INDEX(Stores!$E:$E,MATCH(E208,Stores!$A:$A,0)),"Unknown")</f>
        <v>South Zone 1</v>
      </c>
      <c r="Z208" t="str">
        <f>IFERROR(INDEX(Customers!$J:$J,MATCH(C208,Customers!$A:$A,0)),"Unknown")</f>
        <v>Platinum</v>
      </c>
      <c r="AA208" t="str">
        <f t="shared" si="3"/>
        <v>2024-05</v>
      </c>
      <c r="AB208" t="str">
        <f>IFERROR(INDEX(Products!$I:$I,MATCH(D208,Products!$A:$A,0)),"Unknown")</f>
        <v>SUP071</v>
      </c>
    </row>
    <row r="209" spans="1:28" x14ac:dyDescent="0.25">
      <c r="A209" t="s">
        <v>980</v>
      </c>
      <c r="B209" s="20">
        <v>45652</v>
      </c>
      <c r="C209" t="s">
        <v>981</v>
      </c>
      <c r="D209" t="s">
        <v>531</v>
      </c>
      <c r="E209" t="s">
        <v>402</v>
      </c>
      <c r="F209" t="s">
        <v>335</v>
      </c>
      <c r="G209">
        <v>3</v>
      </c>
      <c r="H209" s="21">
        <v>3007.58</v>
      </c>
      <c r="I209">
        <v>25</v>
      </c>
      <c r="J209" s="21">
        <v>2255.6799999999998</v>
      </c>
      <c r="K209">
        <v>12</v>
      </c>
      <c r="L209" s="21">
        <v>812.05</v>
      </c>
      <c r="M209" s="21">
        <v>7579.11</v>
      </c>
      <c r="N209" s="21">
        <v>6102.03</v>
      </c>
      <c r="O209" s="21">
        <v>665.03</v>
      </c>
      <c r="P209" t="s">
        <v>125</v>
      </c>
      <c r="Q209" t="s">
        <v>120</v>
      </c>
      <c r="R209" t="s">
        <v>313</v>
      </c>
      <c r="S209" t="s">
        <v>982</v>
      </c>
      <c r="T209" t="s">
        <v>153</v>
      </c>
      <c r="U209" t="s">
        <v>154</v>
      </c>
      <c r="V209" t="str">
        <f>IFERROR(INDEX(Products!$C:$C,MATCH(D209,Products!$A:$A,0)),"Unknown")</f>
        <v>Handbags</v>
      </c>
      <c r="W209" t="str">
        <f>IFERROR(INDEX(Products!$E:$E,MATCH(D209,Products!$A:$A,0)),"Unknown")</f>
        <v>GRT Jewellers</v>
      </c>
      <c r="X209" t="str">
        <f>IFERROR(INDEX(Stores!$B:$B,MATCH(E209,Stores!$A:$A,0)),"Unknown")</f>
        <v>TrendMart Kannur Standard</v>
      </c>
      <c r="Y209" t="str">
        <f>IFERROR(INDEX(Stores!$E:$E,MATCH(E209,Stores!$A:$A,0)),"Unknown")</f>
        <v>South Zone 1</v>
      </c>
      <c r="Z209" t="str">
        <f>IFERROR(INDEX(Customers!$J:$J,MATCH(C209,Customers!$A:$A,0)),"Unknown")</f>
        <v>Regular</v>
      </c>
      <c r="AA209" t="str">
        <f t="shared" si="3"/>
        <v>2024-12</v>
      </c>
      <c r="AB209" t="str">
        <f>IFERROR(INDEX(Products!$I:$I,MATCH(D209,Products!$A:$A,0)),"Unknown")</f>
        <v>SUP047</v>
      </c>
    </row>
    <row r="210" spans="1:28" x14ac:dyDescent="0.25">
      <c r="A210" t="s">
        <v>983</v>
      </c>
      <c r="B210" s="20">
        <v>45711</v>
      </c>
      <c r="C210" t="s">
        <v>984</v>
      </c>
      <c r="D210" t="s">
        <v>367</v>
      </c>
      <c r="E210" t="s">
        <v>158</v>
      </c>
      <c r="F210" t="s">
        <v>170</v>
      </c>
      <c r="G210">
        <v>2</v>
      </c>
      <c r="H210" s="21">
        <v>814.68</v>
      </c>
      <c r="I210">
        <v>0</v>
      </c>
      <c r="J210" s="21">
        <v>0</v>
      </c>
      <c r="K210">
        <v>3</v>
      </c>
      <c r="L210" s="21">
        <v>48.88</v>
      </c>
      <c r="M210" s="21">
        <v>1678.24</v>
      </c>
      <c r="N210" s="21">
        <v>1113.98</v>
      </c>
      <c r="O210" s="21">
        <v>515.38</v>
      </c>
      <c r="P210" t="s">
        <v>121</v>
      </c>
      <c r="Q210" t="s">
        <v>120</v>
      </c>
      <c r="R210" t="s">
        <v>151</v>
      </c>
      <c r="S210" t="s">
        <v>985</v>
      </c>
      <c r="T210" t="s">
        <v>161</v>
      </c>
      <c r="U210" t="s">
        <v>154</v>
      </c>
      <c r="V210" t="str">
        <f>IFERROR(INDEX(Products!$C:$C,MATCH(D210,Products!$A:$A,0)),"Unknown")</f>
        <v>Jewellery</v>
      </c>
      <c r="W210" t="str">
        <f>IFERROR(INDEX(Products!$E:$E,MATCH(D210,Products!$A:$A,0)),"Unknown")</f>
        <v>Aurelia</v>
      </c>
      <c r="X210" t="str">
        <f>IFERROR(INDEX(Stores!$B:$B,MATCH(E210,Stores!$A:$A,0)),"Unknown")</f>
        <v>TrendMart Tirunelveli High Street</v>
      </c>
      <c r="Y210" t="str">
        <f>IFERROR(INDEX(Stores!$E:$E,MATCH(E210,Stores!$A:$A,0)),"Unknown")</f>
        <v>South Zone 1</v>
      </c>
      <c r="Z210" t="str">
        <f>IFERROR(INDEX(Customers!$J:$J,MATCH(C210,Customers!$A:$A,0)),"Unknown")</f>
        <v>Gold</v>
      </c>
      <c r="AA210" t="str">
        <f t="shared" si="3"/>
        <v>2025-02</v>
      </c>
      <c r="AB210" t="str">
        <f>IFERROR(INDEX(Products!$I:$I,MATCH(D210,Products!$A:$A,0)),"Unknown")</f>
        <v>SUP067</v>
      </c>
    </row>
    <row r="211" spans="1:28" x14ac:dyDescent="0.25">
      <c r="A211" t="s">
        <v>986</v>
      </c>
      <c r="B211" s="20">
        <v>45645</v>
      </c>
      <c r="C211" t="s">
        <v>987</v>
      </c>
      <c r="D211" t="s">
        <v>415</v>
      </c>
      <c r="E211" t="s">
        <v>525</v>
      </c>
      <c r="F211" t="s">
        <v>596</v>
      </c>
      <c r="G211">
        <v>1</v>
      </c>
      <c r="H211" s="21">
        <v>1560.74</v>
      </c>
      <c r="I211">
        <v>10</v>
      </c>
      <c r="J211" s="21">
        <v>156.07</v>
      </c>
      <c r="K211">
        <v>12</v>
      </c>
      <c r="L211" s="21">
        <v>168.56</v>
      </c>
      <c r="M211" s="21">
        <v>1573.23</v>
      </c>
      <c r="N211" s="21">
        <v>1047.48</v>
      </c>
      <c r="O211" s="21">
        <v>357.19</v>
      </c>
      <c r="P211" t="s">
        <v>124</v>
      </c>
      <c r="Q211" t="s">
        <v>122</v>
      </c>
      <c r="R211" t="s">
        <v>151</v>
      </c>
      <c r="S211" t="s">
        <v>988</v>
      </c>
      <c r="T211" t="s">
        <v>153</v>
      </c>
      <c r="U211" t="s">
        <v>154</v>
      </c>
      <c r="V211" t="str">
        <f>IFERROR(INDEX(Products!$C:$C,MATCH(D211,Products!$A:$A,0)),"Unknown")</f>
        <v>Women Jeans</v>
      </c>
      <c r="W211" t="str">
        <f>IFERROR(INDEX(Products!$E:$E,MATCH(D211,Products!$A:$A,0)),"Unknown")</f>
        <v>Killer Jeans</v>
      </c>
      <c r="X211" t="str">
        <f>IFERROR(INDEX(Stores!$B:$B,MATCH(E211,Stores!$A:$A,0)),"Unknown")</f>
        <v>TrendMart Kollam Standard</v>
      </c>
      <c r="Y211" t="str">
        <f>IFERROR(INDEX(Stores!$E:$E,MATCH(E211,Stores!$A:$A,0)),"Unknown")</f>
        <v>South Zone 1</v>
      </c>
      <c r="Z211" t="str">
        <f>IFERROR(INDEX(Customers!$J:$J,MATCH(C211,Customers!$A:$A,0)),"Unknown")</f>
        <v>Regular</v>
      </c>
      <c r="AA211" t="str">
        <f t="shared" si="3"/>
        <v>2024-12</v>
      </c>
      <c r="AB211" t="str">
        <f>IFERROR(INDEX(Products!$I:$I,MATCH(D211,Products!$A:$A,0)),"Unknown")</f>
        <v>SUP070</v>
      </c>
    </row>
    <row r="212" spans="1:28" x14ac:dyDescent="0.25">
      <c r="A212" t="s">
        <v>989</v>
      </c>
      <c r="B212" s="20">
        <v>45741</v>
      </c>
      <c r="C212" t="s">
        <v>990</v>
      </c>
      <c r="D212" t="s">
        <v>510</v>
      </c>
      <c r="E212" t="s">
        <v>848</v>
      </c>
      <c r="F212" t="s">
        <v>308</v>
      </c>
      <c r="G212">
        <v>1</v>
      </c>
      <c r="H212" s="21">
        <v>1202.28</v>
      </c>
      <c r="I212">
        <v>0</v>
      </c>
      <c r="J212" s="21">
        <v>0</v>
      </c>
      <c r="K212">
        <v>12</v>
      </c>
      <c r="L212" s="21">
        <v>144.27000000000001</v>
      </c>
      <c r="M212" s="21">
        <v>1346.55</v>
      </c>
      <c r="N212" s="21">
        <v>914.72</v>
      </c>
      <c r="O212" s="21">
        <v>287.56</v>
      </c>
      <c r="P212" t="s">
        <v>126</v>
      </c>
      <c r="Q212" t="s">
        <v>122</v>
      </c>
      <c r="R212" t="s">
        <v>151</v>
      </c>
      <c r="S212" t="s">
        <v>647</v>
      </c>
      <c r="T212" t="s">
        <v>153</v>
      </c>
      <c r="U212" t="s">
        <v>154</v>
      </c>
      <c r="V212" t="str">
        <f>IFERROR(INDEX(Products!$C:$C,MATCH(D212,Products!$A:$A,0)),"Unknown")</f>
        <v>Sportswear</v>
      </c>
      <c r="W212" t="str">
        <f>IFERROR(INDEX(Products!$E:$E,MATCH(D212,Products!$A:$A,0)),"Unknown")</f>
        <v>Liberty</v>
      </c>
      <c r="X212" t="str">
        <f>IFERROR(INDEX(Stores!$B:$B,MATCH(E212,Stores!$A:$A,0)),"Unknown")</f>
        <v>TrendMart Shivamogga Standard</v>
      </c>
      <c r="Y212" t="str">
        <f>IFERROR(INDEX(Stores!$E:$E,MATCH(E212,Stores!$A:$A,0)),"Unknown")</f>
        <v>South Zone 2</v>
      </c>
      <c r="Z212" t="str">
        <f>IFERROR(INDEX(Customers!$J:$J,MATCH(C212,Customers!$A:$A,0)),"Unknown")</f>
        <v>Silver</v>
      </c>
      <c r="AA212" t="str">
        <f t="shared" si="3"/>
        <v>2025-03</v>
      </c>
      <c r="AB212" t="str">
        <f>IFERROR(INDEX(Products!$I:$I,MATCH(D212,Products!$A:$A,0)),"Unknown")</f>
        <v>SUP010</v>
      </c>
    </row>
    <row r="213" spans="1:28" x14ac:dyDescent="0.25">
      <c r="A213" t="s">
        <v>991</v>
      </c>
      <c r="B213" s="20">
        <v>45408</v>
      </c>
      <c r="C213" t="s">
        <v>992</v>
      </c>
      <c r="D213" t="s">
        <v>993</v>
      </c>
      <c r="E213" t="s">
        <v>671</v>
      </c>
      <c r="F213" t="s">
        <v>159</v>
      </c>
      <c r="G213">
        <v>3</v>
      </c>
      <c r="H213" s="21">
        <v>1053.67</v>
      </c>
      <c r="I213">
        <v>10</v>
      </c>
      <c r="J213" s="21">
        <v>316.10000000000002</v>
      </c>
      <c r="K213">
        <v>12</v>
      </c>
      <c r="L213" s="21">
        <v>341.39</v>
      </c>
      <c r="M213" s="21">
        <v>3186.3</v>
      </c>
      <c r="N213" s="21">
        <v>2163.87</v>
      </c>
      <c r="O213" s="21">
        <v>681.04</v>
      </c>
      <c r="P213" t="s">
        <v>123</v>
      </c>
      <c r="Q213" t="s">
        <v>120</v>
      </c>
      <c r="R213" t="s">
        <v>151</v>
      </c>
      <c r="S213" t="s">
        <v>570</v>
      </c>
      <c r="T213" t="s">
        <v>153</v>
      </c>
      <c r="U213" t="s">
        <v>154</v>
      </c>
      <c r="V213" t="str">
        <f>IFERROR(INDEX(Products!$C:$C,MATCH(D213,Products!$A:$A,0)),"Unknown")</f>
        <v>Men Jeans</v>
      </c>
      <c r="W213" t="str">
        <f>IFERROR(INDEX(Products!$E:$E,MATCH(D213,Products!$A:$A,0)),"Unknown")</f>
        <v>Louis Philippe</v>
      </c>
      <c r="X213" t="str">
        <f>IFERROR(INDEX(Stores!$B:$B,MATCH(E213,Stores!$A:$A,0)),"Unknown")</f>
        <v>TrendMart Hyderabad Mall Kiosk</v>
      </c>
      <c r="Y213" t="str">
        <f>IFERROR(INDEX(Stores!$E:$E,MATCH(E213,Stores!$A:$A,0)),"Unknown")</f>
        <v>South Zone 2</v>
      </c>
      <c r="Z213" t="str">
        <f>IFERROR(INDEX(Customers!$J:$J,MATCH(C213,Customers!$A:$A,0)),"Unknown")</f>
        <v>Regular</v>
      </c>
      <c r="AA213" t="str">
        <f t="shared" si="3"/>
        <v>2024-04</v>
      </c>
      <c r="AB213" t="str">
        <f>IFERROR(INDEX(Products!$I:$I,MATCH(D213,Products!$A:$A,0)),"Unknown")</f>
        <v>SUP088</v>
      </c>
    </row>
    <row r="214" spans="1:28" x14ac:dyDescent="0.25">
      <c r="A214" t="s">
        <v>994</v>
      </c>
      <c r="B214" s="20">
        <v>45394</v>
      </c>
      <c r="C214" t="s">
        <v>995</v>
      </c>
      <c r="D214" t="s">
        <v>996</v>
      </c>
      <c r="E214" t="s">
        <v>741</v>
      </c>
      <c r="F214" t="s">
        <v>176</v>
      </c>
      <c r="G214">
        <v>2</v>
      </c>
      <c r="H214" s="21">
        <v>1956.39</v>
      </c>
      <c r="I214">
        <v>0</v>
      </c>
      <c r="J214" s="21">
        <v>0</v>
      </c>
      <c r="K214">
        <v>12</v>
      </c>
      <c r="L214" s="21">
        <v>469.53</v>
      </c>
      <c r="M214" s="21">
        <v>4382.3100000000004</v>
      </c>
      <c r="N214" s="21">
        <v>2861.14</v>
      </c>
      <c r="O214" s="21">
        <v>1051.6400000000001</v>
      </c>
      <c r="P214" t="s">
        <v>123</v>
      </c>
      <c r="Q214" t="s">
        <v>120</v>
      </c>
      <c r="R214" t="s">
        <v>151</v>
      </c>
      <c r="S214" t="s">
        <v>997</v>
      </c>
      <c r="T214" t="s">
        <v>153</v>
      </c>
      <c r="U214" t="s">
        <v>154</v>
      </c>
      <c r="V214" t="str">
        <f>IFERROR(INDEX(Products!$C:$C,MATCH(D214,Products!$A:$A,0)),"Unknown")</f>
        <v>Men Ethnic</v>
      </c>
      <c r="W214" t="str">
        <f>IFERROR(INDEX(Products!$E:$E,MATCH(D214,Products!$A:$A,0)),"Unknown")</f>
        <v>Liberty</v>
      </c>
      <c r="X214" t="str">
        <f>IFERROR(INDEX(Stores!$B:$B,MATCH(E214,Stores!$A:$A,0)),"Unknown")</f>
        <v>TrendMart Nellore Mall Kiosk</v>
      </c>
      <c r="Y214" t="str">
        <f>IFERROR(INDEX(Stores!$E:$E,MATCH(E214,Stores!$A:$A,0)),"Unknown")</f>
        <v>South Zone 3</v>
      </c>
      <c r="Z214" t="str">
        <f>IFERROR(INDEX(Customers!$J:$J,MATCH(C214,Customers!$A:$A,0)),"Unknown")</f>
        <v>Silver</v>
      </c>
      <c r="AA214" t="str">
        <f t="shared" si="3"/>
        <v>2024-04</v>
      </c>
      <c r="AB214" t="str">
        <f>IFERROR(INDEX(Products!$I:$I,MATCH(D214,Products!$A:$A,0)),"Unknown")</f>
        <v>SUP046</v>
      </c>
    </row>
    <row r="215" spans="1:28" x14ac:dyDescent="0.25">
      <c r="A215" t="s">
        <v>998</v>
      </c>
      <c r="B215" s="20">
        <v>45570</v>
      </c>
      <c r="C215" t="s">
        <v>957</v>
      </c>
      <c r="D215" t="s">
        <v>372</v>
      </c>
      <c r="E215" t="s">
        <v>999</v>
      </c>
      <c r="F215" t="s">
        <v>292</v>
      </c>
      <c r="G215">
        <v>4</v>
      </c>
      <c r="H215" s="21">
        <v>676.04</v>
      </c>
      <c r="I215">
        <v>15</v>
      </c>
      <c r="J215" s="21">
        <v>405.62</v>
      </c>
      <c r="K215">
        <v>5</v>
      </c>
      <c r="L215" s="21">
        <v>114.93</v>
      </c>
      <c r="M215" s="21">
        <v>2413.4699999999998</v>
      </c>
      <c r="N215" s="21">
        <v>1653.56</v>
      </c>
      <c r="O215" s="21">
        <v>644.98</v>
      </c>
      <c r="P215" t="s">
        <v>125</v>
      </c>
      <c r="Q215" t="s">
        <v>120</v>
      </c>
      <c r="R215" t="s">
        <v>151</v>
      </c>
      <c r="S215" t="s">
        <v>972</v>
      </c>
      <c r="T215" t="s">
        <v>161</v>
      </c>
      <c r="U215" t="s">
        <v>154</v>
      </c>
      <c r="V215" t="str">
        <f>IFERROR(INDEX(Products!$C:$C,MATCH(D215,Products!$A:$A,0)),"Unknown")</f>
        <v>Kids Wear</v>
      </c>
      <c r="W215" t="str">
        <f>IFERROR(INDEX(Products!$E:$E,MATCH(D215,Products!$A:$A,0)),"Unknown")</f>
        <v>Jack &amp; Jones</v>
      </c>
      <c r="X215" t="str">
        <f>IFERROR(INDEX(Stores!$B:$B,MATCH(E215,Stores!$A:$A,0)),"Unknown")</f>
        <v>TrendMart Tumakuru Standard</v>
      </c>
      <c r="Y215" t="str">
        <f>IFERROR(INDEX(Stores!$E:$E,MATCH(E215,Stores!$A:$A,0)),"Unknown")</f>
        <v>South Zone 2</v>
      </c>
      <c r="Z215" t="str">
        <f>IFERROR(INDEX(Customers!$J:$J,MATCH(C215,Customers!$A:$A,0)),"Unknown")</f>
        <v>Regular</v>
      </c>
      <c r="AA215" t="str">
        <f t="shared" si="3"/>
        <v>2024-10</v>
      </c>
      <c r="AB215" t="str">
        <f>IFERROR(INDEX(Products!$I:$I,MATCH(D215,Products!$A:$A,0)),"Unknown")</f>
        <v>SUP065</v>
      </c>
    </row>
    <row r="216" spans="1:28" x14ac:dyDescent="0.25">
      <c r="A216" t="s">
        <v>1000</v>
      </c>
      <c r="B216" s="20">
        <v>45558</v>
      </c>
      <c r="C216" t="s">
        <v>1001</v>
      </c>
      <c r="D216" t="s">
        <v>583</v>
      </c>
      <c r="E216" t="s">
        <v>1002</v>
      </c>
      <c r="F216" t="s">
        <v>165</v>
      </c>
      <c r="G216">
        <v>4</v>
      </c>
      <c r="H216" s="21">
        <v>865.86</v>
      </c>
      <c r="I216">
        <v>20</v>
      </c>
      <c r="J216" s="21">
        <v>692.69</v>
      </c>
      <c r="K216">
        <v>5</v>
      </c>
      <c r="L216" s="21">
        <v>138.54</v>
      </c>
      <c r="M216" s="21">
        <v>2909.29</v>
      </c>
      <c r="N216" s="21">
        <v>2518.88</v>
      </c>
      <c r="O216" s="21">
        <v>251.87</v>
      </c>
      <c r="P216" t="s">
        <v>124</v>
      </c>
      <c r="Q216" t="s">
        <v>120</v>
      </c>
      <c r="R216" t="s">
        <v>151</v>
      </c>
      <c r="S216" t="s">
        <v>1003</v>
      </c>
      <c r="T216" t="s">
        <v>153</v>
      </c>
      <c r="U216" t="s">
        <v>154</v>
      </c>
      <c r="V216" t="str">
        <f>IFERROR(INDEX(Products!$C:$C,MATCH(D216,Products!$A:$A,0)),"Unknown")</f>
        <v>Women Tops</v>
      </c>
      <c r="W216" t="str">
        <f>IFERROR(INDEX(Products!$E:$E,MATCH(D216,Products!$A:$A,0)),"Unknown")</f>
        <v>Ramraj Cotton</v>
      </c>
      <c r="X216" t="str">
        <f>IFERROR(INDEX(Stores!$B:$B,MATCH(E216,Stores!$A:$A,0)),"Unknown")</f>
        <v>TrendMart Coimbatore Mall Kiosk</v>
      </c>
      <c r="Y216" t="str">
        <f>IFERROR(INDEX(Stores!$E:$E,MATCH(E216,Stores!$A:$A,0)),"Unknown")</f>
        <v>South Zone 1</v>
      </c>
      <c r="Z216" t="str">
        <f>IFERROR(INDEX(Customers!$J:$J,MATCH(C216,Customers!$A:$A,0)),"Unknown")</f>
        <v>Silver</v>
      </c>
      <c r="AA216" t="str">
        <f t="shared" si="3"/>
        <v>2024-09</v>
      </c>
      <c r="AB216" t="str">
        <f>IFERROR(INDEX(Products!$I:$I,MATCH(D216,Products!$A:$A,0)),"Unknown")</f>
        <v>SUP048</v>
      </c>
    </row>
    <row r="217" spans="1:28" x14ac:dyDescent="0.25">
      <c r="A217" t="s">
        <v>1004</v>
      </c>
      <c r="B217" s="20">
        <v>45507</v>
      </c>
      <c r="C217" t="s">
        <v>642</v>
      </c>
      <c r="D217" t="s">
        <v>926</v>
      </c>
      <c r="E217" t="s">
        <v>588</v>
      </c>
      <c r="F217" t="s">
        <v>211</v>
      </c>
      <c r="G217">
        <v>1</v>
      </c>
      <c r="H217" s="21">
        <v>1209.8699999999999</v>
      </c>
      <c r="I217">
        <v>30</v>
      </c>
      <c r="J217" s="21">
        <v>362.96</v>
      </c>
      <c r="K217">
        <v>12</v>
      </c>
      <c r="L217" s="21">
        <v>101.63</v>
      </c>
      <c r="M217" s="21">
        <v>948.54</v>
      </c>
      <c r="N217" s="21">
        <v>810.62</v>
      </c>
      <c r="O217" s="21">
        <v>36.29</v>
      </c>
      <c r="P217" t="s">
        <v>124</v>
      </c>
      <c r="Q217" t="s">
        <v>120</v>
      </c>
      <c r="R217" t="s">
        <v>151</v>
      </c>
      <c r="S217" t="s">
        <v>486</v>
      </c>
      <c r="T217" t="s">
        <v>161</v>
      </c>
      <c r="U217" t="s">
        <v>154</v>
      </c>
      <c r="V217" t="str">
        <f>IFERROR(INDEX(Products!$C:$C,MATCH(D217,Products!$A:$A,0)),"Unknown")</f>
        <v>Women Dresses</v>
      </c>
      <c r="W217" t="str">
        <f>IFERROR(INDEX(Products!$E:$E,MATCH(D217,Products!$A:$A,0)),"Unknown")</f>
        <v>Fabindia</v>
      </c>
      <c r="X217" t="str">
        <f>IFERROR(INDEX(Stores!$B:$B,MATCH(E217,Stores!$A:$A,0)),"Unknown")</f>
        <v>TrendMart Nizamabad Standard</v>
      </c>
      <c r="Y217" t="str">
        <f>IFERROR(INDEX(Stores!$E:$E,MATCH(E217,Stores!$A:$A,0)),"Unknown")</f>
        <v>South Zone 2</v>
      </c>
      <c r="Z217" t="str">
        <f>IFERROR(INDEX(Customers!$J:$J,MATCH(C217,Customers!$A:$A,0)),"Unknown")</f>
        <v>Regular</v>
      </c>
      <c r="AA217" t="str">
        <f t="shared" si="3"/>
        <v>2024-08</v>
      </c>
      <c r="AB217" t="str">
        <f>IFERROR(INDEX(Products!$I:$I,MATCH(D217,Products!$A:$A,0)),"Unknown")</f>
        <v>SUP059</v>
      </c>
    </row>
    <row r="218" spans="1:28" x14ac:dyDescent="0.25">
      <c r="A218" t="s">
        <v>1005</v>
      </c>
      <c r="B218" s="20">
        <v>45548</v>
      </c>
      <c r="C218" t="s">
        <v>1006</v>
      </c>
      <c r="D218" t="s">
        <v>481</v>
      </c>
      <c r="E218" t="s">
        <v>451</v>
      </c>
      <c r="F218" t="s">
        <v>292</v>
      </c>
      <c r="G218">
        <v>2</v>
      </c>
      <c r="H218" s="21">
        <v>910.48</v>
      </c>
      <c r="I218">
        <v>0</v>
      </c>
      <c r="J218" s="21">
        <v>0</v>
      </c>
      <c r="K218">
        <v>5</v>
      </c>
      <c r="L218" s="21">
        <v>91.05</v>
      </c>
      <c r="M218" s="21">
        <v>1912.01</v>
      </c>
      <c r="N218" s="21">
        <v>1396.16</v>
      </c>
      <c r="O218" s="21">
        <v>424.8</v>
      </c>
      <c r="P218" t="s">
        <v>123</v>
      </c>
      <c r="Q218" t="s">
        <v>120</v>
      </c>
      <c r="R218" t="s">
        <v>151</v>
      </c>
      <c r="S218" t="s">
        <v>885</v>
      </c>
      <c r="T218" t="s">
        <v>153</v>
      </c>
      <c r="U218" t="s">
        <v>154</v>
      </c>
      <c r="V218" t="str">
        <f>IFERROR(INDEX(Products!$C:$C,MATCH(D218,Products!$A:$A,0)),"Unknown")</f>
        <v>Women Dresses</v>
      </c>
      <c r="W218" t="str">
        <f>IFERROR(INDEX(Products!$E:$E,MATCH(D218,Products!$A:$A,0)),"Unknown")</f>
        <v>Jack &amp; Jones</v>
      </c>
      <c r="X218" t="str">
        <f>IFERROR(INDEX(Stores!$B:$B,MATCH(E218,Stores!$A:$A,0)),"Unknown")</f>
        <v>TrendMart Thoothukudi High Street</v>
      </c>
      <c r="Y218" t="str">
        <f>IFERROR(INDEX(Stores!$E:$E,MATCH(E218,Stores!$A:$A,0)),"Unknown")</f>
        <v>South Zone 1</v>
      </c>
      <c r="Z218" t="str">
        <f>IFERROR(INDEX(Customers!$J:$J,MATCH(C218,Customers!$A:$A,0)),"Unknown")</f>
        <v>Regular</v>
      </c>
      <c r="AA218" t="str">
        <f t="shared" si="3"/>
        <v>2024-09</v>
      </c>
      <c r="AB218" t="str">
        <f>IFERROR(INDEX(Products!$I:$I,MATCH(D218,Products!$A:$A,0)),"Unknown")</f>
        <v>SUP069</v>
      </c>
    </row>
    <row r="219" spans="1:28" x14ac:dyDescent="0.25">
      <c r="A219" t="s">
        <v>1007</v>
      </c>
      <c r="B219" s="20">
        <v>45570</v>
      </c>
      <c r="C219" t="s">
        <v>1008</v>
      </c>
      <c r="D219" t="s">
        <v>858</v>
      </c>
      <c r="E219" t="s">
        <v>274</v>
      </c>
      <c r="F219" t="s">
        <v>292</v>
      </c>
      <c r="G219">
        <v>1</v>
      </c>
      <c r="H219" s="21">
        <v>717.93</v>
      </c>
      <c r="I219">
        <v>10</v>
      </c>
      <c r="J219" s="21">
        <v>71.790000000000006</v>
      </c>
      <c r="K219">
        <v>5</v>
      </c>
      <c r="L219" s="21">
        <v>32.31</v>
      </c>
      <c r="M219" s="21">
        <v>678.45</v>
      </c>
      <c r="N219" s="21">
        <v>525.45000000000005</v>
      </c>
      <c r="O219" s="21">
        <v>120.69</v>
      </c>
      <c r="P219" t="s">
        <v>121</v>
      </c>
      <c r="Q219" t="s">
        <v>120</v>
      </c>
      <c r="R219" t="s">
        <v>151</v>
      </c>
      <c r="S219" t="s">
        <v>356</v>
      </c>
      <c r="T219" t="s">
        <v>161</v>
      </c>
      <c r="U219" t="s">
        <v>154</v>
      </c>
      <c r="V219" t="str">
        <f>IFERROR(INDEX(Products!$C:$C,MATCH(D219,Products!$A:$A,0)),"Unknown")</f>
        <v>Kids Wear</v>
      </c>
      <c r="W219" t="str">
        <f>IFERROR(INDEX(Products!$E:$E,MATCH(D219,Products!$A:$A,0)),"Unknown")</f>
        <v>Sonata</v>
      </c>
      <c r="X219" t="str">
        <f>IFERROR(INDEX(Stores!$B:$B,MATCH(E219,Stores!$A:$A,0)),"Unknown")</f>
        <v>TrendMart Mangaluru Standard</v>
      </c>
      <c r="Y219" t="str">
        <f>IFERROR(INDEX(Stores!$E:$E,MATCH(E219,Stores!$A:$A,0)),"Unknown")</f>
        <v>South Zone 2</v>
      </c>
      <c r="Z219" t="str">
        <f>IFERROR(INDEX(Customers!$J:$J,MATCH(C219,Customers!$A:$A,0)),"Unknown")</f>
        <v>Regular</v>
      </c>
      <c r="AA219" t="str">
        <f t="shared" si="3"/>
        <v>2024-10</v>
      </c>
      <c r="AB219" t="str">
        <f>IFERROR(INDEX(Products!$I:$I,MATCH(D219,Products!$A:$A,0)),"Unknown")</f>
        <v>SUP089</v>
      </c>
    </row>
    <row r="220" spans="1:28" x14ac:dyDescent="0.25">
      <c r="A220" t="s">
        <v>1009</v>
      </c>
      <c r="B220" s="20">
        <v>45385</v>
      </c>
      <c r="C220" t="s">
        <v>1010</v>
      </c>
      <c r="D220" t="s">
        <v>220</v>
      </c>
      <c r="E220" t="s">
        <v>470</v>
      </c>
      <c r="F220" t="s">
        <v>170</v>
      </c>
      <c r="G220">
        <v>2</v>
      </c>
      <c r="H220" s="21">
        <v>5513.74</v>
      </c>
      <c r="I220">
        <v>10</v>
      </c>
      <c r="J220" s="21">
        <v>1102.75</v>
      </c>
      <c r="K220">
        <v>12</v>
      </c>
      <c r="L220" s="21">
        <v>1190.97</v>
      </c>
      <c r="M220" s="21">
        <v>11115.7</v>
      </c>
      <c r="N220" s="21">
        <v>7941.72</v>
      </c>
      <c r="O220" s="21">
        <v>1983.01</v>
      </c>
      <c r="P220" t="s">
        <v>126</v>
      </c>
      <c r="Q220" t="s">
        <v>120</v>
      </c>
      <c r="R220" t="s">
        <v>151</v>
      </c>
      <c r="S220" t="s">
        <v>1011</v>
      </c>
      <c r="T220" t="s">
        <v>153</v>
      </c>
      <c r="U220" t="s">
        <v>154</v>
      </c>
      <c r="V220" t="str">
        <f>IFERROR(INDEX(Products!$C:$C,MATCH(D220,Products!$A:$A,0)),"Unknown")</f>
        <v>Watches</v>
      </c>
      <c r="W220" t="str">
        <f>IFERROR(INDEX(Products!$E:$E,MATCH(D220,Products!$A:$A,0)),"Unknown")</f>
        <v>Global Desi</v>
      </c>
      <c r="X220" t="str">
        <f>IFERROR(INDEX(Stores!$B:$B,MATCH(E220,Stores!$A:$A,0)),"Unknown")</f>
        <v>TrendMart Thiruvananthapuram High Street</v>
      </c>
      <c r="Y220" t="str">
        <f>IFERROR(INDEX(Stores!$E:$E,MATCH(E220,Stores!$A:$A,0)),"Unknown")</f>
        <v>South Zone 1</v>
      </c>
      <c r="Z220" t="str">
        <f>IFERROR(INDEX(Customers!$J:$J,MATCH(C220,Customers!$A:$A,0)),"Unknown")</f>
        <v>Silver</v>
      </c>
      <c r="AA220" t="str">
        <f t="shared" si="3"/>
        <v>2024-04</v>
      </c>
      <c r="AB220" t="str">
        <f>IFERROR(INDEX(Products!$I:$I,MATCH(D220,Products!$A:$A,0)),"Unknown")</f>
        <v>SUP055</v>
      </c>
    </row>
    <row r="221" spans="1:28" x14ac:dyDescent="0.25">
      <c r="A221" t="s">
        <v>1012</v>
      </c>
      <c r="B221" s="20">
        <v>45716</v>
      </c>
      <c r="C221" t="s">
        <v>1013</v>
      </c>
      <c r="D221" t="s">
        <v>502</v>
      </c>
      <c r="E221" t="s">
        <v>823</v>
      </c>
      <c r="F221" t="s">
        <v>297</v>
      </c>
      <c r="G221">
        <v>1</v>
      </c>
      <c r="H221" s="21">
        <v>2950.31</v>
      </c>
      <c r="I221">
        <v>15</v>
      </c>
      <c r="J221" s="21">
        <v>442.55</v>
      </c>
      <c r="K221">
        <v>12</v>
      </c>
      <c r="L221" s="21">
        <v>300.93</v>
      </c>
      <c r="M221" s="21">
        <v>2808.69</v>
      </c>
      <c r="N221" s="21">
        <v>2151.34</v>
      </c>
      <c r="O221" s="21">
        <v>356.42</v>
      </c>
      <c r="P221" t="s">
        <v>121</v>
      </c>
      <c r="Q221" t="s">
        <v>120</v>
      </c>
      <c r="R221" t="s">
        <v>313</v>
      </c>
      <c r="S221" t="s">
        <v>1014</v>
      </c>
      <c r="T221" t="s">
        <v>153</v>
      </c>
      <c r="U221" t="s">
        <v>154</v>
      </c>
      <c r="V221" t="str">
        <f>IFERROR(INDEX(Products!$C:$C,MATCH(D221,Products!$A:$A,0)),"Unknown")</f>
        <v>Handbags</v>
      </c>
      <c r="W221" t="str">
        <f>IFERROR(INDEX(Products!$E:$E,MATCH(D221,Products!$A:$A,0)),"Unknown")</f>
        <v>Libas</v>
      </c>
      <c r="X221" t="str">
        <f>IFERROR(INDEX(Stores!$B:$B,MATCH(E221,Stores!$A:$A,0)),"Unknown")</f>
        <v>TrendMart Thoothukudi Mall Kiosk</v>
      </c>
      <c r="Y221" t="str">
        <f>IFERROR(INDEX(Stores!$E:$E,MATCH(E221,Stores!$A:$A,0)),"Unknown")</f>
        <v>South Zone 1</v>
      </c>
      <c r="Z221" t="str">
        <f>IFERROR(INDEX(Customers!$J:$J,MATCH(C221,Customers!$A:$A,0)),"Unknown")</f>
        <v>Regular</v>
      </c>
      <c r="AA221" t="str">
        <f t="shared" si="3"/>
        <v>2025-02</v>
      </c>
      <c r="AB221" t="str">
        <f>IFERROR(INDEX(Products!$I:$I,MATCH(D221,Products!$A:$A,0)),"Unknown")</f>
        <v>SUP070</v>
      </c>
    </row>
    <row r="222" spans="1:28" x14ac:dyDescent="0.25">
      <c r="A222" t="s">
        <v>1015</v>
      </c>
      <c r="B222" s="20">
        <v>45586</v>
      </c>
      <c r="C222" t="s">
        <v>976</v>
      </c>
      <c r="D222" t="s">
        <v>1016</v>
      </c>
      <c r="E222" t="s">
        <v>1017</v>
      </c>
      <c r="F222" t="s">
        <v>579</v>
      </c>
      <c r="G222">
        <v>2</v>
      </c>
      <c r="H222" s="21">
        <v>5469.15</v>
      </c>
      <c r="I222">
        <v>10</v>
      </c>
      <c r="J222" s="21">
        <v>1093.83</v>
      </c>
      <c r="K222">
        <v>12</v>
      </c>
      <c r="L222" s="21">
        <v>1181.3399999999999</v>
      </c>
      <c r="M222" s="21">
        <v>11025.81</v>
      </c>
      <c r="N222" s="21">
        <v>7324.74</v>
      </c>
      <c r="O222" s="21">
        <v>2519.73</v>
      </c>
      <c r="P222" t="s">
        <v>124</v>
      </c>
      <c r="Q222" t="s">
        <v>122</v>
      </c>
      <c r="R222" t="s">
        <v>151</v>
      </c>
      <c r="S222" t="s">
        <v>1018</v>
      </c>
      <c r="T222" t="s">
        <v>153</v>
      </c>
      <c r="U222" t="s">
        <v>154</v>
      </c>
      <c r="V222" t="str">
        <f>IFERROR(INDEX(Products!$C:$C,MATCH(D222,Products!$A:$A,0)),"Unknown")</f>
        <v>Watches</v>
      </c>
      <c r="W222" t="str">
        <f>IFERROR(INDEX(Products!$E:$E,MATCH(D222,Products!$A:$A,0)),"Unknown")</f>
        <v>Pantaloons</v>
      </c>
      <c r="X222" t="str">
        <f>IFERROR(INDEX(Stores!$B:$B,MATCH(E222,Stores!$A:$A,0)),"Unknown")</f>
        <v>TrendMart Mangaluru Standard</v>
      </c>
      <c r="Y222" t="str">
        <f>IFERROR(INDEX(Stores!$E:$E,MATCH(E222,Stores!$A:$A,0)),"Unknown")</f>
        <v>South Zone 2</v>
      </c>
      <c r="Z222" t="str">
        <f>IFERROR(INDEX(Customers!$J:$J,MATCH(C222,Customers!$A:$A,0)),"Unknown")</f>
        <v>Gold</v>
      </c>
      <c r="AA222" t="str">
        <f t="shared" si="3"/>
        <v>2024-10</v>
      </c>
      <c r="AB222" t="str">
        <f>IFERROR(INDEX(Products!$I:$I,MATCH(D222,Products!$A:$A,0)),"Unknown")</f>
        <v>SUP007</v>
      </c>
    </row>
    <row r="223" spans="1:28" x14ac:dyDescent="0.25">
      <c r="A223" t="s">
        <v>1019</v>
      </c>
      <c r="B223" s="20">
        <v>45399</v>
      </c>
      <c r="C223" t="s">
        <v>338</v>
      </c>
      <c r="D223" t="s">
        <v>858</v>
      </c>
      <c r="E223" t="s">
        <v>200</v>
      </c>
      <c r="F223" t="s">
        <v>242</v>
      </c>
      <c r="G223">
        <v>2</v>
      </c>
      <c r="H223" s="21">
        <v>685.18</v>
      </c>
      <c r="I223">
        <v>15</v>
      </c>
      <c r="J223" s="21">
        <v>205.55</v>
      </c>
      <c r="K223">
        <v>5</v>
      </c>
      <c r="L223" s="21">
        <v>58.24</v>
      </c>
      <c r="M223" s="21">
        <v>1223.05</v>
      </c>
      <c r="N223" s="21">
        <v>1050.9000000000001</v>
      </c>
      <c r="O223" s="21">
        <v>113.91</v>
      </c>
      <c r="P223" t="s">
        <v>121</v>
      </c>
      <c r="Q223" t="s">
        <v>122</v>
      </c>
      <c r="R223" t="s">
        <v>151</v>
      </c>
      <c r="S223" t="s">
        <v>1020</v>
      </c>
      <c r="T223" t="s">
        <v>153</v>
      </c>
      <c r="U223" t="s">
        <v>154</v>
      </c>
      <c r="V223" t="str">
        <f>IFERROR(INDEX(Products!$C:$C,MATCH(D223,Products!$A:$A,0)),"Unknown")</f>
        <v>Kids Wear</v>
      </c>
      <c r="W223" t="str">
        <f>IFERROR(INDEX(Products!$E:$E,MATCH(D223,Products!$A:$A,0)),"Unknown")</f>
        <v>Sonata</v>
      </c>
      <c r="X223" t="str">
        <f>IFERROR(INDEX(Stores!$B:$B,MATCH(E223,Stores!$A:$A,0)),"Unknown")</f>
        <v>TrendMart Kozhikode Standard</v>
      </c>
      <c r="Y223" t="str">
        <f>IFERROR(INDEX(Stores!$E:$E,MATCH(E223,Stores!$A:$A,0)),"Unknown")</f>
        <v>South Zone 1</v>
      </c>
      <c r="Z223" t="str">
        <f>IFERROR(INDEX(Customers!$J:$J,MATCH(C223,Customers!$A:$A,0)),"Unknown")</f>
        <v>Platinum</v>
      </c>
      <c r="AA223" t="str">
        <f t="shared" si="3"/>
        <v>2024-04</v>
      </c>
      <c r="AB223" t="str">
        <f>IFERROR(INDEX(Products!$I:$I,MATCH(D223,Products!$A:$A,0)),"Unknown")</f>
        <v>SUP089</v>
      </c>
    </row>
    <row r="224" spans="1:28" x14ac:dyDescent="0.25">
      <c r="A224" t="s">
        <v>1021</v>
      </c>
      <c r="B224" s="20">
        <v>45592</v>
      </c>
      <c r="C224" t="s">
        <v>1022</v>
      </c>
      <c r="D224" t="s">
        <v>285</v>
      </c>
      <c r="E224" t="s">
        <v>1023</v>
      </c>
      <c r="F224" t="s">
        <v>532</v>
      </c>
      <c r="G224">
        <v>2</v>
      </c>
      <c r="H224" s="21">
        <v>847.41</v>
      </c>
      <c r="I224">
        <v>10</v>
      </c>
      <c r="J224" s="21">
        <v>169.48</v>
      </c>
      <c r="K224">
        <v>5</v>
      </c>
      <c r="L224" s="21">
        <v>76.27</v>
      </c>
      <c r="M224" s="21">
        <v>1601.61</v>
      </c>
      <c r="N224" s="21">
        <v>998.62</v>
      </c>
      <c r="O224" s="21">
        <v>526.72</v>
      </c>
      <c r="P224" t="s">
        <v>123</v>
      </c>
      <c r="Q224" t="s">
        <v>120</v>
      </c>
      <c r="R224" t="s">
        <v>151</v>
      </c>
      <c r="S224" t="s">
        <v>1024</v>
      </c>
      <c r="T224" t="s">
        <v>161</v>
      </c>
      <c r="U224" t="s">
        <v>154</v>
      </c>
      <c r="V224" t="str">
        <f>IFERROR(INDEX(Products!$C:$C,MATCH(D224,Products!$A:$A,0)),"Unknown")</f>
        <v>Kids Wear</v>
      </c>
      <c r="W224" t="str">
        <f>IFERROR(INDEX(Products!$E:$E,MATCH(D224,Products!$A:$A,0)),"Unknown")</f>
        <v>Global Desi</v>
      </c>
      <c r="X224" t="str">
        <f>IFERROR(INDEX(Stores!$B:$B,MATCH(E224,Stores!$A:$A,0)),"Unknown")</f>
        <v>TrendMart Kochi High Street</v>
      </c>
      <c r="Y224" t="str">
        <f>IFERROR(INDEX(Stores!$E:$E,MATCH(E224,Stores!$A:$A,0)),"Unknown")</f>
        <v>South Zone 1</v>
      </c>
      <c r="Z224" t="str">
        <f>IFERROR(INDEX(Customers!$J:$J,MATCH(C224,Customers!$A:$A,0)),"Unknown")</f>
        <v>Gold</v>
      </c>
      <c r="AA224" t="str">
        <f t="shared" si="3"/>
        <v>2024-10</v>
      </c>
      <c r="AB224" t="str">
        <f>IFERROR(INDEX(Products!$I:$I,MATCH(D224,Products!$A:$A,0)),"Unknown")</f>
        <v>SUP008</v>
      </c>
    </row>
    <row r="225" spans="1:28" x14ac:dyDescent="0.25">
      <c r="A225" t="s">
        <v>1025</v>
      </c>
      <c r="B225" s="20">
        <v>45499</v>
      </c>
      <c r="C225" t="s">
        <v>306</v>
      </c>
      <c r="D225" t="s">
        <v>1026</v>
      </c>
      <c r="E225" t="s">
        <v>86</v>
      </c>
      <c r="F225" t="s">
        <v>242</v>
      </c>
      <c r="G225">
        <v>2</v>
      </c>
      <c r="H225" s="21">
        <v>1385.84</v>
      </c>
      <c r="I225">
        <v>0</v>
      </c>
      <c r="J225" s="21">
        <v>0</v>
      </c>
      <c r="K225">
        <v>12</v>
      </c>
      <c r="L225" s="21">
        <v>332.6</v>
      </c>
      <c r="M225" s="21">
        <v>3104.28</v>
      </c>
      <c r="N225" s="21">
        <v>1924.34</v>
      </c>
      <c r="O225" s="21">
        <v>847.34</v>
      </c>
      <c r="P225" t="s">
        <v>126</v>
      </c>
      <c r="Q225" t="s">
        <v>120</v>
      </c>
      <c r="R225" t="s">
        <v>151</v>
      </c>
      <c r="S225" t="s">
        <v>1027</v>
      </c>
      <c r="T225" t="s">
        <v>153</v>
      </c>
      <c r="U225" t="s">
        <v>154</v>
      </c>
      <c r="V225" t="str">
        <f>IFERROR(INDEX(Products!$C:$C,MATCH(D225,Products!$A:$A,0)),"Unknown")</f>
        <v>Women Sarees</v>
      </c>
      <c r="W225" t="str">
        <f>IFERROR(INDEX(Products!$E:$E,MATCH(D225,Products!$A:$A,0)),"Unknown")</f>
        <v>Spykar</v>
      </c>
      <c r="X225" t="str">
        <f>IFERROR(INDEX(Stores!$B:$B,MATCH(E225,Stores!$A:$A,0)),"Unknown")</f>
        <v>TrendMart Warangal High Street</v>
      </c>
      <c r="Y225" t="str">
        <f>IFERROR(INDEX(Stores!$E:$E,MATCH(E225,Stores!$A:$A,0)),"Unknown")</f>
        <v>South Zone 2</v>
      </c>
      <c r="Z225" t="str">
        <f>IFERROR(INDEX(Customers!$J:$J,MATCH(C225,Customers!$A:$A,0)),"Unknown")</f>
        <v>Gold</v>
      </c>
      <c r="AA225" t="str">
        <f t="shared" si="3"/>
        <v>2024-07</v>
      </c>
      <c r="AB225" t="str">
        <f>IFERROR(INDEX(Products!$I:$I,MATCH(D225,Products!$A:$A,0)),"Unknown")</f>
        <v>SUP001</v>
      </c>
    </row>
    <row r="226" spans="1:28" x14ac:dyDescent="0.25">
      <c r="A226" t="s">
        <v>1028</v>
      </c>
      <c r="B226" s="20">
        <v>45728</v>
      </c>
      <c r="C226" t="s">
        <v>1029</v>
      </c>
      <c r="D226" t="s">
        <v>769</v>
      </c>
      <c r="E226" t="s">
        <v>89</v>
      </c>
      <c r="F226" t="s">
        <v>596</v>
      </c>
      <c r="G226">
        <v>4</v>
      </c>
      <c r="H226" s="21">
        <v>1638.03</v>
      </c>
      <c r="I226">
        <v>10</v>
      </c>
      <c r="J226" s="21">
        <v>655.21</v>
      </c>
      <c r="K226">
        <v>12</v>
      </c>
      <c r="L226" s="21">
        <v>707.63</v>
      </c>
      <c r="M226" s="21">
        <v>6604.54</v>
      </c>
      <c r="N226" s="21">
        <v>4460.76</v>
      </c>
      <c r="O226" s="21">
        <v>1436.15</v>
      </c>
      <c r="P226" t="s">
        <v>125</v>
      </c>
      <c r="Q226" t="s">
        <v>122</v>
      </c>
      <c r="R226" t="s">
        <v>151</v>
      </c>
      <c r="S226" t="s">
        <v>254</v>
      </c>
      <c r="T226" t="s">
        <v>153</v>
      </c>
      <c r="U226" t="s">
        <v>154</v>
      </c>
      <c r="V226" t="str">
        <f>IFERROR(INDEX(Products!$C:$C,MATCH(D226,Products!$A:$A,0)),"Unknown")</f>
        <v>Sportswear</v>
      </c>
      <c r="W226" t="str">
        <f>IFERROR(INDEX(Products!$E:$E,MATCH(D226,Products!$A:$A,0)),"Unknown")</f>
        <v>Allen Solly</v>
      </c>
      <c r="X226" t="str">
        <f>IFERROR(INDEX(Stores!$B:$B,MATCH(E226,Stores!$A:$A,0)),"Unknown")</f>
        <v>TrendMart Kochi Standard</v>
      </c>
      <c r="Y226" t="str">
        <f>IFERROR(INDEX(Stores!$E:$E,MATCH(E226,Stores!$A:$A,0)),"Unknown")</f>
        <v>South Zone 1</v>
      </c>
      <c r="Z226" t="str">
        <f>IFERROR(INDEX(Customers!$J:$J,MATCH(C226,Customers!$A:$A,0)),"Unknown")</f>
        <v>Gold</v>
      </c>
      <c r="AA226" t="str">
        <f t="shared" si="3"/>
        <v>2025-03</v>
      </c>
      <c r="AB226" t="str">
        <f>IFERROR(INDEX(Products!$I:$I,MATCH(D226,Products!$A:$A,0)),"Unknown")</f>
        <v>SUP029</v>
      </c>
    </row>
    <row r="227" spans="1:28" x14ac:dyDescent="0.25">
      <c r="A227" t="s">
        <v>1030</v>
      </c>
      <c r="B227" s="20">
        <v>45494</v>
      </c>
      <c r="C227" t="s">
        <v>553</v>
      </c>
      <c r="D227" t="s">
        <v>573</v>
      </c>
      <c r="E227" t="s">
        <v>318</v>
      </c>
      <c r="F227" t="s">
        <v>221</v>
      </c>
      <c r="G227">
        <v>3</v>
      </c>
      <c r="H227" s="21">
        <v>1123.56</v>
      </c>
      <c r="I227">
        <v>10</v>
      </c>
      <c r="J227" s="21">
        <v>337.07</v>
      </c>
      <c r="K227">
        <v>12</v>
      </c>
      <c r="L227" s="21">
        <v>364.03</v>
      </c>
      <c r="M227" s="21">
        <v>3397.64</v>
      </c>
      <c r="N227" s="21">
        <v>2161.59</v>
      </c>
      <c r="O227" s="21">
        <v>872.02</v>
      </c>
      <c r="P227" t="s">
        <v>126</v>
      </c>
      <c r="Q227" t="s">
        <v>120</v>
      </c>
      <c r="R227" t="s">
        <v>151</v>
      </c>
      <c r="S227" t="s">
        <v>1031</v>
      </c>
      <c r="T227" t="s">
        <v>161</v>
      </c>
      <c r="U227" t="s">
        <v>154</v>
      </c>
      <c r="V227" t="str">
        <f>IFERROR(INDEX(Products!$C:$C,MATCH(D227,Products!$A:$A,0)),"Unknown")</f>
        <v>Women Jeans</v>
      </c>
      <c r="W227" t="str">
        <f>IFERROR(INDEX(Products!$E:$E,MATCH(D227,Products!$A:$A,0)),"Unknown")</f>
        <v>Sonata</v>
      </c>
      <c r="X227" t="str">
        <f>IFERROR(INDEX(Stores!$B:$B,MATCH(E227,Stores!$A:$A,0)),"Unknown")</f>
        <v>TrendMart Guntur Outlet</v>
      </c>
      <c r="Y227" t="str">
        <f>IFERROR(INDEX(Stores!$E:$E,MATCH(E227,Stores!$A:$A,0)),"Unknown")</f>
        <v>South Zone 3</v>
      </c>
      <c r="Z227" t="str">
        <f>IFERROR(INDEX(Customers!$J:$J,MATCH(C227,Customers!$A:$A,0)),"Unknown")</f>
        <v>Silver</v>
      </c>
      <c r="AA227" t="str">
        <f t="shared" si="3"/>
        <v>2024-07</v>
      </c>
      <c r="AB227" t="str">
        <f>IFERROR(INDEX(Products!$I:$I,MATCH(D227,Products!$A:$A,0)),"Unknown")</f>
        <v>SUP017</v>
      </c>
    </row>
    <row r="228" spans="1:28" x14ac:dyDescent="0.25">
      <c r="A228" t="s">
        <v>1032</v>
      </c>
      <c r="B228" s="20">
        <v>45624</v>
      </c>
      <c r="C228" t="s">
        <v>1033</v>
      </c>
      <c r="D228" t="s">
        <v>573</v>
      </c>
      <c r="E228" t="s">
        <v>477</v>
      </c>
      <c r="F228" t="s">
        <v>397</v>
      </c>
      <c r="G228">
        <v>3</v>
      </c>
      <c r="H228" s="21">
        <v>999.78</v>
      </c>
      <c r="I228">
        <v>25</v>
      </c>
      <c r="J228" s="21">
        <v>749.84</v>
      </c>
      <c r="K228">
        <v>5</v>
      </c>
      <c r="L228" s="21">
        <v>112.47</v>
      </c>
      <c r="M228" s="21">
        <v>2361.9699999999998</v>
      </c>
      <c r="N228" s="21">
        <v>2161.59</v>
      </c>
      <c r="O228" s="21">
        <v>87.91</v>
      </c>
      <c r="P228" t="s">
        <v>124</v>
      </c>
      <c r="Q228" t="s">
        <v>120</v>
      </c>
      <c r="R228" t="s">
        <v>151</v>
      </c>
      <c r="S228" t="s">
        <v>233</v>
      </c>
      <c r="T228" t="s">
        <v>153</v>
      </c>
      <c r="U228" t="s">
        <v>154</v>
      </c>
      <c r="V228" t="str">
        <f>IFERROR(INDEX(Products!$C:$C,MATCH(D228,Products!$A:$A,0)),"Unknown")</f>
        <v>Women Jeans</v>
      </c>
      <c r="W228" t="str">
        <f>IFERROR(INDEX(Products!$E:$E,MATCH(D228,Products!$A:$A,0)),"Unknown")</f>
        <v>Sonata</v>
      </c>
      <c r="X228" t="str">
        <f>IFERROR(INDEX(Stores!$B:$B,MATCH(E228,Stores!$A:$A,0)),"Unknown")</f>
        <v>TrendMart Hubballi Standard</v>
      </c>
      <c r="Y228" t="str">
        <f>IFERROR(INDEX(Stores!$E:$E,MATCH(E228,Stores!$A:$A,0)),"Unknown")</f>
        <v>South Zone 2</v>
      </c>
      <c r="Z228" t="str">
        <f>IFERROR(INDEX(Customers!$J:$J,MATCH(C228,Customers!$A:$A,0)),"Unknown")</f>
        <v>Platinum</v>
      </c>
      <c r="AA228" t="str">
        <f t="shared" si="3"/>
        <v>2024-11</v>
      </c>
      <c r="AB228" t="str">
        <f>IFERROR(INDEX(Products!$I:$I,MATCH(D228,Products!$A:$A,0)),"Unknown")</f>
        <v>SUP017</v>
      </c>
    </row>
    <row r="229" spans="1:28" x14ac:dyDescent="0.25">
      <c r="A229" t="s">
        <v>1034</v>
      </c>
      <c r="B229" s="20">
        <v>45573</v>
      </c>
      <c r="C229" t="s">
        <v>1035</v>
      </c>
      <c r="D229" t="s">
        <v>1036</v>
      </c>
      <c r="E229" t="s">
        <v>355</v>
      </c>
      <c r="F229" t="s">
        <v>195</v>
      </c>
      <c r="G229">
        <v>1</v>
      </c>
      <c r="H229" s="21">
        <v>840.15</v>
      </c>
      <c r="I229">
        <v>20</v>
      </c>
      <c r="J229" s="21">
        <v>168.03</v>
      </c>
      <c r="K229">
        <v>5</v>
      </c>
      <c r="L229" s="21">
        <v>33.61</v>
      </c>
      <c r="M229" s="21">
        <v>705.73</v>
      </c>
      <c r="N229" s="21">
        <v>590.02</v>
      </c>
      <c r="O229" s="21">
        <v>82.1</v>
      </c>
      <c r="P229" t="s">
        <v>123</v>
      </c>
      <c r="Q229" t="s">
        <v>120</v>
      </c>
      <c r="R229" t="s">
        <v>151</v>
      </c>
      <c r="S229" t="s">
        <v>248</v>
      </c>
      <c r="T229" t="s">
        <v>153</v>
      </c>
      <c r="U229" t="s">
        <v>154</v>
      </c>
      <c r="V229" t="str">
        <f>IFERROR(INDEX(Products!$C:$C,MATCH(D229,Products!$A:$A,0)),"Unknown")</f>
        <v>Belts</v>
      </c>
      <c r="W229" t="str">
        <f>IFERROR(INDEX(Products!$E:$E,MATCH(D229,Products!$A:$A,0)),"Unknown")</f>
        <v>Skechers</v>
      </c>
      <c r="X229" t="str">
        <f>IFERROR(INDEX(Stores!$B:$B,MATCH(E229,Stores!$A:$A,0)),"Unknown")</f>
        <v>TrendMart Thiruvananthapuram High Street</v>
      </c>
      <c r="Y229" t="str">
        <f>IFERROR(INDEX(Stores!$E:$E,MATCH(E229,Stores!$A:$A,0)),"Unknown")</f>
        <v>South Zone 1</v>
      </c>
      <c r="Z229" t="str">
        <f>IFERROR(INDEX(Customers!$J:$J,MATCH(C229,Customers!$A:$A,0)),"Unknown")</f>
        <v>Regular</v>
      </c>
      <c r="AA229" t="str">
        <f t="shared" si="3"/>
        <v>2024-10</v>
      </c>
      <c r="AB229" t="str">
        <f>IFERROR(INDEX(Products!$I:$I,MATCH(D229,Products!$A:$A,0)),"Unknown")</f>
        <v>SUP085</v>
      </c>
    </row>
    <row r="230" spans="1:28" x14ac:dyDescent="0.25">
      <c r="A230" t="s">
        <v>1037</v>
      </c>
      <c r="B230" s="20">
        <v>45652</v>
      </c>
      <c r="C230" t="s">
        <v>1038</v>
      </c>
      <c r="D230" t="s">
        <v>531</v>
      </c>
      <c r="E230" t="s">
        <v>85</v>
      </c>
      <c r="F230" t="s">
        <v>221</v>
      </c>
      <c r="G230">
        <v>1</v>
      </c>
      <c r="H230" s="21">
        <v>3044.82</v>
      </c>
      <c r="I230">
        <v>0</v>
      </c>
      <c r="J230" s="21">
        <v>0</v>
      </c>
      <c r="K230">
        <v>12</v>
      </c>
      <c r="L230" s="21">
        <v>365.38</v>
      </c>
      <c r="M230" s="21">
        <v>3410.2</v>
      </c>
      <c r="N230" s="21">
        <v>2034.01</v>
      </c>
      <c r="O230" s="21">
        <v>1010.81</v>
      </c>
      <c r="P230" t="s">
        <v>127</v>
      </c>
      <c r="Q230" t="s">
        <v>122</v>
      </c>
      <c r="R230" t="s">
        <v>313</v>
      </c>
      <c r="S230" t="s">
        <v>264</v>
      </c>
      <c r="T230" t="s">
        <v>153</v>
      </c>
      <c r="U230" t="s">
        <v>154</v>
      </c>
      <c r="V230" t="str">
        <f>IFERROR(INDEX(Products!$C:$C,MATCH(D230,Products!$A:$A,0)),"Unknown")</f>
        <v>Handbags</v>
      </c>
      <c r="W230" t="str">
        <f>IFERROR(INDEX(Products!$E:$E,MATCH(D230,Products!$A:$A,0)),"Unknown")</f>
        <v>GRT Jewellers</v>
      </c>
      <c r="X230" t="str">
        <f>IFERROR(INDEX(Stores!$B:$B,MATCH(E230,Stores!$A:$A,0)),"Unknown")</f>
        <v>TrendMart Kalaburagi Mall Kiosk</v>
      </c>
      <c r="Y230" t="str">
        <f>IFERROR(INDEX(Stores!$E:$E,MATCH(E230,Stores!$A:$A,0)),"Unknown")</f>
        <v>South Zone 2</v>
      </c>
      <c r="Z230" t="str">
        <f>IFERROR(INDEX(Customers!$J:$J,MATCH(C230,Customers!$A:$A,0)),"Unknown")</f>
        <v>Regular</v>
      </c>
      <c r="AA230" t="str">
        <f t="shared" si="3"/>
        <v>2024-12</v>
      </c>
      <c r="AB230" t="str">
        <f>IFERROR(INDEX(Products!$I:$I,MATCH(D230,Products!$A:$A,0)),"Unknown")</f>
        <v>SUP047</v>
      </c>
    </row>
    <row r="231" spans="1:28" x14ac:dyDescent="0.25">
      <c r="A231" t="s">
        <v>1039</v>
      </c>
      <c r="B231" s="20">
        <v>45572</v>
      </c>
      <c r="C231" t="s">
        <v>1040</v>
      </c>
      <c r="D231" t="s">
        <v>1041</v>
      </c>
      <c r="E231" t="s">
        <v>262</v>
      </c>
      <c r="F231" t="s">
        <v>258</v>
      </c>
      <c r="G231">
        <v>2</v>
      </c>
      <c r="H231" s="21">
        <v>1171</v>
      </c>
      <c r="I231">
        <v>10</v>
      </c>
      <c r="J231" s="21">
        <v>234.2</v>
      </c>
      <c r="K231">
        <v>12</v>
      </c>
      <c r="L231" s="21">
        <v>252.94</v>
      </c>
      <c r="M231" s="21">
        <v>2360.7399999999998</v>
      </c>
      <c r="N231" s="21">
        <v>1471.7</v>
      </c>
      <c r="O231" s="21">
        <v>636.1</v>
      </c>
      <c r="P231" t="s">
        <v>126</v>
      </c>
      <c r="Q231" t="s">
        <v>120</v>
      </c>
      <c r="R231" t="s">
        <v>151</v>
      </c>
      <c r="S231" t="s">
        <v>580</v>
      </c>
      <c r="T231" t="s">
        <v>153</v>
      </c>
      <c r="U231" t="s">
        <v>154</v>
      </c>
      <c r="V231" t="str">
        <f>IFERROR(INDEX(Products!$C:$C,MATCH(D231,Products!$A:$A,0)),"Unknown")</f>
        <v>Sportswear</v>
      </c>
      <c r="W231" t="str">
        <f>IFERROR(INDEX(Products!$E:$E,MATCH(D231,Products!$A:$A,0)),"Unknown")</f>
        <v>Blackberrys</v>
      </c>
      <c r="X231" t="str">
        <f>IFERROR(INDEX(Stores!$B:$B,MATCH(E231,Stores!$A:$A,0)),"Unknown")</f>
        <v>TrendMart Thoothukudi Outlet</v>
      </c>
      <c r="Y231" t="str">
        <f>IFERROR(INDEX(Stores!$E:$E,MATCH(E231,Stores!$A:$A,0)),"Unknown")</f>
        <v>South Zone 1</v>
      </c>
      <c r="Z231" t="str">
        <f>IFERROR(INDEX(Customers!$J:$J,MATCH(C231,Customers!$A:$A,0)),"Unknown")</f>
        <v>Regular</v>
      </c>
      <c r="AA231" t="str">
        <f t="shared" si="3"/>
        <v>2024-10</v>
      </c>
      <c r="AB231" t="str">
        <f>IFERROR(INDEX(Products!$I:$I,MATCH(D231,Products!$A:$A,0)),"Unknown")</f>
        <v>SUP012</v>
      </c>
    </row>
    <row r="232" spans="1:28" x14ac:dyDescent="0.25">
      <c r="A232" t="s">
        <v>1042</v>
      </c>
      <c r="B232" s="20">
        <v>45400</v>
      </c>
      <c r="C232" t="s">
        <v>1043</v>
      </c>
      <c r="D232" t="s">
        <v>1044</v>
      </c>
      <c r="E232" t="s">
        <v>216</v>
      </c>
      <c r="F232" t="s">
        <v>159</v>
      </c>
      <c r="G232">
        <v>2</v>
      </c>
      <c r="H232" s="21">
        <v>544.66999999999996</v>
      </c>
      <c r="I232">
        <v>0</v>
      </c>
      <c r="J232" s="21">
        <v>0</v>
      </c>
      <c r="K232">
        <v>5</v>
      </c>
      <c r="L232" s="21">
        <v>54.47</v>
      </c>
      <c r="M232" s="21">
        <v>1143.81</v>
      </c>
      <c r="N232" s="21">
        <v>670.3</v>
      </c>
      <c r="O232" s="21">
        <v>419.04</v>
      </c>
      <c r="P232" t="s">
        <v>126</v>
      </c>
      <c r="Q232" t="s">
        <v>122</v>
      </c>
      <c r="R232" t="s">
        <v>151</v>
      </c>
      <c r="S232" t="s">
        <v>452</v>
      </c>
      <c r="T232" t="s">
        <v>153</v>
      </c>
      <c r="U232" t="s">
        <v>154</v>
      </c>
      <c r="V232" t="str">
        <f>IFERROR(INDEX(Products!$C:$C,MATCH(D232,Products!$A:$A,0)),"Unknown")</f>
        <v>Men T-Shirts</v>
      </c>
      <c r="W232" t="str">
        <f>IFERROR(INDEX(Products!$E:$E,MATCH(D232,Products!$A:$A,0)),"Unknown")</f>
        <v>Mufti</v>
      </c>
      <c r="X232" t="str">
        <f>IFERROR(INDEX(Stores!$B:$B,MATCH(E232,Stores!$A:$A,0)),"Unknown")</f>
        <v>TrendMart Madurai Mall Kiosk</v>
      </c>
      <c r="Y232" t="str">
        <f>IFERROR(INDEX(Stores!$E:$E,MATCH(E232,Stores!$A:$A,0)),"Unknown")</f>
        <v>South Zone 1</v>
      </c>
      <c r="Z232" t="str">
        <f>IFERROR(INDEX(Customers!$J:$J,MATCH(C232,Customers!$A:$A,0)),"Unknown")</f>
        <v>Silver</v>
      </c>
      <c r="AA232" t="str">
        <f t="shared" si="3"/>
        <v>2024-04</v>
      </c>
      <c r="AB232" t="str">
        <f>IFERROR(INDEX(Products!$I:$I,MATCH(D232,Products!$A:$A,0)),"Unknown")</f>
        <v>SUP042</v>
      </c>
    </row>
    <row r="233" spans="1:28" x14ac:dyDescent="0.25">
      <c r="A233" t="s">
        <v>1045</v>
      </c>
      <c r="B233" s="20">
        <v>45419</v>
      </c>
      <c r="C233" t="s">
        <v>1046</v>
      </c>
      <c r="D233" t="s">
        <v>666</v>
      </c>
      <c r="E233" t="s">
        <v>302</v>
      </c>
      <c r="F233" t="s">
        <v>308</v>
      </c>
      <c r="G233">
        <v>2</v>
      </c>
      <c r="H233" s="21">
        <v>1387</v>
      </c>
      <c r="I233">
        <v>15</v>
      </c>
      <c r="J233" s="21">
        <v>416.1</v>
      </c>
      <c r="K233">
        <v>12</v>
      </c>
      <c r="L233" s="21">
        <v>282.95</v>
      </c>
      <c r="M233" s="21">
        <v>2640.85</v>
      </c>
      <c r="N233" s="21">
        <v>1808.42</v>
      </c>
      <c r="O233" s="21">
        <v>549.48</v>
      </c>
      <c r="P233" t="s">
        <v>121</v>
      </c>
      <c r="Q233" t="s">
        <v>122</v>
      </c>
      <c r="R233" t="s">
        <v>151</v>
      </c>
      <c r="S233" t="s">
        <v>1047</v>
      </c>
      <c r="T233" t="s">
        <v>153</v>
      </c>
      <c r="U233" t="s">
        <v>154</v>
      </c>
      <c r="V233" t="str">
        <f>IFERROR(INDEX(Products!$C:$C,MATCH(D233,Products!$A:$A,0)),"Unknown")</f>
        <v>Wallets</v>
      </c>
      <c r="W233" t="str">
        <f>IFERROR(INDEX(Products!$E:$E,MATCH(D233,Products!$A:$A,0)),"Unknown")</f>
        <v>Louis Philippe</v>
      </c>
      <c r="X233" t="str">
        <f>IFERROR(INDEX(Stores!$B:$B,MATCH(E233,Stores!$A:$A,0)),"Unknown")</f>
        <v>TrendMart Visakhapatnam Standard</v>
      </c>
      <c r="Y233" t="str">
        <f>IFERROR(INDEX(Stores!$E:$E,MATCH(E233,Stores!$A:$A,0)),"Unknown")</f>
        <v>South Zone 3</v>
      </c>
      <c r="Z233" t="str">
        <f>IFERROR(INDEX(Customers!$J:$J,MATCH(C233,Customers!$A:$A,0)),"Unknown")</f>
        <v>Silver</v>
      </c>
      <c r="AA233" t="str">
        <f t="shared" si="3"/>
        <v>2024-05</v>
      </c>
      <c r="AB233" t="str">
        <f>IFERROR(INDEX(Products!$I:$I,MATCH(D233,Products!$A:$A,0)),"Unknown")</f>
        <v>SUP039</v>
      </c>
    </row>
    <row r="234" spans="1:28" x14ac:dyDescent="0.25">
      <c r="A234" t="s">
        <v>1048</v>
      </c>
      <c r="B234" s="20">
        <v>45434</v>
      </c>
      <c r="C234" t="s">
        <v>1049</v>
      </c>
      <c r="D234" t="s">
        <v>257</v>
      </c>
      <c r="E234" t="s">
        <v>391</v>
      </c>
      <c r="F234" t="s">
        <v>253</v>
      </c>
      <c r="G234">
        <v>1</v>
      </c>
      <c r="H234" s="21">
        <v>948.25</v>
      </c>
      <c r="I234">
        <v>20</v>
      </c>
      <c r="J234" s="21">
        <v>189.65</v>
      </c>
      <c r="K234">
        <v>5</v>
      </c>
      <c r="L234" s="21">
        <v>37.93</v>
      </c>
      <c r="M234" s="21">
        <v>796.53</v>
      </c>
      <c r="N234" s="21">
        <v>721.22</v>
      </c>
      <c r="O234" s="21">
        <v>37.380000000000003</v>
      </c>
      <c r="P234" t="s">
        <v>124</v>
      </c>
      <c r="Q234" t="s">
        <v>120</v>
      </c>
      <c r="R234" t="s">
        <v>151</v>
      </c>
      <c r="S234" t="s">
        <v>1050</v>
      </c>
      <c r="T234" t="s">
        <v>153</v>
      </c>
      <c r="U234" t="s">
        <v>154</v>
      </c>
      <c r="V234" t="str">
        <f>IFERROR(INDEX(Products!$C:$C,MATCH(D234,Products!$A:$A,0)),"Unknown")</f>
        <v>Men Shirts</v>
      </c>
      <c r="W234" t="str">
        <f>IFERROR(INDEX(Products!$E:$E,MATCH(D234,Products!$A:$A,0)),"Unknown")</f>
        <v>Indian Terrain</v>
      </c>
      <c r="X234" t="str">
        <f>IFERROR(INDEX(Stores!$B:$B,MATCH(E234,Stores!$A:$A,0)),"Unknown")</f>
        <v>TrendMart Warangal High Street</v>
      </c>
      <c r="Y234" t="str">
        <f>IFERROR(INDEX(Stores!$E:$E,MATCH(E234,Stores!$A:$A,0)),"Unknown")</f>
        <v>South Zone 2</v>
      </c>
      <c r="Z234" t="str">
        <f>IFERROR(INDEX(Customers!$J:$J,MATCH(C234,Customers!$A:$A,0)),"Unknown")</f>
        <v>Silver</v>
      </c>
      <c r="AA234" t="str">
        <f t="shared" si="3"/>
        <v>2024-05</v>
      </c>
      <c r="AB234" t="str">
        <f>IFERROR(INDEX(Products!$I:$I,MATCH(D234,Products!$A:$A,0)),"Unknown")</f>
        <v>SUP080</v>
      </c>
    </row>
    <row r="235" spans="1:28" x14ac:dyDescent="0.25">
      <c r="A235" t="s">
        <v>1051</v>
      </c>
      <c r="B235" s="20">
        <v>45581</v>
      </c>
      <c r="C235" t="s">
        <v>867</v>
      </c>
      <c r="D235" t="s">
        <v>1052</v>
      </c>
      <c r="E235" t="s">
        <v>1017</v>
      </c>
      <c r="F235" t="s">
        <v>232</v>
      </c>
      <c r="G235">
        <v>2</v>
      </c>
      <c r="H235" s="21">
        <v>2468.6</v>
      </c>
      <c r="I235">
        <v>0</v>
      </c>
      <c r="J235" s="21">
        <v>0</v>
      </c>
      <c r="K235">
        <v>12</v>
      </c>
      <c r="L235" s="21">
        <v>592.46</v>
      </c>
      <c r="M235" s="21">
        <v>5529.66</v>
      </c>
      <c r="N235" s="21">
        <v>3760.28</v>
      </c>
      <c r="O235" s="21">
        <v>1176.92</v>
      </c>
      <c r="P235" t="s">
        <v>124</v>
      </c>
      <c r="Q235" t="s">
        <v>120</v>
      </c>
      <c r="R235" t="s">
        <v>151</v>
      </c>
      <c r="S235" t="s">
        <v>1053</v>
      </c>
      <c r="T235" t="s">
        <v>153</v>
      </c>
      <c r="U235" t="s">
        <v>154</v>
      </c>
      <c r="V235" t="str">
        <f>IFERROR(INDEX(Products!$C:$C,MATCH(D235,Products!$A:$A,0)),"Unknown")</f>
        <v>Men Ethnic</v>
      </c>
      <c r="W235" t="str">
        <f>IFERROR(INDEX(Products!$E:$E,MATCH(D235,Products!$A:$A,0)),"Unknown")</f>
        <v>Blackberrys</v>
      </c>
      <c r="X235" t="str">
        <f>IFERROR(INDEX(Stores!$B:$B,MATCH(E235,Stores!$A:$A,0)),"Unknown")</f>
        <v>TrendMart Mangaluru Standard</v>
      </c>
      <c r="Y235" t="str">
        <f>IFERROR(INDEX(Stores!$E:$E,MATCH(E235,Stores!$A:$A,0)),"Unknown")</f>
        <v>South Zone 2</v>
      </c>
      <c r="Z235" t="str">
        <f>IFERROR(INDEX(Customers!$J:$J,MATCH(C235,Customers!$A:$A,0)),"Unknown")</f>
        <v>Silver</v>
      </c>
      <c r="AA235" t="str">
        <f t="shared" si="3"/>
        <v>2024-10</v>
      </c>
      <c r="AB235" t="str">
        <f>IFERROR(INDEX(Products!$I:$I,MATCH(D235,Products!$A:$A,0)),"Unknown")</f>
        <v>SUP020</v>
      </c>
    </row>
    <row r="236" spans="1:28" x14ac:dyDescent="0.25">
      <c r="A236" t="s">
        <v>1054</v>
      </c>
      <c r="B236" s="20">
        <v>45507</v>
      </c>
      <c r="C236" t="s">
        <v>743</v>
      </c>
      <c r="D236" t="s">
        <v>1055</v>
      </c>
      <c r="E236" t="s">
        <v>477</v>
      </c>
      <c r="F236" t="s">
        <v>308</v>
      </c>
      <c r="G236">
        <v>2</v>
      </c>
      <c r="H236" s="21">
        <v>1736.54</v>
      </c>
      <c r="I236">
        <v>20</v>
      </c>
      <c r="J236" s="21">
        <v>694.62</v>
      </c>
      <c r="K236">
        <v>12</v>
      </c>
      <c r="L236" s="21">
        <v>333.42</v>
      </c>
      <c r="M236" s="21">
        <v>3111.88</v>
      </c>
      <c r="N236" s="21">
        <v>2232.66</v>
      </c>
      <c r="O236" s="21">
        <v>545.79999999999995</v>
      </c>
      <c r="P236" t="s">
        <v>123</v>
      </c>
      <c r="Q236" t="s">
        <v>122</v>
      </c>
      <c r="R236" t="s">
        <v>151</v>
      </c>
      <c r="S236" t="s">
        <v>471</v>
      </c>
      <c r="T236" t="s">
        <v>161</v>
      </c>
      <c r="U236" t="s">
        <v>154</v>
      </c>
      <c r="V236" t="str">
        <f>IFERROR(INDEX(Products!$C:$C,MATCH(D236,Products!$A:$A,0)),"Unknown")</f>
        <v>Wallets</v>
      </c>
      <c r="W236" t="str">
        <f>IFERROR(INDEX(Products!$E:$E,MATCH(D236,Products!$A:$A,0)),"Unknown")</f>
        <v>Nalli Silks</v>
      </c>
      <c r="X236" t="str">
        <f>IFERROR(INDEX(Stores!$B:$B,MATCH(E236,Stores!$A:$A,0)),"Unknown")</f>
        <v>TrendMart Hubballi Standard</v>
      </c>
      <c r="Y236" t="str">
        <f>IFERROR(INDEX(Stores!$E:$E,MATCH(E236,Stores!$A:$A,0)),"Unknown")</f>
        <v>South Zone 2</v>
      </c>
      <c r="Z236" t="str">
        <f>IFERROR(INDEX(Customers!$J:$J,MATCH(C236,Customers!$A:$A,0)),"Unknown")</f>
        <v>Silver</v>
      </c>
      <c r="AA236" t="str">
        <f t="shared" si="3"/>
        <v>2024-08</v>
      </c>
      <c r="AB236" t="str">
        <f>IFERROR(INDEX(Products!$I:$I,MATCH(D236,Products!$A:$A,0)),"Unknown")</f>
        <v>SUP016</v>
      </c>
    </row>
    <row r="237" spans="1:28" x14ac:dyDescent="0.25">
      <c r="A237" t="s">
        <v>1056</v>
      </c>
      <c r="B237" s="20">
        <v>45482</v>
      </c>
      <c r="C237" t="s">
        <v>981</v>
      </c>
      <c r="D237" t="s">
        <v>888</v>
      </c>
      <c r="E237" t="s">
        <v>82</v>
      </c>
      <c r="F237" t="s">
        <v>382</v>
      </c>
      <c r="G237">
        <v>2</v>
      </c>
      <c r="H237" s="21">
        <v>6529.56</v>
      </c>
      <c r="I237">
        <v>5</v>
      </c>
      <c r="J237" s="21">
        <v>652.96</v>
      </c>
      <c r="K237">
        <v>3</v>
      </c>
      <c r="L237" s="21">
        <v>372.18</v>
      </c>
      <c r="M237" s="21">
        <v>12778.34</v>
      </c>
      <c r="N237" s="21">
        <v>9525.52</v>
      </c>
      <c r="O237" s="21">
        <v>2880.64</v>
      </c>
      <c r="P237" t="s">
        <v>125</v>
      </c>
      <c r="Q237" t="s">
        <v>120</v>
      </c>
      <c r="R237" t="s">
        <v>151</v>
      </c>
      <c r="S237" t="s">
        <v>1057</v>
      </c>
      <c r="T237" t="s">
        <v>153</v>
      </c>
      <c r="U237" t="s">
        <v>154</v>
      </c>
      <c r="V237" t="str">
        <f>IFERROR(INDEX(Products!$C:$C,MATCH(D237,Products!$A:$A,0)),"Unknown")</f>
        <v>Jewellery</v>
      </c>
      <c r="W237" t="str">
        <f>IFERROR(INDEX(Products!$E:$E,MATCH(D237,Products!$A:$A,0)),"Unknown")</f>
        <v>Aurelia</v>
      </c>
      <c r="X237" t="str">
        <f>IFERROR(INDEX(Stores!$B:$B,MATCH(E237,Stores!$A:$A,0)),"Unknown")</f>
        <v>TrendMart Kochi High Street</v>
      </c>
      <c r="Y237" t="str">
        <f>IFERROR(INDEX(Stores!$E:$E,MATCH(E237,Stores!$A:$A,0)),"Unknown")</f>
        <v>South Zone 1</v>
      </c>
      <c r="Z237" t="str">
        <f>IFERROR(INDEX(Customers!$J:$J,MATCH(C237,Customers!$A:$A,0)),"Unknown")</f>
        <v>Regular</v>
      </c>
      <c r="AA237" t="str">
        <f t="shared" si="3"/>
        <v>2024-07</v>
      </c>
      <c r="AB237" t="str">
        <f>IFERROR(INDEX(Products!$I:$I,MATCH(D237,Products!$A:$A,0)),"Unknown")</f>
        <v>SUP038</v>
      </c>
    </row>
    <row r="238" spans="1:28" x14ac:dyDescent="0.25">
      <c r="A238" t="s">
        <v>1058</v>
      </c>
      <c r="B238" s="20">
        <v>45391</v>
      </c>
      <c r="C238" t="s">
        <v>1033</v>
      </c>
      <c r="D238" t="s">
        <v>583</v>
      </c>
      <c r="E238" t="s">
        <v>798</v>
      </c>
      <c r="F238" t="s">
        <v>579</v>
      </c>
      <c r="G238">
        <v>1</v>
      </c>
      <c r="H238" s="21">
        <v>855.62</v>
      </c>
      <c r="I238">
        <v>20</v>
      </c>
      <c r="J238" s="21">
        <v>171.12</v>
      </c>
      <c r="K238">
        <v>5</v>
      </c>
      <c r="L238" s="21">
        <v>34.229999999999997</v>
      </c>
      <c r="M238" s="21">
        <v>718.73</v>
      </c>
      <c r="N238" s="21">
        <v>629.72</v>
      </c>
      <c r="O238" s="21">
        <v>54.78</v>
      </c>
      <c r="P238" t="s">
        <v>124</v>
      </c>
      <c r="Q238" t="s">
        <v>122</v>
      </c>
      <c r="R238" t="s">
        <v>151</v>
      </c>
      <c r="S238" t="s">
        <v>672</v>
      </c>
      <c r="T238" t="s">
        <v>153</v>
      </c>
      <c r="U238" t="s">
        <v>154</v>
      </c>
      <c r="V238" t="str">
        <f>IFERROR(INDEX(Products!$C:$C,MATCH(D238,Products!$A:$A,0)),"Unknown")</f>
        <v>Women Tops</v>
      </c>
      <c r="W238" t="str">
        <f>IFERROR(INDEX(Products!$E:$E,MATCH(D238,Products!$A:$A,0)),"Unknown")</f>
        <v>Ramraj Cotton</v>
      </c>
      <c r="X238" t="str">
        <f>IFERROR(INDEX(Stores!$B:$B,MATCH(E238,Stores!$A:$A,0)),"Unknown")</f>
        <v>TrendMart Guntur Standard</v>
      </c>
      <c r="Y238" t="str">
        <f>IFERROR(INDEX(Stores!$E:$E,MATCH(E238,Stores!$A:$A,0)),"Unknown")</f>
        <v>South Zone 3</v>
      </c>
      <c r="Z238" t="str">
        <f>IFERROR(INDEX(Customers!$J:$J,MATCH(C238,Customers!$A:$A,0)),"Unknown")</f>
        <v>Platinum</v>
      </c>
      <c r="AA238" t="str">
        <f t="shared" si="3"/>
        <v>2024-04</v>
      </c>
      <c r="AB238" t="str">
        <f>IFERROR(INDEX(Products!$I:$I,MATCH(D238,Products!$A:$A,0)),"Unknown")</f>
        <v>SUP048</v>
      </c>
    </row>
    <row r="239" spans="1:28" x14ac:dyDescent="0.25">
      <c r="A239" t="s">
        <v>1059</v>
      </c>
      <c r="B239" s="20">
        <v>45507</v>
      </c>
      <c r="C239" t="s">
        <v>611</v>
      </c>
      <c r="D239" t="s">
        <v>236</v>
      </c>
      <c r="E239" t="s">
        <v>607</v>
      </c>
      <c r="F239" t="s">
        <v>286</v>
      </c>
      <c r="G239">
        <v>2</v>
      </c>
      <c r="H239" s="21">
        <v>926.35</v>
      </c>
      <c r="I239">
        <v>5</v>
      </c>
      <c r="J239" s="21">
        <v>92.64</v>
      </c>
      <c r="K239">
        <v>5</v>
      </c>
      <c r="L239" s="21">
        <v>88</v>
      </c>
      <c r="M239" s="21">
        <v>1848.06</v>
      </c>
      <c r="N239" s="21">
        <v>1100.02</v>
      </c>
      <c r="O239" s="21">
        <v>660.04</v>
      </c>
      <c r="P239" t="s">
        <v>121</v>
      </c>
      <c r="Q239" t="s">
        <v>120</v>
      </c>
      <c r="R239" t="s">
        <v>151</v>
      </c>
      <c r="S239" t="s">
        <v>1060</v>
      </c>
      <c r="T239" t="s">
        <v>161</v>
      </c>
      <c r="U239" t="s">
        <v>154</v>
      </c>
      <c r="V239" t="str">
        <f>IFERROR(INDEX(Products!$C:$C,MATCH(D239,Products!$A:$A,0)),"Unknown")</f>
        <v>Women Tops</v>
      </c>
      <c r="W239" t="str">
        <f>IFERROR(INDEX(Products!$E:$E,MATCH(D239,Products!$A:$A,0)),"Unknown")</f>
        <v>Nike</v>
      </c>
      <c r="X239" t="str">
        <f>IFERROR(INDEX(Stores!$B:$B,MATCH(E239,Stores!$A:$A,0)),"Unknown")</f>
        <v>TrendMart Thiruvananthapuram Standard</v>
      </c>
      <c r="Y239" t="str">
        <f>IFERROR(INDEX(Stores!$E:$E,MATCH(E239,Stores!$A:$A,0)),"Unknown")</f>
        <v>South Zone 1</v>
      </c>
      <c r="Z239" t="str">
        <f>IFERROR(INDEX(Customers!$J:$J,MATCH(C239,Customers!$A:$A,0)),"Unknown")</f>
        <v>Regular</v>
      </c>
      <c r="AA239" t="str">
        <f t="shared" si="3"/>
        <v>2024-08</v>
      </c>
      <c r="AB239" t="str">
        <f>IFERROR(INDEX(Products!$I:$I,MATCH(D239,Products!$A:$A,0)),"Unknown")</f>
        <v>SUP075</v>
      </c>
    </row>
    <row r="240" spans="1:28" x14ac:dyDescent="0.25">
      <c r="A240" t="s">
        <v>1061</v>
      </c>
      <c r="B240" s="20">
        <v>45657</v>
      </c>
      <c r="C240" t="s">
        <v>1062</v>
      </c>
      <c r="D240" t="s">
        <v>1063</v>
      </c>
      <c r="E240" t="s">
        <v>848</v>
      </c>
      <c r="F240" t="s">
        <v>550</v>
      </c>
      <c r="G240">
        <v>2</v>
      </c>
      <c r="H240" s="21">
        <v>974.04</v>
      </c>
      <c r="I240">
        <v>15</v>
      </c>
      <c r="J240" s="21">
        <v>292.20999999999998</v>
      </c>
      <c r="K240">
        <v>5</v>
      </c>
      <c r="L240" s="21">
        <v>82.79</v>
      </c>
      <c r="M240" s="21">
        <v>1738.66</v>
      </c>
      <c r="N240" s="21">
        <v>1153.94</v>
      </c>
      <c r="O240" s="21">
        <v>501.93</v>
      </c>
      <c r="P240" t="s">
        <v>121</v>
      </c>
      <c r="Q240" t="s">
        <v>120</v>
      </c>
      <c r="R240" t="s">
        <v>151</v>
      </c>
      <c r="S240" t="s">
        <v>631</v>
      </c>
      <c r="T240" t="s">
        <v>153</v>
      </c>
      <c r="U240" t="s">
        <v>154</v>
      </c>
      <c r="V240" t="str">
        <f>IFERROR(INDEX(Products!$C:$C,MATCH(D240,Products!$A:$A,0)),"Unknown")</f>
        <v>Accessories</v>
      </c>
      <c r="W240" t="str">
        <f>IFERROR(INDEX(Products!$E:$E,MATCH(D240,Products!$A:$A,0)),"Unknown")</f>
        <v>Pepe Jeans</v>
      </c>
      <c r="X240" t="str">
        <f>IFERROR(INDEX(Stores!$B:$B,MATCH(E240,Stores!$A:$A,0)),"Unknown")</f>
        <v>TrendMart Shivamogga Standard</v>
      </c>
      <c r="Y240" t="str">
        <f>IFERROR(INDEX(Stores!$E:$E,MATCH(E240,Stores!$A:$A,0)),"Unknown")</f>
        <v>South Zone 2</v>
      </c>
      <c r="Z240" t="str">
        <f>IFERROR(INDEX(Customers!$J:$J,MATCH(C240,Customers!$A:$A,0)),"Unknown")</f>
        <v>Gold</v>
      </c>
      <c r="AA240" t="str">
        <f t="shared" si="3"/>
        <v>2024-12</v>
      </c>
      <c r="AB240" t="str">
        <f>IFERROR(INDEX(Products!$I:$I,MATCH(D240,Products!$A:$A,0)),"Unknown")</f>
        <v>SUP056</v>
      </c>
    </row>
    <row r="241" spans="1:28" x14ac:dyDescent="0.25">
      <c r="A241" t="s">
        <v>1064</v>
      </c>
      <c r="B241" s="20">
        <v>45432</v>
      </c>
      <c r="C241" t="s">
        <v>1065</v>
      </c>
      <c r="D241" t="s">
        <v>481</v>
      </c>
      <c r="E241" t="s">
        <v>515</v>
      </c>
      <c r="F241" t="s">
        <v>377</v>
      </c>
      <c r="G241">
        <v>1</v>
      </c>
      <c r="H241" s="21">
        <v>920.27</v>
      </c>
      <c r="I241">
        <v>10</v>
      </c>
      <c r="J241" s="21">
        <v>92.03</v>
      </c>
      <c r="K241">
        <v>5</v>
      </c>
      <c r="L241" s="21">
        <v>41.41</v>
      </c>
      <c r="M241" s="21">
        <v>869.65</v>
      </c>
      <c r="N241" s="21">
        <v>698.08</v>
      </c>
      <c r="O241" s="21">
        <v>130.16</v>
      </c>
      <c r="P241" t="s">
        <v>123</v>
      </c>
      <c r="Q241" t="s">
        <v>122</v>
      </c>
      <c r="R241" t="s">
        <v>151</v>
      </c>
      <c r="S241" t="s">
        <v>944</v>
      </c>
      <c r="T241" t="s">
        <v>153</v>
      </c>
      <c r="U241" t="s">
        <v>154</v>
      </c>
      <c r="V241" t="str">
        <f>IFERROR(INDEX(Products!$C:$C,MATCH(D241,Products!$A:$A,0)),"Unknown")</f>
        <v>Women Dresses</v>
      </c>
      <c r="W241" t="str">
        <f>IFERROR(INDEX(Products!$E:$E,MATCH(D241,Products!$A:$A,0)),"Unknown")</f>
        <v>Jack &amp; Jones</v>
      </c>
      <c r="X241" t="str">
        <f>IFERROR(INDEX(Stores!$B:$B,MATCH(E241,Stores!$A:$A,0)),"Unknown")</f>
        <v>TrendMart Kochi High Street</v>
      </c>
      <c r="Y241" t="str">
        <f>IFERROR(INDEX(Stores!$E:$E,MATCH(E241,Stores!$A:$A,0)),"Unknown")</f>
        <v>South Zone 1</v>
      </c>
      <c r="Z241" t="str">
        <f>IFERROR(INDEX(Customers!$J:$J,MATCH(C241,Customers!$A:$A,0)),"Unknown")</f>
        <v>Gold</v>
      </c>
      <c r="AA241" t="str">
        <f t="shared" si="3"/>
        <v>2024-05</v>
      </c>
      <c r="AB241" t="str">
        <f>IFERROR(INDEX(Products!$I:$I,MATCH(D241,Products!$A:$A,0)),"Unknown")</f>
        <v>SUP069</v>
      </c>
    </row>
    <row r="242" spans="1:28" x14ac:dyDescent="0.25">
      <c r="A242" t="s">
        <v>1066</v>
      </c>
      <c r="B242" s="20">
        <v>45463</v>
      </c>
      <c r="C242" t="s">
        <v>1067</v>
      </c>
      <c r="D242" t="s">
        <v>386</v>
      </c>
      <c r="E242" t="s">
        <v>1068</v>
      </c>
      <c r="F242" t="s">
        <v>253</v>
      </c>
      <c r="G242">
        <v>2</v>
      </c>
      <c r="H242" s="21">
        <v>1410.46</v>
      </c>
      <c r="I242">
        <v>10</v>
      </c>
      <c r="J242" s="21">
        <v>282.08999999999997</v>
      </c>
      <c r="K242">
        <v>12</v>
      </c>
      <c r="L242" s="21">
        <v>304.66000000000003</v>
      </c>
      <c r="M242" s="21">
        <v>2843.49</v>
      </c>
      <c r="N242" s="21">
        <v>2026.52</v>
      </c>
      <c r="O242" s="21">
        <v>512.30999999999995</v>
      </c>
      <c r="P242" t="s">
        <v>121</v>
      </c>
      <c r="Q242" t="s">
        <v>120</v>
      </c>
      <c r="R242" t="s">
        <v>151</v>
      </c>
      <c r="S242" t="s">
        <v>1069</v>
      </c>
      <c r="T242" t="s">
        <v>153</v>
      </c>
      <c r="U242" t="s">
        <v>154</v>
      </c>
      <c r="V242" t="str">
        <f>IFERROR(INDEX(Products!$C:$C,MATCH(D242,Products!$A:$A,0)),"Unknown")</f>
        <v>Winter Wear</v>
      </c>
      <c r="W242" t="str">
        <f>IFERROR(INDEX(Products!$E:$E,MATCH(D242,Products!$A:$A,0)),"Unknown")</f>
        <v>Blackberrys</v>
      </c>
      <c r="X242" t="str">
        <f>IFERROR(INDEX(Stores!$B:$B,MATCH(E242,Stores!$A:$A,0)),"Unknown")</f>
        <v>TrendMart Tumakuru High Street</v>
      </c>
      <c r="Y242" t="str">
        <f>IFERROR(INDEX(Stores!$E:$E,MATCH(E242,Stores!$A:$A,0)),"Unknown")</f>
        <v>South Zone 2</v>
      </c>
      <c r="Z242" t="str">
        <f>IFERROR(INDEX(Customers!$J:$J,MATCH(C242,Customers!$A:$A,0)),"Unknown")</f>
        <v>Gold</v>
      </c>
      <c r="AA242" t="str">
        <f t="shared" si="3"/>
        <v>2024-06</v>
      </c>
      <c r="AB242" t="str">
        <f>IFERROR(INDEX(Products!$I:$I,MATCH(D242,Products!$A:$A,0)),"Unknown")</f>
        <v>SUP051</v>
      </c>
    </row>
    <row r="243" spans="1:28" x14ac:dyDescent="0.25">
      <c r="A243" t="s">
        <v>1070</v>
      </c>
      <c r="B243" s="20">
        <v>45655</v>
      </c>
      <c r="C243" t="s">
        <v>704</v>
      </c>
      <c r="D243" t="s">
        <v>1071</v>
      </c>
      <c r="E243" t="s">
        <v>741</v>
      </c>
      <c r="F243" t="s">
        <v>408</v>
      </c>
      <c r="G243">
        <v>1</v>
      </c>
      <c r="H243" s="21">
        <v>2131.21</v>
      </c>
      <c r="I243">
        <v>5</v>
      </c>
      <c r="J243" s="21">
        <v>106.56</v>
      </c>
      <c r="K243">
        <v>12</v>
      </c>
      <c r="L243" s="21">
        <v>242.96</v>
      </c>
      <c r="M243" s="21">
        <v>2267.61</v>
      </c>
      <c r="N243" s="21">
        <v>1542.23</v>
      </c>
      <c r="O243" s="21">
        <v>482.42</v>
      </c>
      <c r="P243" t="s">
        <v>123</v>
      </c>
      <c r="Q243" t="s">
        <v>120</v>
      </c>
      <c r="R243" t="s">
        <v>151</v>
      </c>
      <c r="S243" t="s">
        <v>322</v>
      </c>
      <c r="T243" t="s">
        <v>161</v>
      </c>
      <c r="U243" t="s">
        <v>154</v>
      </c>
      <c r="V243" t="str">
        <f>IFERROR(INDEX(Products!$C:$C,MATCH(D243,Products!$A:$A,0)),"Unknown")</f>
        <v>Footwear</v>
      </c>
      <c r="W243" t="str">
        <f>IFERROR(INDEX(Products!$E:$E,MATCH(D243,Products!$A:$A,0)),"Unknown")</f>
        <v>Max Fashion</v>
      </c>
      <c r="X243" t="str">
        <f>IFERROR(INDEX(Stores!$B:$B,MATCH(E243,Stores!$A:$A,0)),"Unknown")</f>
        <v>TrendMart Nellore Mall Kiosk</v>
      </c>
      <c r="Y243" t="str">
        <f>IFERROR(INDEX(Stores!$E:$E,MATCH(E243,Stores!$A:$A,0)),"Unknown")</f>
        <v>South Zone 3</v>
      </c>
      <c r="Z243" t="str">
        <f>IFERROR(INDEX(Customers!$J:$J,MATCH(C243,Customers!$A:$A,0)),"Unknown")</f>
        <v>Silver</v>
      </c>
      <c r="AA243" t="str">
        <f t="shared" si="3"/>
        <v>2024-12</v>
      </c>
      <c r="AB243" t="str">
        <f>IFERROR(INDEX(Products!$I:$I,MATCH(D243,Products!$A:$A,0)),"Unknown")</f>
        <v>SUP039</v>
      </c>
    </row>
    <row r="244" spans="1:28" x14ac:dyDescent="0.25">
      <c r="A244" t="s">
        <v>1072</v>
      </c>
      <c r="B244" s="20">
        <v>45441</v>
      </c>
      <c r="C244" t="s">
        <v>156</v>
      </c>
      <c r="D244" t="s">
        <v>1073</v>
      </c>
      <c r="E244" t="s">
        <v>1074</v>
      </c>
      <c r="F244" t="s">
        <v>408</v>
      </c>
      <c r="G244">
        <v>1</v>
      </c>
      <c r="H244" s="21">
        <v>3293.47</v>
      </c>
      <c r="I244">
        <v>0</v>
      </c>
      <c r="J244" s="21">
        <v>0</v>
      </c>
      <c r="K244">
        <v>12</v>
      </c>
      <c r="L244" s="21">
        <v>395.22</v>
      </c>
      <c r="M244" s="21">
        <v>3688.69</v>
      </c>
      <c r="N244" s="21">
        <v>2340.46</v>
      </c>
      <c r="O244" s="21">
        <v>953.01</v>
      </c>
      <c r="P244" t="s">
        <v>125</v>
      </c>
      <c r="Q244" t="s">
        <v>120</v>
      </c>
      <c r="R244" t="s">
        <v>151</v>
      </c>
      <c r="S244" t="s">
        <v>1075</v>
      </c>
      <c r="T244" t="s">
        <v>153</v>
      </c>
      <c r="U244" t="s">
        <v>154</v>
      </c>
      <c r="V244" t="str">
        <f>IFERROR(INDEX(Products!$C:$C,MATCH(D244,Products!$A:$A,0)),"Unknown")</f>
        <v>Women Sarees</v>
      </c>
      <c r="W244" t="str">
        <f>IFERROR(INDEX(Products!$E:$E,MATCH(D244,Products!$A:$A,0)),"Unknown")</f>
        <v>W for Woman</v>
      </c>
      <c r="X244" t="str">
        <f>IFERROR(INDEX(Stores!$B:$B,MATCH(E244,Stores!$A:$A,0)),"Unknown")</f>
        <v>TrendMart Hyderabad Standard</v>
      </c>
      <c r="Y244" t="str">
        <f>IFERROR(INDEX(Stores!$E:$E,MATCH(E244,Stores!$A:$A,0)),"Unknown")</f>
        <v>South Zone 2</v>
      </c>
      <c r="Z244" t="str">
        <f>IFERROR(INDEX(Customers!$J:$J,MATCH(C244,Customers!$A:$A,0)),"Unknown")</f>
        <v>Regular</v>
      </c>
      <c r="AA244" t="str">
        <f t="shared" si="3"/>
        <v>2024-05</v>
      </c>
      <c r="AB244" t="str">
        <f>IFERROR(INDEX(Products!$I:$I,MATCH(D244,Products!$A:$A,0)),"Unknown")</f>
        <v>SUP012</v>
      </c>
    </row>
    <row r="245" spans="1:28" x14ac:dyDescent="0.25">
      <c r="A245" t="s">
        <v>1076</v>
      </c>
      <c r="B245" s="20">
        <v>45447</v>
      </c>
      <c r="C245" t="s">
        <v>1077</v>
      </c>
      <c r="D245" t="s">
        <v>554</v>
      </c>
      <c r="E245" t="s">
        <v>934</v>
      </c>
      <c r="F245" t="s">
        <v>443</v>
      </c>
      <c r="G245">
        <v>2</v>
      </c>
      <c r="H245" s="21">
        <v>860.09</v>
      </c>
      <c r="I245">
        <v>15</v>
      </c>
      <c r="J245" s="21">
        <v>258.02999999999997</v>
      </c>
      <c r="K245">
        <v>5</v>
      </c>
      <c r="L245" s="21">
        <v>73.11</v>
      </c>
      <c r="M245" s="21">
        <v>1535.26</v>
      </c>
      <c r="N245" s="21">
        <v>1294.5999999999999</v>
      </c>
      <c r="O245" s="21">
        <v>167.55</v>
      </c>
      <c r="P245" t="s">
        <v>121</v>
      </c>
      <c r="Q245" t="s">
        <v>122</v>
      </c>
      <c r="R245" t="s">
        <v>151</v>
      </c>
      <c r="S245" t="s">
        <v>682</v>
      </c>
      <c r="T245" t="s">
        <v>153</v>
      </c>
      <c r="U245" t="s">
        <v>154</v>
      </c>
      <c r="V245" t="str">
        <f>IFERROR(INDEX(Products!$C:$C,MATCH(D245,Products!$A:$A,0)),"Unknown")</f>
        <v>Women Kurtis</v>
      </c>
      <c r="W245" t="str">
        <f>IFERROR(INDEX(Products!$E:$E,MATCH(D245,Products!$A:$A,0)),"Unknown")</f>
        <v>Fossil</v>
      </c>
      <c r="X245" t="str">
        <f>IFERROR(INDEX(Stores!$B:$B,MATCH(E245,Stores!$A:$A,0)),"Unknown")</f>
        <v>TrendMart Bengaluru High Street</v>
      </c>
      <c r="Y245" t="str">
        <f>IFERROR(INDEX(Stores!$E:$E,MATCH(E245,Stores!$A:$A,0)),"Unknown")</f>
        <v>South Zone 2</v>
      </c>
      <c r="Z245" t="str">
        <f>IFERROR(INDEX(Customers!$J:$J,MATCH(C245,Customers!$A:$A,0)),"Unknown")</f>
        <v>Gold</v>
      </c>
      <c r="AA245" t="str">
        <f t="shared" si="3"/>
        <v>2024-06</v>
      </c>
      <c r="AB245" t="str">
        <f>IFERROR(INDEX(Products!$I:$I,MATCH(D245,Products!$A:$A,0)),"Unknown")</f>
        <v>SUP018</v>
      </c>
    </row>
    <row r="246" spans="1:28" x14ac:dyDescent="0.25">
      <c r="A246" t="s">
        <v>1078</v>
      </c>
      <c r="B246" s="20">
        <v>45608</v>
      </c>
      <c r="C246" t="s">
        <v>1079</v>
      </c>
      <c r="D246" t="s">
        <v>1080</v>
      </c>
      <c r="E246" t="s">
        <v>511</v>
      </c>
      <c r="F246" t="s">
        <v>253</v>
      </c>
      <c r="G246">
        <v>1</v>
      </c>
      <c r="H246" s="21">
        <v>1360.27</v>
      </c>
      <c r="I246">
        <v>0</v>
      </c>
      <c r="J246" s="21">
        <v>0</v>
      </c>
      <c r="K246">
        <v>12</v>
      </c>
      <c r="L246" s="21">
        <v>163.22999999999999</v>
      </c>
      <c r="M246" s="21">
        <v>1523.5</v>
      </c>
      <c r="N246" s="21">
        <v>914.35</v>
      </c>
      <c r="O246" s="21">
        <v>445.92</v>
      </c>
      <c r="P246" t="s">
        <v>124</v>
      </c>
      <c r="Q246" t="s">
        <v>122</v>
      </c>
      <c r="R246" t="s">
        <v>151</v>
      </c>
      <c r="S246" t="s">
        <v>491</v>
      </c>
      <c r="T246" t="s">
        <v>153</v>
      </c>
      <c r="U246" t="s">
        <v>154</v>
      </c>
      <c r="V246" t="str">
        <f>IFERROR(INDEX(Products!$C:$C,MATCH(D246,Products!$A:$A,0)),"Unknown")</f>
        <v>Winter Wear</v>
      </c>
      <c r="W246" t="str">
        <f>IFERROR(INDEX(Products!$E:$E,MATCH(D246,Products!$A:$A,0)),"Unknown")</f>
        <v>Max Fashion</v>
      </c>
      <c r="X246" t="str">
        <f>IFERROR(INDEX(Stores!$B:$B,MATCH(E246,Stores!$A:$A,0)),"Unknown")</f>
        <v>TrendMart Khammam Standard</v>
      </c>
      <c r="Y246" t="str">
        <f>IFERROR(INDEX(Stores!$E:$E,MATCH(E246,Stores!$A:$A,0)),"Unknown")</f>
        <v>South Zone 2</v>
      </c>
      <c r="Z246" t="str">
        <f>IFERROR(INDEX(Customers!$J:$J,MATCH(C246,Customers!$A:$A,0)),"Unknown")</f>
        <v>Gold</v>
      </c>
      <c r="AA246" t="str">
        <f t="shared" si="3"/>
        <v>2024-11</v>
      </c>
      <c r="AB246" t="str">
        <f>IFERROR(INDEX(Products!$I:$I,MATCH(D246,Products!$A:$A,0)),"Unknown")</f>
        <v>SUP017</v>
      </c>
    </row>
    <row r="247" spans="1:28" x14ac:dyDescent="0.25">
      <c r="A247" t="s">
        <v>1081</v>
      </c>
      <c r="B247" s="20">
        <v>45583</v>
      </c>
      <c r="C247" t="s">
        <v>1082</v>
      </c>
      <c r="D247" t="s">
        <v>520</v>
      </c>
      <c r="E247" t="s">
        <v>671</v>
      </c>
      <c r="F247" t="s">
        <v>403</v>
      </c>
      <c r="G247">
        <v>2</v>
      </c>
      <c r="H247" s="21">
        <v>1351.4</v>
      </c>
      <c r="I247">
        <v>25</v>
      </c>
      <c r="J247" s="21">
        <v>675.7</v>
      </c>
      <c r="K247">
        <v>12</v>
      </c>
      <c r="L247" s="21">
        <v>243.25</v>
      </c>
      <c r="M247" s="21">
        <v>2270.35</v>
      </c>
      <c r="N247" s="21">
        <v>1806.6</v>
      </c>
      <c r="O247" s="21">
        <v>220.5</v>
      </c>
      <c r="P247" t="s">
        <v>121</v>
      </c>
      <c r="Q247" t="s">
        <v>120</v>
      </c>
      <c r="R247" t="s">
        <v>151</v>
      </c>
      <c r="S247" t="s">
        <v>383</v>
      </c>
      <c r="T247" t="s">
        <v>153</v>
      </c>
      <c r="U247" t="s">
        <v>154</v>
      </c>
      <c r="V247" t="str">
        <f>IFERROR(INDEX(Products!$C:$C,MATCH(D247,Products!$A:$A,0)),"Unknown")</f>
        <v>Wallets</v>
      </c>
      <c r="W247" t="str">
        <f>IFERROR(INDEX(Products!$E:$E,MATCH(D247,Products!$A:$A,0)),"Unknown")</f>
        <v>Nike</v>
      </c>
      <c r="X247" t="str">
        <f>IFERROR(INDEX(Stores!$B:$B,MATCH(E247,Stores!$A:$A,0)),"Unknown")</f>
        <v>TrendMart Hyderabad Mall Kiosk</v>
      </c>
      <c r="Y247" t="str">
        <f>IFERROR(INDEX(Stores!$E:$E,MATCH(E247,Stores!$A:$A,0)),"Unknown")</f>
        <v>South Zone 2</v>
      </c>
      <c r="Z247" t="str">
        <f>IFERROR(INDEX(Customers!$J:$J,MATCH(C247,Customers!$A:$A,0)),"Unknown")</f>
        <v>Regular</v>
      </c>
      <c r="AA247" t="str">
        <f t="shared" si="3"/>
        <v>2024-10</v>
      </c>
      <c r="AB247" t="str">
        <f>IFERROR(INDEX(Products!$I:$I,MATCH(D247,Products!$A:$A,0)),"Unknown")</f>
        <v>SUP027</v>
      </c>
    </row>
    <row r="248" spans="1:28" x14ac:dyDescent="0.25">
      <c r="A248" t="s">
        <v>1083</v>
      </c>
      <c r="B248" s="20">
        <v>45407</v>
      </c>
      <c r="C248" t="s">
        <v>245</v>
      </c>
      <c r="D248" t="s">
        <v>359</v>
      </c>
      <c r="E248" t="s">
        <v>343</v>
      </c>
      <c r="F248" t="s">
        <v>297</v>
      </c>
      <c r="G248">
        <v>2</v>
      </c>
      <c r="H248" s="21">
        <v>2420.5</v>
      </c>
      <c r="I248">
        <v>5</v>
      </c>
      <c r="J248" s="21">
        <v>242.05</v>
      </c>
      <c r="K248">
        <v>12</v>
      </c>
      <c r="L248" s="21">
        <v>551.87</v>
      </c>
      <c r="M248" s="21">
        <v>5150.82</v>
      </c>
      <c r="N248" s="21">
        <v>3608.74</v>
      </c>
      <c r="O248" s="21">
        <v>990.21</v>
      </c>
      <c r="P248" t="s">
        <v>121</v>
      </c>
      <c r="Q248" t="s">
        <v>122</v>
      </c>
      <c r="R248" t="s">
        <v>151</v>
      </c>
      <c r="S248" t="s">
        <v>1084</v>
      </c>
      <c r="T248" t="s">
        <v>153</v>
      </c>
      <c r="U248" t="s">
        <v>154</v>
      </c>
      <c r="V248" t="str">
        <f>IFERROR(INDEX(Products!$C:$C,MATCH(D248,Products!$A:$A,0)),"Unknown")</f>
        <v>Men Ethnic</v>
      </c>
      <c r="W248" t="str">
        <f>IFERROR(INDEX(Products!$E:$E,MATCH(D248,Products!$A:$A,0)),"Unknown")</f>
        <v>US Polo Assn</v>
      </c>
      <c r="X248" t="str">
        <f>IFERROR(INDEX(Stores!$B:$B,MATCH(E248,Stores!$A:$A,0)),"Unknown")</f>
        <v>TrendMart Tumakuru Outlet</v>
      </c>
      <c r="Y248" t="str">
        <f>IFERROR(INDEX(Stores!$E:$E,MATCH(E248,Stores!$A:$A,0)),"Unknown")</f>
        <v>South Zone 2</v>
      </c>
      <c r="Z248" t="str">
        <f>IFERROR(INDEX(Customers!$J:$J,MATCH(C248,Customers!$A:$A,0)),"Unknown")</f>
        <v>Regular</v>
      </c>
      <c r="AA248" t="str">
        <f t="shared" si="3"/>
        <v>2024-04</v>
      </c>
      <c r="AB248" t="str">
        <f>IFERROR(INDEX(Products!$I:$I,MATCH(D248,Products!$A:$A,0)),"Unknown")</f>
        <v>SUP036</v>
      </c>
    </row>
    <row r="249" spans="1:28" x14ac:dyDescent="0.25">
      <c r="A249" t="s">
        <v>1085</v>
      </c>
      <c r="B249" s="20">
        <v>45715</v>
      </c>
      <c r="C249" t="s">
        <v>1086</v>
      </c>
      <c r="D249" t="s">
        <v>993</v>
      </c>
      <c r="E249" t="s">
        <v>831</v>
      </c>
      <c r="F249" t="s">
        <v>434</v>
      </c>
      <c r="G249">
        <v>1</v>
      </c>
      <c r="H249" s="21">
        <v>991.65</v>
      </c>
      <c r="I249">
        <v>0</v>
      </c>
      <c r="J249" s="21">
        <v>0</v>
      </c>
      <c r="K249">
        <v>5</v>
      </c>
      <c r="L249" s="21">
        <v>49.58</v>
      </c>
      <c r="M249" s="21">
        <v>1041.23</v>
      </c>
      <c r="N249" s="21">
        <v>721.29</v>
      </c>
      <c r="O249" s="21">
        <v>270.36</v>
      </c>
      <c r="P249" t="s">
        <v>121</v>
      </c>
      <c r="Q249" t="s">
        <v>120</v>
      </c>
      <c r="R249" t="s">
        <v>151</v>
      </c>
      <c r="S249" t="s">
        <v>227</v>
      </c>
      <c r="T249" t="s">
        <v>153</v>
      </c>
      <c r="U249" t="s">
        <v>154</v>
      </c>
      <c r="V249" t="str">
        <f>IFERROR(INDEX(Products!$C:$C,MATCH(D249,Products!$A:$A,0)),"Unknown")</f>
        <v>Men Jeans</v>
      </c>
      <c r="W249" t="str">
        <f>IFERROR(INDEX(Products!$E:$E,MATCH(D249,Products!$A:$A,0)),"Unknown")</f>
        <v>Louis Philippe</v>
      </c>
      <c r="X249" t="str">
        <f>IFERROR(INDEX(Stores!$B:$B,MATCH(E249,Stores!$A:$A,0)),"Unknown")</f>
        <v>TrendMart Vellore Standard</v>
      </c>
      <c r="Y249" t="str">
        <f>IFERROR(INDEX(Stores!$E:$E,MATCH(E249,Stores!$A:$A,0)),"Unknown")</f>
        <v>South Zone 1</v>
      </c>
      <c r="Z249" t="str">
        <f>IFERROR(INDEX(Customers!$J:$J,MATCH(C249,Customers!$A:$A,0)),"Unknown")</f>
        <v>Gold</v>
      </c>
      <c r="AA249" t="str">
        <f t="shared" si="3"/>
        <v>2025-02</v>
      </c>
      <c r="AB249" t="str">
        <f>IFERROR(INDEX(Products!$I:$I,MATCH(D249,Products!$A:$A,0)),"Unknown")</f>
        <v>SUP088</v>
      </c>
    </row>
    <row r="250" spans="1:28" x14ac:dyDescent="0.25">
      <c r="A250" t="s">
        <v>1087</v>
      </c>
      <c r="B250" s="20">
        <v>45602</v>
      </c>
      <c r="C250" t="s">
        <v>1035</v>
      </c>
      <c r="D250" t="s">
        <v>1088</v>
      </c>
      <c r="E250" t="s">
        <v>416</v>
      </c>
      <c r="F250" t="s">
        <v>618</v>
      </c>
      <c r="G250">
        <v>2</v>
      </c>
      <c r="H250" s="21">
        <v>918.71</v>
      </c>
      <c r="I250">
        <v>30</v>
      </c>
      <c r="J250" s="21">
        <v>551.23</v>
      </c>
      <c r="K250">
        <v>5</v>
      </c>
      <c r="L250" s="21">
        <v>64.31</v>
      </c>
      <c r="M250" s="21">
        <v>1350.5</v>
      </c>
      <c r="N250" s="21">
        <v>1198.56</v>
      </c>
      <c r="O250" s="21">
        <v>87.63</v>
      </c>
      <c r="P250" t="s">
        <v>123</v>
      </c>
      <c r="Q250" t="s">
        <v>122</v>
      </c>
      <c r="R250" t="s">
        <v>151</v>
      </c>
      <c r="S250" t="s">
        <v>1089</v>
      </c>
      <c r="T250" t="s">
        <v>153</v>
      </c>
      <c r="U250" t="s">
        <v>154</v>
      </c>
      <c r="V250" t="str">
        <f>IFERROR(INDEX(Products!$C:$C,MATCH(D250,Products!$A:$A,0)),"Unknown")</f>
        <v>Women Kurtis</v>
      </c>
      <c r="W250" t="str">
        <f>IFERROR(INDEX(Products!$E:$E,MATCH(D250,Products!$A:$A,0)),"Unknown")</f>
        <v>Metro Shoes</v>
      </c>
      <c r="X250" t="str">
        <f>IFERROR(INDEX(Stores!$B:$B,MATCH(E250,Stores!$A:$A,0)),"Unknown")</f>
        <v>TrendMart Dindigul Standard</v>
      </c>
      <c r="Y250" t="str">
        <f>IFERROR(INDEX(Stores!$E:$E,MATCH(E250,Stores!$A:$A,0)),"Unknown")</f>
        <v>South Zone 1</v>
      </c>
      <c r="Z250" t="str">
        <f>IFERROR(INDEX(Customers!$J:$J,MATCH(C250,Customers!$A:$A,0)),"Unknown")</f>
        <v>Regular</v>
      </c>
      <c r="AA250" t="str">
        <f t="shared" si="3"/>
        <v>2024-11</v>
      </c>
      <c r="AB250" t="str">
        <f>IFERROR(INDEX(Products!$I:$I,MATCH(D250,Products!$A:$A,0)),"Unknown")</f>
        <v>SUP045</v>
      </c>
    </row>
    <row r="251" spans="1:28" x14ac:dyDescent="0.25">
      <c r="A251" t="s">
        <v>1090</v>
      </c>
      <c r="B251" s="20">
        <v>45400</v>
      </c>
      <c r="C251" t="s">
        <v>1091</v>
      </c>
      <c r="D251" t="s">
        <v>1092</v>
      </c>
      <c r="E251" t="s">
        <v>617</v>
      </c>
      <c r="F251" t="s">
        <v>397</v>
      </c>
      <c r="G251">
        <v>2</v>
      </c>
      <c r="H251" s="21">
        <v>3670.9</v>
      </c>
      <c r="I251">
        <v>25</v>
      </c>
      <c r="J251" s="21">
        <v>1835.45</v>
      </c>
      <c r="K251">
        <v>12</v>
      </c>
      <c r="L251" s="21">
        <v>660.76</v>
      </c>
      <c r="M251" s="21">
        <v>6167.11</v>
      </c>
      <c r="N251" s="21">
        <v>4934.4399999999996</v>
      </c>
      <c r="O251" s="21">
        <v>571.91</v>
      </c>
      <c r="P251" t="s">
        <v>123</v>
      </c>
      <c r="Q251" t="s">
        <v>120</v>
      </c>
      <c r="R251" t="s">
        <v>151</v>
      </c>
      <c r="S251" t="s">
        <v>631</v>
      </c>
      <c r="T251" t="s">
        <v>153</v>
      </c>
      <c r="U251" t="s">
        <v>154</v>
      </c>
      <c r="V251" t="str">
        <f>IFERROR(INDEX(Products!$C:$C,MATCH(D251,Products!$A:$A,0)),"Unknown")</f>
        <v>Footwear</v>
      </c>
      <c r="W251" t="str">
        <f>IFERROR(INDEX(Products!$E:$E,MATCH(D251,Products!$A:$A,0)),"Unknown")</f>
        <v>Reebok</v>
      </c>
      <c r="X251" t="str">
        <f>IFERROR(INDEX(Stores!$B:$B,MATCH(E251,Stores!$A:$A,0)),"Unknown")</f>
        <v>TrendMart Mangaluru High Street</v>
      </c>
      <c r="Y251" t="str">
        <f>IFERROR(INDEX(Stores!$E:$E,MATCH(E251,Stores!$A:$A,0)),"Unknown")</f>
        <v>South Zone 2</v>
      </c>
      <c r="Z251" t="str">
        <f>IFERROR(INDEX(Customers!$J:$J,MATCH(C251,Customers!$A:$A,0)),"Unknown")</f>
        <v>Platinum</v>
      </c>
      <c r="AA251" t="str">
        <f t="shared" si="3"/>
        <v>2024-04</v>
      </c>
      <c r="AB251" t="str">
        <f>IFERROR(INDEX(Products!$I:$I,MATCH(D251,Products!$A:$A,0)),"Unknown")</f>
        <v>SUP056</v>
      </c>
    </row>
    <row r="252" spans="1:28" x14ac:dyDescent="0.25">
      <c r="A252" t="s">
        <v>1093</v>
      </c>
      <c r="B252" s="20">
        <v>45567</v>
      </c>
      <c r="C252" t="s">
        <v>1094</v>
      </c>
      <c r="D252" t="s">
        <v>1095</v>
      </c>
      <c r="E252" t="s">
        <v>194</v>
      </c>
      <c r="F252" t="s">
        <v>579</v>
      </c>
      <c r="G252">
        <v>3</v>
      </c>
      <c r="H252" s="21">
        <v>1218.42</v>
      </c>
      <c r="I252">
        <v>25</v>
      </c>
      <c r="J252" s="21">
        <v>913.82</v>
      </c>
      <c r="K252">
        <v>12</v>
      </c>
      <c r="L252" s="21">
        <v>328.97</v>
      </c>
      <c r="M252" s="21">
        <v>3070.41</v>
      </c>
      <c r="N252" s="21">
        <v>2308.89</v>
      </c>
      <c r="O252" s="21">
        <v>432.55</v>
      </c>
      <c r="P252" t="s">
        <v>125</v>
      </c>
      <c r="Q252" t="s">
        <v>122</v>
      </c>
      <c r="R252" t="s">
        <v>151</v>
      </c>
      <c r="S252" t="s">
        <v>953</v>
      </c>
      <c r="T252" t="s">
        <v>153</v>
      </c>
      <c r="U252" t="s">
        <v>154</v>
      </c>
      <c r="V252" t="str">
        <f>IFERROR(INDEX(Products!$C:$C,MATCH(D252,Products!$A:$A,0)),"Unknown")</f>
        <v>Women Dresses</v>
      </c>
      <c r="W252" t="str">
        <f>IFERROR(INDEX(Products!$E:$E,MATCH(D252,Products!$A:$A,0)),"Unknown")</f>
        <v>Ramraj Cotton</v>
      </c>
      <c r="X252" t="str">
        <f>IFERROR(INDEX(Stores!$B:$B,MATCH(E252,Stores!$A:$A,0)),"Unknown")</f>
        <v>TrendMart Tirupati High Street</v>
      </c>
      <c r="Y252" t="str">
        <f>IFERROR(INDEX(Stores!$E:$E,MATCH(E252,Stores!$A:$A,0)),"Unknown")</f>
        <v>South Zone 3</v>
      </c>
      <c r="Z252" t="str">
        <f>IFERROR(INDEX(Customers!$J:$J,MATCH(C252,Customers!$A:$A,0)),"Unknown")</f>
        <v>Silver</v>
      </c>
      <c r="AA252" t="str">
        <f t="shared" si="3"/>
        <v>2024-10</v>
      </c>
      <c r="AB252" t="str">
        <f>IFERROR(INDEX(Products!$I:$I,MATCH(D252,Products!$A:$A,0)),"Unknown")</f>
        <v>SUP054</v>
      </c>
    </row>
    <row r="253" spans="1:28" x14ac:dyDescent="0.25">
      <c r="A253" t="s">
        <v>1096</v>
      </c>
      <c r="B253" s="20">
        <v>45403</v>
      </c>
      <c r="C253" t="s">
        <v>1097</v>
      </c>
      <c r="D253" t="s">
        <v>531</v>
      </c>
      <c r="E253" t="s">
        <v>451</v>
      </c>
      <c r="F253" t="s">
        <v>165</v>
      </c>
      <c r="G253">
        <v>2</v>
      </c>
      <c r="H253" s="21">
        <v>3437.43</v>
      </c>
      <c r="I253">
        <v>0</v>
      </c>
      <c r="J253" s="21">
        <v>0</v>
      </c>
      <c r="K253">
        <v>12</v>
      </c>
      <c r="L253" s="21">
        <v>824.98</v>
      </c>
      <c r="M253" s="21">
        <v>7699.84</v>
      </c>
      <c r="N253" s="21">
        <v>4068.02</v>
      </c>
      <c r="O253" s="21">
        <v>2806.84</v>
      </c>
      <c r="P253" t="s">
        <v>121</v>
      </c>
      <c r="Q253" t="s">
        <v>120</v>
      </c>
      <c r="R253" t="s">
        <v>151</v>
      </c>
      <c r="S253" t="s">
        <v>1098</v>
      </c>
      <c r="T253" t="s">
        <v>161</v>
      </c>
      <c r="U253" t="s">
        <v>154</v>
      </c>
      <c r="V253" t="str">
        <f>IFERROR(INDEX(Products!$C:$C,MATCH(D253,Products!$A:$A,0)),"Unknown")</f>
        <v>Handbags</v>
      </c>
      <c r="W253" t="str">
        <f>IFERROR(INDEX(Products!$E:$E,MATCH(D253,Products!$A:$A,0)),"Unknown")</f>
        <v>GRT Jewellers</v>
      </c>
      <c r="X253" t="str">
        <f>IFERROR(INDEX(Stores!$B:$B,MATCH(E253,Stores!$A:$A,0)),"Unknown")</f>
        <v>TrendMart Thoothukudi High Street</v>
      </c>
      <c r="Y253" t="str">
        <f>IFERROR(INDEX(Stores!$E:$E,MATCH(E253,Stores!$A:$A,0)),"Unknown")</f>
        <v>South Zone 1</v>
      </c>
      <c r="Z253" t="str">
        <f>IFERROR(INDEX(Customers!$J:$J,MATCH(C253,Customers!$A:$A,0)),"Unknown")</f>
        <v>Regular</v>
      </c>
      <c r="AA253" t="str">
        <f t="shared" si="3"/>
        <v>2024-04</v>
      </c>
      <c r="AB253" t="str">
        <f>IFERROR(INDEX(Products!$I:$I,MATCH(D253,Products!$A:$A,0)),"Unknown")</f>
        <v>SUP047</v>
      </c>
    </row>
    <row r="254" spans="1:28" x14ac:dyDescent="0.25">
      <c r="A254" t="s">
        <v>1099</v>
      </c>
      <c r="B254" s="20">
        <v>45524</v>
      </c>
      <c r="C254" t="s">
        <v>1100</v>
      </c>
      <c r="D254" t="s">
        <v>1101</v>
      </c>
      <c r="E254" t="s">
        <v>226</v>
      </c>
      <c r="F254" t="s">
        <v>377</v>
      </c>
      <c r="G254">
        <v>2</v>
      </c>
      <c r="H254" s="21">
        <v>820.42</v>
      </c>
      <c r="I254">
        <v>25</v>
      </c>
      <c r="J254" s="21">
        <v>410.21</v>
      </c>
      <c r="K254">
        <v>5</v>
      </c>
      <c r="L254" s="21">
        <v>61.53</v>
      </c>
      <c r="M254" s="21">
        <v>1292.1600000000001</v>
      </c>
      <c r="N254" s="21">
        <v>1130.9000000000001</v>
      </c>
      <c r="O254" s="21">
        <v>99.73</v>
      </c>
      <c r="P254" t="s">
        <v>125</v>
      </c>
      <c r="Q254" t="s">
        <v>120</v>
      </c>
      <c r="R254" t="s">
        <v>151</v>
      </c>
      <c r="S254" t="s">
        <v>1102</v>
      </c>
      <c r="T254" t="s">
        <v>153</v>
      </c>
      <c r="U254" t="s">
        <v>154</v>
      </c>
      <c r="V254" t="str">
        <f>IFERROR(INDEX(Products!$C:$C,MATCH(D254,Products!$A:$A,0)),"Unknown")</f>
        <v>Kids Wear</v>
      </c>
      <c r="W254" t="str">
        <f>IFERROR(INDEX(Products!$E:$E,MATCH(D254,Products!$A:$A,0)),"Unknown")</f>
        <v>Woodland</v>
      </c>
      <c r="X254" t="str">
        <f>IFERROR(INDEX(Stores!$B:$B,MATCH(E254,Stores!$A:$A,0)),"Unknown")</f>
        <v>TrendMart Kurnool Standard</v>
      </c>
      <c r="Y254" t="str">
        <f>IFERROR(INDEX(Stores!$E:$E,MATCH(E254,Stores!$A:$A,0)),"Unknown")</f>
        <v>South Zone 3</v>
      </c>
      <c r="Z254" t="str">
        <f>IFERROR(INDEX(Customers!$J:$J,MATCH(C254,Customers!$A:$A,0)),"Unknown")</f>
        <v>Gold</v>
      </c>
      <c r="AA254" t="str">
        <f t="shared" si="3"/>
        <v>2024-08</v>
      </c>
      <c r="AB254" t="str">
        <f>IFERROR(INDEX(Products!$I:$I,MATCH(D254,Products!$A:$A,0)),"Unknown")</f>
        <v>SUP010</v>
      </c>
    </row>
    <row r="255" spans="1:28" x14ac:dyDescent="0.25">
      <c r="A255" t="s">
        <v>1103</v>
      </c>
      <c r="B255" s="20">
        <v>45579</v>
      </c>
      <c r="C255" t="s">
        <v>901</v>
      </c>
      <c r="D255" t="s">
        <v>1104</v>
      </c>
      <c r="E255" t="s">
        <v>1017</v>
      </c>
      <c r="F255" t="s">
        <v>263</v>
      </c>
      <c r="G255">
        <v>2</v>
      </c>
      <c r="H255" s="21">
        <v>3627.65</v>
      </c>
      <c r="I255">
        <v>30</v>
      </c>
      <c r="J255" s="21">
        <v>2176.59</v>
      </c>
      <c r="K255">
        <v>12</v>
      </c>
      <c r="L255" s="21">
        <v>609.45000000000005</v>
      </c>
      <c r="M255" s="21">
        <v>5688.16</v>
      </c>
      <c r="N255" s="21">
        <v>4748.0600000000004</v>
      </c>
      <c r="O255" s="21">
        <v>330.65</v>
      </c>
      <c r="P255" t="s">
        <v>121</v>
      </c>
      <c r="Q255" t="s">
        <v>122</v>
      </c>
      <c r="R255" t="s">
        <v>313</v>
      </c>
      <c r="S255" t="s">
        <v>1105</v>
      </c>
      <c r="T255" t="s">
        <v>153</v>
      </c>
      <c r="U255" t="s">
        <v>154</v>
      </c>
      <c r="V255" t="str">
        <f>IFERROR(INDEX(Products!$C:$C,MATCH(D255,Products!$A:$A,0)),"Unknown")</f>
        <v>Handbags</v>
      </c>
      <c r="W255" t="str">
        <f>IFERROR(INDEX(Products!$E:$E,MATCH(D255,Products!$A:$A,0)),"Unknown")</f>
        <v>Nalli Silks</v>
      </c>
      <c r="X255" t="str">
        <f>IFERROR(INDEX(Stores!$B:$B,MATCH(E255,Stores!$A:$A,0)),"Unknown")</f>
        <v>TrendMart Mangaluru Standard</v>
      </c>
      <c r="Y255" t="str">
        <f>IFERROR(INDEX(Stores!$E:$E,MATCH(E255,Stores!$A:$A,0)),"Unknown")</f>
        <v>South Zone 2</v>
      </c>
      <c r="Z255" t="str">
        <f>IFERROR(INDEX(Customers!$J:$J,MATCH(C255,Customers!$A:$A,0)),"Unknown")</f>
        <v>Gold</v>
      </c>
      <c r="AA255" t="str">
        <f t="shared" si="3"/>
        <v>2024-10</v>
      </c>
      <c r="AB255" t="str">
        <f>IFERROR(INDEX(Products!$I:$I,MATCH(D255,Products!$A:$A,0)),"Unknown")</f>
        <v>SUP070</v>
      </c>
    </row>
    <row r="256" spans="1:28" x14ac:dyDescent="0.25">
      <c r="A256" t="s">
        <v>1106</v>
      </c>
      <c r="B256" s="20">
        <v>45430</v>
      </c>
      <c r="C256" t="s">
        <v>1107</v>
      </c>
      <c r="D256" t="s">
        <v>545</v>
      </c>
      <c r="E256" t="s">
        <v>1108</v>
      </c>
      <c r="F256" t="s">
        <v>303</v>
      </c>
      <c r="G256">
        <v>2</v>
      </c>
      <c r="H256" s="21">
        <v>1391.41</v>
      </c>
      <c r="I256">
        <v>10</v>
      </c>
      <c r="J256" s="21">
        <v>278.27999999999997</v>
      </c>
      <c r="K256">
        <v>12</v>
      </c>
      <c r="L256" s="21">
        <v>300.54000000000002</v>
      </c>
      <c r="M256" s="21">
        <v>2805.08</v>
      </c>
      <c r="N256" s="21">
        <v>1669.92</v>
      </c>
      <c r="O256" s="21">
        <v>834.62</v>
      </c>
      <c r="P256" t="s">
        <v>125</v>
      </c>
      <c r="Q256" t="s">
        <v>120</v>
      </c>
      <c r="R256" t="s">
        <v>151</v>
      </c>
      <c r="S256" t="s">
        <v>1109</v>
      </c>
      <c r="T256" t="s">
        <v>161</v>
      </c>
      <c r="U256" t="s">
        <v>154</v>
      </c>
      <c r="V256" t="str">
        <f>IFERROR(INDEX(Products!$C:$C,MATCH(D256,Products!$A:$A,0)),"Unknown")</f>
        <v>Women Jeans</v>
      </c>
      <c r="W256" t="str">
        <f>IFERROR(INDEX(Products!$E:$E,MATCH(D256,Products!$A:$A,0)),"Unknown")</f>
        <v>US Polo Assn</v>
      </c>
      <c r="X256" t="str">
        <f>IFERROR(INDEX(Stores!$B:$B,MATCH(E256,Stores!$A:$A,0)),"Unknown")</f>
        <v>TrendMart Karimnagar Standard</v>
      </c>
      <c r="Y256" t="str">
        <f>IFERROR(INDEX(Stores!$E:$E,MATCH(E256,Stores!$A:$A,0)),"Unknown")</f>
        <v>South Zone 2</v>
      </c>
      <c r="Z256" t="str">
        <f>IFERROR(INDEX(Customers!$J:$J,MATCH(C256,Customers!$A:$A,0)),"Unknown")</f>
        <v>Silver</v>
      </c>
      <c r="AA256" t="str">
        <f t="shared" si="3"/>
        <v>2024-05</v>
      </c>
      <c r="AB256" t="str">
        <f>IFERROR(INDEX(Products!$I:$I,MATCH(D256,Products!$A:$A,0)),"Unknown")</f>
        <v>SUP041</v>
      </c>
    </row>
    <row r="257" spans="1:28" x14ac:dyDescent="0.25">
      <c r="A257" t="s">
        <v>1110</v>
      </c>
      <c r="B257" s="20">
        <v>45694</v>
      </c>
      <c r="C257" t="s">
        <v>925</v>
      </c>
      <c r="D257" t="s">
        <v>1111</v>
      </c>
      <c r="E257" t="s">
        <v>745</v>
      </c>
      <c r="F257" t="s">
        <v>618</v>
      </c>
      <c r="G257">
        <v>1</v>
      </c>
      <c r="H257" s="21">
        <v>2213.3000000000002</v>
      </c>
      <c r="I257">
        <v>10</v>
      </c>
      <c r="J257" s="21">
        <v>221.33</v>
      </c>
      <c r="K257">
        <v>12</v>
      </c>
      <c r="L257" s="21">
        <v>239.04</v>
      </c>
      <c r="M257" s="21">
        <v>2231.0100000000002</v>
      </c>
      <c r="N257" s="21">
        <v>1676.92</v>
      </c>
      <c r="O257" s="21">
        <v>315.05</v>
      </c>
      <c r="P257" t="s">
        <v>121</v>
      </c>
      <c r="Q257" t="s">
        <v>122</v>
      </c>
      <c r="R257" t="s">
        <v>151</v>
      </c>
      <c r="S257" t="s">
        <v>1112</v>
      </c>
      <c r="T257" t="s">
        <v>153</v>
      </c>
      <c r="U257" t="s">
        <v>154</v>
      </c>
      <c r="V257" t="str">
        <f>IFERROR(INDEX(Products!$C:$C,MATCH(D257,Products!$A:$A,0)),"Unknown")</f>
        <v>Men Ethnic</v>
      </c>
      <c r="W257" t="str">
        <f>IFERROR(INDEX(Products!$E:$E,MATCH(D257,Products!$A:$A,0)),"Unknown")</f>
        <v>Raymond</v>
      </c>
      <c r="X257" t="str">
        <f>IFERROR(INDEX(Stores!$B:$B,MATCH(E257,Stores!$A:$A,0)),"Unknown")</f>
        <v>TrendMart Thiruvananthapuram Outlet</v>
      </c>
      <c r="Y257" t="str">
        <f>IFERROR(INDEX(Stores!$E:$E,MATCH(E257,Stores!$A:$A,0)),"Unknown")</f>
        <v>South Zone 1</v>
      </c>
      <c r="Z257" t="str">
        <f>IFERROR(INDEX(Customers!$J:$J,MATCH(C257,Customers!$A:$A,0)),"Unknown")</f>
        <v>Gold</v>
      </c>
      <c r="AA257" t="str">
        <f t="shared" si="3"/>
        <v>2025-02</v>
      </c>
      <c r="AB257" t="str">
        <f>IFERROR(INDEX(Products!$I:$I,MATCH(D257,Products!$A:$A,0)),"Unknown")</f>
        <v>SUP018</v>
      </c>
    </row>
    <row r="258" spans="1:28" x14ac:dyDescent="0.25">
      <c r="A258" t="s">
        <v>1113</v>
      </c>
      <c r="B258" s="20">
        <v>45493</v>
      </c>
      <c r="C258" t="s">
        <v>1114</v>
      </c>
      <c r="D258" t="s">
        <v>573</v>
      </c>
      <c r="E258" t="s">
        <v>1023</v>
      </c>
      <c r="F258" t="s">
        <v>532</v>
      </c>
      <c r="G258">
        <v>1</v>
      </c>
      <c r="H258" s="21">
        <v>1032.97</v>
      </c>
      <c r="I258">
        <v>30</v>
      </c>
      <c r="J258" s="21">
        <v>309.89</v>
      </c>
      <c r="K258">
        <v>12</v>
      </c>
      <c r="L258" s="21">
        <v>86.77</v>
      </c>
      <c r="M258" s="21">
        <v>809.85</v>
      </c>
      <c r="N258" s="21">
        <v>720.53</v>
      </c>
      <c r="O258" s="21">
        <v>2.5499999999999998</v>
      </c>
      <c r="P258" t="s">
        <v>123</v>
      </c>
      <c r="Q258" t="s">
        <v>120</v>
      </c>
      <c r="R258" t="s">
        <v>151</v>
      </c>
      <c r="S258" t="s">
        <v>1003</v>
      </c>
      <c r="T258" t="s">
        <v>161</v>
      </c>
      <c r="U258" t="s">
        <v>154</v>
      </c>
      <c r="V258" t="str">
        <f>IFERROR(INDEX(Products!$C:$C,MATCH(D258,Products!$A:$A,0)),"Unknown")</f>
        <v>Women Jeans</v>
      </c>
      <c r="W258" t="str">
        <f>IFERROR(INDEX(Products!$E:$E,MATCH(D258,Products!$A:$A,0)),"Unknown")</f>
        <v>Sonata</v>
      </c>
      <c r="X258" t="str">
        <f>IFERROR(INDEX(Stores!$B:$B,MATCH(E258,Stores!$A:$A,0)),"Unknown")</f>
        <v>TrendMart Kochi High Street</v>
      </c>
      <c r="Y258" t="str">
        <f>IFERROR(INDEX(Stores!$E:$E,MATCH(E258,Stores!$A:$A,0)),"Unknown")</f>
        <v>South Zone 1</v>
      </c>
      <c r="Z258" t="str">
        <f>IFERROR(INDEX(Customers!$J:$J,MATCH(C258,Customers!$A:$A,0)),"Unknown")</f>
        <v>Silver</v>
      </c>
      <c r="AA258" t="str">
        <f t="shared" ref="AA258:AA321" si="4">TEXT(B258,"YYYY-MM")</f>
        <v>2024-07</v>
      </c>
      <c r="AB258" t="str">
        <f>IFERROR(INDEX(Products!$I:$I,MATCH(D258,Products!$A:$A,0)),"Unknown")</f>
        <v>SUP017</v>
      </c>
    </row>
    <row r="259" spans="1:28" x14ac:dyDescent="0.25">
      <c r="A259" t="s">
        <v>1115</v>
      </c>
      <c r="B259" s="20">
        <v>45395</v>
      </c>
      <c r="C259" t="s">
        <v>1116</v>
      </c>
      <c r="D259" t="s">
        <v>805</v>
      </c>
      <c r="E259" t="s">
        <v>85</v>
      </c>
      <c r="F259" t="s">
        <v>462</v>
      </c>
      <c r="G259">
        <v>4</v>
      </c>
      <c r="H259" s="21">
        <v>1118.2</v>
      </c>
      <c r="I259">
        <v>10</v>
      </c>
      <c r="J259" s="21">
        <v>447.28</v>
      </c>
      <c r="K259">
        <v>12</v>
      </c>
      <c r="L259" s="21">
        <v>483.06</v>
      </c>
      <c r="M259" s="21">
        <v>4508.58</v>
      </c>
      <c r="N259" s="21">
        <v>2335.44</v>
      </c>
      <c r="O259" s="21">
        <v>1690.08</v>
      </c>
      <c r="P259" t="s">
        <v>127</v>
      </c>
      <c r="Q259" t="s">
        <v>120</v>
      </c>
      <c r="R259" t="s">
        <v>151</v>
      </c>
      <c r="S259" t="s">
        <v>1117</v>
      </c>
      <c r="T259" t="s">
        <v>161</v>
      </c>
      <c r="U259" t="s">
        <v>154</v>
      </c>
      <c r="V259" t="str">
        <f>IFERROR(INDEX(Products!$C:$C,MATCH(D259,Products!$A:$A,0)),"Unknown")</f>
        <v>Accessories</v>
      </c>
      <c r="W259" t="str">
        <f>IFERROR(INDEX(Products!$E:$E,MATCH(D259,Products!$A:$A,0)),"Unknown")</f>
        <v>Being Human</v>
      </c>
      <c r="X259" t="str">
        <f>IFERROR(INDEX(Stores!$B:$B,MATCH(E259,Stores!$A:$A,0)),"Unknown")</f>
        <v>TrendMart Kalaburagi Mall Kiosk</v>
      </c>
      <c r="Y259" t="str">
        <f>IFERROR(INDEX(Stores!$E:$E,MATCH(E259,Stores!$A:$A,0)),"Unknown")</f>
        <v>South Zone 2</v>
      </c>
      <c r="Z259" t="str">
        <f>IFERROR(INDEX(Customers!$J:$J,MATCH(C259,Customers!$A:$A,0)),"Unknown")</f>
        <v>Silver</v>
      </c>
      <c r="AA259" t="str">
        <f t="shared" si="4"/>
        <v>2024-04</v>
      </c>
      <c r="AB259" t="str">
        <f>IFERROR(INDEX(Products!$I:$I,MATCH(D259,Products!$A:$A,0)),"Unknown")</f>
        <v>SUP069</v>
      </c>
    </row>
    <row r="260" spans="1:28" x14ac:dyDescent="0.25">
      <c r="A260" t="s">
        <v>1118</v>
      </c>
      <c r="B260" s="20">
        <v>45631</v>
      </c>
      <c r="C260" t="s">
        <v>1119</v>
      </c>
      <c r="D260" t="s">
        <v>510</v>
      </c>
      <c r="E260" t="s">
        <v>82</v>
      </c>
      <c r="F260" t="s">
        <v>579</v>
      </c>
      <c r="G260">
        <v>2</v>
      </c>
      <c r="H260" s="21">
        <v>1172.6099999999999</v>
      </c>
      <c r="I260">
        <v>10</v>
      </c>
      <c r="J260" s="21">
        <v>234.52</v>
      </c>
      <c r="K260">
        <v>12</v>
      </c>
      <c r="L260" s="21">
        <v>253.28</v>
      </c>
      <c r="M260" s="21">
        <v>2363.98</v>
      </c>
      <c r="N260" s="21">
        <v>1829.44</v>
      </c>
      <c r="O260" s="21">
        <v>281.26</v>
      </c>
      <c r="P260" t="s">
        <v>125</v>
      </c>
      <c r="Q260" t="s">
        <v>122</v>
      </c>
      <c r="R260" t="s">
        <v>151</v>
      </c>
      <c r="S260" t="s">
        <v>183</v>
      </c>
      <c r="T260" t="s">
        <v>153</v>
      </c>
      <c r="U260" t="s">
        <v>154</v>
      </c>
      <c r="V260" t="str">
        <f>IFERROR(INDEX(Products!$C:$C,MATCH(D260,Products!$A:$A,0)),"Unknown")</f>
        <v>Sportswear</v>
      </c>
      <c r="W260" t="str">
        <f>IFERROR(INDEX(Products!$E:$E,MATCH(D260,Products!$A:$A,0)),"Unknown")</f>
        <v>Liberty</v>
      </c>
      <c r="X260" t="str">
        <f>IFERROR(INDEX(Stores!$B:$B,MATCH(E260,Stores!$A:$A,0)),"Unknown")</f>
        <v>TrendMart Kochi High Street</v>
      </c>
      <c r="Y260" t="str">
        <f>IFERROR(INDEX(Stores!$E:$E,MATCH(E260,Stores!$A:$A,0)),"Unknown")</f>
        <v>South Zone 1</v>
      </c>
      <c r="Z260" t="str">
        <f>IFERROR(INDEX(Customers!$J:$J,MATCH(C260,Customers!$A:$A,0)),"Unknown")</f>
        <v>Silver</v>
      </c>
      <c r="AA260" t="str">
        <f t="shared" si="4"/>
        <v>2024-12</v>
      </c>
      <c r="AB260" t="str">
        <f>IFERROR(INDEX(Products!$I:$I,MATCH(D260,Products!$A:$A,0)),"Unknown")</f>
        <v>SUP010</v>
      </c>
    </row>
    <row r="261" spans="1:28" x14ac:dyDescent="0.25">
      <c r="A261" t="s">
        <v>1120</v>
      </c>
      <c r="B261" s="20">
        <v>45615</v>
      </c>
      <c r="C261" t="s">
        <v>1121</v>
      </c>
      <c r="D261" t="s">
        <v>447</v>
      </c>
      <c r="E261" t="s">
        <v>188</v>
      </c>
      <c r="F261" t="s">
        <v>408</v>
      </c>
      <c r="G261">
        <v>1</v>
      </c>
      <c r="H261" s="21">
        <v>1368.17</v>
      </c>
      <c r="I261">
        <v>30</v>
      </c>
      <c r="J261" s="21">
        <v>410.45</v>
      </c>
      <c r="K261">
        <v>12</v>
      </c>
      <c r="L261" s="21">
        <v>114.93</v>
      </c>
      <c r="M261" s="21">
        <v>1072.6500000000001</v>
      </c>
      <c r="N261" s="21">
        <v>1073.45</v>
      </c>
      <c r="O261" s="21">
        <v>-115.73</v>
      </c>
      <c r="P261" t="s">
        <v>121</v>
      </c>
      <c r="Q261" t="s">
        <v>122</v>
      </c>
      <c r="R261" t="s">
        <v>151</v>
      </c>
      <c r="S261" t="s">
        <v>1122</v>
      </c>
      <c r="T261" t="s">
        <v>153</v>
      </c>
      <c r="U261" t="s">
        <v>184</v>
      </c>
      <c r="V261" t="str">
        <f>IFERROR(INDEX(Products!$C:$C,MATCH(D261,Products!$A:$A,0)),"Unknown")</f>
        <v>Women Jeans</v>
      </c>
      <c r="W261" t="str">
        <f>IFERROR(INDEX(Products!$E:$E,MATCH(D261,Products!$A:$A,0)),"Unknown")</f>
        <v>Biba</v>
      </c>
      <c r="X261" t="str">
        <f>IFERROR(INDEX(Stores!$B:$B,MATCH(E261,Stores!$A:$A,0)),"Unknown")</f>
        <v>TrendMart Vijayawada Standard</v>
      </c>
      <c r="Y261" t="str">
        <f>IFERROR(INDEX(Stores!$E:$E,MATCH(E261,Stores!$A:$A,0)),"Unknown")</f>
        <v>South Zone 3</v>
      </c>
      <c r="Z261" t="str">
        <f>IFERROR(INDEX(Customers!$J:$J,MATCH(C261,Customers!$A:$A,0)),"Unknown")</f>
        <v>Platinum</v>
      </c>
      <c r="AA261" t="str">
        <f t="shared" si="4"/>
        <v>2024-11</v>
      </c>
      <c r="AB261" t="str">
        <f>IFERROR(INDEX(Products!$I:$I,MATCH(D261,Products!$A:$A,0)),"Unknown")</f>
        <v>SUP069</v>
      </c>
    </row>
    <row r="262" spans="1:28" x14ac:dyDescent="0.25">
      <c r="A262" t="s">
        <v>1123</v>
      </c>
      <c r="B262" s="20">
        <v>45668</v>
      </c>
      <c r="C262" t="s">
        <v>1124</v>
      </c>
      <c r="D262" t="s">
        <v>489</v>
      </c>
      <c r="E262" t="s">
        <v>175</v>
      </c>
      <c r="F262" t="s">
        <v>286</v>
      </c>
      <c r="G262">
        <v>3</v>
      </c>
      <c r="H262" s="21">
        <v>1430.46</v>
      </c>
      <c r="I262">
        <v>5</v>
      </c>
      <c r="J262" s="21">
        <v>214.57</v>
      </c>
      <c r="K262">
        <v>12</v>
      </c>
      <c r="L262" s="21">
        <v>489.22</v>
      </c>
      <c r="M262" s="21">
        <v>4566.03</v>
      </c>
      <c r="N262" s="21">
        <v>3146.13</v>
      </c>
      <c r="O262" s="21">
        <v>930.68</v>
      </c>
      <c r="P262" t="s">
        <v>125</v>
      </c>
      <c r="Q262" t="s">
        <v>122</v>
      </c>
      <c r="R262" t="s">
        <v>151</v>
      </c>
      <c r="S262" t="s">
        <v>1125</v>
      </c>
      <c r="T262" t="s">
        <v>161</v>
      </c>
      <c r="U262" t="s">
        <v>154</v>
      </c>
      <c r="V262" t="str">
        <f>IFERROR(INDEX(Products!$C:$C,MATCH(D262,Products!$A:$A,0)),"Unknown")</f>
        <v>Women Jeans</v>
      </c>
      <c r="W262" t="str">
        <f>IFERROR(INDEX(Products!$E:$E,MATCH(D262,Products!$A:$A,0)),"Unknown")</f>
        <v>Woodland</v>
      </c>
      <c r="X262" t="str">
        <f>IFERROR(INDEX(Stores!$B:$B,MATCH(E262,Stores!$A:$A,0)),"Unknown")</f>
        <v>TrendMart Thoothukudi Flagship</v>
      </c>
      <c r="Y262" t="str">
        <f>IFERROR(INDEX(Stores!$E:$E,MATCH(E262,Stores!$A:$A,0)),"Unknown")</f>
        <v>South Zone 1</v>
      </c>
      <c r="Z262" t="str">
        <f>IFERROR(INDEX(Customers!$J:$J,MATCH(C262,Customers!$A:$A,0)),"Unknown")</f>
        <v>Gold</v>
      </c>
      <c r="AA262" t="str">
        <f t="shared" si="4"/>
        <v>2025-01</v>
      </c>
      <c r="AB262" t="str">
        <f>IFERROR(INDEX(Products!$I:$I,MATCH(D262,Products!$A:$A,0)),"Unknown")</f>
        <v>SUP015</v>
      </c>
    </row>
    <row r="263" spans="1:28" x14ac:dyDescent="0.25">
      <c r="A263" t="s">
        <v>1126</v>
      </c>
      <c r="B263" s="20">
        <v>45640</v>
      </c>
      <c r="C263" t="s">
        <v>1127</v>
      </c>
      <c r="D263" t="s">
        <v>1128</v>
      </c>
      <c r="E263" t="s">
        <v>97</v>
      </c>
      <c r="F263" t="s">
        <v>201</v>
      </c>
      <c r="G263">
        <v>2</v>
      </c>
      <c r="H263" s="21">
        <v>1817.51</v>
      </c>
      <c r="I263">
        <v>15</v>
      </c>
      <c r="J263" s="21">
        <v>545.25</v>
      </c>
      <c r="K263">
        <v>12</v>
      </c>
      <c r="L263" s="21">
        <v>370.77</v>
      </c>
      <c r="M263" s="21">
        <v>3460.54</v>
      </c>
      <c r="N263" s="21">
        <v>2231.84</v>
      </c>
      <c r="O263" s="21">
        <v>857.93</v>
      </c>
      <c r="P263" t="s">
        <v>125</v>
      </c>
      <c r="Q263" t="s">
        <v>120</v>
      </c>
      <c r="R263" t="s">
        <v>151</v>
      </c>
      <c r="S263" t="s">
        <v>774</v>
      </c>
      <c r="T263" t="s">
        <v>161</v>
      </c>
      <c r="U263" t="s">
        <v>154</v>
      </c>
      <c r="V263" t="str">
        <f>IFERROR(INDEX(Products!$C:$C,MATCH(D263,Products!$A:$A,0)),"Unknown")</f>
        <v>Winter Wear</v>
      </c>
      <c r="W263" t="str">
        <f>IFERROR(INDEX(Products!$E:$E,MATCH(D263,Products!$A:$A,0)),"Unknown")</f>
        <v>Libas</v>
      </c>
      <c r="X263" t="str">
        <f>IFERROR(INDEX(Stores!$B:$B,MATCH(E263,Stores!$A:$A,0)),"Unknown")</f>
        <v>TrendMart Guntur Flagship</v>
      </c>
      <c r="Y263" t="str">
        <f>IFERROR(INDEX(Stores!$E:$E,MATCH(E263,Stores!$A:$A,0)),"Unknown")</f>
        <v>South Zone 3</v>
      </c>
      <c r="Z263" t="str">
        <f>IFERROR(INDEX(Customers!$J:$J,MATCH(C263,Customers!$A:$A,0)),"Unknown")</f>
        <v>Regular</v>
      </c>
      <c r="AA263" t="str">
        <f t="shared" si="4"/>
        <v>2024-12</v>
      </c>
      <c r="AB263" t="str">
        <f>IFERROR(INDEX(Products!$I:$I,MATCH(D263,Products!$A:$A,0)),"Unknown")</f>
        <v>SUP007</v>
      </c>
    </row>
    <row r="264" spans="1:28" x14ac:dyDescent="0.25">
      <c r="A264" t="s">
        <v>1129</v>
      </c>
      <c r="B264" s="20">
        <v>45458</v>
      </c>
      <c r="C264" t="s">
        <v>788</v>
      </c>
      <c r="D264" t="s">
        <v>1130</v>
      </c>
      <c r="E264" t="s">
        <v>291</v>
      </c>
      <c r="F264" t="s">
        <v>574</v>
      </c>
      <c r="G264">
        <v>2</v>
      </c>
      <c r="H264" s="21">
        <v>3756.23</v>
      </c>
      <c r="I264">
        <v>10</v>
      </c>
      <c r="J264" s="21">
        <v>751.25</v>
      </c>
      <c r="K264">
        <v>12</v>
      </c>
      <c r="L264" s="21">
        <v>811.35</v>
      </c>
      <c r="M264" s="21">
        <v>7572.56</v>
      </c>
      <c r="N264" s="21">
        <v>5464.62</v>
      </c>
      <c r="O264" s="21">
        <v>1296.5899999999999</v>
      </c>
      <c r="P264" t="s">
        <v>124</v>
      </c>
      <c r="Q264" t="s">
        <v>120</v>
      </c>
      <c r="R264" t="s">
        <v>151</v>
      </c>
      <c r="S264" t="s">
        <v>1131</v>
      </c>
      <c r="T264" t="s">
        <v>161</v>
      </c>
      <c r="U264" t="s">
        <v>154</v>
      </c>
      <c r="V264" t="str">
        <f>IFERROR(INDEX(Products!$C:$C,MATCH(D264,Products!$A:$A,0)),"Unknown")</f>
        <v>Women Sarees</v>
      </c>
      <c r="W264" t="str">
        <f>IFERROR(INDEX(Products!$E:$E,MATCH(D264,Products!$A:$A,0)),"Unknown")</f>
        <v>Sparx</v>
      </c>
      <c r="X264" t="str">
        <f>IFERROR(INDEX(Stores!$B:$B,MATCH(E264,Stores!$A:$A,0)),"Unknown")</f>
        <v>TrendMart Khammam Standard</v>
      </c>
      <c r="Y264" t="str">
        <f>IFERROR(INDEX(Stores!$E:$E,MATCH(E264,Stores!$A:$A,0)),"Unknown")</f>
        <v>South Zone 2</v>
      </c>
      <c r="Z264" t="str">
        <f>IFERROR(INDEX(Customers!$J:$J,MATCH(C264,Customers!$A:$A,0)),"Unknown")</f>
        <v>Silver</v>
      </c>
      <c r="AA264" t="str">
        <f t="shared" si="4"/>
        <v>2024-06</v>
      </c>
      <c r="AB264" t="str">
        <f>IFERROR(INDEX(Products!$I:$I,MATCH(D264,Products!$A:$A,0)),"Unknown")</f>
        <v>SUP069</v>
      </c>
    </row>
    <row r="265" spans="1:28" x14ac:dyDescent="0.25">
      <c r="A265" t="s">
        <v>1132</v>
      </c>
      <c r="B265" s="20">
        <v>45705</v>
      </c>
      <c r="C265" t="s">
        <v>582</v>
      </c>
      <c r="D265" t="s">
        <v>1133</v>
      </c>
      <c r="E265" t="s">
        <v>1023</v>
      </c>
      <c r="F265" t="s">
        <v>165</v>
      </c>
      <c r="G265">
        <v>1</v>
      </c>
      <c r="H265" s="21">
        <v>569.91</v>
      </c>
      <c r="I265">
        <v>0</v>
      </c>
      <c r="J265" s="21">
        <v>0</v>
      </c>
      <c r="K265">
        <v>5</v>
      </c>
      <c r="L265" s="21">
        <v>28.5</v>
      </c>
      <c r="M265" s="21">
        <v>598.41</v>
      </c>
      <c r="N265" s="21">
        <v>410.37</v>
      </c>
      <c r="O265" s="21">
        <v>159.54</v>
      </c>
      <c r="P265" t="s">
        <v>121</v>
      </c>
      <c r="Q265" t="s">
        <v>122</v>
      </c>
      <c r="R265" t="s">
        <v>151</v>
      </c>
      <c r="S265" t="s">
        <v>1134</v>
      </c>
      <c r="T265" t="s">
        <v>153</v>
      </c>
      <c r="U265" t="s">
        <v>154</v>
      </c>
      <c r="V265" t="str">
        <f>IFERROR(INDEX(Products!$C:$C,MATCH(D265,Products!$A:$A,0)),"Unknown")</f>
        <v>Sportswear</v>
      </c>
      <c r="W265" t="str">
        <f>IFERROR(INDEX(Products!$E:$E,MATCH(D265,Products!$A:$A,0)),"Unknown")</f>
        <v>Numero Uno</v>
      </c>
      <c r="X265" t="str">
        <f>IFERROR(INDEX(Stores!$B:$B,MATCH(E265,Stores!$A:$A,0)),"Unknown")</f>
        <v>TrendMart Kochi High Street</v>
      </c>
      <c r="Y265" t="str">
        <f>IFERROR(INDEX(Stores!$E:$E,MATCH(E265,Stores!$A:$A,0)),"Unknown")</f>
        <v>South Zone 1</v>
      </c>
      <c r="Z265" t="str">
        <f>IFERROR(INDEX(Customers!$J:$J,MATCH(C265,Customers!$A:$A,0)),"Unknown")</f>
        <v>Silver</v>
      </c>
      <c r="AA265" t="str">
        <f t="shared" si="4"/>
        <v>2025-02</v>
      </c>
      <c r="AB265" t="str">
        <f>IFERROR(INDEX(Products!$I:$I,MATCH(D265,Products!$A:$A,0)),"Unknown")</f>
        <v>SUP082</v>
      </c>
    </row>
    <row r="266" spans="1:28" x14ac:dyDescent="0.25">
      <c r="A266" t="s">
        <v>1135</v>
      </c>
      <c r="B266" s="20">
        <v>45728</v>
      </c>
      <c r="C266" t="s">
        <v>1136</v>
      </c>
      <c r="D266" t="s">
        <v>187</v>
      </c>
      <c r="E266" t="s">
        <v>226</v>
      </c>
      <c r="F266" t="s">
        <v>516</v>
      </c>
      <c r="G266">
        <v>1</v>
      </c>
      <c r="H266" s="21">
        <v>1426.9</v>
      </c>
      <c r="I266">
        <v>10</v>
      </c>
      <c r="J266" s="21">
        <v>142.69</v>
      </c>
      <c r="K266">
        <v>12</v>
      </c>
      <c r="L266" s="21">
        <v>154.11000000000001</v>
      </c>
      <c r="M266" s="21">
        <v>1438.32</v>
      </c>
      <c r="N266" s="21">
        <v>1148.6600000000001</v>
      </c>
      <c r="O266" s="21">
        <v>135.55000000000001</v>
      </c>
      <c r="P266" t="s">
        <v>121</v>
      </c>
      <c r="Q266" t="s">
        <v>122</v>
      </c>
      <c r="R266" t="s">
        <v>151</v>
      </c>
      <c r="S266" t="s">
        <v>1137</v>
      </c>
      <c r="T266" t="s">
        <v>153</v>
      </c>
      <c r="U266" t="s">
        <v>154</v>
      </c>
      <c r="V266" t="str">
        <f>IFERROR(INDEX(Products!$C:$C,MATCH(D266,Products!$A:$A,0)),"Unknown")</f>
        <v>Sportswear</v>
      </c>
      <c r="W266" t="str">
        <f>IFERROR(INDEX(Products!$E:$E,MATCH(D266,Products!$A:$A,0)),"Unknown")</f>
        <v>US Polo Assn</v>
      </c>
      <c r="X266" t="str">
        <f>IFERROR(INDEX(Stores!$B:$B,MATCH(E266,Stores!$A:$A,0)),"Unknown")</f>
        <v>TrendMart Kurnool Standard</v>
      </c>
      <c r="Y266" t="str">
        <f>IFERROR(INDEX(Stores!$E:$E,MATCH(E266,Stores!$A:$A,0)),"Unknown")</f>
        <v>South Zone 3</v>
      </c>
      <c r="Z266" t="str">
        <f>IFERROR(INDEX(Customers!$J:$J,MATCH(C266,Customers!$A:$A,0)),"Unknown")</f>
        <v>Platinum</v>
      </c>
      <c r="AA266" t="str">
        <f t="shared" si="4"/>
        <v>2025-03</v>
      </c>
      <c r="AB266" t="str">
        <f>IFERROR(INDEX(Products!$I:$I,MATCH(D266,Products!$A:$A,0)),"Unknown")</f>
        <v>SUP043</v>
      </c>
    </row>
    <row r="267" spans="1:28" x14ac:dyDescent="0.25">
      <c r="A267" t="s">
        <v>1138</v>
      </c>
      <c r="B267" s="20">
        <v>45410</v>
      </c>
      <c r="C267" t="s">
        <v>1139</v>
      </c>
      <c r="D267" t="s">
        <v>1140</v>
      </c>
      <c r="E267" t="s">
        <v>1141</v>
      </c>
      <c r="F267" t="s">
        <v>292</v>
      </c>
      <c r="G267">
        <v>1</v>
      </c>
      <c r="H267" s="21">
        <v>1403.17</v>
      </c>
      <c r="I267">
        <v>15</v>
      </c>
      <c r="J267" s="21">
        <v>210.48</v>
      </c>
      <c r="K267">
        <v>12</v>
      </c>
      <c r="L267" s="21">
        <v>143.12</v>
      </c>
      <c r="M267" s="21">
        <v>1335.81</v>
      </c>
      <c r="N267" s="21">
        <v>894.68</v>
      </c>
      <c r="O267" s="21">
        <v>298.01</v>
      </c>
      <c r="P267" t="s">
        <v>126</v>
      </c>
      <c r="Q267" t="s">
        <v>120</v>
      </c>
      <c r="R267" t="s">
        <v>151</v>
      </c>
      <c r="S267" t="s">
        <v>1142</v>
      </c>
      <c r="T267" t="s">
        <v>161</v>
      </c>
      <c r="U267" t="s">
        <v>154</v>
      </c>
      <c r="V267" t="str">
        <f>IFERROR(INDEX(Products!$C:$C,MATCH(D267,Products!$A:$A,0)),"Unknown")</f>
        <v>Sportswear</v>
      </c>
      <c r="W267" t="str">
        <f>IFERROR(INDEX(Products!$E:$E,MATCH(D267,Products!$A:$A,0)),"Unknown")</f>
        <v>Bata</v>
      </c>
      <c r="X267" t="str">
        <f>IFERROR(INDEX(Stores!$B:$B,MATCH(E267,Stores!$A:$A,0)),"Unknown")</f>
        <v>TrendMart Kochi Standard</v>
      </c>
      <c r="Y267" t="str">
        <f>IFERROR(INDEX(Stores!$E:$E,MATCH(E267,Stores!$A:$A,0)),"Unknown")</f>
        <v>South Zone 1</v>
      </c>
      <c r="Z267" t="str">
        <f>IFERROR(INDEX(Customers!$J:$J,MATCH(C267,Customers!$A:$A,0)),"Unknown")</f>
        <v>Silver</v>
      </c>
      <c r="AA267" t="str">
        <f t="shared" si="4"/>
        <v>2024-04</v>
      </c>
      <c r="AB267" t="str">
        <f>IFERROR(INDEX(Products!$I:$I,MATCH(D267,Products!$A:$A,0)),"Unknown")</f>
        <v>SUP065</v>
      </c>
    </row>
    <row r="268" spans="1:28" x14ac:dyDescent="0.25">
      <c r="A268" t="s">
        <v>1143</v>
      </c>
      <c r="B268" s="20">
        <v>45710</v>
      </c>
      <c r="C268" t="s">
        <v>1144</v>
      </c>
      <c r="D268" t="s">
        <v>415</v>
      </c>
      <c r="E268" t="s">
        <v>175</v>
      </c>
      <c r="F268" t="s">
        <v>176</v>
      </c>
      <c r="G268">
        <v>2</v>
      </c>
      <c r="H268" s="21">
        <v>1682.18</v>
      </c>
      <c r="I268">
        <v>15</v>
      </c>
      <c r="J268" s="21">
        <v>504.65</v>
      </c>
      <c r="K268">
        <v>12</v>
      </c>
      <c r="L268" s="21">
        <v>343.17</v>
      </c>
      <c r="M268" s="21">
        <v>3202.88</v>
      </c>
      <c r="N268" s="21">
        <v>2094.96</v>
      </c>
      <c r="O268" s="21">
        <v>764.75</v>
      </c>
      <c r="P268" t="s">
        <v>124</v>
      </c>
      <c r="Q268" t="s">
        <v>122</v>
      </c>
      <c r="R268" t="s">
        <v>151</v>
      </c>
      <c r="S268" t="s">
        <v>1145</v>
      </c>
      <c r="T268" t="s">
        <v>161</v>
      </c>
      <c r="U268" t="s">
        <v>154</v>
      </c>
      <c r="V268" t="str">
        <f>IFERROR(INDEX(Products!$C:$C,MATCH(D268,Products!$A:$A,0)),"Unknown")</f>
        <v>Women Jeans</v>
      </c>
      <c r="W268" t="str">
        <f>IFERROR(INDEX(Products!$E:$E,MATCH(D268,Products!$A:$A,0)),"Unknown")</f>
        <v>Killer Jeans</v>
      </c>
      <c r="X268" t="str">
        <f>IFERROR(INDEX(Stores!$B:$B,MATCH(E268,Stores!$A:$A,0)),"Unknown")</f>
        <v>TrendMart Thoothukudi Flagship</v>
      </c>
      <c r="Y268" t="str">
        <f>IFERROR(INDEX(Stores!$E:$E,MATCH(E268,Stores!$A:$A,0)),"Unknown")</f>
        <v>South Zone 1</v>
      </c>
      <c r="Z268" t="str">
        <f>IFERROR(INDEX(Customers!$J:$J,MATCH(C268,Customers!$A:$A,0)),"Unknown")</f>
        <v>Gold</v>
      </c>
      <c r="AA268" t="str">
        <f t="shared" si="4"/>
        <v>2025-02</v>
      </c>
      <c r="AB268" t="str">
        <f>IFERROR(INDEX(Products!$I:$I,MATCH(D268,Products!$A:$A,0)),"Unknown")</f>
        <v>SUP070</v>
      </c>
    </row>
    <row r="269" spans="1:28" x14ac:dyDescent="0.25">
      <c r="A269" t="s">
        <v>1146</v>
      </c>
      <c r="B269" s="20">
        <v>45637</v>
      </c>
      <c r="C269" t="s">
        <v>1147</v>
      </c>
      <c r="D269" t="s">
        <v>792</v>
      </c>
      <c r="E269" t="s">
        <v>1002</v>
      </c>
      <c r="F269" t="s">
        <v>434</v>
      </c>
      <c r="G269">
        <v>5</v>
      </c>
      <c r="H269" s="21">
        <v>1150.45</v>
      </c>
      <c r="I269">
        <v>10</v>
      </c>
      <c r="J269" s="21">
        <v>575.23</v>
      </c>
      <c r="K269">
        <v>12</v>
      </c>
      <c r="L269" s="21">
        <v>621.24</v>
      </c>
      <c r="M269" s="21">
        <v>5798.26</v>
      </c>
      <c r="N269" s="21">
        <v>3686.75</v>
      </c>
      <c r="O269" s="21">
        <v>1490.27</v>
      </c>
      <c r="P269" t="s">
        <v>123</v>
      </c>
      <c r="Q269" t="s">
        <v>120</v>
      </c>
      <c r="R269" t="s">
        <v>151</v>
      </c>
      <c r="S269" t="s">
        <v>356</v>
      </c>
      <c r="T269" t="s">
        <v>153</v>
      </c>
      <c r="U269" t="s">
        <v>154</v>
      </c>
      <c r="V269" t="str">
        <f>IFERROR(INDEX(Products!$C:$C,MATCH(D269,Products!$A:$A,0)),"Unknown")</f>
        <v>Belts</v>
      </c>
      <c r="W269" t="str">
        <f>IFERROR(INDEX(Products!$E:$E,MATCH(D269,Products!$A:$A,0)),"Unknown")</f>
        <v>Wrangler</v>
      </c>
      <c r="X269" t="str">
        <f>IFERROR(INDEX(Stores!$B:$B,MATCH(E269,Stores!$A:$A,0)),"Unknown")</f>
        <v>TrendMart Coimbatore Mall Kiosk</v>
      </c>
      <c r="Y269" t="str">
        <f>IFERROR(INDEX(Stores!$E:$E,MATCH(E269,Stores!$A:$A,0)),"Unknown")</f>
        <v>South Zone 1</v>
      </c>
      <c r="Z269" t="str">
        <f>IFERROR(INDEX(Customers!$J:$J,MATCH(C269,Customers!$A:$A,0)),"Unknown")</f>
        <v>Gold</v>
      </c>
      <c r="AA269" t="str">
        <f t="shared" si="4"/>
        <v>2024-12</v>
      </c>
      <c r="AB269" t="str">
        <f>IFERROR(INDEX(Products!$I:$I,MATCH(D269,Products!$A:$A,0)),"Unknown")</f>
        <v>SUP004</v>
      </c>
    </row>
    <row r="270" spans="1:28" x14ac:dyDescent="0.25">
      <c r="A270" t="s">
        <v>1148</v>
      </c>
      <c r="B270" s="20">
        <v>45574</v>
      </c>
      <c r="C270" t="s">
        <v>1149</v>
      </c>
      <c r="D270" t="s">
        <v>329</v>
      </c>
      <c r="E270" t="s">
        <v>470</v>
      </c>
      <c r="F270" t="s">
        <v>308</v>
      </c>
      <c r="G270">
        <v>3</v>
      </c>
      <c r="H270" s="21">
        <v>636.71</v>
      </c>
      <c r="I270">
        <v>0</v>
      </c>
      <c r="J270" s="21">
        <v>0</v>
      </c>
      <c r="K270">
        <v>5</v>
      </c>
      <c r="L270" s="21">
        <v>95.51</v>
      </c>
      <c r="M270" s="21">
        <v>2005.64</v>
      </c>
      <c r="N270" s="21">
        <v>1257.8399999999999</v>
      </c>
      <c r="O270" s="21">
        <v>652.29</v>
      </c>
      <c r="P270" t="s">
        <v>123</v>
      </c>
      <c r="Q270" t="s">
        <v>120</v>
      </c>
      <c r="R270" t="s">
        <v>313</v>
      </c>
      <c r="S270" t="s">
        <v>1150</v>
      </c>
      <c r="T270" t="s">
        <v>153</v>
      </c>
      <c r="U270" t="s">
        <v>154</v>
      </c>
      <c r="V270" t="str">
        <f>IFERROR(INDEX(Products!$C:$C,MATCH(D270,Products!$A:$A,0)),"Unknown")</f>
        <v>Men T-Shirts</v>
      </c>
      <c r="W270" t="str">
        <f>IFERROR(INDEX(Products!$E:$E,MATCH(D270,Products!$A:$A,0)),"Unknown")</f>
        <v>Peter England</v>
      </c>
      <c r="X270" t="str">
        <f>IFERROR(INDEX(Stores!$B:$B,MATCH(E270,Stores!$A:$A,0)),"Unknown")</f>
        <v>TrendMart Thiruvananthapuram High Street</v>
      </c>
      <c r="Y270" t="str">
        <f>IFERROR(INDEX(Stores!$E:$E,MATCH(E270,Stores!$A:$A,0)),"Unknown")</f>
        <v>South Zone 1</v>
      </c>
      <c r="Z270" t="str">
        <f>IFERROR(INDEX(Customers!$J:$J,MATCH(C270,Customers!$A:$A,0)),"Unknown")</f>
        <v>Silver</v>
      </c>
      <c r="AA270" t="str">
        <f t="shared" si="4"/>
        <v>2024-10</v>
      </c>
      <c r="AB270" t="str">
        <f>IFERROR(INDEX(Products!$I:$I,MATCH(D270,Products!$A:$A,0)),"Unknown")</f>
        <v>SUP071</v>
      </c>
    </row>
    <row r="271" spans="1:28" x14ac:dyDescent="0.25">
      <c r="A271" t="s">
        <v>1151</v>
      </c>
      <c r="B271" s="20">
        <v>45607</v>
      </c>
      <c r="C271" t="s">
        <v>1152</v>
      </c>
      <c r="D271" t="s">
        <v>285</v>
      </c>
      <c r="E271" t="s">
        <v>82</v>
      </c>
      <c r="F271" t="s">
        <v>211</v>
      </c>
      <c r="G271">
        <v>1</v>
      </c>
      <c r="H271" s="21">
        <v>713.25</v>
      </c>
      <c r="I271">
        <v>10</v>
      </c>
      <c r="J271" s="21">
        <v>71.33</v>
      </c>
      <c r="K271">
        <v>5</v>
      </c>
      <c r="L271" s="21">
        <v>32.1</v>
      </c>
      <c r="M271" s="21">
        <v>674.02</v>
      </c>
      <c r="N271" s="21">
        <v>499.31</v>
      </c>
      <c r="O271" s="21">
        <v>142.61000000000001</v>
      </c>
      <c r="P271" t="s">
        <v>124</v>
      </c>
      <c r="Q271" t="s">
        <v>120</v>
      </c>
      <c r="R271" t="s">
        <v>151</v>
      </c>
      <c r="S271" t="s">
        <v>1153</v>
      </c>
      <c r="T271" t="s">
        <v>153</v>
      </c>
      <c r="U271" t="s">
        <v>154</v>
      </c>
      <c r="V271" t="str">
        <f>IFERROR(INDEX(Products!$C:$C,MATCH(D271,Products!$A:$A,0)),"Unknown")</f>
        <v>Kids Wear</v>
      </c>
      <c r="W271" t="str">
        <f>IFERROR(INDEX(Products!$E:$E,MATCH(D271,Products!$A:$A,0)),"Unknown")</f>
        <v>Global Desi</v>
      </c>
      <c r="X271" t="str">
        <f>IFERROR(INDEX(Stores!$B:$B,MATCH(E271,Stores!$A:$A,0)),"Unknown")</f>
        <v>TrendMart Kochi High Street</v>
      </c>
      <c r="Y271" t="str">
        <f>IFERROR(INDEX(Stores!$E:$E,MATCH(E271,Stores!$A:$A,0)),"Unknown")</f>
        <v>South Zone 1</v>
      </c>
      <c r="Z271" t="str">
        <f>IFERROR(INDEX(Customers!$J:$J,MATCH(C271,Customers!$A:$A,0)),"Unknown")</f>
        <v>Silver</v>
      </c>
      <c r="AA271" t="str">
        <f t="shared" si="4"/>
        <v>2024-11</v>
      </c>
      <c r="AB271" t="str">
        <f>IFERROR(INDEX(Products!$I:$I,MATCH(D271,Products!$A:$A,0)),"Unknown")</f>
        <v>SUP008</v>
      </c>
    </row>
    <row r="272" spans="1:28" x14ac:dyDescent="0.25">
      <c r="A272" t="s">
        <v>1154</v>
      </c>
      <c r="B272" s="20">
        <v>45447</v>
      </c>
      <c r="C272" t="s">
        <v>1155</v>
      </c>
      <c r="D272" t="s">
        <v>1156</v>
      </c>
      <c r="E272" t="s">
        <v>83</v>
      </c>
      <c r="F272" t="s">
        <v>232</v>
      </c>
      <c r="G272">
        <v>2</v>
      </c>
      <c r="H272" s="21">
        <v>634.07000000000005</v>
      </c>
      <c r="I272">
        <v>0</v>
      </c>
      <c r="J272" s="21">
        <v>0</v>
      </c>
      <c r="K272">
        <v>5</v>
      </c>
      <c r="L272" s="21">
        <v>63.41</v>
      </c>
      <c r="M272" s="21">
        <v>1331.55</v>
      </c>
      <c r="N272" s="21">
        <v>1018.88</v>
      </c>
      <c r="O272" s="21">
        <v>249.26</v>
      </c>
      <c r="P272" t="s">
        <v>121</v>
      </c>
      <c r="Q272" t="s">
        <v>120</v>
      </c>
      <c r="R272" t="s">
        <v>151</v>
      </c>
      <c r="S272" t="s">
        <v>1157</v>
      </c>
      <c r="T272" t="s">
        <v>153</v>
      </c>
      <c r="U272" t="s">
        <v>154</v>
      </c>
      <c r="V272" t="str">
        <f>IFERROR(INDEX(Products!$C:$C,MATCH(D272,Products!$A:$A,0)),"Unknown")</f>
        <v>Kids Wear</v>
      </c>
      <c r="W272" t="str">
        <f>IFERROR(INDEX(Products!$E:$E,MATCH(D272,Products!$A:$A,0)),"Unknown")</f>
        <v>Allen Solly</v>
      </c>
      <c r="X272" t="str">
        <f>IFERROR(INDEX(Stores!$B:$B,MATCH(E272,Stores!$A:$A,0)),"Unknown")</f>
        <v>TrendMart Vellore Standard</v>
      </c>
      <c r="Y272" t="str">
        <f>IFERROR(INDEX(Stores!$E:$E,MATCH(E272,Stores!$A:$A,0)),"Unknown")</f>
        <v>South Zone 1</v>
      </c>
      <c r="Z272" t="str">
        <f>IFERROR(INDEX(Customers!$J:$J,MATCH(C272,Customers!$A:$A,0)),"Unknown")</f>
        <v>Silver</v>
      </c>
      <c r="AA272" t="str">
        <f t="shared" si="4"/>
        <v>2024-06</v>
      </c>
      <c r="AB272" t="str">
        <f>IFERROR(INDEX(Products!$I:$I,MATCH(D272,Products!$A:$A,0)),"Unknown")</f>
        <v>SUP026</v>
      </c>
    </row>
    <row r="273" spans="1:28" x14ac:dyDescent="0.25">
      <c r="A273" t="s">
        <v>1158</v>
      </c>
      <c r="B273" s="20">
        <v>45536</v>
      </c>
      <c r="C273" t="s">
        <v>1159</v>
      </c>
      <c r="D273" t="s">
        <v>1160</v>
      </c>
      <c r="E273" t="s">
        <v>848</v>
      </c>
      <c r="F273" t="s">
        <v>201</v>
      </c>
      <c r="G273">
        <v>1</v>
      </c>
      <c r="H273" s="21">
        <v>1490.23</v>
      </c>
      <c r="I273">
        <v>5</v>
      </c>
      <c r="J273" s="21">
        <v>74.510000000000005</v>
      </c>
      <c r="K273">
        <v>12</v>
      </c>
      <c r="L273" s="21">
        <v>169.89</v>
      </c>
      <c r="M273" s="21">
        <v>1585.61</v>
      </c>
      <c r="N273" s="21">
        <v>975.36</v>
      </c>
      <c r="O273" s="21">
        <v>440.36</v>
      </c>
      <c r="P273" t="s">
        <v>124</v>
      </c>
      <c r="Q273" t="s">
        <v>120</v>
      </c>
      <c r="R273" t="s">
        <v>151</v>
      </c>
      <c r="S273" t="s">
        <v>1161</v>
      </c>
      <c r="T273" t="s">
        <v>161</v>
      </c>
      <c r="U273" t="s">
        <v>154</v>
      </c>
      <c r="V273" t="str">
        <f>IFERROR(INDEX(Products!$C:$C,MATCH(D273,Products!$A:$A,0)),"Unknown")</f>
        <v>Men Jeans</v>
      </c>
      <c r="W273" t="str">
        <f>IFERROR(INDEX(Products!$E:$E,MATCH(D273,Products!$A:$A,0)),"Unknown")</f>
        <v>Skechers</v>
      </c>
      <c r="X273" t="str">
        <f>IFERROR(INDEX(Stores!$B:$B,MATCH(E273,Stores!$A:$A,0)),"Unknown")</f>
        <v>TrendMart Shivamogga Standard</v>
      </c>
      <c r="Y273" t="str">
        <f>IFERROR(INDEX(Stores!$E:$E,MATCH(E273,Stores!$A:$A,0)),"Unknown")</f>
        <v>South Zone 2</v>
      </c>
      <c r="Z273" t="str">
        <f>IFERROR(INDEX(Customers!$J:$J,MATCH(C273,Customers!$A:$A,0)),"Unknown")</f>
        <v>Silver</v>
      </c>
      <c r="AA273" t="str">
        <f t="shared" si="4"/>
        <v>2024-09</v>
      </c>
      <c r="AB273" t="str">
        <f>IFERROR(INDEX(Products!$I:$I,MATCH(D273,Products!$A:$A,0)),"Unknown")</f>
        <v>SUP013</v>
      </c>
    </row>
    <row r="274" spans="1:28" x14ac:dyDescent="0.25">
      <c r="A274" t="s">
        <v>1162</v>
      </c>
      <c r="B274" s="20">
        <v>45591</v>
      </c>
      <c r="C274" t="s">
        <v>485</v>
      </c>
      <c r="D274" t="s">
        <v>1088</v>
      </c>
      <c r="E274" t="s">
        <v>1163</v>
      </c>
      <c r="F274" t="s">
        <v>397</v>
      </c>
      <c r="G274">
        <v>1</v>
      </c>
      <c r="H274" s="21">
        <v>881</v>
      </c>
      <c r="I274">
        <v>30</v>
      </c>
      <c r="J274" s="21">
        <v>264.3</v>
      </c>
      <c r="K274">
        <v>5</v>
      </c>
      <c r="L274" s="21">
        <v>30.84</v>
      </c>
      <c r="M274" s="21">
        <v>647.54</v>
      </c>
      <c r="N274" s="21">
        <v>599.28</v>
      </c>
      <c r="O274" s="21">
        <v>17.420000000000002</v>
      </c>
      <c r="P274" t="s">
        <v>121</v>
      </c>
      <c r="Q274" t="s">
        <v>122</v>
      </c>
      <c r="R274" t="s">
        <v>151</v>
      </c>
      <c r="S274" t="s">
        <v>551</v>
      </c>
      <c r="T274" t="s">
        <v>161</v>
      </c>
      <c r="U274" t="s">
        <v>154</v>
      </c>
      <c r="V274" t="str">
        <f>IFERROR(INDEX(Products!$C:$C,MATCH(D274,Products!$A:$A,0)),"Unknown")</f>
        <v>Women Kurtis</v>
      </c>
      <c r="W274" t="str">
        <f>IFERROR(INDEX(Products!$E:$E,MATCH(D274,Products!$A:$A,0)),"Unknown")</f>
        <v>Metro Shoes</v>
      </c>
      <c r="X274" t="str">
        <f>IFERROR(INDEX(Stores!$B:$B,MATCH(E274,Stores!$A:$A,0)),"Unknown")</f>
        <v>TrendMart Alappuzha Outlet</v>
      </c>
      <c r="Y274" t="str">
        <f>IFERROR(INDEX(Stores!$E:$E,MATCH(E274,Stores!$A:$A,0)),"Unknown")</f>
        <v>South Zone 1</v>
      </c>
      <c r="Z274" t="str">
        <f>IFERROR(INDEX(Customers!$J:$J,MATCH(C274,Customers!$A:$A,0)),"Unknown")</f>
        <v>Silver</v>
      </c>
      <c r="AA274" t="str">
        <f t="shared" si="4"/>
        <v>2024-10</v>
      </c>
      <c r="AB274" t="str">
        <f>IFERROR(INDEX(Products!$I:$I,MATCH(D274,Products!$A:$A,0)),"Unknown")</f>
        <v>SUP045</v>
      </c>
    </row>
    <row r="275" spans="1:28" x14ac:dyDescent="0.25">
      <c r="A275" t="s">
        <v>1164</v>
      </c>
      <c r="B275" s="20">
        <v>45644</v>
      </c>
      <c r="C275" t="s">
        <v>209</v>
      </c>
      <c r="D275" t="s">
        <v>174</v>
      </c>
      <c r="E275" t="s">
        <v>343</v>
      </c>
      <c r="F275" t="s">
        <v>382</v>
      </c>
      <c r="G275">
        <v>2</v>
      </c>
      <c r="H275" s="21">
        <v>789.85</v>
      </c>
      <c r="I275">
        <v>25</v>
      </c>
      <c r="J275" s="21">
        <v>394.93</v>
      </c>
      <c r="K275">
        <v>5</v>
      </c>
      <c r="L275" s="21">
        <v>59.24</v>
      </c>
      <c r="M275" s="21">
        <v>1244.01</v>
      </c>
      <c r="N275" s="21">
        <v>1079.52</v>
      </c>
      <c r="O275" s="21">
        <v>105.25</v>
      </c>
      <c r="P275" t="s">
        <v>124</v>
      </c>
      <c r="Q275" t="s">
        <v>120</v>
      </c>
      <c r="R275" t="s">
        <v>151</v>
      </c>
      <c r="S275" t="s">
        <v>1165</v>
      </c>
      <c r="T275" t="s">
        <v>153</v>
      </c>
      <c r="U275" t="s">
        <v>154</v>
      </c>
      <c r="V275" t="str">
        <f>IFERROR(INDEX(Products!$C:$C,MATCH(D275,Products!$A:$A,0)),"Unknown")</f>
        <v>Women Kurtis</v>
      </c>
      <c r="W275" t="str">
        <f>IFERROR(INDEX(Products!$E:$E,MATCH(D275,Products!$A:$A,0)),"Unknown")</f>
        <v>Reebok</v>
      </c>
      <c r="X275" t="str">
        <f>IFERROR(INDEX(Stores!$B:$B,MATCH(E275,Stores!$A:$A,0)),"Unknown")</f>
        <v>TrendMart Tumakuru Outlet</v>
      </c>
      <c r="Y275" t="str">
        <f>IFERROR(INDEX(Stores!$E:$E,MATCH(E275,Stores!$A:$A,0)),"Unknown")</f>
        <v>South Zone 2</v>
      </c>
      <c r="Z275" t="str">
        <f>IFERROR(INDEX(Customers!$J:$J,MATCH(C275,Customers!$A:$A,0)),"Unknown")</f>
        <v>Silver</v>
      </c>
      <c r="AA275" t="str">
        <f t="shared" si="4"/>
        <v>2024-12</v>
      </c>
      <c r="AB275" t="str">
        <f>IFERROR(INDEX(Products!$I:$I,MATCH(D275,Products!$A:$A,0)),"Unknown")</f>
        <v>SUP012</v>
      </c>
    </row>
    <row r="276" spans="1:28" x14ac:dyDescent="0.25">
      <c r="A276" t="s">
        <v>1166</v>
      </c>
      <c r="B276" s="20">
        <v>45587</v>
      </c>
      <c r="C276" t="s">
        <v>1167</v>
      </c>
      <c r="D276" t="s">
        <v>164</v>
      </c>
      <c r="E276" t="s">
        <v>181</v>
      </c>
      <c r="F276" t="s">
        <v>434</v>
      </c>
      <c r="G276">
        <v>1</v>
      </c>
      <c r="H276" s="21">
        <v>3706.83</v>
      </c>
      <c r="I276">
        <v>30</v>
      </c>
      <c r="J276" s="21">
        <v>1112.05</v>
      </c>
      <c r="K276">
        <v>12</v>
      </c>
      <c r="L276" s="21">
        <v>311.37</v>
      </c>
      <c r="M276" s="21">
        <v>2906.15</v>
      </c>
      <c r="N276" s="21">
        <v>2633.56</v>
      </c>
      <c r="O276" s="21">
        <v>-38.78</v>
      </c>
      <c r="P276" t="s">
        <v>121</v>
      </c>
      <c r="Q276" t="s">
        <v>120</v>
      </c>
      <c r="R276" t="s">
        <v>151</v>
      </c>
      <c r="S276" t="s">
        <v>1168</v>
      </c>
      <c r="T276" t="s">
        <v>153</v>
      </c>
      <c r="U276" t="s">
        <v>184</v>
      </c>
      <c r="V276" t="str">
        <f>IFERROR(INDEX(Products!$C:$C,MATCH(D276,Products!$A:$A,0)),"Unknown")</f>
        <v>Women Sarees</v>
      </c>
      <c r="W276" t="str">
        <f>IFERROR(INDEX(Products!$E:$E,MATCH(D276,Products!$A:$A,0)),"Unknown")</f>
        <v>Westside</v>
      </c>
      <c r="X276" t="str">
        <f>IFERROR(INDEX(Stores!$B:$B,MATCH(E276,Stores!$A:$A,0)),"Unknown")</f>
        <v>TrendMart Kurnool High Street</v>
      </c>
      <c r="Y276" t="str">
        <f>IFERROR(INDEX(Stores!$E:$E,MATCH(E276,Stores!$A:$A,0)),"Unknown")</f>
        <v>South Zone 3</v>
      </c>
      <c r="Z276" t="str">
        <f>IFERROR(INDEX(Customers!$J:$J,MATCH(C276,Customers!$A:$A,0)),"Unknown")</f>
        <v>Regular</v>
      </c>
      <c r="AA276" t="str">
        <f t="shared" si="4"/>
        <v>2024-10</v>
      </c>
      <c r="AB276" t="str">
        <f>IFERROR(INDEX(Products!$I:$I,MATCH(D276,Products!$A:$A,0)),"Unknown")</f>
        <v>SUP069</v>
      </c>
    </row>
    <row r="277" spans="1:28" x14ac:dyDescent="0.25">
      <c r="A277" t="s">
        <v>1169</v>
      </c>
      <c r="B277" s="20">
        <v>45525</v>
      </c>
      <c r="C277" t="s">
        <v>1170</v>
      </c>
      <c r="D277" t="s">
        <v>498</v>
      </c>
      <c r="E277" t="s">
        <v>1171</v>
      </c>
      <c r="F277" t="s">
        <v>377</v>
      </c>
      <c r="G277">
        <v>1</v>
      </c>
      <c r="H277" s="21">
        <v>420.27</v>
      </c>
      <c r="I277">
        <v>0</v>
      </c>
      <c r="J277" s="21">
        <v>0</v>
      </c>
      <c r="K277">
        <v>5</v>
      </c>
      <c r="L277" s="21">
        <v>21.01</v>
      </c>
      <c r="M277" s="21">
        <v>441.28</v>
      </c>
      <c r="N277" s="21">
        <v>315.13</v>
      </c>
      <c r="O277" s="21">
        <v>105.14</v>
      </c>
      <c r="P277" t="s">
        <v>121</v>
      </c>
      <c r="Q277" t="s">
        <v>120</v>
      </c>
      <c r="R277" t="s">
        <v>151</v>
      </c>
      <c r="S277" t="s">
        <v>474</v>
      </c>
      <c r="T277" t="s">
        <v>153</v>
      </c>
      <c r="U277" t="s">
        <v>154</v>
      </c>
      <c r="V277" t="str">
        <f>IFERROR(INDEX(Products!$C:$C,MATCH(D277,Products!$A:$A,0)),"Unknown")</f>
        <v>Belts</v>
      </c>
      <c r="W277" t="str">
        <f>IFERROR(INDEX(Products!$E:$E,MATCH(D277,Products!$A:$A,0)),"Unknown")</f>
        <v>Nike</v>
      </c>
      <c r="X277" t="str">
        <f>IFERROR(INDEX(Stores!$B:$B,MATCH(E277,Stores!$A:$A,0)),"Unknown")</f>
        <v>TrendMart Chennai Standard</v>
      </c>
      <c r="Y277" t="str">
        <f>IFERROR(INDEX(Stores!$E:$E,MATCH(E277,Stores!$A:$A,0)),"Unknown")</f>
        <v>South Zone 1</v>
      </c>
      <c r="Z277" t="str">
        <f>IFERROR(INDEX(Customers!$J:$J,MATCH(C277,Customers!$A:$A,0)),"Unknown")</f>
        <v>Gold</v>
      </c>
      <c r="AA277" t="str">
        <f t="shared" si="4"/>
        <v>2024-08</v>
      </c>
      <c r="AB277" t="str">
        <f>IFERROR(INDEX(Products!$I:$I,MATCH(D277,Products!$A:$A,0)),"Unknown")</f>
        <v>SUP071</v>
      </c>
    </row>
    <row r="278" spans="1:28" x14ac:dyDescent="0.25">
      <c r="A278" t="s">
        <v>1172</v>
      </c>
      <c r="B278" s="20">
        <v>45645</v>
      </c>
      <c r="C278" t="s">
        <v>1173</v>
      </c>
      <c r="D278" t="s">
        <v>257</v>
      </c>
      <c r="E278" t="s">
        <v>175</v>
      </c>
      <c r="F278" t="s">
        <v>269</v>
      </c>
      <c r="G278">
        <v>4</v>
      </c>
      <c r="H278" s="21">
        <v>990.92</v>
      </c>
      <c r="I278">
        <v>20</v>
      </c>
      <c r="J278" s="21">
        <v>792.74</v>
      </c>
      <c r="K278">
        <v>5</v>
      </c>
      <c r="L278" s="21">
        <v>158.55000000000001</v>
      </c>
      <c r="M278" s="21">
        <v>3329.49</v>
      </c>
      <c r="N278" s="21">
        <v>2884.88</v>
      </c>
      <c r="O278" s="21">
        <v>286.06</v>
      </c>
      <c r="P278" t="s">
        <v>121</v>
      </c>
      <c r="Q278" t="s">
        <v>120</v>
      </c>
      <c r="R278" t="s">
        <v>151</v>
      </c>
      <c r="S278" t="s">
        <v>1174</v>
      </c>
      <c r="T278" t="s">
        <v>153</v>
      </c>
      <c r="U278" t="s">
        <v>154</v>
      </c>
      <c r="V278" t="str">
        <f>IFERROR(INDEX(Products!$C:$C,MATCH(D278,Products!$A:$A,0)),"Unknown")</f>
        <v>Men Shirts</v>
      </c>
      <c r="W278" t="str">
        <f>IFERROR(INDEX(Products!$E:$E,MATCH(D278,Products!$A:$A,0)),"Unknown")</f>
        <v>Indian Terrain</v>
      </c>
      <c r="X278" t="str">
        <f>IFERROR(INDEX(Stores!$B:$B,MATCH(E278,Stores!$A:$A,0)),"Unknown")</f>
        <v>TrendMart Thoothukudi Flagship</v>
      </c>
      <c r="Y278" t="str">
        <f>IFERROR(INDEX(Stores!$E:$E,MATCH(E278,Stores!$A:$A,0)),"Unknown")</f>
        <v>South Zone 1</v>
      </c>
      <c r="Z278" t="str">
        <f>IFERROR(INDEX(Customers!$J:$J,MATCH(C278,Customers!$A:$A,0)),"Unknown")</f>
        <v>Regular</v>
      </c>
      <c r="AA278" t="str">
        <f t="shared" si="4"/>
        <v>2024-12</v>
      </c>
      <c r="AB278" t="str">
        <f>IFERROR(INDEX(Products!$I:$I,MATCH(D278,Products!$A:$A,0)),"Unknown")</f>
        <v>SUP080</v>
      </c>
    </row>
    <row r="279" spans="1:28" x14ac:dyDescent="0.25">
      <c r="A279" t="s">
        <v>1175</v>
      </c>
      <c r="B279" s="20">
        <v>45568</v>
      </c>
      <c r="C279" t="s">
        <v>713</v>
      </c>
      <c r="D279" t="s">
        <v>612</v>
      </c>
      <c r="E279" t="s">
        <v>291</v>
      </c>
      <c r="F279" t="s">
        <v>516</v>
      </c>
      <c r="G279">
        <v>1</v>
      </c>
      <c r="H279" s="21">
        <v>625.67999999999995</v>
      </c>
      <c r="I279">
        <v>10</v>
      </c>
      <c r="J279" s="21">
        <v>62.57</v>
      </c>
      <c r="K279">
        <v>5</v>
      </c>
      <c r="L279" s="21">
        <v>28.16</v>
      </c>
      <c r="M279" s="21">
        <v>591.27</v>
      </c>
      <c r="N279" s="21">
        <v>369</v>
      </c>
      <c r="O279" s="21">
        <v>194.11</v>
      </c>
      <c r="P279" t="s">
        <v>124</v>
      </c>
      <c r="Q279" t="s">
        <v>120</v>
      </c>
      <c r="R279" t="s">
        <v>151</v>
      </c>
      <c r="S279" t="s">
        <v>631</v>
      </c>
      <c r="T279" t="s">
        <v>153</v>
      </c>
      <c r="U279" t="s">
        <v>154</v>
      </c>
      <c r="V279" t="str">
        <f>IFERROR(INDEX(Products!$C:$C,MATCH(D279,Products!$A:$A,0)),"Unknown")</f>
        <v>Men T-Shirts</v>
      </c>
      <c r="W279" t="str">
        <f>IFERROR(INDEX(Products!$E:$E,MATCH(D279,Products!$A:$A,0)),"Unknown")</f>
        <v>Killer Jeans</v>
      </c>
      <c r="X279" t="str">
        <f>IFERROR(INDEX(Stores!$B:$B,MATCH(E279,Stores!$A:$A,0)),"Unknown")</f>
        <v>TrendMart Khammam Standard</v>
      </c>
      <c r="Y279" t="str">
        <f>IFERROR(INDEX(Stores!$E:$E,MATCH(E279,Stores!$A:$A,0)),"Unknown")</f>
        <v>South Zone 2</v>
      </c>
      <c r="Z279" t="str">
        <f>IFERROR(INDEX(Customers!$J:$J,MATCH(C279,Customers!$A:$A,0)),"Unknown")</f>
        <v>Regular</v>
      </c>
      <c r="AA279" t="str">
        <f t="shared" si="4"/>
        <v>2024-10</v>
      </c>
      <c r="AB279" t="str">
        <f>IFERROR(INDEX(Products!$I:$I,MATCH(D279,Products!$A:$A,0)),"Unknown")</f>
        <v>SUP056</v>
      </c>
    </row>
    <row r="280" spans="1:28" x14ac:dyDescent="0.25">
      <c r="A280" t="s">
        <v>1176</v>
      </c>
      <c r="B280" s="20">
        <v>45413</v>
      </c>
      <c r="C280" t="s">
        <v>1177</v>
      </c>
      <c r="D280" t="s">
        <v>1178</v>
      </c>
      <c r="E280" t="s">
        <v>451</v>
      </c>
      <c r="F280" t="s">
        <v>516</v>
      </c>
      <c r="G280">
        <v>2</v>
      </c>
      <c r="H280" s="21">
        <v>1820.84</v>
      </c>
      <c r="I280">
        <v>30</v>
      </c>
      <c r="J280" s="21">
        <v>1092.5</v>
      </c>
      <c r="K280">
        <v>12</v>
      </c>
      <c r="L280" s="21">
        <v>305.89999999999998</v>
      </c>
      <c r="M280" s="21">
        <v>2855.08</v>
      </c>
      <c r="N280" s="21">
        <v>2290.42</v>
      </c>
      <c r="O280" s="21">
        <v>258.76</v>
      </c>
      <c r="P280" t="s">
        <v>123</v>
      </c>
      <c r="Q280" t="s">
        <v>120</v>
      </c>
      <c r="R280" t="s">
        <v>151</v>
      </c>
      <c r="S280" t="s">
        <v>1179</v>
      </c>
      <c r="T280" t="s">
        <v>153</v>
      </c>
      <c r="U280" t="s">
        <v>154</v>
      </c>
      <c r="V280" t="str">
        <f>IFERROR(INDEX(Products!$C:$C,MATCH(D280,Products!$A:$A,0)),"Unknown")</f>
        <v>Footwear</v>
      </c>
      <c r="W280" t="str">
        <f>IFERROR(INDEX(Products!$E:$E,MATCH(D280,Products!$A:$A,0)),"Unknown")</f>
        <v>Sparx</v>
      </c>
      <c r="X280" t="str">
        <f>IFERROR(INDEX(Stores!$B:$B,MATCH(E280,Stores!$A:$A,0)),"Unknown")</f>
        <v>TrendMart Thoothukudi High Street</v>
      </c>
      <c r="Y280" t="str">
        <f>IFERROR(INDEX(Stores!$E:$E,MATCH(E280,Stores!$A:$A,0)),"Unknown")</f>
        <v>South Zone 1</v>
      </c>
      <c r="Z280" t="str">
        <f>IFERROR(INDEX(Customers!$J:$J,MATCH(C280,Customers!$A:$A,0)),"Unknown")</f>
        <v>Silver</v>
      </c>
      <c r="AA280" t="str">
        <f t="shared" si="4"/>
        <v>2024-05</v>
      </c>
      <c r="AB280" t="str">
        <f>IFERROR(INDEX(Products!$I:$I,MATCH(D280,Products!$A:$A,0)),"Unknown")</f>
        <v>SUP063</v>
      </c>
    </row>
    <row r="281" spans="1:28" x14ac:dyDescent="0.25">
      <c r="A281" t="s">
        <v>1180</v>
      </c>
      <c r="B281" s="20">
        <v>45443</v>
      </c>
      <c r="C281" t="s">
        <v>1181</v>
      </c>
      <c r="D281" t="s">
        <v>246</v>
      </c>
      <c r="E281" t="s">
        <v>86</v>
      </c>
      <c r="F281" t="s">
        <v>382</v>
      </c>
      <c r="G281">
        <v>1</v>
      </c>
      <c r="H281" s="21">
        <v>1285.3599999999999</v>
      </c>
      <c r="I281">
        <v>30</v>
      </c>
      <c r="J281" s="21">
        <v>385.61</v>
      </c>
      <c r="K281">
        <v>12</v>
      </c>
      <c r="L281" s="21">
        <v>107.97</v>
      </c>
      <c r="M281" s="21">
        <v>1007.72</v>
      </c>
      <c r="N281" s="21">
        <v>865.48</v>
      </c>
      <c r="O281" s="21">
        <v>34.270000000000003</v>
      </c>
      <c r="P281" t="s">
        <v>123</v>
      </c>
      <c r="Q281" t="s">
        <v>122</v>
      </c>
      <c r="R281" t="s">
        <v>151</v>
      </c>
      <c r="S281" t="s">
        <v>542</v>
      </c>
      <c r="T281" t="s">
        <v>153</v>
      </c>
      <c r="U281" t="s">
        <v>154</v>
      </c>
      <c r="V281" t="str">
        <f>IFERROR(INDEX(Products!$C:$C,MATCH(D281,Products!$A:$A,0)),"Unknown")</f>
        <v>Women Dresses</v>
      </c>
      <c r="W281" t="str">
        <f>IFERROR(INDEX(Products!$E:$E,MATCH(D281,Products!$A:$A,0)),"Unknown")</f>
        <v>Tanishq</v>
      </c>
      <c r="X281" t="str">
        <f>IFERROR(INDEX(Stores!$B:$B,MATCH(E281,Stores!$A:$A,0)),"Unknown")</f>
        <v>TrendMart Warangal High Street</v>
      </c>
      <c r="Y281" t="str">
        <f>IFERROR(INDEX(Stores!$E:$E,MATCH(E281,Stores!$A:$A,0)),"Unknown")</f>
        <v>South Zone 2</v>
      </c>
      <c r="Z281" t="str">
        <f>IFERROR(INDEX(Customers!$J:$J,MATCH(C281,Customers!$A:$A,0)),"Unknown")</f>
        <v>Gold</v>
      </c>
      <c r="AA281" t="str">
        <f t="shared" si="4"/>
        <v>2024-05</v>
      </c>
      <c r="AB281" t="str">
        <f>IFERROR(INDEX(Products!$I:$I,MATCH(D281,Products!$A:$A,0)),"Unknown")</f>
        <v>SUP002</v>
      </c>
    </row>
    <row r="282" spans="1:28" x14ac:dyDescent="0.25">
      <c r="A282" t="s">
        <v>1182</v>
      </c>
      <c r="B282" s="20">
        <v>45391</v>
      </c>
      <c r="C282" t="s">
        <v>1183</v>
      </c>
      <c r="D282" t="s">
        <v>317</v>
      </c>
      <c r="E282" t="s">
        <v>515</v>
      </c>
      <c r="F282" t="s">
        <v>550</v>
      </c>
      <c r="G282">
        <v>4</v>
      </c>
      <c r="H282" s="21">
        <v>2157.58</v>
      </c>
      <c r="I282">
        <v>15</v>
      </c>
      <c r="J282" s="21">
        <v>1294.55</v>
      </c>
      <c r="K282">
        <v>12</v>
      </c>
      <c r="L282" s="21">
        <v>880.29</v>
      </c>
      <c r="M282" s="21">
        <v>8216.06</v>
      </c>
      <c r="N282" s="21">
        <v>5846.92</v>
      </c>
      <c r="O282" s="21">
        <v>1488.85</v>
      </c>
      <c r="P282" t="s">
        <v>124</v>
      </c>
      <c r="Q282" t="s">
        <v>120</v>
      </c>
      <c r="R282" t="s">
        <v>151</v>
      </c>
      <c r="S282" t="s">
        <v>1184</v>
      </c>
      <c r="T282" t="s">
        <v>153</v>
      </c>
      <c r="U282" t="s">
        <v>154</v>
      </c>
      <c r="V282" t="str">
        <f>IFERROR(INDEX(Products!$C:$C,MATCH(D282,Products!$A:$A,0)),"Unknown")</f>
        <v>Handbags</v>
      </c>
      <c r="W282" t="str">
        <f>IFERROR(INDEX(Products!$E:$E,MATCH(D282,Products!$A:$A,0)),"Unknown")</f>
        <v>Titan</v>
      </c>
      <c r="X282" t="str">
        <f>IFERROR(INDEX(Stores!$B:$B,MATCH(E282,Stores!$A:$A,0)),"Unknown")</f>
        <v>TrendMart Kochi High Street</v>
      </c>
      <c r="Y282" t="str">
        <f>IFERROR(INDEX(Stores!$E:$E,MATCH(E282,Stores!$A:$A,0)),"Unknown")</f>
        <v>South Zone 1</v>
      </c>
      <c r="Z282" t="str">
        <f>IFERROR(INDEX(Customers!$J:$J,MATCH(C282,Customers!$A:$A,0)),"Unknown")</f>
        <v>Silver</v>
      </c>
      <c r="AA282" t="str">
        <f t="shared" si="4"/>
        <v>2024-04</v>
      </c>
      <c r="AB282" t="str">
        <f>IFERROR(INDEX(Products!$I:$I,MATCH(D282,Products!$A:$A,0)),"Unknown")</f>
        <v>SUP027</v>
      </c>
    </row>
    <row r="283" spans="1:28" x14ac:dyDescent="0.25">
      <c r="A283" t="s">
        <v>1185</v>
      </c>
      <c r="B283" s="20">
        <v>45401</v>
      </c>
      <c r="C283" t="s">
        <v>940</v>
      </c>
      <c r="D283" t="s">
        <v>1186</v>
      </c>
      <c r="E283" t="s">
        <v>1187</v>
      </c>
      <c r="F283" t="s">
        <v>292</v>
      </c>
      <c r="G283">
        <v>3</v>
      </c>
      <c r="H283" s="21">
        <v>1070.6600000000001</v>
      </c>
      <c r="I283">
        <v>20</v>
      </c>
      <c r="J283" s="21">
        <v>642.4</v>
      </c>
      <c r="K283">
        <v>12</v>
      </c>
      <c r="L283" s="21">
        <v>308.35000000000002</v>
      </c>
      <c r="M283" s="21">
        <v>2877.93</v>
      </c>
      <c r="N283" s="21">
        <v>2446.35</v>
      </c>
      <c r="O283" s="21">
        <v>123.23</v>
      </c>
      <c r="P283" t="s">
        <v>124</v>
      </c>
      <c r="Q283" t="s">
        <v>122</v>
      </c>
      <c r="R283" t="s">
        <v>151</v>
      </c>
      <c r="S283" t="s">
        <v>872</v>
      </c>
      <c r="T283" t="s">
        <v>153</v>
      </c>
      <c r="U283" t="s">
        <v>154</v>
      </c>
      <c r="V283" t="str">
        <f>IFERROR(INDEX(Products!$C:$C,MATCH(D283,Products!$A:$A,0)),"Unknown")</f>
        <v>Wallets</v>
      </c>
      <c r="W283" t="str">
        <f>IFERROR(INDEX(Products!$E:$E,MATCH(D283,Products!$A:$A,0)),"Unknown")</f>
        <v>Levi's</v>
      </c>
      <c r="X283" t="str">
        <f>IFERROR(INDEX(Stores!$B:$B,MATCH(E283,Stores!$A:$A,0)),"Unknown")</f>
        <v>TrendMart Vijayawada Mall Kiosk</v>
      </c>
      <c r="Y283" t="str">
        <f>IFERROR(INDEX(Stores!$E:$E,MATCH(E283,Stores!$A:$A,0)),"Unknown")</f>
        <v>South Zone 3</v>
      </c>
      <c r="Z283" t="str">
        <f>IFERROR(INDEX(Customers!$J:$J,MATCH(C283,Customers!$A:$A,0)),"Unknown")</f>
        <v>Regular</v>
      </c>
      <c r="AA283" t="str">
        <f t="shared" si="4"/>
        <v>2024-04</v>
      </c>
      <c r="AB283" t="str">
        <f>IFERROR(INDEX(Products!$I:$I,MATCH(D283,Products!$A:$A,0)),"Unknown")</f>
        <v>SUP045</v>
      </c>
    </row>
    <row r="284" spans="1:28" x14ac:dyDescent="0.25">
      <c r="A284" t="s">
        <v>1188</v>
      </c>
      <c r="B284" s="20">
        <v>45445</v>
      </c>
      <c r="C284" t="s">
        <v>1189</v>
      </c>
      <c r="D284" t="s">
        <v>1190</v>
      </c>
      <c r="E284" t="s">
        <v>101</v>
      </c>
      <c r="F284" t="s">
        <v>443</v>
      </c>
      <c r="G284">
        <v>2</v>
      </c>
      <c r="H284" s="21">
        <v>362.29</v>
      </c>
      <c r="I284">
        <v>20</v>
      </c>
      <c r="J284" s="21">
        <v>144.91999999999999</v>
      </c>
      <c r="K284">
        <v>5</v>
      </c>
      <c r="L284" s="21">
        <v>28.98</v>
      </c>
      <c r="M284" s="21">
        <v>608.64</v>
      </c>
      <c r="N284" s="21">
        <v>394.1</v>
      </c>
      <c r="O284" s="21">
        <v>185.56</v>
      </c>
      <c r="P284" t="s">
        <v>123</v>
      </c>
      <c r="Q284" t="s">
        <v>120</v>
      </c>
      <c r="R284" t="s">
        <v>151</v>
      </c>
      <c r="S284" t="s">
        <v>1191</v>
      </c>
      <c r="T284" t="s">
        <v>161</v>
      </c>
      <c r="U284" t="s">
        <v>154</v>
      </c>
      <c r="V284" t="str">
        <f>IFERROR(INDEX(Products!$C:$C,MATCH(D284,Products!$A:$A,0)),"Unknown")</f>
        <v>Accessories</v>
      </c>
      <c r="W284" t="str">
        <f>IFERROR(INDEX(Products!$E:$E,MATCH(D284,Products!$A:$A,0)),"Unknown")</f>
        <v>Pantaloons</v>
      </c>
      <c r="X284" t="str">
        <f>IFERROR(INDEX(Stores!$B:$B,MATCH(E284,Stores!$A:$A,0)),"Unknown")</f>
        <v>TrendMart Kurnool Standard</v>
      </c>
      <c r="Y284" t="str">
        <f>IFERROR(INDEX(Stores!$E:$E,MATCH(E284,Stores!$A:$A,0)),"Unknown")</f>
        <v>South Zone 3</v>
      </c>
      <c r="Z284" t="str">
        <f>IFERROR(INDEX(Customers!$J:$J,MATCH(C284,Customers!$A:$A,0)),"Unknown")</f>
        <v>Gold</v>
      </c>
      <c r="AA284" t="str">
        <f t="shared" si="4"/>
        <v>2024-06</v>
      </c>
      <c r="AB284" t="str">
        <f>IFERROR(INDEX(Products!$I:$I,MATCH(D284,Products!$A:$A,0)),"Unknown")</f>
        <v>SUP019</v>
      </c>
    </row>
    <row r="285" spans="1:28" x14ac:dyDescent="0.25">
      <c r="A285" t="s">
        <v>1192</v>
      </c>
      <c r="B285" s="20">
        <v>45584</v>
      </c>
      <c r="C285" t="s">
        <v>1193</v>
      </c>
      <c r="D285" t="s">
        <v>830</v>
      </c>
      <c r="E285" t="s">
        <v>194</v>
      </c>
      <c r="F285" t="s">
        <v>242</v>
      </c>
      <c r="G285">
        <v>3</v>
      </c>
      <c r="H285" s="21">
        <v>949.09</v>
      </c>
      <c r="I285">
        <v>0</v>
      </c>
      <c r="J285" s="21">
        <v>0</v>
      </c>
      <c r="K285">
        <v>5</v>
      </c>
      <c r="L285" s="21">
        <v>142.36000000000001</v>
      </c>
      <c r="M285" s="21">
        <v>2989.63</v>
      </c>
      <c r="N285" s="21">
        <v>1710.6</v>
      </c>
      <c r="O285" s="21">
        <v>1136.67</v>
      </c>
      <c r="P285" t="s">
        <v>121</v>
      </c>
      <c r="Q285" t="s">
        <v>122</v>
      </c>
      <c r="R285" t="s">
        <v>151</v>
      </c>
      <c r="S285" t="s">
        <v>1194</v>
      </c>
      <c r="T285" t="s">
        <v>161</v>
      </c>
      <c r="U285" t="s">
        <v>154</v>
      </c>
      <c r="V285" t="str">
        <f>IFERROR(INDEX(Products!$C:$C,MATCH(D285,Products!$A:$A,0)),"Unknown")</f>
        <v>Men Shirts</v>
      </c>
      <c r="W285" t="str">
        <f>IFERROR(INDEX(Products!$E:$E,MATCH(D285,Products!$A:$A,0)),"Unknown")</f>
        <v>AND</v>
      </c>
      <c r="X285" t="str">
        <f>IFERROR(INDEX(Stores!$B:$B,MATCH(E285,Stores!$A:$A,0)),"Unknown")</f>
        <v>TrendMart Tirupati High Street</v>
      </c>
      <c r="Y285" t="str">
        <f>IFERROR(INDEX(Stores!$E:$E,MATCH(E285,Stores!$A:$A,0)),"Unknown")</f>
        <v>South Zone 3</v>
      </c>
      <c r="Z285" t="str">
        <f>IFERROR(INDEX(Customers!$J:$J,MATCH(C285,Customers!$A:$A,0)),"Unknown")</f>
        <v>Platinum</v>
      </c>
      <c r="AA285" t="str">
        <f t="shared" si="4"/>
        <v>2024-10</v>
      </c>
      <c r="AB285" t="str">
        <f>IFERROR(INDEX(Products!$I:$I,MATCH(D285,Products!$A:$A,0)),"Unknown")</f>
        <v>SUP012</v>
      </c>
    </row>
    <row r="286" spans="1:28" x14ac:dyDescent="0.25">
      <c r="A286" t="s">
        <v>1195</v>
      </c>
      <c r="B286" s="20">
        <v>45407</v>
      </c>
      <c r="C286" t="s">
        <v>1196</v>
      </c>
      <c r="D286" t="s">
        <v>1197</v>
      </c>
      <c r="E286" t="s">
        <v>607</v>
      </c>
      <c r="F286" t="s">
        <v>159</v>
      </c>
      <c r="G286">
        <v>2</v>
      </c>
      <c r="H286" s="21">
        <v>1040.33</v>
      </c>
      <c r="I286">
        <v>0</v>
      </c>
      <c r="J286" s="21">
        <v>0</v>
      </c>
      <c r="K286">
        <v>12</v>
      </c>
      <c r="L286" s="21">
        <v>249.68</v>
      </c>
      <c r="M286" s="21">
        <v>2330.34</v>
      </c>
      <c r="N286" s="21">
        <v>1657.04</v>
      </c>
      <c r="O286" s="21">
        <v>423.62</v>
      </c>
      <c r="P286" t="s">
        <v>123</v>
      </c>
      <c r="Q286" t="s">
        <v>120</v>
      </c>
      <c r="R286" t="s">
        <v>151</v>
      </c>
      <c r="S286" t="s">
        <v>503</v>
      </c>
      <c r="T286" t="s">
        <v>153</v>
      </c>
      <c r="U286" t="s">
        <v>154</v>
      </c>
      <c r="V286" t="str">
        <f>IFERROR(INDEX(Products!$C:$C,MATCH(D286,Products!$A:$A,0)),"Unknown")</f>
        <v>Women Jeans</v>
      </c>
      <c r="W286" t="str">
        <f>IFERROR(INDEX(Products!$E:$E,MATCH(D286,Products!$A:$A,0)),"Unknown")</f>
        <v>Van Heusen</v>
      </c>
      <c r="X286" t="str">
        <f>IFERROR(INDEX(Stores!$B:$B,MATCH(E286,Stores!$A:$A,0)),"Unknown")</f>
        <v>TrendMart Thiruvananthapuram Standard</v>
      </c>
      <c r="Y286" t="str">
        <f>IFERROR(INDEX(Stores!$E:$E,MATCH(E286,Stores!$A:$A,0)),"Unknown")</f>
        <v>South Zone 1</v>
      </c>
      <c r="Z286" t="str">
        <f>IFERROR(INDEX(Customers!$J:$J,MATCH(C286,Customers!$A:$A,0)),"Unknown")</f>
        <v>Silver</v>
      </c>
      <c r="AA286" t="str">
        <f t="shared" si="4"/>
        <v>2024-04</v>
      </c>
      <c r="AB286" t="str">
        <f>IFERROR(INDEX(Products!$I:$I,MATCH(D286,Products!$A:$A,0)),"Unknown")</f>
        <v>SUP021</v>
      </c>
    </row>
    <row r="287" spans="1:28" x14ac:dyDescent="0.25">
      <c r="A287" t="s">
        <v>1198</v>
      </c>
      <c r="B287" s="20">
        <v>45386</v>
      </c>
      <c r="C287" t="s">
        <v>1199</v>
      </c>
      <c r="D287" t="s">
        <v>1200</v>
      </c>
      <c r="E287" t="s">
        <v>1023</v>
      </c>
      <c r="F287" t="s">
        <v>176</v>
      </c>
      <c r="G287">
        <v>1</v>
      </c>
      <c r="H287" s="21">
        <v>3293.34</v>
      </c>
      <c r="I287">
        <v>15</v>
      </c>
      <c r="J287" s="21">
        <v>494</v>
      </c>
      <c r="K287">
        <v>12</v>
      </c>
      <c r="L287" s="21">
        <v>335.92</v>
      </c>
      <c r="M287" s="21">
        <v>3135.26</v>
      </c>
      <c r="N287" s="21">
        <v>2237.8200000000002</v>
      </c>
      <c r="O287" s="21">
        <v>561.52</v>
      </c>
      <c r="P287" t="s">
        <v>124</v>
      </c>
      <c r="Q287" t="s">
        <v>120</v>
      </c>
      <c r="R287" t="s">
        <v>151</v>
      </c>
      <c r="S287" t="s">
        <v>1201</v>
      </c>
      <c r="T287" t="s">
        <v>153</v>
      </c>
      <c r="U287" t="s">
        <v>154</v>
      </c>
      <c r="V287" t="str">
        <f>IFERROR(INDEX(Products!$C:$C,MATCH(D287,Products!$A:$A,0)),"Unknown")</f>
        <v>Footwear</v>
      </c>
      <c r="W287" t="str">
        <f>IFERROR(INDEX(Products!$E:$E,MATCH(D287,Products!$A:$A,0)),"Unknown")</f>
        <v>Kalyan Silks</v>
      </c>
      <c r="X287" t="str">
        <f>IFERROR(INDEX(Stores!$B:$B,MATCH(E287,Stores!$A:$A,0)),"Unknown")</f>
        <v>TrendMart Kochi High Street</v>
      </c>
      <c r="Y287" t="str">
        <f>IFERROR(INDEX(Stores!$E:$E,MATCH(E287,Stores!$A:$A,0)),"Unknown")</f>
        <v>South Zone 1</v>
      </c>
      <c r="Z287" t="str">
        <f>IFERROR(INDEX(Customers!$J:$J,MATCH(C287,Customers!$A:$A,0)),"Unknown")</f>
        <v>Silver</v>
      </c>
      <c r="AA287" t="str">
        <f t="shared" si="4"/>
        <v>2024-04</v>
      </c>
      <c r="AB287" t="str">
        <f>IFERROR(INDEX(Products!$I:$I,MATCH(D287,Products!$A:$A,0)),"Unknown")</f>
        <v>SUP090</v>
      </c>
    </row>
    <row r="288" spans="1:28" x14ac:dyDescent="0.25">
      <c r="A288" t="s">
        <v>1202</v>
      </c>
      <c r="B288" s="20">
        <v>45412</v>
      </c>
      <c r="C288" t="s">
        <v>1203</v>
      </c>
      <c r="D288" t="s">
        <v>1204</v>
      </c>
      <c r="E288" t="s">
        <v>607</v>
      </c>
      <c r="F288" t="s">
        <v>275</v>
      </c>
      <c r="G288">
        <v>1</v>
      </c>
      <c r="H288" s="21">
        <v>764.37</v>
      </c>
      <c r="I288">
        <v>15</v>
      </c>
      <c r="J288" s="21">
        <v>114.66</v>
      </c>
      <c r="K288">
        <v>5</v>
      </c>
      <c r="L288" s="21">
        <v>32.49</v>
      </c>
      <c r="M288" s="21">
        <v>682.2</v>
      </c>
      <c r="N288" s="21">
        <v>414.5</v>
      </c>
      <c r="O288" s="21">
        <v>235.21</v>
      </c>
      <c r="P288" t="s">
        <v>126</v>
      </c>
      <c r="Q288" t="s">
        <v>122</v>
      </c>
      <c r="R288" t="s">
        <v>151</v>
      </c>
      <c r="S288" t="s">
        <v>1205</v>
      </c>
      <c r="T288" t="s">
        <v>153</v>
      </c>
      <c r="U288" t="s">
        <v>154</v>
      </c>
      <c r="V288" t="str">
        <f>IFERROR(INDEX(Products!$C:$C,MATCH(D288,Products!$A:$A,0)),"Unknown")</f>
        <v>Accessories</v>
      </c>
      <c r="W288" t="str">
        <f>IFERROR(INDEX(Products!$E:$E,MATCH(D288,Products!$A:$A,0)),"Unknown")</f>
        <v>Pepe Jeans</v>
      </c>
      <c r="X288" t="str">
        <f>IFERROR(INDEX(Stores!$B:$B,MATCH(E288,Stores!$A:$A,0)),"Unknown")</f>
        <v>TrendMart Thiruvananthapuram Standard</v>
      </c>
      <c r="Y288" t="str">
        <f>IFERROR(INDEX(Stores!$E:$E,MATCH(E288,Stores!$A:$A,0)),"Unknown")</f>
        <v>South Zone 1</v>
      </c>
      <c r="Z288" t="str">
        <f>IFERROR(INDEX(Customers!$J:$J,MATCH(C288,Customers!$A:$A,0)),"Unknown")</f>
        <v>Silver</v>
      </c>
      <c r="AA288" t="str">
        <f t="shared" si="4"/>
        <v>2024-04</v>
      </c>
      <c r="AB288" t="str">
        <f>IFERROR(INDEX(Products!$I:$I,MATCH(D288,Products!$A:$A,0)),"Unknown")</f>
        <v>SUP008</v>
      </c>
    </row>
    <row r="289" spans="1:28" x14ac:dyDescent="0.25">
      <c r="A289" t="s">
        <v>1206</v>
      </c>
      <c r="B289" s="20">
        <v>45714</v>
      </c>
      <c r="C289" t="s">
        <v>1207</v>
      </c>
      <c r="D289" t="s">
        <v>633</v>
      </c>
      <c r="E289" t="s">
        <v>402</v>
      </c>
      <c r="F289" t="s">
        <v>182</v>
      </c>
      <c r="G289">
        <v>5</v>
      </c>
      <c r="H289" s="21">
        <v>643.61</v>
      </c>
      <c r="I289">
        <v>5</v>
      </c>
      <c r="J289" s="21">
        <v>160.9</v>
      </c>
      <c r="K289">
        <v>5</v>
      </c>
      <c r="L289" s="21">
        <v>152.86000000000001</v>
      </c>
      <c r="M289" s="21">
        <v>3210.01</v>
      </c>
      <c r="N289" s="21">
        <v>2089.6</v>
      </c>
      <c r="O289" s="21">
        <v>967.55</v>
      </c>
      <c r="P289" t="s">
        <v>121</v>
      </c>
      <c r="Q289" t="s">
        <v>122</v>
      </c>
      <c r="R289" t="s">
        <v>151</v>
      </c>
      <c r="S289" t="s">
        <v>1208</v>
      </c>
      <c r="T289" t="s">
        <v>153</v>
      </c>
      <c r="U289" t="s">
        <v>154</v>
      </c>
      <c r="V289" t="str">
        <f>IFERROR(INDEX(Products!$C:$C,MATCH(D289,Products!$A:$A,0)),"Unknown")</f>
        <v>Men T-Shirts</v>
      </c>
      <c r="W289" t="str">
        <f>IFERROR(INDEX(Products!$E:$E,MATCH(D289,Products!$A:$A,0)),"Unknown")</f>
        <v>Reebok</v>
      </c>
      <c r="X289" t="str">
        <f>IFERROR(INDEX(Stores!$B:$B,MATCH(E289,Stores!$A:$A,0)),"Unknown")</f>
        <v>TrendMart Kannur Standard</v>
      </c>
      <c r="Y289" t="str">
        <f>IFERROR(INDEX(Stores!$E:$E,MATCH(E289,Stores!$A:$A,0)),"Unknown")</f>
        <v>South Zone 1</v>
      </c>
      <c r="Z289" t="str">
        <f>IFERROR(INDEX(Customers!$J:$J,MATCH(C289,Customers!$A:$A,0)),"Unknown")</f>
        <v>Silver</v>
      </c>
      <c r="AA289" t="str">
        <f t="shared" si="4"/>
        <v>2025-02</v>
      </c>
      <c r="AB289" t="str">
        <f>IFERROR(INDEX(Products!$I:$I,MATCH(D289,Products!$A:$A,0)),"Unknown")</f>
        <v>SUP046</v>
      </c>
    </row>
    <row r="290" spans="1:28" x14ac:dyDescent="0.25">
      <c r="A290" t="s">
        <v>1209</v>
      </c>
      <c r="B290" s="20">
        <v>45527</v>
      </c>
      <c r="C290" t="s">
        <v>1210</v>
      </c>
      <c r="D290" t="s">
        <v>748</v>
      </c>
      <c r="E290" t="s">
        <v>667</v>
      </c>
      <c r="F290" t="s">
        <v>189</v>
      </c>
      <c r="G290">
        <v>2</v>
      </c>
      <c r="H290" s="21">
        <v>1213.93</v>
      </c>
      <c r="I290">
        <v>10</v>
      </c>
      <c r="J290" s="21">
        <v>242.79</v>
      </c>
      <c r="K290">
        <v>12</v>
      </c>
      <c r="L290" s="21">
        <v>262.20999999999998</v>
      </c>
      <c r="M290" s="21">
        <v>2447.2800000000002</v>
      </c>
      <c r="N290" s="21">
        <v>1683.7</v>
      </c>
      <c r="O290" s="21">
        <v>501.37</v>
      </c>
      <c r="P290" t="s">
        <v>125</v>
      </c>
      <c r="Q290" t="s">
        <v>120</v>
      </c>
      <c r="R290" t="s">
        <v>151</v>
      </c>
      <c r="S290" t="s">
        <v>1211</v>
      </c>
      <c r="T290" t="s">
        <v>153</v>
      </c>
      <c r="U290" t="s">
        <v>154</v>
      </c>
      <c r="V290" t="str">
        <f>IFERROR(INDEX(Products!$C:$C,MATCH(D290,Products!$A:$A,0)),"Unknown")</f>
        <v>Women Dresses</v>
      </c>
      <c r="W290" t="str">
        <f>IFERROR(INDEX(Products!$E:$E,MATCH(D290,Products!$A:$A,0)),"Unknown")</f>
        <v>Kalyan Silks</v>
      </c>
      <c r="X290" t="str">
        <f>IFERROR(INDEX(Stores!$B:$B,MATCH(E290,Stores!$A:$A,0)),"Unknown")</f>
        <v>TrendMart Hyderabad High Street</v>
      </c>
      <c r="Y290" t="str">
        <f>IFERROR(INDEX(Stores!$E:$E,MATCH(E290,Stores!$A:$A,0)),"Unknown")</f>
        <v>South Zone 2</v>
      </c>
      <c r="Z290" t="str">
        <f>IFERROR(INDEX(Customers!$J:$J,MATCH(C290,Customers!$A:$A,0)),"Unknown")</f>
        <v>Gold</v>
      </c>
      <c r="AA290" t="str">
        <f t="shared" si="4"/>
        <v>2024-08</v>
      </c>
      <c r="AB290" t="str">
        <f>IFERROR(INDEX(Products!$I:$I,MATCH(D290,Products!$A:$A,0)),"Unknown")</f>
        <v>SUP036</v>
      </c>
    </row>
    <row r="291" spans="1:28" x14ac:dyDescent="0.25">
      <c r="A291" t="s">
        <v>1212</v>
      </c>
      <c r="B291" s="20">
        <v>45716</v>
      </c>
      <c r="C291" t="s">
        <v>1213</v>
      </c>
      <c r="D291" t="s">
        <v>481</v>
      </c>
      <c r="E291" t="s">
        <v>1017</v>
      </c>
      <c r="F291" t="s">
        <v>532</v>
      </c>
      <c r="G291">
        <v>1</v>
      </c>
      <c r="H291" s="21">
        <v>925.14</v>
      </c>
      <c r="I291">
        <v>0</v>
      </c>
      <c r="J291" s="21">
        <v>0</v>
      </c>
      <c r="K291">
        <v>5</v>
      </c>
      <c r="L291" s="21">
        <v>46.26</v>
      </c>
      <c r="M291" s="21">
        <v>971.4</v>
      </c>
      <c r="N291" s="21">
        <v>698.08</v>
      </c>
      <c r="O291" s="21">
        <v>227.06</v>
      </c>
      <c r="P291" t="s">
        <v>123</v>
      </c>
      <c r="Q291" t="s">
        <v>120</v>
      </c>
      <c r="R291" t="s">
        <v>151</v>
      </c>
      <c r="S291" t="s">
        <v>1214</v>
      </c>
      <c r="T291" t="s">
        <v>153</v>
      </c>
      <c r="U291" t="s">
        <v>154</v>
      </c>
      <c r="V291" t="str">
        <f>IFERROR(INDEX(Products!$C:$C,MATCH(D291,Products!$A:$A,0)),"Unknown")</f>
        <v>Women Dresses</v>
      </c>
      <c r="W291" t="str">
        <f>IFERROR(INDEX(Products!$E:$E,MATCH(D291,Products!$A:$A,0)),"Unknown")</f>
        <v>Jack &amp; Jones</v>
      </c>
      <c r="X291" t="str">
        <f>IFERROR(INDEX(Stores!$B:$B,MATCH(E291,Stores!$A:$A,0)),"Unknown")</f>
        <v>TrendMart Mangaluru Standard</v>
      </c>
      <c r="Y291" t="str">
        <f>IFERROR(INDEX(Stores!$E:$E,MATCH(E291,Stores!$A:$A,0)),"Unknown")</f>
        <v>South Zone 2</v>
      </c>
      <c r="Z291" t="str">
        <f>IFERROR(INDEX(Customers!$J:$J,MATCH(C291,Customers!$A:$A,0)),"Unknown")</f>
        <v>Silver</v>
      </c>
      <c r="AA291" t="str">
        <f t="shared" si="4"/>
        <v>2025-02</v>
      </c>
      <c r="AB291" t="str">
        <f>IFERROR(INDEX(Products!$I:$I,MATCH(D291,Products!$A:$A,0)),"Unknown")</f>
        <v>SUP069</v>
      </c>
    </row>
    <row r="292" spans="1:28" x14ac:dyDescent="0.25">
      <c r="A292" t="s">
        <v>1215</v>
      </c>
      <c r="B292" s="20">
        <v>45535</v>
      </c>
      <c r="C292" t="s">
        <v>813</v>
      </c>
      <c r="D292" t="s">
        <v>1216</v>
      </c>
      <c r="E292" t="s">
        <v>745</v>
      </c>
      <c r="F292" t="s">
        <v>382</v>
      </c>
      <c r="G292">
        <v>3</v>
      </c>
      <c r="H292" s="21">
        <v>2278.4</v>
      </c>
      <c r="I292">
        <v>25</v>
      </c>
      <c r="J292" s="21">
        <v>1708.8</v>
      </c>
      <c r="K292">
        <v>12</v>
      </c>
      <c r="L292" s="21">
        <v>615.16999999999996</v>
      </c>
      <c r="M292" s="21">
        <v>5741.57</v>
      </c>
      <c r="N292" s="21">
        <v>4296.03</v>
      </c>
      <c r="O292" s="21">
        <v>830.37</v>
      </c>
      <c r="P292" t="s">
        <v>125</v>
      </c>
      <c r="Q292" t="s">
        <v>120</v>
      </c>
      <c r="R292" t="s">
        <v>151</v>
      </c>
      <c r="S292" t="s">
        <v>1217</v>
      </c>
      <c r="T292" t="s">
        <v>161</v>
      </c>
      <c r="U292" t="s">
        <v>154</v>
      </c>
      <c r="V292" t="str">
        <f>IFERROR(INDEX(Products!$C:$C,MATCH(D292,Products!$A:$A,0)),"Unknown")</f>
        <v>Footwear</v>
      </c>
      <c r="W292" t="str">
        <f>IFERROR(INDEX(Products!$E:$E,MATCH(D292,Products!$A:$A,0)),"Unknown")</f>
        <v>Biba</v>
      </c>
      <c r="X292" t="str">
        <f>IFERROR(INDEX(Stores!$B:$B,MATCH(E292,Stores!$A:$A,0)),"Unknown")</f>
        <v>TrendMart Thiruvananthapuram Outlet</v>
      </c>
      <c r="Y292" t="str">
        <f>IFERROR(INDEX(Stores!$E:$E,MATCH(E292,Stores!$A:$A,0)),"Unknown")</f>
        <v>South Zone 1</v>
      </c>
      <c r="Z292" t="str">
        <f>IFERROR(INDEX(Customers!$J:$J,MATCH(C292,Customers!$A:$A,0)),"Unknown")</f>
        <v>Regular</v>
      </c>
      <c r="AA292" t="str">
        <f t="shared" si="4"/>
        <v>2024-08</v>
      </c>
      <c r="AB292" t="str">
        <f>IFERROR(INDEX(Products!$I:$I,MATCH(D292,Products!$A:$A,0)),"Unknown")</f>
        <v>SUP048</v>
      </c>
    </row>
    <row r="293" spans="1:28" x14ac:dyDescent="0.25">
      <c r="A293" t="s">
        <v>1218</v>
      </c>
      <c r="B293" s="20">
        <v>45549</v>
      </c>
      <c r="C293" t="s">
        <v>940</v>
      </c>
      <c r="D293" t="s">
        <v>1219</v>
      </c>
      <c r="E293" t="s">
        <v>1074</v>
      </c>
      <c r="F293" t="s">
        <v>281</v>
      </c>
      <c r="G293">
        <v>2</v>
      </c>
      <c r="H293" s="21">
        <v>3004.12</v>
      </c>
      <c r="I293">
        <v>20</v>
      </c>
      <c r="J293" s="21">
        <v>1201.6500000000001</v>
      </c>
      <c r="K293">
        <v>12</v>
      </c>
      <c r="L293" s="21">
        <v>576.79</v>
      </c>
      <c r="M293" s="21">
        <v>5383.38</v>
      </c>
      <c r="N293" s="21">
        <v>4079.4</v>
      </c>
      <c r="O293" s="21">
        <v>727.19</v>
      </c>
      <c r="P293" t="s">
        <v>124</v>
      </c>
      <c r="Q293" t="s">
        <v>120</v>
      </c>
      <c r="R293" t="s">
        <v>151</v>
      </c>
      <c r="S293" t="s">
        <v>1220</v>
      </c>
      <c r="T293" t="s">
        <v>161</v>
      </c>
      <c r="U293" t="s">
        <v>154</v>
      </c>
      <c r="V293" t="str">
        <f>IFERROR(INDEX(Products!$C:$C,MATCH(D293,Products!$A:$A,0)),"Unknown")</f>
        <v>Watches</v>
      </c>
      <c r="W293" t="str">
        <f>IFERROR(INDEX(Products!$E:$E,MATCH(D293,Products!$A:$A,0)),"Unknown")</f>
        <v>Fossil</v>
      </c>
      <c r="X293" t="str">
        <f>IFERROR(INDEX(Stores!$B:$B,MATCH(E293,Stores!$A:$A,0)),"Unknown")</f>
        <v>TrendMart Hyderabad Standard</v>
      </c>
      <c r="Y293" t="str">
        <f>IFERROR(INDEX(Stores!$E:$E,MATCH(E293,Stores!$A:$A,0)),"Unknown")</f>
        <v>South Zone 2</v>
      </c>
      <c r="Z293" t="str">
        <f>IFERROR(INDEX(Customers!$J:$J,MATCH(C293,Customers!$A:$A,0)),"Unknown")</f>
        <v>Regular</v>
      </c>
      <c r="AA293" t="str">
        <f t="shared" si="4"/>
        <v>2024-09</v>
      </c>
      <c r="AB293" t="str">
        <f>IFERROR(INDEX(Products!$I:$I,MATCH(D293,Products!$A:$A,0)),"Unknown")</f>
        <v>SUP054</v>
      </c>
    </row>
    <row r="294" spans="1:28" x14ac:dyDescent="0.25">
      <c r="A294" t="s">
        <v>1221</v>
      </c>
      <c r="B294" s="20">
        <v>45601</v>
      </c>
      <c r="C294" t="s">
        <v>250</v>
      </c>
      <c r="D294" t="s">
        <v>926</v>
      </c>
      <c r="E294" t="s">
        <v>84</v>
      </c>
      <c r="F294" t="s">
        <v>579</v>
      </c>
      <c r="G294">
        <v>1</v>
      </c>
      <c r="H294" s="21">
        <v>1169.81</v>
      </c>
      <c r="I294">
        <v>0</v>
      </c>
      <c r="J294" s="21">
        <v>0</v>
      </c>
      <c r="K294">
        <v>12</v>
      </c>
      <c r="L294" s="21">
        <v>140.38</v>
      </c>
      <c r="M294" s="21">
        <v>1310.19</v>
      </c>
      <c r="N294" s="21">
        <v>810.62</v>
      </c>
      <c r="O294" s="21">
        <v>359.19</v>
      </c>
      <c r="P294" t="s">
        <v>123</v>
      </c>
      <c r="Q294" t="s">
        <v>120</v>
      </c>
      <c r="R294" t="s">
        <v>151</v>
      </c>
      <c r="S294" t="s">
        <v>1222</v>
      </c>
      <c r="T294" t="s">
        <v>153</v>
      </c>
      <c r="U294" t="s">
        <v>154</v>
      </c>
      <c r="V294" t="str">
        <f>IFERROR(INDEX(Products!$C:$C,MATCH(D294,Products!$A:$A,0)),"Unknown")</f>
        <v>Women Dresses</v>
      </c>
      <c r="W294" t="str">
        <f>IFERROR(INDEX(Products!$E:$E,MATCH(D294,Products!$A:$A,0)),"Unknown")</f>
        <v>Fabindia</v>
      </c>
      <c r="X294" t="str">
        <f>IFERROR(INDEX(Stores!$B:$B,MATCH(E294,Stores!$A:$A,0)),"Unknown")</f>
        <v>TrendMart Tirupati Standard</v>
      </c>
      <c r="Y294" t="str">
        <f>IFERROR(INDEX(Stores!$E:$E,MATCH(E294,Stores!$A:$A,0)),"Unknown")</f>
        <v>South Zone 3</v>
      </c>
      <c r="Z294" t="str">
        <f>IFERROR(INDEX(Customers!$J:$J,MATCH(C294,Customers!$A:$A,0)),"Unknown")</f>
        <v>Regular</v>
      </c>
      <c r="AA294" t="str">
        <f t="shared" si="4"/>
        <v>2024-11</v>
      </c>
      <c r="AB294" t="str">
        <f>IFERROR(INDEX(Products!$I:$I,MATCH(D294,Products!$A:$A,0)),"Unknown")</f>
        <v>SUP059</v>
      </c>
    </row>
    <row r="295" spans="1:28" x14ac:dyDescent="0.25">
      <c r="A295" t="s">
        <v>1223</v>
      </c>
      <c r="B295" s="20">
        <v>45557</v>
      </c>
      <c r="C295" t="s">
        <v>1033</v>
      </c>
      <c r="D295" t="s">
        <v>1224</v>
      </c>
      <c r="E295" t="s">
        <v>823</v>
      </c>
      <c r="F295" t="s">
        <v>237</v>
      </c>
      <c r="G295">
        <v>3</v>
      </c>
      <c r="H295" s="21">
        <v>1706.03</v>
      </c>
      <c r="I295">
        <v>25</v>
      </c>
      <c r="J295" s="21">
        <v>1279.52</v>
      </c>
      <c r="K295">
        <v>12</v>
      </c>
      <c r="L295" s="21">
        <v>460.63</v>
      </c>
      <c r="M295" s="21">
        <v>4299.2</v>
      </c>
      <c r="N295" s="21">
        <v>3582.42</v>
      </c>
      <c r="O295" s="21">
        <v>256.14999999999998</v>
      </c>
      <c r="P295" t="s">
        <v>125</v>
      </c>
      <c r="Q295" t="s">
        <v>120</v>
      </c>
      <c r="R295" t="s">
        <v>151</v>
      </c>
      <c r="S295" t="s">
        <v>1225</v>
      </c>
      <c r="T295" t="s">
        <v>161</v>
      </c>
      <c r="U295" t="s">
        <v>154</v>
      </c>
      <c r="V295" t="str">
        <f>IFERROR(INDEX(Products!$C:$C,MATCH(D295,Products!$A:$A,0)),"Unknown")</f>
        <v>Men Jeans</v>
      </c>
      <c r="W295" t="str">
        <f>IFERROR(INDEX(Products!$E:$E,MATCH(D295,Products!$A:$A,0)),"Unknown")</f>
        <v>Killer Jeans</v>
      </c>
      <c r="X295" t="str">
        <f>IFERROR(INDEX(Stores!$B:$B,MATCH(E295,Stores!$A:$A,0)),"Unknown")</f>
        <v>TrendMart Thoothukudi Mall Kiosk</v>
      </c>
      <c r="Y295" t="str">
        <f>IFERROR(INDEX(Stores!$E:$E,MATCH(E295,Stores!$A:$A,0)),"Unknown")</f>
        <v>South Zone 1</v>
      </c>
      <c r="Z295" t="str">
        <f>IFERROR(INDEX(Customers!$J:$J,MATCH(C295,Customers!$A:$A,0)),"Unknown")</f>
        <v>Platinum</v>
      </c>
      <c r="AA295" t="str">
        <f t="shared" si="4"/>
        <v>2024-09</v>
      </c>
      <c r="AB295" t="str">
        <f>IFERROR(INDEX(Products!$I:$I,MATCH(D295,Products!$A:$A,0)),"Unknown")</f>
        <v>SUP084</v>
      </c>
    </row>
    <row r="296" spans="1:28" x14ac:dyDescent="0.25">
      <c r="A296" t="s">
        <v>1226</v>
      </c>
      <c r="B296" s="20">
        <v>45587</v>
      </c>
      <c r="C296" t="s">
        <v>1227</v>
      </c>
      <c r="D296" t="s">
        <v>339</v>
      </c>
      <c r="E296" t="s">
        <v>914</v>
      </c>
      <c r="F296" t="s">
        <v>159</v>
      </c>
      <c r="G296">
        <v>2</v>
      </c>
      <c r="H296" s="21">
        <v>883.17</v>
      </c>
      <c r="I296">
        <v>10</v>
      </c>
      <c r="J296" s="21">
        <v>176.63</v>
      </c>
      <c r="K296">
        <v>5</v>
      </c>
      <c r="L296" s="21">
        <v>79.489999999999995</v>
      </c>
      <c r="M296" s="21">
        <v>1669.2</v>
      </c>
      <c r="N296" s="21">
        <v>1137.06</v>
      </c>
      <c r="O296" s="21">
        <v>452.65</v>
      </c>
      <c r="P296" t="s">
        <v>123</v>
      </c>
      <c r="Q296" t="s">
        <v>120</v>
      </c>
      <c r="R296" t="s">
        <v>151</v>
      </c>
      <c r="S296" t="s">
        <v>1228</v>
      </c>
      <c r="T296" t="s">
        <v>153</v>
      </c>
      <c r="U296" t="s">
        <v>154</v>
      </c>
      <c r="V296" t="str">
        <f>IFERROR(INDEX(Products!$C:$C,MATCH(D296,Products!$A:$A,0)),"Unknown")</f>
        <v>Women Kurtis</v>
      </c>
      <c r="W296" t="str">
        <f>IFERROR(INDEX(Products!$E:$E,MATCH(D296,Products!$A:$A,0)),"Unknown")</f>
        <v>Allen Solly</v>
      </c>
      <c r="X296" t="str">
        <f>IFERROR(INDEX(Stores!$B:$B,MATCH(E296,Stores!$A:$A,0)),"Unknown")</f>
        <v>TrendMart Thiruvananthapuram Outlet</v>
      </c>
      <c r="Y296" t="str">
        <f>IFERROR(INDEX(Stores!$E:$E,MATCH(E296,Stores!$A:$A,0)),"Unknown")</f>
        <v>South Zone 1</v>
      </c>
      <c r="Z296" t="str">
        <f>IFERROR(INDEX(Customers!$J:$J,MATCH(C296,Customers!$A:$A,0)),"Unknown")</f>
        <v>Gold</v>
      </c>
      <c r="AA296" t="str">
        <f t="shared" si="4"/>
        <v>2024-10</v>
      </c>
      <c r="AB296" t="str">
        <f>IFERROR(INDEX(Products!$I:$I,MATCH(D296,Products!$A:$A,0)),"Unknown")</f>
        <v>SUP086</v>
      </c>
    </row>
    <row r="297" spans="1:28" x14ac:dyDescent="0.25">
      <c r="A297" t="s">
        <v>1229</v>
      </c>
      <c r="B297" s="20">
        <v>45551</v>
      </c>
      <c r="C297" t="s">
        <v>919</v>
      </c>
      <c r="D297" t="s">
        <v>469</v>
      </c>
      <c r="E297" t="s">
        <v>334</v>
      </c>
      <c r="F297" t="s">
        <v>443</v>
      </c>
      <c r="G297">
        <v>1</v>
      </c>
      <c r="H297" s="21">
        <v>844.63</v>
      </c>
      <c r="I297">
        <v>25</v>
      </c>
      <c r="J297" s="21">
        <v>211.16</v>
      </c>
      <c r="K297">
        <v>5</v>
      </c>
      <c r="L297" s="21">
        <v>31.67</v>
      </c>
      <c r="M297" s="21">
        <v>665.14</v>
      </c>
      <c r="N297" s="21">
        <v>568.05999999999995</v>
      </c>
      <c r="O297" s="21">
        <v>65.41</v>
      </c>
      <c r="P297" t="s">
        <v>125</v>
      </c>
      <c r="Q297" t="s">
        <v>120</v>
      </c>
      <c r="R297" t="s">
        <v>151</v>
      </c>
      <c r="S297" t="s">
        <v>1230</v>
      </c>
      <c r="T297" t="s">
        <v>153</v>
      </c>
      <c r="U297" t="s">
        <v>154</v>
      </c>
      <c r="V297" t="str">
        <f>IFERROR(INDEX(Products!$C:$C,MATCH(D297,Products!$A:$A,0)),"Unknown")</f>
        <v>Women Kurtis</v>
      </c>
      <c r="W297" t="str">
        <f>IFERROR(INDEX(Products!$E:$E,MATCH(D297,Products!$A:$A,0)),"Unknown")</f>
        <v>Libas</v>
      </c>
      <c r="X297" t="str">
        <f>IFERROR(INDEX(Stores!$B:$B,MATCH(E297,Stores!$A:$A,0)),"Unknown")</f>
        <v>TrendMart Madurai High Street</v>
      </c>
      <c r="Y297" t="str">
        <f>IFERROR(INDEX(Stores!$E:$E,MATCH(E297,Stores!$A:$A,0)),"Unknown")</f>
        <v>South Zone 1</v>
      </c>
      <c r="Z297" t="str">
        <f>IFERROR(INDEX(Customers!$J:$J,MATCH(C297,Customers!$A:$A,0)),"Unknown")</f>
        <v>Regular</v>
      </c>
      <c r="AA297" t="str">
        <f t="shared" si="4"/>
        <v>2024-09</v>
      </c>
      <c r="AB297" t="str">
        <f>IFERROR(INDEX(Products!$I:$I,MATCH(D297,Products!$A:$A,0)),"Unknown")</f>
        <v>SUP079</v>
      </c>
    </row>
    <row r="298" spans="1:28" x14ac:dyDescent="0.25">
      <c r="A298" t="s">
        <v>1231</v>
      </c>
      <c r="B298" s="20">
        <v>45647</v>
      </c>
      <c r="C298" t="s">
        <v>785</v>
      </c>
      <c r="D298" t="s">
        <v>767</v>
      </c>
      <c r="E298" t="s">
        <v>100</v>
      </c>
      <c r="F298" t="s">
        <v>237</v>
      </c>
      <c r="G298">
        <v>2</v>
      </c>
      <c r="H298" s="21">
        <v>417.28</v>
      </c>
      <c r="I298">
        <v>20</v>
      </c>
      <c r="J298" s="21">
        <v>166.91</v>
      </c>
      <c r="K298">
        <v>5</v>
      </c>
      <c r="L298" s="21">
        <v>33.380000000000003</v>
      </c>
      <c r="M298" s="21">
        <v>701.03</v>
      </c>
      <c r="N298" s="21">
        <v>524.12</v>
      </c>
      <c r="O298" s="21">
        <v>143.53</v>
      </c>
      <c r="P298" t="s">
        <v>121</v>
      </c>
      <c r="Q298" t="s">
        <v>120</v>
      </c>
      <c r="R298" t="s">
        <v>151</v>
      </c>
      <c r="S298" t="s">
        <v>1232</v>
      </c>
      <c r="T298" t="s">
        <v>161</v>
      </c>
      <c r="U298" t="s">
        <v>154</v>
      </c>
      <c r="V298" t="str">
        <f>IFERROR(INDEX(Products!$C:$C,MATCH(D298,Products!$A:$A,0)),"Unknown")</f>
        <v>Men T-Shirts</v>
      </c>
      <c r="W298" t="str">
        <f>IFERROR(INDEX(Products!$E:$E,MATCH(D298,Products!$A:$A,0)),"Unknown")</f>
        <v>Skechers</v>
      </c>
      <c r="X298" t="str">
        <f>IFERROR(INDEX(Stores!$B:$B,MATCH(E298,Stores!$A:$A,0)),"Unknown")</f>
        <v>TrendMart Kurnool Standard</v>
      </c>
      <c r="Y298" t="str">
        <f>IFERROR(INDEX(Stores!$E:$E,MATCH(E298,Stores!$A:$A,0)),"Unknown")</f>
        <v>South Zone 3</v>
      </c>
      <c r="Z298" t="str">
        <f>IFERROR(INDEX(Customers!$J:$J,MATCH(C298,Customers!$A:$A,0)),"Unknown")</f>
        <v>Regular</v>
      </c>
      <c r="AA298" t="str">
        <f t="shared" si="4"/>
        <v>2024-12</v>
      </c>
      <c r="AB298" t="str">
        <f>IFERROR(INDEX(Products!$I:$I,MATCH(D298,Products!$A:$A,0)),"Unknown")</f>
        <v>SUP061</v>
      </c>
    </row>
    <row r="299" spans="1:28" x14ac:dyDescent="0.25">
      <c r="A299" t="s">
        <v>1233</v>
      </c>
      <c r="B299" s="20">
        <v>45482</v>
      </c>
      <c r="C299" t="s">
        <v>1234</v>
      </c>
      <c r="D299" t="s">
        <v>325</v>
      </c>
      <c r="E299" t="s">
        <v>752</v>
      </c>
      <c r="F299" t="s">
        <v>335</v>
      </c>
      <c r="G299">
        <v>3</v>
      </c>
      <c r="H299" s="21">
        <v>1144.5899999999999</v>
      </c>
      <c r="I299">
        <v>5</v>
      </c>
      <c r="J299" s="21">
        <v>171.69</v>
      </c>
      <c r="K299">
        <v>12</v>
      </c>
      <c r="L299" s="21">
        <v>391.45</v>
      </c>
      <c r="M299" s="21">
        <v>3653.53</v>
      </c>
      <c r="N299" s="21">
        <v>2277</v>
      </c>
      <c r="O299" s="21">
        <v>985.08</v>
      </c>
      <c r="P299" t="s">
        <v>124</v>
      </c>
      <c r="Q299" t="s">
        <v>120</v>
      </c>
      <c r="R299" t="s">
        <v>151</v>
      </c>
      <c r="S299" t="s">
        <v>1235</v>
      </c>
      <c r="T299" t="s">
        <v>153</v>
      </c>
      <c r="U299" t="s">
        <v>154</v>
      </c>
      <c r="V299" t="str">
        <f>IFERROR(INDEX(Products!$C:$C,MATCH(D299,Products!$A:$A,0)),"Unknown")</f>
        <v>Women Jeans</v>
      </c>
      <c r="W299" t="str">
        <f>IFERROR(INDEX(Products!$E:$E,MATCH(D299,Products!$A:$A,0)),"Unknown")</f>
        <v>Nalli Silks</v>
      </c>
      <c r="X299" t="str">
        <f>IFERROR(INDEX(Stores!$B:$B,MATCH(E299,Stores!$A:$A,0)),"Unknown")</f>
        <v>TrendMart Dindigul High Street</v>
      </c>
      <c r="Y299" t="str">
        <f>IFERROR(INDEX(Stores!$E:$E,MATCH(E299,Stores!$A:$A,0)),"Unknown")</f>
        <v>South Zone 1</v>
      </c>
      <c r="Z299" t="str">
        <f>IFERROR(INDEX(Customers!$J:$J,MATCH(C299,Customers!$A:$A,0)),"Unknown")</f>
        <v>Regular</v>
      </c>
      <c r="AA299" t="str">
        <f t="shared" si="4"/>
        <v>2024-07</v>
      </c>
      <c r="AB299" t="str">
        <f>IFERROR(INDEX(Products!$I:$I,MATCH(D299,Products!$A:$A,0)),"Unknown")</f>
        <v>SUP048</v>
      </c>
    </row>
    <row r="300" spans="1:28" x14ac:dyDescent="0.25">
      <c r="A300" t="s">
        <v>1236</v>
      </c>
      <c r="B300" s="20">
        <v>45713</v>
      </c>
      <c r="C300" t="s">
        <v>995</v>
      </c>
      <c r="D300" t="s">
        <v>531</v>
      </c>
      <c r="E300" t="s">
        <v>89</v>
      </c>
      <c r="F300" t="s">
        <v>532</v>
      </c>
      <c r="G300">
        <v>2</v>
      </c>
      <c r="H300" s="21">
        <v>3228.92</v>
      </c>
      <c r="I300">
        <v>0</v>
      </c>
      <c r="J300" s="21">
        <v>0</v>
      </c>
      <c r="K300">
        <v>12</v>
      </c>
      <c r="L300" s="21">
        <v>774.94</v>
      </c>
      <c r="M300" s="21">
        <v>7232.78</v>
      </c>
      <c r="N300" s="21">
        <v>4068.02</v>
      </c>
      <c r="O300" s="21">
        <v>2389.8200000000002</v>
      </c>
      <c r="P300" t="s">
        <v>127</v>
      </c>
      <c r="Q300" t="s">
        <v>122</v>
      </c>
      <c r="R300" t="s">
        <v>313</v>
      </c>
      <c r="S300" t="s">
        <v>1237</v>
      </c>
      <c r="T300" t="s">
        <v>153</v>
      </c>
      <c r="U300" t="s">
        <v>154</v>
      </c>
      <c r="V300" t="str">
        <f>IFERROR(INDEX(Products!$C:$C,MATCH(D300,Products!$A:$A,0)),"Unknown")</f>
        <v>Handbags</v>
      </c>
      <c r="W300" t="str">
        <f>IFERROR(INDEX(Products!$E:$E,MATCH(D300,Products!$A:$A,0)),"Unknown")</f>
        <v>GRT Jewellers</v>
      </c>
      <c r="X300" t="str">
        <f>IFERROR(INDEX(Stores!$B:$B,MATCH(E300,Stores!$A:$A,0)),"Unknown")</f>
        <v>TrendMart Kochi Standard</v>
      </c>
      <c r="Y300" t="str">
        <f>IFERROR(INDEX(Stores!$E:$E,MATCH(E300,Stores!$A:$A,0)),"Unknown")</f>
        <v>South Zone 1</v>
      </c>
      <c r="Z300" t="str">
        <f>IFERROR(INDEX(Customers!$J:$J,MATCH(C300,Customers!$A:$A,0)),"Unknown")</f>
        <v>Silver</v>
      </c>
      <c r="AA300" t="str">
        <f t="shared" si="4"/>
        <v>2025-02</v>
      </c>
      <c r="AB300" t="str">
        <f>IFERROR(INDEX(Products!$I:$I,MATCH(D300,Products!$A:$A,0)),"Unknown")</f>
        <v>SUP047</v>
      </c>
    </row>
    <row r="301" spans="1:28" x14ac:dyDescent="0.25">
      <c r="A301" t="s">
        <v>1238</v>
      </c>
      <c r="B301" s="20">
        <v>45623</v>
      </c>
      <c r="C301" t="s">
        <v>1239</v>
      </c>
      <c r="D301" t="s">
        <v>633</v>
      </c>
      <c r="E301" t="s">
        <v>302</v>
      </c>
      <c r="F301" t="s">
        <v>263</v>
      </c>
      <c r="G301">
        <v>5</v>
      </c>
      <c r="H301" s="21">
        <v>691.04</v>
      </c>
      <c r="I301">
        <v>0</v>
      </c>
      <c r="J301" s="21">
        <v>0</v>
      </c>
      <c r="K301">
        <v>5</v>
      </c>
      <c r="L301" s="21">
        <v>172.76</v>
      </c>
      <c r="M301" s="21">
        <v>3627.96</v>
      </c>
      <c r="N301" s="21">
        <v>2089.6</v>
      </c>
      <c r="O301" s="21">
        <v>1365.6</v>
      </c>
      <c r="P301" t="s">
        <v>121</v>
      </c>
      <c r="Q301" t="s">
        <v>120</v>
      </c>
      <c r="R301" t="s">
        <v>151</v>
      </c>
      <c r="S301" t="s">
        <v>348</v>
      </c>
      <c r="T301" t="s">
        <v>153</v>
      </c>
      <c r="U301" t="s">
        <v>154</v>
      </c>
      <c r="V301" t="str">
        <f>IFERROR(INDEX(Products!$C:$C,MATCH(D301,Products!$A:$A,0)),"Unknown")</f>
        <v>Men T-Shirts</v>
      </c>
      <c r="W301" t="str">
        <f>IFERROR(INDEX(Products!$E:$E,MATCH(D301,Products!$A:$A,0)),"Unknown")</f>
        <v>Reebok</v>
      </c>
      <c r="X301" t="str">
        <f>IFERROR(INDEX(Stores!$B:$B,MATCH(E301,Stores!$A:$A,0)),"Unknown")</f>
        <v>TrendMart Visakhapatnam Standard</v>
      </c>
      <c r="Y301" t="str">
        <f>IFERROR(INDEX(Stores!$E:$E,MATCH(E301,Stores!$A:$A,0)),"Unknown")</f>
        <v>South Zone 3</v>
      </c>
      <c r="Z301" t="str">
        <f>IFERROR(INDEX(Customers!$J:$J,MATCH(C301,Customers!$A:$A,0)),"Unknown")</f>
        <v>Silver</v>
      </c>
      <c r="AA301" t="str">
        <f t="shared" si="4"/>
        <v>2024-11</v>
      </c>
      <c r="AB301" t="str">
        <f>IFERROR(INDEX(Products!$I:$I,MATCH(D301,Products!$A:$A,0)),"Unknown")</f>
        <v>SUP046</v>
      </c>
    </row>
    <row r="302" spans="1:28" x14ac:dyDescent="0.25">
      <c r="A302" t="s">
        <v>1240</v>
      </c>
      <c r="B302" s="20">
        <v>45742</v>
      </c>
      <c r="C302" t="s">
        <v>1241</v>
      </c>
      <c r="D302" t="s">
        <v>1095</v>
      </c>
      <c r="E302" t="s">
        <v>86</v>
      </c>
      <c r="F302" t="s">
        <v>269</v>
      </c>
      <c r="G302">
        <v>2</v>
      </c>
      <c r="H302" s="21">
        <v>1213.3900000000001</v>
      </c>
      <c r="I302">
        <v>20</v>
      </c>
      <c r="J302" s="21">
        <v>485.36</v>
      </c>
      <c r="K302">
        <v>12</v>
      </c>
      <c r="L302" s="21">
        <v>232.97</v>
      </c>
      <c r="M302" s="21">
        <v>2174.39</v>
      </c>
      <c r="N302" s="21">
        <v>1539.26</v>
      </c>
      <c r="O302" s="21">
        <v>402.16</v>
      </c>
      <c r="P302" t="s">
        <v>123</v>
      </c>
      <c r="Q302" t="s">
        <v>120</v>
      </c>
      <c r="R302" t="s">
        <v>151</v>
      </c>
      <c r="S302" t="s">
        <v>816</v>
      </c>
      <c r="T302" t="s">
        <v>153</v>
      </c>
      <c r="U302" t="s">
        <v>154</v>
      </c>
      <c r="V302" t="str">
        <f>IFERROR(INDEX(Products!$C:$C,MATCH(D302,Products!$A:$A,0)),"Unknown")</f>
        <v>Women Dresses</v>
      </c>
      <c r="W302" t="str">
        <f>IFERROR(INDEX(Products!$E:$E,MATCH(D302,Products!$A:$A,0)),"Unknown")</f>
        <v>Ramraj Cotton</v>
      </c>
      <c r="X302" t="str">
        <f>IFERROR(INDEX(Stores!$B:$B,MATCH(E302,Stores!$A:$A,0)),"Unknown")</f>
        <v>TrendMart Warangal High Street</v>
      </c>
      <c r="Y302" t="str">
        <f>IFERROR(INDEX(Stores!$E:$E,MATCH(E302,Stores!$A:$A,0)),"Unknown")</f>
        <v>South Zone 2</v>
      </c>
      <c r="Z302" t="str">
        <f>IFERROR(INDEX(Customers!$J:$J,MATCH(C302,Customers!$A:$A,0)),"Unknown")</f>
        <v>Silver</v>
      </c>
      <c r="AA302" t="str">
        <f t="shared" si="4"/>
        <v>2025-03</v>
      </c>
      <c r="AB302" t="str">
        <f>IFERROR(INDEX(Products!$I:$I,MATCH(D302,Products!$A:$A,0)),"Unknown")</f>
        <v>SUP054</v>
      </c>
    </row>
    <row r="303" spans="1:28" x14ac:dyDescent="0.25">
      <c r="A303" t="s">
        <v>1242</v>
      </c>
      <c r="B303" s="20">
        <v>45578</v>
      </c>
      <c r="C303" t="s">
        <v>441</v>
      </c>
      <c r="D303" t="s">
        <v>1036</v>
      </c>
      <c r="E303" t="s">
        <v>1023</v>
      </c>
      <c r="F303" t="s">
        <v>242</v>
      </c>
      <c r="G303">
        <v>3</v>
      </c>
      <c r="H303" s="21">
        <v>935.72</v>
      </c>
      <c r="I303">
        <v>15</v>
      </c>
      <c r="J303" s="21">
        <v>421.07</v>
      </c>
      <c r="K303">
        <v>5</v>
      </c>
      <c r="L303" s="21">
        <v>119.3</v>
      </c>
      <c r="M303" s="21">
        <v>2505.39</v>
      </c>
      <c r="N303" s="21">
        <v>1770.06</v>
      </c>
      <c r="O303" s="21">
        <v>616.03</v>
      </c>
      <c r="P303" t="s">
        <v>125</v>
      </c>
      <c r="Q303" t="s">
        <v>122</v>
      </c>
      <c r="R303" t="s">
        <v>151</v>
      </c>
      <c r="S303" t="s">
        <v>1243</v>
      </c>
      <c r="T303" t="s">
        <v>161</v>
      </c>
      <c r="U303" t="s">
        <v>154</v>
      </c>
      <c r="V303" t="str">
        <f>IFERROR(INDEX(Products!$C:$C,MATCH(D303,Products!$A:$A,0)),"Unknown")</f>
        <v>Belts</v>
      </c>
      <c r="W303" t="str">
        <f>IFERROR(INDEX(Products!$E:$E,MATCH(D303,Products!$A:$A,0)),"Unknown")</f>
        <v>Skechers</v>
      </c>
      <c r="X303" t="str">
        <f>IFERROR(INDEX(Stores!$B:$B,MATCH(E303,Stores!$A:$A,0)),"Unknown")</f>
        <v>TrendMart Kochi High Street</v>
      </c>
      <c r="Y303" t="str">
        <f>IFERROR(INDEX(Stores!$E:$E,MATCH(E303,Stores!$A:$A,0)),"Unknown")</f>
        <v>South Zone 1</v>
      </c>
      <c r="Z303" t="str">
        <f>IFERROR(INDEX(Customers!$J:$J,MATCH(C303,Customers!$A:$A,0)),"Unknown")</f>
        <v>Gold</v>
      </c>
      <c r="AA303" t="str">
        <f t="shared" si="4"/>
        <v>2024-10</v>
      </c>
      <c r="AB303" t="str">
        <f>IFERROR(INDEX(Products!$I:$I,MATCH(D303,Products!$A:$A,0)),"Unknown")</f>
        <v>SUP085</v>
      </c>
    </row>
    <row r="304" spans="1:28" x14ac:dyDescent="0.25">
      <c r="A304" t="s">
        <v>1244</v>
      </c>
      <c r="B304" s="20">
        <v>45619</v>
      </c>
      <c r="C304" t="s">
        <v>1245</v>
      </c>
      <c r="D304" t="s">
        <v>510</v>
      </c>
      <c r="E304" t="s">
        <v>451</v>
      </c>
      <c r="F304" t="s">
        <v>281</v>
      </c>
      <c r="G304">
        <v>1</v>
      </c>
      <c r="H304" s="21">
        <v>1383.09</v>
      </c>
      <c r="I304">
        <v>10</v>
      </c>
      <c r="J304" s="21">
        <v>138.31</v>
      </c>
      <c r="K304">
        <v>12</v>
      </c>
      <c r="L304" s="21">
        <v>149.37</v>
      </c>
      <c r="M304" s="21">
        <v>1394.15</v>
      </c>
      <c r="N304" s="21">
        <v>914.72</v>
      </c>
      <c r="O304" s="21">
        <v>330.06</v>
      </c>
      <c r="P304" t="s">
        <v>121</v>
      </c>
      <c r="Q304" t="s">
        <v>120</v>
      </c>
      <c r="R304" t="s">
        <v>151</v>
      </c>
      <c r="S304" t="s">
        <v>1246</v>
      </c>
      <c r="T304" t="s">
        <v>161</v>
      </c>
      <c r="U304" t="s">
        <v>154</v>
      </c>
      <c r="V304" t="str">
        <f>IFERROR(INDEX(Products!$C:$C,MATCH(D304,Products!$A:$A,0)),"Unknown")</f>
        <v>Sportswear</v>
      </c>
      <c r="W304" t="str">
        <f>IFERROR(INDEX(Products!$E:$E,MATCH(D304,Products!$A:$A,0)),"Unknown")</f>
        <v>Liberty</v>
      </c>
      <c r="X304" t="str">
        <f>IFERROR(INDEX(Stores!$B:$B,MATCH(E304,Stores!$A:$A,0)),"Unknown")</f>
        <v>TrendMart Thoothukudi High Street</v>
      </c>
      <c r="Y304" t="str">
        <f>IFERROR(INDEX(Stores!$E:$E,MATCH(E304,Stores!$A:$A,0)),"Unknown")</f>
        <v>South Zone 1</v>
      </c>
      <c r="Z304" t="str">
        <f>IFERROR(INDEX(Customers!$J:$J,MATCH(C304,Customers!$A:$A,0)),"Unknown")</f>
        <v>Regular</v>
      </c>
      <c r="AA304" t="str">
        <f t="shared" si="4"/>
        <v>2024-11</v>
      </c>
      <c r="AB304" t="str">
        <f>IFERROR(INDEX(Products!$I:$I,MATCH(D304,Products!$A:$A,0)),"Unknown")</f>
        <v>SUP010</v>
      </c>
    </row>
    <row r="305" spans="1:28" x14ac:dyDescent="0.25">
      <c r="A305" t="s">
        <v>1247</v>
      </c>
      <c r="B305" s="20">
        <v>45511</v>
      </c>
      <c r="C305" t="s">
        <v>1248</v>
      </c>
      <c r="D305" t="s">
        <v>438</v>
      </c>
      <c r="E305" t="s">
        <v>999</v>
      </c>
      <c r="F305" t="s">
        <v>397</v>
      </c>
      <c r="G305">
        <v>2</v>
      </c>
      <c r="H305" s="21">
        <v>1644.54</v>
      </c>
      <c r="I305">
        <v>10</v>
      </c>
      <c r="J305" s="21">
        <v>328.91</v>
      </c>
      <c r="K305">
        <v>12</v>
      </c>
      <c r="L305" s="21">
        <v>355.22</v>
      </c>
      <c r="M305" s="21">
        <v>3315.39</v>
      </c>
      <c r="N305" s="21">
        <v>2248.96</v>
      </c>
      <c r="O305" s="21">
        <v>711.21</v>
      </c>
      <c r="P305" t="s">
        <v>121</v>
      </c>
      <c r="Q305" t="s">
        <v>120</v>
      </c>
      <c r="R305" t="s">
        <v>151</v>
      </c>
      <c r="S305" t="s">
        <v>1249</v>
      </c>
      <c r="T305" t="s">
        <v>153</v>
      </c>
      <c r="U305" t="s">
        <v>154</v>
      </c>
      <c r="V305" t="str">
        <f>IFERROR(INDEX(Products!$C:$C,MATCH(D305,Products!$A:$A,0)),"Unknown")</f>
        <v>Women Jeans</v>
      </c>
      <c r="W305" t="str">
        <f>IFERROR(INDEX(Products!$E:$E,MATCH(D305,Products!$A:$A,0)),"Unknown")</f>
        <v>Ramraj Cotton</v>
      </c>
      <c r="X305" t="str">
        <f>IFERROR(INDEX(Stores!$B:$B,MATCH(E305,Stores!$A:$A,0)),"Unknown")</f>
        <v>TrendMart Tumakuru Standard</v>
      </c>
      <c r="Y305" t="str">
        <f>IFERROR(INDEX(Stores!$E:$E,MATCH(E305,Stores!$A:$A,0)),"Unknown")</f>
        <v>South Zone 2</v>
      </c>
      <c r="Z305" t="str">
        <f>IFERROR(INDEX(Customers!$J:$J,MATCH(C305,Customers!$A:$A,0)),"Unknown")</f>
        <v>Gold</v>
      </c>
      <c r="AA305" t="str">
        <f t="shared" si="4"/>
        <v>2024-08</v>
      </c>
      <c r="AB305" t="str">
        <f>IFERROR(INDEX(Products!$I:$I,MATCH(D305,Products!$A:$A,0)),"Unknown")</f>
        <v>SUP015</v>
      </c>
    </row>
    <row r="306" spans="1:28" x14ac:dyDescent="0.25">
      <c r="A306" t="s">
        <v>1250</v>
      </c>
      <c r="B306" s="20">
        <v>45514</v>
      </c>
      <c r="C306" t="s">
        <v>1251</v>
      </c>
      <c r="D306" t="s">
        <v>595</v>
      </c>
      <c r="E306" t="s">
        <v>89</v>
      </c>
      <c r="F306" t="s">
        <v>403</v>
      </c>
      <c r="G306">
        <v>1</v>
      </c>
      <c r="H306" s="21">
        <v>961.97</v>
      </c>
      <c r="I306">
        <v>10</v>
      </c>
      <c r="J306" s="21">
        <v>96.2</v>
      </c>
      <c r="K306">
        <v>5</v>
      </c>
      <c r="L306" s="21">
        <v>43.29</v>
      </c>
      <c r="M306" s="21">
        <v>909.06</v>
      </c>
      <c r="N306" s="21">
        <v>590.48</v>
      </c>
      <c r="O306" s="21">
        <v>275.29000000000002</v>
      </c>
      <c r="P306" t="s">
        <v>125</v>
      </c>
      <c r="Q306" t="s">
        <v>120</v>
      </c>
      <c r="R306" t="s">
        <v>151</v>
      </c>
      <c r="S306" t="s">
        <v>392</v>
      </c>
      <c r="T306" t="s">
        <v>161</v>
      </c>
      <c r="U306" t="s">
        <v>154</v>
      </c>
      <c r="V306" t="str">
        <f>IFERROR(INDEX(Products!$C:$C,MATCH(D306,Products!$A:$A,0)),"Unknown")</f>
        <v>Men Shirts</v>
      </c>
      <c r="W306" t="str">
        <f>IFERROR(INDEX(Products!$E:$E,MATCH(D306,Products!$A:$A,0)),"Unknown")</f>
        <v>Nalli Silks</v>
      </c>
      <c r="X306" t="str">
        <f>IFERROR(INDEX(Stores!$B:$B,MATCH(E306,Stores!$A:$A,0)),"Unknown")</f>
        <v>TrendMart Kochi Standard</v>
      </c>
      <c r="Y306" t="str">
        <f>IFERROR(INDEX(Stores!$E:$E,MATCH(E306,Stores!$A:$A,0)),"Unknown")</f>
        <v>South Zone 1</v>
      </c>
      <c r="Z306" t="str">
        <f>IFERROR(INDEX(Customers!$J:$J,MATCH(C306,Customers!$A:$A,0)),"Unknown")</f>
        <v>Regular</v>
      </c>
      <c r="AA306" t="str">
        <f t="shared" si="4"/>
        <v>2024-08</v>
      </c>
      <c r="AB306" t="str">
        <f>IFERROR(INDEX(Products!$I:$I,MATCH(D306,Products!$A:$A,0)),"Unknown")</f>
        <v>SUP055</v>
      </c>
    </row>
    <row r="307" spans="1:28" x14ac:dyDescent="0.25">
      <c r="A307" t="s">
        <v>1252</v>
      </c>
      <c r="B307" s="20">
        <v>45624</v>
      </c>
      <c r="C307" t="s">
        <v>1253</v>
      </c>
      <c r="D307" t="s">
        <v>1026</v>
      </c>
      <c r="E307" t="s">
        <v>81</v>
      </c>
      <c r="F307" t="s">
        <v>176</v>
      </c>
      <c r="G307">
        <v>2</v>
      </c>
      <c r="H307" s="21">
        <v>1415.93</v>
      </c>
      <c r="I307">
        <v>10</v>
      </c>
      <c r="J307" s="21">
        <v>283.19</v>
      </c>
      <c r="K307">
        <v>12</v>
      </c>
      <c r="L307" s="21">
        <v>305.83999999999997</v>
      </c>
      <c r="M307" s="21">
        <v>2854.51</v>
      </c>
      <c r="N307" s="21">
        <v>1924.34</v>
      </c>
      <c r="O307" s="21">
        <v>624.33000000000004</v>
      </c>
      <c r="P307" t="s">
        <v>121</v>
      </c>
      <c r="Q307" t="s">
        <v>122</v>
      </c>
      <c r="R307" t="s">
        <v>151</v>
      </c>
      <c r="S307" t="s">
        <v>426</v>
      </c>
      <c r="T307" t="s">
        <v>153</v>
      </c>
      <c r="U307" t="s">
        <v>154</v>
      </c>
      <c r="V307" t="str">
        <f>IFERROR(INDEX(Products!$C:$C,MATCH(D307,Products!$A:$A,0)),"Unknown")</f>
        <v>Women Sarees</v>
      </c>
      <c r="W307" t="str">
        <f>IFERROR(INDEX(Products!$E:$E,MATCH(D307,Products!$A:$A,0)),"Unknown")</f>
        <v>Spykar</v>
      </c>
      <c r="X307" t="str">
        <f>IFERROR(INDEX(Stores!$B:$B,MATCH(E307,Stores!$A:$A,0)),"Unknown")</f>
        <v>TrendMart Vijayawada High Street</v>
      </c>
      <c r="Y307" t="str">
        <f>IFERROR(INDEX(Stores!$E:$E,MATCH(E307,Stores!$A:$A,0)),"Unknown")</f>
        <v>South Zone 3</v>
      </c>
      <c r="Z307" t="str">
        <f>IFERROR(INDEX(Customers!$J:$J,MATCH(C307,Customers!$A:$A,0)),"Unknown")</f>
        <v>Gold</v>
      </c>
      <c r="AA307" t="str">
        <f t="shared" si="4"/>
        <v>2024-11</v>
      </c>
      <c r="AB307" t="str">
        <f>IFERROR(INDEX(Products!$I:$I,MATCH(D307,Products!$A:$A,0)),"Unknown")</f>
        <v>SUP001</v>
      </c>
    </row>
    <row r="308" spans="1:28" x14ac:dyDescent="0.25">
      <c r="A308" t="s">
        <v>1254</v>
      </c>
      <c r="B308" s="20">
        <v>45730</v>
      </c>
      <c r="C308" t="s">
        <v>1255</v>
      </c>
      <c r="D308" t="s">
        <v>1256</v>
      </c>
      <c r="E308" t="s">
        <v>630</v>
      </c>
      <c r="F308" t="s">
        <v>165</v>
      </c>
      <c r="G308">
        <v>1</v>
      </c>
      <c r="H308" s="21">
        <v>841.78</v>
      </c>
      <c r="I308">
        <v>5</v>
      </c>
      <c r="J308" s="21">
        <v>42.09</v>
      </c>
      <c r="K308">
        <v>5</v>
      </c>
      <c r="L308" s="21">
        <v>39.979999999999997</v>
      </c>
      <c r="M308" s="21">
        <v>839.67</v>
      </c>
      <c r="N308" s="21">
        <v>637.27</v>
      </c>
      <c r="O308" s="21">
        <v>162.41999999999999</v>
      </c>
      <c r="P308" t="s">
        <v>123</v>
      </c>
      <c r="Q308" t="s">
        <v>120</v>
      </c>
      <c r="R308" t="s">
        <v>151</v>
      </c>
      <c r="S308" t="s">
        <v>1257</v>
      </c>
      <c r="T308" t="s">
        <v>153</v>
      </c>
      <c r="U308" t="s">
        <v>154</v>
      </c>
      <c r="V308" t="str">
        <f>IFERROR(INDEX(Products!$C:$C,MATCH(D308,Products!$A:$A,0)),"Unknown")</f>
        <v>Women Jeans</v>
      </c>
      <c r="W308" t="str">
        <f>IFERROR(INDEX(Products!$E:$E,MATCH(D308,Products!$A:$A,0)),"Unknown")</f>
        <v>Biba</v>
      </c>
      <c r="X308" t="str">
        <f>IFERROR(INDEX(Stores!$B:$B,MATCH(E308,Stores!$A:$A,0)),"Unknown")</f>
        <v>TrendMart Guntur Standard</v>
      </c>
      <c r="Y308" t="str">
        <f>IFERROR(INDEX(Stores!$E:$E,MATCH(E308,Stores!$A:$A,0)),"Unknown")</f>
        <v>South Zone 3</v>
      </c>
      <c r="Z308" t="str">
        <f>IFERROR(INDEX(Customers!$J:$J,MATCH(C308,Customers!$A:$A,0)),"Unknown")</f>
        <v>Regular</v>
      </c>
      <c r="AA308" t="str">
        <f t="shared" si="4"/>
        <v>2025-03</v>
      </c>
      <c r="AB308" t="str">
        <f>IFERROR(INDEX(Products!$I:$I,MATCH(D308,Products!$A:$A,0)),"Unknown")</f>
        <v>SUP040</v>
      </c>
    </row>
    <row r="309" spans="1:28" x14ac:dyDescent="0.25">
      <c r="A309" t="s">
        <v>1258</v>
      </c>
      <c r="B309" s="20">
        <v>45616</v>
      </c>
      <c r="C309" t="s">
        <v>1259</v>
      </c>
      <c r="D309" t="s">
        <v>801</v>
      </c>
      <c r="E309" t="s">
        <v>1023</v>
      </c>
      <c r="F309" t="s">
        <v>618</v>
      </c>
      <c r="G309">
        <v>5</v>
      </c>
      <c r="H309" s="21">
        <v>639.97</v>
      </c>
      <c r="I309">
        <v>20</v>
      </c>
      <c r="J309" s="21">
        <v>639.97</v>
      </c>
      <c r="K309">
        <v>5</v>
      </c>
      <c r="L309" s="21">
        <v>127.99</v>
      </c>
      <c r="M309" s="21">
        <v>2687.87</v>
      </c>
      <c r="N309" s="21">
        <v>2123.8000000000002</v>
      </c>
      <c r="O309" s="21">
        <v>436.08</v>
      </c>
      <c r="P309" t="s">
        <v>123</v>
      </c>
      <c r="Q309" t="s">
        <v>122</v>
      </c>
      <c r="R309" t="s">
        <v>151</v>
      </c>
      <c r="S309" t="s">
        <v>517</v>
      </c>
      <c r="T309" t="s">
        <v>153</v>
      </c>
      <c r="U309" t="s">
        <v>154</v>
      </c>
      <c r="V309" t="str">
        <f>IFERROR(INDEX(Products!$C:$C,MATCH(D309,Products!$A:$A,0)),"Unknown")</f>
        <v>Kids Wear</v>
      </c>
      <c r="W309" t="str">
        <f>IFERROR(INDEX(Products!$E:$E,MATCH(D309,Products!$A:$A,0)),"Unknown")</f>
        <v>Being Human</v>
      </c>
      <c r="X309" t="str">
        <f>IFERROR(INDEX(Stores!$B:$B,MATCH(E309,Stores!$A:$A,0)),"Unknown")</f>
        <v>TrendMart Kochi High Street</v>
      </c>
      <c r="Y309" t="str">
        <f>IFERROR(INDEX(Stores!$E:$E,MATCH(E309,Stores!$A:$A,0)),"Unknown")</f>
        <v>South Zone 1</v>
      </c>
      <c r="Z309" t="str">
        <f>IFERROR(INDEX(Customers!$J:$J,MATCH(C309,Customers!$A:$A,0)),"Unknown")</f>
        <v>Gold</v>
      </c>
      <c r="AA309" t="str">
        <f t="shared" si="4"/>
        <v>2024-11</v>
      </c>
      <c r="AB309" t="str">
        <f>IFERROR(INDEX(Products!$I:$I,MATCH(D309,Products!$A:$A,0)),"Unknown")</f>
        <v>SUP063</v>
      </c>
    </row>
    <row r="310" spans="1:28" x14ac:dyDescent="0.25">
      <c r="A310" t="s">
        <v>1260</v>
      </c>
      <c r="B310" s="20">
        <v>45632</v>
      </c>
      <c r="C310" t="s">
        <v>834</v>
      </c>
      <c r="D310" t="s">
        <v>996</v>
      </c>
      <c r="E310" t="s">
        <v>1074</v>
      </c>
      <c r="F310" t="s">
        <v>275</v>
      </c>
      <c r="G310">
        <v>3</v>
      </c>
      <c r="H310" s="21">
        <v>1844.36</v>
      </c>
      <c r="I310">
        <v>0</v>
      </c>
      <c r="J310" s="21">
        <v>0</v>
      </c>
      <c r="K310">
        <v>12</v>
      </c>
      <c r="L310" s="21">
        <v>663.97</v>
      </c>
      <c r="M310" s="21">
        <v>6197.05</v>
      </c>
      <c r="N310" s="21">
        <v>4291.71</v>
      </c>
      <c r="O310" s="21">
        <v>1241.3699999999999</v>
      </c>
      <c r="P310" t="s">
        <v>125</v>
      </c>
      <c r="Q310" t="s">
        <v>120</v>
      </c>
      <c r="R310" t="s">
        <v>151</v>
      </c>
      <c r="S310" t="s">
        <v>1261</v>
      </c>
      <c r="T310" t="s">
        <v>153</v>
      </c>
      <c r="U310" t="s">
        <v>154</v>
      </c>
      <c r="V310" t="str">
        <f>IFERROR(INDEX(Products!$C:$C,MATCH(D310,Products!$A:$A,0)),"Unknown")</f>
        <v>Men Ethnic</v>
      </c>
      <c r="W310" t="str">
        <f>IFERROR(INDEX(Products!$E:$E,MATCH(D310,Products!$A:$A,0)),"Unknown")</f>
        <v>Liberty</v>
      </c>
      <c r="X310" t="str">
        <f>IFERROR(INDEX(Stores!$B:$B,MATCH(E310,Stores!$A:$A,0)),"Unknown")</f>
        <v>TrendMart Hyderabad Standard</v>
      </c>
      <c r="Y310" t="str">
        <f>IFERROR(INDEX(Stores!$E:$E,MATCH(E310,Stores!$A:$A,0)),"Unknown")</f>
        <v>South Zone 2</v>
      </c>
      <c r="Z310" t="str">
        <f>IFERROR(INDEX(Customers!$J:$J,MATCH(C310,Customers!$A:$A,0)),"Unknown")</f>
        <v>Platinum</v>
      </c>
      <c r="AA310" t="str">
        <f t="shared" si="4"/>
        <v>2024-12</v>
      </c>
      <c r="AB310" t="str">
        <f>IFERROR(INDEX(Products!$I:$I,MATCH(D310,Products!$A:$A,0)),"Unknown")</f>
        <v>SUP046</v>
      </c>
    </row>
    <row r="311" spans="1:28" x14ac:dyDescent="0.25">
      <c r="A311" t="s">
        <v>1262</v>
      </c>
      <c r="B311" s="20">
        <v>45695</v>
      </c>
      <c r="C311" t="s">
        <v>1263</v>
      </c>
      <c r="D311" t="s">
        <v>1140</v>
      </c>
      <c r="E311" t="s">
        <v>999</v>
      </c>
      <c r="F311" t="s">
        <v>292</v>
      </c>
      <c r="G311">
        <v>2</v>
      </c>
      <c r="H311" s="21">
        <v>1370.97</v>
      </c>
      <c r="I311">
        <v>10</v>
      </c>
      <c r="J311" s="21">
        <v>274.19</v>
      </c>
      <c r="K311">
        <v>12</v>
      </c>
      <c r="L311" s="21">
        <v>296.13</v>
      </c>
      <c r="M311" s="21">
        <v>2763.88</v>
      </c>
      <c r="N311" s="21">
        <v>1789.36</v>
      </c>
      <c r="O311" s="21">
        <v>678.39</v>
      </c>
      <c r="P311" t="s">
        <v>126</v>
      </c>
      <c r="Q311" t="s">
        <v>120</v>
      </c>
      <c r="R311" t="s">
        <v>151</v>
      </c>
      <c r="S311" t="s">
        <v>1264</v>
      </c>
      <c r="T311" t="s">
        <v>153</v>
      </c>
      <c r="U311" t="s">
        <v>154</v>
      </c>
      <c r="V311" t="str">
        <f>IFERROR(INDEX(Products!$C:$C,MATCH(D311,Products!$A:$A,0)),"Unknown")</f>
        <v>Sportswear</v>
      </c>
      <c r="W311" t="str">
        <f>IFERROR(INDEX(Products!$E:$E,MATCH(D311,Products!$A:$A,0)),"Unknown")</f>
        <v>Bata</v>
      </c>
      <c r="X311" t="str">
        <f>IFERROR(INDEX(Stores!$B:$B,MATCH(E311,Stores!$A:$A,0)),"Unknown")</f>
        <v>TrendMart Tumakuru Standard</v>
      </c>
      <c r="Y311" t="str">
        <f>IFERROR(INDEX(Stores!$E:$E,MATCH(E311,Stores!$A:$A,0)),"Unknown")</f>
        <v>South Zone 2</v>
      </c>
      <c r="Z311" t="str">
        <f>IFERROR(INDEX(Customers!$J:$J,MATCH(C311,Customers!$A:$A,0)),"Unknown")</f>
        <v>Silver</v>
      </c>
      <c r="AA311" t="str">
        <f t="shared" si="4"/>
        <v>2025-02</v>
      </c>
      <c r="AB311" t="str">
        <f>IFERROR(INDEX(Products!$I:$I,MATCH(D311,Products!$A:$A,0)),"Unknown")</f>
        <v>SUP065</v>
      </c>
    </row>
    <row r="312" spans="1:28" x14ac:dyDescent="0.25">
      <c r="A312" t="s">
        <v>1265</v>
      </c>
      <c r="B312" s="20">
        <v>45460</v>
      </c>
      <c r="C312" t="s">
        <v>411</v>
      </c>
      <c r="D312" t="s">
        <v>756</v>
      </c>
      <c r="E312" t="s">
        <v>84</v>
      </c>
      <c r="F312" t="s">
        <v>263</v>
      </c>
      <c r="G312">
        <v>2</v>
      </c>
      <c r="H312" s="21">
        <v>708.74</v>
      </c>
      <c r="I312">
        <v>15</v>
      </c>
      <c r="J312" s="21">
        <v>212.62</v>
      </c>
      <c r="K312">
        <v>5</v>
      </c>
      <c r="L312" s="21">
        <v>60.24</v>
      </c>
      <c r="M312" s="21">
        <v>1265.0999999999999</v>
      </c>
      <c r="N312" s="21">
        <v>1044.76</v>
      </c>
      <c r="O312" s="21">
        <v>160.1</v>
      </c>
      <c r="P312" t="s">
        <v>121</v>
      </c>
      <c r="Q312" t="s">
        <v>120</v>
      </c>
      <c r="R312" t="s">
        <v>151</v>
      </c>
      <c r="S312" t="s">
        <v>1230</v>
      </c>
      <c r="T312" t="s">
        <v>153</v>
      </c>
      <c r="U312" t="s">
        <v>154</v>
      </c>
      <c r="V312" t="str">
        <f>IFERROR(INDEX(Products!$C:$C,MATCH(D312,Products!$A:$A,0)),"Unknown")</f>
        <v>Women Tops</v>
      </c>
      <c r="W312" t="str">
        <f>IFERROR(INDEX(Products!$E:$E,MATCH(D312,Products!$A:$A,0)),"Unknown")</f>
        <v>Peter England</v>
      </c>
      <c r="X312" t="str">
        <f>IFERROR(INDEX(Stores!$B:$B,MATCH(E312,Stores!$A:$A,0)),"Unknown")</f>
        <v>TrendMart Tirupati Standard</v>
      </c>
      <c r="Y312" t="str">
        <f>IFERROR(INDEX(Stores!$E:$E,MATCH(E312,Stores!$A:$A,0)),"Unknown")</f>
        <v>South Zone 3</v>
      </c>
      <c r="Z312" t="str">
        <f>IFERROR(INDEX(Customers!$J:$J,MATCH(C312,Customers!$A:$A,0)),"Unknown")</f>
        <v>Gold</v>
      </c>
      <c r="AA312" t="str">
        <f t="shared" si="4"/>
        <v>2024-06</v>
      </c>
      <c r="AB312" t="str">
        <f>IFERROR(INDEX(Products!$I:$I,MATCH(D312,Products!$A:$A,0)),"Unknown")</f>
        <v>SUP018</v>
      </c>
    </row>
    <row r="313" spans="1:28" x14ac:dyDescent="0.25">
      <c r="A313" t="s">
        <v>1266</v>
      </c>
      <c r="B313" s="20">
        <v>45469</v>
      </c>
      <c r="C313" t="s">
        <v>1013</v>
      </c>
      <c r="D313" t="s">
        <v>599</v>
      </c>
      <c r="E313" t="s">
        <v>84</v>
      </c>
      <c r="F313" t="s">
        <v>579</v>
      </c>
      <c r="G313">
        <v>3</v>
      </c>
      <c r="H313" s="21">
        <v>996.7</v>
      </c>
      <c r="I313">
        <v>20</v>
      </c>
      <c r="J313" s="21">
        <v>598.02</v>
      </c>
      <c r="K313">
        <v>5</v>
      </c>
      <c r="L313" s="21">
        <v>119.6</v>
      </c>
      <c r="M313" s="21">
        <v>2511.6799999999998</v>
      </c>
      <c r="N313" s="21">
        <v>1936.77</v>
      </c>
      <c r="O313" s="21">
        <v>455.31</v>
      </c>
      <c r="P313" t="s">
        <v>123</v>
      </c>
      <c r="Q313" t="s">
        <v>120</v>
      </c>
      <c r="R313" t="s">
        <v>151</v>
      </c>
      <c r="S313" t="s">
        <v>383</v>
      </c>
      <c r="T313" t="s">
        <v>153</v>
      </c>
      <c r="U313" t="s">
        <v>154</v>
      </c>
      <c r="V313" t="str">
        <f>IFERROR(INDEX(Products!$C:$C,MATCH(D313,Products!$A:$A,0)),"Unknown")</f>
        <v>Men Shirts</v>
      </c>
      <c r="W313" t="str">
        <f>IFERROR(INDEX(Products!$E:$E,MATCH(D313,Products!$A:$A,0)),"Unknown")</f>
        <v>Van Heusen</v>
      </c>
      <c r="X313" t="str">
        <f>IFERROR(INDEX(Stores!$B:$B,MATCH(E313,Stores!$A:$A,0)),"Unknown")</f>
        <v>TrendMart Tirupati Standard</v>
      </c>
      <c r="Y313" t="str">
        <f>IFERROR(INDEX(Stores!$E:$E,MATCH(E313,Stores!$A:$A,0)),"Unknown")</f>
        <v>South Zone 3</v>
      </c>
      <c r="Z313" t="str">
        <f>IFERROR(INDEX(Customers!$J:$J,MATCH(C313,Customers!$A:$A,0)),"Unknown")</f>
        <v>Regular</v>
      </c>
      <c r="AA313" t="str">
        <f t="shared" si="4"/>
        <v>2024-06</v>
      </c>
      <c r="AB313" t="str">
        <f>IFERROR(INDEX(Products!$I:$I,MATCH(D313,Products!$A:$A,0)),"Unknown")</f>
        <v>SUP084</v>
      </c>
    </row>
    <row r="314" spans="1:28" x14ac:dyDescent="0.25">
      <c r="A314" t="s">
        <v>1267</v>
      </c>
      <c r="B314" s="20">
        <v>45589</v>
      </c>
      <c r="C314" t="s">
        <v>1268</v>
      </c>
      <c r="D314" t="s">
        <v>524</v>
      </c>
      <c r="E314" t="s">
        <v>906</v>
      </c>
      <c r="F314" t="s">
        <v>550</v>
      </c>
      <c r="G314">
        <v>1</v>
      </c>
      <c r="H314" s="21">
        <v>742.51</v>
      </c>
      <c r="I314">
        <v>0</v>
      </c>
      <c r="J314" s="21">
        <v>0</v>
      </c>
      <c r="K314">
        <v>5</v>
      </c>
      <c r="L314" s="21">
        <v>37.130000000000003</v>
      </c>
      <c r="M314" s="21">
        <v>779.64</v>
      </c>
      <c r="N314" s="21">
        <v>547.66999999999996</v>
      </c>
      <c r="O314" s="21">
        <v>194.84</v>
      </c>
      <c r="P314" t="s">
        <v>123</v>
      </c>
      <c r="Q314" t="s">
        <v>122</v>
      </c>
      <c r="R314" t="s">
        <v>151</v>
      </c>
      <c r="S314" t="s">
        <v>512</v>
      </c>
      <c r="T314" t="s">
        <v>153</v>
      </c>
      <c r="U314" t="s">
        <v>154</v>
      </c>
      <c r="V314" t="str">
        <f>IFERROR(INDEX(Products!$C:$C,MATCH(D314,Products!$A:$A,0)),"Unknown")</f>
        <v>Women Tops</v>
      </c>
      <c r="W314" t="str">
        <f>IFERROR(INDEX(Products!$E:$E,MATCH(D314,Products!$A:$A,0)),"Unknown")</f>
        <v>Indian Terrain</v>
      </c>
      <c r="X314" t="str">
        <f>IFERROR(INDEX(Stores!$B:$B,MATCH(E314,Stores!$A:$A,0)),"Unknown")</f>
        <v>TrendMart Vijayawada Standard</v>
      </c>
      <c r="Y314" t="str">
        <f>IFERROR(INDEX(Stores!$E:$E,MATCH(E314,Stores!$A:$A,0)),"Unknown")</f>
        <v>South Zone 3</v>
      </c>
      <c r="Z314" t="str">
        <f>IFERROR(INDEX(Customers!$J:$J,MATCH(C314,Customers!$A:$A,0)),"Unknown")</f>
        <v>Regular</v>
      </c>
      <c r="AA314" t="str">
        <f t="shared" si="4"/>
        <v>2024-10</v>
      </c>
      <c r="AB314" t="str">
        <f>IFERROR(INDEX(Products!$I:$I,MATCH(D314,Products!$A:$A,0)),"Unknown")</f>
        <v>SUP062</v>
      </c>
    </row>
    <row r="315" spans="1:28" x14ac:dyDescent="0.25">
      <c r="A315" t="s">
        <v>1269</v>
      </c>
      <c r="B315" s="20">
        <v>45392</v>
      </c>
      <c r="C315" t="s">
        <v>1270</v>
      </c>
      <c r="D315" t="s">
        <v>342</v>
      </c>
      <c r="E315" t="s">
        <v>355</v>
      </c>
      <c r="F315" t="s">
        <v>532</v>
      </c>
      <c r="G315">
        <v>3</v>
      </c>
      <c r="H315" s="21">
        <v>4946.8599999999997</v>
      </c>
      <c r="I315">
        <v>20</v>
      </c>
      <c r="J315" s="21">
        <v>2968.12</v>
      </c>
      <c r="K315">
        <v>12</v>
      </c>
      <c r="L315" s="21">
        <v>1424.7</v>
      </c>
      <c r="M315" s="21">
        <v>13297.16</v>
      </c>
      <c r="N315" s="21">
        <v>10951.65</v>
      </c>
      <c r="O315" s="21">
        <v>920.81</v>
      </c>
      <c r="P315" t="s">
        <v>121</v>
      </c>
      <c r="Q315" t="s">
        <v>120</v>
      </c>
      <c r="R315" t="s">
        <v>151</v>
      </c>
      <c r="S315" t="s">
        <v>202</v>
      </c>
      <c r="T315" t="s">
        <v>153</v>
      </c>
      <c r="U315" t="s">
        <v>154</v>
      </c>
      <c r="V315" t="str">
        <f>IFERROR(INDEX(Products!$C:$C,MATCH(D315,Products!$A:$A,0)),"Unknown")</f>
        <v>Watches</v>
      </c>
      <c r="W315" t="str">
        <f>IFERROR(INDEX(Products!$E:$E,MATCH(D315,Products!$A:$A,0)),"Unknown")</f>
        <v>Pepe Jeans</v>
      </c>
      <c r="X315" t="str">
        <f>IFERROR(INDEX(Stores!$B:$B,MATCH(E315,Stores!$A:$A,0)),"Unknown")</f>
        <v>TrendMart Thiruvananthapuram High Street</v>
      </c>
      <c r="Y315" t="str">
        <f>IFERROR(INDEX(Stores!$E:$E,MATCH(E315,Stores!$A:$A,0)),"Unknown")</f>
        <v>South Zone 1</v>
      </c>
      <c r="Z315" t="str">
        <f>IFERROR(INDEX(Customers!$J:$J,MATCH(C315,Customers!$A:$A,0)),"Unknown")</f>
        <v>Silver</v>
      </c>
      <c r="AA315" t="str">
        <f t="shared" si="4"/>
        <v>2024-04</v>
      </c>
      <c r="AB315" t="str">
        <f>IFERROR(INDEX(Products!$I:$I,MATCH(D315,Products!$A:$A,0)),"Unknown")</f>
        <v>SUP052</v>
      </c>
    </row>
    <row r="316" spans="1:28" x14ac:dyDescent="0.25">
      <c r="A316" t="s">
        <v>1271</v>
      </c>
      <c r="B316" s="20">
        <v>45715</v>
      </c>
      <c r="C316" t="s">
        <v>311</v>
      </c>
      <c r="D316" t="s">
        <v>333</v>
      </c>
      <c r="E316" t="s">
        <v>798</v>
      </c>
      <c r="F316" t="s">
        <v>408</v>
      </c>
      <c r="G316">
        <v>2</v>
      </c>
      <c r="H316" s="21">
        <v>2458.63</v>
      </c>
      <c r="I316">
        <v>5</v>
      </c>
      <c r="J316" s="21">
        <v>245.86</v>
      </c>
      <c r="K316">
        <v>12</v>
      </c>
      <c r="L316" s="21">
        <v>560.57000000000005</v>
      </c>
      <c r="M316" s="21">
        <v>5231.97</v>
      </c>
      <c r="N316" s="21">
        <v>3534.64</v>
      </c>
      <c r="O316" s="21">
        <v>1136.76</v>
      </c>
      <c r="P316" t="s">
        <v>126</v>
      </c>
      <c r="Q316" t="s">
        <v>122</v>
      </c>
      <c r="R316" t="s">
        <v>151</v>
      </c>
      <c r="S316" t="s">
        <v>1272</v>
      </c>
      <c r="T316" t="s">
        <v>153</v>
      </c>
      <c r="U316" t="s">
        <v>154</v>
      </c>
      <c r="V316" t="str">
        <f>IFERROR(INDEX(Products!$C:$C,MATCH(D316,Products!$A:$A,0)),"Unknown")</f>
        <v>Winter Wear</v>
      </c>
      <c r="W316" t="str">
        <f>IFERROR(INDEX(Products!$E:$E,MATCH(D316,Products!$A:$A,0)),"Unknown")</f>
        <v>GRT Jewellers</v>
      </c>
      <c r="X316" t="str">
        <f>IFERROR(INDEX(Stores!$B:$B,MATCH(E316,Stores!$A:$A,0)),"Unknown")</f>
        <v>TrendMart Guntur Standard</v>
      </c>
      <c r="Y316" t="str">
        <f>IFERROR(INDEX(Stores!$E:$E,MATCH(E316,Stores!$A:$A,0)),"Unknown")</f>
        <v>South Zone 3</v>
      </c>
      <c r="Z316" t="str">
        <f>IFERROR(INDEX(Customers!$J:$J,MATCH(C316,Customers!$A:$A,0)),"Unknown")</f>
        <v>Gold</v>
      </c>
      <c r="AA316" t="str">
        <f t="shared" si="4"/>
        <v>2025-02</v>
      </c>
      <c r="AB316" t="str">
        <f>IFERROR(INDEX(Products!$I:$I,MATCH(D316,Products!$A:$A,0)),"Unknown")</f>
        <v>SUP052</v>
      </c>
    </row>
    <row r="317" spans="1:28" x14ac:dyDescent="0.25">
      <c r="A317" t="s">
        <v>1273</v>
      </c>
      <c r="B317" s="20">
        <v>45556</v>
      </c>
      <c r="C317" t="s">
        <v>1274</v>
      </c>
      <c r="D317" t="s">
        <v>279</v>
      </c>
      <c r="E317" t="s">
        <v>667</v>
      </c>
      <c r="F317" t="s">
        <v>165</v>
      </c>
      <c r="G317">
        <v>1</v>
      </c>
      <c r="H317" s="21">
        <v>3307.27</v>
      </c>
      <c r="I317">
        <v>0</v>
      </c>
      <c r="J317" s="21">
        <v>0</v>
      </c>
      <c r="K317">
        <v>12</v>
      </c>
      <c r="L317" s="21">
        <v>396.87</v>
      </c>
      <c r="M317" s="21">
        <v>3704.14</v>
      </c>
      <c r="N317" s="21">
        <v>2069.33</v>
      </c>
      <c r="O317" s="21">
        <v>1237.94</v>
      </c>
      <c r="P317" t="s">
        <v>121</v>
      </c>
      <c r="Q317" t="s">
        <v>120</v>
      </c>
      <c r="R317" t="s">
        <v>313</v>
      </c>
      <c r="S317" t="s">
        <v>1275</v>
      </c>
      <c r="T317" t="s">
        <v>161</v>
      </c>
      <c r="U317" t="s">
        <v>154</v>
      </c>
      <c r="V317" t="str">
        <f>IFERROR(INDEX(Products!$C:$C,MATCH(D317,Products!$A:$A,0)),"Unknown")</f>
        <v>Handbags</v>
      </c>
      <c r="W317" t="str">
        <f>IFERROR(INDEX(Products!$E:$E,MATCH(D317,Products!$A:$A,0)),"Unknown")</f>
        <v>Westside</v>
      </c>
      <c r="X317" t="str">
        <f>IFERROR(INDEX(Stores!$B:$B,MATCH(E317,Stores!$A:$A,0)),"Unknown")</f>
        <v>TrendMart Hyderabad High Street</v>
      </c>
      <c r="Y317" t="str">
        <f>IFERROR(INDEX(Stores!$E:$E,MATCH(E317,Stores!$A:$A,0)),"Unknown")</f>
        <v>South Zone 2</v>
      </c>
      <c r="Z317" t="str">
        <f>IFERROR(INDEX(Customers!$J:$J,MATCH(C317,Customers!$A:$A,0)),"Unknown")</f>
        <v>Regular</v>
      </c>
      <c r="AA317" t="str">
        <f t="shared" si="4"/>
        <v>2024-09</v>
      </c>
      <c r="AB317" t="str">
        <f>IFERROR(INDEX(Products!$I:$I,MATCH(D317,Products!$A:$A,0)),"Unknown")</f>
        <v>SUP066</v>
      </c>
    </row>
    <row r="318" spans="1:28" x14ac:dyDescent="0.25">
      <c r="A318" t="s">
        <v>1276</v>
      </c>
      <c r="B318" s="20">
        <v>45647</v>
      </c>
      <c r="C318" t="s">
        <v>1277</v>
      </c>
      <c r="D318" t="s">
        <v>1278</v>
      </c>
      <c r="E318" t="s">
        <v>495</v>
      </c>
      <c r="F318" t="s">
        <v>150</v>
      </c>
      <c r="G318">
        <v>2</v>
      </c>
      <c r="H318" s="21">
        <v>5186.96</v>
      </c>
      <c r="I318">
        <v>0</v>
      </c>
      <c r="J318" s="21">
        <v>0</v>
      </c>
      <c r="K318">
        <v>12</v>
      </c>
      <c r="L318" s="21">
        <v>1244.8699999999999</v>
      </c>
      <c r="M318" s="21">
        <v>11618.79</v>
      </c>
      <c r="N318" s="21">
        <v>7701.94</v>
      </c>
      <c r="O318" s="21">
        <v>2671.98</v>
      </c>
      <c r="P318" t="s">
        <v>125</v>
      </c>
      <c r="Q318" t="s">
        <v>122</v>
      </c>
      <c r="R318" t="s">
        <v>151</v>
      </c>
      <c r="S318" t="s">
        <v>1194</v>
      </c>
      <c r="T318" t="s">
        <v>161</v>
      </c>
      <c r="U318" t="s">
        <v>154</v>
      </c>
      <c r="V318" t="str">
        <f>IFERROR(INDEX(Products!$C:$C,MATCH(D318,Products!$A:$A,0)),"Unknown")</f>
        <v>Watches</v>
      </c>
      <c r="W318" t="str">
        <f>IFERROR(INDEX(Products!$E:$E,MATCH(D318,Products!$A:$A,0)),"Unknown")</f>
        <v>Aurelia</v>
      </c>
      <c r="X318" t="str">
        <f>IFERROR(INDEX(Stores!$B:$B,MATCH(E318,Stores!$A:$A,0)),"Unknown")</f>
        <v>TrendMart Visakhapatnam Flagship</v>
      </c>
      <c r="Y318" t="str">
        <f>IFERROR(INDEX(Stores!$E:$E,MATCH(E318,Stores!$A:$A,0)),"Unknown")</f>
        <v>South Zone 3</v>
      </c>
      <c r="Z318" t="str">
        <f>IFERROR(INDEX(Customers!$J:$J,MATCH(C318,Customers!$A:$A,0)),"Unknown")</f>
        <v>Regular</v>
      </c>
      <c r="AA318" t="str">
        <f t="shared" si="4"/>
        <v>2024-12</v>
      </c>
      <c r="AB318" t="str">
        <f>IFERROR(INDEX(Products!$I:$I,MATCH(D318,Products!$A:$A,0)),"Unknown")</f>
        <v>SUP079</v>
      </c>
    </row>
    <row r="319" spans="1:28" x14ac:dyDescent="0.25">
      <c r="A319" t="s">
        <v>1279</v>
      </c>
      <c r="B319" s="20">
        <v>45585</v>
      </c>
      <c r="C319" t="s">
        <v>605</v>
      </c>
      <c r="D319" t="s">
        <v>1280</v>
      </c>
      <c r="E319" t="s">
        <v>1281</v>
      </c>
      <c r="F319" t="s">
        <v>258</v>
      </c>
      <c r="G319">
        <v>1</v>
      </c>
      <c r="H319" s="21">
        <v>1220.6400000000001</v>
      </c>
      <c r="I319">
        <v>0</v>
      </c>
      <c r="J319" s="21">
        <v>0</v>
      </c>
      <c r="K319">
        <v>12</v>
      </c>
      <c r="L319" s="21">
        <v>146.47999999999999</v>
      </c>
      <c r="M319" s="21">
        <v>1367.12</v>
      </c>
      <c r="N319" s="21">
        <v>754.73</v>
      </c>
      <c r="O319" s="21">
        <v>465.91</v>
      </c>
      <c r="P319" t="s">
        <v>125</v>
      </c>
      <c r="Q319" t="s">
        <v>122</v>
      </c>
      <c r="R319" t="s">
        <v>151</v>
      </c>
      <c r="S319" t="s">
        <v>1282</v>
      </c>
      <c r="T319" t="s">
        <v>161</v>
      </c>
      <c r="U319" t="s">
        <v>154</v>
      </c>
      <c r="V319" t="str">
        <f>IFERROR(INDEX(Products!$C:$C,MATCH(D319,Products!$A:$A,0)),"Unknown")</f>
        <v>Men Jeans</v>
      </c>
      <c r="W319" t="str">
        <f>IFERROR(INDEX(Products!$E:$E,MATCH(D319,Products!$A:$A,0)),"Unknown")</f>
        <v>Jack &amp; Jones</v>
      </c>
      <c r="X319" t="str">
        <f>IFERROR(INDEX(Stores!$B:$B,MATCH(E319,Stores!$A:$A,0)),"Unknown")</f>
        <v>TrendMart Visakhapatnam Standard</v>
      </c>
      <c r="Y319" t="str">
        <f>IFERROR(INDEX(Stores!$E:$E,MATCH(E319,Stores!$A:$A,0)),"Unknown")</f>
        <v>South Zone 3</v>
      </c>
      <c r="Z319" t="str">
        <f>IFERROR(INDEX(Customers!$J:$J,MATCH(C319,Customers!$A:$A,0)),"Unknown")</f>
        <v>Regular</v>
      </c>
      <c r="AA319" t="str">
        <f t="shared" si="4"/>
        <v>2024-10</v>
      </c>
      <c r="AB319" t="str">
        <f>IFERROR(INDEX(Products!$I:$I,MATCH(D319,Products!$A:$A,0)),"Unknown")</f>
        <v>SUP072</v>
      </c>
    </row>
    <row r="320" spans="1:28" x14ac:dyDescent="0.25">
      <c r="A320" t="s">
        <v>1283</v>
      </c>
      <c r="B320" s="20">
        <v>45433</v>
      </c>
      <c r="C320" t="s">
        <v>1284</v>
      </c>
      <c r="D320" t="s">
        <v>717</v>
      </c>
      <c r="E320" t="s">
        <v>1187</v>
      </c>
      <c r="F320" t="s">
        <v>532</v>
      </c>
      <c r="G320">
        <v>3</v>
      </c>
      <c r="H320" s="21">
        <v>1739.93</v>
      </c>
      <c r="I320">
        <v>10</v>
      </c>
      <c r="J320" s="21">
        <v>521.98</v>
      </c>
      <c r="K320">
        <v>12</v>
      </c>
      <c r="L320" s="21">
        <v>563.74</v>
      </c>
      <c r="M320" s="21">
        <v>5261.55</v>
      </c>
      <c r="N320" s="21">
        <v>3399.81</v>
      </c>
      <c r="O320" s="21">
        <v>1298</v>
      </c>
      <c r="P320" t="s">
        <v>123</v>
      </c>
      <c r="Q320" t="s">
        <v>122</v>
      </c>
      <c r="R320" t="s">
        <v>151</v>
      </c>
      <c r="S320" t="s">
        <v>674</v>
      </c>
      <c r="T320" t="s">
        <v>153</v>
      </c>
      <c r="U320" t="s">
        <v>154</v>
      </c>
      <c r="V320" t="str">
        <f>IFERROR(INDEX(Products!$C:$C,MATCH(D320,Products!$A:$A,0)),"Unknown")</f>
        <v>Women Dresses</v>
      </c>
      <c r="W320" t="str">
        <f>IFERROR(INDEX(Products!$E:$E,MATCH(D320,Products!$A:$A,0)),"Unknown")</f>
        <v>Pantaloons</v>
      </c>
      <c r="X320" t="str">
        <f>IFERROR(INDEX(Stores!$B:$B,MATCH(E320,Stores!$A:$A,0)),"Unknown")</f>
        <v>TrendMart Vijayawada Mall Kiosk</v>
      </c>
      <c r="Y320" t="str">
        <f>IFERROR(INDEX(Stores!$E:$E,MATCH(E320,Stores!$A:$A,0)),"Unknown")</f>
        <v>South Zone 3</v>
      </c>
      <c r="Z320" t="str">
        <f>IFERROR(INDEX(Customers!$J:$J,MATCH(C320,Customers!$A:$A,0)),"Unknown")</f>
        <v>Regular</v>
      </c>
      <c r="AA320" t="str">
        <f t="shared" si="4"/>
        <v>2024-05</v>
      </c>
      <c r="AB320" t="str">
        <f>IFERROR(INDEX(Products!$I:$I,MATCH(D320,Products!$A:$A,0)),"Unknown")</f>
        <v>SUP046</v>
      </c>
    </row>
    <row r="321" spans="1:28" x14ac:dyDescent="0.25">
      <c r="A321" t="s">
        <v>1285</v>
      </c>
      <c r="B321" s="20">
        <v>45561</v>
      </c>
      <c r="C321" t="s">
        <v>1286</v>
      </c>
      <c r="D321" t="s">
        <v>367</v>
      </c>
      <c r="E321" t="s">
        <v>914</v>
      </c>
      <c r="F321" t="s">
        <v>532</v>
      </c>
      <c r="G321">
        <v>2</v>
      </c>
      <c r="H321" s="21">
        <v>745.82</v>
      </c>
      <c r="I321">
        <v>30</v>
      </c>
      <c r="J321" s="21">
        <v>447.49</v>
      </c>
      <c r="K321">
        <v>3</v>
      </c>
      <c r="L321" s="21">
        <v>31.32</v>
      </c>
      <c r="M321" s="21">
        <v>1075.47</v>
      </c>
      <c r="N321" s="21">
        <v>1113.98</v>
      </c>
      <c r="O321" s="21">
        <v>-69.83</v>
      </c>
      <c r="P321" t="s">
        <v>121</v>
      </c>
      <c r="Q321" t="s">
        <v>122</v>
      </c>
      <c r="R321" t="s">
        <v>151</v>
      </c>
      <c r="S321" t="s">
        <v>753</v>
      </c>
      <c r="T321" t="s">
        <v>153</v>
      </c>
      <c r="U321" t="s">
        <v>184</v>
      </c>
      <c r="V321" t="str">
        <f>IFERROR(INDEX(Products!$C:$C,MATCH(D321,Products!$A:$A,0)),"Unknown")</f>
        <v>Jewellery</v>
      </c>
      <c r="W321" t="str">
        <f>IFERROR(INDEX(Products!$E:$E,MATCH(D321,Products!$A:$A,0)),"Unknown")</f>
        <v>Aurelia</v>
      </c>
      <c r="X321" t="str">
        <f>IFERROR(INDEX(Stores!$B:$B,MATCH(E321,Stores!$A:$A,0)),"Unknown")</f>
        <v>TrendMart Thiruvananthapuram Outlet</v>
      </c>
      <c r="Y321" t="str">
        <f>IFERROR(INDEX(Stores!$E:$E,MATCH(E321,Stores!$A:$A,0)),"Unknown")</f>
        <v>South Zone 1</v>
      </c>
      <c r="Z321" t="str">
        <f>IFERROR(INDEX(Customers!$J:$J,MATCH(C321,Customers!$A:$A,0)),"Unknown")</f>
        <v>Regular</v>
      </c>
      <c r="AA321" t="str">
        <f t="shared" si="4"/>
        <v>2024-09</v>
      </c>
      <c r="AB321" t="str">
        <f>IFERROR(INDEX(Products!$I:$I,MATCH(D321,Products!$A:$A,0)),"Unknown")</f>
        <v>SUP067</v>
      </c>
    </row>
    <row r="322" spans="1:28" x14ac:dyDescent="0.25">
      <c r="A322" t="s">
        <v>1287</v>
      </c>
      <c r="B322" s="20">
        <v>45425</v>
      </c>
      <c r="C322" t="s">
        <v>1288</v>
      </c>
      <c r="D322" t="s">
        <v>1036</v>
      </c>
      <c r="E322" t="s">
        <v>495</v>
      </c>
      <c r="F322" t="s">
        <v>462</v>
      </c>
      <c r="G322">
        <v>4</v>
      </c>
      <c r="H322" s="21">
        <v>864.19</v>
      </c>
      <c r="I322">
        <v>25</v>
      </c>
      <c r="J322" s="21">
        <v>864.19</v>
      </c>
      <c r="K322">
        <v>5</v>
      </c>
      <c r="L322" s="21">
        <v>129.63</v>
      </c>
      <c r="M322" s="21">
        <v>2722.2</v>
      </c>
      <c r="N322" s="21">
        <v>2360.08</v>
      </c>
      <c r="O322" s="21">
        <v>232.49</v>
      </c>
      <c r="P322" t="s">
        <v>127</v>
      </c>
      <c r="Q322" t="s">
        <v>120</v>
      </c>
      <c r="R322" t="s">
        <v>151</v>
      </c>
      <c r="S322" t="s">
        <v>1289</v>
      </c>
      <c r="T322" t="s">
        <v>153</v>
      </c>
      <c r="U322" t="s">
        <v>154</v>
      </c>
      <c r="V322" t="str">
        <f>IFERROR(INDEX(Products!$C:$C,MATCH(D322,Products!$A:$A,0)),"Unknown")</f>
        <v>Belts</v>
      </c>
      <c r="W322" t="str">
        <f>IFERROR(INDEX(Products!$E:$E,MATCH(D322,Products!$A:$A,0)),"Unknown")</f>
        <v>Skechers</v>
      </c>
      <c r="X322" t="str">
        <f>IFERROR(INDEX(Stores!$B:$B,MATCH(E322,Stores!$A:$A,0)),"Unknown")</f>
        <v>TrendMart Visakhapatnam Flagship</v>
      </c>
      <c r="Y322" t="str">
        <f>IFERROR(INDEX(Stores!$E:$E,MATCH(E322,Stores!$A:$A,0)),"Unknown")</f>
        <v>South Zone 3</v>
      </c>
      <c r="Z322" t="str">
        <f>IFERROR(INDEX(Customers!$J:$J,MATCH(C322,Customers!$A:$A,0)),"Unknown")</f>
        <v>Silver</v>
      </c>
      <c r="AA322" t="str">
        <f t="shared" ref="AA322:AA385" si="5">TEXT(B322,"YYYY-MM")</f>
        <v>2024-05</v>
      </c>
      <c r="AB322" t="str">
        <f>IFERROR(INDEX(Products!$I:$I,MATCH(D322,Products!$A:$A,0)),"Unknown")</f>
        <v>SUP085</v>
      </c>
    </row>
    <row r="323" spans="1:28" x14ac:dyDescent="0.25">
      <c r="A323" t="s">
        <v>1290</v>
      </c>
      <c r="B323" s="20">
        <v>45736</v>
      </c>
      <c r="C323" t="s">
        <v>1291</v>
      </c>
      <c r="D323" t="s">
        <v>1292</v>
      </c>
      <c r="E323" t="s">
        <v>334</v>
      </c>
      <c r="F323" t="s">
        <v>303</v>
      </c>
      <c r="G323">
        <v>3</v>
      </c>
      <c r="H323" s="21">
        <v>563.51</v>
      </c>
      <c r="I323">
        <v>0</v>
      </c>
      <c r="J323" s="21">
        <v>0</v>
      </c>
      <c r="K323">
        <v>5</v>
      </c>
      <c r="L323" s="21">
        <v>84.53</v>
      </c>
      <c r="M323" s="21">
        <v>1775.06</v>
      </c>
      <c r="N323" s="21">
        <v>1046.25</v>
      </c>
      <c r="O323" s="21">
        <v>644.28</v>
      </c>
      <c r="P323" t="s">
        <v>121</v>
      </c>
      <c r="Q323" t="s">
        <v>120</v>
      </c>
      <c r="R323" t="s">
        <v>151</v>
      </c>
      <c r="S323" t="s">
        <v>1293</v>
      </c>
      <c r="T323" t="s">
        <v>153</v>
      </c>
      <c r="U323" t="s">
        <v>154</v>
      </c>
      <c r="V323" t="str">
        <f>IFERROR(INDEX(Products!$C:$C,MATCH(D323,Products!$A:$A,0)),"Unknown")</f>
        <v>Men T-Shirts</v>
      </c>
      <c r="W323" t="str">
        <f>IFERROR(INDEX(Products!$E:$E,MATCH(D323,Products!$A:$A,0)),"Unknown")</f>
        <v>Metro Shoes</v>
      </c>
      <c r="X323" t="str">
        <f>IFERROR(INDEX(Stores!$B:$B,MATCH(E323,Stores!$A:$A,0)),"Unknown")</f>
        <v>TrendMart Madurai High Street</v>
      </c>
      <c r="Y323" t="str">
        <f>IFERROR(INDEX(Stores!$E:$E,MATCH(E323,Stores!$A:$A,0)),"Unknown")</f>
        <v>South Zone 1</v>
      </c>
      <c r="Z323" t="str">
        <f>IFERROR(INDEX(Customers!$J:$J,MATCH(C323,Customers!$A:$A,0)),"Unknown")</f>
        <v>Gold</v>
      </c>
      <c r="AA323" t="str">
        <f t="shared" si="5"/>
        <v>2025-03</v>
      </c>
      <c r="AB323" t="str">
        <f>IFERROR(INDEX(Products!$I:$I,MATCH(D323,Products!$A:$A,0)),"Unknown")</f>
        <v>SUP024</v>
      </c>
    </row>
    <row r="324" spans="1:28" x14ac:dyDescent="0.25">
      <c r="A324" t="s">
        <v>1294</v>
      </c>
      <c r="B324" s="20">
        <v>45565</v>
      </c>
      <c r="C324" t="s">
        <v>1295</v>
      </c>
      <c r="D324" t="s">
        <v>1296</v>
      </c>
      <c r="E324" t="s">
        <v>810</v>
      </c>
      <c r="F324" t="s">
        <v>232</v>
      </c>
      <c r="G324">
        <v>2</v>
      </c>
      <c r="H324" s="21">
        <v>921.88</v>
      </c>
      <c r="I324">
        <v>10</v>
      </c>
      <c r="J324" s="21">
        <v>184.38</v>
      </c>
      <c r="K324">
        <v>5</v>
      </c>
      <c r="L324" s="21">
        <v>82.97</v>
      </c>
      <c r="M324" s="21">
        <v>1742.35</v>
      </c>
      <c r="N324" s="21">
        <v>1342.38</v>
      </c>
      <c r="O324" s="21">
        <v>317</v>
      </c>
      <c r="P324" t="s">
        <v>125</v>
      </c>
      <c r="Q324" t="s">
        <v>120</v>
      </c>
      <c r="R324" t="s">
        <v>151</v>
      </c>
      <c r="S324" t="s">
        <v>1297</v>
      </c>
      <c r="T324" t="s">
        <v>153</v>
      </c>
      <c r="U324" t="s">
        <v>154</v>
      </c>
      <c r="V324" t="str">
        <f>IFERROR(INDEX(Products!$C:$C,MATCH(D324,Products!$A:$A,0)),"Unknown")</f>
        <v>Handbags</v>
      </c>
      <c r="W324" t="str">
        <f>IFERROR(INDEX(Products!$E:$E,MATCH(D324,Products!$A:$A,0)),"Unknown")</f>
        <v>Tanishq</v>
      </c>
      <c r="X324" t="str">
        <f>IFERROR(INDEX(Stores!$B:$B,MATCH(E324,Stores!$A:$A,0)),"Unknown")</f>
        <v>TrendMart Nizamabad Standard</v>
      </c>
      <c r="Y324" t="str">
        <f>IFERROR(INDEX(Stores!$E:$E,MATCH(E324,Stores!$A:$A,0)),"Unknown")</f>
        <v>South Zone 2</v>
      </c>
      <c r="Z324" t="str">
        <f>IFERROR(INDEX(Customers!$J:$J,MATCH(C324,Customers!$A:$A,0)),"Unknown")</f>
        <v>Regular</v>
      </c>
      <c r="AA324" t="str">
        <f t="shared" si="5"/>
        <v>2024-09</v>
      </c>
      <c r="AB324" t="str">
        <f>IFERROR(INDEX(Products!$I:$I,MATCH(D324,Products!$A:$A,0)),"Unknown")</f>
        <v>SUP083</v>
      </c>
    </row>
    <row r="325" spans="1:28" x14ac:dyDescent="0.25">
      <c r="A325" t="s">
        <v>1298</v>
      </c>
      <c r="B325" s="20">
        <v>45490</v>
      </c>
      <c r="C325" t="s">
        <v>473</v>
      </c>
      <c r="D325" t="s">
        <v>367</v>
      </c>
      <c r="E325" t="s">
        <v>1141</v>
      </c>
      <c r="F325" t="s">
        <v>275</v>
      </c>
      <c r="G325">
        <v>1</v>
      </c>
      <c r="H325" s="21">
        <v>704.06</v>
      </c>
      <c r="I325">
        <v>0</v>
      </c>
      <c r="J325" s="21">
        <v>0</v>
      </c>
      <c r="K325">
        <v>3</v>
      </c>
      <c r="L325" s="21">
        <v>21.12</v>
      </c>
      <c r="M325" s="21">
        <v>725.18</v>
      </c>
      <c r="N325" s="21">
        <v>556.99</v>
      </c>
      <c r="O325" s="21">
        <v>147.07</v>
      </c>
      <c r="P325" t="s">
        <v>126</v>
      </c>
      <c r="Q325" t="s">
        <v>122</v>
      </c>
      <c r="R325" t="s">
        <v>151</v>
      </c>
      <c r="S325" t="s">
        <v>1299</v>
      </c>
      <c r="T325" t="s">
        <v>153</v>
      </c>
      <c r="U325" t="s">
        <v>154</v>
      </c>
      <c r="V325" t="str">
        <f>IFERROR(INDEX(Products!$C:$C,MATCH(D325,Products!$A:$A,0)),"Unknown")</f>
        <v>Jewellery</v>
      </c>
      <c r="W325" t="str">
        <f>IFERROR(INDEX(Products!$E:$E,MATCH(D325,Products!$A:$A,0)),"Unknown")</f>
        <v>Aurelia</v>
      </c>
      <c r="X325" t="str">
        <f>IFERROR(INDEX(Stores!$B:$B,MATCH(E325,Stores!$A:$A,0)),"Unknown")</f>
        <v>TrendMart Kochi Standard</v>
      </c>
      <c r="Y325" t="str">
        <f>IFERROR(INDEX(Stores!$E:$E,MATCH(E325,Stores!$A:$A,0)),"Unknown")</f>
        <v>South Zone 1</v>
      </c>
      <c r="Z325" t="str">
        <f>IFERROR(INDEX(Customers!$J:$J,MATCH(C325,Customers!$A:$A,0)),"Unknown")</f>
        <v>Regular</v>
      </c>
      <c r="AA325" t="str">
        <f t="shared" si="5"/>
        <v>2024-07</v>
      </c>
      <c r="AB325" t="str">
        <f>IFERROR(INDEX(Products!$I:$I,MATCH(D325,Products!$A:$A,0)),"Unknown")</f>
        <v>SUP067</v>
      </c>
    </row>
    <row r="326" spans="1:28" x14ac:dyDescent="0.25">
      <c r="A326" t="s">
        <v>1300</v>
      </c>
      <c r="B326" s="20">
        <v>45488</v>
      </c>
      <c r="C326" t="s">
        <v>1301</v>
      </c>
      <c r="D326" t="s">
        <v>1302</v>
      </c>
      <c r="E326" t="s">
        <v>442</v>
      </c>
      <c r="F326" t="s">
        <v>176</v>
      </c>
      <c r="G326">
        <v>3</v>
      </c>
      <c r="H326" s="21">
        <v>1143.17</v>
      </c>
      <c r="I326">
        <v>15</v>
      </c>
      <c r="J326" s="21">
        <v>514.42999999999995</v>
      </c>
      <c r="K326">
        <v>12</v>
      </c>
      <c r="L326" s="21">
        <v>349.81</v>
      </c>
      <c r="M326" s="21">
        <v>3264.89</v>
      </c>
      <c r="N326" s="21">
        <v>2312.19</v>
      </c>
      <c r="O326" s="21">
        <v>602.89</v>
      </c>
      <c r="P326" t="s">
        <v>123</v>
      </c>
      <c r="Q326" t="s">
        <v>120</v>
      </c>
      <c r="R326" t="s">
        <v>151</v>
      </c>
      <c r="S326" t="s">
        <v>1303</v>
      </c>
      <c r="T326" t="s">
        <v>153</v>
      </c>
      <c r="U326" t="s">
        <v>154</v>
      </c>
      <c r="V326" t="str">
        <f>IFERROR(INDEX(Products!$C:$C,MATCH(D326,Products!$A:$A,0)),"Unknown")</f>
        <v>Women Kurtis</v>
      </c>
      <c r="W326" t="str">
        <f>IFERROR(INDEX(Products!$E:$E,MATCH(D326,Products!$A:$A,0)),"Unknown")</f>
        <v>Fabindia</v>
      </c>
      <c r="X326" t="str">
        <f>IFERROR(INDEX(Stores!$B:$B,MATCH(E326,Stores!$A:$A,0)),"Unknown")</f>
        <v>TrendMart Bengaluru Standard</v>
      </c>
      <c r="Y326" t="str">
        <f>IFERROR(INDEX(Stores!$E:$E,MATCH(E326,Stores!$A:$A,0)),"Unknown")</f>
        <v>South Zone 2</v>
      </c>
      <c r="Z326" t="str">
        <f>IFERROR(INDEX(Customers!$J:$J,MATCH(C326,Customers!$A:$A,0)),"Unknown")</f>
        <v>Regular</v>
      </c>
      <c r="AA326" t="str">
        <f t="shared" si="5"/>
        <v>2024-07</v>
      </c>
      <c r="AB326" t="str">
        <f>IFERROR(INDEX(Products!$I:$I,MATCH(D326,Products!$A:$A,0)),"Unknown")</f>
        <v>SUP059</v>
      </c>
    </row>
    <row r="327" spans="1:28" x14ac:dyDescent="0.25">
      <c r="A327" t="s">
        <v>1304</v>
      </c>
      <c r="B327" s="20">
        <v>45635</v>
      </c>
      <c r="C327" t="s">
        <v>1305</v>
      </c>
      <c r="D327" t="s">
        <v>199</v>
      </c>
      <c r="E327" t="s">
        <v>1171</v>
      </c>
      <c r="F327" t="s">
        <v>574</v>
      </c>
      <c r="G327">
        <v>2</v>
      </c>
      <c r="H327" s="21">
        <v>882.36</v>
      </c>
      <c r="I327">
        <v>5</v>
      </c>
      <c r="J327" s="21">
        <v>88.24</v>
      </c>
      <c r="K327">
        <v>5</v>
      </c>
      <c r="L327" s="21">
        <v>83.82</v>
      </c>
      <c r="M327" s="21">
        <v>1760.3</v>
      </c>
      <c r="N327" s="21">
        <v>977.2</v>
      </c>
      <c r="O327" s="21">
        <v>699.28</v>
      </c>
      <c r="P327" t="s">
        <v>124</v>
      </c>
      <c r="Q327" t="s">
        <v>120</v>
      </c>
      <c r="R327" t="s">
        <v>151</v>
      </c>
      <c r="S327" t="s">
        <v>757</v>
      </c>
      <c r="T327" t="s">
        <v>153</v>
      </c>
      <c r="U327" t="s">
        <v>154</v>
      </c>
      <c r="V327" t="str">
        <f>IFERROR(INDEX(Products!$C:$C,MATCH(D327,Products!$A:$A,0)),"Unknown")</f>
        <v>Accessories</v>
      </c>
      <c r="W327" t="str">
        <f>IFERROR(INDEX(Products!$E:$E,MATCH(D327,Products!$A:$A,0)),"Unknown")</f>
        <v>Arrow</v>
      </c>
      <c r="X327" t="str">
        <f>IFERROR(INDEX(Stores!$B:$B,MATCH(E327,Stores!$A:$A,0)),"Unknown")</f>
        <v>TrendMart Chennai Standard</v>
      </c>
      <c r="Y327" t="str">
        <f>IFERROR(INDEX(Stores!$E:$E,MATCH(E327,Stores!$A:$A,0)),"Unknown")</f>
        <v>South Zone 1</v>
      </c>
      <c r="Z327" t="str">
        <f>IFERROR(INDEX(Customers!$J:$J,MATCH(C327,Customers!$A:$A,0)),"Unknown")</f>
        <v>Gold</v>
      </c>
      <c r="AA327" t="str">
        <f t="shared" si="5"/>
        <v>2024-12</v>
      </c>
      <c r="AB327" t="str">
        <f>IFERROR(INDEX(Products!$I:$I,MATCH(D327,Products!$A:$A,0)),"Unknown")</f>
        <v>SUP018</v>
      </c>
    </row>
    <row r="328" spans="1:28" x14ac:dyDescent="0.25">
      <c r="A328" t="s">
        <v>1306</v>
      </c>
      <c r="B328" s="20">
        <v>45472</v>
      </c>
      <c r="C328" t="s">
        <v>1207</v>
      </c>
      <c r="D328" t="s">
        <v>520</v>
      </c>
      <c r="E328" t="s">
        <v>231</v>
      </c>
      <c r="F328" t="s">
        <v>408</v>
      </c>
      <c r="G328">
        <v>1</v>
      </c>
      <c r="H328" s="21">
        <v>1417.58</v>
      </c>
      <c r="I328">
        <v>0</v>
      </c>
      <c r="J328" s="21">
        <v>0</v>
      </c>
      <c r="K328">
        <v>12</v>
      </c>
      <c r="L328" s="21">
        <v>170.11</v>
      </c>
      <c r="M328" s="21">
        <v>1587.69</v>
      </c>
      <c r="N328" s="21">
        <v>903.3</v>
      </c>
      <c r="O328" s="21">
        <v>514.28</v>
      </c>
      <c r="P328" t="s">
        <v>124</v>
      </c>
      <c r="Q328" t="s">
        <v>120</v>
      </c>
      <c r="R328" t="s">
        <v>151</v>
      </c>
      <c r="S328" t="s">
        <v>1307</v>
      </c>
      <c r="T328" t="s">
        <v>161</v>
      </c>
      <c r="U328" t="s">
        <v>154</v>
      </c>
      <c r="V328" t="str">
        <f>IFERROR(INDEX(Products!$C:$C,MATCH(D328,Products!$A:$A,0)),"Unknown")</f>
        <v>Wallets</v>
      </c>
      <c r="W328" t="str">
        <f>IFERROR(INDEX(Products!$E:$E,MATCH(D328,Products!$A:$A,0)),"Unknown")</f>
        <v>Nike</v>
      </c>
      <c r="X328" t="str">
        <f>IFERROR(INDEX(Stores!$B:$B,MATCH(E328,Stores!$A:$A,0)),"Unknown")</f>
        <v>TrendMart Warangal Outlet</v>
      </c>
      <c r="Y328" t="str">
        <f>IFERROR(INDEX(Stores!$E:$E,MATCH(E328,Stores!$A:$A,0)),"Unknown")</f>
        <v>South Zone 2</v>
      </c>
      <c r="Z328" t="str">
        <f>IFERROR(INDEX(Customers!$J:$J,MATCH(C328,Customers!$A:$A,0)),"Unknown")</f>
        <v>Silver</v>
      </c>
      <c r="AA328" t="str">
        <f t="shared" si="5"/>
        <v>2024-06</v>
      </c>
      <c r="AB328" t="str">
        <f>IFERROR(INDEX(Products!$I:$I,MATCH(D328,Products!$A:$A,0)),"Unknown")</f>
        <v>SUP027</v>
      </c>
    </row>
    <row r="329" spans="1:28" x14ac:dyDescent="0.25">
      <c r="A329" t="s">
        <v>1308</v>
      </c>
      <c r="B329" s="20">
        <v>45535</v>
      </c>
      <c r="C329" t="s">
        <v>1309</v>
      </c>
      <c r="D329" t="s">
        <v>558</v>
      </c>
      <c r="E329" t="s">
        <v>429</v>
      </c>
      <c r="F329" t="s">
        <v>532</v>
      </c>
      <c r="G329">
        <v>1</v>
      </c>
      <c r="H329" s="21">
        <v>757.17</v>
      </c>
      <c r="I329">
        <v>10</v>
      </c>
      <c r="J329" s="21">
        <v>75.72</v>
      </c>
      <c r="K329">
        <v>5</v>
      </c>
      <c r="L329" s="21">
        <v>34.07</v>
      </c>
      <c r="M329" s="21">
        <v>715.52</v>
      </c>
      <c r="N329" s="21">
        <v>457.16</v>
      </c>
      <c r="O329" s="21">
        <v>224.29</v>
      </c>
      <c r="P329" t="s">
        <v>123</v>
      </c>
      <c r="Q329" t="s">
        <v>120</v>
      </c>
      <c r="R329" t="s">
        <v>151</v>
      </c>
      <c r="S329" t="s">
        <v>1310</v>
      </c>
      <c r="T329" t="s">
        <v>161</v>
      </c>
      <c r="U329" t="s">
        <v>154</v>
      </c>
      <c r="V329" t="str">
        <f>IFERROR(INDEX(Products!$C:$C,MATCH(D329,Products!$A:$A,0)),"Unknown")</f>
        <v>Women Tops</v>
      </c>
      <c r="W329" t="str">
        <f>IFERROR(INDEX(Products!$E:$E,MATCH(D329,Products!$A:$A,0)),"Unknown")</f>
        <v>Aurelia</v>
      </c>
      <c r="X329" t="str">
        <f>IFERROR(INDEX(Stores!$B:$B,MATCH(E329,Stores!$A:$A,0)),"Unknown")</f>
        <v>TrendMart Tirunelveli Flagship</v>
      </c>
      <c r="Y329" t="str">
        <f>IFERROR(INDEX(Stores!$E:$E,MATCH(E329,Stores!$A:$A,0)),"Unknown")</f>
        <v>South Zone 1</v>
      </c>
      <c r="Z329" t="str">
        <f>IFERROR(INDEX(Customers!$J:$J,MATCH(C329,Customers!$A:$A,0)),"Unknown")</f>
        <v>Regular</v>
      </c>
      <c r="AA329" t="str">
        <f t="shared" si="5"/>
        <v>2024-08</v>
      </c>
      <c r="AB329" t="str">
        <f>IFERROR(INDEX(Products!$I:$I,MATCH(D329,Products!$A:$A,0)),"Unknown")</f>
        <v>SUP055</v>
      </c>
    </row>
    <row r="330" spans="1:28" x14ac:dyDescent="0.25">
      <c r="A330" t="s">
        <v>1311</v>
      </c>
      <c r="B330" s="20">
        <v>45576</v>
      </c>
      <c r="C330" t="s">
        <v>179</v>
      </c>
      <c r="D330" t="s">
        <v>1312</v>
      </c>
      <c r="E330" t="s">
        <v>617</v>
      </c>
      <c r="F330" t="s">
        <v>159</v>
      </c>
      <c r="G330">
        <v>2</v>
      </c>
      <c r="H330" s="21">
        <v>1009.7</v>
      </c>
      <c r="I330">
        <v>5</v>
      </c>
      <c r="J330" s="21">
        <v>100.97</v>
      </c>
      <c r="K330">
        <v>12</v>
      </c>
      <c r="L330" s="21">
        <v>230.21</v>
      </c>
      <c r="M330" s="21">
        <v>2148.64</v>
      </c>
      <c r="N330" s="21">
        <v>1534.22</v>
      </c>
      <c r="O330" s="21">
        <v>384.21</v>
      </c>
      <c r="P330" t="s">
        <v>124</v>
      </c>
      <c r="Q330" t="s">
        <v>120</v>
      </c>
      <c r="R330" t="s">
        <v>151</v>
      </c>
      <c r="S330" t="s">
        <v>1313</v>
      </c>
      <c r="T330" t="s">
        <v>153</v>
      </c>
      <c r="U330" t="s">
        <v>154</v>
      </c>
      <c r="V330" t="str">
        <f>IFERROR(INDEX(Products!$C:$C,MATCH(D330,Products!$A:$A,0)),"Unknown")</f>
        <v>Women Kurtis</v>
      </c>
      <c r="W330" t="str">
        <f>IFERROR(INDEX(Products!$E:$E,MATCH(D330,Products!$A:$A,0)),"Unknown")</f>
        <v>Louis Philippe</v>
      </c>
      <c r="X330" t="str">
        <f>IFERROR(INDEX(Stores!$B:$B,MATCH(E330,Stores!$A:$A,0)),"Unknown")</f>
        <v>TrendMart Mangaluru High Street</v>
      </c>
      <c r="Y330" t="str">
        <f>IFERROR(INDEX(Stores!$E:$E,MATCH(E330,Stores!$A:$A,0)),"Unknown")</f>
        <v>South Zone 2</v>
      </c>
      <c r="Z330" t="str">
        <f>IFERROR(INDEX(Customers!$J:$J,MATCH(C330,Customers!$A:$A,0)),"Unknown")</f>
        <v>Platinum</v>
      </c>
      <c r="AA330" t="str">
        <f t="shared" si="5"/>
        <v>2024-10</v>
      </c>
      <c r="AB330" t="str">
        <f>IFERROR(INDEX(Products!$I:$I,MATCH(D330,Products!$A:$A,0)),"Unknown")</f>
        <v>SUP010</v>
      </c>
    </row>
    <row r="331" spans="1:28" x14ac:dyDescent="0.25">
      <c r="A331" t="s">
        <v>1314</v>
      </c>
      <c r="B331" s="20">
        <v>45574</v>
      </c>
      <c r="C331" t="s">
        <v>1315</v>
      </c>
      <c r="D331" t="s">
        <v>822</v>
      </c>
      <c r="E331" t="s">
        <v>745</v>
      </c>
      <c r="F331" t="s">
        <v>403</v>
      </c>
      <c r="G331">
        <v>1</v>
      </c>
      <c r="H331" s="21">
        <v>1944.9</v>
      </c>
      <c r="I331">
        <v>0</v>
      </c>
      <c r="J331" s="21">
        <v>0</v>
      </c>
      <c r="K331">
        <v>12</v>
      </c>
      <c r="L331" s="21">
        <v>233.39</v>
      </c>
      <c r="M331" s="21">
        <v>2178.29</v>
      </c>
      <c r="N331" s="21">
        <v>1492.71</v>
      </c>
      <c r="O331" s="21">
        <v>452.19</v>
      </c>
      <c r="P331" t="s">
        <v>123</v>
      </c>
      <c r="Q331" t="s">
        <v>120</v>
      </c>
      <c r="R331" t="s">
        <v>151</v>
      </c>
      <c r="S331" t="s">
        <v>835</v>
      </c>
      <c r="T331" t="s">
        <v>153</v>
      </c>
      <c r="U331" t="s">
        <v>154</v>
      </c>
      <c r="V331" t="str">
        <f>IFERROR(INDEX(Products!$C:$C,MATCH(D331,Products!$A:$A,0)),"Unknown")</f>
        <v>Footwear</v>
      </c>
      <c r="W331" t="str">
        <f>IFERROR(INDEX(Products!$E:$E,MATCH(D331,Products!$A:$A,0)),"Unknown")</f>
        <v>AND</v>
      </c>
      <c r="X331" t="str">
        <f>IFERROR(INDEX(Stores!$B:$B,MATCH(E331,Stores!$A:$A,0)),"Unknown")</f>
        <v>TrendMart Thiruvananthapuram Outlet</v>
      </c>
      <c r="Y331" t="str">
        <f>IFERROR(INDEX(Stores!$E:$E,MATCH(E331,Stores!$A:$A,0)),"Unknown")</f>
        <v>South Zone 1</v>
      </c>
      <c r="Z331" t="str">
        <f>IFERROR(INDEX(Customers!$J:$J,MATCH(C331,Customers!$A:$A,0)),"Unknown")</f>
        <v>Platinum</v>
      </c>
      <c r="AA331" t="str">
        <f t="shared" si="5"/>
        <v>2024-10</v>
      </c>
      <c r="AB331" t="str">
        <f>IFERROR(INDEX(Products!$I:$I,MATCH(D331,Products!$A:$A,0)),"Unknown")</f>
        <v>SUP002</v>
      </c>
    </row>
    <row r="332" spans="1:28" x14ac:dyDescent="0.25">
      <c r="A332" t="s">
        <v>1316</v>
      </c>
      <c r="B332" s="20">
        <v>45481</v>
      </c>
      <c r="C332" t="s">
        <v>1086</v>
      </c>
      <c r="D332" t="s">
        <v>481</v>
      </c>
      <c r="E332" t="s">
        <v>360</v>
      </c>
      <c r="F332" t="s">
        <v>269</v>
      </c>
      <c r="G332">
        <v>2</v>
      </c>
      <c r="H332" s="21">
        <v>877.79</v>
      </c>
      <c r="I332">
        <v>25</v>
      </c>
      <c r="J332" s="21">
        <v>438.89</v>
      </c>
      <c r="K332">
        <v>5</v>
      </c>
      <c r="L332" s="21">
        <v>65.83</v>
      </c>
      <c r="M332" s="21">
        <v>1382.52</v>
      </c>
      <c r="N332" s="21">
        <v>1396.16</v>
      </c>
      <c r="O332" s="21">
        <v>-79.47</v>
      </c>
      <c r="P332" t="s">
        <v>126</v>
      </c>
      <c r="Q332" t="s">
        <v>120</v>
      </c>
      <c r="R332" t="s">
        <v>151</v>
      </c>
      <c r="S332" t="s">
        <v>457</v>
      </c>
      <c r="T332" t="s">
        <v>153</v>
      </c>
      <c r="U332" t="s">
        <v>184</v>
      </c>
      <c r="V332" t="str">
        <f>IFERROR(INDEX(Products!$C:$C,MATCH(D332,Products!$A:$A,0)),"Unknown")</f>
        <v>Women Dresses</v>
      </c>
      <c r="W332" t="str">
        <f>IFERROR(INDEX(Products!$E:$E,MATCH(D332,Products!$A:$A,0)),"Unknown")</f>
        <v>Jack &amp; Jones</v>
      </c>
      <c r="X332" t="str">
        <f>IFERROR(INDEX(Stores!$B:$B,MATCH(E332,Stores!$A:$A,0)),"Unknown")</f>
        <v>TrendMart Kochi Standard</v>
      </c>
      <c r="Y332" t="str">
        <f>IFERROR(INDEX(Stores!$E:$E,MATCH(E332,Stores!$A:$A,0)),"Unknown")</f>
        <v>South Zone 1</v>
      </c>
      <c r="Z332" t="str">
        <f>IFERROR(INDEX(Customers!$J:$J,MATCH(C332,Customers!$A:$A,0)),"Unknown")</f>
        <v>Gold</v>
      </c>
      <c r="AA332" t="str">
        <f t="shared" si="5"/>
        <v>2024-07</v>
      </c>
      <c r="AB332" t="str">
        <f>IFERROR(INDEX(Products!$I:$I,MATCH(D332,Products!$A:$A,0)),"Unknown")</f>
        <v>SUP069</v>
      </c>
    </row>
    <row r="333" spans="1:28" x14ac:dyDescent="0.25">
      <c r="A333" t="s">
        <v>1317</v>
      </c>
      <c r="B333" s="20">
        <v>45389</v>
      </c>
      <c r="C333" t="s">
        <v>1318</v>
      </c>
      <c r="D333" t="s">
        <v>251</v>
      </c>
      <c r="E333" t="s">
        <v>87</v>
      </c>
      <c r="F333" t="s">
        <v>516</v>
      </c>
      <c r="G333">
        <v>1</v>
      </c>
      <c r="H333" s="21">
        <v>905.94</v>
      </c>
      <c r="I333">
        <v>25</v>
      </c>
      <c r="J333" s="21">
        <v>226.49</v>
      </c>
      <c r="K333">
        <v>5</v>
      </c>
      <c r="L333" s="21">
        <v>33.97</v>
      </c>
      <c r="M333" s="21">
        <v>713.42</v>
      </c>
      <c r="N333" s="21">
        <v>534.80999999999995</v>
      </c>
      <c r="O333" s="21">
        <v>-504.64</v>
      </c>
      <c r="P333" t="s">
        <v>121</v>
      </c>
      <c r="Q333" t="s">
        <v>120</v>
      </c>
      <c r="R333" t="s">
        <v>151</v>
      </c>
      <c r="S333" t="s">
        <v>1319</v>
      </c>
      <c r="T333" t="s">
        <v>161</v>
      </c>
      <c r="U333" t="s">
        <v>184</v>
      </c>
      <c r="V333" t="str">
        <f>IFERROR(INDEX(Products!$C:$C,MATCH(D333,Products!$A:$A,0)),"Unknown")</f>
        <v>Women Tops</v>
      </c>
      <c r="W333" t="str">
        <f>IFERROR(INDEX(Products!$E:$E,MATCH(D333,Products!$A:$A,0)),"Unknown")</f>
        <v>US Polo Assn</v>
      </c>
      <c r="X333" t="str">
        <f>IFERROR(INDEX(Stores!$B:$B,MATCH(E333,Stores!$A:$A,0)),"Unknown")</f>
        <v>TrendMart Thiruvananthapuram Standard</v>
      </c>
      <c r="Y333" t="str">
        <f>IFERROR(INDEX(Stores!$E:$E,MATCH(E333,Stores!$A:$A,0)),"Unknown")</f>
        <v>South Zone 1</v>
      </c>
      <c r="Z333" t="str">
        <f>IFERROR(INDEX(Customers!$J:$J,MATCH(C333,Customers!$A:$A,0)),"Unknown")</f>
        <v>Regular</v>
      </c>
      <c r="AA333" t="str">
        <f t="shared" si="5"/>
        <v>2024-04</v>
      </c>
      <c r="AB333" t="str">
        <f>IFERROR(INDEX(Products!$I:$I,MATCH(D333,Products!$A:$A,0)),"Unknown")</f>
        <v>SUP039</v>
      </c>
    </row>
    <row r="334" spans="1:28" x14ac:dyDescent="0.25">
      <c r="A334" t="s">
        <v>1320</v>
      </c>
      <c r="B334" s="20">
        <v>45491</v>
      </c>
      <c r="C334" t="s">
        <v>602</v>
      </c>
      <c r="D334" t="s">
        <v>1321</v>
      </c>
      <c r="E334" t="s">
        <v>302</v>
      </c>
      <c r="F334" t="s">
        <v>574</v>
      </c>
      <c r="G334">
        <v>3</v>
      </c>
      <c r="H334" s="21">
        <v>2427.7199999999998</v>
      </c>
      <c r="I334">
        <v>10</v>
      </c>
      <c r="J334" s="21">
        <v>728.32</v>
      </c>
      <c r="K334">
        <v>12</v>
      </c>
      <c r="L334" s="21">
        <v>786.58</v>
      </c>
      <c r="M334" s="21">
        <v>7341.42</v>
      </c>
      <c r="N334" s="21">
        <v>5189.16</v>
      </c>
      <c r="O334" s="21">
        <v>1365.68</v>
      </c>
      <c r="P334" t="s">
        <v>124</v>
      </c>
      <c r="Q334" t="s">
        <v>120</v>
      </c>
      <c r="R334" t="s">
        <v>313</v>
      </c>
      <c r="S334" t="s">
        <v>872</v>
      </c>
      <c r="T334" t="s">
        <v>153</v>
      </c>
      <c r="U334" t="s">
        <v>154</v>
      </c>
      <c r="V334" t="str">
        <f>IFERROR(INDEX(Products!$C:$C,MATCH(D334,Products!$A:$A,0)),"Unknown")</f>
        <v>Men Ethnic</v>
      </c>
      <c r="W334" t="str">
        <f>IFERROR(INDEX(Products!$E:$E,MATCH(D334,Products!$A:$A,0)),"Unknown")</f>
        <v>Nalli Silks</v>
      </c>
      <c r="X334" t="str">
        <f>IFERROR(INDEX(Stores!$B:$B,MATCH(E334,Stores!$A:$A,0)),"Unknown")</f>
        <v>TrendMart Visakhapatnam Standard</v>
      </c>
      <c r="Y334" t="str">
        <f>IFERROR(INDEX(Stores!$E:$E,MATCH(E334,Stores!$A:$A,0)),"Unknown")</f>
        <v>South Zone 3</v>
      </c>
      <c r="Z334" t="str">
        <f>IFERROR(INDEX(Customers!$J:$J,MATCH(C334,Customers!$A:$A,0)),"Unknown")</f>
        <v>Gold</v>
      </c>
      <c r="AA334" t="str">
        <f t="shared" si="5"/>
        <v>2024-07</v>
      </c>
      <c r="AB334" t="str">
        <f>IFERROR(INDEX(Products!$I:$I,MATCH(D334,Products!$A:$A,0)),"Unknown")</f>
        <v>SUP018</v>
      </c>
    </row>
    <row r="335" spans="1:28" x14ac:dyDescent="0.25">
      <c r="A335" t="s">
        <v>1322</v>
      </c>
      <c r="B335" s="20">
        <v>45567</v>
      </c>
      <c r="C335" t="s">
        <v>676</v>
      </c>
      <c r="D335" t="s">
        <v>805</v>
      </c>
      <c r="E335" t="s">
        <v>1281</v>
      </c>
      <c r="F335" t="s">
        <v>335</v>
      </c>
      <c r="G335">
        <v>1</v>
      </c>
      <c r="H335" s="21">
        <v>1101.17</v>
      </c>
      <c r="I335">
        <v>10</v>
      </c>
      <c r="J335" s="21">
        <v>110.12</v>
      </c>
      <c r="K335">
        <v>12</v>
      </c>
      <c r="L335" s="21">
        <v>118.93</v>
      </c>
      <c r="M335" s="21">
        <v>1109.98</v>
      </c>
      <c r="N335" s="21">
        <v>583.86</v>
      </c>
      <c r="O335" s="21">
        <v>407.19</v>
      </c>
      <c r="P335" t="s">
        <v>127</v>
      </c>
      <c r="Q335" t="s">
        <v>120</v>
      </c>
      <c r="R335" t="s">
        <v>151</v>
      </c>
      <c r="S335" t="s">
        <v>889</v>
      </c>
      <c r="T335" t="s">
        <v>153</v>
      </c>
      <c r="U335" t="s">
        <v>154</v>
      </c>
      <c r="V335" t="str">
        <f>IFERROR(INDEX(Products!$C:$C,MATCH(D335,Products!$A:$A,0)),"Unknown")</f>
        <v>Accessories</v>
      </c>
      <c r="W335" t="str">
        <f>IFERROR(INDEX(Products!$E:$E,MATCH(D335,Products!$A:$A,0)),"Unknown")</f>
        <v>Being Human</v>
      </c>
      <c r="X335" t="str">
        <f>IFERROR(INDEX(Stores!$B:$B,MATCH(E335,Stores!$A:$A,0)),"Unknown")</f>
        <v>TrendMart Visakhapatnam Standard</v>
      </c>
      <c r="Y335" t="str">
        <f>IFERROR(INDEX(Stores!$E:$E,MATCH(E335,Stores!$A:$A,0)),"Unknown")</f>
        <v>South Zone 3</v>
      </c>
      <c r="Z335" t="str">
        <f>IFERROR(INDEX(Customers!$J:$J,MATCH(C335,Customers!$A:$A,0)),"Unknown")</f>
        <v>Silver</v>
      </c>
      <c r="AA335" t="str">
        <f t="shared" si="5"/>
        <v>2024-10</v>
      </c>
      <c r="AB335" t="str">
        <f>IFERROR(INDEX(Products!$I:$I,MATCH(D335,Products!$A:$A,0)),"Unknown")</f>
        <v>SUP069</v>
      </c>
    </row>
    <row r="336" spans="1:28" x14ac:dyDescent="0.25">
      <c r="A336" t="s">
        <v>1323</v>
      </c>
      <c r="B336" s="20">
        <v>45595</v>
      </c>
      <c r="C336" t="s">
        <v>1324</v>
      </c>
      <c r="D336" t="s">
        <v>149</v>
      </c>
      <c r="E336" t="s">
        <v>1325</v>
      </c>
      <c r="F336" t="s">
        <v>263</v>
      </c>
      <c r="G336">
        <v>3</v>
      </c>
      <c r="H336" s="21">
        <v>721.87</v>
      </c>
      <c r="I336">
        <v>25</v>
      </c>
      <c r="J336" s="21">
        <v>541.4</v>
      </c>
      <c r="K336">
        <v>5</v>
      </c>
      <c r="L336" s="21">
        <v>81.209999999999994</v>
      </c>
      <c r="M336" s="21">
        <v>1705.42</v>
      </c>
      <c r="N336" s="21">
        <v>1490.01</v>
      </c>
      <c r="O336" s="21">
        <v>134.19999999999999</v>
      </c>
      <c r="P336" t="s">
        <v>125</v>
      </c>
      <c r="Q336" t="s">
        <v>120</v>
      </c>
      <c r="R336" t="s">
        <v>151</v>
      </c>
      <c r="S336" t="s">
        <v>1326</v>
      </c>
      <c r="T336" t="s">
        <v>153</v>
      </c>
      <c r="U336" t="s">
        <v>154</v>
      </c>
      <c r="V336" t="str">
        <f>IFERROR(INDEX(Products!$C:$C,MATCH(D336,Products!$A:$A,0)),"Unknown")</f>
        <v>Women Kurtis</v>
      </c>
      <c r="W336" t="str">
        <f>IFERROR(INDEX(Products!$E:$E,MATCH(D336,Products!$A:$A,0)),"Unknown")</f>
        <v>Pepe Jeans</v>
      </c>
      <c r="X336" t="str">
        <f>IFERROR(INDEX(Stores!$B:$B,MATCH(E336,Stores!$A:$A,0)),"Unknown")</f>
        <v>TrendMart Thrissur Standard</v>
      </c>
      <c r="Y336" t="str">
        <f>IFERROR(INDEX(Stores!$E:$E,MATCH(E336,Stores!$A:$A,0)),"Unknown")</f>
        <v>South Zone 1</v>
      </c>
      <c r="Z336" t="str">
        <f>IFERROR(INDEX(Customers!$J:$J,MATCH(C336,Customers!$A:$A,0)),"Unknown")</f>
        <v>Silver</v>
      </c>
      <c r="AA336" t="str">
        <f t="shared" si="5"/>
        <v>2024-10</v>
      </c>
      <c r="AB336" t="str">
        <f>IFERROR(INDEX(Products!$I:$I,MATCH(D336,Products!$A:$A,0)),"Unknown")</f>
        <v>SUP049</v>
      </c>
    </row>
    <row r="337" spans="1:28" x14ac:dyDescent="0.25">
      <c r="A337" t="s">
        <v>1327</v>
      </c>
      <c r="B337" s="20">
        <v>45567</v>
      </c>
      <c r="C337" t="s">
        <v>186</v>
      </c>
      <c r="D337" t="s">
        <v>1328</v>
      </c>
      <c r="E337" t="s">
        <v>368</v>
      </c>
      <c r="F337" t="s">
        <v>275</v>
      </c>
      <c r="G337">
        <v>2</v>
      </c>
      <c r="H337" s="21">
        <v>1579.91</v>
      </c>
      <c r="I337">
        <v>5</v>
      </c>
      <c r="J337" s="21">
        <v>157.99</v>
      </c>
      <c r="K337">
        <v>12</v>
      </c>
      <c r="L337" s="21">
        <v>360.22</v>
      </c>
      <c r="M337" s="21">
        <v>3362.05</v>
      </c>
      <c r="N337" s="21">
        <v>2184.86</v>
      </c>
      <c r="O337" s="21">
        <v>816.97</v>
      </c>
      <c r="P337" t="s">
        <v>123</v>
      </c>
      <c r="Q337" t="s">
        <v>120</v>
      </c>
      <c r="R337" t="s">
        <v>151</v>
      </c>
      <c r="S337" t="s">
        <v>1329</v>
      </c>
      <c r="T337" t="s">
        <v>153</v>
      </c>
      <c r="U337" t="s">
        <v>154</v>
      </c>
      <c r="V337" t="str">
        <f>IFERROR(INDEX(Products!$C:$C,MATCH(D337,Products!$A:$A,0)),"Unknown")</f>
        <v>Winter Wear</v>
      </c>
      <c r="W337" t="str">
        <f>IFERROR(INDEX(Products!$E:$E,MATCH(D337,Products!$A:$A,0)),"Unknown")</f>
        <v>Fastrack</v>
      </c>
      <c r="X337" t="str">
        <f>IFERROR(INDEX(Stores!$B:$B,MATCH(E337,Stores!$A:$A,0)),"Unknown")</f>
        <v>TrendMart Alappuzha Outlet</v>
      </c>
      <c r="Y337" t="str">
        <f>IFERROR(INDEX(Stores!$E:$E,MATCH(E337,Stores!$A:$A,0)),"Unknown")</f>
        <v>South Zone 1</v>
      </c>
      <c r="Z337" t="str">
        <f>IFERROR(INDEX(Customers!$J:$J,MATCH(C337,Customers!$A:$A,0)),"Unknown")</f>
        <v>Silver</v>
      </c>
      <c r="AA337" t="str">
        <f t="shared" si="5"/>
        <v>2024-10</v>
      </c>
      <c r="AB337" t="str">
        <f>IFERROR(INDEX(Products!$I:$I,MATCH(D337,Products!$A:$A,0)),"Unknown")</f>
        <v>SUP033</v>
      </c>
    </row>
    <row r="338" spans="1:28" x14ac:dyDescent="0.25">
      <c r="A338" t="s">
        <v>1330</v>
      </c>
      <c r="B338" s="20">
        <v>45618</v>
      </c>
      <c r="C338" t="s">
        <v>1331</v>
      </c>
      <c r="D338" t="s">
        <v>376</v>
      </c>
      <c r="E338" t="s">
        <v>741</v>
      </c>
      <c r="F338" t="s">
        <v>159</v>
      </c>
      <c r="G338">
        <v>2</v>
      </c>
      <c r="H338" s="21">
        <v>1438.31</v>
      </c>
      <c r="I338">
        <v>10</v>
      </c>
      <c r="J338" s="21">
        <v>287.66000000000003</v>
      </c>
      <c r="K338">
        <v>12</v>
      </c>
      <c r="L338" s="21">
        <v>310.68</v>
      </c>
      <c r="M338" s="21">
        <v>2899.64</v>
      </c>
      <c r="N338" s="21">
        <v>2050.48</v>
      </c>
      <c r="O338" s="21">
        <v>538.48</v>
      </c>
      <c r="P338" t="s">
        <v>123</v>
      </c>
      <c r="Q338" t="s">
        <v>120</v>
      </c>
      <c r="R338" t="s">
        <v>151</v>
      </c>
      <c r="S338" t="s">
        <v>1332</v>
      </c>
      <c r="T338" t="s">
        <v>153</v>
      </c>
      <c r="U338" t="s">
        <v>154</v>
      </c>
      <c r="V338" t="str">
        <f>IFERROR(INDEX(Products!$C:$C,MATCH(D338,Products!$A:$A,0)),"Unknown")</f>
        <v>Women Jeans</v>
      </c>
      <c r="W338" t="str">
        <f>IFERROR(INDEX(Products!$E:$E,MATCH(D338,Products!$A:$A,0)),"Unknown")</f>
        <v>Pothys</v>
      </c>
      <c r="X338" t="str">
        <f>IFERROR(INDEX(Stores!$B:$B,MATCH(E338,Stores!$A:$A,0)),"Unknown")</f>
        <v>TrendMart Nellore Mall Kiosk</v>
      </c>
      <c r="Y338" t="str">
        <f>IFERROR(INDEX(Stores!$E:$E,MATCH(E338,Stores!$A:$A,0)),"Unknown")</f>
        <v>South Zone 3</v>
      </c>
      <c r="Z338" t="str">
        <f>IFERROR(INDEX(Customers!$J:$J,MATCH(C338,Customers!$A:$A,0)),"Unknown")</f>
        <v>Regular</v>
      </c>
      <c r="AA338" t="str">
        <f t="shared" si="5"/>
        <v>2024-11</v>
      </c>
      <c r="AB338" t="str">
        <f>IFERROR(INDEX(Products!$I:$I,MATCH(D338,Products!$A:$A,0)),"Unknown")</f>
        <v>SUP015</v>
      </c>
    </row>
    <row r="339" spans="1:28" x14ac:dyDescent="0.25">
      <c r="A339" t="s">
        <v>1333</v>
      </c>
      <c r="B339" s="20">
        <v>45706</v>
      </c>
      <c r="C339" t="s">
        <v>1334</v>
      </c>
      <c r="D339" t="s">
        <v>751</v>
      </c>
      <c r="E339" t="s">
        <v>425</v>
      </c>
      <c r="F339" t="s">
        <v>292</v>
      </c>
      <c r="G339">
        <v>2</v>
      </c>
      <c r="H339" s="21">
        <v>1282.17</v>
      </c>
      <c r="I339">
        <v>30</v>
      </c>
      <c r="J339" s="21">
        <v>769.3</v>
      </c>
      <c r="K339">
        <v>12</v>
      </c>
      <c r="L339" s="21">
        <v>215.4</v>
      </c>
      <c r="M339" s="21">
        <v>2010.44</v>
      </c>
      <c r="N339" s="21">
        <v>1878.26</v>
      </c>
      <c r="O339" s="21">
        <v>-83.22</v>
      </c>
      <c r="P339" t="s">
        <v>124</v>
      </c>
      <c r="Q339" t="s">
        <v>122</v>
      </c>
      <c r="R339" t="s">
        <v>151</v>
      </c>
      <c r="S339" t="s">
        <v>1335</v>
      </c>
      <c r="T339" t="s">
        <v>153</v>
      </c>
      <c r="U339" t="s">
        <v>184</v>
      </c>
      <c r="V339" t="str">
        <f>IFERROR(INDEX(Products!$C:$C,MATCH(D339,Products!$A:$A,0)),"Unknown")</f>
        <v>Wallets</v>
      </c>
      <c r="W339" t="str">
        <f>IFERROR(INDEX(Products!$E:$E,MATCH(D339,Products!$A:$A,0)),"Unknown")</f>
        <v>Numero Uno</v>
      </c>
      <c r="X339" t="str">
        <f>IFERROR(INDEX(Stores!$B:$B,MATCH(E339,Stores!$A:$A,0)),"Unknown")</f>
        <v>TrendMart Kozhikode Outlet</v>
      </c>
      <c r="Y339" t="str">
        <f>IFERROR(INDEX(Stores!$E:$E,MATCH(E339,Stores!$A:$A,0)),"Unknown")</f>
        <v>South Zone 1</v>
      </c>
      <c r="Z339" t="str">
        <f>IFERROR(INDEX(Customers!$J:$J,MATCH(C339,Customers!$A:$A,0)),"Unknown")</f>
        <v>Regular</v>
      </c>
      <c r="AA339" t="str">
        <f t="shared" si="5"/>
        <v>2025-02</v>
      </c>
      <c r="AB339" t="str">
        <f>IFERROR(INDEX(Products!$I:$I,MATCH(D339,Products!$A:$A,0)),"Unknown")</f>
        <v>SUP029</v>
      </c>
    </row>
    <row r="340" spans="1:28" x14ac:dyDescent="0.25">
      <c r="A340" t="s">
        <v>1336</v>
      </c>
      <c r="B340" s="20">
        <v>45627</v>
      </c>
      <c r="C340" t="s">
        <v>1337</v>
      </c>
      <c r="D340" t="s">
        <v>1338</v>
      </c>
      <c r="E340" t="s">
        <v>721</v>
      </c>
      <c r="F340" t="s">
        <v>275</v>
      </c>
      <c r="G340">
        <v>2</v>
      </c>
      <c r="H340" s="21">
        <v>2244.62</v>
      </c>
      <c r="I340">
        <v>25</v>
      </c>
      <c r="J340" s="21">
        <v>1122.31</v>
      </c>
      <c r="K340">
        <v>12</v>
      </c>
      <c r="L340" s="21">
        <v>404.03</v>
      </c>
      <c r="M340" s="21">
        <v>3770.96</v>
      </c>
      <c r="N340" s="21">
        <v>3158.92</v>
      </c>
      <c r="O340" s="21">
        <v>208.01</v>
      </c>
      <c r="P340" t="s">
        <v>124</v>
      </c>
      <c r="Q340" t="s">
        <v>120</v>
      </c>
      <c r="R340" t="s">
        <v>151</v>
      </c>
      <c r="S340" t="s">
        <v>1339</v>
      </c>
      <c r="T340" t="s">
        <v>161</v>
      </c>
      <c r="U340" t="s">
        <v>154</v>
      </c>
      <c r="V340" t="str">
        <f>IFERROR(INDEX(Products!$C:$C,MATCH(D340,Products!$A:$A,0)),"Unknown")</f>
        <v>Handbags</v>
      </c>
      <c r="W340" t="str">
        <f>IFERROR(INDEX(Products!$E:$E,MATCH(D340,Products!$A:$A,0)),"Unknown")</f>
        <v>Spykar</v>
      </c>
      <c r="X340" t="str">
        <f>IFERROR(INDEX(Stores!$B:$B,MATCH(E340,Stores!$A:$A,0)),"Unknown")</f>
        <v>TrendMart Kollam Flagship</v>
      </c>
      <c r="Y340" t="str">
        <f>IFERROR(INDEX(Stores!$E:$E,MATCH(E340,Stores!$A:$A,0)),"Unknown")</f>
        <v>South Zone 1</v>
      </c>
      <c r="Z340" t="str">
        <f>IFERROR(INDEX(Customers!$J:$J,MATCH(C340,Customers!$A:$A,0)),"Unknown")</f>
        <v>Regular</v>
      </c>
      <c r="AA340" t="str">
        <f t="shared" si="5"/>
        <v>2024-12</v>
      </c>
      <c r="AB340" t="str">
        <f>IFERROR(INDEX(Products!$I:$I,MATCH(D340,Products!$A:$A,0)),"Unknown")</f>
        <v>SUP079</v>
      </c>
    </row>
    <row r="341" spans="1:28" x14ac:dyDescent="0.25">
      <c r="A341" t="s">
        <v>1340</v>
      </c>
      <c r="B341" s="20">
        <v>45530</v>
      </c>
      <c r="C341" t="s">
        <v>1341</v>
      </c>
      <c r="D341" t="s">
        <v>1190</v>
      </c>
      <c r="E341" t="s">
        <v>1163</v>
      </c>
      <c r="F341" t="s">
        <v>221</v>
      </c>
      <c r="G341">
        <v>1</v>
      </c>
      <c r="H341" s="21">
        <v>339.8</v>
      </c>
      <c r="I341">
        <v>10</v>
      </c>
      <c r="J341" s="21">
        <v>33.979999999999997</v>
      </c>
      <c r="K341">
        <v>5</v>
      </c>
      <c r="L341" s="21">
        <v>15.29</v>
      </c>
      <c r="M341" s="21">
        <v>321.11</v>
      </c>
      <c r="N341" s="21">
        <v>197.05</v>
      </c>
      <c r="O341" s="21">
        <v>108.77</v>
      </c>
      <c r="P341" t="s">
        <v>123</v>
      </c>
      <c r="Q341" t="s">
        <v>120</v>
      </c>
      <c r="R341" t="s">
        <v>151</v>
      </c>
      <c r="S341" t="s">
        <v>1342</v>
      </c>
      <c r="T341" t="s">
        <v>153</v>
      </c>
      <c r="U341" t="s">
        <v>154</v>
      </c>
      <c r="V341" t="str">
        <f>IFERROR(INDEX(Products!$C:$C,MATCH(D341,Products!$A:$A,0)),"Unknown")</f>
        <v>Accessories</v>
      </c>
      <c r="W341" t="str">
        <f>IFERROR(INDEX(Products!$E:$E,MATCH(D341,Products!$A:$A,0)),"Unknown")</f>
        <v>Pantaloons</v>
      </c>
      <c r="X341" t="str">
        <f>IFERROR(INDEX(Stores!$B:$B,MATCH(E341,Stores!$A:$A,0)),"Unknown")</f>
        <v>TrendMart Alappuzha Outlet</v>
      </c>
      <c r="Y341" t="str">
        <f>IFERROR(INDEX(Stores!$E:$E,MATCH(E341,Stores!$A:$A,0)),"Unknown")</f>
        <v>South Zone 1</v>
      </c>
      <c r="Z341" t="str">
        <f>IFERROR(INDEX(Customers!$J:$J,MATCH(C341,Customers!$A:$A,0)),"Unknown")</f>
        <v>Silver</v>
      </c>
      <c r="AA341" t="str">
        <f t="shared" si="5"/>
        <v>2024-08</v>
      </c>
      <c r="AB341" t="str">
        <f>IFERROR(INDEX(Products!$I:$I,MATCH(D341,Products!$A:$A,0)),"Unknown")</f>
        <v>SUP019</v>
      </c>
    </row>
    <row r="342" spans="1:28" x14ac:dyDescent="0.25">
      <c r="A342" t="s">
        <v>1343</v>
      </c>
      <c r="B342" s="20">
        <v>45549</v>
      </c>
      <c r="C342" t="s">
        <v>995</v>
      </c>
      <c r="D342" t="s">
        <v>968</v>
      </c>
      <c r="E342" t="s">
        <v>175</v>
      </c>
      <c r="F342" t="s">
        <v>297</v>
      </c>
      <c r="G342">
        <v>1</v>
      </c>
      <c r="H342" s="21">
        <v>627.94000000000005</v>
      </c>
      <c r="I342">
        <v>10</v>
      </c>
      <c r="J342" s="21">
        <v>62.79</v>
      </c>
      <c r="K342">
        <v>5</v>
      </c>
      <c r="L342" s="21">
        <v>28.26</v>
      </c>
      <c r="M342" s="21">
        <v>593.41</v>
      </c>
      <c r="N342" s="21">
        <v>303.61</v>
      </c>
      <c r="O342" s="21">
        <v>261.54000000000002</v>
      </c>
      <c r="P342" t="s">
        <v>123</v>
      </c>
      <c r="Q342" t="s">
        <v>120</v>
      </c>
      <c r="R342" t="s">
        <v>151</v>
      </c>
      <c r="S342" t="s">
        <v>1344</v>
      </c>
      <c r="T342" t="s">
        <v>161</v>
      </c>
      <c r="U342" t="s">
        <v>154</v>
      </c>
      <c r="V342" t="str">
        <f>IFERROR(INDEX(Products!$C:$C,MATCH(D342,Products!$A:$A,0)),"Unknown")</f>
        <v>Accessories</v>
      </c>
      <c r="W342" t="str">
        <f>IFERROR(INDEX(Products!$E:$E,MATCH(D342,Products!$A:$A,0)),"Unknown")</f>
        <v>Blackberrys</v>
      </c>
      <c r="X342" t="str">
        <f>IFERROR(INDEX(Stores!$B:$B,MATCH(E342,Stores!$A:$A,0)),"Unknown")</f>
        <v>TrendMart Thoothukudi Flagship</v>
      </c>
      <c r="Y342" t="str">
        <f>IFERROR(INDEX(Stores!$E:$E,MATCH(E342,Stores!$A:$A,0)),"Unknown")</f>
        <v>South Zone 1</v>
      </c>
      <c r="Z342" t="str">
        <f>IFERROR(INDEX(Customers!$J:$J,MATCH(C342,Customers!$A:$A,0)),"Unknown")</f>
        <v>Silver</v>
      </c>
      <c r="AA342" t="str">
        <f t="shared" si="5"/>
        <v>2024-09</v>
      </c>
      <c r="AB342" t="str">
        <f>IFERROR(INDEX(Products!$I:$I,MATCH(D342,Products!$A:$A,0)),"Unknown")</f>
        <v>SUP048</v>
      </c>
    </row>
    <row r="343" spans="1:28" x14ac:dyDescent="0.25">
      <c r="A343" t="s">
        <v>1345</v>
      </c>
      <c r="B343" s="20">
        <v>45576</v>
      </c>
      <c r="C343" t="s">
        <v>1346</v>
      </c>
      <c r="D343" t="s">
        <v>658</v>
      </c>
      <c r="E343" t="s">
        <v>456</v>
      </c>
      <c r="F343" t="s">
        <v>221</v>
      </c>
      <c r="G343">
        <v>3</v>
      </c>
      <c r="H343" s="21">
        <v>294.82</v>
      </c>
      <c r="I343">
        <v>0</v>
      </c>
      <c r="J343" s="21">
        <v>0</v>
      </c>
      <c r="K343">
        <v>5</v>
      </c>
      <c r="L343" s="21">
        <v>44.22</v>
      </c>
      <c r="M343" s="21">
        <v>928.68</v>
      </c>
      <c r="N343" s="21">
        <v>515.70000000000005</v>
      </c>
      <c r="O343" s="21">
        <v>368.76</v>
      </c>
      <c r="P343" t="s">
        <v>121</v>
      </c>
      <c r="Q343" t="s">
        <v>120</v>
      </c>
      <c r="R343" t="s">
        <v>151</v>
      </c>
      <c r="S343" t="s">
        <v>1347</v>
      </c>
      <c r="T343" t="s">
        <v>153</v>
      </c>
      <c r="U343" t="s">
        <v>154</v>
      </c>
      <c r="V343" t="str">
        <f>IFERROR(INDEX(Products!$C:$C,MATCH(D343,Products!$A:$A,0)),"Unknown")</f>
        <v>Accessories</v>
      </c>
      <c r="W343" t="str">
        <f>IFERROR(INDEX(Products!$E:$E,MATCH(D343,Products!$A:$A,0)),"Unknown")</f>
        <v>Flying Machine</v>
      </c>
      <c r="X343" t="str">
        <f>IFERROR(INDEX(Stores!$B:$B,MATCH(E343,Stores!$A:$A,0)),"Unknown")</f>
        <v>TrendMart Salem Outlet</v>
      </c>
      <c r="Y343" t="str">
        <f>IFERROR(INDEX(Stores!$E:$E,MATCH(E343,Stores!$A:$A,0)),"Unknown")</f>
        <v>South Zone 1</v>
      </c>
      <c r="Z343" t="str">
        <f>IFERROR(INDEX(Customers!$J:$J,MATCH(C343,Customers!$A:$A,0)),"Unknown")</f>
        <v>Regular</v>
      </c>
      <c r="AA343" t="str">
        <f t="shared" si="5"/>
        <v>2024-10</v>
      </c>
      <c r="AB343" t="str">
        <f>IFERROR(INDEX(Products!$I:$I,MATCH(D343,Products!$A:$A,0)),"Unknown")</f>
        <v>SUP002</v>
      </c>
    </row>
    <row r="344" spans="1:28" x14ac:dyDescent="0.25">
      <c r="A344" t="s">
        <v>1348</v>
      </c>
      <c r="B344" s="20">
        <v>45419</v>
      </c>
      <c r="C344" t="s">
        <v>1349</v>
      </c>
      <c r="D344" t="s">
        <v>1350</v>
      </c>
      <c r="E344" t="s">
        <v>82</v>
      </c>
      <c r="F344" t="s">
        <v>335</v>
      </c>
      <c r="G344">
        <v>1</v>
      </c>
      <c r="H344" s="21">
        <v>651.92999999999995</v>
      </c>
      <c r="I344">
        <v>10</v>
      </c>
      <c r="J344" s="21">
        <v>65.19</v>
      </c>
      <c r="K344">
        <v>5</v>
      </c>
      <c r="L344" s="21">
        <v>29.34</v>
      </c>
      <c r="M344" s="21">
        <v>616.08000000000004</v>
      </c>
      <c r="N344" s="21">
        <v>419.4</v>
      </c>
      <c r="O344" s="21">
        <v>167.34</v>
      </c>
      <c r="P344" t="s">
        <v>124</v>
      </c>
      <c r="Q344" t="s">
        <v>120</v>
      </c>
      <c r="R344" t="s">
        <v>151</v>
      </c>
      <c r="S344" t="s">
        <v>1351</v>
      </c>
      <c r="T344" t="s">
        <v>153</v>
      </c>
      <c r="U344" t="s">
        <v>154</v>
      </c>
      <c r="V344" t="str">
        <f>IFERROR(INDEX(Products!$C:$C,MATCH(D344,Products!$A:$A,0)),"Unknown")</f>
        <v>Women Tops</v>
      </c>
      <c r="W344" t="str">
        <f>IFERROR(INDEX(Products!$E:$E,MATCH(D344,Products!$A:$A,0)),"Unknown")</f>
        <v>Jack &amp; Jones</v>
      </c>
      <c r="X344" t="str">
        <f>IFERROR(INDEX(Stores!$B:$B,MATCH(E344,Stores!$A:$A,0)),"Unknown")</f>
        <v>TrendMart Kochi High Street</v>
      </c>
      <c r="Y344" t="str">
        <f>IFERROR(INDEX(Stores!$E:$E,MATCH(E344,Stores!$A:$A,0)),"Unknown")</f>
        <v>South Zone 1</v>
      </c>
      <c r="Z344" t="str">
        <f>IFERROR(INDEX(Customers!$J:$J,MATCH(C344,Customers!$A:$A,0)),"Unknown")</f>
        <v>Platinum</v>
      </c>
      <c r="AA344" t="str">
        <f t="shared" si="5"/>
        <v>2024-05</v>
      </c>
      <c r="AB344" t="str">
        <f>IFERROR(INDEX(Products!$I:$I,MATCH(D344,Products!$A:$A,0)),"Unknown")</f>
        <v>SUP089</v>
      </c>
    </row>
    <row r="345" spans="1:28" x14ac:dyDescent="0.25">
      <c r="A345" t="s">
        <v>1352</v>
      </c>
      <c r="B345" s="20">
        <v>45648</v>
      </c>
      <c r="C345" t="s">
        <v>1263</v>
      </c>
      <c r="D345" t="s">
        <v>205</v>
      </c>
      <c r="E345" t="s">
        <v>1017</v>
      </c>
      <c r="F345" t="s">
        <v>189</v>
      </c>
      <c r="G345">
        <v>1</v>
      </c>
      <c r="H345" s="21">
        <v>1030.3699999999999</v>
      </c>
      <c r="I345">
        <v>10</v>
      </c>
      <c r="J345" s="21">
        <v>103.04</v>
      </c>
      <c r="K345">
        <v>12</v>
      </c>
      <c r="L345" s="21">
        <v>111.28</v>
      </c>
      <c r="M345" s="21">
        <v>1038.6099999999999</v>
      </c>
      <c r="N345" s="21">
        <v>692.53</v>
      </c>
      <c r="O345" s="21">
        <v>234.8</v>
      </c>
      <c r="P345" t="s">
        <v>121</v>
      </c>
      <c r="Q345" t="s">
        <v>120</v>
      </c>
      <c r="R345" t="s">
        <v>151</v>
      </c>
      <c r="S345" t="s">
        <v>1353</v>
      </c>
      <c r="T345" t="s">
        <v>161</v>
      </c>
      <c r="U345" t="s">
        <v>154</v>
      </c>
      <c r="V345" t="str">
        <f>IFERROR(INDEX(Products!$C:$C,MATCH(D345,Products!$A:$A,0)),"Unknown")</f>
        <v>Women Jeans</v>
      </c>
      <c r="W345" t="str">
        <f>IFERROR(INDEX(Products!$E:$E,MATCH(D345,Products!$A:$A,0)),"Unknown")</f>
        <v>Sonata</v>
      </c>
      <c r="X345" t="str">
        <f>IFERROR(INDEX(Stores!$B:$B,MATCH(E345,Stores!$A:$A,0)),"Unknown")</f>
        <v>TrendMart Mangaluru Standard</v>
      </c>
      <c r="Y345" t="str">
        <f>IFERROR(INDEX(Stores!$E:$E,MATCH(E345,Stores!$A:$A,0)),"Unknown")</f>
        <v>South Zone 2</v>
      </c>
      <c r="Z345" t="str">
        <f>IFERROR(INDEX(Customers!$J:$J,MATCH(C345,Customers!$A:$A,0)),"Unknown")</f>
        <v>Silver</v>
      </c>
      <c r="AA345" t="str">
        <f t="shared" si="5"/>
        <v>2024-12</v>
      </c>
      <c r="AB345" t="str">
        <f>IFERROR(INDEX(Products!$I:$I,MATCH(D345,Products!$A:$A,0)),"Unknown")</f>
        <v>SUP014</v>
      </c>
    </row>
    <row r="346" spans="1:28" x14ac:dyDescent="0.25">
      <c r="A346" t="s">
        <v>1354</v>
      </c>
      <c r="B346" s="20">
        <v>45594</v>
      </c>
      <c r="C346" t="s">
        <v>1355</v>
      </c>
      <c r="D346" t="s">
        <v>697</v>
      </c>
      <c r="E346" t="s">
        <v>396</v>
      </c>
      <c r="F346" t="s">
        <v>382</v>
      </c>
      <c r="G346">
        <v>1</v>
      </c>
      <c r="H346" s="21">
        <v>1129.6600000000001</v>
      </c>
      <c r="I346">
        <v>0</v>
      </c>
      <c r="J346" s="21">
        <v>0</v>
      </c>
      <c r="K346">
        <v>12</v>
      </c>
      <c r="L346" s="21">
        <v>135.56</v>
      </c>
      <c r="M346" s="21">
        <v>1265.22</v>
      </c>
      <c r="N346" s="21">
        <v>699.84</v>
      </c>
      <c r="O346" s="21">
        <v>429.82</v>
      </c>
      <c r="P346" t="s">
        <v>126</v>
      </c>
      <c r="Q346" t="s">
        <v>120</v>
      </c>
      <c r="R346" t="s">
        <v>151</v>
      </c>
      <c r="S346" t="s">
        <v>1356</v>
      </c>
      <c r="T346" t="s">
        <v>153</v>
      </c>
      <c r="U346" t="s">
        <v>154</v>
      </c>
      <c r="V346" t="str">
        <f>IFERROR(INDEX(Products!$C:$C,MATCH(D346,Products!$A:$A,0)),"Unknown")</f>
        <v>Women Tops</v>
      </c>
      <c r="W346" t="str">
        <f>IFERROR(INDEX(Products!$E:$E,MATCH(D346,Products!$A:$A,0)),"Unknown")</f>
        <v>Nalli Silks</v>
      </c>
      <c r="X346" t="str">
        <f>IFERROR(INDEX(Stores!$B:$B,MATCH(E346,Stores!$A:$A,0)),"Unknown")</f>
        <v>TrendMart Davanagere High Street</v>
      </c>
      <c r="Y346" t="str">
        <f>IFERROR(INDEX(Stores!$E:$E,MATCH(E346,Stores!$A:$A,0)),"Unknown")</f>
        <v>South Zone 2</v>
      </c>
      <c r="Z346" t="str">
        <f>IFERROR(INDEX(Customers!$J:$J,MATCH(C346,Customers!$A:$A,0)),"Unknown")</f>
        <v>Silver</v>
      </c>
      <c r="AA346" t="str">
        <f t="shared" si="5"/>
        <v>2024-10</v>
      </c>
      <c r="AB346" t="str">
        <f>IFERROR(INDEX(Products!$I:$I,MATCH(D346,Products!$A:$A,0)),"Unknown")</f>
        <v>SUP008</v>
      </c>
    </row>
    <row r="347" spans="1:28" x14ac:dyDescent="0.25">
      <c r="A347" t="s">
        <v>1357</v>
      </c>
      <c r="B347" s="20">
        <v>45528</v>
      </c>
      <c r="C347" t="s">
        <v>1358</v>
      </c>
      <c r="D347" t="s">
        <v>531</v>
      </c>
      <c r="E347" t="s">
        <v>701</v>
      </c>
      <c r="F347" t="s">
        <v>237</v>
      </c>
      <c r="G347">
        <v>4</v>
      </c>
      <c r="H347" s="21">
        <v>3313.8</v>
      </c>
      <c r="I347">
        <v>10</v>
      </c>
      <c r="J347" s="21">
        <v>1325.52</v>
      </c>
      <c r="K347">
        <v>12</v>
      </c>
      <c r="L347" s="21">
        <v>1431.56</v>
      </c>
      <c r="M347" s="21">
        <v>13361.24</v>
      </c>
      <c r="N347" s="21">
        <v>8136.04</v>
      </c>
      <c r="O347" s="21">
        <v>3793.64</v>
      </c>
      <c r="P347" t="s">
        <v>121</v>
      </c>
      <c r="Q347" t="s">
        <v>120</v>
      </c>
      <c r="R347" t="s">
        <v>313</v>
      </c>
      <c r="S347" t="s">
        <v>1359</v>
      </c>
      <c r="T347" t="s">
        <v>161</v>
      </c>
      <c r="U347" t="s">
        <v>154</v>
      </c>
      <c r="V347" t="str">
        <f>IFERROR(INDEX(Products!$C:$C,MATCH(D347,Products!$A:$A,0)),"Unknown")</f>
        <v>Handbags</v>
      </c>
      <c r="W347" t="str">
        <f>IFERROR(INDEX(Products!$E:$E,MATCH(D347,Products!$A:$A,0)),"Unknown")</f>
        <v>GRT Jewellers</v>
      </c>
      <c r="X347" t="str">
        <f>IFERROR(INDEX(Stores!$B:$B,MATCH(E347,Stores!$A:$A,0)),"Unknown")</f>
        <v>TrendMart Vijayawada Mall Kiosk</v>
      </c>
      <c r="Y347" t="str">
        <f>IFERROR(INDEX(Stores!$E:$E,MATCH(E347,Stores!$A:$A,0)),"Unknown")</f>
        <v>South Zone 3</v>
      </c>
      <c r="Z347" t="str">
        <f>IFERROR(INDEX(Customers!$J:$J,MATCH(C347,Customers!$A:$A,0)),"Unknown")</f>
        <v>Gold</v>
      </c>
      <c r="AA347" t="str">
        <f t="shared" si="5"/>
        <v>2024-08</v>
      </c>
      <c r="AB347" t="str">
        <f>IFERROR(INDEX(Products!$I:$I,MATCH(D347,Products!$A:$A,0)),"Unknown")</f>
        <v>SUP047</v>
      </c>
    </row>
    <row r="348" spans="1:28" x14ac:dyDescent="0.25">
      <c r="A348" t="s">
        <v>1360</v>
      </c>
      <c r="B348" s="20">
        <v>45467</v>
      </c>
      <c r="C348" t="s">
        <v>1361</v>
      </c>
      <c r="D348" t="s">
        <v>367</v>
      </c>
      <c r="E348" t="s">
        <v>525</v>
      </c>
      <c r="F348" t="s">
        <v>532</v>
      </c>
      <c r="G348">
        <v>1</v>
      </c>
      <c r="H348" s="21">
        <v>690.53</v>
      </c>
      <c r="I348">
        <v>25</v>
      </c>
      <c r="J348" s="21">
        <v>172.63</v>
      </c>
      <c r="K348">
        <v>3</v>
      </c>
      <c r="L348" s="21">
        <v>15.54</v>
      </c>
      <c r="M348" s="21">
        <v>533.44000000000005</v>
      </c>
      <c r="N348" s="21">
        <v>556.99</v>
      </c>
      <c r="O348" s="21">
        <v>-39.090000000000003</v>
      </c>
      <c r="P348" t="s">
        <v>124</v>
      </c>
      <c r="Q348" t="s">
        <v>120</v>
      </c>
      <c r="R348" t="s">
        <v>151</v>
      </c>
      <c r="S348" t="s">
        <v>899</v>
      </c>
      <c r="T348" t="s">
        <v>153</v>
      </c>
      <c r="U348" t="s">
        <v>184</v>
      </c>
      <c r="V348" t="str">
        <f>IFERROR(INDEX(Products!$C:$C,MATCH(D348,Products!$A:$A,0)),"Unknown")</f>
        <v>Jewellery</v>
      </c>
      <c r="W348" t="str">
        <f>IFERROR(INDEX(Products!$E:$E,MATCH(D348,Products!$A:$A,0)),"Unknown")</f>
        <v>Aurelia</v>
      </c>
      <c r="X348" t="str">
        <f>IFERROR(INDEX(Stores!$B:$B,MATCH(E348,Stores!$A:$A,0)),"Unknown")</f>
        <v>TrendMart Kollam Standard</v>
      </c>
      <c r="Y348" t="str">
        <f>IFERROR(INDEX(Stores!$E:$E,MATCH(E348,Stores!$A:$A,0)),"Unknown")</f>
        <v>South Zone 1</v>
      </c>
      <c r="Z348" t="str">
        <f>IFERROR(INDEX(Customers!$J:$J,MATCH(C348,Customers!$A:$A,0)),"Unknown")</f>
        <v>Regular</v>
      </c>
      <c r="AA348" t="str">
        <f t="shared" si="5"/>
        <v>2024-06</v>
      </c>
      <c r="AB348" t="str">
        <f>IFERROR(INDEX(Products!$I:$I,MATCH(D348,Products!$A:$A,0)),"Unknown")</f>
        <v>SUP067</v>
      </c>
    </row>
    <row r="349" spans="1:28" x14ac:dyDescent="0.25">
      <c r="A349" t="s">
        <v>1362</v>
      </c>
      <c r="B349" s="20">
        <v>45591</v>
      </c>
      <c r="C349" t="s">
        <v>1010</v>
      </c>
      <c r="D349" t="s">
        <v>1200</v>
      </c>
      <c r="E349" t="s">
        <v>1281</v>
      </c>
      <c r="F349" t="s">
        <v>275</v>
      </c>
      <c r="G349">
        <v>1</v>
      </c>
      <c r="H349" s="21">
        <v>3666.35</v>
      </c>
      <c r="I349">
        <v>25</v>
      </c>
      <c r="J349" s="21">
        <v>916.59</v>
      </c>
      <c r="K349">
        <v>12</v>
      </c>
      <c r="L349" s="21">
        <v>329.97</v>
      </c>
      <c r="M349" s="21">
        <v>3079.73</v>
      </c>
      <c r="N349" s="21">
        <v>2237.8200000000002</v>
      </c>
      <c r="O349" s="21">
        <v>511.94</v>
      </c>
      <c r="P349" t="s">
        <v>121</v>
      </c>
      <c r="Q349" t="s">
        <v>120</v>
      </c>
      <c r="R349" t="s">
        <v>151</v>
      </c>
      <c r="S349" t="s">
        <v>1363</v>
      </c>
      <c r="T349" t="s">
        <v>161</v>
      </c>
      <c r="U349" t="s">
        <v>154</v>
      </c>
      <c r="V349" t="str">
        <f>IFERROR(INDEX(Products!$C:$C,MATCH(D349,Products!$A:$A,0)),"Unknown")</f>
        <v>Footwear</v>
      </c>
      <c r="W349" t="str">
        <f>IFERROR(INDEX(Products!$E:$E,MATCH(D349,Products!$A:$A,0)),"Unknown")</f>
        <v>Kalyan Silks</v>
      </c>
      <c r="X349" t="str">
        <f>IFERROR(INDEX(Stores!$B:$B,MATCH(E349,Stores!$A:$A,0)),"Unknown")</f>
        <v>TrendMart Visakhapatnam Standard</v>
      </c>
      <c r="Y349" t="str">
        <f>IFERROR(INDEX(Stores!$E:$E,MATCH(E349,Stores!$A:$A,0)),"Unknown")</f>
        <v>South Zone 3</v>
      </c>
      <c r="Z349" t="str">
        <f>IFERROR(INDEX(Customers!$J:$J,MATCH(C349,Customers!$A:$A,0)),"Unknown")</f>
        <v>Silver</v>
      </c>
      <c r="AA349" t="str">
        <f t="shared" si="5"/>
        <v>2024-10</v>
      </c>
      <c r="AB349" t="str">
        <f>IFERROR(INDEX(Products!$I:$I,MATCH(D349,Products!$A:$A,0)),"Unknown")</f>
        <v>SUP090</v>
      </c>
    </row>
    <row r="350" spans="1:28" x14ac:dyDescent="0.25">
      <c r="A350" t="s">
        <v>1364</v>
      </c>
      <c r="B350" s="20">
        <v>45402</v>
      </c>
      <c r="C350" t="s">
        <v>557</v>
      </c>
      <c r="D350" t="s">
        <v>612</v>
      </c>
      <c r="E350" t="s">
        <v>1325</v>
      </c>
      <c r="F350" t="s">
        <v>237</v>
      </c>
      <c r="G350">
        <v>3</v>
      </c>
      <c r="H350" s="21">
        <v>638.27</v>
      </c>
      <c r="I350">
        <v>20</v>
      </c>
      <c r="J350" s="21">
        <v>382.96</v>
      </c>
      <c r="K350">
        <v>5</v>
      </c>
      <c r="L350" s="21">
        <v>76.59</v>
      </c>
      <c r="M350" s="21">
        <v>1608.44</v>
      </c>
      <c r="N350" s="21">
        <v>1107</v>
      </c>
      <c r="O350" s="21">
        <v>424.85</v>
      </c>
      <c r="P350" t="s">
        <v>121</v>
      </c>
      <c r="Q350" t="s">
        <v>120</v>
      </c>
      <c r="R350" t="s">
        <v>151</v>
      </c>
      <c r="S350" t="s">
        <v>1310</v>
      </c>
      <c r="T350" t="s">
        <v>161</v>
      </c>
      <c r="U350" t="s">
        <v>154</v>
      </c>
      <c r="V350" t="str">
        <f>IFERROR(INDEX(Products!$C:$C,MATCH(D350,Products!$A:$A,0)),"Unknown")</f>
        <v>Men T-Shirts</v>
      </c>
      <c r="W350" t="str">
        <f>IFERROR(INDEX(Products!$E:$E,MATCH(D350,Products!$A:$A,0)),"Unknown")</f>
        <v>Killer Jeans</v>
      </c>
      <c r="X350" t="str">
        <f>IFERROR(INDEX(Stores!$B:$B,MATCH(E350,Stores!$A:$A,0)),"Unknown")</f>
        <v>TrendMart Thrissur Standard</v>
      </c>
      <c r="Y350" t="str">
        <f>IFERROR(INDEX(Stores!$E:$E,MATCH(E350,Stores!$A:$A,0)),"Unknown")</f>
        <v>South Zone 1</v>
      </c>
      <c r="Z350" t="str">
        <f>IFERROR(INDEX(Customers!$J:$J,MATCH(C350,Customers!$A:$A,0)),"Unknown")</f>
        <v>Regular</v>
      </c>
      <c r="AA350" t="str">
        <f t="shared" si="5"/>
        <v>2024-04</v>
      </c>
      <c r="AB350" t="str">
        <f>IFERROR(INDEX(Products!$I:$I,MATCH(D350,Products!$A:$A,0)),"Unknown")</f>
        <v>SUP056</v>
      </c>
    </row>
    <row r="351" spans="1:28" x14ac:dyDescent="0.25">
      <c r="A351" t="s">
        <v>1365</v>
      </c>
      <c r="B351" s="20">
        <v>45588</v>
      </c>
      <c r="C351" t="s">
        <v>1366</v>
      </c>
      <c r="D351" t="s">
        <v>1278</v>
      </c>
      <c r="E351" t="s">
        <v>521</v>
      </c>
      <c r="F351" t="s">
        <v>258</v>
      </c>
      <c r="G351">
        <v>4</v>
      </c>
      <c r="H351" s="21">
        <v>4890.84</v>
      </c>
      <c r="I351">
        <v>10</v>
      </c>
      <c r="J351" s="21">
        <v>1956.34</v>
      </c>
      <c r="K351">
        <v>12</v>
      </c>
      <c r="L351" s="21">
        <v>2112.84</v>
      </c>
      <c r="M351" s="21">
        <v>19719.86</v>
      </c>
      <c r="N351" s="21">
        <v>15403.88</v>
      </c>
      <c r="O351" s="21">
        <v>2203.14</v>
      </c>
      <c r="P351" t="s">
        <v>123</v>
      </c>
      <c r="Q351" t="s">
        <v>120</v>
      </c>
      <c r="R351" t="s">
        <v>151</v>
      </c>
      <c r="S351" t="s">
        <v>964</v>
      </c>
      <c r="T351" t="s">
        <v>153</v>
      </c>
      <c r="U351" t="s">
        <v>154</v>
      </c>
      <c r="V351" t="str">
        <f>IFERROR(INDEX(Products!$C:$C,MATCH(D351,Products!$A:$A,0)),"Unknown")</f>
        <v>Watches</v>
      </c>
      <c r="W351" t="str">
        <f>IFERROR(INDEX(Products!$E:$E,MATCH(D351,Products!$A:$A,0)),"Unknown")</f>
        <v>Aurelia</v>
      </c>
      <c r="X351" t="str">
        <f>IFERROR(INDEX(Stores!$B:$B,MATCH(E351,Stores!$A:$A,0)),"Unknown")</f>
        <v>TrendMart Tirupati Standard</v>
      </c>
      <c r="Y351" t="str">
        <f>IFERROR(INDEX(Stores!$E:$E,MATCH(E351,Stores!$A:$A,0)),"Unknown")</f>
        <v>South Zone 3</v>
      </c>
      <c r="Z351" t="str">
        <f>IFERROR(INDEX(Customers!$J:$J,MATCH(C351,Customers!$A:$A,0)),"Unknown")</f>
        <v>Gold</v>
      </c>
      <c r="AA351" t="str">
        <f t="shared" si="5"/>
        <v>2024-10</v>
      </c>
      <c r="AB351" t="str">
        <f>IFERROR(INDEX(Products!$I:$I,MATCH(D351,Products!$A:$A,0)),"Unknown")</f>
        <v>SUP079</v>
      </c>
    </row>
    <row r="352" spans="1:28" x14ac:dyDescent="0.25">
      <c r="A352" t="s">
        <v>1367</v>
      </c>
      <c r="B352" s="20">
        <v>45608</v>
      </c>
      <c r="C352" t="s">
        <v>1368</v>
      </c>
      <c r="D352" t="s">
        <v>680</v>
      </c>
      <c r="E352" t="s">
        <v>511</v>
      </c>
      <c r="F352" t="s">
        <v>159</v>
      </c>
      <c r="G352">
        <v>2</v>
      </c>
      <c r="H352" s="21">
        <v>690.36</v>
      </c>
      <c r="I352">
        <v>0</v>
      </c>
      <c r="J352" s="21">
        <v>0</v>
      </c>
      <c r="K352">
        <v>5</v>
      </c>
      <c r="L352" s="21">
        <v>69.040000000000006</v>
      </c>
      <c r="M352" s="21">
        <v>1449.76</v>
      </c>
      <c r="N352" s="21">
        <v>807.42</v>
      </c>
      <c r="O352" s="21">
        <v>573.29999999999995</v>
      </c>
      <c r="P352" t="s">
        <v>124</v>
      </c>
      <c r="Q352" t="s">
        <v>120</v>
      </c>
      <c r="R352" t="s">
        <v>151</v>
      </c>
      <c r="S352" t="s">
        <v>647</v>
      </c>
      <c r="T352" t="s">
        <v>153</v>
      </c>
      <c r="U352" t="s">
        <v>154</v>
      </c>
      <c r="V352" t="str">
        <f>IFERROR(INDEX(Products!$C:$C,MATCH(D352,Products!$A:$A,0)),"Unknown")</f>
        <v>Accessories</v>
      </c>
      <c r="W352" t="str">
        <f>IFERROR(INDEX(Products!$E:$E,MATCH(D352,Products!$A:$A,0)),"Unknown")</f>
        <v>Westside</v>
      </c>
      <c r="X352" t="str">
        <f>IFERROR(INDEX(Stores!$B:$B,MATCH(E352,Stores!$A:$A,0)),"Unknown")</f>
        <v>TrendMart Khammam Standard</v>
      </c>
      <c r="Y352" t="str">
        <f>IFERROR(INDEX(Stores!$E:$E,MATCH(E352,Stores!$A:$A,0)),"Unknown")</f>
        <v>South Zone 2</v>
      </c>
      <c r="Z352" t="str">
        <f>IFERROR(INDEX(Customers!$J:$J,MATCH(C352,Customers!$A:$A,0)),"Unknown")</f>
        <v>Regular</v>
      </c>
      <c r="AA352" t="str">
        <f t="shared" si="5"/>
        <v>2024-11</v>
      </c>
      <c r="AB352" t="str">
        <f>IFERROR(INDEX(Products!$I:$I,MATCH(D352,Products!$A:$A,0)),"Unknown")</f>
        <v>SUP064</v>
      </c>
    </row>
    <row r="353" spans="1:28" x14ac:dyDescent="0.25">
      <c r="A353" t="s">
        <v>1369</v>
      </c>
      <c r="B353" s="20">
        <v>45476</v>
      </c>
      <c r="C353" t="s">
        <v>1370</v>
      </c>
      <c r="D353" t="s">
        <v>1302</v>
      </c>
      <c r="E353" t="s">
        <v>727</v>
      </c>
      <c r="F353" t="s">
        <v>201</v>
      </c>
      <c r="G353">
        <v>1</v>
      </c>
      <c r="H353" s="21">
        <v>1079.45</v>
      </c>
      <c r="I353">
        <v>25</v>
      </c>
      <c r="J353" s="21">
        <v>269.86</v>
      </c>
      <c r="K353">
        <v>12</v>
      </c>
      <c r="L353" s="21">
        <v>97.15</v>
      </c>
      <c r="M353" s="21">
        <v>906.74</v>
      </c>
      <c r="N353" s="21">
        <v>770.73</v>
      </c>
      <c r="O353" s="21">
        <v>38.86</v>
      </c>
      <c r="P353" t="s">
        <v>123</v>
      </c>
      <c r="Q353" t="s">
        <v>120</v>
      </c>
      <c r="R353" t="s">
        <v>151</v>
      </c>
      <c r="S353" t="s">
        <v>1371</v>
      </c>
      <c r="T353" t="s">
        <v>153</v>
      </c>
      <c r="U353" t="s">
        <v>154</v>
      </c>
      <c r="V353" t="str">
        <f>IFERROR(INDEX(Products!$C:$C,MATCH(D353,Products!$A:$A,0)),"Unknown")</f>
        <v>Women Kurtis</v>
      </c>
      <c r="W353" t="str">
        <f>IFERROR(INDEX(Products!$E:$E,MATCH(D353,Products!$A:$A,0)),"Unknown")</f>
        <v>Fabindia</v>
      </c>
      <c r="X353" t="str">
        <f>IFERROR(INDEX(Stores!$B:$B,MATCH(E353,Stores!$A:$A,0)),"Unknown")</f>
        <v>TrendMart Nizamabad Standard</v>
      </c>
      <c r="Y353" t="str">
        <f>IFERROR(INDEX(Stores!$E:$E,MATCH(E353,Stores!$A:$A,0)),"Unknown")</f>
        <v>South Zone 2</v>
      </c>
      <c r="Z353" t="str">
        <f>IFERROR(INDEX(Customers!$J:$J,MATCH(C353,Customers!$A:$A,0)),"Unknown")</f>
        <v>Regular</v>
      </c>
      <c r="AA353" t="str">
        <f t="shared" si="5"/>
        <v>2024-07</v>
      </c>
      <c r="AB353" t="str">
        <f>IFERROR(INDEX(Products!$I:$I,MATCH(D353,Products!$A:$A,0)),"Unknown")</f>
        <v>SUP059</v>
      </c>
    </row>
    <row r="354" spans="1:28" x14ac:dyDescent="0.25">
      <c r="A354" t="s">
        <v>1372</v>
      </c>
      <c r="B354" s="20">
        <v>45579</v>
      </c>
      <c r="C354" t="s">
        <v>1366</v>
      </c>
      <c r="D354" t="s">
        <v>1373</v>
      </c>
      <c r="E354" t="s">
        <v>175</v>
      </c>
      <c r="F354" t="s">
        <v>275</v>
      </c>
      <c r="G354">
        <v>2</v>
      </c>
      <c r="H354" s="21">
        <v>3260.03</v>
      </c>
      <c r="I354">
        <v>10</v>
      </c>
      <c r="J354" s="21">
        <v>652.01</v>
      </c>
      <c r="K354">
        <v>12</v>
      </c>
      <c r="L354" s="21">
        <v>704.17</v>
      </c>
      <c r="M354" s="21">
        <v>6572.22</v>
      </c>
      <c r="N354" s="21">
        <v>4916</v>
      </c>
      <c r="O354" s="21">
        <v>952.05</v>
      </c>
      <c r="P354" t="s">
        <v>125</v>
      </c>
      <c r="Q354" t="s">
        <v>120</v>
      </c>
      <c r="R354" t="s">
        <v>313</v>
      </c>
      <c r="S354" t="s">
        <v>1374</v>
      </c>
      <c r="T354" t="s">
        <v>153</v>
      </c>
      <c r="U354" t="s">
        <v>154</v>
      </c>
      <c r="V354" t="str">
        <f>IFERROR(INDEX(Products!$C:$C,MATCH(D354,Products!$A:$A,0)),"Unknown")</f>
        <v>Footwear</v>
      </c>
      <c r="W354" t="str">
        <f>IFERROR(INDEX(Products!$E:$E,MATCH(D354,Products!$A:$A,0)),"Unknown")</f>
        <v>Unknown</v>
      </c>
      <c r="X354" t="str">
        <f>IFERROR(INDEX(Stores!$B:$B,MATCH(E354,Stores!$A:$A,0)),"Unknown")</f>
        <v>TrendMart Thoothukudi Flagship</v>
      </c>
      <c r="Y354" t="str">
        <f>IFERROR(INDEX(Stores!$E:$E,MATCH(E354,Stores!$A:$A,0)),"Unknown")</f>
        <v>South Zone 1</v>
      </c>
      <c r="Z354" t="str">
        <f>IFERROR(INDEX(Customers!$J:$J,MATCH(C354,Customers!$A:$A,0)),"Unknown")</f>
        <v>Gold</v>
      </c>
      <c r="AA354" t="str">
        <f t="shared" si="5"/>
        <v>2024-10</v>
      </c>
      <c r="AB354" t="str">
        <f>IFERROR(INDEX(Products!$I:$I,MATCH(D354,Products!$A:$A,0)),"Unknown")</f>
        <v>SUP087</v>
      </c>
    </row>
    <row r="355" spans="1:28" x14ac:dyDescent="0.25">
      <c r="A355" t="s">
        <v>1375</v>
      </c>
      <c r="B355" s="20">
        <v>45689</v>
      </c>
      <c r="C355" t="s">
        <v>1038</v>
      </c>
      <c r="D355" t="s">
        <v>381</v>
      </c>
      <c r="E355" t="s">
        <v>848</v>
      </c>
      <c r="F355" t="s">
        <v>150</v>
      </c>
      <c r="G355">
        <v>1</v>
      </c>
      <c r="H355" s="21">
        <v>850.96</v>
      </c>
      <c r="I355">
        <v>20</v>
      </c>
      <c r="J355" s="21">
        <v>170.19</v>
      </c>
      <c r="K355">
        <v>5</v>
      </c>
      <c r="L355" s="21">
        <v>34.04</v>
      </c>
      <c r="M355" s="21">
        <v>714.81</v>
      </c>
      <c r="N355" s="21">
        <v>513.84</v>
      </c>
      <c r="O355" s="21">
        <v>166.93</v>
      </c>
      <c r="P355" t="s">
        <v>126</v>
      </c>
      <c r="Q355" t="s">
        <v>120</v>
      </c>
      <c r="R355" t="s">
        <v>151</v>
      </c>
      <c r="S355" t="s">
        <v>1112</v>
      </c>
      <c r="T355" t="s">
        <v>161</v>
      </c>
      <c r="U355" t="s">
        <v>154</v>
      </c>
      <c r="V355" t="str">
        <f>IFERROR(INDEX(Products!$C:$C,MATCH(D355,Products!$A:$A,0)),"Unknown")</f>
        <v>Wallets</v>
      </c>
      <c r="W355" t="str">
        <f>IFERROR(INDEX(Products!$E:$E,MATCH(D355,Products!$A:$A,0)),"Unknown")</f>
        <v>Tanishq</v>
      </c>
      <c r="X355" t="str">
        <f>IFERROR(INDEX(Stores!$B:$B,MATCH(E355,Stores!$A:$A,0)),"Unknown")</f>
        <v>TrendMart Shivamogga Standard</v>
      </c>
      <c r="Y355" t="str">
        <f>IFERROR(INDEX(Stores!$E:$E,MATCH(E355,Stores!$A:$A,0)),"Unknown")</f>
        <v>South Zone 2</v>
      </c>
      <c r="Z355" t="str">
        <f>IFERROR(INDEX(Customers!$J:$J,MATCH(C355,Customers!$A:$A,0)),"Unknown")</f>
        <v>Regular</v>
      </c>
      <c r="AA355" t="str">
        <f t="shared" si="5"/>
        <v>2025-02</v>
      </c>
      <c r="AB355" t="str">
        <f>IFERROR(INDEX(Products!$I:$I,MATCH(D355,Products!$A:$A,0)),"Unknown")</f>
        <v>SUP007</v>
      </c>
    </row>
    <row r="356" spans="1:28" x14ac:dyDescent="0.25">
      <c r="A356" t="s">
        <v>1376</v>
      </c>
      <c r="B356" s="20">
        <v>45604</v>
      </c>
      <c r="C356" t="s">
        <v>1377</v>
      </c>
      <c r="D356" t="s">
        <v>524</v>
      </c>
      <c r="E356" t="s">
        <v>721</v>
      </c>
      <c r="F356" t="s">
        <v>189</v>
      </c>
      <c r="G356">
        <v>2</v>
      </c>
      <c r="H356" s="21">
        <v>751.36</v>
      </c>
      <c r="I356">
        <v>20</v>
      </c>
      <c r="J356" s="21">
        <v>300.54000000000002</v>
      </c>
      <c r="K356">
        <v>5</v>
      </c>
      <c r="L356" s="21">
        <v>60.11</v>
      </c>
      <c r="M356" s="21">
        <v>1262.29</v>
      </c>
      <c r="N356" s="21">
        <v>1095.3399999999999</v>
      </c>
      <c r="O356" s="21">
        <v>106.84</v>
      </c>
      <c r="P356" t="s">
        <v>121</v>
      </c>
      <c r="Q356" t="s">
        <v>120</v>
      </c>
      <c r="R356" t="s">
        <v>151</v>
      </c>
      <c r="S356" t="s">
        <v>1378</v>
      </c>
      <c r="T356" t="s">
        <v>153</v>
      </c>
      <c r="U356" t="s">
        <v>154</v>
      </c>
      <c r="V356" t="str">
        <f>IFERROR(INDEX(Products!$C:$C,MATCH(D356,Products!$A:$A,0)),"Unknown")</f>
        <v>Women Tops</v>
      </c>
      <c r="W356" t="str">
        <f>IFERROR(INDEX(Products!$E:$E,MATCH(D356,Products!$A:$A,0)),"Unknown")</f>
        <v>Indian Terrain</v>
      </c>
      <c r="X356" t="str">
        <f>IFERROR(INDEX(Stores!$B:$B,MATCH(E356,Stores!$A:$A,0)),"Unknown")</f>
        <v>TrendMart Kollam Flagship</v>
      </c>
      <c r="Y356" t="str">
        <f>IFERROR(INDEX(Stores!$E:$E,MATCH(E356,Stores!$A:$A,0)),"Unknown")</f>
        <v>South Zone 1</v>
      </c>
      <c r="Z356" t="str">
        <f>IFERROR(INDEX(Customers!$J:$J,MATCH(C356,Customers!$A:$A,0)),"Unknown")</f>
        <v>Silver</v>
      </c>
      <c r="AA356" t="str">
        <f t="shared" si="5"/>
        <v>2024-11</v>
      </c>
      <c r="AB356" t="str">
        <f>IFERROR(INDEX(Products!$I:$I,MATCH(D356,Products!$A:$A,0)),"Unknown")</f>
        <v>SUP062</v>
      </c>
    </row>
    <row r="357" spans="1:28" x14ac:dyDescent="0.25">
      <c r="A357" t="s">
        <v>1379</v>
      </c>
      <c r="B357" s="20">
        <v>45469</v>
      </c>
      <c r="C357" t="s">
        <v>1380</v>
      </c>
      <c r="D357" t="s">
        <v>261</v>
      </c>
      <c r="E357" t="s">
        <v>1002</v>
      </c>
      <c r="F357" t="s">
        <v>232</v>
      </c>
      <c r="G357">
        <v>2</v>
      </c>
      <c r="H357" s="21">
        <v>1329.24</v>
      </c>
      <c r="I357">
        <v>30</v>
      </c>
      <c r="J357" s="21">
        <v>797.54</v>
      </c>
      <c r="K357">
        <v>12</v>
      </c>
      <c r="L357" s="21">
        <v>223.31</v>
      </c>
      <c r="M357" s="21">
        <v>2084.25</v>
      </c>
      <c r="N357" s="21">
        <v>1689.3</v>
      </c>
      <c r="O357" s="21">
        <v>171.64</v>
      </c>
      <c r="P357" t="s">
        <v>124</v>
      </c>
      <c r="Q357" t="s">
        <v>120</v>
      </c>
      <c r="R357" t="s">
        <v>151</v>
      </c>
      <c r="S357" t="s">
        <v>1381</v>
      </c>
      <c r="T357" t="s">
        <v>153</v>
      </c>
      <c r="U357" t="s">
        <v>154</v>
      </c>
      <c r="V357" t="str">
        <f>IFERROR(INDEX(Products!$C:$C,MATCH(D357,Products!$A:$A,0)),"Unknown")</f>
        <v>Women Kurtis</v>
      </c>
      <c r="W357" t="str">
        <f>IFERROR(INDEX(Products!$E:$E,MATCH(D357,Products!$A:$A,0)),"Unknown")</f>
        <v>Woodland</v>
      </c>
      <c r="X357" t="str">
        <f>IFERROR(INDEX(Stores!$B:$B,MATCH(E357,Stores!$A:$A,0)),"Unknown")</f>
        <v>TrendMart Coimbatore Mall Kiosk</v>
      </c>
      <c r="Y357" t="str">
        <f>IFERROR(INDEX(Stores!$E:$E,MATCH(E357,Stores!$A:$A,0)),"Unknown")</f>
        <v>South Zone 1</v>
      </c>
      <c r="Z357" t="str">
        <f>IFERROR(INDEX(Customers!$J:$J,MATCH(C357,Customers!$A:$A,0)),"Unknown")</f>
        <v>Silver</v>
      </c>
      <c r="AA357" t="str">
        <f t="shared" si="5"/>
        <v>2024-06</v>
      </c>
      <c r="AB357" t="str">
        <f>IFERROR(INDEX(Products!$I:$I,MATCH(D357,Products!$A:$A,0)),"Unknown")</f>
        <v>SUP071</v>
      </c>
    </row>
    <row r="358" spans="1:28" x14ac:dyDescent="0.25">
      <c r="A358" t="s">
        <v>1382</v>
      </c>
      <c r="B358" s="20">
        <v>45529</v>
      </c>
      <c r="C358" t="s">
        <v>1383</v>
      </c>
      <c r="D358" t="s">
        <v>524</v>
      </c>
      <c r="E358" t="s">
        <v>1171</v>
      </c>
      <c r="F358" t="s">
        <v>382</v>
      </c>
      <c r="G358">
        <v>1</v>
      </c>
      <c r="H358" s="21">
        <v>815.61</v>
      </c>
      <c r="I358">
        <v>15</v>
      </c>
      <c r="J358" s="21">
        <v>122.34</v>
      </c>
      <c r="K358">
        <v>5</v>
      </c>
      <c r="L358" s="21">
        <v>34.659999999999997</v>
      </c>
      <c r="M358" s="21">
        <v>727.93</v>
      </c>
      <c r="N358" s="21">
        <v>547.66999999999996</v>
      </c>
      <c r="O358" s="21">
        <v>145.6</v>
      </c>
      <c r="P358" t="s">
        <v>121</v>
      </c>
      <c r="Q358" t="s">
        <v>122</v>
      </c>
      <c r="R358" t="s">
        <v>151</v>
      </c>
      <c r="S358" t="s">
        <v>1384</v>
      </c>
      <c r="T358" t="s">
        <v>161</v>
      </c>
      <c r="U358" t="s">
        <v>154</v>
      </c>
      <c r="V358" t="str">
        <f>IFERROR(INDEX(Products!$C:$C,MATCH(D358,Products!$A:$A,0)),"Unknown")</f>
        <v>Women Tops</v>
      </c>
      <c r="W358" t="str">
        <f>IFERROR(INDEX(Products!$E:$E,MATCH(D358,Products!$A:$A,0)),"Unknown")</f>
        <v>Indian Terrain</v>
      </c>
      <c r="X358" t="str">
        <f>IFERROR(INDEX(Stores!$B:$B,MATCH(E358,Stores!$A:$A,0)),"Unknown")</f>
        <v>TrendMart Chennai Standard</v>
      </c>
      <c r="Y358" t="str">
        <f>IFERROR(INDEX(Stores!$E:$E,MATCH(E358,Stores!$A:$A,0)),"Unknown")</f>
        <v>South Zone 1</v>
      </c>
      <c r="Z358" t="str">
        <f>IFERROR(INDEX(Customers!$J:$J,MATCH(C358,Customers!$A:$A,0)),"Unknown")</f>
        <v>Silver</v>
      </c>
      <c r="AA358" t="str">
        <f t="shared" si="5"/>
        <v>2024-08</v>
      </c>
      <c r="AB358" t="str">
        <f>IFERROR(INDEX(Products!$I:$I,MATCH(D358,Products!$A:$A,0)),"Unknown")</f>
        <v>SUP062</v>
      </c>
    </row>
    <row r="359" spans="1:28" x14ac:dyDescent="0.25">
      <c r="A359" t="s">
        <v>1385</v>
      </c>
      <c r="B359" s="20">
        <v>45644</v>
      </c>
      <c r="C359" t="s">
        <v>1386</v>
      </c>
      <c r="D359" t="s">
        <v>267</v>
      </c>
      <c r="E359" t="s">
        <v>84</v>
      </c>
      <c r="F359" t="s">
        <v>182</v>
      </c>
      <c r="G359">
        <v>4</v>
      </c>
      <c r="H359" s="21">
        <v>721.33</v>
      </c>
      <c r="I359">
        <v>15</v>
      </c>
      <c r="J359" s="21">
        <v>432.8</v>
      </c>
      <c r="K359">
        <v>5</v>
      </c>
      <c r="L359" s="21">
        <v>122.63</v>
      </c>
      <c r="M359" s="21">
        <v>2575.15</v>
      </c>
      <c r="N359" s="21">
        <v>1772.76</v>
      </c>
      <c r="O359" s="21">
        <v>679.76</v>
      </c>
      <c r="P359" t="s">
        <v>124</v>
      </c>
      <c r="Q359" t="s">
        <v>122</v>
      </c>
      <c r="R359" t="s">
        <v>151</v>
      </c>
      <c r="S359" t="s">
        <v>1387</v>
      </c>
      <c r="T359" t="s">
        <v>153</v>
      </c>
      <c r="U359" t="s">
        <v>154</v>
      </c>
      <c r="V359" t="str">
        <f>IFERROR(INDEX(Products!$C:$C,MATCH(D359,Products!$A:$A,0)),"Unknown")</f>
        <v>Accessories</v>
      </c>
      <c r="W359" t="str">
        <f>IFERROR(INDEX(Products!$E:$E,MATCH(D359,Products!$A:$A,0)),"Unknown")</f>
        <v>Allen Solly</v>
      </c>
      <c r="X359" t="str">
        <f>IFERROR(INDEX(Stores!$B:$B,MATCH(E359,Stores!$A:$A,0)),"Unknown")</f>
        <v>TrendMart Tirupati Standard</v>
      </c>
      <c r="Y359" t="str">
        <f>IFERROR(INDEX(Stores!$E:$E,MATCH(E359,Stores!$A:$A,0)),"Unknown")</f>
        <v>South Zone 3</v>
      </c>
      <c r="Z359" t="str">
        <f>IFERROR(INDEX(Customers!$J:$J,MATCH(C359,Customers!$A:$A,0)),"Unknown")</f>
        <v>Platinum</v>
      </c>
      <c r="AA359" t="str">
        <f t="shared" si="5"/>
        <v>2024-12</v>
      </c>
      <c r="AB359" t="str">
        <f>IFERROR(INDEX(Products!$I:$I,MATCH(D359,Products!$A:$A,0)),"Unknown")</f>
        <v>SUP069</v>
      </c>
    </row>
    <row r="360" spans="1:28" x14ac:dyDescent="0.25">
      <c r="A360" t="s">
        <v>1388</v>
      </c>
      <c r="B360" s="20">
        <v>45603</v>
      </c>
      <c r="C360" t="s">
        <v>1389</v>
      </c>
      <c r="D360" t="s">
        <v>1390</v>
      </c>
      <c r="E360" t="s">
        <v>81</v>
      </c>
      <c r="F360" t="s">
        <v>221</v>
      </c>
      <c r="G360">
        <v>4</v>
      </c>
      <c r="H360" s="21">
        <v>6217</v>
      </c>
      <c r="I360">
        <v>10</v>
      </c>
      <c r="J360" s="21">
        <v>2486.8000000000002</v>
      </c>
      <c r="K360">
        <v>12</v>
      </c>
      <c r="L360" s="21">
        <v>2685.74</v>
      </c>
      <c r="M360" s="21">
        <v>25066.94</v>
      </c>
      <c r="N360" s="21">
        <v>15846.48</v>
      </c>
      <c r="O360" s="21">
        <v>6534.72</v>
      </c>
      <c r="P360" t="s">
        <v>121</v>
      </c>
      <c r="Q360" t="s">
        <v>120</v>
      </c>
      <c r="R360" t="s">
        <v>151</v>
      </c>
      <c r="S360" t="s">
        <v>1391</v>
      </c>
      <c r="T360" t="s">
        <v>153</v>
      </c>
      <c r="U360" t="s">
        <v>154</v>
      </c>
      <c r="V360" t="str">
        <f>IFERROR(INDEX(Products!$C:$C,MATCH(D360,Products!$A:$A,0)),"Unknown")</f>
        <v>Watches</v>
      </c>
      <c r="W360" t="str">
        <f>IFERROR(INDEX(Products!$E:$E,MATCH(D360,Products!$A:$A,0)),"Unknown")</f>
        <v>Metro Shoes</v>
      </c>
      <c r="X360" t="str">
        <f>IFERROR(INDEX(Stores!$B:$B,MATCH(E360,Stores!$A:$A,0)),"Unknown")</f>
        <v>TrendMart Vijayawada High Street</v>
      </c>
      <c r="Y360" t="str">
        <f>IFERROR(INDEX(Stores!$E:$E,MATCH(E360,Stores!$A:$A,0)),"Unknown")</f>
        <v>South Zone 3</v>
      </c>
      <c r="Z360" t="str">
        <f>IFERROR(INDEX(Customers!$J:$J,MATCH(C360,Customers!$A:$A,0)),"Unknown")</f>
        <v>Regular</v>
      </c>
      <c r="AA360" t="str">
        <f t="shared" si="5"/>
        <v>2024-11</v>
      </c>
      <c r="AB360" t="str">
        <f>IFERROR(INDEX(Products!$I:$I,MATCH(D360,Products!$A:$A,0)),"Unknown")</f>
        <v>SUP005</v>
      </c>
    </row>
    <row r="361" spans="1:28" x14ac:dyDescent="0.25">
      <c r="A361" t="s">
        <v>1392</v>
      </c>
      <c r="B361" s="20">
        <v>45572</v>
      </c>
      <c r="C361" t="s">
        <v>1393</v>
      </c>
      <c r="D361" t="s">
        <v>1088</v>
      </c>
      <c r="E361" t="s">
        <v>247</v>
      </c>
      <c r="F361" t="s">
        <v>596</v>
      </c>
      <c r="G361">
        <v>1</v>
      </c>
      <c r="H361" s="21">
        <v>859.03</v>
      </c>
      <c r="I361">
        <v>10</v>
      </c>
      <c r="J361" s="21">
        <v>85.9</v>
      </c>
      <c r="K361">
        <v>5</v>
      </c>
      <c r="L361" s="21">
        <v>38.659999999999997</v>
      </c>
      <c r="M361" s="21">
        <v>811.79</v>
      </c>
      <c r="N361" s="21">
        <v>599.28</v>
      </c>
      <c r="O361" s="21">
        <v>173.85</v>
      </c>
      <c r="P361" t="s">
        <v>121</v>
      </c>
      <c r="Q361" t="s">
        <v>122</v>
      </c>
      <c r="R361" t="s">
        <v>151</v>
      </c>
      <c r="S361" t="s">
        <v>655</v>
      </c>
      <c r="T361" t="s">
        <v>153</v>
      </c>
      <c r="U361" t="s">
        <v>154</v>
      </c>
      <c r="V361" t="str">
        <f>IFERROR(INDEX(Products!$C:$C,MATCH(D361,Products!$A:$A,0)),"Unknown")</f>
        <v>Women Kurtis</v>
      </c>
      <c r="W361" t="str">
        <f>IFERROR(INDEX(Products!$E:$E,MATCH(D361,Products!$A:$A,0)),"Unknown")</f>
        <v>Metro Shoes</v>
      </c>
      <c r="X361" t="str">
        <f>IFERROR(INDEX(Stores!$B:$B,MATCH(E361,Stores!$A:$A,0)),"Unknown")</f>
        <v>TrendMart Tirupati Outlet</v>
      </c>
      <c r="Y361" t="str">
        <f>IFERROR(INDEX(Stores!$E:$E,MATCH(E361,Stores!$A:$A,0)),"Unknown")</f>
        <v>South Zone 3</v>
      </c>
      <c r="Z361" t="str">
        <f>IFERROR(INDEX(Customers!$J:$J,MATCH(C361,Customers!$A:$A,0)),"Unknown")</f>
        <v>Platinum</v>
      </c>
      <c r="AA361" t="str">
        <f t="shared" si="5"/>
        <v>2024-10</v>
      </c>
      <c r="AB361" t="str">
        <f>IFERROR(INDEX(Products!$I:$I,MATCH(D361,Products!$A:$A,0)),"Unknown")</f>
        <v>SUP045</v>
      </c>
    </row>
    <row r="362" spans="1:28" x14ac:dyDescent="0.25">
      <c r="A362" t="s">
        <v>1394</v>
      </c>
      <c r="B362" s="20">
        <v>45690</v>
      </c>
      <c r="C362" t="s">
        <v>1395</v>
      </c>
      <c r="D362" t="s">
        <v>599</v>
      </c>
      <c r="E362" t="s">
        <v>82</v>
      </c>
      <c r="F362" t="s">
        <v>596</v>
      </c>
      <c r="G362">
        <v>1</v>
      </c>
      <c r="H362" s="21">
        <v>1065.8699999999999</v>
      </c>
      <c r="I362">
        <v>15</v>
      </c>
      <c r="J362" s="21">
        <v>159.88</v>
      </c>
      <c r="K362">
        <v>12</v>
      </c>
      <c r="L362" s="21">
        <v>108.72</v>
      </c>
      <c r="M362" s="21">
        <v>1014.71</v>
      </c>
      <c r="N362" s="21">
        <v>645.59</v>
      </c>
      <c r="O362" s="21">
        <v>260.39999999999998</v>
      </c>
      <c r="P362" t="s">
        <v>125</v>
      </c>
      <c r="Q362" t="s">
        <v>122</v>
      </c>
      <c r="R362" t="s">
        <v>151</v>
      </c>
      <c r="S362" t="s">
        <v>1396</v>
      </c>
      <c r="T362" t="s">
        <v>161</v>
      </c>
      <c r="U362" t="s">
        <v>154</v>
      </c>
      <c r="V362" t="str">
        <f>IFERROR(INDEX(Products!$C:$C,MATCH(D362,Products!$A:$A,0)),"Unknown")</f>
        <v>Men Shirts</v>
      </c>
      <c r="W362" t="str">
        <f>IFERROR(INDEX(Products!$E:$E,MATCH(D362,Products!$A:$A,0)),"Unknown")</f>
        <v>Van Heusen</v>
      </c>
      <c r="X362" t="str">
        <f>IFERROR(INDEX(Stores!$B:$B,MATCH(E362,Stores!$A:$A,0)),"Unknown")</f>
        <v>TrendMart Kochi High Street</v>
      </c>
      <c r="Y362" t="str">
        <f>IFERROR(INDEX(Stores!$E:$E,MATCH(E362,Stores!$A:$A,0)),"Unknown")</f>
        <v>South Zone 1</v>
      </c>
      <c r="Z362" t="str">
        <f>IFERROR(INDEX(Customers!$J:$J,MATCH(C362,Customers!$A:$A,0)),"Unknown")</f>
        <v>Gold</v>
      </c>
      <c r="AA362" t="str">
        <f t="shared" si="5"/>
        <v>2025-02</v>
      </c>
      <c r="AB362" t="str">
        <f>IFERROR(INDEX(Products!$I:$I,MATCH(D362,Products!$A:$A,0)),"Unknown")</f>
        <v>SUP084</v>
      </c>
    </row>
    <row r="363" spans="1:28" x14ac:dyDescent="0.25">
      <c r="A363" t="s">
        <v>1397</v>
      </c>
      <c r="B363" s="20">
        <v>45602</v>
      </c>
      <c r="C363" t="s">
        <v>1398</v>
      </c>
      <c r="D363" t="s">
        <v>376</v>
      </c>
      <c r="E363" t="s">
        <v>416</v>
      </c>
      <c r="F363" t="s">
        <v>263</v>
      </c>
      <c r="G363">
        <v>2</v>
      </c>
      <c r="H363" s="21">
        <v>1382.13</v>
      </c>
      <c r="I363">
        <v>0</v>
      </c>
      <c r="J363" s="21">
        <v>0</v>
      </c>
      <c r="K363">
        <v>12</v>
      </c>
      <c r="L363" s="21">
        <v>331.71</v>
      </c>
      <c r="M363" s="21">
        <v>3095.97</v>
      </c>
      <c r="N363" s="21">
        <v>2050.48</v>
      </c>
      <c r="O363" s="21">
        <v>713.78</v>
      </c>
      <c r="P363" t="s">
        <v>121</v>
      </c>
      <c r="Q363" t="s">
        <v>120</v>
      </c>
      <c r="R363" t="s">
        <v>151</v>
      </c>
      <c r="S363" t="s">
        <v>533</v>
      </c>
      <c r="T363" t="s">
        <v>153</v>
      </c>
      <c r="U363" t="s">
        <v>154</v>
      </c>
      <c r="V363" t="str">
        <f>IFERROR(INDEX(Products!$C:$C,MATCH(D363,Products!$A:$A,0)),"Unknown")</f>
        <v>Women Jeans</v>
      </c>
      <c r="W363" t="str">
        <f>IFERROR(INDEX(Products!$E:$E,MATCH(D363,Products!$A:$A,0)),"Unknown")</f>
        <v>Pothys</v>
      </c>
      <c r="X363" t="str">
        <f>IFERROR(INDEX(Stores!$B:$B,MATCH(E363,Stores!$A:$A,0)),"Unknown")</f>
        <v>TrendMart Dindigul Standard</v>
      </c>
      <c r="Y363" t="str">
        <f>IFERROR(INDEX(Stores!$E:$E,MATCH(E363,Stores!$A:$A,0)),"Unknown")</f>
        <v>South Zone 1</v>
      </c>
      <c r="Z363" t="str">
        <f>IFERROR(INDEX(Customers!$J:$J,MATCH(C363,Customers!$A:$A,0)),"Unknown")</f>
        <v>Silver</v>
      </c>
      <c r="AA363" t="str">
        <f t="shared" si="5"/>
        <v>2024-11</v>
      </c>
      <c r="AB363" t="str">
        <f>IFERROR(INDEX(Products!$I:$I,MATCH(D363,Products!$A:$A,0)),"Unknown")</f>
        <v>SUP015</v>
      </c>
    </row>
    <row r="364" spans="1:28" x14ac:dyDescent="0.25">
      <c r="A364" t="s">
        <v>1399</v>
      </c>
      <c r="B364" s="20">
        <v>45663</v>
      </c>
      <c r="C364" t="s">
        <v>1400</v>
      </c>
      <c r="D364" t="s">
        <v>466</v>
      </c>
      <c r="E364" t="s">
        <v>98</v>
      </c>
      <c r="F364" t="s">
        <v>443</v>
      </c>
      <c r="G364">
        <v>2</v>
      </c>
      <c r="H364" s="21">
        <v>768.22</v>
      </c>
      <c r="I364">
        <v>0</v>
      </c>
      <c r="J364" s="21">
        <v>0</v>
      </c>
      <c r="K364">
        <v>5</v>
      </c>
      <c r="L364" s="21">
        <v>76.819999999999993</v>
      </c>
      <c r="M364" s="21">
        <v>1613.26</v>
      </c>
      <c r="N364" s="21">
        <v>1142.18</v>
      </c>
      <c r="O364" s="21">
        <v>394.26</v>
      </c>
      <c r="P364" t="s">
        <v>121</v>
      </c>
      <c r="Q364" t="s">
        <v>120</v>
      </c>
      <c r="R364" t="s">
        <v>151</v>
      </c>
      <c r="S364" t="s">
        <v>1401</v>
      </c>
      <c r="T364" t="s">
        <v>153</v>
      </c>
      <c r="U364" t="s">
        <v>154</v>
      </c>
      <c r="V364" t="str">
        <f>IFERROR(INDEX(Products!$C:$C,MATCH(D364,Products!$A:$A,0)),"Unknown")</f>
        <v>Women Kurtis</v>
      </c>
      <c r="W364" t="str">
        <f>IFERROR(INDEX(Products!$E:$E,MATCH(D364,Products!$A:$A,0)),"Unknown")</f>
        <v>Fabindia</v>
      </c>
      <c r="X364" t="str">
        <f>IFERROR(INDEX(Stores!$B:$B,MATCH(E364,Stores!$A:$A,0)),"Unknown")</f>
        <v>TrendMart Bengaluru Flagship</v>
      </c>
      <c r="Y364" t="str">
        <f>IFERROR(INDEX(Stores!$E:$E,MATCH(E364,Stores!$A:$A,0)),"Unknown")</f>
        <v>South Zone 2</v>
      </c>
      <c r="Z364" t="str">
        <f>IFERROR(INDEX(Customers!$J:$J,MATCH(C364,Customers!$A:$A,0)),"Unknown")</f>
        <v>Regular</v>
      </c>
      <c r="AA364" t="str">
        <f t="shared" si="5"/>
        <v>2025-01</v>
      </c>
      <c r="AB364" t="str">
        <f>IFERROR(INDEX(Products!$I:$I,MATCH(D364,Products!$A:$A,0)),"Unknown")</f>
        <v>SUP017</v>
      </c>
    </row>
    <row r="365" spans="1:28" x14ac:dyDescent="0.25">
      <c r="A365" t="s">
        <v>1402</v>
      </c>
      <c r="B365" s="20">
        <v>45609</v>
      </c>
      <c r="C365" t="s">
        <v>1403</v>
      </c>
      <c r="D365" t="s">
        <v>1088</v>
      </c>
      <c r="E365" t="s">
        <v>456</v>
      </c>
      <c r="F365" t="s">
        <v>195</v>
      </c>
      <c r="G365">
        <v>1</v>
      </c>
      <c r="H365" s="21">
        <v>842.07</v>
      </c>
      <c r="I365">
        <v>15</v>
      </c>
      <c r="J365" s="21">
        <v>126.31</v>
      </c>
      <c r="K365">
        <v>5</v>
      </c>
      <c r="L365" s="21">
        <v>35.79</v>
      </c>
      <c r="M365" s="21">
        <v>751.55</v>
      </c>
      <c r="N365" s="21">
        <v>599.28</v>
      </c>
      <c r="O365" s="21">
        <v>116.48</v>
      </c>
      <c r="P365" t="s">
        <v>123</v>
      </c>
      <c r="Q365" t="s">
        <v>120</v>
      </c>
      <c r="R365" t="s">
        <v>151</v>
      </c>
      <c r="S365" t="s">
        <v>1404</v>
      </c>
      <c r="T365" t="s">
        <v>153</v>
      </c>
      <c r="U365" t="s">
        <v>154</v>
      </c>
      <c r="V365" t="str">
        <f>IFERROR(INDEX(Products!$C:$C,MATCH(D365,Products!$A:$A,0)),"Unknown")</f>
        <v>Women Kurtis</v>
      </c>
      <c r="W365" t="str">
        <f>IFERROR(INDEX(Products!$E:$E,MATCH(D365,Products!$A:$A,0)),"Unknown")</f>
        <v>Metro Shoes</v>
      </c>
      <c r="X365" t="str">
        <f>IFERROR(INDEX(Stores!$B:$B,MATCH(E365,Stores!$A:$A,0)),"Unknown")</f>
        <v>TrendMart Salem Outlet</v>
      </c>
      <c r="Y365" t="str">
        <f>IFERROR(INDEX(Stores!$E:$E,MATCH(E365,Stores!$A:$A,0)),"Unknown")</f>
        <v>South Zone 1</v>
      </c>
      <c r="Z365" t="str">
        <f>IFERROR(INDEX(Customers!$J:$J,MATCH(C365,Customers!$A:$A,0)),"Unknown")</f>
        <v>Platinum</v>
      </c>
      <c r="AA365" t="str">
        <f t="shared" si="5"/>
        <v>2024-11</v>
      </c>
      <c r="AB365" t="str">
        <f>IFERROR(INDEX(Products!$I:$I,MATCH(D365,Products!$A:$A,0)),"Unknown")</f>
        <v>SUP045</v>
      </c>
    </row>
    <row r="366" spans="1:28" x14ac:dyDescent="0.25">
      <c r="A366" t="s">
        <v>1405</v>
      </c>
      <c r="B366" s="20">
        <v>45400</v>
      </c>
      <c r="C366" t="s">
        <v>1406</v>
      </c>
      <c r="D366" t="s">
        <v>1407</v>
      </c>
      <c r="E366" t="s">
        <v>701</v>
      </c>
      <c r="F366" t="s">
        <v>596</v>
      </c>
      <c r="G366">
        <v>1</v>
      </c>
      <c r="H366" s="21">
        <v>1118.69</v>
      </c>
      <c r="I366">
        <v>0</v>
      </c>
      <c r="J366" s="21">
        <v>0</v>
      </c>
      <c r="K366">
        <v>12</v>
      </c>
      <c r="L366" s="21">
        <v>134.24</v>
      </c>
      <c r="M366" s="21">
        <v>1252.93</v>
      </c>
      <c r="N366" s="21">
        <v>765.23</v>
      </c>
      <c r="O366" s="21">
        <v>353.46</v>
      </c>
      <c r="P366" t="s">
        <v>121</v>
      </c>
      <c r="Q366" t="s">
        <v>120</v>
      </c>
      <c r="R366" t="s">
        <v>151</v>
      </c>
      <c r="S366" t="s">
        <v>1408</v>
      </c>
      <c r="T366" t="s">
        <v>153</v>
      </c>
      <c r="U366" t="s">
        <v>154</v>
      </c>
      <c r="V366" t="str">
        <f>IFERROR(INDEX(Products!$C:$C,MATCH(D366,Products!$A:$A,0)),"Unknown")</f>
        <v>Belts</v>
      </c>
      <c r="W366" t="str">
        <f>IFERROR(INDEX(Products!$E:$E,MATCH(D366,Products!$A:$A,0)),"Unknown")</f>
        <v>Pantaloons</v>
      </c>
      <c r="X366" t="str">
        <f>IFERROR(INDEX(Stores!$B:$B,MATCH(E366,Stores!$A:$A,0)),"Unknown")</f>
        <v>TrendMart Vijayawada Mall Kiosk</v>
      </c>
      <c r="Y366" t="str">
        <f>IFERROR(INDEX(Stores!$E:$E,MATCH(E366,Stores!$A:$A,0)),"Unknown")</f>
        <v>South Zone 3</v>
      </c>
      <c r="Z366" t="str">
        <f>IFERROR(INDEX(Customers!$J:$J,MATCH(C366,Customers!$A:$A,0)),"Unknown")</f>
        <v>Silver</v>
      </c>
      <c r="AA366" t="str">
        <f t="shared" si="5"/>
        <v>2024-04</v>
      </c>
      <c r="AB366" t="str">
        <f>IFERROR(INDEX(Products!$I:$I,MATCH(D366,Products!$A:$A,0)),"Unknown")</f>
        <v>SUP030</v>
      </c>
    </row>
    <row r="367" spans="1:28" x14ac:dyDescent="0.25">
      <c r="A367" t="s">
        <v>1409</v>
      </c>
      <c r="B367" s="20">
        <v>45586</v>
      </c>
      <c r="C367" t="s">
        <v>1410</v>
      </c>
      <c r="D367" t="s">
        <v>685</v>
      </c>
      <c r="E367" t="s">
        <v>442</v>
      </c>
      <c r="F367" t="s">
        <v>201</v>
      </c>
      <c r="G367">
        <v>2</v>
      </c>
      <c r="H367" s="21">
        <v>919.75</v>
      </c>
      <c r="I367">
        <v>0</v>
      </c>
      <c r="J367" s="21">
        <v>0</v>
      </c>
      <c r="K367">
        <v>5</v>
      </c>
      <c r="L367" s="21">
        <v>91.97</v>
      </c>
      <c r="M367" s="21">
        <v>1931.47</v>
      </c>
      <c r="N367" s="21">
        <v>1252.52</v>
      </c>
      <c r="O367" s="21">
        <v>586.98</v>
      </c>
      <c r="P367" t="s">
        <v>121</v>
      </c>
      <c r="Q367" t="s">
        <v>120</v>
      </c>
      <c r="R367" t="s">
        <v>151</v>
      </c>
      <c r="S367" t="s">
        <v>1411</v>
      </c>
      <c r="T367" t="s">
        <v>153</v>
      </c>
      <c r="U367" t="s">
        <v>154</v>
      </c>
      <c r="V367" t="str">
        <f>IFERROR(INDEX(Products!$C:$C,MATCH(D367,Products!$A:$A,0)),"Unknown")</f>
        <v>Sportswear</v>
      </c>
      <c r="W367" t="str">
        <f>IFERROR(INDEX(Products!$E:$E,MATCH(D367,Products!$A:$A,0)),"Unknown")</f>
        <v>Being Human</v>
      </c>
      <c r="X367" t="str">
        <f>IFERROR(INDEX(Stores!$B:$B,MATCH(E367,Stores!$A:$A,0)),"Unknown")</f>
        <v>TrendMart Bengaluru Standard</v>
      </c>
      <c r="Y367" t="str">
        <f>IFERROR(INDEX(Stores!$E:$E,MATCH(E367,Stores!$A:$A,0)),"Unknown")</f>
        <v>South Zone 2</v>
      </c>
      <c r="Z367" t="str">
        <f>IFERROR(INDEX(Customers!$J:$J,MATCH(C367,Customers!$A:$A,0)),"Unknown")</f>
        <v>Gold</v>
      </c>
      <c r="AA367" t="str">
        <f t="shared" si="5"/>
        <v>2024-10</v>
      </c>
      <c r="AB367" t="str">
        <f>IFERROR(INDEX(Products!$I:$I,MATCH(D367,Products!$A:$A,0)),"Unknown")</f>
        <v>SUP066</v>
      </c>
    </row>
    <row r="368" spans="1:28" x14ac:dyDescent="0.25">
      <c r="A368" t="s">
        <v>1412</v>
      </c>
      <c r="B368" s="20">
        <v>45410</v>
      </c>
      <c r="C368" t="s">
        <v>1413</v>
      </c>
      <c r="D368" t="s">
        <v>1156</v>
      </c>
      <c r="E368" t="s">
        <v>1108</v>
      </c>
      <c r="F368" t="s">
        <v>189</v>
      </c>
      <c r="G368">
        <v>2</v>
      </c>
      <c r="H368" s="21">
        <v>723.48</v>
      </c>
      <c r="I368">
        <v>0</v>
      </c>
      <c r="J368" s="21">
        <v>0</v>
      </c>
      <c r="K368">
        <v>5</v>
      </c>
      <c r="L368" s="21">
        <v>72.349999999999994</v>
      </c>
      <c r="M368" s="21">
        <v>1519.31</v>
      </c>
      <c r="N368" s="21">
        <v>1018.88</v>
      </c>
      <c r="O368" s="21">
        <v>428.08</v>
      </c>
      <c r="P368" t="s">
        <v>121</v>
      </c>
      <c r="Q368" t="s">
        <v>120</v>
      </c>
      <c r="R368" t="s">
        <v>151</v>
      </c>
      <c r="S368" t="s">
        <v>614</v>
      </c>
      <c r="T368" t="s">
        <v>161</v>
      </c>
      <c r="U368" t="s">
        <v>154</v>
      </c>
      <c r="V368" t="str">
        <f>IFERROR(INDEX(Products!$C:$C,MATCH(D368,Products!$A:$A,0)),"Unknown")</f>
        <v>Kids Wear</v>
      </c>
      <c r="W368" t="str">
        <f>IFERROR(INDEX(Products!$E:$E,MATCH(D368,Products!$A:$A,0)),"Unknown")</f>
        <v>Allen Solly</v>
      </c>
      <c r="X368" t="str">
        <f>IFERROR(INDEX(Stores!$B:$B,MATCH(E368,Stores!$A:$A,0)),"Unknown")</f>
        <v>TrendMart Karimnagar Standard</v>
      </c>
      <c r="Y368" t="str">
        <f>IFERROR(INDEX(Stores!$E:$E,MATCH(E368,Stores!$A:$A,0)),"Unknown")</f>
        <v>South Zone 2</v>
      </c>
      <c r="Z368" t="str">
        <f>IFERROR(INDEX(Customers!$J:$J,MATCH(C368,Customers!$A:$A,0)),"Unknown")</f>
        <v>Gold</v>
      </c>
      <c r="AA368" t="str">
        <f t="shared" si="5"/>
        <v>2024-04</v>
      </c>
      <c r="AB368" t="str">
        <f>IFERROR(INDEX(Products!$I:$I,MATCH(D368,Products!$A:$A,0)),"Unknown")</f>
        <v>SUP026</v>
      </c>
    </row>
    <row r="369" spans="1:28" x14ac:dyDescent="0.25">
      <c r="A369" t="s">
        <v>1414</v>
      </c>
      <c r="B369" s="20">
        <v>45534</v>
      </c>
      <c r="C369" t="s">
        <v>739</v>
      </c>
      <c r="D369" t="s">
        <v>1415</v>
      </c>
      <c r="E369" t="s">
        <v>85</v>
      </c>
      <c r="F369" t="s">
        <v>232</v>
      </c>
      <c r="G369">
        <v>3</v>
      </c>
      <c r="H369" s="21">
        <v>1666.89</v>
      </c>
      <c r="I369">
        <v>0</v>
      </c>
      <c r="J369" s="21">
        <v>0</v>
      </c>
      <c r="K369">
        <v>12</v>
      </c>
      <c r="L369" s="21">
        <v>600.08000000000004</v>
      </c>
      <c r="M369" s="21">
        <v>5600.75</v>
      </c>
      <c r="N369" s="21">
        <v>3419.43</v>
      </c>
      <c r="O369" s="21">
        <v>1581.24</v>
      </c>
      <c r="P369" t="s">
        <v>124</v>
      </c>
      <c r="Q369" t="s">
        <v>122</v>
      </c>
      <c r="R369" t="s">
        <v>151</v>
      </c>
      <c r="S369" t="s">
        <v>1416</v>
      </c>
      <c r="T369" t="s">
        <v>153</v>
      </c>
      <c r="U369" t="s">
        <v>154</v>
      </c>
      <c r="V369" t="str">
        <f>IFERROR(INDEX(Products!$C:$C,MATCH(D369,Products!$A:$A,0)),"Unknown")</f>
        <v>Unknown</v>
      </c>
      <c r="W369" t="str">
        <f>IFERROR(INDEX(Products!$E:$E,MATCH(D369,Products!$A:$A,0)),"Unknown")</f>
        <v>Unknown</v>
      </c>
      <c r="X369" t="str">
        <f>IFERROR(INDEX(Stores!$B:$B,MATCH(E369,Stores!$A:$A,0)),"Unknown")</f>
        <v>TrendMart Kalaburagi Mall Kiosk</v>
      </c>
      <c r="Y369" t="str">
        <f>IFERROR(INDEX(Stores!$E:$E,MATCH(E369,Stores!$A:$A,0)),"Unknown")</f>
        <v>South Zone 2</v>
      </c>
      <c r="Z369" t="str">
        <f>IFERROR(INDEX(Customers!$J:$J,MATCH(C369,Customers!$A:$A,0)),"Unknown")</f>
        <v>Silver</v>
      </c>
      <c r="AA369" t="str">
        <f t="shared" si="5"/>
        <v>2024-08</v>
      </c>
      <c r="AB369" t="str">
        <f>IFERROR(INDEX(Products!$I:$I,MATCH(D369,Products!$A:$A,0)),"Unknown")</f>
        <v>Unknown</v>
      </c>
    </row>
    <row r="370" spans="1:28" x14ac:dyDescent="0.25">
      <c r="A370" t="s">
        <v>1417</v>
      </c>
      <c r="B370" s="20">
        <v>45556</v>
      </c>
      <c r="C370" t="s">
        <v>1418</v>
      </c>
      <c r="D370" t="s">
        <v>236</v>
      </c>
      <c r="E370" t="s">
        <v>607</v>
      </c>
      <c r="F370" t="s">
        <v>292</v>
      </c>
      <c r="G370">
        <v>2</v>
      </c>
      <c r="H370" s="21">
        <v>843.31</v>
      </c>
      <c r="I370">
        <v>25</v>
      </c>
      <c r="J370" s="21">
        <v>421.65</v>
      </c>
      <c r="K370">
        <v>5</v>
      </c>
      <c r="L370" s="21">
        <v>63.25</v>
      </c>
      <c r="M370" s="21">
        <v>1328.22</v>
      </c>
      <c r="N370" s="21">
        <v>1100.02</v>
      </c>
      <c r="O370" s="21">
        <v>164.95</v>
      </c>
      <c r="P370" t="s">
        <v>124</v>
      </c>
      <c r="Q370" t="s">
        <v>120</v>
      </c>
      <c r="R370" t="s">
        <v>151</v>
      </c>
      <c r="S370" t="s">
        <v>1329</v>
      </c>
      <c r="T370" t="s">
        <v>161</v>
      </c>
      <c r="U370" t="s">
        <v>154</v>
      </c>
      <c r="V370" t="str">
        <f>IFERROR(INDEX(Products!$C:$C,MATCH(D370,Products!$A:$A,0)),"Unknown")</f>
        <v>Women Tops</v>
      </c>
      <c r="W370" t="str">
        <f>IFERROR(INDEX(Products!$E:$E,MATCH(D370,Products!$A:$A,0)),"Unknown")</f>
        <v>Nike</v>
      </c>
      <c r="X370" t="str">
        <f>IFERROR(INDEX(Stores!$B:$B,MATCH(E370,Stores!$A:$A,0)),"Unknown")</f>
        <v>TrendMart Thiruvananthapuram Standard</v>
      </c>
      <c r="Y370" t="str">
        <f>IFERROR(INDEX(Stores!$E:$E,MATCH(E370,Stores!$A:$A,0)),"Unknown")</f>
        <v>South Zone 1</v>
      </c>
      <c r="Z370" t="str">
        <f>IFERROR(INDEX(Customers!$J:$J,MATCH(C370,Customers!$A:$A,0)),"Unknown")</f>
        <v>Regular</v>
      </c>
      <c r="AA370" t="str">
        <f t="shared" si="5"/>
        <v>2024-09</v>
      </c>
      <c r="AB370" t="str">
        <f>IFERROR(INDEX(Products!$I:$I,MATCH(D370,Products!$A:$A,0)),"Unknown")</f>
        <v>SUP075</v>
      </c>
    </row>
    <row r="371" spans="1:28" x14ac:dyDescent="0.25">
      <c r="A371" t="s">
        <v>1419</v>
      </c>
      <c r="B371" s="20">
        <v>45707</v>
      </c>
      <c r="C371" t="s">
        <v>1420</v>
      </c>
      <c r="D371" t="s">
        <v>1421</v>
      </c>
      <c r="E371" t="s">
        <v>226</v>
      </c>
      <c r="F371" t="s">
        <v>263</v>
      </c>
      <c r="G371">
        <v>3</v>
      </c>
      <c r="H371" s="21">
        <v>1168.01</v>
      </c>
      <c r="I371">
        <v>30</v>
      </c>
      <c r="J371" s="21">
        <v>1051.21</v>
      </c>
      <c r="K371">
        <v>12</v>
      </c>
      <c r="L371" s="21">
        <v>294.33999999999997</v>
      </c>
      <c r="M371" s="21">
        <v>2747.16</v>
      </c>
      <c r="N371" s="21">
        <v>2451.9899999999998</v>
      </c>
      <c r="O371" s="21">
        <v>0.83</v>
      </c>
      <c r="P371" t="s">
        <v>124</v>
      </c>
      <c r="Q371" t="s">
        <v>120</v>
      </c>
      <c r="R371" t="s">
        <v>151</v>
      </c>
      <c r="S371" t="s">
        <v>1422</v>
      </c>
      <c r="T371" t="s">
        <v>153</v>
      </c>
      <c r="U371" t="s">
        <v>154</v>
      </c>
      <c r="V371" t="str">
        <f>IFERROR(INDEX(Products!$C:$C,MATCH(D371,Products!$A:$A,0)),"Unknown")</f>
        <v>Men Jeans</v>
      </c>
      <c r="W371" t="str">
        <f>IFERROR(INDEX(Products!$E:$E,MATCH(D371,Products!$A:$A,0)),"Unknown")</f>
        <v>Flying Machine</v>
      </c>
      <c r="X371" t="str">
        <f>IFERROR(INDEX(Stores!$B:$B,MATCH(E371,Stores!$A:$A,0)),"Unknown")</f>
        <v>TrendMart Kurnool Standard</v>
      </c>
      <c r="Y371" t="str">
        <f>IFERROR(INDEX(Stores!$E:$E,MATCH(E371,Stores!$A:$A,0)),"Unknown")</f>
        <v>South Zone 3</v>
      </c>
      <c r="Z371" t="str">
        <f>IFERROR(INDEX(Customers!$J:$J,MATCH(C371,Customers!$A:$A,0)),"Unknown")</f>
        <v>Regular</v>
      </c>
      <c r="AA371" t="str">
        <f t="shared" si="5"/>
        <v>2025-02</v>
      </c>
      <c r="AB371" t="str">
        <f>IFERROR(INDEX(Products!$I:$I,MATCH(D371,Products!$A:$A,0)),"Unknown")</f>
        <v>SUP043</v>
      </c>
    </row>
    <row r="372" spans="1:28" x14ac:dyDescent="0.25">
      <c r="A372" t="s">
        <v>1423</v>
      </c>
      <c r="B372" s="20">
        <v>45430</v>
      </c>
      <c r="C372" t="s">
        <v>1046</v>
      </c>
      <c r="D372" t="s">
        <v>312</v>
      </c>
      <c r="E372" t="s">
        <v>1002</v>
      </c>
      <c r="F372" t="s">
        <v>579</v>
      </c>
      <c r="G372">
        <v>1</v>
      </c>
      <c r="H372" s="21">
        <v>1218.48</v>
      </c>
      <c r="I372">
        <v>25</v>
      </c>
      <c r="J372" s="21">
        <v>304.62</v>
      </c>
      <c r="K372">
        <v>12</v>
      </c>
      <c r="L372" s="21">
        <v>109.66</v>
      </c>
      <c r="M372" s="21">
        <v>1023.52</v>
      </c>
      <c r="N372" s="21">
        <v>865.92</v>
      </c>
      <c r="O372" s="21">
        <v>47.94</v>
      </c>
      <c r="P372" t="s">
        <v>121</v>
      </c>
      <c r="Q372" t="s">
        <v>120</v>
      </c>
      <c r="R372" t="s">
        <v>151</v>
      </c>
      <c r="S372" t="s">
        <v>1424</v>
      </c>
      <c r="T372" t="s">
        <v>161</v>
      </c>
      <c r="U372" t="s">
        <v>154</v>
      </c>
      <c r="V372" t="str">
        <f>IFERROR(INDEX(Products!$C:$C,MATCH(D372,Products!$A:$A,0)),"Unknown")</f>
        <v>Handbags</v>
      </c>
      <c r="W372" t="str">
        <f>IFERROR(INDEX(Products!$E:$E,MATCH(D372,Products!$A:$A,0)),"Unknown")</f>
        <v>Wrangler</v>
      </c>
      <c r="X372" t="str">
        <f>IFERROR(INDEX(Stores!$B:$B,MATCH(E372,Stores!$A:$A,0)),"Unknown")</f>
        <v>TrendMart Coimbatore Mall Kiosk</v>
      </c>
      <c r="Y372" t="str">
        <f>IFERROR(INDEX(Stores!$E:$E,MATCH(E372,Stores!$A:$A,0)),"Unknown")</f>
        <v>South Zone 1</v>
      </c>
      <c r="Z372" t="str">
        <f>IFERROR(INDEX(Customers!$J:$J,MATCH(C372,Customers!$A:$A,0)),"Unknown")</f>
        <v>Silver</v>
      </c>
      <c r="AA372" t="str">
        <f t="shared" si="5"/>
        <v>2024-05</v>
      </c>
      <c r="AB372" t="str">
        <f>IFERROR(INDEX(Products!$I:$I,MATCH(D372,Products!$A:$A,0)),"Unknown")</f>
        <v>SUP008</v>
      </c>
    </row>
    <row r="373" spans="1:28" x14ac:dyDescent="0.25">
      <c r="A373" t="s">
        <v>1425</v>
      </c>
      <c r="B373" s="20">
        <v>45651</v>
      </c>
      <c r="C373" t="s">
        <v>432</v>
      </c>
      <c r="D373" t="s">
        <v>261</v>
      </c>
      <c r="E373" t="s">
        <v>1426</v>
      </c>
      <c r="F373" t="s">
        <v>182</v>
      </c>
      <c r="G373">
        <v>2</v>
      </c>
      <c r="H373" s="21">
        <v>1254.01</v>
      </c>
      <c r="I373">
        <v>25</v>
      </c>
      <c r="J373" s="21">
        <v>627</v>
      </c>
      <c r="K373">
        <v>12</v>
      </c>
      <c r="L373" s="21">
        <v>225.72</v>
      </c>
      <c r="M373" s="21">
        <v>2106.7399999999998</v>
      </c>
      <c r="N373" s="21">
        <v>1689.3</v>
      </c>
      <c r="O373" s="21">
        <v>191.72</v>
      </c>
      <c r="P373" t="s">
        <v>125</v>
      </c>
      <c r="Q373" t="s">
        <v>120</v>
      </c>
      <c r="R373" t="s">
        <v>151</v>
      </c>
      <c r="S373" t="s">
        <v>1050</v>
      </c>
      <c r="T373" t="s">
        <v>153</v>
      </c>
      <c r="U373" t="s">
        <v>154</v>
      </c>
      <c r="V373" t="str">
        <f>IFERROR(INDEX(Products!$C:$C,MATCH(D373,Products!$A:$A,0)),"Unknown")</f>
        <v>Women Kurtis</v>
      </c>
      <c r="W373" t="str">
        <f>IFERROR(INDEX(Products!$E:$E,MATCH(D373,Products!$A:$A,0)),"Unknown")</f>
        <v>Woodland</v>
      </c>
      <c r="X373" t="str">
        <f>IFERROR(INDEX(Stores!$B:$B,MATCH(E373,Stores!$A:$A,0)),"Unknown")</f>
        <v>TrendMart Alappuzha Mall Kiosk</v>
      </c>
      <c r="Y373" t="str">
        <f>IFERROR(INDEX(Stores!$E:$E,MATCH(E373,Stores!$A:$A,0)),"Unknown")</f>
        <v>South Zone 1</v>
      </c>
      <c r="Z373" t="str">
        <f>IFERROR(INDEX(Customers!$J:$J,MATCH(C373,Customers!$A:$A,0)),"Unknown")</f>
        <v>Regular</v>
      </c>
      <c r="AA373" t="str">
        <f t="shared" si="5"/>
        <v>2024-12</v>
      </c>
      <c r="AB373" t="str">
        <f>IFERROR(INDEX(Products!$I:$I,MATCH(D373,Products!$A:$A,0)),"Unknown")</f>
        <v>SUP071</v>
      </c>
    </row>
    <row r="374" spans="1:28" x14ac:dyDescent="0.25">
      <c r="A374" t="s">
        <v>1427</v>
      </c>
      <c r="B374" s="20">
        <v>45513</v>
      </c>
      <c r="C374" t="s">
        <v>1428</v>
      </c>
      <c r="D374" t="s">
        <v>792</v>
      </c>
      <c r="E374" t="s">
        <v>1002</v>
      </c>
      <c r="F374" t="s">
        <v>176</v>
      </c>
      <c r="G374">
        <v>3</v>
      </c>
      <c r="H374" s="21">
        <v>1153.22</v>
      </c>
      <c r="I374">
        <v>20</v>
      </c>
      <c r="J374" s="21">
        <v>691.93</v>
      </c>
      <c r="K374">
        <v>12</v>
      </c>
      <c r="L374" s="21">
        <v>332.13</v>
      </c>
      <c r="M374" s="21">
        <v>3099.86</v>
      </c>
      <c r="N374" s="21">
        <v>2212.0500000000002</v>
      </c>
      <c r="O374" s="21">
        <v>555.67999999999995</v>
      </c>
      <c r="P374" t="s">
        <v>123</v>
      </c>
      <c r="Q374" t="s">
        <v>122</v>
      </c>
      <c r="R374" t="s">
        <v>151</v>
      </c>
      <c r="S374" t="s">
        <v>849</v>
      </c>
      <c r="T374" t="s">
        <v>153</v>
      </c>
      <c r="U374" t="s">
        <v>154</v>
      </c>
      <c r="V374" t="str">
        <f>IFERROR(INDEX(Products!$C:$C,MATCH(D374,Products!$A:$A,0)),"Unknown")</f>
        <v>Belts</v>
      </c>
      <c r="W374" t="str">
        <f>IFERROR(INDEX(Products!$E:$E,MATCH(D374,Products!$A:$A,0)),"Unknown")</f>
        <v>Wrangler</v>
      </c>
      <c r="X374" t="str">
        <f>IFERROR(INDEX(Stores!$B:$B,MATCH(E374,Stores!$A:$A,0)),"Unknown")</f>
        <v>TrendMart Coimbatore Mall Kiosk</v>
      </c>
      <c r="Y374" t="str">
        <f>IFERROR(INDEX(Stores!$E:$E,MATCH(E374,Stores!$A:$A,0)),"Unknown")</f>
        <v>South Zone 1</v>
      </c>
      <c r="Z374" t="str">
        <f>IFERROR(INDEX(Customers!$J:$J,MATCH(C374,Customers!$A:$A,0)),"Unknown")</f>
        <v>Gold</v>
      </c>
      <c r="AA374" t="str">
        <f t="shared" si="5"/>
        <v>2024-08</v>
      </c>
      <c r="AB374" t="str">
        <f>IFERROR(INDEX(Products!$I:$I,MATCH(D374,Products!$A:$A,0)),"Unknown")</f>
        <v>SUP004</v>
      </c>
    </row>
    <row r="375" spans="1:28" x14ac:dyDescent="0.25">
      <c r="A375" t="s">
        <v>1429</v>
      </c>
      <c r="B375" s="20">
        <v>45590</v>
      </c>
      <c r="C375" t="s">
        <v>1430</v>
      </c>
      <c r="D375" t="s">
        <v>1431</v>
      </c>
      <c r="E375" t="s">
        <v>1426</v>
      </c>
      <c r="F375" t="s">
        <v>532</v>
      </c>
      <c r="G375">
        <v>1</v>
      </c>
      <c r="H375" s="21">
        <v>1328.56</v>
      </c>
      <c r="I375">
        <v>0</v>
      </c>
      <c r="J375" s="21">
        <v>0</v>
      </c>
      <c r="K375">
        <v>12</v>
      </c>
      <c r="L375" s="21">
        <v>159.43</v>
      </c>
      <c r="M375" s="21">
        <v>1487.99</v>
      </c>
      <c r="N375" s="21">
        <v>949.97</v>
      </c>
      <c r="O375" s="21">
        <v>378.59</v>
      </c>
      <c r="P375" t="s">
        <v>123</v>
      </c>
      <c r="Q375" t="s">
        <v>122</v>
      </c>
      <c r="R375" t="s">
        <v>151</v>
      </c>
      <c r="S375" t="s">
        <v>1157</v>
      </c>
      <c r="T375" t="s">
        <v>153</v>
      </c>
      <c r="U375" t="s">
        <v>154</v>
      </c>
      <c r="V375" t="str">
        <f>IFERROR(INDEX(Products!$C:$C,MATCH(D375,Products!$A:$A,0)),"Unknown")</f>
        <v>Wallets</v>
      </c>
      <c r="W375" t="str">
        <f>IFERROR(INDEX(Products!$E:$E,MATCH(D375,Products!$A:$A,0)),"Unknown")</f>
        <v>Van Heusen</v>
      </c>
      <c r="X375" t="str">
        <f>IFERROR(INDEX(Stores!$B:$B,MATCH(E375,Stores!$A:$A,0)),"Unknown")</f>
        <v>TrendMart Alappuzha Mall Kiosk</v>
      </c>
      <c r="Y375" t="str">
        <f>IFERROR(INDEX(Stores!$E:$E,MATCH(E375,Stores!$A:$A,0)),"Unknown")</f>
        <v>South Zone 1</v>
      </c>
      <c r="Z375" t="str">
        <f>IFERROR(INDEX(Customers!$J:$J,MATCH(C375,Customers!$A:$A,0)),"Unknown")</f>
        <v>Regular</v>
      </c>
      <c r="AA375" t="str">
        <f t="shared" si="5"/>
        <v>2024-10</v>
      </c>
      <c r="AB375" t="str">
        <f>IFERROR(INDEX(Products!$I:$I,MATCH(D375,Products!$A:$A,0)),"Unknown")</f>
        <v>SUP087</v>
      </c>
    </row>
    <row r="376" spans="1:28" x14ac:dyDescent="0.25">
      <c r="A376" t="s">
        <v>1432</v>
      </c>
      <c r="B376" s="20">
        <v>45700</v>
      </c>
      <c r="C376" t="s">
        <v>1410</v>
      </c>
      <c r="D376" t="s">
        <v>1328</v>
      </c>
      <c r="E376" t="s">
        <v>588</v>
      </c>
      <c r="F376" t="s">
        <v>443</v>
      </c>
      <c r="G376">
        <v>2</v>
      </c>
      <c r="H376" s="21">
        <v>1594.57</v>
      </c>
      <c r="I376">
        <v>10</v>
      </c>
      <c r="J376" s="21">
        <v>318.91000000000003</v>
      </c>
      <c r="K376">
        <v>12</v>
      </c>
      <c r="L376" s="21">
        <v>344.43</v>
      </c>
      <c r="M376" s="21">
        <v>3214.66</v>
      </c>
      <c r="N376" s="21">
        <v>2184.86</v>
      </c>
      <c r="O376" s="21">
        <v>685.37</v>
      </c>
      <c r="P376" t="s">
        <v>125</v>
      </c>
      <c r="Q376" t="s">
        <v>122</v>
      </c>
      <c r="R376" t="s">
        <v>151</v>
      </c>
      <c r="S376" t="s">
        <v>1282</v>
      </c>
      <c r="T376" t="s">
        <v>153</v>
      </c>
      <c r="U376" t="s">
        <v>154</v>
      </c>
      <c r="V376" t="str">
        <f>IFERROR(INDEX(Products!$C:$C,MATCH(D376,Products!$A:$A,0)),"Unknown")</f>
        <v>Winter Wear</v>
      </c>
      <c r="W376" t="str">
        <f>IFERROR(INDEX(Products!$E:$E,MATCH(D376,Products!$A:$A,0)),"Unknown")</f>
        <v>Fastrack</v>
      </c>
      <c r="X376" t="str">
        <f>IFERROR(INDEX(Stores!$B:$B,MATCH(E376,Stores!$A:$A,0)),"Unknown")</f>
        <v>TrendMart Nizamabad Standard</v>
      </c>
      <c r="Y376" t="str">
        <f>IFERROR(INDEX(Stores!$E:$E,MATCH(E376,Stores!$A:$A,0)),"Unknown")</f>
        <v>South Zone 2</v>
      </c>
      <c r="Z376" t="str">
        <f>IFERROR(INDEX(Customers!$J:$J,MATCH(C376,Customers!$A:$A,0)),"Unknown")</f>
        <v>Gold</v>
      </c>
      <c r="AA376" t="str">
        <f t="shared" si="5"/>
        <v>2025-02</v>
      </c>
      <c r="AB376" t="str">
        <f>IFERROR(INDEX(Products!$I:$I,MATCH(D376,Products!$A:$A,0)),"Unknown")</f>
        <v>SUP033</v>
      </c>
    </row>
    <row r="377" spans="1:28" x14ac:dyDescent="0.25">
      <c r="A377" t="s">
        <v>1433</v>
      </c>
      <c r="B377" s="20">
        <v>45585</v>
      </c>
      <c r="C377" t="s">
        <v>1434</v>
      </c>
      <c r="D377" t="s">
        <v>1390</v>
      </c>
      <c r="E377" t="s">
        <v>515</v>
      </c>
      <c r="F377" t="s">
        <v>201</v>
      </c>
      <c r="G377">
        <v>2</v>
      </c>
      <c r="H377" s="21">
        <v>6884.02</v>
      </c>
      <c r="I377">
        <v>5</v>
      </c>
      <c r="J377" s="21">
        <v>688.4</v>
      </c>
      <c r="K377">
        <v>12</v>
      </c>
      <c r="L377" s="21">
        <v>1569.56</v>
      </c>
      <c r="M377" s="21">
        <v>14649.2</v>
      </c>
      <c r="N377" s="21">
        <v>7923.24</v>
      </c>
      <c r="O377" s="21">
        <v>5156.3999999999996</v>
      </c>
      <c r="P377" t="s">
        <v>123</v>
      </c>
      <c r="Q377" t="s">
        <v>120</v>
      </c>
      <c r="R377" t="s">
        <v>151</v>
      </c>
      <c r="S377" t="s">
        <v>1293</v>
      </c>
      <c r="T377" t="s">
        <v>161</v>
      </c>
      <c r="U377" t="s">
        <v>154</v>
      </c>
      <c r="V377" t="str">
        <f>IFERROR(INDEX(Products!$C:$C,MATCH(D377,Products!$A:$A,0)),"Unknown")</f>
        <v>Watches</v>
      </c>
      <c r="W377" t="str">
        <f>IFERROR(INDEX(Products!$E:$E,MATCH(D377,Products!$A:$A,0)),"Unknown")</f>
        <v>Metro Shoes</v>
      </c>
      <c r="X377" t="str">
        <f>IFERROR(INDEX(Stores!$B:$B,MATCH(E377,Stores!$A:$A,0)),"Unknown")</f>
        <v>TrendMart Kochi High Street</v>
      </c>
      <c r="Y377" t="str">
        <f>IFERROR(INDEX(Stores!$E:$E,MATCH(E377,Stores!$A:$A,0)),"Unknown")</f>
        <v>South Zone 1</v>
      </c>
      <c r="Z377" t="str">
        <f>IFERROR(INDEX(Customers!$J:$J,MATCH(C377,Customers!$A:$A,0)),"Unknown")</f>
        <v>Gold</v>
      </c>
      <c r="AA377" t="str">
        <f t="shared" si="5"/>
        <v>2024-10</v>
      </c>
      <c r="AB377" t="str">
        <f>IFERROR(INDEX(Products!$I:$I,MATCH(D377,Products!$A:$A,0)),"Unknown")</f>
        <v>SUP005</v>
      </c>
    </row>
    <row r="378" spans="1:28" x14ac:dyDescent="0.25">
      <c r="A378" t="s">
        <v>1435</v>
      </c>
      <c r="B378" s="20">
        <v>45448</v>
      </c>
      <c r="C378" t="s">
        <v>320</v>
      </c>
      <c r="D378" t="s">
        <v>680</v>
      </c>
      <c r="E378" t="s">
        <v>280</v>
      </c>
      <c r="F378" t="s">
        <v>182</v>
      </c>
      <c r="G378">
        <v>1</v>
      </c>
      <c r="H378" s="21">
        <v>703.02</v>
      </c>
      <c r="I378">
        <v>15</v>
      </c>
      <c r="J378" s="21">
        <v>105.45</v>
      </c>
      <c r="K378">
        <v>5</v>
      </c>
      <c r="L378" s="21">
        <v>29.88</v>
      </c>
      <c r="M378" s="21">
        <v>627.45000000000005</v>
      </c>
      <c r="N378" s="21">
        <v>403.71</v>
      </c>
      <c r="O378" s="21">
        <v>193.86</v>
      </c>
      <c r="P378" t="s">
        <v>124</v>
      </c>
      <c r="Q378" t="s">
        <v>120</v>
      </c>
      <c r="R378" t="s">
        <v>151</v>
      </c>
      <c r="S378" t="s">
        <v>1436</v>
      </c>
      <c r="T378" t="s">
        <v>153</v>
      </c>
      <c r="U378" t="s">
        <v>154</v>
      </c>
      <c r="V378" t="str">
        <f>IFERROR(INDEX(Products!$C:$C,MATCH(D378,Products!$A:$A,0)),"Unknown")</f>
        <v>Accessories</v>
      </c>
      <c r="W378" t="str">
        <f>IFERROR(INDEX(Products!$E:$E,MATCH(D378,Products!$A:$A,0)),"Unknown")</f>
        <v>Westside</v>
      </c>
      <c r="X378" t="str">
        <f>IFERROR(INDEX(Stores!$B:$B,MATCH(E378,Stores!$A:$A,0)),"Unknown")</f>
        <v>TrendMart Chennai Standard</v>
      </c>
      <c r="Y378" t="str">
        <f>IFERROR(INDEX(Stores!$E:$E,MATCH(E378,Stores!$A:$A,0)),"Unknown")</f>
        <v>South Zone 1</v>
      </c>
      <c r="Z378" t="str">
        <f>IFERROR(INDEX(Customers!$J:$J,MATCH(C378,Customers!$A:$A,0)),"Unknown")</f>
        <v>Regular</v>
      </c>
      <c r="AA378" t="str">
        <f t="shared" si="5"/>
        <v>2024-06</v>
      </c>
      <c r="AB378" t="str">
        <f>IFERROR(INDEX(Products!$I:$I,MATCH(D378,Products!$A:$A,0)),"Unknown")</f>
        <v>SUP064</v>
      </c>
    </row>
    <row r="379" spans="1:28" x14ac:dyDescent="0.25">
      <c r="A379" t="s">
        <v>1437</v>
      </c>
      <c r="B379" s="20">
        <v>45662</v>
      </c>
      <c r="C379" t="s">
        <v>1438</v>
      </c>
      <c r="D379" t="s">
        <v>251</v>
      </c>
      <c r="E379" t="s">
        <v>92</v>
      </c>
      <c r="F379" t="s">
        <v>618</v>
      </c>
      <c r="G379">
        <v>1</v>
      </c>
      <c r="H379" s="21">
        <v>916.57</v>
      </c>
      <c r="I379">
        <v>10</v>
      </c>
      <c r="J379" s="21">
        <v>91.66</v>
      </c>
      <c r="K379">
        <v>5</v>
      </c>
      <c r="L379" s="21">
        <v>41.25</v>
      </c>
      <c r="M379" s="21">
        <v>866.16</v>
      </c>
      <c r="N379" s="21">
        <v>534.80999999999995</v>
      </c>
      <c r="O379" s="21">
        <v>290.10000000000002</v>
      </c>
      <c r="P379" t="s">
        <v>123</v>
      </c>
      <c r="Q379" t="s">
        <v>120</v>
      </c>
      <c r="R379" t="s">
        <v>151</v>
      </c>
      <c r="S379" t="s">
        <v>1439</v>
      </c>
      <c r="T379" t="s">
        <v>161</v>
      </c>
      <c r="U379" t="s">
        <v>154</v>
      </c>
      <c r="V379" t="str">
        <f>IFERROR(INDEX(Products!$C:$C,MATCH(D379,Products!$A:$A,0)),"Unknown")</f>
        <v>Women Tops</v>
      </c>
      <c r="W379" t="str">
        <f>IFERROR(INDEX(Products!$E:$E,MATCH(D379,Products!$A:$A,0)),"Unknown")</f>
        <v>US Polo Assn</v>
      </c>
      <c r="X379" t="str">
        <f>IFERROR(INDEX(Stores!$B:$B,MATCH(E379,Stores!$A:$A,0)),"Unknown")</f>
        <v>TrendMart Guntur High Street</v>
      </c>
      <c r="Y379" t="str">
        <f>IFERROR(INDEX(Stores!$E:$E,MATCH(E379,Stores!$A:$A,0)),"Unknown")</f>
        <v>South Zone 3</v>
      </c>
      <c r="Z379" t="str">
        <f>IFERROR(INDEX(Customers!$J:$J,MATCH(C379,Customers!$A:$A,0)),"Unknown")</f>
        <v>Silver</v>
      </c>
      <c r="AA379" t="str">
        <f t="shared" si="5"/>
        <v>2025-01</v>
      </c>
      <c r="AB379" t="str">
        <f>IFERROR(INDEX(Products!$I:$I,MATCH(D379,Products!$A:$A,0)),"Unknown")</f>
        <v>SUP039</v>
      </c>
    </row>
    <row r="380" spans="1:28" x14ac:dyDescent="0.25">
      <c r="A380" t="s">
        <v>1440</v>
      </c>
      <c r="B380" s="20">
        <v>45469</v>
      </c>
      <c r="C380" t="s">
        <v>1441</v>
      </c>
      <c r="D380" t="s">
        <v>447</v>
      </c>
      <c r="E380" t="s">
        <v>1442</v>
      </c>
      <c r="F380" t="s">
        <v>397</v>
      </c>
      <c r="G380">
        <v>1</v>
      </c>
      <c r="H380" s="21">
        <v>1304.43</v>
      </c>
      <c r="I380">
        <v>10</v>
      </c>
      <c r="J380" s="21">
        <v>130.44</v>
      </c>
      <c r="K380">
        <v>12</v>
      </c>
      <c r="L380" s="21">
        <v>140.88</v>
      </c>
      <c r="M380" s="21">
        <v>1314.87</v>
      </c>
      <c r="N380" s="21">
        <v>1073.45</v>
      </c>
      <c r="O380" s="21">
        <v>100.54</v>
      </c>
      <c r="P380" t="s">
        <v>125</v>
      </c>
      <c r="Q380" t="s">
        <v>122</v>
      </c>
      <c r="R380" t="s">
        <v>151</v>
      </c>
      <c r="S380" t="s">
        <v>1443</v>
      </c>
      <c r="T380" t="s">
        <v>153</v>
      </c>
      <c r="U380" t="s">
        <v>154</v>
      </c>
      <c r="V380" t="str">
        <f>IFERROR(INDEX(Products!$C:$C,MATCH(D380,Products!$A:$A,0)),"Unknown")</f>
        <v>Women Jeans</v>
      </c>
      <c r="W380" t="str">
        <f>IFERROR(INDEX(Products!$E:$E,MATCH(D380,Products!$A:$A,0)),"Unknown")</f>
        <v>Biba</v>
      </c>
      <c r="X380" t="str">
        <f>IFERROR(INDEX(Stores!$B:$B,MATCH(E380,Stores!$A:$A,0)),"Unknown")</f>
        <v>TrendMart Vellore High Street</v>
      </c>
      <c r="Y380" t="str">
        <f>IFERROR(INDEX(Stores!$E:$E,MATCH(E380,Stores!$A:$A,0)),"Unknown")</f>
        <v>South Zone 1</v>
      </c>
      <c r="Z380" t="str">
        <f>IFERROR(INDEX(Customers!$J:$J,MATCH(C380,Customers!$A:$A,0)),"Unknown")</f>
        <v>Platinum</v>
      </c>
      <c r="AA380" t="str">
        <f t="shared" si="5"/>
        <v>2024-06</v>
      </c>
      <c r="AB380" t="str">
        <f>IFERROR(INDEX(Products!$I:$I,MATCH(D380,Products!$A:$A,0)),"Unknown")</f>
        <v>SUP069</v>
      </c>
    </row>
    <row r="381" spans="1:28" x14ac:dyDescent="0.25">
      <c r="A381" t="s">
        <v>1444</v>
      </c>
      <c r="B381" s="20">
        <v>45410</v>
      </c>
      <c r="C381" t="s">
        <v>1377</v>
      </c>
      <c r="D381" t="s">
        <v>210</v>
      </c>
      <c r="E381" t="s">
        <v>848</v>
      </c>
      <c r="F381" t="s">
        <v>263</v>
      </c>
      <c r="G381">
        <v>2</v>
      </c>
      <c r="H381" s="21">
        <v>1825.3</v>
      </c>
      <c r="I381">
        <v>25</v>
      </c>
      <c r="J381" s="21">
        <v>912.65</v>
      </c>
      <c r="K381">
        <v>12</v>
      </c>
      <c r="L381" s="21">
        <v>328.55</v>
      </c>
      <c r="M381" s="21">
        <v>3066.5</v>
      </c>
      <c r="N381" s="21">
        <v>2799.7</v>
      </c>
      <c r="O381" s="21">
        <v>-61.75</v>
      </c>
      <c r="P381" t="s">
        <v>123</v>
      </c>
      <c r="Q381" t="s">
        <v>120</v>
      </c>
      <c r="R381" t="s">
        <v>151</v>
      </c>
      <c r="S381" t="s">
        <v>238</v>
      </c>
      <c r="T381" t="s">
        <v>161</v>
      </c>
      <c r="U381" t="s">
        <v>184</v>
      </c>
      <c r="V381" t="str">
        <f>IFERROR(INDEX(Products!$C:$C,MATCH(D381,Products!$A:$A,0)),"Unknown")</f>
        <v>Women Dresses</v>
      </c>
      <c r="W381" t="str">
        <f>IFERROR(INDEX(Products!$E:$E,MATCH(D381,Products!$A:$A,0)),"Unknown")</f>
        <v>Nike</v>
      </c>
      <c r="X381" t="str">
        <f>IFERROR(INDEX(Stores!$B:$B,MATCH(E381,Stores!$A:$A,0)),"Unknown")</f>
        <v>TrendMart Shivamogga Standard</v>
      </c>
      <c r="Y381" t="str">
        <f>IFERROR(INDEX(Stores!$E:$E,MATCH(E381,Stores!$A:$A,0)),"Unknown")</f>
        <v>South Zone 2</v>
      </c>
      <c r="Z381" t="str">
        <f>IFERROR(INDEX(Customers!$J:$J,MATCH(C381,Customers!$A:$A,0)),"Unknown")</f>
        <v>Silver</v>
      </c>
      <c r="AA381" t="str">
        <f t="shared" si="5"/>
        <v>2024-04</v>
      </c>
      <c r="AB381" t="str">
        <f>IFERROR(INDEX(Products!$I:$I,MATCH(D381,Products!$A:$A,0)),"Unknown")</f>
        <v>SUP073</v>
      </c>
    </row>
    <row r="382" spans="1:28" x14ac:dyDescent="0.25">
      <c r="A382" t="s">
        <v>1445</v>
      </c>
      <c r="B382" s="20">
        <v>45423</v>
      </c>
      <c r="C382" t="s">
        <v>1248</v>
      </c>
      <c r="D382" t="s">
        <v>827</v>
      </c>
      <c r="E382" t="s">
        <v>721</v>
      </c>
      <c r="F382" t="s">
        <v>253</v>
      </c>
      <c r="G382">
        <v>4</v>
      </c>
      <c r="H382" s="21">
        <v>803.77</v>
      </c>
      <c r="I382">
        <v>30</v>
      </c>
      <c r="J382" s="21">
        <v>964.52</v>
      </c>
      <c r="K382">
        <v>5</v>
      </c>
      <c r="L382" s="21">
        <v>112.53</v>
      </c>
      <c r="M382" s="21">
        <v>2363.09</v>
      </c>
      <c r="N382" s="21">
        <v>2237</v>
      </c>
      <c r="O382" s="21">
        <v>13.56</v>
      </c>
      <c r="P382" t="s">
        <v>121</v>
      </c>
      <c r="Q382" t="s">
        <v>120</v>
      </c>
      <c r="R382" t="s">
        <v>151</v>
      </c>
      <c r="S382" t="s">
        <v>1220</v>
      </c>
      <c r="T382" t="s">
        <v>161</v>
      </c>
      <c r="U382" t="s">
        <v>154</v>
      </c>
      <c r="V382" t="str">
        <f>IFERROR(INDEX(Products!$C:$C,MATCH(D382,Products!$A:$A,0)),"Unknown")</f>
        <v>Sportswear</v>
      </c>
      <c r="W382" t="str">
        <f>IFERROR(INDEX(Products!$E:$E,MATCH(D382,Products!$A:$A,0)),"Unknown")</f>
        <v>Max Fashion</v>
      </c>
      <c r="X382" t="str">
        <f>IFERROR(INDEX(Stores!$B:$B,MATCH(E382,Stores!$A:$A,0)),"Unknown")</f>
        <v>TrendMart Kollam Flagship</v>
      </c>
      <c r="Y382" t="str">
        <f>IFERROR(INDEX(Stores!$E:$E,MATCH(E382,Stores!$A:$A,0)),"Unknown")</f>
        <v>South Zone 1</v>
      </c>
      <c r="Z382" t="str">
        <f>IFERROR(INDEX(Customers!$J:$J,MATCH(C382,Customers!$A:$A,0)),"Unknown")</f>
        <v>Gold</v>
      </c>
      <c r="AA382" t="str">
        <f t="shared" si="5"/>
        <v>2024-05</v>
      </c>
      <c r="AB382" t="str">
        <f>IFERROR(INDEX(Products!$I:$I,MATCH(D382,Products!$A:$A,0)),"Unknown")</f>
        <v>SUP043</v>
      </c>
    </row>
    <row r="383" spans="1:28" x14ac:dyDescent="0.25">
      <c r="A383" t="s">
        <v>1446</v>
      </c>
      <c r="B383" s="20">
        <v>45590</v>
      </c>
      <c r="C383" t="s">
        <v>1447</v>
      </c>
      <c r="D383" t="s">
        <v>401</v>
      </c>
      <c r="E383" t="s">
        <v>200</v>
      </c>
      <c r="F383" t="s">
        <v>297</v>
      </c>
      <c r="G383">
        <v>2</v>
      </c>
      <c r="H383" s="21">
        <v>1235.6600000000001</v>
      </c>
      <c r="I383">
        <v>0</v>
      </c>
      <c r="J383" s="21">
        <v>0</v>
      </c>
      <c r="K383">
        <v>12</v>
      </c>
      <c r="L383" s="21">
        <v>296.56</v>
      </c>
      <c r="M383" s="21">
        <v>2767.88</v>
      </c>
      <c r="N383" s="21">
        <v>1535.66</v>
      </c>
      <c r="O383" s="21">
        <v>935.66</v>
      </c>
      <c r="P383" t="s">
        <v>127</v>
      </c>
      <c r="Q383" t="s">
        <v>122</v>
      </c>
      <c r="R383" t="s">
        <v>151</v>
      </c>
      <c r="S383" t="s">
        <v>1448</v>
      </c>
      <c r="T383" t="s">
        <v>153</v>
      </c>
      <c r="U383" t="s">
        <v>154</v>
      </c>
      <c r="V383" t="str">
        <f>IFERROR(INDEX(Products!$C:$C,MATCH(D383,Products!$A:$A,0)),"Unknown")</f>
        <v>Women Jeans</v>
      </c>
      <c r="W383" t="str">
        <f>IFERROR(INDEX(Products!$E:$E,MATCH(D383,Products!$A:$A,0)),"Unknown")</f>
        <v>Being Human</v>
      </c>
      <c r="X383" t="str">
        <f>IFERROR(INDEX(Stores!$B:$B,MATCH(E383,Stores!$A:$A,0)),"Unknown")</f>
        <v>TrendMart Kozhikode Standard</v>
      </c>
      <c r="Y383" t="str">
        <f>IFERROR(INDEX(Stores!$E:$E,MATCH(E383,Stores!$A:$A,0)),"Unknown")</f>
        <v>South Zone 1</v>
      </c>
      <c r="Z383" t="str">
        <f>IFERROR(INDEX(Customers!$J:$J,MATCH(C383,Customers!$A:$A,0)),"Unknown")</f>
        <v>Regular</v>
      </c>
      <c r="AA383" t="str">
        <f t="shared" si="5"/>
        <v>2024-10</v>
      </c>
      <c r="AB383" t="str">
        <f>IFERROR(INDEX(Products!$I:$I,MATCH(D383,Products!$A:$A,0)),"Unknown")</f>
        <v>SUP013</v>
      </c>
    </row>
    <row r="384" spans="1:28" x14ac:dyDescent="0.25">
      <c r="A384" t="s">
        <v>1449</v>
      </c>
      <c r="B384" s="20">
        <v>45728</v>
      </c>
      <c r="C384" t="s">
        <v>1450</v>
      </c>
      <c r="D384" t="s">
        <v>937</v>
      </c>
      <c r="E384" t="s">
        <v>1281</v>
      </c>
      <c r="F384" t="s">
        <v>182</v>
      </c>
      <c r="G384">
        <v>1</v>
      </c>
      <c r="H384" s="21">
        <v>1241.4000000000001</v>
      </c>
      <c r="I384">
        <v>5</v>
      </c>
      <c r="J384" s="21">
        <v>62.07</v>
      </c>
      <c r="K384">
        <v>12</v>
      </c>
      <c r="L384" s="21">
        <v>141.52000000000001</v>
      </c>
      <c r="M384" s="21">
        <v>1320.85</v>
      </c>
      <c r="N384" s="21">
        <v>861.8</v>
      </c>
      <c r="O384" s="21">
        <v>317.52999999999997</v>
      </c>
      <c r="P384" t="s">
        <v>121</v>
      </c>
      <c r="Q384" t="s">
        <v>122</v>
      </c>
      <c r="R384" t="s">
        <v>151</v>
      </c>
      <c r="S384" t="s">
        <v>1451</v>
      </c>
      <c r="T384" t="s">
        <v>153</v>
      </c>
      <c r="U384" t="s">
        <v>154</v>
      </c>
      <c r="V384" t="str">
        <f>IFERROR(INDEX(Products!$C:$C,MATCH(D384,Products!$A:$A,0)),"Unknown")</f>
        <v>Men Shirts</v>
      </c>
      <c r="W384" t="str">
        <f>IFERROR(INDEX(Products!$E:$E,MATCH(D384,Products!$A:$A,0)),"Unknown")</f>
        <v>Skechers</v>
      </c>
      <c r="X384" t="str">
        <f>IFERROR(INDEX(Stores!$B:$B,MATCH(E384,Stores!$A:$A,0)),"Unknown")</f>
        <v>TrendMart Visakhapatnam Standard</v>
      </c>
      <c r="Y384" t="str">
        <f>IFERROR(INDEX(Stores!$E:$E,MATCH(E384,Stores!$A:$A,0)),"Unknown")</f>
        <v>South Zone 3</v>
      </c>
      <c r="Z384" t="str">
        <f>IFERROR(INDEX(Customers!$J:$J,MATCH(C384,Customers!$A:$A,0)),"Unknown")</f>
        <v>Silver</v>
      </c>
      <c r="AA384" t="str">
        <f t="shared" si="5"/>
        <v>2025-03</v>
      </c>
      <c r="AB384" t="str">
        <f>IFERROR(INDEX(Products!$I:$I,MATCH(D384,Products!$A:$A,0)),"Unknown")</f>
        <v>SUP042</v>
      </c>
    </row>
    <row r="385" spans="1:28" x14ac:dyDescent="0.25">
      <c r="A385" t="s">
        <v>1452</v>
      </c>
      <c r="B385" s="20">
        <v>45704</v>
      </c>
      <c r="C385" t="s">
        <v>1453</v>
      </c>
      <c r="D385" t="s">
        <v>1454</v>
      </c>
      <c r="E385" t="s">
        <v>231</v>
      </c>
      <c r="F385" t="s">
        <v>574</v>
      </c>
      <c r="G385">
        <v>4</v>
      </c>
      <c r="H385" s="21">
        <v>863.1</v>
      </c>
      <c r="I385">
        <v>5</v>
      </c>
      <c r="J385" s="21">
        <v>172.62</v>
      </c>
      <c r="K385">
        <v>5</v>
      </c>
      <c r="L385" s="21">
        <v>163.99</v>
      </c>
      <c r="M385" s="21">
        <v>3443.77</v>
      </c>
      <c r="N385" s="21">
        <v>2280.7199999999998</v>
      </c>
      <c r="O385" s="21">
        <v>999.06</v>
      </c>
      <c r="P385" t="s">
        <v>123</v>
      </c>
      <c r="Q385" t="s">
        <v>120</v>
      </c>
      <c r="R385" t="s">
        <v>151</v>
      </c>
      <c r="S385" t="s">
        <v>1455</v>
      </c>
      <c r="T385" t="s">
        <v>161</v>
      </c>
      <c r="U385" t="s">
        <v>154</v>
      </c>
      <c r="V385" t="str">
        <f>IFERROR(INDEX(Products!$C:$C,MATCH(D385,Products!$A:$A,0)),"Unknown")</f>
        <v>Wallets</v>
      </c>
      <c r="W385" t="str">
        <f>IFERROR(INDEX(Products!$E:$E,MATCH(D385,Products!$A:$A,0)),"Unknown")</f>
        <v>Skechers</v>
      </c>
      <c r="X385" t="str">
        <f>IFERROR(INDEX(Stores!$B:$B,MATCH(E385,Stores!$A:$A,0)),"Unknown")</f>
        <v>TrendMart Warangal Outlet</v>
      </c>
      <c r="Y385" t="str">
        <f>IFERROR(INDEX(Stores!$E:$E,MATCH(E385,Stores!$A:$A,0)),"Unknown")</f>
        <v>South Zone 2</v>
      </c>
      <c r="Z385" t="str">
        <f>IFERROR(INDEX(Customers!$J:$J,MATCH(C385,Customers!$A:$A,0)),"Unknown")</f>
        <v>Silver</v>
      </c>
      <c r="AA385" t="str">
        <f t="shared" si="5"/>
        <v>2025-02</v>
      </c>
      <c r="AB385" t="str">
        <f>IFERROR(INDEX(Products!$I:$I,MATCH(D385,Products!$A:$A,0)),"Unknown")</f>
        <v>SUP013</v>
      </c>
    </row>
    <row r="386" spans="1:28" x14ac:dyDescent="0.25">
      <c r="A386" t="s">
        <v>1456</v>
      </c>
      <c r="B386" s="20">
        <v>45705</v>
      </c>
      <c r="C386" t="s">
        <v>1457</v>
      </c>
      <c r="D386" t="s">
        <v>587</v>
      </c>
      <c r="E386" t="s">
        <v>88</v>
      </c>
      <c r="F386" t="s">
        <v>297</v>
      </c>
      <c r="G386">
        <v>3</v>
      </c>
      <c r="H386" s="21">
        <v>3179.94</v>
      </c>
      <c r="I386">
        <v>5</v>
      </c>
      <c r="J386" s="21">
        <v>476.99</v>
      </c>
      <c r="K386">
        <v>12</v>
      </c>
      <c r="L386" s="21">
        <v>1087.54</v>
      </c>
      <c r="M386" s="21">
        <v>10150.370000000001</v>
      </c>
      <c r="N386" s="21">
        <v>6407.55</v>
      </c>
      <c r="O386" s="21">
        <v>2655.28</v>
      </c>
      <c r="P386" t="s">
        <v>123</v>
      </c>
      <c r="Q386" t="s">
        <v>120</v>
      </c>
      <c r="R386" t="s">
        <v>151</v>
      </c>
      <c r="S386" t="s">
        <v>1342</v>
      </c>
      <c r="T386" t="s">
        <v>153</v>
      </c>
      <c r="U386" t="s">
        <v>154</v>
      </c>
      <c r="V386" t="str">
        <f>IFERROR(INDEX(Products!$C:$C,MATCH(D386,Products!$A:$A,0)),"Unknown")</f>
        <v>Handbags</v>
      </c>
      <c r="W386" t="str">
        <f>IFERROR(INDEX(Products!$E:$E,MATCH(D386,Products!$A:$A,0)),"Unknown")</f>
        <v>Tanishq</v>
      </c>
      <c r="X386" t="str">
        <f>IFERROR(INDEX(Stores!$B:$B,MATCH(E386,Stores!$A:$A,0)),"Unknown")</f>
        <v>TrendMart Kozhikode Mall Kiosk</v>
      </c>
      <c r="Y386" t="str">
        <f>IFERROR(INDEX(Stores!$E:$E,MATCH(E386,Stores!$A:$A,0)),"Unknown")</f>
        <v>South Zone 1</v>
      </c>
      <c r="Z386" t="str">
        <f>IFERROR(INDEX(Customers!$J:$J,MATCH(C386,Customers!$A:$A,0)),"Unknown")</f>
        <v>Platinum</v>
      </c>
      <c r="AA386" t="str">
        <f t="shared" ref="AA386:AA449" si="6">TEXT(B386,"YYYY-MM")</f>
        <v>2025-02</v>
      </c>
      <c r="AB386" t="str">
        <f>IFERROR(INDEX(Products!$I:$I,MATCH(D386,Products!$A:$A,0)),"Unknown")</f>
        <v>SUP029</v>
      </c>
    </row>
    <row r="387" spans="1:28" x14ac:dyDescent="0.25">
      <c r="A387" t="s">
        <v>1458</v>
      </c>
      <c r="B387" s="20">
        <v>45518</v>
      </c>
      <c r="C387" t="s">
        <v>1459</v>
      </c>
      <c r="D387" t="s">
        <v>531</v>
      </c>
      <c r="E387" t="s">
        <v>810</v>
      </c>
      <c r="F387" t="s">
        <v>189</v>
      </c>
      <c r="G387">
        <v>0</v>
      </c>
      <c r="H387" s="21">
        <v>2923.57</v>
      </c>
      <c r="I387">
        <v>15</v>
      </c>
      <c r="J387" s="21">
        <v>0</v>
      </c>
      <c r="K387">
        <v>12</v>
      </c>
      <c r="L387" s="21">
        <v>0</v>
      </c>
      <c r="M387" s="21">
        <v>0</v>
      </c>
      <c r="N387" s="21">
        <v>0</v>
      </c>
      <c r="O387" s="21">
        <v>0</v>
      </c>
      <c r="P387" t="s">
        <v>123</v>
      </c>
      <c r="Q387" t="s">
        <v>122</v>
      </c>
      <c r="R387" t="s">
        <v>482</v>
      </c>
      <c r="S387" t="s">
        <v>1460</v>
      </c>
      <c r="T387" t="s">
        <v>153</v>
      </c>
      <c r="U387" t="s">
        <v>154</v>
      </c>
      <c r="V387" t="str">
        <f>IFERROR(INDEX(Products!$C:$C,MATCH(D387,Products!$A:$A,0)),"Unknown")</f>
        <v>Handbags</v>
      </c>
      <c r="W387" t="str">
        <f>IFERROR(INDEX(Products!$E:$E,MATCH(D387,Products!$A:$A,0)),"Unknown")</f>
        <v>GRT Jewellers</v>
      </c>
      <c r="X387" t="str">
        <f>IFERROR(INDEX(Stores!$B:$B,MATCH(E387,Stores!$A:$A,0)),"Unknown")</f>
        <v>TrendMart Nizamabad Standard</v>
      </c>
      <c r="Y387" t="str">
        <f>IFERROR(INDEX(Stores!$E:$E,MATCH(E387,Stores!$A:$A,0)),"Unknown")</f>
        <v>South Zone 2</v>
      </c>
      <c r="Z387" t="str">
        <f>IFERROR(INDEX(Customers!$J:$J,MATCH(C387,Customers!$A:$A,0)),"Unknown")</f>
        <v>Gold</v>
      </c>
      <c r="AA387" t="str">
        <f t="shared" si="6"/>
        <v>2024-08</v>
      </c>
      <c r="AB387" t="str">
        <f>IFERROR(INDEX(Products!$I:$I,MATCH(D387,Products!$A:$A,0)),"Unknown")</f>
        <v>SUP047</v>
      </c>
    </row>
    <row r="388" spans="1:28" x14ac:dyDescent="0.25">
      <c r="A388" t="s">
        <v>1461</v>
      </c>
      <c r="B388" s="20">
        <v>45601</v>
      </c>
      <c r="C388" t="s">
        <v>1462</v>
      </c>
      <c r="D388" t="s">
        <v>577</v>
      </c>
      <c r="E388" t="s">
        <v>206</v>
      </c>
      <c r="F388" t="s">
        <v>232</v>
      </c>
      <c r="G388">
        <v>2</v>
      </c>
      <c r="H388" s="21">
        <v>1265.6300000000001</v>
      </c>
      <c r="I388">
        <v>10</v>
      </c>
      <c r="J388" s="21">
        <v>253.13</v>
      </c>
      <c r="K388">
        <v>12</v>
      </c>
      <c r="L388" s="21">
        <v>273.38</v>
      </c>
      <c r="M388" s="21">
        <v>2551.5100000000002</v>
      </c>
      <c r="N388" s="21">
        <v>1746.86</v>
      </c>
      <c r="O388" s="21">
        <v>531.27</v>
      </c>
      <c r="P388" t="s">
        <v>124</v>
      </c>
      <c r="Q388" t="s">
        <v>120</v>
      </c>
      <c r="R388" t="s">
        <v>151</v>
      </c>
      <c r="S388" t="s">
        <v>1463</v>
      </c>
      <c r="T388" t="s">
        <v>153</v>
      </c>
      <c r="U388" t="s">
        <v>154</v>
      </c>
      <c r="V388" t="str">
        <f>IFERROR(INDEX(Products!$C:$C,MATCH(D388,Products!$A:$A,0)),"Unknown")</f>
        <v>Men Trousers</v>
      </c>
      <c r="W388" t="str">
        <f>IFERROR(INDEX(Products!$E:$E,MATCH(D388,Products!$A:$A,0)),"Unknown")</f>
        <v>Unknown</v>
      </c>
      <c r="X388" t="str">
        <f>IFERROR(INDEX(Stores!$B:$B,MATCH(E388,Stores!$A:$A,0)),"Unknown")</f>
        <v>TrendMart Nizamabad Outlet</v>
      </c>
      <c r="Y388" t="str">
        <f>IFERROR(INDEX(Stores!$E:$E,MATCH(E388,Stores!$A:$A,0)),"Unknown")</f>
        <v>South Zone 2</v>
      </c>
      <c r="Z388" t="str">
        <f>IFERROR(INDEX(Customers!$J:$J,MATCH(C388,Customers!$A:$A,0)),"Unknown")</f>
        <v>Silver</v>
      </c>
      <c r="AA388" t="str">
        <f t="shared" si="6"/>
        <v>2024-11</v>
      </c>
      <c r="AB388" t="str">
        <f>IFERROR(INDEX(Products!$I:$I,MATCH(D388,Products!$A:$A,0)),"Unknown")</f>
        <v>SUP051</v>
      </c>
    </row>
    <row r="389" spans="1:28" x14ac:dyDescent="0.25">
      <c r="A389" t="s">
        <v>1464</v>
      </c>
      <c r="B389" s="20">
        <v>45587</v>
      </c>
      <c r="C389" t="s">
        <v>1465</v>
      </c>
      <c r="D389" t="s">
        <v>1466</v>
      </c>
      <c r="E389" t="s">
        <v>537</v>
      </c>
      <c r="F389" t="s">
        <v>344</v>
      </c>
      <c r="G389">
        <v>1</v>
      </c>
      <c r="H389" s="21">
        <v>740.3</v>
      </c>
      <c r="I389">
        <v>0</v>
      </c>
      <c r="J389" s="21">
        <v>0</v>
      </c>
      <c r="K389">
        <v>5</v>
      </c>
      <c r="L389" s="21">
        <v>37.020000000000003</v>
      </c>
      <c r="M389" s="21">
        <v>777.32</v>
      </c>
      <c r="N389" s="21">
        <v>428.16</v>
      </c>
      <c r="O389" s="21">
        <v>312.14</v>
      </c>
      <c r="P389" t="s">
        <v>123</v>
      </c>
      <c r="Q389" t="s">
        <v>120</v>
      </c>
      <c r="R389" t="s">
        <v>151</v>
      </c>
      <c r="S389" t="s">
        <v>1342</v>
      </c>
      <c r="T389" t="s">
        <v>153</v>
      </c>
      <c r="U389" t="s">
        <v>154</v>
      </c>
      <c r="V389" t="str">
        <f>IFERROR(INDEX(Products!$C:$C,MATCH(D389,Products!$A:$A,0)),"Unknown")</f>
        <v>Men T-Shirts</v>
      </c>
      <c r="W389" t="str">
        <f>IFERROR(INDEX(Products!$E:$E,MATCH(D389,Products!$A:$A,0)),"Unknown")</f>
        <v>Killer Jeans</v>
      </c>
      <c r="X389" t="str">
        <f>IFERROR(INDEX(Stores!$B:$B,MATCH(E389,Stores!$A:$A,0)),"Unknown")</f>
        <v>TrendMart Thrissur High Street</v>
      </c>
      <c r="Y389" t="str">
        <f>IFERROR(INDEX(Stores!$E:$E,MATCH(E389,Stores!$A:$A,0)),"Unknown")</f>
        <v>South Zone 1</v>
      </c>
      <c r="Z389" t="str">
        <f>IFERROR(INDEX(Customers!$J:$J,MATCH(C389,Customers!$A:$A,0)),"Unknown")</f>
        <v>Regular</v>
      </c>
      <c r="AA389" t="str">
        <f t="shared" si="6"/>
        <v>2024-10</v>
      </c>
      <c r="AB389" t="str">
        <f>IFERROR(INDEX(Products!$I:$I,MATCH(D389,Products!$A:$A,0)),"Unknown")</f>
        <v>SUP069</v>
      </c>
    </row>
    <row r="390" spans="1:28" x14ac:dyDescent="0.25">
      <c r="A390" t="s">
        <v>1467</v>
      </c>
      <c r="B390" s="20">
        <v>45500</v>
      </c>
      <c r="C390" t="s">
        <v>1468</v>
      </c>
      <c r="D390" t="s">
        <v>1036</v>
      </c>
      <c r="E390" t="s">
        <v>175</v>
      </c>
      <c r="F390" t="s">
        <v>335</v>
      </c>
      <c r="G390">
        <v>2</v>
      </c>
      <c r="H390" s="21">
        <v>869.16</v>
      </c>
      <c r="I390">
        <v>15</v>
      </c>
      <c r="J390" s="21">
        <v>260.75</v>
      </c>
      <c r="K390">
        <v>5</v>
      </c>
      <c r="L390" s="21">
        <v>73.88</v>
      </c>
      <c r="M390" s="21">
        <v>1551.45</v>
      </c>
      <c r="N390" s="21">
        <v>1180.04</v>
      </c>
      <c r="O390" s="21">
        <v>297.52999999999997</v>
      </c>
      <c r="P390" t="s">
        <v>124</v>
      </c>
      <c r="Q390" t="s">
        <v>120</v>
      </c>
      <c r="R390" t="s">
        <v>151</v>
      </c>
      <c r="S390" t="s">
        <v>1469</v>
      </c>
      <c r="T390" t="s">
        <v>161</v>
      </c>
      <c r="U390" t="s">
        <v>154</v>
      </c>
      <c r="V390" t="str">
        <f>IFERROR(INDEX(Products!$C:$C,MATCH(D390,Products!$A:$A,0)),"Unknown")</f>
        <v>Belts</v>
      </c>
      <c r="W390" t="str">
        <f>IFERROR(INDEX(Products!$E:$E,MATCH(D390,Products!$A:$A,0)),"Unknown")</f>
        <v>Skechers</v>
      </c>
      <c r="X390" t="str">
        <f>IFERROR(INDEX(Stores!$B:$B,MATCH(E390,Stores!$A:$A,0)),"Unknown")</f>
        <v>TrendMart Thoothukudi Flagship</v>
      </c>
      <c r="Y390" t="str">
        <f>IFERROR(INDEX(Stores!$E:$E,MATCH(E390,Stores!$A:$A,0)),"Unknown")</f>
        <v>South Zone 1</v>
      </c>
      <c r="Z390" t="str">
        <f>IFERROR(INDEX(Customers!$J:$J,MATCH(C390,Customers!$A:$A,0)),"Unknown")</f>
        <v>Gold</v>
      </c>
      <c r="AA390" t="str">
        <f t="shared" si="6"/>
        <v>2024-07</v>
      </c>
      <c r="AB390" t="str">
        <f>IFERROR(INDEX(Products!$I:$I,MATCH(D390,Products!$A:$A,0)),"Unknown")</f>
        <v>SUP085</v>
      </c>
    </row>
    <row r="391" spans="1:28" x14ac:dyDescent="0.25">
      <c r="A391" t="s">
        <v>1470</v>
      </c>
      <c r="B391" s="20">
        <v>45558</v>
      </c>
      <c r="C391" t="s">
        <v>1471</v>
      </c>
      <c r="D391" t="s">
        <v>1095</v>
      </c>
      <c r="E391" t="s">
        <v>607</v>
      </c>
      <c r="F391" t="s">
        <v>258</v>
      </c>
      <c r="G391">
        <v>1</v>
      </c>
      <c r="H391" s="21">
        <v>1132.58</v>
      </c>
      <c r="I391">
        <v>0</v>
      </c>
      <c r="J391" s="21">
        <v>0</v>
      </c>
      <c r="K391">
        <v>12</v>
      </c>
      <c r="L391" s="21">
        <v>135.91</v>
      </c>
      <c r="M391" s="21">
        <v>1268.49</v>
      </c>
      <c r="N391" s="21">
        <v>769.63</v>
      </c>
      <c r="O391" s="21">
        <v>362.95</v>
      </c>
      <c r="P391" t="s">
        <v>125</v>
      </c>
      <c r="Q391" t="s">
        <v>122</v>
      </c>
      <c r="R391" t="s">
        <v>151</v>
      </c>
      <c r="S391" t="s">
        <v>348</v>
      </c>
      <c r="T391" t="s">
        <v>153</v>
      </c>
      <c r="U391" t="s">
        <v>154</v>
      </c>
      <c r="V391" t="str">
        <f>IFERROR(INDEX(Products!$C:$C,MATCH(D391,Products!$A:$A,0)),"Unknown")</f>
        <v>Women Dresses</v>
      </c>
      <c r="W391" t="str">
        <f>IFERROR(INDEX(Products!$E:$E,MATCH(D391,Products!$A:$A,0)),"Unknown")</f>
        <v>Ramraj Cotton</v>
      </c>
      <c r="X391" t="str">
        <f>IFERROR(INDEX(Stores!$B:$B,MATCH(E391,Stores!$A:$A,0)),"Unknown")</f>
        <v>TrendMart Thiruvananthapuram Standard</v>
      </c>
      <c r="Y391" t="str">
        <f>IFERROR(INDEX(Stores!$E:$E,MATCH(E391,Stores!$A:$A,0)),"Unknown")</f>
        <v>South Zone 1</v>
      </c>
      <c r="Z391" t="str">
        <f>IFERROR(INDEX(Customers!$J:$J,MATCH(C391,Customers!$A:$A,0)),"Unknown")</f>
        <v>Silver</v>
      </c>
      <c r="AA391" t="str">
        <f t="shared" si="6"/>
        <v>2024-09</v>
      </c>
      <c r="AB391" t="str">
        <f>IFERROR(INDEX(Products!$I:$I,MATCH(D391,Products!$A:$A,0)),"Unknown")</f>
        <v>SUP054</v>
      </c>
    </row>
    <row r="392" spans="1:28" x14ac:dyDescent="0.25">
      <c r="A392" t="s">
        <v>1472</v>
      </c>
      <c r="B392" s="20">
        <v>45611</v>
      </c>
      <c r="C392" t="s">
        <v>1473</v>
      </c>
      <c r="D392" t="s">
        <v>531</v>
      </c>
      <c r="E392" t="s">
        <v>831</v>
      </c>
      <c r="F392" t="s">
        <v>269</v>
      </c>
      <c r="G392">
        <v>4</v>
      </c>
      <c r="H392" s="21">
        <v>3074.18</v>
      </c>
      <c r="I392">
        <v>25</v>
      </c>
      <c r="J392" s="21">
        <v>3074.18</v>
      </c>
      <c r="K392">
        <v>12</v>
      </c>
      <c r="L392" s="21">
        <v>1106.7</v>
      </c>
      <c r="M392" s="21">
        <v>10329.24</v>
      </c>
      <c r="N392" s="21">
        <v>8136.04</v>
      </c>
      <c r="O392" s="21">
        <v>1086.5</v>
      </c>
      <c r="P392" t="s">
        <v>121</v>
      </c>
      <c r="Q392" t="s">
        <v>120</v>
      </c>
      <c r="R392" t="s">
        <v>313</v>
      </c>
      <c r="S392" t="s">
        <v>1474</v>
      </c>
      <c r="T392" t="s">
        <v>153</v>
      </c>
      <c r="U392" t="s">
        <v>154</v>
      </c>
      <c r="V392" t="str">
        <f>IFERROR(INDEX(Products!$C:$C,MATCH(D392,Products!$A:$A,0)),"Unknown")</f>
        <v>Handbags</v>
      </c>
      <c r="W392" t="str">
        <f>IFERROR(INDEX(Products!$E:$E,MATCH(D392,Products!$A:$A,0)),"Unknown")</f>
        <v>GRT Jewellers</v>
      </c>
      <c r="X392" t="str">
        <f>IFERROR(INDEX(Stores!$B:$B,MATCH(E392,Stores!$A:$A,0)),"Unknown")</f>
        <v>TrendMart Vellore Standard</v>
      </c>
      <c r="Y392" t="str">
        <f>IFERROR(INDEX(Stores!$E:$E,MATCH(E392,Stores!$A:$A,0)),"Unknown")</f>
        <v>South Zone 1</v>
      </c>
      <c r="Z392" t="str">
        <f>IFERROR(INDEX(Customers!$J:$J,MATCH(C392,Customers!$A:$A,0)),"Unknown")</f>
        <v>Regular</v>
      </c>
      <c r="AA392" t="str">
        <f t="shared" si="6"/>
        <v>2024-11</v>
      </c>
      <c r="AB392" t="str">
        <f>IFERROR(INDEX(Products!$I:$I,MATCH(D392,Products!$A:$A,0)),"Unknown")</f>
        <v>SUP047</v>
      </c>
    </row>
    <row r="393" spans="1:28" x14ac:dyDescent="0.25">
      <c r="A393" t="s">
        <v>1475</v>
      </c>
      <c r="B393" s="20">
        <v>45416</v>
      </c>
      <c r="C393" t="s">
        <v>465</v>
      </c>
      <c r="D393" t="s">
        <v>1476</v>
      </c>
      <c r="E393" t="s">
        <v>396</v>
      </c>
      <c r="F393" t="s">
        <v>275</v>
      </c>
      <c r="G393">
        <v>0</v>
      </c>
      <c r="H393" s="21">
        <v>822.23</v>
      </c>
      <c r="I393">
        <v>10</v>
      </c>
      <c r="J393" s="21">
        <v>0</v>
      </c>
      <c r="K393">
        <v>5</v>
      </c>
      <c r="L393" s="21">
        <v>0</v>
      </c>
      <c r="M393" s="21">
        <v>0</v>
      </c>
      <c r="N393" s="21">
        <v>0</v>
      </c>
      <c r="O393" s="21">
        <v>0</v>
      </c>
      <c r="P393" t="s">
        <v>124</v>
      </c>
      <c r="Q393" t="s">
        <v>120</v>
      </c>
      <c r="R393" t="s">
        <v>482</v>
      </c>
      <c r="S393" t="s">
        <v>1477</v>
      </c>
      <c r="T393" t="s">
        <v>161</v>
      </c>
      <c r="U393" t="s">
        <v>154</v>
      </c>
      <c r="V393" t="str">
        <f>IFERROR(INDEX(Products!$C:$C,MATCH(D393,Products!$A:$A,0)),"Unknown")</f>
        <v>Men Trousers</v>
      </c>
      <c r="W393" t="str">
        <f>IFERROR(INDEX(Products!$E:$E,MATCH(D393,Products!$A:$A,0)),"Unknown")</f>
        <v>Van Heusen</v>
      </c>
      <c r="X393" t="str">
        <f>IFERROR(INDEX(Stores!$B:$B,MATCH(E393,Stores!$A:$A,0)),"Unknown")</f>
        <v>TrendMart Davanagere High Street</v>
      </c>
      <c r="Y393" t="str">
        <f>IFERROR(INDEX(Stores!$E:$E,MATCH(E393,Stores!$A:$A,0)),"Unknown")</f>
        <v>South Zone 2</v>
      </c>
      <c r="Z393" t="str">
        <f>IFERROR(INDEX(Customers!$J:$J,MATCH(C393,Customers!$A:$A,0)),"Unknown")</f>
        <v>Regular</v>
      </c>
      <c r="AA393" t="str">
        <f t="shared" si="6"/>
        <v>2024-05</v>
      </c>
      <c r="AB393" t="str">
        <f>IFERROR(INDEX(Products!$I:$I,MATCH(D393,Products!$A:$A,0)),"Unknown")</f>
        <v>SUP012</v>
      </c>
    </row>
    <row r="394" spans="1:28" x14ac:dyDescent="0.25">
      <c r="A394" t="s">
        <v>1478</v>
      </c>
      <c r="B394" s="20">
        <v>45430</v>
      </c>
      <c r="C394" t="s">
        <v>1380</v>
      </c>
      <c r="D394" t="s">
        <v>1101</v>
      </c>
      <c r="E394" t="s">
        <v>92</v>
      </c>
      <c r="F394" t="s">
        <v>176</v>
      </c>
      <c r="G394">
        <v>2</v>
      </c>
      <c r="H394" s="21">
        <v>859.76</v>
      </c>
      <c r="I394">
        <v>5</v>
      </c>
      <c r="J394" s="21">
        <v>85.98</v>
      </c>
      <c r="K394">
        <v>5</v>
      </c>
      <c r="L394" s="21">
        <v>81.680000000000007</v>
      </c>
      <c r="M394" s="21">
        <v>1715.22</v>
      </c>
      <c r="N394" s="21">
        <v>1130.9000000000001</v>
      </c>
      <c r="O394" s="21">
        <v>502.64</v>
      </c>
      <c r="P394" t="s">
        <v>125</v>
      </c>
      <c r="Q394" t="s">
        <v>120</v>
      </c>
      <c r="R394" t="s">
        <v>151</v>
      </c>
      <c r="S394" t="s">
        <v>1479</v>
      </c>
      <c r="T394" t="s">
        <v>161</v>
      </c>
      <c r="U394" t="s">
        <v>154</v>
      </c>
      <c r="V394" t="str">
        <f>IFERROR(INDEX(Products!$C:$C,MATCH(D394,Products!$A:$A,0)),"Unknown")</f>
        <v>Kids Wear</v>
      </c>
      <c r="W394" t="str">
        <f>IFERROR(INDEX(Products!$E:$E,MATCH(D394,Products!$A:$A,0)),"Unknown")</f>
        <v>Woodland</v>
      </c>
      <c r="X394" t="str">
        <f>IFERROR(INDEX(Stores!$B:$B,MATCH(E394,Stores!$A:$A,0)),"Unknown")</f>
        <v>TrendMart Guntur High Street</v>
      </c>
      <c r="Y394" t="str">
        <f>IFERROR(INDEX(Stores!$E:$E,MATCH(E394,Stores!$A:$A,0)),"Unknown")</f>
        <v>South Zone 3</v>
      </c>
      <c r="Z394" t="str">
        <f>IFERROR(INDEX(Customers!$J:$J,MATCH(C394,Customers!$A:$A,0)),"Unknown")</f>
        <v>Silver</v>
      </c>
      <c r="AA394" t="str">
        <f t="shared" si="6"/>
        <v>2024-05</v>
      </c>
      <c r="AB394" t="str">
        <f>IFERROR(INDEX(Products!$I:$I,MATCH(D394,Products!$A:$A,0)),"Unknown")</f>
        <v>SUP010</v>
      </c>
    </row>
    <row r="395" spans="1:28" x14ac:dyDescent="0.25">
      <c r="A395" t="s">
        <v>1480</v>
      </c>
      <c r="B395" s="20">
        <v>45588</v>
      </c>
      <c r="C395" t="s">
        <v>1481</v>
      </c>
      <c r="D395" t="s">
        <v>367</v>
      </c>
      <c r="E395" t="s">
        <v>81</v>
      </c>
      <c r="F395" t="s">
        <v>397</v>
      </c>
      <c r="G395">
        <v>1</v>
      </c>
      <c r="H395" s="21">
        <v>725.13</v>
      </c>
      <c r="I395">
        <v>5</v>
      </c>
      <c r="J395" s="21">
        <v>36.26</v>
      </c>
      <c r="K395">
        <v>3</v>
      </c>
      <c r="L395" s="21">
        <v>20.67</v>
      </c>
      <c r="M395" s="21">
        <v>709.54</v>
      </c>
      <c r="N395" s="21">
        <v>556.99</v>
      </c>
      <c r="O395" s="21">
        <v>131.88</v>
      </c>
      <c r="P395" t="s">
        <v>124</v>
      </c>
      <c r="Q395" t="s">
        <v>122</v>
      </c>
      <c r="R395" t="s">
        <v>151</v>
      </c>
      <c r="S395" t="s">
        <v>1482</v>
      </c>
      <c r="T395" t="s">
        <v>153</v>
      </c>
      <c r="U395" t="s">
        <v>154</v>
      </c>
      <c r="V395" t="str">
        <f>IFERROR(INDEX(Products!$C:$C,MATCH(D395,Products!$A:$A,0)),"Unknown")</f>
        <v>Jewellery</v>
      </c>
      <c r="W395" t="str">
        <f>IFERROR(INDEX(Products!$E:$E,MATCH(D395,Products!$A:$A,0)),"Unknown")</f>
        <v>Aurelia</v>
      </c>
      <c r="X395" t="str">
        <f>IFERROR(INDEX(Stores!$B:$B,MATCH(E395,Stores!$A:$A,0)),"Unknown")</f>
        <v>TrendMart Vijayawada High Street</v>
      </c>
      <c r="Y395" t="str">
        <f>IFERROR(INDEX(Stores!$E:$E,MATCH(E395,Stores!$A:$A,0)),"Unknown")</f>
        <v>South Zone 3</v>
      </c>
      <c r="Z395" t="str">
        <f>IFERROR(INDEX(Customers!$J:$J,MATCH(C395,Customers!$A:$A,0)),"Unknown")</f>
        <v>Silver</v>
      </c>
      <c r="AA395" t="str">
        <f t="shared" si="6"/>
        <v>2024-10</v>
      </c>
      <c r="AB395" t="str">
        <f>IFERROR(INDEX(Products!$I:$I,MATCH(D395,Products!$A:$A,0)),"Unknown")</f>
        <v>SUP067</v>
      </c>
    </row>
    <row r="396" spans="1:28" x14ac:dyDescent="0.25">
      <c r="A396" t="s">
        <v>1483</v>
      </c>
      <c r="B396" s="20">
        <v>45464</v>
      </c>
      <c r="C396" t="s">
        <v>1484</v>
      </c>
      <c r="D396" t="s">
        <v>629</v>
      </c>
      <c r="E396" t="s">
        <v>456</v>
      </c>
      <c r="F396" t="s">
        <v>195</v>
      </c>
      <c r="G396">
        <v>3</v>
      </c>
      <c r="H396" s="21">
        <v>6700.89</v>
      </c>
      <c r="I396">
        <v>25</v>
      </c>
      <c r="J396" s="21">
        <v>5025.67</v>
      </c>
      <c r="K396">
        <v>3</v>
      </c>
      <c r="L396" s="21">
        <v>452.31</v>
      </c>
      <c r="M396" s="21">
        <v>15529.31</v>
      </c>
      <c r="N396" s="21">
        <v>14601.63</v>
      </c>
      <c r="O396" s="21">
        <v>475.37</v>
      </c>
      <c r="P396" t="s">
        <v>124</v>
      </c>
      <c r="Q396" t="s">
        <v>122</v>
      </c>
      <c r="R396" t="s">
        <v>151</v>
      </c>
      <c r="S396" t="s">
        <v>1485</v>
      </c>
      <c r="T396" t="s">
        <v>153</v>
      </c>
      <c r="U396" t="s">
        <v>154</v>
      </c>
      <c r="V396" t="str">
        <f>IFERROR(INDEX(Products!$C:$C,MATCH(D396,Products!$A:$A,0)),"Unknown")</f>
        <v>Jewellery</v>
      </c>
      <c r="W396" t="str">
        <f>IFERROR(INDEX(Products!$E:$E,MATCH(D396,Products!$A:$A,0)),"Unknown")</f>
        <v>Global Desi</v>
      </c>
      <c r="X396" t="str">
        <f>IFERROR(INDEX(Stores!$B:$B,MATCH(E396,Stores!$A:$A,0)),"Unknown")</f>
        <v>TrendMart Salem Outlet</v>
      </c>
      <c r="Y396" t="str">
        <f>IFERROR(INDEX(Stores!$E:$E,MATCH(E396,Stores!$A:$A,0)),"Unknown")</f>
        <v>South Zone 1</v>
      </c>
      <c r="Z396" t="str">
        <f>IFERROR(INDEX(Customers!$J:$J,MATCH(C396,Customers!$A:$A,0)),"Unknown")</f>
        <v>Silver</v>
      </c>
      <c r="AA396" t="str">
        <f t="shared" si="6"/>
        <v>2024-06</v>
      </c>
      <c r="AB396" t="str">
        <f>IFERROR(INDEX(Products!$I:$I,MATCH(D396,Products!$A:$A,0)),"Unknown")</f>
        <v>SUP066</v>
      </c>
    </row>
    <row r="397" spans="1:28" x14ac:dyDescent="0.25">
      <c r="A397" t="s">
        <v>1486</v>
      </c>
      <c r="B397" s="20">
        <v>45472</v>
      </c>
      <c r="C397" t="s">
        <v>1487</v>
      </c>
      <c r="D397" t="s">
        <v>1026</v>
      </c>
      <c r="E397" t="s">
        <v>429</v>
      </c>
      <c r="F397" t="s">
        <v>170</v>
      </c>
      <c r="G397">
        <v>1</v>
      </c>
      <c r="H397" s="21">
        <v>1522</v>
      </c>
      <c r="I397">
        <v>10</v>
      </c>
      <c r="J397" s="21">
        <v>152.19999999999999</v>
      </c>
      <c r="K397">
        <v>12</v>
      </c>
      <c r="L397" s="21">
        <v>164.38</v>
      </c>
      <c r="M397" s="21">
        <v>1534.18</v>
      </c>
      <c r="N397" s="21">
        <v>962.17</v>
      </c>
      <c r="O397" s="21">
        <v>407.63</v>
      </c>
      <c r="P397" t="s">
        <v>121</v>
      </c>
      <c r="Q397" t="s">
        <v>122</v>
      </c>
      <c r="R397" t="s">
        <v>151</v>
      </c>
      <c r="S397" t="s">
        <v>1387</v>
      </c>
      <c r="T397" t="s">
        <v>161</v>
      </c>
      <c r="U397" t="s">
        <v>154</v>
      </c>
      <c r="V397" t="str">
        <f>IFERROR(INDEX(Products!$C:$C,MATCH(D397,Products!$A:$A,0)),"Unknown")</f>
        <v>Women Sarees</v>
      </c>
      <c r="W397" t="str">
        <f>IFERROR(INDEX(Products!$E:$E,MATCH(D397,Products!$A:$A,0)),"Unknown")</f>
        <v>Spykar</v>
      </c>
      <c r="X397" t="str">
        <f>IFERROR(INDEX(Stores!$B:$B,MATCH(E397,Stores!$A:$A,0)),"Unknown")</f>
        <v>TrendMart Tirunelveli Flagship</v>
      </c>
      <c r="Y397" t="str">
        <f>IFERROR(INDEX(Stores!$E:$E,MATCH(E397,Stores!$A:$A,0)),"Unknown")</f>
        <v>South Zone 1</v>
      </c>
      <c r="Z397" t="str">
        <f>IFERROR(INDEX(Customers!$J:$J,MATCH(C397,Customers!$A:$A,0)),"Unknown")</f>
        <v>Regular</v>
      </c>
      <c r="AA397" t="str">
        <f t="shared" si="6"/>
        <v>2024-06</v>
      </c>
      <c r="AB397" t="str">
        <f>IFERROR(INDEX(Products!$I:$I,MATCH(D397,Products!$A:$A,0)),"Unknown")</f>
        <v>SUP001</v>
      </c>
    </row>
    <row r="398" spans="1:28" x14ac:dyDescent="0.25">
      <c r="A398" t="s">
        <v>1488</v>
      </c>
      <c r="B398" s="20">
        <v>45473</v>
      </c>
      <c r="C398" t="s">
        <v>1489</v>
      </c>
      <c r="D398" t="s">
        <v>805</v>
      </c>
      <c r="E398" t="s">
        <v>318</v>
      </c>
      <c r="F398" t="s">
        <v>195</v>
      </c>
      <c r="G398">
        <v>2</v>
      </c>
      <c r="H398" s="21">
        <v>1175.0999999999999</v>
      </c>
      <c r="I398">
        <v>0</v>
      </c>
      <c r="J398" s="21">
        <v>0</v>
      </c>
      <c r="K398">
        <v>12</v>
      </c>
      <c r="L398" s="21">
        <v>282.02</v>
      </c>
      <c r="M398" s="21">
        <v>2632.22</v>
      </c>
      <c r="N398" s="21">
        <v>1167.72</v>
      </c>
      <c r="O398" s="21">
        <v>1182.48</v>
      </c>
      <c r="P398" t="s">
        <v>121</v>
      </c>
      <c r="Q398" t="s">
        <v>120</v>
      </c>
      <c r="R398" t="s">
        <v>151</v>
      </c>
      <c r="S398" t="s">
        <v>811</v>
      </c>
      <c r="T398" t="s">
        <v>161</v>
      </c>
      <c r="U398" t="s">
        <v>154</v>
      </c>
      <c r="V398" t="str">
        <f>IFERROR(INDEX(Products!$C:$C,MATCH(D398,Products!$A:$A,0)),"Unknown")</f>
        <v>Accessories</v>
      </c>
      <c r="W398" t="str">
        <f>IFERROR(INDEX(Products!$E:$E,MATCH(D398,Products!$A:$A,0)),"Unknown")</f>
        <v>Being Human</v>
      </c>
      <c r="X398" t="str">
        <f>IFERROR(INDEX(Stores!$B:$B,MATCH(E398,Stores!$A:$A,0)),"Unknown")</f>
        <v>TrendMart Guntur Outlet</v>
      </c>
      <c r="Y398" t="str">
        <f>IFERROR(INDEX(Stores!$E:$E,MATCH(E398,Stores!$A:$A,0)),"Unknown")</f>
        <v>South Zone 3</v>
      </c>
      <c r="Z398" t="str">
        <f>IFERROR(INDEX(Customers!$J:$J,MATCH(C398,Customers!$A:$A,0)),"Unknown")</f>
        <v>Gold</v>
      </c>
      <c r="AA398" t="str">
        <f t="shared" si="6"/>
        <v>2024-06</v>
      </c>
      <c r="AB398" t="str">
        <f>IFERROR(INDEX(Products!$I:$I,MATCH(D398,Products!$A:$A,0)),"Unknown")</f>
        <v>SUP069</v>
      </c>
    </row>
    <row r="399" spans="1:28" x14ac:dyDescent="0.25">
      <c r="A399" t="s">
        <v>1490</v>
      </c>
      <c r="B399" s="20">
        <v>45405</v>
      </c>
      <c r="C399" t="s">
        <v>493</v>
      </c>
      <c r="D399" t="s">
        <v>149</v>
      </c>
      <c r="E399" t="s">
        <v>1187</v>
      </c>
      <c r="F399" t="s">
        <v>170</v>
      </c>
      <c r="G399">
        <v>4</v>
      </c>
      <c r="H399" s="21">
        <v>771.33</v>
      </c>
      <c r="I399">
        <v>5</v>
      </c>
      <c r="J399" s="21">
        <v>154.27000000000001</v>
      </c>
      <c r="K399">
        <v>5</v>
      </c>
      <c r="L399" s="21">
        <v>146.55000000000001</v>
      </c>
      <c r="M399" s="21">
        <v>3077.6</v>
      </c>
      <c r="N399" s="21">
        <v>1986.68</v>
      </c>
      <c r="O399" s="21">
        <v>944.37</v>
      </c>
      <c r="P399" t="s">
        <v>121</v>
      </c>
      <c r="Q399" t="s">
        <v>122</v>
      </c>
      <c r="R399" t="s">
        <v>151</v>
      </c>
      <c r="S399" t="s">
        <v>845</v>
      </c>
      <c r="T399" t="s">
        <v>153</v>
      </c>
      <c r="U399" t="s">
        <v>154</v>
      </c>
      <c r="V399" t="str">
        <f>IFERROR(INDEX(Products!$C:$C,MATCH(D399,Products!$A:$A,0)),"Unknown")</f>
        <v>Women Kurtis</v>
      </c>
      <c r="W399" t="str">
        <f>IFERROR(INDEX(Products!$E:$E,MATCH(D399,Products!$A:$A,0)),"Unknown")</f>
        <v>Pepe Jeans</v>
      </c>
      <c r="X399" t="str">
        <f>IFERROR(INDEX(Stores!$B:$B,MATCH(E399,Stores!$A:$A,0)),"Unknown")</f>
        <v>TrendMart Vijayawada Mall Kiosk</v>
      </c>
      <c r="Y399" t="str">
        <f>IFERROR(INDEX(Stores!$E:$E,MATCH(E399,Stores!$A:$A,0)),"Unknown")</f>
        <v>South Zone 3</v>
      </c>
      <c r="Z399" t="str">
        <f>IFERROR(INDEX(Customers!$J:$J,MATCH(C399,Customers!$A:$A,0)),"Unknown")</f>
        <v>Regular</v>
      </c>
      <c r="AA399" t="str">
        <f t="shared" si="6"/>
        <v>2024-04</v>
      </c>
      <c r="AB399" t="str">
        <f>IFERROR(INDEX(Products!$I:$I,MATCH(D399,Products!$A:$A,0)),"Unknown")</f>
        <v>SUP049</v>
      </c>
    </row>
    <row r="400" spans="1:28" x14ac:dyDescent="0.25">
      <c r="A400" t="s">
        <v>1491</v>
      </c>
      <c r="B400" s="20">
        <v>45555</v>
      </c>
      <c r="C400" t="s">
        <v>414</v>
      </c>
      <c r="D400" t="s">
        <v>372</v>
      </c>
      <c r="E400" t="s">
        <v>442</v>
      </c>
      <c r="F400" t="s">
        <v>150</v>
      </c>
      <c r="G400">
        <v>3</v>
      </c>
      <c r="H400" s="21">
        <v>655.45</v>
      </c>
      <c r="I400">
        <v>15</v>
      </c>
      <c r="J400" s="21">
        <v>294.95</v>
      </c>
      <c r="K400">
        <v>5</v>
      </c>
      <c r="L400" s="21">
        <v>83.57</v>
      </c>
      <c r="M400" s="21">
        <v>1754.97</v>
      </c>
      <c r="N400" s="21">
        <v>1240.17</v>
      </c>
      <c r="O400" s="21">
        <v>431.23</v>
      </c>
      <c r="P400" t="s">
        <v>125</v>
      </c>
      <c r="Q400" t="s">
        <v>122</v>
      </c>
      <c r="R400" t="s">
        <v>151</v>
      </c>
      <c r="S400" t="s">
        <v>1492</v>
      </c>
      <c r="T400" t="s">
        <v>153</v>
      </c>
      <c r="U400" t="s">
        <v>154</v>
      </c>
      <c r="V400" t="str">
        <f>IFERROR(INDEX(Products!$C:$C,MATCH(D400,Products!$A:$A,0)),"Unknown")</f>
        <v>Kids Wear</v>
      </c>
      <c r="W400" t="str">
        <f>IFERROR(INDEX(Products!$E:$E,MATCH(D400,Products!$A:$A,0)),"Unknown")</f>
        <v>Jack &amp; Jones</v>
      </c>
      <c r="X400" t="str">
        <f>IFERROR(INDEX(Stores!$B:$B,MATCH(E400,Stores!$A:$A,0)),"Unknown")</f>
        <v>TrendMart Bengaluru Standard</v>
      </c>
      <c r="Y400" t="str">
        <f>IFERROR(INDEX(Stores!$E:$E,MATCH(E400,Stores!$A:$A,0)),"Unknown")</f>
        <v>South Zone 2</v>
      </c>
      <c r="Z400" t="str">
        <f>IFERROR(INDEX(Customers!$J:$J,MATCH(C400,Customers!$A:$A,0)),"Unknown")</f>
        <v>Regular</v>
      </c>
      <c r="AA400" t="str">
        <f t="shared" si="6"/>
        <v>2024-09</v>
      </c>
      <c r="AB400" t="str">
        <f>IFERROR(INDEX(Products!$I:$I,MATCH(D400,Products!$A:$A,0)),"Unknown")</f>
        <v>SUP065</v>
      </c>
    </row>
    <row r="401" spans="1:28" x14ac:dyDescent="0.25">
      <c r="A401" t="s">
        <v>1493</v>
      </c>
      <c r="B401" s="20">
        <v>45449</v>
      </c>
      <c r="C401" t="s">
        <v>976</v>
      </c>
      <c r="D401" t="s">
        <v>1055</v>
      </c>
      <c r="E401" t="s">
        <v>334</v>
      </c>
      <c r="F401" t="s">
        <v>275</v>
      </c>
      <c r="G401">
        <v>0</v>
      </c>
      <c r="H401" s="21">
        <v>1567.26</v>
      </c>
      <c r="I401">
        <v>0</v>
      </c>
      <c r="J401" s="21">
        <v>0</v>
      </c>
      <c r="K401">
        <v>12</v>
      </c>
      <c r="L401" s="21">
        <v>0</v>
      </c>
      <c r="M401" s="21">
        <v>0</v>
      </c>
      <c r="N401" s="21">
        <v>0</v>
      </c>
      <c r="O401" s="21">
        <v>0</v>
      </c>
      <c r="P401" t="s">
        <v>124</v>
      </c>
      <c r="Q401" t="s">
        <v>120</v>
      </c>
      <c r="R401" t="s">
        <v>482</v>
      </c>
      <c r="S401" t="s">
        <v>264</v>
      </c>
      <c r="T401" t="s">
        <v>153</v>
      </c>
      <c r="U401" t="s">
        <v>154</v>
      </c>
      <c r="V401" t="str">
        <f>IFERROR(INDEX(Products!$C:$C,MATCH(D401,Products!$A:$A,0)),"Unknown")</f>
        <v>Wallets</v>
      </c>
      <c r="W401" t="str">
        <f>IFERROR(INDEX(Products!$E:$E,MATCH(D401,Products!$A:$A,0)),"Unknown")</f>
        <v>Nalli Silks</v>
      </c>
      <c r="X401" t="str">
        <f>IFERROR(INDEX(Stores!$B:$B,MATCH(E401,Stores!$A:$A,0)),"Unknown")</f>
        <v>TrendMart Madurai High Street</v>
      </c>
      <c r="Y401" t="str">
        <f>IFERROR(INDEX(Stores!$E:$E,MATCH(E401,Stores!$A:$A,0)),"Unknown")</f>
        <v>South Zone 1</v>
      </c>
      <c r="Z401" t="str">
        <f>IFERROR(INDEX(Customers!$J:$J,MATCH(C401,Customers!$A:$A,0)),"Unknown")</f>
        <v>Gold</v>
      </c>
      <c r="AA401" t="str">
        <f t="shared" si="6"/>
        <v>2024-06</v>
      </c>
      <c r="AB401" t="str">
        <f>IFERROR(INDEX(Products!$I:$I,MATCH(D401,Products!$A:$A,0)),"Unknown")</f>
        <v>SUP016</v>
      </c>
    </row>
    <row r="402" spans="1:28" x14ac:dyDescent="0.25">
      <c r="A402" t="s">
        <v>1494</v>
      </c>
      <c r="B402" s="20">
        <v>45454</v>
      </c>
      <c r="C402" t="s">
        <v>788</v>
      </c>
      <c r="D402" t="s">
        <v>367</v>
      </c>
      <c r="E402" t="s">
        <v>355</v>
      </c>
      <c r="F402" t="s">
        <v>275</v>
      </c>
      <c r="G402">
        <v>1</v>
      </c>
      <c r="H402" s="21">
        <v>721.95</v>
      </c>
      <c r="I402">
        <v>15</v>
      </c>
      <c r="J402" s="21">
        <v>108.29</v>
      </c>
      <c r="K402">
        <v>3</v>
      </c>
      <c r="L402" s="21">
        <v>18.41</v>
      </c>
      <c r="M402" s="21">
        <v>632.07000000000005</v>
      </c>
      <c r="N402" s="21">
        <v>556.99</v>
      </c>
      <c r="O402" s="21">
        <v>56.67</v>
      </c>
      <c r="P402" t="s">
        <v>125</v>
      </c>
      <c r="Q402" t="s">
        <v>120</v>
      </c>
      <c r="R402" t="s">
        <v>151</v>
      </c>
      <c r="S402" t="s">
        <v>293</v>
      </c>
      <c r="T402" t="s">
        <v>153</v>
      </c>
      <c r="U402" t="s">
        <v>154</v>
      </c>
      <c r="V402" t="str">
        <f>IFERROR(INDEX(Products!$C:$C,MATCH(D402,Products!$A:$A,0)),"Unknown")</f>
        <v>Jewellery</v>
      </c>
      <c r="W402" t="str">
        <f>IFERROR(INDEX(Products!$E:$E,MATCH(D402,Products!$A:$A,0)),"Unknown")</f>
        <v>Aurelia</v>
      </c>
      <c r="X402" t="str">
        <f>IFERROR(INDEX(Stores!$B:$B,MATCH(E402,Stores!$A:$A,0)),"Unknown")</f>
        <v>TrendMart Thiruvananthapuram High Street</v>
      </c>
      <c r="Y402" t="str">
        <f>IFERROR(INDEX(Stores!$E:$E,MATCH(E402,Stores!$A:$A,0)),"Unknown")</f>
        <v>South Zone 1</v>
      </c>
      <c r="Z402" t="str">
        <f>IFERROR(INDEX(Customers!$J:$J,MATCH(C402,Customers!$A:$A,0)),"Unknown")</f>
        <v>Silver</v>
      </c>
      <c r="AA402" t="str">
        <f t="shared" si="6"/>
        <v>2024-06</v>
      </c>
      <c r="AB402" t="str">
        <f>IFERROR(INDEX(Products!$I:$I,MATCH(D402,Products!$A:$A,0)),"Unknown")</f>
        <v>SUP067</v>
      </c>
    </row>
    <row r="403" spans="1:28" x14ac:dyDescent="0.25">
      <c r="A403" t="s">
        <v>1495</v>
      </c>
      <c r="B403" s="20">
        <v>45629</v>
      </c>
      <c r="C403" t="s">
        <v>1496</v>
      </c>
      <c r="D403" t="s">
        <v>174</v>
      </c>
      <c r="E403" t="s">
        <v>200</v>
      </c>
      <c r="F403" t="s">
        <v>403</v>
      </c>
      <c r="G403">
        <v>1</v>
      </c>
      <c r="H403" s="21">
        <v>850.86</v>
      </c>
      <c r="I403">
        <v>20</v>
      </c>
      <c r="J403" s="21">
        <v>170.17</v>
      </c>
      <c r="K403">
        <v>5</v>
      </c>
      <c r="L403" s="21">
        <v>34.03</v>
      </c>
      <c r="M403" s="21">
        <v>714.72</v>
      </c>
      <c r="N403" s="21">
        <v>539.76</v>
      </c>
      <c r="O403" s="21">
        <v>140.93</v>
      </c>
      <c r="P403" t="s">
        <v>124</v>
      </c>
      <c r="Q403" t="s">
        <v>122</v>
      </c>
      <c r="R403" t="s">
        <v>151</v>
      </c>
      <c r="S403" t="s">
        <v>1497</v>
      </c>
      <c r="T403" t="s">
        <v>153</v>
      </c>
      <c r="U403" t="s">
        <v>154</v>
      </c>
      <c r="V403" t="str">
        <f>IFERROR(INDEX(Products!$C:$C,MATCH(D403,Products!$A:$A,0)),"Unknown")</f>
        <v>Women Kurtis</v>
      </c>
      <c r="W403" t="str">
        <f>IFERROR(INDEX(Products!$E:$E,MATCH(D403,Products!$A:$A,0)),"Unknown")</f>
        <v>Reebok</v>
      </c>
      <c r="X403" t="str">
        <f>IFERROR(INDEX(Stores!$B:$B,MATCH(E403,Stores!$A:$A,0)),"Unknown")</f>
        <v>TrendMart Kozhikode Standard</v>
      </c>
      <c r="Y403" t="str">
        <f>IFERROR(INDEX(Stores!$E:$E,MATCH(E403,Stores!$A:$A,0)),"Unknown")</f>
        <v>South Zone 1</v>
      </c>
      <c r="Z403" t="str">
        <f>IFERROR(INDEX(Customers!$J:$J,MATCH(C403,Customers!$A:$A,0)),"Unknown")</f>
        <v>Gold</v>
      </c>
      <c r="AA403" t="str">
        <f t="shared" si="6"/>
        <v>2024-12</v>
      </c>
      <c r="AB403" t="str">
        <f>IFERROR(INDEX(Products!$I:$I,MATCH(D403,Products!$A:$A,0)),"Unknown")</f>
        <v>SUP012</v>
      </c>
    </row>
    <row r="404" spans="1:28" x14ac:dyDescent="0.25">
      <c r="A404" t="s">
        <v>1498</v>
      </c>
      <c r="B404" s="20">
        <v>45384</v>
      </c>
      <c r="C404" t="s">
        <v>676</v>
      </c>
      <c r="D404" t="s">
        <v>285</v>
      </c>
      <c r="E404" t="s">
        <v>158</v>
      </c>
      <c r="F404" t="s">
        <v>195</v>
      </c>
      <c r="G404">
        <v>1</v>
      </c>
      <c r="H404" s="21">
        <v>697.15</v>
      </c>
      <c r="I404">
        <v>30</v>
      </c>
      <c r="J404" s="21">
        <v>209.15</v>
      </c>
      <c r="K404">
        <v>5</v>
      </c>
      <c r="L404" s="21">
        <v>24.4</v>
      </c>
      <c r="M404" s="21">
        <v>512.4</v>
      </c>
      <c r="N404" s="21">
        <v>499.31</v>
      </c>
      <c r="O404" s="21">
        <v>-11.31</v>
      </c>
      <c r="P404" t="s">
        <v>123</v>
      </c>
      <c r="Q404" t="s">
        <v>120</v>
      </c>
      <c r="R404" t="s">
        <v>151</v>
      </c>
      <c r="S404" t="s">
        <v>1499</v>
      </c>
      <c r="T404" t="s">
        <v>153</v>
      </c>
      <c r="U404" t="s">
        <v>184</v>
      </c>
      <c r="V404" t="str">
        <f>IFERROR(INDEX(Products!$C:$C,MATCH(D404,Products!$A:$A,0)),"Unknown")</f>
        <v>Kids Wear</v>
      </c>
      <c r="W404" t="str">
        <f>IFERROR(INDEX(Products!$E:$E,MATCH(D404,Products!$A:$A,0)),"Unknown")</f>
        <v>Global Desi</v>
      </c>
      <c r="X404" t="str">
        <f>IFERROR(INDEX(Stores!$B:$B,MATCH(E404,Stores!$A:$A,0)),"Unknown")</f>
        <v>TrendMart Tirunelveli High Street</v>
      </c>
      <c r="Y404" t="str">
        <f>IFERROR(INDEX(Stores!$E:$E,MATCH(E404,Stores!$A:$A,0)),"Unknown")</f>
        <v>South Zone 1</v>
      </c>
      <c r="Z404" t="str">
        <f>IFERROR(INDEX(Customers!$J:$J,MATCH(C404,Customers!$A:$A,0)),"Unknown")</f>
        <v>Silver</v>
      </c>
      <c r="AA404" t="str">
        <f t="shared" si="6"/>
        <v>2024-04</v>
      </c>
      <c r="AB404" t="str">
        <f>IFERROR(INDEX(Products!$I:$I,MATCH(D404,Products!$A:$A,0)),"Unknown")</f>
        <v>SUP008</v>
      </c>
    </row>
    <row r="405" spans="1:28" x14ac:dyDescent="0.25">
      <c r="A405" t="s">
        <v>1500</v>
      </c>
      <c r="B405" s="20">
        <v>45598</v>
      </c>
      <c r="C405" t="s">
        <v>1501</v>
      </c>
      <c r="D405" t="s">
        <v>931</v>
      </c>
      <c r="E405" t="s">
        <v>815</v>
      </c>
      <c r="F405" t="s">
        <v>292</v>
      </c>
      <c r="G405">
        <v>2</v>
      </c>
      <c r="H405" s="21">
        <v>1430.69</v>
      </c>
      <c r="I405">
        <v>20</v>
      </c>
      <c r="J405" s="21">
        <v>572.28</v>
      </c>
      <c r="K405">
        <v>12</v>
      </c>
      <c r="L405" s="21">
        <v>274.69</v>
      </c>
      <c r="M405" s="21">
        <v>2563.79</v>
      </c>
      <c r="N405" s="21">
        <v>2041.8</v>
      </c>
      <c r="O405" s="21">
        <v>247.3</v>
      </c>
      <c r="P405" t="s">
        <v>121</v>
      </c>
      <c r="Q405" t="s">
        <v>120</v>
      </c>
      <c r="R405" t="s">
        <v>151</v>
      </c>
      <c r="S405" t="s">
        <v>1310</v>
      </c>
      <c r="T405" t="s">
        <v>161</v>
      </c>
      <c r="U405" t="s">
        <v>154</v>
      </c>
      <c r="V405" t="str">
        <f>IFERROR(INDEX(Products!$C:$C,MATCH(D405,Products!$A:$A,0)),"Unknown")</f>
        <v>Women Sarees</v>
      </c>
      <c r="W405" t="str">
        <f>IFERROR(INDEX(Products!$E:$E,MATCH(D405,Products!$A:$A,0)),"Unknown")</f>
        <v>Jack &amp; Jones</v>
      </c>
      <c r="X405" t="str">
        <f>IFERROR(INDEX(Stores!$B:$B,MATCH(E405,Stores!$A:$A,0)),"Unknown")</f>
        <v>TrendMart Madurai Mall Kiosk</v>
      </c>
      <c r="Y405" t="str">
        <f>IFERROR(INDEX(Stores!$E:$E,MATCH(E405,Stores!$A:$A,0)),"Unknown")</f>
        <v>South Zone 1</v>
      </c>
      <c r="Z405" t="str">
        <f>IFERROR(INDEX(Customers!$J:$J,MATCH(C405,Customers!$A:$A,0)),"Unknown")</f>
        <v>Regular</v>
      </c>
      <c r="AA405" t="str">
        <f t="shared" si="6"/>
        <v>2024-11</v>
      </c>
      <c r="AB405" t="str">
        <f>IFERROR(INDEX(Products!$I:$I,MATCH(D405,Products!$A:$A,0)),"Unknown")</f>
        <v>SUP058</v>
      </c>
    </row>
    <row r="406" spans="1:28" x14ac:dyDescent="0.25">
      <c r="A406" t="s">
        <v>1502</v>
      </c>
      <c r="B406" s="20">
        <v>45451</v>
      </c>
      <c r="C406" t="s">
        <v>1503</v>
      </c>
      <c r="D406" t="s">
        <v>1504</v>
      </c>
      <c r="E406" t="s">
        <v>934</v>
      </c>
      <c r="F406" t="s">
        <v>211</v>
      </c>
      <c r="G406">
        <v>3</v>
      </c>
      <c r="H406" s="21">
        <v>1902.88</v>
      </c>
      <c r="I406">
        <v>5</v>
      </c>
      <c r="J406" s="21">
        <v>285.43</v>
      </c>
      <c r="K406">
        <v>12</v>
      </c>
      <c r="L406" s="21">
        <v>650.79</v>
      </c>
      <c r="M406" s="21">
        <v>6074</v>
      </c>
      <c r="N406" s="21">
        <v>3433.77</v>
      </c>
      <c r="O406" s="21">
        <v>1989.44</v>
      </c>
      <c r="P406" t="s">
        <v>123</v>
      </c>
      <c r="Q406" t="s">
        <v>120</v>
      </c>
      <c r="R406" t="s">
        <v>151</v>
      </c>
      <c r="S406" t="s">
        <v>1505</v>
      </c>
      <c r="T406" t="s">
        <v>161</v>
      </c>
      <c r="U406" t="s">
        <v>154</v>
      </c>
      <c r="V406" t="str">
        <f>IFERROR(INDEX(Products!$C:$C,MATCH(D406,Products!$A:$A,0)),"Unknown")</f>
        <v>Women Dresses</v>
      </c>
      <c r="W406" t="str">
        <f>IFERROR(INDEX(Products!$E:$E,MATCH(D406,Products!$A:$A,0)),"Unknown")</f>
        <v>Westside</v>
      </c>
      <c r="X406" t="str">
        <f>IFERROR(INDEX(Stores!$B:$B,MATCH(E406,Stores!$A:$A,0)),"Unknown")</f>
        <v>TrendMart Bengaluru High Street</v>
      </c>
      <c r="Y406" t="str">
        <f>IFERROR(INDEX(Stores!$E:$E,MATCH(E406,Stores!$A:$A,0)),"Unknown")</f>
        <v>South Zone 2</v>
      </c>
      <c r="Z406" t="str">
        <f>IFERROR(INDEX(Customers!$J:$J,MATCH(C406,Customers!$A:$A,0)),"Unknown")</f>
        <v>Platinum</v>
      </c>
      <c r="AA406" t="str">
        <f t="shared" si="6"/>
        <v>2024-06</v>
      </c>
      <c r="AB406" t="str">
        <f>IFERROR(INDEX(Products!$I:$I,MATCH(D406,Products!$A:$A,0)),"Unknown")</f>
        <v>SUP010</v>
      </c>
    </row>
    <row r="407" spans="1:28" x14ac:dyDescent="0.25">
      <c r="A407" t="s">
        <v>1506</v>
      </c>
      <c r="B407" s="20">
        <v>45499</v>
      </c>
      <c r="C407" t="s">
        <v>1507</v>
      </c>
      <c r="D407" t="s">
        <v>329</v>
      </c>
      <c r="E407" t="s">
        <v>1068</v>
      </c>
      <c r="F407" t="s">
        <v>221</v>
      </c>
      <c r="G407">
        <v>5</v>
      </c>
      <c r="H407" s="21">
        <v>653.08000000000004</v>
      </c>
      <c r="I407">
        <v>10</v>
      </c>
      <c r="J407" s="21">
        <v>326.54000000000002</v>
      </c>
      <c r="K407">
        <v>5</v>
      </c>
      <c r="L407" s="21">
        <v>146.94</v>
      </c>
      <c r="M407" s="21">
        <v>3085.8</v>
      </c>
      <c r="N407" s="21">
        <v>2096.4</v>
      </c>
      <c r="O407" s="21">
        <v>842.46</v>
      </c>
      <c r="P407" t="s">
        <v>121</v>
      </c>
      <c r="Q407" t="s">
        <v>122</v>
      </c>
      <c r="R407" t="s">
        <v>151</v>
      </c>
      <c r="S407" t="s">
        <v>1508</v>
      </c>
      <c r="T407" t="s">
        <v>153</v>
      </c>
      <c r="U407" t="s">
        <v>154</v>
      </c>
      <c r="V407" t="str">
        <f>IFERROR(INDEX(Products!$C:$C,MATCH(D407,Products!$A:$A,0)),"Unknown")</f>
        <v>Men T-Shirts</v>
      </c>
      <c r="W407" t="str">
        <f>IFERROR(INDEX(Products!$E:$E,MATCH(D407,Products!$A:$A,0)),"Unknown")</f>
        <v>Peter England</v>
      </c>
      <c r="X407" t="str">
        <f>IFERROR(INDEX(Stores!$B:$B,MATCH(E407,Stores!$A:$A,0)),"Unknown")</f>
        <v>TrendMart Tumakuru High Street</v>
      </c>
      <c r="Y407" t="str">
        <f>IFERROR(INDEX(Stores!$E:$E,MATCH(E407,Stores!$A:$A,0)),"Unknown")</f>
        <v>South Zone 2</v>
      </c>
      <c r="Z407" t="str">
        <f>IFERROR(INDEX(Customers!$J:$J,MATCH(C407,Customers!$A:$A,0)),"Unknown")</f>
        <v>Gold</v>
      </c>
      <c r="AA407" t="str">
        <f t="shared" si="6"/>
        <v>2024-07</v>
      </c>
      <c r="AB407" t="str">
        <f>IFERROR(INDEX(Products!$I:$I,MATCH(D407,Products!$A:$A,0)),"Unknown")</f>
        <v>SUP071</v>
      </c>
    </row>
    <row r="408" spans="1:28" x14ac:dyDescent="0.25">
      <c r="A408" t="s">
        <v>1509</v>
      </c>
      <c r="B408" s="20">
        <v>45453</v>
      </c>
      <c r="C408" t="s">
        <v>1510</v>
      </c>
      <c r="D408" t="s">
        <v>1511</v>
      </c>
      <c r="E408" t="s">
        <v>1512</v>
      </c>
      <c r="F408" t="s">
        <v>443</v>
      </c>
      <c r="G408">
        <v>2</v>
      </c>
      <c r="H408" s="21">
        <v>2325.9899999999998</v>
      </c>
      <c r="I408">
        <v>0</v>
      </c>
      <c r="J408" s="21">
        <v>0</v>
      </c>
      <c r="K408">
        <v>12</v>
      </c>
      <c r="L408" s="21">
        <v>558.24</v>
      </c>
      <c r="M408" s="21">
        <v>5210.22</v>
      </c>
      <c r="N408" s="21">
        <v>3612.06</v>
      </c>
      <c r="O408" s="21">
        <v>1039.92</v>
      </c>
      <c r="P408" t="s">
        <v>121</v>
      </c>
      <c r="Q408" t="s">
        <v>122</v>
      </c>
      <c r="R408" t="s">
        <v>151</v>
      </c>
      <c r="S408" t="s">
        <v>1513</v>
      </c>
      <c r="T408" t="s">
        <v>153</v>
      </c>
      <c r="U408" t="s">
        <v>154</v>
      </c>
      <c r="V408" t="str">
        <f>IFERROR(INDEX(Products!$C:$C,MATCH(D408,Products!$A:$A,0)),"Unknown")</f>
        <v>Watches</v>
      </c>
      <c r="W408" t="str">
        <f>IFERROR(INDEX(Products!$E:$E,MATCH(D408,Products!$A:$A,0)),"Unknown")</f>
        <v>Woodland</v>
      </c>
      <c r="X408" t="str">
        <f>IFERROR(INDEX(Stores!$B:$B,MATCH(E408,Stores!$A:$A,0)),"Unknown")</f>
        <v>TrendMart Erode Mall Kiosk</v>
      </c>
      <c r="Y408" t="str">
        <f>IFERROR(INDEX(Stores!$E:$E,MATCH(E408,Stores!$A:$A,0)),"Unknown")</f>
        <v>South Zone 1</v>
      </c>
      <c r="Z408" t="str">
        <f>IFERROR(INDEX(Customers!$J:$J,MATCH(C408,Customers!$A:$A,0)),"Unknown")</f>
        <v>Gold</v>
      </c>
      <c r="AA408" t="str">
        <f t="shared" si="6"/>
        <v>2024-06</v>
      </c>
      <c r="AB408" t="str">
        <f>IFERROR(INDEX(Products!$I:$I,MATCH(D408,Products!$A:$A,0)),"Unknown")</f>
        <v>SUP064</v>
      </c>
    </row>
    <row r="409" spans="1:28" x14ac:dyDescent="0.25">
      <c r="A409" t="s">
        <v>1514</v>
      </c>
      <c r="B409" s="20">
        <v>45416</v>
      </c>
      <c r="C409" t="s">
        <v>1515</v>
      </c>
      <c r="D409" t="s">
        <v>1350</v>
      </c>
      <c r="E409" t="s">
        <v>93</v>
      </c>
      <c r="F409" t="s">
        <v>462</v>
      </c>
      <c r="G409">
        <v>2</v>
      </c>
      <c r="H409" s="21">
        <v>703.06</v>
      </c>
      <c r="I409">
        <v>0</v>
      </c>
      <c r="J409" s="21">
        <v>0</v>
      </c>
      <c r="K409">
        <v>5</v>
      </c>
      <c r="L409" s="21">
        <v>70.31</v>
      </c>
      <c r="M409" s="21">
        <v>1476.43</v>
      </c>
      <c r="N409" s="21">
        <v>838.8</v>
      </c>
      <c r="O409" s="21">
        <v>567.32000000000005</v>
      </c>
      <c r="P409" t="s">
        <v>124</v>
      </c>
      <c r="Q409" t="s">
        <v>122</v>
      </c>
      <c r="R409" t="s">
        <v>151</v>
      </c>
      <c r="S409" t="s">
        <v>1516</v>
      </c>
      <c r="T409" t="s">
        <v>161</v>
      </c>
      <c r="U409" t="s">
        <v>154</v>
      </c>
      <c r="V409" t="str">
        <f>IFERROR(INDEX(Products!$C:$C,MATCH(D409,Products!$A:$A,0)),"Unknown")</f>
        <v>Women Tops</v>
      </c>
      <c r="W409" t="str">
        <f>IFERROR(INDEX(Products!$E:$E,MATCH(D409,Products!$A:$A,0)),"Unknown")</f>
        <v>Jack &amp; Jones</v>
      </c>
      <c r="X409" t="str">
        <f>IFERROR(INDEX(Stores!$B:$B,MATCH(E409,Stores!$A:$A,0)),"Unknown")</f>
        <v>TrendMart Thiruvananthapuram High Street</v>
      </c>
      <c r="Y409" t="str">
        <f>IFERROR(INDEX(Stores!$E:$E,MATCH(E409,Stores!$A:$A,0)),"Unknown")</f>
        <v>South Zone 1</v>
      </c>
      <c r="Z409" t="str">
        <f>IFERROR(INDEX(Customers!$J:$J,MATCH(C409,Customers!$A:$A,0)),"Unknown")</f>
        <v>Regular</v>
      </c>
      <c r="AA409" t="str">
        <f t="shared" si="6"/>
        <v>2024-05</v>
      </c>
      <c r="AB409" t="str">
        <f>IFERROR(INDEX(Products!$I:$I,MATCH(D409,Products!$A:$A,0)),"Unknown")</f>
        <v>SUP089</v>
      </c>
    </row>
    <row r="410" spans="1:28" x14ac:dyDescent="0.25">
      <c r="A410" t="s">
        <v>1517</v>
      </c>
      <c r="B410" s="20">
        <v>45515</v>
      </c>
      <c r="C410" t="s">
        <v>514</v>
      </c>
      <c r="D410" t="s">
        <v>767</v>
      </c>
      <c r="E410" t="s">
        <v>798</v>
      </c>
      <c r="F410" t="s">
        <v>232</v>
      </c>
      <c r="G410">
        <v>2</v>
      </c>
      <c r="H410" s="21">
        <v>444.77</v>
      </c>
      <c r="I410">
        <v>0</v>
      </c>
      <c r="J410" s="21">
        <v>0</v>
      </c>
      <c r="K410">
        <v>5</v>
      </c>
      <c r="L410" s="21">
        <v>44.48</v>
      </c>
      <c r="M410" s="21">
        <v>934.02</v>
      </c>
      <c r="N410" s="21">
        <v>524.12</v>
      </c>
      <c r="O410" s="21">
        <v>365.42</v>
      </c>
      <c r="P410" t="s">
        <v>121</v>
      </c>
      <c r="Q410" t="s">
        <v>120</v>
      </c>
      <c r="R410" t="s">
        <v>151</v>
      </c>
      <c r="S410" t="s">
        <v>1518</v>
      </c>
      <c r="T410" t="s">
        <v>161</v>
      </c>
      <c r="U410" t="s">
        <v>154</v>
      </c>
      <c r="V410" t="str">
        <f>IFERROR(INDEX(Products!$C:$C,MATCH(D410,Products!$A:$A,0)),"Unknown")</f>
        <v>Men T-Shirts</v>
      </c>
      <c r="W410" t="str">
        <f>IFERROR(INDEX(Products!$E:$E,MATCH(D410,Products!$A:$A,0)),"Unknown")</f>
        <v>Skechers</v>
      </c>
      <c r="X410" t="str">
        <f>IFERROR(INDEX(Stores!$B:$B,MATCH(E410,Stores!$A:$A,0)),"Unknown")</f>
        <v>TrendMart Guntur Standard</v>
      </c>
      <c r="Y410" t="str">
        <f>IFERROR(INDEX(Stores!$E:$E,MATCH(E410,Stores!$A:$A,0)),"Unknown")</f>
        <v>South Zone 3</v>
      </c>
      <c r="Z410" t="str">
        <f>IFERROR(INDEX(Customers!$J:$J,MATCH(C410,Customers!$A:$A,0)),"Unknown")</f>
        <v>Regular</v>
      </c>
      <c r="AA410" t="str">
        <f t="shared" si="6"/>
        <v>2024-08</v>
      </c>
      <c r="AB410" t="str">
        <f>IFERROR(INDEX(Products!$I:$I,MATCH(D410,Products!$A:$A,0)),"Unknown")</f>
        <v>SUP061</v>
      </c>
    </row>
    <row r="411" spans="1:28" x14ac:dyDescent="0.25">
      <c r="A411" t="s">
        <v>1519</v>
      </c>
      <c r="B411" s="20">
        <v>45497</v>
      </c>
      <c r="C411" t="s">
        <v>1255</v>
      </c>
      <c r="D411" t="s">
        <v>1520</v>
      </c>
      <c r="E411" t="s">
        <v>914</v>
      </c>
      <c r="F411" t="s">
        <v>297</v>
      </c>
      <c r="G411">
        <v>1</v>
      </c>
      <c r="H411" s="21">
        <v>4527.71</v>
      </c>
      <c r="I411">
        <v>0</v>
      </c>
      <c r="J411" s="21">
        <v>0</v>
      </c>
      <c r="K411">
        <v>12</v>
      </c>
      <c r="L411" s="21">
        <v>543.33000000000004</v>
      </c>
      <c r="M411" s="21">
        <v>5071.04</v>
      </c>
      <c r="N411" s="21">
        <v>3236.57</v>
      </c>
      <c r="O411" s="21">
        <v>1291.1400000000001</v>
      </c>
      <c r="P411" t="s">
        <v>124</v>
      </c>
      <c r="Q411" t="s">
        <v>120</v>
      </c>
      <c r="R411" t="s">
        <v>151</v>
      </c>
      <c r="S411" t="s">
        <v>988</v>
      </c>
      <c r="T411" t="s">
        <v>153</v>
      </c>
      <c r="U411" t="s">
        <v>154</v>
      </c>
      <c r="V411" t="str">
        <f>IFERROR(INDEX(Products!$C:$C,MATCH(D411,Products!$A:$A,0)),"Unknown")</f>
        <v>Women Sarees</v>
      </c>
      <c r="W411" t="str">
        <f>IFERROR(INDEX(Products!$E:$E,MATCH(D411,Products!$A:$A,0)),"Unknown")</f>
        <v>Pepe Jeans</v>
      </c>
      <c r="X411" t="str">
        <f>IFERROR(INDEX(Stores!$B:$B,MATCH(E411,Stores!$A:$A,0)),"Unknown")</f>
        <v>TrendMart Thiruvananthapuram Outlet</v>
      </c>
      <c r="Y411" t="str">
        <f>IFERROR(INDEX(Stores!$E:$E,MATCH(E411,Stores!$A:$A,0)),"Unknown")</f>
        <v>South Zone 1</v>
      </c>
      <c r="Z411" t="str">
        <f>IFERROR(INDEX(Customers!$J:$J,MATCH(C411,Customers!$A:$A,0)),"Unknown")</f>
        <v>Regular</v>
      </c>
      <c r="AA411" t="str">
        <f t="shared" si="6"/>
        <v>2024-07</v>
      </c>
      <c r="AB411" t="str">
        <f>IFERROR(INDEX(Products!$I:$I,MATCH(D411,Products!$A:$A,0)),"Unknown")</f>
        <v>SUP009</v>
      </c>
    </row>
    <row r="412" spans="1:28" x14ac:dyDescent="0.25">
      <c r="A412" t="s">
        <v>1521</v>
      </c>
      <c r="B412" s="20">
        <v>45699</v>
      </c>
      <c r="C412" t="s">
        <v>1033</v>
      </c>
      <c r="D412" t="s">
        <v>342</v>
      </c>
      <c r="E412" t="s">
        <v>1522</v>
      </c>
      <c r="F412" t="s">
        <v>189</v>
      </c>
      <c r="G412">
        <v>1</v>
      </c>
      <c r="H412" s="21">
        <v>4786.29</v>
      </c>
      <c r="I412">
        <v>10</v>
      </c>
      <c r="J412" s="21">
        <v>478.63</v>
      </c>
      <c r="K412">
        <v>12</v>
      </c>
      <c r="L412" s="21">
        <v>516.91999999999996</v>
      </c>
      <c r="M412" s="21">
        <v>4824.58</v>
      </c>
      <c r="N412" s="21">
        <v>3650.55</v>
      </c>
      <c r="O412" s="21">
        <v>657.11</v>
      </c>
      <c r="P412" t="s">
        <v>125</v>
      </c>
      <c r="Q412" t="s">
        <v>120</v>
      </c>
      <c r="R412" t="s">
        <v>313</v>
      </c>
      <c r="S412" t="s">
        <v>1523</v>
      </c>
      <c r="T412" t="s">
        <v>153</v>
      </c>
      <c r="U412" t="s">
        <v>154</v>
      </c>
      <c r="V412" t="str">
        <f>IFERROR(INDEX(Products!$C:$C,MATCH(D412,Products!$A:$A,0)),"Unknown")</f>
        <v>Watches</v>
      </c>
      <c r="W412" t="str">
        <f>IFERROR(INDEX(Products!$E:$E,MATCH(D412,Products!$A:$A,0)),"Unknown")</f>
        <v>Pepe Jeans</v>
      </c>
      <c r="X412" t="str">
        <f>IFERROR(INDEX(Stores!$B:$B,MATCH(E412,Stores!$A:$A,0)),"Unknown")</f>
        <v>TrendMart Guntur High Street</v>
      </c>
      <c r="Y412" t="str">
        <f>IFERROR(INDEX(Stores!$E:$E,MATCH(E412,Stores!$A:$A,0)),"Unknown")</f>
        <v>South Zone 3</v>
      </c>
      <c r="Z412" t="str">
        <f>IFERROR(INDEX(Customers!$J:$J,MATCH(C412,Customers!$A:$A,0)),"Unknown")</f>
        <v>Platinum</v>
      </c>
      <c r="AA412" t="str">
        <f t="shared" si="6"/>
        <v>2025-02</v>
      </c>
      <c r="AB412" t="str">
        <f>IFERROR(INDEX(Products!$I:$I,MATCH(D412,Products!$A:$A,0)),"Unknown")</f>
        <v>SUP052</v>
      </c>
    </row>
    <row r="413" spans="1:28" x14ac:dyDescent="0.25">
      <c r="A413" t="s">
        <v>1524</v>
      </c>
      <c r="B413" s="20">
        <v>45440</v>
      </c>
      <c r="C413" t="s">
        <v>1159</v>
      </c>
      <c r="D413" t="s">
        <v>1178</v>
      </c>
      <c r="E413" t="s">
        <v>391</v>
      </c>
      <c r="F413" t="s">
        <v>269</v>
      </c>
      <c r="G413">
        <v>1</v>
      </c>
      <c r="H413" s="21">
        <v>1720.39</v>
      </c>
      <c r="I413">
        <v>0</v>
      </c>
      <c r="J413" s="21">
        <v>0</v>
      </c>
      <c r="K413">
        <v>12</v>
      </c>
      <c r="L413" s="21">
        <v>206.45</v>
      </c>
      <c r="M413" s="21">
        <v>1926.84</v>
      </c>
      <c r="N413" s="21">
        <v>1145.21</v>
      </c>
      <c r="O413" s="21">
        <v>575.17999999999995</v>
      </c>
      <c r="P413" t="s">
        <v>121</v>
      </c>
      <c r="Q413" t="s">
        <v>120</v>
      </c>
      <c r="R413" t="s">
        <v>151</v>
      </c>
      <c r="S413" t="s">
        <v>1525</v>
      </c>
      <c r="T413" t="s">
        <v>153</v>
      </c>
      <c r="U413" t="s">
        <v>154</v>
      </c>
      <c r="V413" t="str">
        <f>IFERROR(INDEX(Products!$C:$C,MATCH(D413,Products!$A:$A,0)),"Unknown")</f>
        <v>Footwear</v>
      </c>
      <c r="W413" t="str">
        <f>IFERROR(INDEX(Products!$E:$E,MATCH(D413,Products!$A:$A,0)),"Unknown")</f>
        <v>Sparx</v>
      </c>
      <c r="X413" t="str">
        <f>IFERROR(INDEX(Stores!$B:$B,MATCH(E413,Stores!$A:$A,0)),"Unknown")</f>
        <v>TrendMart Warangal High Street</v>
      </c>
      <c r="Y413" t="str">
        <f>IFERROR(INDEX(Stores!$E:$E,MATCH(E413,Stores!$A:$A,0)),"Unknown")</f>
        <v>South Zone 2</v>
      </c>
      <c r="Z413" t="str">
        <f>IFERROR(INDEX(Customers!$J:$J,MATCH(C413,Customers!$A:$A,0)),"Unknown")</f>
        <v>Silver</v>
      </c>
      <c r="AA413" t="str">
        <f t="shared" si="6"/>
        <v>2024-05</v>
      </c>
      <c r="AB413" t="str">
        <f>IFERROR(INDEX(Products!$I:$I,MATCH(D413,Products!$A:$A,0)),"Unknown")</f>
        <v>SUP063</v>
      </c>
    </row>
    <row r="414" spans="1:28" x14ac:dyDescent="0.25">
      <c r="A414" t="s">
        <v>1526</v>
      </c>
      <c r="B414" s="20">
        <v>45402</v>
      </c>
      <c r="C414" t="s">
        <v>1527</v>
      </c>
      <c r="D414" t="s">
        <v>481</v>
      </c>
      <c r="E414" t="s">
        <v>752</v>
      </c>
      <c r="F414" t="s">
        <v>443</v>
      </c>
      <c r="G414">
        <v>2</v>
      </c>
      <c r="H414" s="21">
        <v>958.53</v>
      </c>
      <c r="I414">
        <v>20</v>
      </c>
      <c r="J414" s="21">
        <v>383.41</v>
      </c>
      <c r="K414">
        <v>5</v>
      </c>
      <c r="L414" s="21">
        <v>76.680000000000007</v>
      </c>
      <c r="M414" s="21">
        <v>1610.33</v>
      </c>
      <c r="N414" s="21">
        <v>1396.16</v>
      </c>
      <c r="O414" s="21">
        <v>137.49</v>
      </c>
      <c r="P414" t="s">
        <v>125</v>
      </c>
      <c r="Q414" t="s">
        <v>122</v>
      </c>
      <c r="R414" t="s">
        <v>151</v>
      </c>
      <c r="S414" t="s">
        <v>1528</v>
      </c>
      <c r="T414" t="s">
        <v>161</v>
      </c>
      <c r="U414" t="s">
        <v>154</v>
      </c>
      <c r="V414" t="str">
        <f>IFERROR(INDEX(Products!$C:$C,MATCH(D414,Products!$A:$A,0)),"Unknown")</f>
        <v>Women Dresses</v>
      </c>
      <c r="W414" t="str">
        <f>IFERROR(INDEX(Products!$E:$E,MATCH(D414,Products!$A:$A,0)),"Unknown")</f>
        <v>Jack &amp; Jones</v>
      </c>
      <c r="X414" t="str">
        <f>IFERROR(INDEX(Stores!$B:$B,MATCH(E414,Stores!$A:$A,0)),"Unknown")</f>
        <v>TrendMart Dindigul High Street</v>
      </c>
      <c r="Y414" t="str">
        <f>IFERROR(INDEX(Stores!$E:$E,MATCH(E414,Stores!$A:$A,0)),"Unknown")</f>
        <v>South Zone 1</v>
      </c>
      <c r="Z414" t="str">
        <f>IFERROR(INDEX(Customers!$J:$J,MATCH(C414,Customers!$A:$A,0)),"Unknown")</f>
        <v>Gold</v>
      </c>
      <c r="AA414" t="str">
        <f t="shared" si="6"/>
        <v>2024-04</v>
      </c>
      <c r="AB414" t="str">
        <f>IFERROR(INDEX(Products!$I:$I,MATCH(D414,Products!$A:$A,0)),"Unknown")</f>
        <v>SUP069</v>
      </c>
    </row>
    <row r="415" spans="1:28" x14ac:dyDescent="0.25">
      <c r="A415" t="s">
        <v>1529</v>
      </c>
      <c r="B415" s="20">
        <v>45384</v>
      </c>
      <c r="C415" t="s">
        <v>1530</v>
      </c>
      <c r="D415" t="s">
        <v>149</v>
      </c>
      <c r="E415" t="s">
        <v>701</v>
      </c>
      <c r="F415" t="s">
        <v>176</v>
      </c>
      <c r="G415">
        <v>2</v>
      </c>
      <c r="H415" s="21">
        <v>764.17</v>
      </c>
      <c r="I415">
        <v>30</v>
      </c>
      <c r="J415" s="21">
        <v>458.5</v>
      </c>
      <c r="K415">
        <v>5</v>
      </c>
      <c r="L415" s="21">
        <v>53.49</v>
      </c>
      <c r="M415" s="21">
        <v>1123.33</v>
      </c>
      <c r="N415" s="21">
        <v>993.34</v>
      </c>
      <c r="O415" s="21">
        <v>76.5</v>
      </c>
      <c r="P415" t="s">
        <v>121</v>
      </c>
      <c r="Q415" t="s">
        <v>120</v>
      </c>
      <c r="R415" t="s">
        <v>151</v>
      </c>
      <c r="S415" t="s">
        <v>1439</v>
      </c>
      <c r="T415" t="s">
        <v>153</v>
      </c>
      <c r="U415" t="s">
        <v>154</v>
      </c>
      <c r="V415" t="str">
        <f>IFERROR(INDEX(Products!$C:$C,MATCH(D415,Products!$A:$A,0)),"Unknown")</f>
        <v>Women Kurtis</v>
      </c>
      <c r="W415" t="str">
        <f>IFERROR(INDEX(Products!$E:$E,MATCH(D415,Products!$A:$A,0)),"Unknown")</f>
        <v>Pepe Jeans</v>
      </c>
      <c r="X415" t="str">
        <f>IFERROR(INDEX(Stores!$B:$B,MATCH(E415,Stores!$A:$A,0)),"Unknown")</f>
        <v>TrendMart Vijayawada Mall Kiosk</v>
      </c>
      <c r="Y415" t="str">
        <f>IFERROR(INDEX(Stores!$E:$E,MATCH(E415,Stores!$A:$A,0)),"Unknown")</f>
        <v>South Zone 3</v>
      </c>
      <c r="Z415" t="str">
        <f>IFERROR(INDEX(Customers!$J:$J,MATCH(C415,Customers!$A:$A,0)),"Unknown")</f>
        <v>Regular</v>
      </c>
      <c r="AA415" t="str">
        <f t="shared" si="6"/>
        <v>2024-04</v>
      </c>
      <c r="AB415" t="str">
        <f>IFERROR(INDEX(Products!$I:$I,MATCH(D415,Products!$A:$A,0)),"Unknown")</f>
        <v>SUP049</v>
      </c>
    </row>
    <row r="416" spans="1:28" x14ac:dyDescent="0.25">
      <c r="A416" t="s">
        <v>1531</v>
      </c>
      <c r="B416" s="20">
        <v>45502</v>
      </c>
      <c r="C416" t="s">
        <v>818</v>
      </c>
      <c r="D416" t="s">
        <v>1224</v>
      </c>
      <c r="E416" t="s">
        <v>681</v>
      </c>
      <c r="F416" t="s">
        <v>189</v>
      </c>
      <c r="G416">
        <v>3</v>
      </c>
      <c r="H416" s="21">
        <v>1569.36</v>
      </c>
      <c r="I416">
        <v>0</v>
      </c>
      <c r="J416" s="21">
        <v>0</v>
      </c>
      <c r="K416">
        <v>12</v>
      </c>
      <c r="L416" s="21">
        <v>564.97</v>
      </c>
      <c r="M416" s="21">
        <v>5273.05</v>
      </c>
      <c r="N416" s="21">
        <v>3582.42</v>
      </c>
      <c r="O416" s="21">
        <v>1125.6600000000001</v>
      </c>
      <c r="P416" t="s">
        <v>124</v>
      </c>
      <c r="Q416" t="s">
        <v>120</v>
      </c>
      <c r="R416" t="s">
        <v>151</v>
      </c>
      <c r="S416" t="s">
        <v>1532</v>
      </c>
      <c r="T416" t="s">
        <v>153</v>
      </c>
      <c r="U416" t="s">
        <v>154</v>
      </c>
      <c r="V416" t="str">
        <f>IFERROR(INDEX(Products!$C:$C,MATCH(D416,Products!$A:$A,0)),"Unknown")</f>
        <v>Men Jeans</v>
      </c>
      <c r="W416" t="str">
        <f>IFERROR(INDEX(Products!$E:$E,MATCH(D416,Products!$A:$A,0)),"Unknown")</f>
        <v>Killer Jeans</v>
      </c>
      <c r="X416" t="str">
        <f>IFERROR(INDEX(Stores!$B:$B,MATCH(E416,Stores!$A:$A,0)),"Unknown")</f>
        <v>TrendMart Shivamogga Mall Kiosk</v>
      </c>
      <c r="Y416" t="str">
        <f>IFERROR(INDEX(Stores!$E:$E,MATCH(E416,Stores!$A:$A,0)),"Unknown")</f>
        <v>South Zone 2</v>
      </c>
      <c r="Z416" t="str">
        <f>IFERROR(INDEX(Customers!$J:$J,MATCH(C416,Customers!$A:$A,0)),"Unknown")</f>
        <v>Gold</v>
      </c>
      <c r="AA416" t="str">
        <f t="shared" si="6"/>
        <v>2024-07</v>
      </c>
      <c r="AB416" t="str">
        <f>IFERROR(INDEX(Products!$I:$I,MATCH(D416,Products!$A:$A,0)),"Unknown")</f>
        <v>SUP084</v>
      </c>
    </row>
    <row r="417" spans="1:28" x14ac:dyDescent="0.25">
      <c r="A417" t="s">
        <v>1533</v>
      </c>
      <c r="B417" s="20">
        <v>45737</v>
      </c>
      <c r="C417" t="s">
        <v>1534</v>
      </c>
      <c r="D417" t="s">
        <v>1101</v>
      </c>
      <c r="E417" t="s">
        <v>810</v>
      </c>
      <c r="F417" t="s">
        <v>403</v>
      </c>
      <c r="G417">
        <v>1</v>
      </c>
      <c r="H417" s="21">
        <v>814.37</v>
      </c>
      <c r="I417">
        <v>0</v>
      </c>
      <c r="J417" s="21">
        <v>0</v>
      </c>
      <c r="K417">
        <v>5</v>
      </c>
      <c r="L417" s="21">
        <v>40.72</v>
      </c>
      <c r="M417" s="21">
        <v>855.09</v>
      </c>
      <c r="N417" s="21">
        <v>565.45000000000005</v>
      </c>
      <c r="O417" s="21">
        <v>248.92</v>
      </c>
      <c r="P417" t="s">
        <v>121</v>
      </c>
      <c r="Q417" t="s">
        <v>122</v>
      </c>
      <c r="R417" t="s">
        <v>151</v>
      </c>
      <c r="S417" t="s">
        <v>899</v>
      </c>
      <c r="T417" t="s">
        <v>153</v>
      </c>
      <c r="U417" t="s">
        <v>154</v>
      </c>
      <c r="V417" t="str">
        <f>IFERROR(INDEX(Products!$C:$C,MATCH(D417,Products!$A:$A,0)),"Unknown")</f>
        <v>Kids Wear</v>
      </c>
      <c r="W417" t="str">
        <f>IFERROR(INDEX(Products!$E:$E,MATCH(D417,Products!$A:$A,0)),"Unknown")</f>
        <v>Woodland</v>
      </c>
      <c r="X417" t="str">
        <f>IFERROR(INDEX(Stores!$B:$B,MATCH(E417,Stores!$A:$A,0)),"Unknown")</f>
        <v>TrendMart Nizamabad Standard</v>
      </c>
      <c r="Y417" t="str">
        <f>IFERROR(INDEX(Stores!$E:$E,MATCH(E417,Stores!$A:$A,0)),"Unknown")</f>
        <v>South Zone 2</v>
      </c>
      <c r="Z417" t="str">
        <f>IFERROR(INDEX(Customers!$J:$J,MATCH(C417,Customers!$A:$A,0)),"Unknown")</f>
        <v>Regular</v>
      </c>
      <c r="AA417" t="str">
        <f t="shared" si="6"/>
        <v>2025-03</v>
      </c>
      <c r="AB417" t="str">
        <f>IFERROR(INDEX(Products!$I:$I,MATCH(D417,Products!$A:$A,0)),"Unknown")</f>
        <v>SUP010</v>
      </c>
    </row>
    <row r="418" spans="1:28" x14ac:dyDescent="0.25">
      <c r="A418" t="s">
        <v>1535</v>
      </c>
      <c r="B418" s="20">
        <v>45403</v>
      </c>
      <c r="C418" t="s">
        <v>1536</v>
      </c>
      <c r="D418" t="s">
        <v>1537</v>
      </c>
      <c r="E418" t="s">
        <v>823</v>
      </c>
      <c r="F418" t="s">
        <v>443</v>
      </c>
      <c r="G418">
        <v>1</v>
      </c>
      <c r="H418" s="21">
        <v>1114.8699999999999</v>
      </c>
      <c r="I418">
        <v>30</v>
      </c>
      <c r="J418" s="21">
        <v>334.46</v>
      </c>
      <c r="K418">
        <v>12</v>
      </c>
      <c r="L418" s="21">
        <v>93.65</v>
      </c>
      <c r="M418" s="21">
        <v>874.06</v>
      </c>
      <c r="N418" s="21">
        <v>915.87</v>
      </c>
      <c r="O418" s="21">
        <v>-135.46</v>
      </c>
      <c r="P418" t="s">
        <v>121</v>
      </c>
      <c r="Q418" t="s">
        <v>122</v>
      </c>
      <c r="R418" t="s">
        <v>151</v>
      </c>
      <c r="S418" t="s">
        <v>207</v>
      </c>
      <c r="T418" t="s">
        <v>161</v>
      </c>
      <c r="U418" t="s">
        <v>184</v>
      </c>
      <c r="V418" t="str">
        <f>IFERROR(INDEX(Products!$C:$C,MATCH(D418,Products!$A:$A,0)),"Unknown")</f>
        <v>Men Jeans</v>
      </c>
      <c r="W418" t="str">
        <f>IFERROR(INDEX(Products!$E:$E,MATCH(D418,Products!$A:$A,0)),"Unknown")</f>
        <v>Fabindia</v>
      </c>
      <c r="X418" t="str">
        <f>IFERROR(INDEX(Stores!$B:$B,MATCH(E418,Stores!$A:$A,0)),"Unknown")</f>
        <v>TrendMart Thoothukudi Mall Kiosk</v>
      </c>
      <c r="Y418" t="str">
        <f>IFERROR(INDEX(Stores!$E:$E,MATCH(E418,Stores!$A:$A,0)),"Unknown")</f>
        <v>South Zone 1</v>
      </c>
      <c r="Z418" t="str">
        <f>IFERROR(INDEX(Customers!$J:$J,MATCH(C418,Customers!$A:$A,0)),"Unknown")</f>
        <v>Silver</v>
      </c>
      <c r="AA418" t="str">
        <f t="shared" si="6"/>
        <v>2024-04</v>
      </c>
      <c r="AB418" t="str">
        <f>IFERROR(INDEX(Products!$I:$I,MATCH(D418,Products!$A:$A,0)),"Unknown")</f>
        <v>SUP044</v>
      </c>
    </row>
    <row r="419" spans="1:28" x14ac:dyDescent="0.25">
      <c r="A419" t="s">
        <v>1538</v>
      </c>
      <c r="B419" s="20">
        <v>45646</v>
      </c>
      <c r="C419" t="s">
        <v>488</v>
      </c>
      <c r="D419" t="s">
        <v>1539</v>
      </c>
      <c r="E419" t="s">
        <v>1426</v>
      </c>
      <c r="F419" t="s">
        <v>382</v>
      </c>
      <c r="G419">
        <v>2</v>
      </c>
      <c r="H419" s="21">
        <v>1107.58</v>
      </c>
      <c r="I419">
        <v>30</v>
      </c>
      <c r="J419" s="21">
        <v>664.55</v>
      </c>
      <c r="K419">
        <v>12</v>
      </c>
      <c r="L419" s="21">
        <v>186.07</v>
      </c>
      <c r="M419" s="21">
        <v>1736.68</v>
      </c>
      <c r="N419" s="21">
        <v>1834.88</v>
      </c>
      <c r="O419" s="21">
        <v>-284.27</v>
      </c>
      <c r="P419" t="s">
        <v>123</v>
      </c>
      <c r="Q419" t="s">
        <v>122</v>
      </c>
      <c r="R419" t="s">
        <v>151</v>
      </c>
      <c r="S419" t="s">
        <v>1540</v>
      </c>
      <c r="T419" t="s">
        <v>153</v>
      </c>
      <c r="U419" t="s">
        <v>184</v>
      </c>
      <c r="V419" t="str">
        <f>IFERROR(INDEX(Products!$C:$C,MATCH(D419,Products!$A:$A,0)),"Unknown")</f>
        <v>Wallets</v>
      </c>
      <c r="W419" t="str">
        <f>IFERROR(INDEX(Products!$E:$E,MATCH(D419,Products!$A:$A,0)),"Unknown")</f>
        <v>Reebok</v>
      </c>
      <c r="X419" t="str">
        <f>IFERROR(INDEX(Stores!$B:$B,MATCH(E419,Stores!$A:$A,0)),"Unknown")</f>
        <v>TrendMart Alappuzha Mall Kiosk</v>
      </c>
      <c r="Y419" t="str">
        <f>IFERROR(INDEX(Stores!$E:$E,MATCH(E419,Stores!$A:$A,0)),"Unknown")</f>
        <v>South Zone 1</v>
      </c>
      <c r="Z419" t="str">
        <f>IFERROR(INDEX(Customers!$J:$J,MATCH(C419,Customers!$A:$A,0)),"Unknown")</f>
        <v>Gold</v>
      </c>
      <c r="AA419" t="str">
        <f t="shared" si="6"/>
        <v>2024-12</v>
      </c>
      <c r="AB419" t="str">
        <f>IFERROR(INDEX(Products!$I:$I,MATCH(D419,Products!$A:$A,0)),"Unknown")</f>
        <v>SUP007</v>
      </c>
    </row>
    <row r="420" spans="1:28" x14ac:dyDescent="0.25">
      <c r="A420" t="s">
        <v>1541</v>
      </c>
      <c r="B420" s="20">
        <v>45475</v>
      </c>
      <c r="C420" t="s">
        <v>1149</v>
      </c>
      <c r="D420" t="s">
        <v>225</v>
      </c>
      <c r="E420" t="s">
        <v>425</v>
      </c>
      <c r="F420" t="s">
        <v>550</v>
      </c>
      <c r="G420">
        <v>2</v>
      </c>
      <c r="H420" s="21">
        <v>1739</v>
      </c>
      <c r="I420">
        <v>0</v>
      </c>
      <c r="J420" s="21">
        <v>0</v>
      </c>
      <c r="K420">
        <v>12</v>
      </c>
      <c r="L420" s="21">
        <v>417.36</v>
      </c>
      <c r="M420" s="21">
        <v>3895.36</v>
      </c>
      <c r="N420" s="21">
        <v>2814.66</v>
      </c>
      <c r="O420" s="21">
        <v>663.34</v>
      </c>
      <c r="P420" t="s">
        <v>123</v>
      </c>
      <c r="Q420" t="s">
        <v>122</v>
      </c>
      <c r="R420" t="s">
        <v>151</v>
      </c>
      <c r="S420" t="s">
        <v>1363</v>
      </c>
      <c r="T420" t="s">
        <v>153</v>
      </c>
      <c r="U420" t="s">
        <v>154</v>
      </c>
      <c r="V420" t="str">
        <f>IFERROR(INDEX(Products!$C:$C,MATCH(D420,Products!$A:$A,0)),"Unknown")</f>
        <v>Women Dresses</v>
      </c>
      <c r="W420" t="str">
        <f>IFERROR(INDEX(Products!$E:$E,MATCH(D420,Products!$A:$A,0)),"Unknown")</f>
        <v>Tanishq</v>
      </c>
      <c r="X420" t="str">
        <f>IFERROR(INDEX(Stores!$B:$B,MATCH(E420,Stores!$A:$A,0)),"Unknown")</f>
        <v>TrendMart Kozhikode Outlet</v>
      </c>
      <c r="Y420" t="str">
        <f>IFERROR(INDEX(Stores!$E:$E,MATCH(E420,Stores!$A:$A,0)),"Unknown")</f>
        <v>South Zone 1</v>
      </c>
      <c r="Z420" t="str">
        <f>IFERROR(INDEX(Customers!$J:$J,MATCH(C420,Customers!$A:$A,0)),"Unknown")</f>
        <v>Silver</v>
      </c>
      <c r="AA420" t="str">
        <f t="shared" si="6"/>
        <v>2024-07</v>
      </c>
      <c r="AB420" t="str">
        <f>IFERROR(INDEX(Products!$I:$I,MATCH(D420,Products!$A:$A,0)),"Unknown")</f>
        <v>SUP063</v>
      </c>
    </row>
    <row r="421" spans="1:28" x14ac:dyDescent="0.25">
      <c r="A421" t="s">
        <v>1542</v>
      </c>
      <c r="B421" s="20">
        <v>45577</v>
      </c>
      <c r="C421" t="s">
        <v>1501</v>
      </c>
      <c r="D421" t="s">
        <v>1543</v>
      </c>
      <c r="E421" t="s">
        <v>318</v>
      </c>
      <c r="F421" t="s">
        <v>579</v>
      </c>
      <c r="G421">
        <v>2</v>
      </c>
      <c r="H421" s="21">
        <v>2345.9699999999998</v>
      </c>
      <c r="I421">
        <v>5</v>
      </c>
      <c r="J421" s="21">
        <v>234.6</v>
      </c>
      <c r="K421">
        <v>12</v>
      </c>
      <c r="L421" s="21">
        <v>534.88</v>
      </c>
      <c r="M421" s="21">
        <v>4992.22</v>
      </c>
      <c r="N421" s="21">
        <v>3160.04</v>
      </c>
      <c r="O421" s="21">
        <v>1297.3</v>
      </c>
      <c r="P421" t="s">
        <v>125</v>
      </c>
      <c r="Q421" t="s">
        <v>122</v>
      </c>
      <c r="R421" t="s">
        <v>151</v>
      </c>
      <c r="S421" t="s">
        <v>1544</v>
      </c>
      <c r="T421" t="s">
        <v>161</v>
      </c>
      <c r="U421" t="s">
        <v>154</v>
      </c>
      <c r="V421" t="str">
        <f>IFERROR(INDEX(Products!$C:$C,MATCH(D421,Products!$A:$A,0)),"Unknown")</f>
        <v>Men Ethnic</v>
      </c>
      <c r="W421" t="str">
        <f>IFERROR(INDEX(Products!$E:$E,MATCH(D421,Products!$A:$A,0)),"Unknown")</f>
        <v>Woodland</v>
      </c>
      <c r="X421" t="str">
        <f>IFERROR(INDEX(Stores!$B:$B,MATCH(E421,Stores!$A:$A,0)),"Unknown")</f>
        <v>TrendMart Guntur Outlet</v>
      </c>
      <c r="Y421" t="str">
        <f>IFERROR(INDEX(Stores!$E:$E,MATCH(E421,Stores!$A:$A,0)),"Unknown")</f>
        <v>South Zone 3</v>
      </c>
      <c r="Z421" t="str">
        <f>IFERROR(INDEX(Customers!$J:$J,MATCH(C421,Customers!$A:$A,0)),"Unknown")</f>
        <v>Regular</v>
      </c>
      <c r="AA421" t="str">
        <f t="shared" si="6"/>
        <v>2024-10</v>
      </c>
      <c r="AB421" t="str">
        <f>IFERROR(INDEX(Products!$I:$I,MATCH(D421,Products!$A:$A,0)),"Unknown")</f>
        <v>SUP079</v>
      </c>
    </row>
    <row r="422" spans="1:28" x14ac:dyDescent="0.25">
      <c r="A422" t="s">
        <v>1545</v>
      </c>
      <c r="B422" s="20">
        <v>45515</v>
      </c>
      <c r="C422" t="s">
        <v>1546</v>
      </c>
      <c r="D422" t="s">
        <v>1321</v>
      </c>
      <c r="E422" t="s">
        <v>206</v>
      </c>
      <c r="F422" t="s">
        <v>397</v>
      </c>
      <c r="G422">
        <v>1</v>
      </c>
      <c r="H422" s="21">
        <v>2429.0700000000002</v>
      </c>
      <c r="I422">
        <v>30</v>
      </c>
      <c r="J422" s="21">
        <v>728.72</v>
      </c>
      <c r="K422">
        <v>12</v>
      </c>
      <c r="L422" s="21">
        <v>204.04</v>
      </c>
      <c r="M422" s="21">
        <v>1904.39</v>
      </c>
      <c r="N422" s="21">
        <v>1729.72</v>
      </c>
      <c r="O422" s="21">
        <v>-29.37</v>
      </c>
      <c r="P422" t="s">
        <v>123</v>
      </c>
      <c r="Q422" t="s">
        <v>120</v>
      </c>
      <c r="R422" t="s">
        <v>151</v>
      </c>
      <c r="S422" t="s">
        <v>859</v>
      </c>
      <c r="T422" t="s">
        <v>161</v>
      </c>
      <c r="U422" t="s">
        <v>184</v>
      </c>
      <c r="V422" t="str">
        <f>IFERROR(INDEX(Products!$C:$C,MATCH(D422,Products!$A:$A,0)),"Unknown")</f>
        <v>Men Ethnic</v>
      </c>
      <c r="W422" t="str">
        <f>IFERROR(INDEX(Products!$E:$E,MATCH(D422,Products!$A:$A,0)),"Unknown")</f>
        <v>Nalli Silks</v>
      </c>
      <c r="X422" t="str">
        <f>IFERROR(INDEX(Stores!$B:$B,MATCH(E422,Stores!$A:$A,0)),"Unknown")</f>
        <v>TrendMart Nizamabad Outlet</v>
      </c>
      <c r="Y422" t="str">
        <f>IFERROR(INDEX(Stores!$E:$E,MATCH(E422,Stores!$A:$A,0)),"Unknown")</f>
        <v>South Zone 2</v>
      </c>
      <c r="Z422" t="str">
        <f>IFERROR(INDEX(Customers!$J:$J,MATCH(C422,Customers!$A:$A,0)),"Unknown")</f>
        <v>Silver</v>
      </c>
      <c r="AA422" t="str">
        <f t="shared" si="6"/>
        <v>2024-08</v>
      </c>
      <c r="AB422" t="str">
        <f>IFERROR(INDEX(Products!$I:$I,MATCH(D422,Products!$A:$A,0)),"Unknown")</f>
        <v>SUP018</v>
      </c>
    </row>
    <row r="423" spans="1:28" x14ac:dyDescent="0.25">
      <c r="A423" t="s">
        <v>1547</v>
      </c>
      <c r="B423" s="20">
        <v>45553</v>
      </c>
      <c r="C423" t="s">
        <v>1548</v>
      </c>
      <c r="D423" t="s">
        <v>638</v>
      </c>
      <c r="E423" t="s">
        <v>89</v>
      </c>
      <c r="F423" t="s">
        <v>382</v>
      </c>
      <c r="G423">
        <v>2</v>
      </c>
      <c r="H423" s="21">
        <v>1425.84</v>
      </c>
      <c r="I423">
        <v>0</v>
      </c>
      <c r="J423" s="21">
        <v>0</v>
      </c>
      <c r="K423">
        <v>12</v>
      </c>
      <c r="L423" s="21">
        <v>342.2</v>
      </c>
      <c r="M423" s="21">
        <v>3193.88</v>
      </c>
      <c r="N423" s="21">
        <v>1957.36</v>
      </c>
      <c r="O423" s="21">
        <v>894.32</v>
      </c>
      <c r="P423" t="s">
        <v>127</v>
      </c>
      <c r="Q423" t="s">
        <v>120</v>
      </c>
      <c r="R423" t="s">
        <v>151</v>
      </c>
      <c r="S423" t="s">
        <v>1237</v>
      </c>
      <c r="T423" t="s">
        <v>153</v>
      </c>
      <c r="U423" t="s">
        <v>154</v>
      </c>
      <c r="V423" t="str">
        <f>IFERROR(INDEX(Products!$C:$C,MATCH(D423,Products!$A:$A,0)),"Unknown")</f>
        <v>Men Trousers</v>
      </c>
      <c r="W423" t="str">
        <f>IFERROR(INDEX(Products!$E:$E,MATCH(D423,Products!$A:$A,0)),"Unknown")</f>
        <v>Westside</v>
      </c>
      <c r="X423" t="str">
        <f>IFERROR(INDEX(Stores!$B:$B,MATCH(E423,Stores!$A:$A,0)),"Unknown")</f>
        <v>TrendMart Kochi Standard</v>
      </c>
      <c r="Y423" t="str">
        <f>IFERROR(INDEX(Stores!$E:$E,MATCH(E423,Stores!$A:$A,0)),"Unknown")</f>
        <v>South Zone 1</v>
      </c>
      <c r="Z423" t="str">
        <f>IFERROR(INDEX(Customers!$J:$J,MATCH(C423,Customers!$A:$A,0)),"Unknown")</f>
        <v>Gold</v>
      </c>
      <c r="AA423" t="str">
        <f t="shared" si="6"/>
        <v>2024-09</v>
      </c>
      <c r="AB423" t="str">
        <f>IFERROR(INDEX(Products!$I:$I,MATCH(D423,Products!$A:$A,0)),"Unknown")</f>
        <v>SUP071</v>
      </c>
    </row>
    <row r="424" spans="1:28" x14ac:dyDescent="0.25">
      <c r="A424" t="s">
        <v>1549</v>
      </c>
      <c r="B424" s="20">
        <v>45589</v>
      </c>
      <c r="C424" t="s">
        <v>904</v>
      </c>
      <c r="D424" t="s">
        <v>1550</v>
      </c>
      <c r="E424" t="s">
        <v>158</v>
      </c>
      <c r="F424" t="s">
        <v>462</v>
      </c>
      <c r="G424">
        <v>2</v>
      </c>
      <c r="H424" s="21">
        <v>2438.84</v>
      </c>
      <c r="I424">
        <v>30</v>
      </c>
      <c r="J424" s="21">
        <v>1463.3</v>
      </c>
      <c r="K424">
        <v>12</v>
      </c>
      <c r="L424" s="21">
        <v>409.73</v>
      </c>
      <c r="M424" s="21">
        <v>3824.11</v>
      </c>
      <c r="N424" s="21">
        <v>3724.7</v>
      </c>
      <c r="O424" s="21">
        <v>-310.32</v>
      </c>
      <c r="P424" t="s">
        <v>121</v>
      </c>
      <c r="Q424" t="s">
        <v>120</v>
      </c>
      <c r="R424" t="s">
        <v>151</v>
      </c>
      <c r="S424" t="s">
        <v>972</v>
      </c>
      <c r="T424" t="s">
        <v>153</v>
      </c>
      <c r="U424" t="s">
        <v>184</v>
      </c>
      <c r="V424" t="str">
        <f>IFERROR(INDEX(Products!$C:$C,MATCH(D424,Products!$A:$A,0)),"Unknown")</f>
        <v>Footwear</v>
      </c>
      <c r="W424" t="str">
        <f>IFERROR(INDEX(Products!$E:$E,MATCH(D424,Products!$A:$A,0)),"Unknown")</f>
        <v>Pothys</v>
      </c>
      <c r="X424" t="str">
        <f>IFERROR(INDEX(Stores!$B:$B,MATCH(E424,Stores!$A:$A,0)),"Unknown")</f>
        <v>TrendMart Tirunelveli High Street</v>
      </c>
      <c r="Y424" t="str">
        <f>IFERROR(INDEX(Stores!$E:$E,MATCH(E424,Stores!$A:$A,0)),"Unknown")</f>
        <v>South Zone 1</v>
      </c>
      <c r="Z424" t="str">
        <f>IFERROR(INDEX(Customers!$J:$J,MATCH(C424,Customers!$A:$A,0)),"Unknown")</f>
        <v>Gold</v>
      </c>
      <c r="AA424" t="str">
        <f t="shared" si="6"/>
        <v>2024-10</v>
      </c>
      <c r="AB424" t="str">
        <f>IFERROR(INDEX(Products!$I:$I,MATCH(D424,Products!$A:$A,0)),"Unknown")</f>
        <v>SUP061</v>
      </c>
    </row>
    <row r="425" spans="1:28" x14ac:dyDescent="0.25">
      <c r="A425" t="s">
        <v>1551</v>
      </c>
      <c r="B425" s="20">
        <v>45469</v>
      </c>
      <c r="C425" t="s">
        <v>1552</v>
      </c>
      <c r="D425" t="s">
        <v>947</v>
      </c>
      <c r="E425" t="s">
        <v>1163</v>
      </c>
      <c r="F425" t="s">
        <v>532</v>
      </c>
      <c r="G425">
        <v>1</v>
      </c>
      <c r="H425" s="21">
        <v>760.36</v>
      </c>
      <c r="I425">
        <v>15</v>
      </c>
      <c r="J425" s="21">
        <v>114.05</v>
      </c>
      <c r="K425">
        <v>5</v>
      </c>
      <c r="L425" s="21">
        <v>32.32</v>
      </c>
      <c r="M425" s="21">
        <v>678.63</v>
      </c>
      <c r="N425" s="21">
        <v>569.35</v>
      </c>
      <c r="O425" s="21">
        <v>76.959999999999994</v>
      </c>
      <c r="P425" t="s">
        <v>123</v>
      </c>
      <c r="Q425" t="s">
        <v>122</v>
      </c>
      <c r="R425" t="s">
        <v>151</v>
      </c>
      <c r="S425" t="s">
        <v>735</v>
      </c>
      <c r="T425" t="s">
        <v>153</v>
      </c>
      <c r="U425" t="s">
        <v>154</v>
      </c>
      <c r="V425" t="str">
        <f>IFERROR(INDEX(Products!$C:$C,MATCH(D425,Products!$A:$A,0)),"Unknown")</f>
        <v>Women Kurtis</v>
      </c>
      <c r="W425" t="str">
        <f>IFERROR(INDEX(Products!$E:$E,MATCH(D425,Products!$A:$A,0)),"Unknown")</f>
        <v>Sonata</v>
      </c>
      <c r="X425" t="str">
        <f>IFERROR(INDEX(Stores!$B:$B,MATCH(E425,Stores!$A:$A,0)),"Unknown")</f>
        <v>TrendMart Alappuzha Outlet</v>
      </c>
      <c r="Y425" t="str">
        <f>IFERROR(INDEX(Stores!$E:$E,MATCH(E425,Stores!$A:$A,0)),"Unknown")</f>
        <v>South Zone 1</v>
      </c>
      <c r="Z425" t="str">
        <f>IFERROR(INDEX(Customers!$J:$J,MATCH(C425,Customers!$A:$A,0)),"Unknown")</f>
        <v>Platinum</v>
      </c>
      <c r="AA425" t="str">
        <f t="shared" si="6"/>
        <v>2024-06</v>
      </c>
      <c r="AB425" t="str">
        <f>IFERROR(INDEX(Products!$I:$I,MATCH(D425,Products!$A:$A,0)),"Unknown")</f>
        <v>SUP001</v>
      </c>
    </row>
    <row r="426" spans="1:28" x14ac:dyDescent="0.25">
      <c r="A426" t="s">
        <v>1553</v>
      </c>
      <c r="B426" s="20">
        <v>45725</v>
      </c>
      <c r="C426" t="s">
        <v>1554</v>
      </c>
      <c r="D426" t="s">
        <v>290</v>
      </c>
      <c r="E426" t="s">
        <v>537</v>
      </c>
      <c r="F426" t="s">
        <v>574</v>
      </c>
      <c r="G426">
        <v>2</v>
      </c>
      <c r="H426" s="21">
        <v>6713.28</v>
      </c>
      <c r="I426">
        <v>10</v>
      </c>
      <c r="J426" s="21">
        <v>1342.66</v>
      </c>
      <c r="K426">
        <v>3</v>
      </c>
      <c r="L426" s="21">
        <v>362.52</v>
      </c>
      <c r="M426" s="21">
        <v>12446.42</v>
      </c>
      <c r="N426" s="21">
        <v>9430.2000000000007</v>
      </c>
      <c r="O426" s="21">
        <v>2653.7</v>
      </c>
      <c r="P426" t="s">
        <v>121</v>
      </c>
      <c r="Q426" t="s">
        <v>120</v>
      </c>
      <c r="R426" t="s">
        <v>151</v>
      </c>
      <c r="S426" t="s">
        <v>417</v>
      </c>
      <c r="T426" t="s">
        <v>161</v>
      </c>
      <c r="U426" t="s">
        <v>154</v>
      </c>
      <c r="V426" t="str">
        <f>IFERROR(INDEX(Products!$C:$C,MATCH(D426,Products!$A:$A,0)),"Unknown")</f>
        <v>Jewellery</v>
      </c>
      <c r="W426" t="str">
        <f>IFERROR(INDEX(Products!$E:$E,MATCH(D426,Products!$A:$A,0)),"Unknown")</f>
        <v>Nike</v>
      </c>
      <c r="X426" t="str">
        <f>IFERROR(INDEX(Stores!$B:$B,MATCH(E426,Stores!$A:$A,0)),"Unknown")</f>
        <v>TrendMart Thrissur High Street</v>
      </c>
      <c r="Y426" t="str">
        <f>IFERROR(INDEX(Stores!$E:$E,MATCH(E426,Stores!$A:$A,0)),"Unknown")</f>
        <v>South Zone 1</v>
      </c>
      <c r="Z426" t="str">
        <f>IFERROR(INDEX(Customers!$J:$J,MATCH(C426,Customers!$A:$A,0)),"Unknown")</f>
        <v>Gold</v>
      </c>
      <c r="AA426" t="str">
        <f t="shared" si="6"/>
        <v>2025-03</v>
      </c>
      <c r="AB426" t="str">
        <f>IFERROR(INDEX(Products!$I:$I,MATCH(D426,Products!$A:$A,0)),"Unknown")</f>
        <v>SUP041</v>
      </c>
    </row>
    <row r="427" spans="1:28" x14ac:dyDescent="0.25">
      <c r="A427" t="s">
        <v>1555</v>
      </c>
      <c r="B427" s="20">
        <v>45468</v>
      </c>
      <c r="C427" t="s">
        <v>1556</v>
      </c>
      <c r="D427" t="s">
        <v>1504</v>
      </c>
      <c r="E427" t="s">
        <v>495</v>
      </c>
      <c r="F427" t="s">
        <v>532</v>
      </c>
      <c r="G427">
        <v>4</v>
      </c>
      <c r="H427" s="21">
        <v>1618.06</v>
      </c>
      <c r="I427">
        <v>0</v>
      </c>
      <c r="J427" s="21">
        <v>0</v>
      </c>
      <c r="K427">
        <v>12</v>
      </c>
      <c r="L427" s="21">
        <v>776.67</v>
      </c>
      <c r="M427" s="21">
        <v>7248.91</v>
      </c>
      <c r="N427" s="21">
        <v>4578.3599999999997</v>
      </c>
      <c r="O427" s="21">
        <v>1893.88</v>
      </c>
      <c r="P427" t="s">
        <v>125</v>
      </c>
      <c r="Q427" t="s">
        <v>120</v>
      </c>
      <c r="R427" t="s">
        <v>151</v>
      </c>
      <c r="S427" t="s">
        <v>1557</v>
      </c>
      <c r="T427" t="s">
        <v>153</v>
      </c>
      <c r="U427" t="s">
        <v>154</v>
      </c>
      <c r="V427" t="str">
        <f>IFERROR(INDEX(Products!$C:$C,MATCH(D427,Products!$A:$A,0)),"Unknown")</f>
        <v>Women Dresses</v>
      </c>
      <c r="W427" t="str">
        <f>IFERROR(INDEX(Products!$E:$E,MATCH(D427,Products!$A:$A,0)),"Unknown")</f>
        <v>Westside</v>
      </c>
      <c r="X427" t="str">
        <f>IFERROR(INDEX(Stores!$B:$B,MATCH(E427,Stores!$A:$A,0)),"Unknown")</f>
        <v>TrendMart Visakhapatnam Flagship</v>
      </c>
      <c r="Y427" t="str">
        <f>IFERROR(INDEX(Stores!$E:$E,MATCH(E427,Stores!$A:$A,0)),"Unknown")</f>
        <v>South Zone 3</v>
      </c>
      <c r="Z427" t="str">
        <f>IFERROR(INDEX(Customers!$J:$J,MATCH(C427,Customers!$A:$A,0)),"Unknown")</f>
        <v>Silver</v>
      </c>
      <c r="AA427" t="str">
        <f t="shared" si="6"/>
        <v>2024-06</v>
      </c>
      <c r="AB427" t="str">
        <f>IFERROR(INDEX(Products!$I:$I,MATCH(D427,Products!$A:$A,0)),"Unknown")</f>
        <v>SUP010</v>
      </c>
    </row>
    <row r="428" spans="1:28" x14ac:dyDescent="0.25">
      <c r="A428" t="s">
        <v>1558</v>
      </c>
      <c r="B428" s="20">
        <v>45722</v>
      </c>
      <c r="C428" t="s">
        <v>1559</v>
      </c>
      <c r="D428" t="s">
        <v>1178</v>
      </c>
      <c r="E428" t="s">
        <v>639</v>
      </c>
      <c r="F428" t="s">
        <v>434</v>
      </c>
      <c r="G428">
        <v>3</v>
      </c>
      <c r="H428" s="21">
        <v>1841.52</v>
      </c>
      <c r="I428">
        <v>5</v>
      </c>
      <c r="J428" s="21">
        <v>276.23</v>
      </c>
      <c r="K428">
        <v>12</v>
      </c>
      <c r="L428" s="21">
        <v>629.79999999999995</v>
      </c>
      <c r="M428" s="21">
        <v>5878.13</v>
      </c>
      <c r="N428" s="21">
        <v>3435.63</v>
      </c>
      <c r="O428" s="21">
        <v>1812.7</v>
      </c>
      <c r="P428" t="s">
        <v>121</v>
      </c>
      <c r="Q428" t="s">
        <v>120</v>
      </c>
      <c r="R428" t="s">
        <v>151</v>
      </c>
      <c r="S428" t="s">
        <v>1560</v>
      </c>
      <c r="T428" t="s">
        <v>153</v>
      </c>
      <c r="U428" t="s">
        <v>154</v>
      </c>
      <c r="V428" t="str">
        <f>IFERROR(INDEX(Products!$C:$C,MATCH(D428,Products!$A:$A,0)),"Unknown")</f>
        <v>Footwear</v>
      </c>
      <c r="W428" t="str">
        <f>IFERROR(INDEX(Products!$E:$E,MATCH(D428,Products!$A:$A,0)),"Unknown")</f>
        <v>Sparx</v>
      </c>
      <c r="X428" t="str">
        <f>IFERROR(INDEX(Stores!$B:$B,MATCH(E428,Stores!$A:$A,0)),"Unknown")</f>
        <v>TrendMart Kurnool Outlet</v>
      </c>
      <c r="Y428" t="str">
        <f>IFERROR(INDEX(Stores!$E:$E,MATCH(E428,Stores!$A:$A,0)),"Unknown")</f>
        <v>South Zone 3</v>
      </c>
      <c r="Z428" t="str">
        <f>IFERROR(INDEX(Customers!$J:$J,MATCH(C428,Customers!$A:$A,0)),"Unknown")</f>
        <v>Regular</v>
      </c>
      <c r="AA428" t="str">
        <f t="shared" si="6"/>
        <v>2025-03</v>
      </c>
      <c r="AB428" t="str">
        <f>IFERROR(INDEX(Products!$I:$I,MATCH(D428,Products!$A:$A,0)),"Unknown")</f>
        <v>SUP063</v>
      </c>
    </row>
    <row r="429" spans="1:28" x14ac:dyDescent="0.25">
      <c r="A429" t="s">
        <v>1561</v>
      </c>
      <c r="B429" s="20">
        <v>45537</v>
      </c>
      <c r="C429" t="s">
        <v>1562</v>
      </c>
      <c r="D429" t="s">
        <v>693</v>
      </c>
      <c r="E429" t="s">
        <v>1426</v>
      </c>
      <c r="F429" t="s">
        <v>550</v>
      </c>
      <c r="G429">
        <v>1</v>
      </c>
      <c r="H429" s="21">
        <v>2786.59</v>
      </c>
      <c r="I429">
        <v>0</v>
      </c>
      <c r="J429" s="21">
        <v>0</v>
      </c>
      <c r="K429">
        <v>12</v>
      </c>
      <c r="L429" s="21">
        <v>334.39</v>
      </c>
      <c r="M429" s="21">
        <v>3120.98</v>
      </c>
      <c r="N429" s="21">
        <v>2198.2199999999998</v>
      </c>
      <c r="O429" s="21">
        <v>588.37</v>
      </c>
      <c r="P429" t="s">
        <v>121</v>
      </c>
      <c r="Q429" t="s">
        <v>120</v>
      </c>
      <c r="R429" t="s">
        <v>151</v>
      </c>
      <c r="S429" t="s">
        <v>1359</v>
      </c>
      <c r="T429" t="s">
        <v>153</v>
      </c>
      <c r="U429" t="s">
        <v>154</v>
      </c>
      <c r="V429" t="str">
        <f>IFERROR(INDEX(Products!$C:$C,MATCH(D429,Products!$A:$A,0)),"Unknown")</f>
        <v>Handbags</v>
      </c>
      <c r="W429" t="str">
        <f>IFERROR(INDEX(Products!$E:$E,MATCH(D429,Products!$A:$A,0)),"Unknown")</f>
        <v>Woodland</v>
      </c>
      <c r="X429" t="str">
        <f>IFERROR(INDEX(Stores!$B:$B,MATCH(E429,Stores!$A:$A,0)),"Unknown")</f>
        <v>TrendMart Alappuzha Mall Kiosk</v>
      </c>
      <c r="Y429" t="str">
        <f>IFERROR(INDEX(Stores!$E:$E,MATCH(E429,Stores!$A:$A,0)),"Unknown")</f>
        <v>South Zone 1</v>
      </c>
      <c r="Z429" t="str">
        <f>IFERROR(INDEX(Customers!$J:$J,MATCH(C429,Customers!$A:$A,0)),"Unknown")</f>
        <v>Regular</v>
      </c>
      <c r="AA429" t="str">
        <f t="shared" si="6"/>
        <v>2024-09</v>
      </c>
      <c r="AB429" t="str">
        <f>IFERROR(INDEX(Products!$I:$I,MATCH(D429,Products!$A:$A,0)),"Unknown")</f>
        <v>SUP090</v>
      </c>
    </row>
    <row r="430" spans="1:28" x14ac:dyDescent="0.25">
      <c r="A430" t="s">
        <v>1563</v>
      </c>
      <c r="B430" s="20">
        <v>45425</v>
      </c>
      <c r="C430" t="s">
        <v>649</v>
      </c>
      <c r="D430" t="s">
        <v>1564</v>
      </c>
      <c r="E430" t="s">
        <v>368</v>
      </c>
      <c r="F430" t="s">
        <v>297</v>
      </c>
      <c r="G430">
        <v>1</v>
      </c>
      <c r="H430" s="21">
        <v>884.49</v>
      </c>
      <c r="I430">
        <v>10</v>
      </c>
      <c r="J430" s="21">
        <v>88.45</v>
      </c>
      <c r="K430">
        <v>5</v>
      </c>
      <c r="L430" s="21">
        <v>39.799999999999997</v>
      </c>
      <c r="M430" s="21">
        <v>835.84</v>
      </c>
      <c r="N430" s="21">
        <v>695.67</v>
      </c>
      <c r="O430" s="21">
        <v>100.37</v>
      </c>
      <c r="P430" t="s">
        <v>125</v>
      </c>
      <c r="Q430" t="s">
        <v>120</v>
      </c>
      <c r="R430" t="s">
        <v>151</v>
      </c>
      <c r="S430" t="s">
        <v>1565</v>
      </c>
      <c r="T430" t="s">
        <v>153</v>
      </c>
      <c r="U430" t="s">
        <v>154</v>
      </c>
      <c r="V430" t="str">
        <f>IFERROR(INDEX(Products!$C:$C,MATCH(D430,Products!$A:$A,0)),"Unknown")</f>
        <v>Handbags</v>
      </c>
      <c r="W430" t="str">
        <f>IFERROR(INDEX(Products!$E:$E,MATCH(D430,Products!$A:$A,0)),"Unknown")</f>
        <v>W for Woman</v>
      </c>
      <c r="X430" t="str">
        <f>IFERROR(INDEX(Stores!$B:$B,MATCH(E430,Stores!$A:$A,0)),"Unknown")</f>
        <v>TrendMart Alappuzha Outlet</v>
      </c>
      <c r="Y430" t="str">
        <f>IFERROR(INDEX(Stores!$E:$E,MATCH(E430,Stores!$A:$A,0)),"Unknown")</f>
        <v>South Zone 1</v>
      </c>
      <c r="Z430" t="str">
        <f>IFERROR(INDEX(Customers!$J:$J,MATCH(C430,Customers!$A:$A,0)),"Unknown")</f>
        <v>Silver</v>
      </c>
      <c r="AA430" t="str">
        <f t="shared" si="6"/>
        <v>2024-05</v>
      </c>
      <c r="AB430" t="str">
        <f>IFERROR(INDEX(Products!$I:$I,MATCH(D430,Products!$A:$A,0)),"Unknown")</f>
        <v>SUP011</v>
      </c>
    </row>
    <row r="431" spans="1:28" x14ac:dyDescent="0.25">
      <c r="A431" t="s">
        <v>1566</v>
      </c>
      <c r="B431" s="20">
        <v>45446</v>
      </c>
      <c r="C431" t="s">
        <v>1457</v>
      </c>
      <c r="D431" t="s">
        <v>583</v>
      </c>
      <c r="E431" t="s">
        <v>81</v>
      </c>
      <c r="F431" t="s">
        <v>532</v>
      </c>
      <c r="G431">
        <v>3</v>
      </c>
      <c r="H431" s="21">
        <v>900.38</v>
      </c>
      <c r="I431">
        <v>0</v>
      </c>
      <c r="J431" s="21">
        <v>0</v>
      </c>
      <c r="K431">
        <v>5</v>
      </c>
      <c r="L431" s="21">
        <v>135.06</v>
      </c>
      <c r="M431" s="21">
        <v>2836.2</v>
      </c>
      <c r="N431" s="21">
        <v>1889.16</v>
      </c>
      <c r="O431" s="21">
        <v>811.98</v>
      </c>
      <c r="P431" t="s">
        <v>124</v>
      </c>
      <c r="Q431" t="s">
        <v>120</v>
      </c>
      <c r="R431" t="s">
        <v>151</v>
      </c>
      <c r="S431" t="s">
        <v>1567</v>
      </c>
      <c r="T431" t="s">
        <v>153</v>
      </c>
      <c r="U431" t="s">
        <v>154</v>
      </c>
      <c r="V431" t="str">
        <f>IFERROR(INDEX(Products!$C:$C,MATCH(D431,Products!$A:$A,0)),"Unknown")</f>
        <v>Women Tops</v>
      </c>
      <c r="W431" t="str">
        <f>IFERROR(INDEX(Products!$E:$E,MATCH(D431,Products!$A:$A,0)),"Unknown")</f>
        <v>Ramraj Cotton</v>
      </c>
      <c r="X431" t="str">
        <f>IFERROR(INDEX(Stores!$B:$B,MATCH(E431,Stores!$A:$A,0)),"Unknown")</f>
        <v>TrendMart Vijayawada High Street</v>
      </c>
      <c r="Y431" t="str">
        <f>IFERROR(INDEX(Stores!$E:$E,MATCH(E431,Stores!$A:$A,0)),"Unknown")</f>
        <v>South Zone 3</v>
      </c>
      <c r="Z431" t="str">
        <f>IFERROR(INDEX(Customers!$J:$J,MATCH(C431,Customers!$A:$A,0)),"Unknown")</f>
        <v>Platinum</v>
      </c>
      <c r="AA431" t="str">
        <f t="shared" si="6"/>
        <v>2024-06</v>
      </c>
      <c r="AB431" t="str">
        <f>IFERROR(INDEX(Products!$I:$I,MATCH(D431,Products!$A:$A,0)),"Unknown")</f>
        <v>SUP048</v>
      </c>
    </row>
    <row r="432" spans="1:28" x14ac:dyDescent="0.25">
      <c r="A432" t="s">
        <v>1568</v>
      </c>
      <c r="B432" s="20">
        <v>45622</v>
      </c>
      <c r="C432" t="s">
        <v>857</v>
      </c>
      <c r="D432" t="s">
        <v>1569</v>
      </c>
      <c r="E432" t="s">
        <v>360</v>
      </c>
      <c r="F432" t="s">
        <v>574</v>
      </c>
      <c r="G432">
        <v>2</v>
      </c>
      <c r="H432" s="21">
        <v>1106.6199999999999</v>
      </c>
      <c r="I432">
        <v>25</v>
      </c>
      <c r="J432" s="21">
        <v>553.30999999999995</v>
      </c>
      <c r="K432">
        <v>12</v>
      </c>
      <c r="L432" s="21">
        <v>199.19</v>
      </c>
      <c r="M432" s="21">
        <v>1859.12</v>
      </c>
      <c r="N432" s="21">
        <v>1617.98</v>
      </c>
      <c r="O432" s="21">
        <v>41.95</v>
      </c>
      <c r="P432" t="s">
        <v>125</v>
      </c>
      <c r="Q432" t="s">
        <v>120</v>
      </c>
      <c r="R432" t="s">
        <v>151</v>
      </c>
      <c r="S432" t="s">
        <v>1214</v>
      </c>
      <c r="T432" t="s">
        <v>153</v>
      </c>
      <c r="U432" t="s">
        <v>154</v>
      </c>
      <c r="V432" t="str">
        <f>IFERROR(INDEX(Products!$C:$C,MATCH(D432,Products!$A:$A,0)),"Unknown")</f>
        <v>Women Kurtis</v>
      </c>
      <c r="W432" t="str">
        <f>IFERROR(INDEX(Products!$E:$E,MATCH(D432,Products!$A:$A,0)),"Unknown")</f>
        <v>Liberty</v>
      </c>
      <c r="X432" t="str">
        <f>IFERROR(INDEX(Stores!$B:$B,MATCH(E432,Stores!$A:$A,0)),"Unknown")</f>
        <v>TrendMart Kochi Standard</v>
      </c>
      <c r="Y432" t="str">
        <f>IFERROR(INDEX(Stores!$E:$E,MATCH(E432,Stores!$A:$A,0)),"Unknown")</f>
        <v>South Zone 1</v>
      </c>
      <c r="Z432" t="str">
        <f>IFERROR(INDEX(Customers!$J:$J,MATCH(C432,Customers!$A:$A,0)),"Unknown")</f>
        <v>Gold</v>
      </c>
      <c r="AA432" t="str">
        <f t="shared" si="6"/>
        <v>2024-11</v>
      </c>
      <c r="AB432" t="str">
        <f>IFERROR(INDEX(Products!$I:$I,MATCH(D432,Products!$A:$A,0)),"Unknown")</f>
        <v>SUP079</v>
      </c>
    </row>
    <row r="433" spans="1:28" x14ac:dyDescent="0.25">
      <c r="A433" t="s">
        <v>1570</v>
      </c>
      <c r="B433" s="20">
        <v>45416</v>
      </c>
      <c r="C433" t="s">
        <v>1571</v>
      </c>
      <c r="D433" t="s">
        <v>279</v>
      </c>
      <c r="E433" t="s">
        <v>86</v>
      </c>
      <c r="F433" t="s">
        <v>170</v>
      </c>
      <c r="G433">
        <v>2</v>
      </c>
      <c r="H433" s="21">
        <v>3355.7</v>
      </c>
      <c r="I433">
        <v>10</v>
      </c>
      <c r="J433" s="21">
        <v>671.14</v>
      </c>
      <c r="K433">
        <v>12</v>
      </c>
      <c r="L433" s="21">
        <v>724.83</v>
      </c>
      <c r="M433" s="21">
        <v>6765.09</v>
      </c>
      <c r="N433" s="21">
        <v>4138.66</v>
      </c>
      <c r="O433" s="21">
        <v>1901.6</v>
      </c>
      <c r="P433" t="s">
        <v>125</v>
      </c>
      <c r="Q433" t="s">
        <v>120</v>
      </c>
      <c r="R433" t="s">
        <v>151</v>
      </c>
      <c r="S433" t="s">
        <v>483</v>
      </c>
      <c r="T433" t="s">
        <v>161</v>
      </c>
      <c r="U433" t="s">
        <v>154</v>
      </c>
      <c r="V433" t="str">
        <f>IFERROR(INDEX(Products!$C:$C,MATCH(D433,Products!$A:$A,0)),"Unknown")</f>
        <v>Handbags</v>
      </c>
      <c r="W433" t="str">
        <f>IFERROR(INDEX(Products!$E:$E,MATCH(D433,Products!$A:$A,0)),"Unknown")</f>
        <v>Westside</v>
      </c>
      <c r="X433" t="str">
        <f>IFERROR(INDEX(Stores!$B:$B,MATCH(E433,Stores!$A:$A,0)),"Unknown")</f>
        <v>TrendMart Warangal High Street</v>
      </c>
      <c r="Y433" t="str">
        <f>IFERROR(INDEX(Stores!$E:$E,MATCH(E433,Stores!$A:$A,0)),"Unknown")</f>
        <v>South Zone 2</v>
      </c>
      <c r="Z433" t="str">
        <f>IFERROR(INDEX(Customers!$J:$J,MATCH(C433,Customers!$A:$A,0)),"Unknown")</f>
        <v>Silver</v>
      </c>
      <c r="AA433" t="str">
        <f t="shared" si="6"/>
        <v>2024-05</v>
      </c>
      <c r="AB433" t="str">
        <f>IFERROR(INDEX(Products!$I:$I,MATCH(D433,Products!$A:$A,0)),"Unknown")</f>
        <v>SUP066</v>
      </c>
    </row>
    <row r="434" spans="1:28" x14ac:dyDescent="0.25">
      <c r="A434" t="s">
        <v>1572</v>
      </c>
      <c r="B434" s="20">
        <v>45475</v>
      </c>
      <c r="C434" t="s">
        <v>1573</v>
      </c>
      <c r="D434" t="s">
        <v>612</v>
      </c>
      <c r="E434" t="s">
        <v>810</v>
      </c>
      <c r="F434" t="s">
        <v>408</v>
      </c>
      <c r="G434">
        <v>5</v>
      </c>
      <c r="H434" s="21">
        <v>646.41</v>
      </c>
      <c r="I434">
        <v>30</v>
      </c>
      <c r="J434" s="21">
        <v>969.62</v>
      </c>
      <c r="K434">
        <v>5</v>
      </c>
      <c r="L434" s="21">
        <v>113.12</v>
      </c>
      <c r="M434" s="21">
        <v>2375.5500000000002</v>
      </c>
      <c r="N434" s="21">
        <v>1845</v>
      </c>
      <c r="O434" s="21">
        <v>417.43</v>
      </c>
      <c r="P434" t="s">
        <v>121</v>
      </c>
      <c r="Q434" t="s">
        <v>120</v>
      </c>
      <c r="R434" t="s">
        <v>151</v>
      </c>
      <c r="S434" t="s">
        <v>1574</v>
      </c>
      <c r="T434" t="s">
        <v>153</v>
      </c>
      <c r="U434" t="s">
        <v>154</v>
      </c>
      <c r="V434" t="str">
        <f>IFERROR(INDEX(Products!$C:$C,MATCH(D434,Products!$A:$A,0)),"Unknown")</f>
        <v>Men T-Shirts</v>
      </c>
      <c r="W434" t="str">
        <f>IFERROR(INDEX(Products!$E:$E,MATCH(D434,Products!$A:$A,0)),"Unknown")</f>
        <v>Killer Jeans</v>
      </c>
      <c r="X434" t="str">
        <f>IFERROR(INDEX(Stores!$B:$B,MATCH(E434,Stores!$A:$A,0)),"Unknown")</f>
        <v>TrendMart Nizamabad Standard</v>
      </c>
      <c r="Y434" t="str">
        <f>IFERROR(INDEX(Stores!$E:$E,MATCH(E434,Stores!$A:$A,0)),"Unknown")</f>
        <v>South Zone 2</v>
      </c>
      <c r="Z434" t="str">
        <f>IFERROR(INDEX(Customers!$J:$J,MATCH(C434,Customers!$A:$A,0)),"Unknown")</f>
        <v>Silver</v>
      </c>
      <c r="AA434" t="str">
        <f t="shared" si="6"/>
        <v>2024-07</v>
      </c>
      <c r="AB434" t="str">
        <f>IFERROR(INDEX(Products!$I:$I,MATCH(D434,Products!$A:$A,0)),"Unknown")</f>
        <v>SUP056</v>
      </c>
    </row>
    <row r="435" spans="1:28" x14ac:dyDescent="0.25">
      <c r="A435" t="s">
        <v>1575</v>
      </c>
      <c r="B435" s="20">
        <v>45602</v>
      </c>
      <c r="C435" t="s">
        <v>834</v>
      </c>
      <c r="D435" t="s">
        <v>193</v>
      </c>
      <c r="E435" t="s">
        <v>82</v>
      </c>
      <c r="F435" t="s">
        <v>182</v>
      </c>
      <c r="G435">
        <v>1</v>
      </c>
      <c r="H435" s="21">
        <v>1295.99</v>
      </c>
      <c r="I435">
        <v>0</v>
      </c>
      <c r="J435" s="21">
        <v>0</v>
      </c>
      <c r="K435">
        <v>12</v>
      </c>
      <c r="L435" s="21">
        <v>155.52000000000001</v>
      </c>
      <c r="M435" s="21">
        <v>1451.51</v>
      </c>
      <c r="N435" s="21">
        <v>1067.72</v>
      </c>
      <c r="O435" s="21">
        <v>228.27</v>
      </c>
      <c r="P435" t="s">
        <v>127</v>
      </c>
      <c r="Q435" t="s">
        <v>120</v>
      </c>
      <c r="R435" t="s">
        <v>151</v>
      </c>
      <c r="S435" t="s">
        <v>1576</v>
      </c>
      <c r="T435" t="s">
        <v>153</v>
      </c>
      <c r="U435" t="s">
        <v>154</v>
      </c>
      <c r="V435" t="str">
        <f>IFERROR(INDEX(Products!$C:$C,MATCH(D435,Products!$A:$A,0)),"Unknown")</f>
        <v>Men Jeans</v>
      </c>
      <c r="W435" t="str">
        <f>IFERROR(INDEX(Products!$E:$E,MATCH(D435,Products!$A:$A,0)),"Unknown")</f>
        <v>Metro Shoes</v>
      </c>
      <c r="X435" t="str">
        <f>IFERROR(INDEX(Stores!$B:$B,MATCH(E435,Stores!$A:$A,0)),"Unknown")</f>
        <v>TrendMart Kochi High Street</v>
      </c>
      <c r="Y435" t="str">
        <f>IFERROR(INDEX(Stores!$E:$E,MATCH(E435,Stores!$A:$A,0)),"Unknown")</f>
        <v>South Zone 1</v>
      </c>
      <c r="Z435" t="str">
        <f>IFERROR(INDEX(Customers!$J:$J,MATCH(C435,Customers!$A:$A,0)),"Unknown")</f>
        <v>Platinum</v>
      </c>
      <c r="AA435" t="str">
        <f t="shared" si="6"/>
        <v>2024-11</v>
      </c>
      <c r="AB435" t="str">
        <f>IFERROR(INDEX(Products!$I:$I,MATCH(D435,Products!$A:$A,0)),"Unknown")</f>
        <v>SUP059</v>
      </c>
    </row>
    <row r="436" spans="1:28" x14ac:dyDescent="0.25">
      <c r="A436" t="s">
        <v>1577</v>
      </c>
      <c r="B436" s="20">
        <v>45539</v>
      </c>
      <c r="C436" t="s">
        <v>240</v>
      </c>
      <c r="D436" t="s">
        <v>312</v>
      </c>
      <c r="E436" t="s">
        <v>630</v>
      </c>
      <c r="F436" t="s">
        <v>532</v>
      </c>
      <c r="G436">
        <v>3</v>
      </c>
      <c r="H436" s="21">
        <v>1175.96</v>
      </c>
      <c r="I436">
        <v>15</v>
      </c>
      <c r="J436" s="21">
        <v>529.17999999999995</v>
      </c>
      <c r="K436">
        <v>12</v>
      </c>
      <c r="L436" s="21">
        <v>359.84</v>
      </c>
      <c r="M436" s="21">
        <v>3358.54</v>
      </c>
      <c r="N436" s="21">
        <v>2597.7600000000002</v>
      </c>
      <c r="O436" s="21">
        <v>400.94</v>
      </c>
      <c r="P436" t="s">
        <v>121</v>
      </c>
      <c r="Q436" t="s">
        <v>120</v>
      </c>
      <c r="R436" t="s">
        <v>151</v>
      </c>
      <c r="S436" t="s">
        <v>1578</v>
      </c>
      <c r="T436" t="s">
        <v>153</v>
      </c>
      <c r="U436" t="s">
        <v>154</v>
      </c>
      <c r="V436" t="str">
        <f>IFERROR(INDEX(Products!$C:$C,MATCH(D436,Products!$A:$A,0)),"Unknown")</f>
        <v>Handbags</v>
      </c>
      <c r="W436" t="str">
        <f>IFERROR(INDEX(Products!$E:$E,MATCH(D436,Products!$A:$A,0)),"Unknown")</f>
        <v>Wrangler</v>
      </c>
      <c r="X436" t="str">
        <f>IFERROR(INDEX(Stores!$B:$B,MATCH(E436,Stores!$A:$A,0)),"Unknown")</f>
        <v>TrendMart Guntur Standard</v>
      </c>
      <c r="Y436" t="str">
        <f>IFERROR(INDEX(Stores!$E:$E,MATCH(E436,Stores!$A:$A,0)),"Unknown")</f>
        <v>South Zone 3</v>
      </c>
      <c r="Z436" t="str">
        <f>IFERROR(INDEX(Customers!$J:$J,MATCH(C436,Customers!$A:$A,0)),"Unknown")</f>
        <v>Silver</v>
      </c>
      <c r="AA436" t="str">
        <f t="shared" si="6"/>
        <v>2024-09</v>
      </c>
      <c r="AB436" t="str">
        <f>IFERROR(INDEX(Products!$I:$I,MATCH(D436,Products!$A:$A,0)),"Unknown")</f>
        <v>SUP008</v>
      </c>
    </row>
    <row r="437" spans="1:28" x14ac:dyDescent="0.25">
      <c r="A437" t="s">
        <v>1579</v>
      </c>
      <c r="B437" s="20">
        <v>45641</v>
      </c>
      <c r="C437" t="s">
        <v>1580</v>
      </c>
      <c r="D437" t="s">
        <v>290</v>
      </c>
      <c r="E437" t="s">
        <v>490</v>
      </c>
      <c r="F437" t="s">
        <v>221</v>
      </c>
      <c r="G437">
        <v>1</v>
      </c>
      <c r="H437" s="21">
        <v>6669.57</v>
      </c>
      <c r="I437">
        <v>25</v>
      </c>
      <c r="J437" s="21">
        <v>1667.39</v>
      </c>
      <c r="K437">
        <v>3</v>
      </c>
      <c r="L437" s="21">
        <v>150.07</v>
      </c>
      <c r="M437" s="21">
        <v>5152.25</v>
      </c>
      <c r="N437" s="21">
        <v>4715.1000000000004</v>
      </c>
      <c r="O437" s="21">
        <v>287.08</v>
      </c>
      <c r="P437" t="s">
        <v>126</v>
      </c>
      <c r="Q437" t="s">
        <v>122</v>
      </c>
      <c r="R437" t="s">
        <v>151</v>
      </c>
      <c r="S437" t="s">
        <v>835</v>
      </c>
      <c r="T437" t="s">
        <v>161</v>
      </c>
      <c r="U437" t="s">
        <v>154</v>
      </c>
      <c r="V437" t="str">
        <f>IFERROR(INDEX(Products!$C:$C,MATCH(D437,Products!$A:$A,0)),"Unknown")</f>
        <v>Jewellery</v>
      </c>
      <c r="W437" t="str">
        <f>IFERROR(INDEX(Products!$E:$E,MATCH(D437,Products!$A:$A,0)),"Unknown")</f>
        <v>Nike</v>
      </c>
      <c r="X437" t="str">
        <f>IFERROR(INDEX(Stores!$B:$B,MATCH(E437,Stores!$A:$A,0)),"Unknown")</f>
        <v>TrendMart Mangaluru Mall Kiosk</v>
      </c>
      <c r="Y437" t="str">
        <f>IFERROR(INDEX(Stores!$E:$E,MATCH(E437,Stores!$A:$A,0)),"Unknown")</f>
        <v>South Zone 2</v>
      </c>
      <c r="Z437" t="str">
        <f>IFERROR(INDEX(Customers!$J:$J,MATCH(C437,Customers!$A:$A,0)),"Unknown")</f>
        <v>Regular</v>
      </c>
      <c r="AA437" t="str">
        <f t="shared" si="6"/>
        <v>2024-12</v>
      </c>
      <c r="AB437" t="str">
        <f>IFERROR(INDEX(Products!$I:$I,MATCH(D437,Products!$A:$A,0)),"Unknown")</f>
        <v>SUP041</v>
      </c>
    </row>
    <row r="438" spans="1:28" x14ac:dyDescent="0.25">
      <c r="A438" t="s">
        <v>1581</v>
      </c>
      <c r="B438" s="20">
        <v>45566</v>
      </c>
      <c r="C438" t="s">
        <v>1582</v>
      </c>
      <c r="D438" t="s">
        <v>1569</v>
      </c>
      <c r="E438" t="s">
        <v>848</v>
      </c>
      <c r="F438" t="s">
        <v>286</v>
      </c>
      <c r="G438">
        <v>2</v>
      </c>
      <c r="H438" s="21">
        <v>1139.51</v>
      </c>
      <c r="I438">
        <v>20</v>
      </c>
      <c r="J438" s="21">
        <v>455.8</v>
      </c>
      <c r="K438">
        <v>12</v>
      </c>
      <c r="L438" s="21">
        <v>218.79</v>
      </c>
      <c r="M438" s="21">
        <v>2042.01</v>
      </c>
      <c r="N438" s="21">
        <v>1617.98</v>
      </c>
      <c r="O438" s="21">
        <v>205.24</v>
      </c>
      <c r="P438" t="s">
        <v>121</v>
      </c>
      <c r="Q438" t="s">
        <v>120</v>
      </c>
      <c r="R438" t="s">
        <v>151</v>
      </c>
      <c r="S438" t="s">
        <v>1583</v>
      </c>
      <c r="T438" t="s">
        <v>153</v>
      </c>
      <c r="U438" t="s">
        <v>154</v>
      </c>
      <c r="V438" t="str">
        <f>IFERROR(INDEX(Products!$C:$C,MATCH(D438,Products!$A:$A,0)),"Unknown")</f>
        <v>Women Kurtis</v>
      </c>
      <c r="W438" t="str">
        <f>IFERROR(INDEX(Products!$E:$E,MATCH(D438,Products!$A:$A,0)),"Unknown")</f>
        <v>Liberty</v>
      </c>
      <c r="X438" t="str">
        <f>IFERROR(INDEX(Stores!$B:$B,MATCH(E438,Stores!$A:$A,0)),"Unknown")</f>
        <v>TrendMart Shivamogga Standard</v>
      </c>
      <c r="Y438" t="str">
        <f>IFERROR(INDEX(Stores!$E:$E,MATCH(E438,Stores!$A:$A,0)),"Unknown")</f>
        <v>South Zone 2</v>
      </c>
      <c r="Z438" t="str">
        <f>IFERROR(INDEX(Customers!$J:$J,MATCH(C438,Customers!$A:$A,0)),"Unknown")</f>
        <v>Gold</v>
      </c>
      <c r="AA438" t="str">
        <f t="shared" si="6"/>
        <v>2024-10</v>
      </c>
      <c r="AB438" t="str">
        <f>IFERROR(INDEX(Products!$I:$I,MATCH(D438,Products!$A:$A,0)),"Unknown")</f>
        <v>SUP079</v>
      </c>
    </row>
    <row r="439" spans="1:28" x14ac:dyDescent="0.25">
      <c r="A439" t="s">
        <v>1584</v>
      </c>
      <c r="B439" s="20">
        <v>45561</v>
      </c>
      <c r="C439" t="s">
        <v>1585</v>
      </c>
      <c r="D439" t="s">
        <v>554</v>
      </c>
      <c r="E439" t="s">
        <v>83</v>
      </c>
      <c r="F439" t="s">
        <v>532</v>
      </c>
      <c r="G439">
        <v>4</v>
      </c>
      <c r="H439" s="21">
        <v>864.74</v>
      </c>
      <c r="I439">
        <v>10</v>
      </c>
      <c r="J439" s="21">
        <v>345.9</v>
      </c>
      <c r="K439">
        <v>5</v>
      </c>
      <c r="L439" s="21">
        <v>155.65</v>
      </c>
      <c r="M439" s="21">
        <v>3268.71</v>
      </c>
      <c r="N439" s="21">
        <v>2589.1999999999998</v>
      </c>
      <c r="O439" s="21">
        <v>523.86</v>
      </c>
      <c r="P439" t="s">
        <v>127</v>
      </c>
      <c r="Q439" t="s">
        <v>122</v>
      </c>
      <c r="R439" t="s">
        <v>151</v>
      </c>
      <c r="S439" t="s">
        <v>467</v>
      </c>
      <c r="T439" t="s">
        <v>153</v>
      </c>
      <c r="U439" t="s">
        <v>154</v>
      </c>
      <c r="V439" t="str">
        <f>IFERROR(INDEX(Products!$C:$C,MATCH(D439,Products!$A:$A,0)),"Unknown")</f>
        <v>Women Kurtis</v>
      </c>
      <c r="W439" t="str">
        <f>IFERROR(INDEX(Products!$E:$E,MATCH(D439,Products!$A:$A,0)),"Unknown")</f>
        <v>Fossil</v>
      </c>
      <c r="X439" t="str">
        <f>IFERROR(INDEX(Stores!$B:$B,MATCH(E439,Stores!$A:$A,0)),"Unknown")</f>
        <v>TrendMart Vellore Standard</v>
      </c>
      <c r="Y439" t="str">
        <f>IFERROR(INDEX(Stores!$E:$E,MATCH(E439,Stores!$A:$A,0)),"Unknown")</f>
        <v>South Zone 1</v>
      </c>
      <c r="Z439" t="str">
        <f>IFERROR(INDEX(Customers!$J:$J,MATCH(C439,Customers!$A:$A,0)),"Unknown")</f>
        <v>Regular</v>
      </c>
      <c r="AA439" t="str">
        <f t="shared" si="6"/>
        <v>2024-09</v>
      </c>
      <c r="AB439" t="str">
        <f>IFERROR(INDEX(Products!$I:$I,MATCH(D439,Products!$A:$A,0)),"Unknown")</f>
        <v>SUP018</v>
      </c>
    </row>
    <row r="440" spans="1:28" x14ac:dyDescent="0.25">
      <c r="A440" t="s">
        <v>1586</v>
      </c>
      <c r="B440" s="20">
        <v>45586</v>
      </c>
      <c r="C440" t="s">
        <v>1556</v>
      </c>
      <c r="D440" t="s">
        <v>1095</v>
      </c>
      <c r="E440" t="s">
        <v>934</v>
      </c>
      <c r="F440" t="s">
        <v>170</v>
      </c>
      <c r="G440">
        <v>1</v>
      </c>
      <c r="H440" s="21">
        <v>1214.29</v>
      </c>
      <c r="I440">
        <v>10</v>
      </c>
      <c r="J440" s="21">
        <v>121.43</v>
      </c>
      <c r="K440">
        <v>12</v>
      </c>
      <c r="L440" s="21">
        <v>131.13999999999999</v>
      </c>
      <c r="M440" s="21">
        <v>1224</v>
      </c>
      <c r="N440" s="21">
        <v>769.63</v>
      </c>
      <c r="O440" s="21">
        <v>323.23</v>
      </c>
      <c r="P440" t="s">
        <v>124</v>
      </c>
      <c r="Q440" t="s">
        <v>120</v>
      </c>
      <c r="R440" t="s">
        <v>151</v>
      </c>
      <c r="S440" t="s">
        <v>1587</v>
      </c>
      <c r="T440" t="s">
        <v>153</v>
      </c>
      <c r="U440" t="s">
        <v>154</v>
      </c>
      <c r="V440" t="str">
        <f>IFERROR(INDEX(Products!$C:$C,MATCH(D440,Products!$A:$A,0)),"Unknown")</f>
        <v>Women Dresses</v>
      </c>
      <c r="W440" t="str">
        <f>IFERROR(INDEX(Products!$E:$E,MATCH(D440,Products!$A:$A,0)),"Unknown")</f>
        <v>Ramraj Cotton</v>
      </c>
      <c r="X440" t="str">
        <f>IFERROR(INDEX(Stores!$B:$B,MATCH(E440,Stores!$A:$A,0)),"Unknown")</f>
        <v>TrendMart Bengaluru High Street</v>
      </c>
      <c r="Y440" t="str">
        <f>IFERROR(INDEX(Stores!$E:$E,MATCH(E440,Stores!$A:$A,0)),"Unknown")</f>
        <v>South Zone 2</v>
      </c>
      <c r="Z440" t="str">
        <f>IFERROR(INDEX(Customers!$J:$J,MATCH(C440,Customers!$A:$A,0)),"Unknown")</f>
        <v>Silver</v>
      </c>
      <c r="AA440" t="str">
        <f t="shared" si="6"/>
        <v>2024-10</v>
      </c>
      <c r="AB440" t="str">
        <f>IFERROR(INDEX(Products!$I:$I,MATCH(D440,Products!$A:$A,0)),"Unknown")</f>
        <v>SUP054</v>
      </c>
    </row>
    <row r="441" spans="1:28" x14ac:dyDescent="0.25">
      <c r="A441" t="s">
        <v>1588</v>
      </c>
      <c r="B441" s="20">
        <v>45701</v>
      </c>
      <c r="C441" t="s">
        <v>1589</v>
      </c>
      <c r="D441" t="s">
        <v>1590</v>
      </c>
      <c r="E441" t="s">
        <v>1591</v>
      </c>
      <c r="F441" t="s">
        <v>618</v>
      </c>
      <c r="G441">
        <v>3</v>
      </c>
      <c r="H441" s="21">
        <v>489.89</v>
      </c>
      <c r="I441">
        <v>10</v>
      </c>
      <c r="J441" s="21">
        <v>146.97</v>
      </c>
      <c r="K441">
        <v>5</v>
      </c>
      <c r="L441" s="21">
        <v>66.14</v>
      </c>
      <c r="M441" s="21">
        <v>1388.84</v>
      </c>
      <c r="N441" s="21">
        <v>1011.27</v>
      </c>
      <c r="O441" s="21">
        <v>311.43</v>
      </c>
      <c r="P441" t="s">
        <v>125</v>
      </c>
      <c r="Q441" t="s">
        <v>120</v>
      </c>
      <c r="R441" t="s">
        <v>151</v>
      </c>
      <c r="S441" t="s">
        <v>1592</v>
      </c>
      <c r="T441" t="s">
        <v>153</v>
      </c>
      <c r="U441" t="s">
        <v>154</v>
      </c>
      <c r="V441" t="str">
        <f>IFERROR(INDEX(Products!$C:$C,MATCH(D441,Products!$A:$A,0)),"Unknown")</f>
        <v>Kids Wear</v>
      </c>
      <c r="W441" t="str">
        <f>IFERROR(INDEX(Products!$E:$E,MATCH(D441,Products!$A:$A,0)),"Unknown")</f>
        <v>Peter England</v>
      </c>
      <c r="X441" t="str">
        <f>IFERROR(INDEX(Stores!$B:$B,MATCH(E441,Stores!$A:$A,0)),"Unknown")</f>
        <v>TrendMart Guntur Standard</v>
      </c>
      <c r="Y441" t="str">
        <f>IFERROR(INDEX(Stores!$E:$E,MATCH(E441,Stores!$A:$A,0)),"Unknown")</f>
        <v>South Zone 3</v>
      </c>
      <c r="Z441" t="str">
        <f>IFERROR(INDEX(Customers!$J:$J,MATCH(C441,Customers!$A:$A,0)),"Unknown")</f>
        <v>Silver</v>
      </c>
      <c r="AA441" t="str">
        <f t="shared" si="6"/>
        <v>2025-02</v>
      </c>
      <c r="AB441" t="str">
        <f>IFERROR(INDEX(Products!$I:$I,MATCH(D441,Products!$A:$A,0)),"Unknown")</f>
        <v>SUP065</v>
      </c>
    </row>
    <row r="442" spans="1:28" x14ac:dyDescent="0.25">
      <c r="A442" t="s">
        <v>1593</v>
      </c>
      <c r="B442" s="20">
        <v>45627</v>
      </c>
      <c r="C442" t="s">
        <v>1594</v>
      </c>
      <c r="D442" t="s">
        <v>756</v>
      </c>
      <c r="E442" t="s">
        <v>175</v>
      </c>
      <c r="F442" t="s">
        <v>297</v>
      </c>
      <c r="G442">
        <v>3</v>
      </c>
      <c r="H442" s="21">
        <v>837.58</v>
      </c>
      <c r="I442">
        <v>0</v>
      </c>
      <c r="J442" s="21">
        <v>0</v>
      </c>
      <c r="K442">
        <v>5</v>
      </c>
      <c r="L442" s="21">
        <v>125.64</v>
      </c>
      <c r="M442" s="21">
        <v>2638.38</v>
      </c>
      <c r="N442" s="21">
        <v>1567.14</v>
      </c>
      <c r="O442" s="21">
        <v>945.6</v>
      </c>
      <c r="P442" t="s">
        <v>121</v>
      </c>
      <c r="Q442" t="s">
        <v>120</v>
      </c>
      <c r="R442" t="s">
        <v>151</v>
      </c>
      <c r="S442" t="s">
        <v>1595</v>
      </c>
      <c r="T442" t="s">
        <v>161</v>
      </c>
      <c r="U442" t="s">
        <v>154</v>
      </c>
      <c r="V442" t="str">
        <f>IFERROR(INDEX(Products!$C:$C,MATCH(D442,Products!$A:$A,0)),"Unknown")</f>
        <v>Women Tops</v>
      </c>
      <c r="W442" t="str">
        <f>IFERROR(INDEX(Products!$E:$E,MATCH(D442,Products!$A:$A,0)),"Unknown")</f>
        <v>Peter England</v>
      </c>
      <c r="X442" t="str">
        <f>IFERROR(INDEX(Stores!$B:$B,MATCH(E442,Stores!$A:$A,0)),"Unknown")</f>
        <v>TrendMart Thoothukudi Flagship</v>
      </c>
      <c r="Y442" t="str">
        <f>IFERROR(INDEX(Stores!$E:$E,MATCH(E442,Stores!$A:$A,0)),"Unknown")</f>
        <v>South Zone 1</v>
      </c>
      <c r="Z442" t="str">
        <f>IFERROR(INDEX(Customers!$J:$J,MATCH(C442,Customers!$A:$A,0)),"Unknown")</f>
        <v>Regular</v>
      </c>
      <c r="AA442" t="str">
        <f t="shared" si="6"/>
        <v>2024-12</v>
      </c>
      <c r="AB442" t="str">
        <f>IFERROR(INDEX(Products!$I:$I,MATCH(D442,Products!$A:$A,0)),"Unknown")</f>
        <v>SUP018</v>
      </c>
    </row>
    <row r="443" spans="1:28" x14ac:dyDescent="0.25">
      <c r="A443" t="s">
        <v>1596</v>
      </c>
      <c r="B443" s="20">
        <v>45610</v>
      </c>
      <c r="C443" t="s">
        <v>1597</v>
      </c>
      <c r="D443" t="s">
        <v>367</v>
      </c>
      <c r="E443" t="s">
        <v>1068</v>
      </c>
      <c r="F443" t="s">
        <v>221</v>
      </c>
      <c r="G443">
        <v>1</v>
      </c>
      <c r="H443" s="21">
        <v>703.82</v>
      </c>
      <c r="I443">
        <v>15</v>
      </c>
      <c r="J443" s="21">
        <v>105.57</v>
      </c>
      <c r="K443">
        <v>3</v>
      </c>
      <c r="L443" s="21">
        <v>17.95</v>
      </c>
      <c r="M443" s="21">
        <v>616.20000000000005</v>
      </c>
      <c r="N443" s="21">
        <v>556.99</v>
      </c>
      <c r="O443" s="21">
        <v>41.26</v>
      </c>
      <c r="P443" t="s">
        <v>121</v>
      </c>
      <c r="Q443" t="s">
        <v>122</v>
      </c>
      <c r="R443" t="s">
        <v>151</v>
      </c>
      <c r="S443" t="s">
        <v>1313</v>
      </c>
      <c r="T443" t="s">
        <v>153</v>
      </c>
      <c r="U443" t="s">
        <v>154</v>
      </c>
      <c r="V443" t="str">
        <f>IFERROR(INDEX(Products!$C:$C,MATCH(D443,Products!$A:$A,0)),"Unknown")</f>
        <v>Jewellery</v>
      </c>
      <c r="W443" t="str">
        <f>IFERROR(INDEX(Products!$E:$E,MATCH(D443,Products!$A:$A,0)),"Unknown")</f>
        <v>Aurelia</v>
      </c>
      <c r="X443" t="str">
        <f>IFERROR(INDEX(Stores!$B:$B,MATCH(E443,Stores!$A:$A,0)),"Unknown")</f>
        <v>TrendMart Tumakuru High Street</v>
      </c>
      <c r="Y443" t="str">
        <f>IFERROR(INDEX(Stores!$E:$E,MATCH(E443,Stores!$A:$A,0)),"Unknown")</f>
        <v>South Zone 2</v>
      </c>
      <c r="Z443" t="str">
        <f>IFERROR(INDEX(Customers!$J:$J,MATCH(C443,Customers!$A:$A,0)),"Unknown")</f>
        <v>Silver</v>
      </c>
      <c r="AA443" t="str">
        <f t="shared" si="6"/>
        <v>2024-11</v>
      </c>
      <c r="AB443" t="str">
        <f>IFERROR(INDEX(Products!$I:$I,MATCH(D443,Products!$A:$A,0)),"Unknown")</f>
        <v>SUP067</v>
      </c>
    </row>
    <row r="444" spans="1:28" x14ac:dyDescent="0.25">
      <c r="A444" t="s">
        <v>1598</v>
      </c>
      <c r="B444" s="20">
        <v>45495</v>
      </c>
      <c r="C444" t="s">
        <v>1599</v>
      </c>
      <c r="D444" t="s">
        <v>822</v>
      </c>
      <c r="E444" t="s">
        <v>906</v>
      </c>
      <c r="F444" t="s">
        <v>382</v>
      </c>
      <c r="G444">
        <v>1</v>
      </c>
      <c r="H444" s="21">
        <v>2045.12</v>
      </c>
      <c r="I444">
        <v>0</v>
      </c>
      <c r="J444" s="21">
        <v>0</v>
      </c>
      <c r="K444">
        <v>12</v>
      </c>
      <c r="L444" s="21">
        <v>245.41</v>
      </c>
      <c r="M444" s="21">
        <v>2290.5300000000002</v>
      </c>
      <c r="N444" s="21">
        <v>1492.71</v>
      </c>
      <c r="O444" s="21">
        <v>552.41</v>
      </c>
      <c r="P444" t="s">
        <v>121</v>
      </c>
      <c r="Q444" t="s">
        <v>120</v>
      </c>
      <c r="R444" t="s">
        <v>151</v>
      </c>
      <c r="S444" t="s">
        <v>1600</v>
      </c>
      <c r="T444" t="s">
        <v>153</v>
      </c>
      <c r="U444" t="s">
        <v>154</v>
      </c>
      <c r="V444" t="str">
        <f>IFERROR(INDEX(Products!$C:$C,MATCH(D444,Products!$A:$A,0)),"Unknown")</f>
        <v>Footwear</v>
      </c>
      <c r="W444" t="str">
        <f>IFERROR(INDEX(Products!$E:$E,MATCH(D444,Products!$A:$A,0)),"Unknown")</f>
        <v>AND</v>
      </c>
      <c r="X444" t="str">
        <f>IFERROR(INDEX(Stores!$B:$B,MATCH(E444,Stores!$A:$A,0)),"Unknown")</f>
        <v>TrendMart Vijayawada Standard</v>
      </c>
      <c r="Y444" t="str">
        <f>IFERROR(INDEX(Stores!$E:$E,MATCH(E444,Stores!$A:$A,0)),"Unknown")</f>
        <v>South Zone 3</v>
      </c>
      <c r="Z444" t="str">
        <f>IFERROR(INDEX(Customers!$J:$J,MATCH(C444,Customers!$A:$A,0)),"Unknown")</f>
        <v>Regular</v>
      </c>
      <c r="AA444" t="str">
        <f t="shared" si="6"/>
        <v>2024-07</v>
      </c>
      <c r="AB444" t="str">
        <f>IFERROR(INDEX(Products!$I:$I,MATCH(D444,Products!$A:$A,0)),"Unknown")</f>
        <v>SUP002</v>
      </c>
    </row>
    <row r="445" spans="1:28" x14ac:dyDescent="0.25">
      <c r="A445" t="s">
        <v>1601</v>
      </c>
      <c r="B445" s="20">
        <v>45474</v>
      </c>
      <c r="C445" t="s">
        <v>1602</v>
      </c>
      <c r="D445" t="s">
        <v>386</v>
      </c>
      <c r="E445" t="s">
        <v>194</v>
      </c>
      <c r="F445" t="s">
        <v>377</v>
      </c>
      <c r="G445">
        <v>1</v>
      </c>
      <c r="H445" s="21">
        <v>1438.2</v>
      </c>
      <c r="I445">
        <v>15</v>
      </c>
      <c r="J445" s="21">
        <v>215.73</v>
      </c>
      <c r="K445">
        <v>12</v>
      </c>
      <c r="L445" s="21">
        <v>146.69999999999999</v>
      </c>
      <c r="M445" s="21">
        <v>1369.17</v>
      </c>
      <c r="N445" s="21">
        <v>1013.26</v>
      </c>
      <c r="O445" s="21">
        <v>209.21</v>
      </c>
      <c r="P445" t="s">
        <v>124</v>
      </c>
      <c r="Q445" t="s">
        <v>122</v>
      </c>
      <c r="R445" t="s">
        <v>151</v>
      </c>
      <c r="S445" t="s">
        <v>1603</v>
      </c>
      <c r="T445" t="s">
        <v>153</v>
      </c>
      <c r="U445" t="s">
        <v>154</v>
      </c>
      <c r="V445" t="str">
        <f>IFERROR(INDEX(Products!$C:$C,MATCH(D445,Products!$A:$A,0)),"Unknown")</f>
        <v>Winter Wear</v>
      </c>
      <c r="W445" t="str">
        <f>IFERROR(INDEX(Products!$E:$E,MATCH(D445,Products!$A:$A,0)),"Unknown")</f>
        <v>Blackberrys</v>
      </c>
      <c r="X445" t="str">
        <f>IFERROR(INDEX(Stores!$B:$B,MATCH(E445,Stores!$A:$A,0)),"Unknown")</f>
        <v>TrendMart Tirupati High Street</v>
      </c>
      <c r="Y445" t="str">
        <f>IFERROR(INDEX(Stores!$E:$E,MATCH(E445,Stores!$A:$A,0)),"Unknown")</f>
        <v>South Zone 3</v>
      </c>
      <c r="Z445" t="str">
        <f>IFERROR(INDEX(Customers!$J:$J,MATCH(C445,Customers!$A:$A,0)),"Unknown")</f>
        <v>Regular</v>
      </c>
      <c r="AA445" t="str">
        <f t="shared" si="6"/>
        <v>2024-07</v>
      </c>
      <c r="AB445" t="str">
        <f>IFERROR(INDEX(Products!$I:$I,MATCH(D445,Products!$A:$A,0)),"Unknown")</f>
        <v>SUP051</v>
      </c>
    </row>
    <row r="446" spans="1:28" x14ac:dyDescent="0.25">
      <c r="A446" t="s">
        <v>1604</v>
      </c>
      <c r="B446" s="20">
        <v>45611</v>
      </c>
      <c r="C446" t="s">
        <v>1605</v>
      </c>
      <c r="D446" t="s">
        <v>888</v>
      </c>
      <c r="E446" t="s">
        <v>1002</v>
      </c>
      <c r="F446" t="s">
        <v>258</v>
      </c>
      <c r="G446">
        <v>3</v>
      </c>
      <c r="H446" s="21">
        <v>6098.8</v>
      </c>
      <c r="I446">
        <v>5</v>
      </c>
      <c r="J446" s="21">
        <v>914.82</v>
      </c>
      <c r="K446">
        <v>3</v>
      </c>
      <c r="L446" s="21">
        <v>521.45000000000005</v>
      </c>
      <c r="M446" s="21">
        <v>17903.03</v>
      </c>
      <c r="N446" s="21">
        <v>14288.28</v>
      </c>
      <c r="O446" s="21">
        <v>3093.3</v>
      </c>
      <c r="P446" t="s">
        <v>124</v>
      </c>
      <c r="Q446" t="s">
        <v>120</v>
      </c>
      <c r="R446" t="s">
        <v>151</v>
      </c>
      <c r="S446" t="s">
        <v>491</v>
      </c>
      <c r="T446" t="s">
        <v>153</v>
      </c>
      <c r="U446" t="s">
        <v>154</v>
      </c>
      <c r="V446" t="str">
        <f>IFERROR(INDEX(Products!$C:$C,MATCH(D446,Products!$A:$A,0)),"Unknown")</f>
        <v>Jewellery</v>
      </c>
      <c r="W446" t="str">
        <f>IFERROR(INDEX(Products!$E:$E,MATCH(D446,Products!$A:$A,0)),"Unknown")</f>
        <v>Aurelia</v>
      </c>
      <c r="X446" t="str">
        <f>IFERROR(INDEX(Stores!$B:$B,MATCH(E446,Stores!$A:$A,0)),"Unknown")</f>
        <v>TrendMart Coimbatore Mall Kiosk</v>
      </c>
      <c r="Y446" t="str">
        <f>IFERROR(INDEX(Stores!$E:$E,MATCH(E446,Stores!$A:$A,0)),"Unknown")</f>
        <v>South Zone 1</v>
      </c>
      <c r="Z446" t="str">
        <f>IFERROR(INDEX(Customers!$J:$J,MATCH(C446,Customers!$A:$A,0)),"Unknown")</f>
        <v>Gold</v>
      </c>
      <c r="AA446" t="str">
        <f t="shared" si="6"/>
        <v>2024-11</v>
      </c>
      <c r="AB446" t="str">
        <f>IFERROR(INDEX(Products!$I:$I,MATCH(D446,Products!$A:$A,0)),"Unknown")</f>
        <v>SUP038</v>
      </c>
    </row>
    <row r="447" spans="1:28" x14ac:dyDescent="0.25">
      <c r="A447" t="s">
        <v>1606</v>
      </c>
      <c r="B447" s="20">
        <v>45521</v>
      </c>
      <c r="C447" t="s">
        <v>1607</v>
      </c>
      <c r="D447" t="s">
        <v>931</v>
      </c>
      <c r="E447" t="s">
        <v>87</v>
      </c>
      <c r="F447" t="s">
        <v>532</v>
      </c>
      <c r="G447">
        <v>1</v>
      </c>
      <c r="H447" s="21">
        <v>1594.95</v>
      </c>
      <c r="I447">
        <v>0</v>
      </c>
      <c r="J447" s="21">
        <v>0</v>
      </c>
      <c r="K447">
        <v>12</v>
      </c>
      <c r="L447" s="21">
        <v>191.39</v>
      </c>
      <c r="M447" s="21">
        <v>1786.34</v>
      </c>
      <c r="N447" s="21">
        <v>1020.9</v>
      </c>
      <c r="O447" s="21">
        <v>574.04999999999995</v>
      </c>
      <c r="P447" t="s">
        <v>124</v>
      </c>
      <c r="Q447" t="s">
        <v>122</v>
      </c>
      <c r="R447" t="s">
        <v>151</v>
      </c>
      <c r="S447" t="s">
        <v>1608</v>
      </c>
      <c r="T447" t="s">
        <v>161</v>
      </c>
      <c r="U447" t="s">
        <v>154</v>
      </c>
      <c r="V447" t="str">
        <f>IFERROR(INDEX(Products!$C:$C,MATCH(D447,Products!$A:$A,0)),"Unknown")</f>
        <v>Women Sarees</v>
      </c>
      <c r="W447" t="str">
        <f>IFERROR(INDEX(Products!$E:$E,MATCH(D447,Products!$A:$A,0)),"Unknown")</f>
        <v>Jack &amp; Jones</v>
      </c>
      <c r="X447" t="str">
        <f>IFERROR(INDEX(Stores!$B:$B,MATCH(E447,Stores!$A:$A,0)),"Unknown")</f>
        <v>TrendMart Thiruvananthapuram Standard</v>
      </c>
      <c r="Y447" t="str">
        <f>IFERROR(INDEX(Stores!$E:$E,MATCH(E447,Stores!$A:$A,0)),"Unknown")</f>
        <v>South Zone 1</v>
      </c>
      <c r="Z447" t="str">
        <f>IFERROR(INDEX(Customers!$J:$J,MATCH(C447,Customers!$A:$A,0)),"Unknown")</f>
        <v>Regular</v>
      </c>
      <c r="AA447" t="str">
        <f t="shared" si="6"/>
        <v>2024-08</v>
      </c>
      <c r="AB447" t="str">
        <f>IFERROR(INDEX(Products!$I:$I,MATCH(D447,Products!$A:$A,0)),"Unknown")</f>
        <v>SUP058</v>
      </c>
    </row>
    <row r="448" spans="1:28" x14ac:dyDescent="0.25">
      <c r="A448" t="s">
        <v>1609</v>
      </c>
      <c r="B448" s="20">
        <v>45655</v>
      </c>
      <c r="C448" t="s">
        <v>1610</v>
      </c>
      <c r="D448" t="s">
        <v>751</v>
      </c>
      <c r="E448" t="s">
        <v>617</v>
      </c>
      <c r="F448" t="s">
        <v>382</v>
      </c>
      <c r="G448">
        <v>3</v>
      </c>
      <c r="H448" s="21">
        <v>1449</v>
      </c>
      <c r="I448">
        <v>15</v>
      </c>
      <c r="J448" s="21">
        <v>652.04999999999995</v>
      </c>
      <c r="K448">
        <v>12</v>
      </c>
      <c r="L448" s="21">
        <v>443.39</v>
      </c>
      <c r="M448" s="21">
        <v>4138.34</v>
      </c>
      <c r="N448" s="21">
        <v>2817.39</v>
      </c>
      <c r="O448" s="21">
        <v>877.56</v>
      </c>
      <c r="P448" t="s">
        <v>123</v>
      </c>
      <c r="Q448" t="s">
        <v>120</v>
      </c>
      <c r="R448" t="s">
        <v>151</v>
      </c>
      <c r="S448" t="s">
        <v>1492</v>
      </c>
      <c r="T448" t="s">
        <v>161</v>
      </c>
      <c r="U448" t="s">
        <v>154</v>
      </c>
      <c r="V448" t="str">
        <f>IFERROR(INDEX(Products!$C:$C,MATCH(D448,Products!$A:$A,0)),"Unknown")</f>
        <v>Wallets</v>
      </c>
      <c r="W448" t="str">
        <f>IFERROR(INDEX(Products!$E:$E,MATCH(D448,Products!$A:$A,0)),"Unknown")</f>
        <v>Numero Uno</v>
      </c>
      <c r="X448" t="str">
        <f>IFERROR(INDEX(Stores!$B:$B,MATCH(E448,Stores!$A:$A,0)),"Unknown")</f>
        <v>TrendMart Mangaluru High Street</v>
      </c>
      <c r="Y448" t="str">
        <f>IFERROR(INDEX(Stores!$E:$E,MATCH(E448,Stores!$A:$A,0)),"Unknown")</f>
        <v>South Zone 2</v>
      </c>
      <c r="Z448" t="str">
        <f>IFERROR(INDEX(Customers!$J:$J,MATCH(C448,Customers!$A:$A,0)),"Unknown")</f>
        <v>Gold</v>
      </c>
      <c r="AA448" t="str">
        <f t="shared" si="6"/>
        <v>2024-12</v>
      </c>
      <c r="AB448" t="str">
        <f>IFERROR(INDEX(Products!$I:$I,MATCH(D448,Products!$A:$A,0)),"Unknown")</f>
        <v>SUP029</v>
      </c>
    </row>
    <row r="449" spans="1:28" x14ac:dyDescent="0.25">
      <c r="A449" t="s">
        <v>1611</v>
      </c>
      <c r="B449" s="20">
        <v>45517</v>
      </c>
      <c r="C449" t="s">
        <v>716</v>
      </c>
      <c r="D449" t="s">
        <v>301</v>
      </c>
      <c r="E449" t="s">
        <v>387</v>
      </c>
      <c r="F449" t="s">
        <v>263</v>
      </c>
      <c r="G449">
        <v>2</v>
      </c>
      <c r="H449" s="21">
        <v>1424.12</v>
      </c>
      <c r="I449">
        <v>25</v>
      </c>
      <c r="J449" s="21">
        <v>712.06</v>
      </c>
      <c r="K449">
        <v>12</v>
      </c>
      <c r="L449" s="21">
        <v>256.33999999999997</v>
      </c>
      <c r="M449" s="21">
        <v>2392.52</v>
      </c>
      <c r="N449" s="21">
        <v>1943.3</v>
      </c>
      <c r="O449" s="21">
        <v>192.88</v>
      </c>
      <c r="P449" t="s">
        <v>124</v>
      </c>
      <c r="Q449" t="s">
        <v>122</v>
      </c>
      <c r="R449" t="s">
        <v>151</v>
      </c>
      <c r="S449" t="s">
        <v>580</v>
      </c>
      <c r="T449" t="s">
        <v>153</v>
      </c>
      <c r="U449" t="s">
        <v>154</v>
      </c>
      <c r="V449" t="str">
        <f>IFERROR(INDEX(Products!$C:$C,MATCH(D449,Products!$A:$A,0)),"Unknown")</f>
        <v>Women Jeans</v>
      </c>
      <c r="W449" t="str">
        <f>IFERROR(INDEX(Products!$E:$E,MATCH(D449,Products!$A:$A,0)),"Unknown")</f>
        <v>Unknown</v>
      </c>
      <c r="X449" t="str">
        <f>IFERROR(INDEX(Stores!$B:$B,MATCH(E449,Stores!$A:$A,0)),"Unknown")</f>
        <v>TrendMart Kannur Outlet</v>
      </c>
      <c r="Y449" t="str">
        <f>IFERROR(INDEX(Stores!$E:$E,MATCH(E449,Stores!$A:$A,0)),"Unknown")</f>
        <v>South Zone 1</v>
      </c>
      <c r="Z449" t="str">
        <f>IFERROR(INDEX(Customers!$J:$J,MATCH(C449,Customers!$A:$A,0)),"Unknown")</f>
        <v>Silver</v>
      </c>
      <c r="AA449" t="str">
        <f t="shared" si="6"/>
        <v>2024-08</v>
      </c>
      <c r="AB449" t="str">
        <f>IFERROR(INDEX(Products!$I:$I,MATCH(D449,Products!$A:$A,0)),"Unknown")</f>
        <v>SUP050</v>
      </c>
    </row>
    <row r="450" spans="1:28" x14ac:dyDescent="0.25">
      <c r="A450" t="s">
        <v>1612</v>
      </c>
      <c r="B450" s="20">
        <v>45505</v>
      </c>
      <c r="C450" t="s">
        <v>1613</v>
      </c>
      <c r="D450" t="s">
        <v>947</v>
      </c>
      <c r="E450" t="s">
        <v>82</v>
      </c>
      <c r="F450" t="s">
        <v>434</v>
      </c>
      <c r="G450">
        <v>4</v>
      </c>
      <c r="H450" s="21">
        <v>771.23</v>
      </c>
      <c r="I450">
        <v>20</v>
      </c>
      <c r="J450" s="21">
        <v>616.98</v>
      </c>
      <c r="K450">
        <v>5</v>
      </c>
      <c r="L450" s="21">
        <v>123.4</v>
      </c>
      <c r="M450" s="21">
        <v>2591.34</v>
      </c>
      <c r="N450" s="21">
        <v>2277.4</v>
      </c>
      <c r="O450" s="21">
        <v>190.54</v>
      </c>
      <c r="P450" t="s">
        <v>123</v>
      </c>
      <c r="Q450" t="s">
        <v>120</v>
      </c>
      <c r="R450" t="s">
        <v>151</v>
      </c>
      <c r="S450" t="s">
        <v>1614</v>
      </c>
      <c r="T450" t="s">
        <v>153</v>
      </c>
      <c r="U450" t="s">
        <v>154</v>
      </c>
      <c r="V450" t="str">
        <f>IFERROR(INDEX(Products!$C:$C,MATCH(D450,Products!$A:$A,0)),"Unknown")</f>
        <v>Women Kurtis</v>
      </c>
      <c r="W450" t="str">
        <f>IFERROR(INDEX(Products!$E:$E,MATCH(D450,Products!$A:$A,0)),"Unknown")</f>
        <v>Sonata</v>
      </c>
      <c r="X450" t="str">
        <f>IFERROR(INDEX(Stores!$B:$B,MATCH(E450,Stores!$A:$A,0)),"Unknown")</f>
        <v>TrendMart Kochi High Street</v>
      </c>
      <c r="Y450" t="str">
        <f>IFERROR(INDEX(Stores!$E:$E,MATCH(E450,Stores!$A:$A,0)),"Unknown")</f>
        <v>South Zone 1</v>
      </c>
      <c r="Z450" t="str">
        <f>IFERROR(INDEX(Customers!$J:$J,MATCH(C450,Customers!$A:$A,0)),"Unknown")</f>
        <v>Regular</v>
      </c>
      <c r="AA450" t="str">
        <f t="shared" ref="AA450:AA513" si="7">TEXT(B450,"YYYY-MM")</f>
        <v>2024-08</v>
      </c>
      <c r="AB450" t="str">
        <f>IFERROR(INDEX(Products!$I:$I,MATCH(D450,Products!$A:$A,0)),"Unknown")</f>
        <v>SUP001</v>
      </c>
    </row>
    <row r="451" spans="1:28" x14ac:dyDescent="0.25">
      <c r="A451" t="s">
        <v>1615</v>
      </c>
      <c r="B451" s="20">
        <v>45593</v>
      </c>
      <c r="C451" t="s">
        <v>1263</v>
      </c>
      <c r="D451" t="s">
        <v>1616</v>
      </c>
      <c r="E451" t="s">
        <v>226</v>
      </c>
      <c r="F451" t="s">
        <v>579</v>
      </c>
      <c r="G451">
        <v>3</v>
      </c>
      <c r="H451" s="21">
        <v>4620.47</v>
      </c>
      <c r="I451">
        <v>0</v>
      </c>
      <c r="J451" s="21">
        <v>0</v>
      </c>
      <c r="K451">
        <v>12</v>
      </c>
      <c r="L451" s="21">
        <v>1663.37</v>
      </c>
      <c r="M451" s="21">
        <v>15524.78</v>
      </c>
      <c r="N451" s="21">
        <v>9069.39</v>
      </c>
      <c r="O451" s="21">
        <v>4792.0200000000004</v>
      </c>
      <c r="P451" t="s">
        <v>123</v>
      </c>
      <c r="Q451" t="s">
        <v>120</v>
      </c>
      <c r="R451" t="s">
        <v>151</v>
      </c>
      <c r="S451" t="s">
        <v>584</v>
      </c>
      <c r="T451" t="s">
        <v>153</v>
      </c>
      <c r="U451" t="s">
        <v>154</v>
      </c>
      <c r="V451" t="str">
        <f>IFERROR(INDEX(Products!$C:$C,MATCH(D451,Products!$A:$A,0)),"Unknown")</f>
        <v>Women Sarees</v>
      </c>
      <c r="W451" t="str">
        <f>IFERROR(INDEX(Products!$E:$E,MATCH(D451,Products!$A:$A,0)),"Unknown")</f>
        <v>Max Fashion</v>
      </c>
      <c r="X451" t="str">
        <f>IFERROR(INDEX(Stores!$B:$B,MATCH(E451,Stores!$A:$A,0)),"Unknown")</f>
        <v>TrendMart Kurnool Standard</v>
      </c>
      <c r="Y451" t="str">
        <f>IFERROR(INDEX(Stores!$E:$E,MATCH(E451,Stores!$A:$A,0)),"Unknown")</f>
        <v>South Zone 3</v>
      </c>
      <c r="Z451" t="str">
        <f>IFERROR(INDEX(Customers!$J:$J,MATCH(C451,Customers!$A:$A,0)),"Unknown")</f>
        <v>Silver</v>
      </c>
      <c r="AA451" t="str">
        <f t="shared" si="7"/>
        <v>2024-10</v>
      </c>
      <c r="AB451" t="str">
        <f>IFERROR(INDEX(Products!$I:$I,MATCH(D451,Products!$A:$A,0)),"Unknown")</f>
        <v>SUP047</v>
      </c>
    </row>
    <row r="452" spans="1:28" x14ac:dyDescent="0.25">
      <c r="A452" t="s">
        <v>1617</v>
      </c>
      <c r="B452" s="20">
        <v>45415</v>
      </c>
      <c r="C452" t="s">
        <v>1618</v>
      </c>
      <c r="D452" t="s">
        <v>524</v>
      </c>
      <c r="E452" t="s">
        <v>88</v>
      </c>
      <c r="F452" t="s">
        <v>286</v>
      </c>
      <c r="G452">
        <v>1</v>
      </c>
      <c r="H452" s="21">
        <v>734.16</v>
      </c>
      <c r="I452">
        <v>0</v>
      </c>
      <c r="J452" s="21">
        <v>0</v>
      </c>
      <c r="K452">
        <v>5</v>
      </c>
      <c r="L452" s="21">
        <v>36.71</v>
      </c>
      <c r="M452" s="21">
        <v>770.87</v>
      </c>
      <c r="N452" s="21">
        <v>547.66999999999996</v>
      </c>
      <c r="O452" s="21">
        <v>186.49</v>
      </c>
      <c r="P452" t="s">
        <v>124</v>
      </c>
      <c r="Q452" t="s">
        <v>120</v>
      </c>
      <c r="R452" t="s">
        <v>313</v>
      </c>
      <c r="S452" t="s">
        <v>1619</v>
      </c>
      <c r="T452" t="s">
        <v>153</v>
      </c>
      <c r="U452" t="s">
        <v>154</v>
      </c>
      <c r="V452" t="str">
        <f>IFERROR(INDEX(Products!$C:$C,MATCH(D452,Products!$A:$A,0)),"Unknown")</f>
        <v>Women Tops</v>
      </c>
      <c r="W452" t="str">
        <f>IFERROR(INDEX(Products!$E:$E,MATCH(D452,Products!$A:$A,0)),"Unknown")</f>
        <v>Indian Terrain</v>
      </c>
      <c r="X452" t="str">
        <f>IFERROR(INDEX(Stores!$B:$B,MATCH(E452,Stores!$A:$A,0)),"Unknown")</f>
        <v>TrendMart Kozhikode Mall Kiosk</v>
      </c>
      <c r="Y452" t="str">
        <f>IFERROR(INDEX(Stores!$E:$E,MATCH(E452,Stores!$A:$A,0)),"Unknown")</f>
        <v>South Zone 1</v>
      </c>
      <c r="Z452" t="str">
        <f>IFERROR(INDEX(Customers!$J:$J,MATCH(C452,Customers!$A:$A,0)),"Unknown")</f>
        <v>Regular</v>
      </c>
      <c r="AA452" t="str">
        <f t="shared" si="7"/>
        <v>2024-05</v>
      </c>
      <c r="AB452" t="str">
        <f>IFERROR(INDEX(Products!$I:$I,MATCH(D452,Products!$A:$A,0)),"Unknown")</f>
        <v>SUP062</v>
      </c>
    </row>
    <row r="453" spans="1:28" x14ac:dyDescent="0.25">
      <c r="A453" t="s">
        <v>1620</v>
      </c>
      <c r="B453" s="20">
        <v>45437</v>
      </c>
      <c r="C453" t="s">
        <v>1621</v>
      </c>
      <c r="D453" t="s">
        <v>1036</v>
      </c>
      <c r="E453" t="s">
        <v>280</v>
      </c>
      <c r="F453" t="s">
        <v>550</v>
      </c>
      <c r="G453">
        <v>2</v>
      </c>
      <c r="H453" s="21">
        <v>982.07</v>
      </c>
      <c r="I453">
        <v>10</v>
      </c>
      <c r="J453" s="21">
        <v>196.41</v>
      </c>
      <c r="K453">
        <v>5</v>
      </c>
      <c r="L453" s="21">
        <v>88.39</v>
      </c>
      <c r="M453" s="21">
        <v>1856.12</v>
      </c>
      <c r="N453" s="21">
        <v>1180.04</v>
      </c>
      <c r="O453" s="21">
        <v>587.69000000000005</v>
      </c>
      <c r="P453" t="s">
        <v>121</v>
      </c>
      <c r="Q453" t="s">
        <v>122</v>
      </c>
      <c r="R453" t="s">
        <v>151</v>
      </c>
      <c r="S453" t="s">
        <v>1622</v>
      </c>
      <c r="T453" t="s">
        <v>161</v>
      </c>
      <c r="U453" t="s">
        <v>154</v>
      </c>
      <c r="V453" t="str">
        <f>IFERROR(INDEX(Products!$C:$C,MATCH(D453,Products!$A:$A,0)),"Unknown")</f>
        <v>Belts</v>
      </c>
      <c r="W453" t="str">
        <f>IFERROR(INDEX(Products!$E:$E,MATCH(D453,Products!$A:$A,0)),"Unknown")</f>
        <v>Skechers</v>
      </c>
      <c r="X453" t="str">
        <f>IFERROR(INDEX(Stores!$B:$B,MATCH(E453,Stores!$A:$A,0)),"Unknown")</f>
        <v>TrendMart Chennai Standard</v>
      </c>
      <c r="Y453" t="str">
        <f>IFERROR(INDEX(Stores!$E:$E,MATCH(E453,Stores!$A:$A,0)),"Unknown")</f>
        <v>South Zone 1</v>
      </c>
      <c r="Z453" t="str">
        <f>IFERROR(INDEX(Customers!$J:$J,MATCH(C453,Customers!$A:$A,0)),"Unknown")</f>
        <v>Gold</v>
      </c>
      <c r="AA453" t="str">
        <f t="shared" si="7"/>
        <v>2024-05</v>
      </c>
      <c r="AB453" t="str">
        <f>IFERROR(INDEX(Products!$I:$I,MATCH(D453,Products!$A:$A,0)),"Unknown")</f>
        <v>SUP085</v>
      </c>
    </row>
    <row r="454" spans="1:28" x14ac:dyDescent="0.25">
      <c r="A454" t="s">
        <v>1623</v>
      </c>
      <c r="B454" s="20">
        <v>45611</v>
      </c>
      <c r="C454" t="s">
        <v>1624</v>
      </c>
      <c r="D454" t="s">
        <v>149</v>
      </c>
      <c r="E454" t="s">
        <v>806</v>
      </c>
      <c r="F454" t="s">
        <v>618</v>
      </c>
      <c r="G454">
        <v>1</v>
      </c>
      <c r="H454" s="21">
        <v>764.62</v>
      </c>
      <c r="I454">
        <v>0</v>
      </c>
      <c r="J454" s="21">
        <v>0</v>
      </c>
      <c r="K454">
        <v>5</v>
      </c>
      <c r="L454" s="21">
        <v>38.229999999999997</v>
      </c>
      <c r="M454" s="21">
        <v>802.85</v>
      </c>
      <c r="N454" s="21">
        <v>496.67</v>
      </c>
      <c r="O454" s="21">
        <v>267.95</v>
      </c>
      <c r="P454" t="s">
        <v>121</v>
      </c>
      <c r="Q454" t="s">
        <v>120</v>
      </c>
      <c r="R454" t="s">
        <v>151</v>
      </c>
      <c r="S454" t="s">
        <v>1625</v>
      </c>
      <c r="T454" t="s">
        <v>153</v>
      </c>
      <c r="U454" t="s">
        <v>154</v>
      </c>
      <c r="V454" t="str">
        <f>IFERROR(INDEX(Products!$C:$C,MATCH(D454,Products!$A:$A,0)),"Unknown")</f>
        <v>Women Kurtis</v>
      </c>
      <c r="W454" t="str">
        <f>IFERROR(INDEX(Products!$E:$E,MATCH(D454,Products!$A:$A,0)),"Unknown")</f>
        <v>Pepe Jeans</v>
      </c>
      <c r="X454" t="str">
        <f>IFERROR(INDEX(Stores!$B:$B,MATCH(E454,Stores!$A:$A,0)),"Unknown")</f>
        <v>TrendMart Tirunelveli Flagship</v>
      </c>
      <c r="Y454" t="str">
        <f>IFERROR(INDEX(Stores!$E:$E,MATCH(E454,Stores!$A:$A,0)),"Unknown")</f>
        <v>South Zone 1</v>
      </c>
      <c r="Z454" t="str">
        <f>IFERROR(INDEX(Customers!$J:$J,MATCH(C454,Customers!$A:$A,0)),"Unknown")</f>
        <v>Silver</v>
      </c>
      <c r="AA454" t="str">
        <f t="shared" si="7"/>
        <v>2024-11</v>
      </c>
      <c r="AB454" t="str">
        <f>IFERROR(INDEX(Products!$I:$I,MATCH(D454,Products!$A:$A,0)),"Unknown")</f>
        <v>SUP049</v>
      </c>
    </row>
    <row r="455" spans="1:28" x14ac:dyDescent="0.25">
      <c r="A455" t="s">
        <v>1626</v>
      </c>
      <c r="B455" s="20">
        <v>45560</v>
      </c>
      <c r="C455" t="s">
        <v>916</v>
      </c>
      <c r="D455" t="s">
        <v>1328</v>
      </c>
      <c r="E455" t="s">
        <v>1187</v>
      </c>
      <c r="F455" t="s">
        <v>618</v>
      </c>
      <c r="G455">
        <v>2</v>
      </c>
      <c r="H455" s="21">
        <v>1674.92</v>
      </c>
      <c r="I455">
        <v>10</v>
      </c>
      <c r="J455" s="21">
        <v>334.98</v>
      </c>
      <c r="K455">
        <v>12</v>
      </c>
      <c r="L455" s="21">
        <v>361.78</v>
      </c>
      <c r="M455" s="21">
        <v>3376.64</v>
      </c>
      <c r="N455" s="21">
        <v>2184.86</v>
      </c>
      <c r="O455" s="21">
        <v>830</v>
      </c>
      <c r="P455" t="s">
        <v>125</v>
      </c>
      <c r="Q455" t="s">
        <v>120</v>
      </c>
      <c r="R455" t="s">
        <v>151</v>
      </c>
      <c r="S455" t="s">
        <v>1627</v>
      </c>
      <c r="T455" t="s">
        <v>153</v>
      </c>
      <c r="U455" t="s">
        <v>154</v>
      </c>
      <c r="V455" t="str">
        <f>IFERROR(INDEX(Products!$C:$C,MATCH(D455,Products!$A:$A,0)),"Unknown")</f>
        <v>Winter Wear</v>
      </c>
      <c r="W455" t="str">
        <f>IFERROR(INDEX(Products!$E:$E,MATCH(D455,Products!$A:$A,0)),"Unknown")</f>
        <v>Fastrack</v>
      </c>
      <c r="X455" t="str">
        <f>IFERROR(INDEX(Stores!$B:$B,MATCH(E455,Stores!$A:$A,0)),"Unknown")</f>
        <v>TrendMart Vijayawada Mall Kiosk</v>
      </c>
      <c r="Y455" t="str">
        <f>IFERROR(INDEX(Stores!$E:$E,MATCH(E455,Stores!$A:$A,0)),"Unknown")</f>
        <v>South Zone 3</v>
      </c>
      <c r="Z455" t="str">
        <f>IFERROR(INDEX(Customers!$J:$J,MATCH(C455,Customers!$A:$A,0)),"Unknown")</f>
        <v>Silver</v>
      </c>
      <c r="AA455" t="str">
        <f t="shared" si="7"/>
        <v>2024-09</v>
      </c>
      <c r="AB455" t="str">
        <f>IFERROR(INDEX(Products!$I:$I,MATCH(D455,Products!$A:$A,0)),"Unknown")</f>
        <v>SUP033</v>
      </c>
    </row>
    <row r="456" spans="1:28" x14ac:dyDescent="0.25">
      <c r="A456" t="s">
        <v>1628</v>
      </c>
      <c r="B456" s="20">
        <v>45610</v>
      </c>
      <c r="C456" t="s">
        <v>1629</v>
      </c>
      <c r="D456" t="s">
        <v>756</v>
      </c>
      <c r="E456" t="s">
        <v>262</v>
      </c>
      <c r="F456" t="s">
        <v>618</v>
      </c>
      <c r="G456">
        <v>2</v>
      </c>
      <c r="H456" s="21">
        <v>732.82</v>
      </c>
      <c r="I456">
        <v>0</v>
      </c>
      <c r="J456" s="21">
        <v>0</v>
      </c>
      <c r="K456">
        <v>5</v>
      </c>
      <c r="L456" s="21">
        <v>73.28</v>
      </c>
      <c r="M456" s="21">
        <v>1538.92</v>
      </c>
      <c r="N456" s="21">
        <v>1044.76</v>
      </c>
      <c r="O456" s="21">
        <v>420.88</v>
      </c>
      <c r="P456" t="s">
        <v>121</v>
      </c>
      <c r="Q456" t="s">
        <v>120</v>
      </c>
      <c r="R456" t="s">
        <v>151</v>
      </c>
      <c r="S456" t="s">
        <v>1630</v>
      </c>
      <c r="T456" t="s">
        <v>153</v>
      </c>
      <c r="U456" t="s">
        <v>154</v>
      </c>
      <c r="V456" t="str">
        <f>IFERROR(INDEX(Products!$C:$C,MATCH(D456,Products!$A:$A,0)),"Unknown")</f>
        <v>Women Tops</v>
      </c>
      <c r="W456" t="str">
        <f>IFERROR(INDEX(Products!$E:$E,MATCH(D456,Products!$A:$A,0)),"Unknown")</f>
        <v>Peter England</v>
      </c>
      <c r="X456" t="str">
        <f>IFERROR(INDEX(Stores!$B:$B,MATCH(E456,Stores!$A:$A,0)),"Unknown")</f>
        <v>TrendMart Thoothukudi Outlet</v>
      </c>
      <c r="Y456" t="str">
        <f>IFERROR(INDEX(Stores!$E:$E,MATCH(E456,Stores!$A:$A,0)),"Unknown")</f>
        <v>South Zone 1</v>
      </c>
      <c r="Z456" t="str">
        <f>IFERROR(INDEX(Customers!$J:$J,MATCH(C456,Customers!$A:$A,0)),"Unknown")</f>
        <v>Gold</v>
      </c>
      <c r="AA456" t="str">
        <f t="shared" si="7"/>
        <v>2024-11</v>
      </c>
      <c r="AB456" t="str">
        <f>IFERROR(INDEX(Products!$I:$I,MATCH(D456,Products!$A:$A,0)),"Unknown")</f>
        <v>SUP018</v>
      </c>
    </row>
    <row r="457" spans="1:28" x14ac:dyDescent="0.25">
      <c r="A457" t="s">
        <v>1631</v>
      </c>
      <c r="B457" s="20">
        <v>45573</v>
      </c>
      <c r="C457" t="s">
        <v>1632</v>
      </c>
      <c r="D457" t="s">
        <v>888</v>
      </c>
      <c r="E457" t="s">
        <v>231</v>
      </c>
      <c r="F457" t="s">
        <v>150</v>
      </c>
      <c r="G457">
        <v>3</v>
      </c>
      <c r="H457" s="21">
        <v>6430.79</v>
      </c>
      <c r="I457">
        <v>5</v>
      </c>
      <c r="J457" s="21">
        <v>964.62</v>
      </c>
      <c r="K457">
        <v>3</v>
      </c>
      <c r="L457" s="21">
        <v>549.83000000000004</v>
      </c>
      <c r="M457" s="21">
        <v>18877.580000000002</v>
      </c>
      <c r="N457" s="21">
        <v>14288.28</v>
      </c>
      <c r="O457" s="21">
        <v>4039.47</v>
      </c>
      <c r="P457" t="s">
        <v>121</v>
      </c>
      <c r="Q457" t="s">
        <v>120</v>
      </c>
      <c r="R457" t="s">
        <v>151</v>
      </c>
      <c r="S457" t="s">
        <v>1633</v>
      </c>
      <c r="T457" t="s">
        <v>153</v>
      </c>
      <c r="U457" t="s">
        <v>154</v>
      </c>
      <c r="V457" t="str">
        <f>IFERROR(INDEX(Products!$C:$C,MATCH(D457,Products!$A:$A,0)),"Unknown")</f>
        <v>Jewellery</v>
      </c>
      <c r="W457" t="str">
        <f>IFERROR(INDEX(Products!$E:$E,MATCH(D457,Products!$A:$A,0)),"Unknown")</f>
        <v>Aurelia</v>
      </c>
      <c r="X457" t="str">
        <f>IFERROR(INDEX(Stores!$B:$B,MATCH(E457,Stores!$A:$A,0)),"Unknown")</f>
        <v>TrendMart Warangal Outlet</v>
      </c>
      <c r="Y457" t="str">
        <f>IFERROR(INDEX(Stores!$E:$E,MATCH(E457,Stores!$A:$A,0)),"Unknown")</f>
        <v>South Zone 2</v>
      </c>
      <c r="Z457" t="str">
        <f>IFERROR(INDEX(Customers!$J:$J,MATCH(C457,Customers!$A:$A,0)),"Unknown")</f>
        <v>Gold</v>
      </c>
      <c r="AA457" t="str">
        <f t="shared" si="7"/>
        <v>2024-10</v>
      </c>
      <c r="AB457" t="str">
        <f>IFERROR(INDEX(Products!$I:$I,MATCH(D457,Products!$A:$A,0)),"Unknown")</f>
        <v>SUP038</v>
      </c>
    </row>
    <row r="458" spans="1:28" x14ac:dyDescent="0.25">
      <c r="A458" t="s">
        <v>1634</v>
      </c>
      <c r="B458" s="20">
        <v>45676</v>
      </c>
      <c r="C458" t="s">
        <v>1635</v>
      </c>
      <c r="D458" t="s">
        <v>424</v>
      </c>
      <c r="E458" t="s">
        <v>451</v>
      </c>
      <c r="F458" t="s">
        <v>253</v>
      </c>
      <c r="G458">
        <v>2</v>
      </c>
      <c r="H458" s="21">
        <v>333.6</v>
      </c>
      <c r="I458">
        <v>10</v>
      </c>
      <c r="J458" s="21">
        <v>66.72</v>
      </c>
      <c r="K458">
        <v>5</v>
      </c>
      <c r="L458" s="21">
        <v>30.02</v>
      </c>
      <c r="M458" s="21">
        <v>630.5</v>
      </c>
      <c r="N458" s="21">
        <v>508.3</v>
      </c>
      <c r="O458" s="21">
        <v>92.18</v>
      </c>
      <c r="P458" t="s">
        <v>125</v>
      </c>
      <c r="Q458" t="s">
        <v>120</v>
      </c>
      <c r="R458" t="s">
        <v>151</v>
      </c>
      <c r="S458" t="s">
        <v>1636</v>
      </c>
      <c r="T458" t="s">
        <v>161</v>
      </c>
      <c r="U458" t="s">
        <v>154</v>
      </c>
      <c r="V458" t="str">
        <f>IFERROR(INDEX(Products!$C:$C,MATCH(D458,Products!$A:$A,0)),"Unknown")</f>
        <v>Belts</v>
      </c>
      <c r="W458" t="str">
        <f>IFERROR(INDEX(Products!$E:$E,MATCH(D458,Products!$A:$A,0)),"Unknown")</f>
        <v>Raymond</v>
      </c>
      <c r="X458" t="str">
        <f>IFERROR(INDEX(Stores!$B:$B,MATCH(E458,Stores!$A:$A,0)),"Unknown")</f>
        <v>TrendMart Thoothukudi High Street</v>
      </c>
      <c r="Y458" t="str">
        <f>IFERROR(INDEX(Stores!$E:$E,MATCH(E458,Stores!$A:$A,0)),"Unknown")</f>
        <v>South Zone 1</v>
      </c>
      <c r="Z458" t="str">
        <f>IFERROR(INDEX(Customers!$J:$J,MATCH(C458,Customers!$A:$A,0)),"Unknown")</f>
        <v>Regular</v>
      </c>
      <c r="AA458" t="str">
        <f t="shared" si="7"/>
        <v>2025-01</v>
      </c>
      <c r="AB458" t="str">
        <f>IFERROR(INDEX(Products!$I:$I,MATCH(D458,Products!$A:$A,0)),"Unknown")</f>
        <v>SUP002</v>
      </c>
    </row>
    <row r="459" spans="1:28" x14ac:dyDescent="0.25">
      <c r="A459" t="s">
        <v>1637</v>
      </c>
      <c r="B459" s="20">
        <v>45582</v>
      </c>
      <c r="C459" t="s">
        <v>1638</v>
      </c>
      <c r="D459" t="s">
        <v>854</v>
      </c>
      <c r="E459" t="s">
        <v>999</v>
      </c>
      <c r="F459" t="s">
        <v>308</v>
      </c>
      <c r="G459">
        <v>1</v>
      </c>
      <c r="H459" s="21">
        <v>1147.6199999999999</v>
      </c>
      <c r="I459">
        <v>30</v>
      </c>
      <c r="J459" s="21">
        <v>344.29</v>
      </c>
      <c r="K459">
        <v>3</v>
      </c>
      <c r="L459" s="21">
        <v>24.1</v>
      </c>
      <c r="M459" s="21">
        <v>827.43</v>
      </c>
      <c r="N459" s="21">
        <v>954.04</v>
      </c>
      <c r="O459" s="21">
        <v>-150.71</v>
      </c>
      <c r="P459" t="s">
        <v>125</v>
      </c>
      <c r="Q459" t="s">
        <v>122</v>
      </c>
      <c r="R459" t="s">
        <v>151</v>
      </c>
      <c r="S459" t="s">
        <v>1639</v>
      </c>
      <c r="T459" t="s">
        <v>153</v>
      </c>
      <c r="U459" t="s">
        <v>184</v>
      </c>
      <c r="V459" t="str">
        <f>IFERROR(INDEX(Products!$C:$C,MATCH(D459,Products!$A:$A,0)),"Unknown")</f>
        <v>Jewellery</v>
      </c>
      <c r="W459" t="str">
        <f>IFERROR(INDEX(Products!$E:$E,MATCH(D459,Products!$A:$A,0)),"Unknown")</f>
        <v>W for Woman</v>
      </c>
      <c r="X459" t="str">
        <f>IFERROR(INDEX(Stores!$B:$B,MATCH(E459,Stores!$A:$A,0)),"Unknown")</f>
        <v>TrendMart Tumakuru Standard</v>
      </c>
      <c r="Y459" t="str">
        <f>IFERROR(INDEX(Stores!$E:$E,MATCH(E459,Stores!$A:$A,0)),"Unknown")</f>
        <v>South Zone 2</v>
      </c>
      <c r="Z459" t="str">
        <f>IFERROR(INDEX(Customers!$J:$J,MATCH(C459,Customers!$A:$A,0)),"Unknown")</f>
        <v>Silver</v>
      </c>
      <c r="AA459" t="str">
        <f t="shared" si="7"/>
        <v>2024-10</v>
      </c>
      <c r="AB459" t="str">
        <f>IFERROR(INDEX(Products!$I:$I,MATCH(D459,Products!$A:$A,0)),"Unknown")</f>
        <v>SUP006</v>
      </c>
    </row>
    <row r="460" spans="1:28" x14ac:dyDescent="0.25">
      <c r="A460" t="s">
        <v>1640</v>
      </c>
      <c r="B460" s="20">
        <v>45516</v>
      </c>
      <c r="C460" t="s">
        <v>1139</v>
      </c>
      <c r="D460" t="s">
        <v>822</v>
      </c>
      <c r="E460" t="s">
        <v>470</v>
      </c>
      <c r="F460" t="s">
        <v>403</v>
      </c>
      <c r="G460">
        <v>2</v>
      </c>
      <c r="H460" s="21">
        <v>2013.75</v>
      </c>
      <c r="I460">
        <v>0</v>
      </c>
      <c r="J460" s="21">
        <v>0</v>
      </c>
      <c r="K460">
        <v>12</v>
      </c>
      <c r="L460" s="21">
        <v>483.3</v>
      </c>
      <c r="M460" s="21">
        <v>4510.8</v>
      </c>
      <c r="N460" s="21">
        <v>2985.42</v>
      </c>
      <c r="O460" s="21">
        <v>1042.08</v>
      </c>
      <c r="P460" t="s">
        <v>121</v>
      </c>
      <c r="Q460" t="s">
        <v>122</v>
      </c>
      <c r="R460" t="s">
        <v>151</v>
      </c>
      <c r="S460" t="s">
        <v>1102</v>
      </c>
      <c r="T460" t="s">
        <v>153</v>
      </c>
      <c r="U460" t="s">
        <v>154</v>
      </c>
      <c r="V460" t="str">
        <f>IFERROR(INDEX(Products!$C:$C,MATCH(D460,Products!$A:$A,0)),"Unknown")</f>
        <v>Footwear</v>
      </c>
      <c r="W460" t="str">
        <f>IFERROR(INDEX(Products!$E:$E,MATCH(D460,Products!$A:$A,0)),"Unknown")</f>
        <v>AND</v>
      </c>
      <c r="X460" t="str">
        <f>IFERROR(INDEX(Stores!$B:$B,MATCH(E460,Stores!$A:$A,0)),"Unknown")</f>
        <v>TrendMart Thiruvananthapuram High Street</v>
      </c>
      <c r="Y460" t="str">
        <f>IFERROR(INDEX(Stores!$E:$E,MATCH(E460,Stores!$A:$A,0)),"Unknown")</f>
        <v>South Zone 1</v>
      </c>
      <c r="Z460" t="str">
        <f>IFERROR(INDEX(Customers!$J:$J,MATCH(C460,Customers!$A:$A,0)),"Unknown")</f>
        <v>Silver</v>
      </c>
      <c r="AA460" t="str">
        <f t="shared" si="7"/>
        <v>2024-08</v>
      </c>
      <c r="AB460" t="str">
        <f>IFERROR(INDEX(Products!$I:$I,MATCH(D460,Products!$A:$A,0)),"Unknown")</f>
        <v>SUP002</v>
      </c>
    </row>
    <row r="461" spans="1:28" x14ac:dyDescent="0.25">
      <c r="A461" t="s">
        <v>1641</v>
      </c>
      <c r="B461" s="20">
        <v>45605</v>
      </c>
      <c r="C461" t="s">
        <v>1022</v>
      </c>
      <c r="D461" t="s">
        <v>1642</v>
      </c>
      <c r="E461" t="s">
        <v>247</v>
      </c>
      <c r="F461" t="s">
        <v>263</v>
      </c>
      <c r="G461">
        <v>1</v>
      </c>
      <c r="H461" s="21">
        <v>5077.3</v>
      </c>
      <c r="I461">
        <v>30</v>
      </c>
      <c r="J461" s="21">
        <v>1523.19</v>
      </c>
      <c r="K461">
        <v>12</v>
      </c>
      <c r="L461" s="21">
        <v>426.49</v>
      </c>
      <c r="M461" s="21">
        <v>3980.6</v>
      </c>
      <c r="N461" s="21">
        <v>3837</v>
      </c>
      <c r="O461" s="21">
        <v>-282.89</v>
      </c>
      <c r="P461" t="s">
        <v>124</v>
      </c>
      <c r="Q461" t="s">
        <v>122</v>
      </c>
      <c r="R461" t="s">
        <v>151</v>
      </c>
      <c r="S461" t="s">
        <v>1643</v>
      </c>
      <c r="T461" t="s">
        <v>161</v>
      </c>
      <c r="U461" t="s">
        <v>184</v>
      </c>
      <c r="V461" t="str">
        <f>IFERROR(INDEX(Products!$C:$C,MATCH(D461,Products!$A:$A,0)),"Unknown")</f>
        <v>Watches</v>
      </c>
      <c r="W461" t="str">
        <f>IFERROR(INDEX(Products!$E:$E,MATCH(D461,Products!$A:$A,0)),"Unknown")</f>
        <v>Levi's</v>
      </c>
      <c r="X461" t="str">
        <f>IFERROR(INDEX(Stores!$B:$B,MATCH(E461,Stores!$A:$A,0)),"Unknown")</f>
        <v>TrendMart Tirupati Outlet</v>
      </c>
      <c r="Y461" t="str">
        <f>IFERROR(INDEX(Stores!$E:$E,MATCH(E461,Stores!$A:$A,0)),"Unknown")</f>
        <v>South Zone 3</v>
      </c>
      <c r="Z461" t="str">
        <f>IFERROR(INDEX(Customers!$J:$J,MATCH(C461,Customers!$A:$A,0)),"Unknown")</f>
        <v>Gold</v>
      </c>
      <c r="AA461" t="str">
        <f t="shared" si="7"/>
        <v>2024-11</v>
      </c>
      <c r="AB461" t="str">
        <f>IFERROR(INDEX(Products!$I:$I,MATCH(D461,Products!$A:$A,0)),"Unknown")</f>
        <v>SUP055</v>
      </c>
    </row>
    <row r="462" spans="1:28" x14ac:dyDescent="0.25">
      <c r="A462" t="s">
        <v>1644</v>
      </c>
      <c r="B462" s="20">
        <v>45524</v>
      </c>
      <c r="C462" t="s">
        <v>540</v>
      </c>
      <c r="D462" t="s">
        <v>1642</v>
      </c>
      <c r="E462" t="s">
        <v>848</v>
      </c>
      <c r="F462" t="s">
        <v>275</v>
      </c>
      <c r="G462">
        <v>4</v>
      </c>
      <c r="H462" s="21">
        <v>4836.8</v>
      </c>
      <c r="I462">
        <v>15</v>
      </c>
      <c r="J462" s="21">
        <v>2902.08</v>
      </c>
      <c r="K462">
        <v>12</v>
      </c>
      <c r="L462" s="21">
        <v>1973.41</v>
      </c>
      <c r="M462" s="21">
        <v>18418.53</v>
      </c>
      <c r="N462" s="21">
        <v>15348</v>
      </c>
      <c r="O462" s="21">
        <v>1097.1199999999999</v>
      </c>
      <c r="P462" t="s">
        <v>121</v>
      </c>
      <c r="Q462" t="s">
        <v>120</v>
      </c>
      <c r="R462" t="s">
        <v>151</v>
      </c>
      <c r="S462" t="s">
        <v>1516</v>
      </c>
      <c r="T462" t="s">
        <v>153</v>
      </c>
      <c r="U462" t="s">
        <v>154</v>
      </c>
      <c r="V462" t="str">
        <f>IFERROR(INDEX(Products!$C:$C,MATCH(D462,Products!$A:$A,0)),"Unknown")</f>
        <v>Watches</v>
      </c>
      <c r="W462" t="str">
        <f>IFERROR(INDEX(Products!$E:$E,MATCH(D462,Products!$A:$A,0)),"Unknown")</f>
        <v>Levi's</v>
      </c>
      <c r="X462" t="str">
        <f>IFERROR(INDEX(Stores!$B:$B,MATCH(E462,Stores!$A:$A,0)),"Unknown")</f>
        <v>TrendMart Shivamogga Standard</v>
      </c>
      <c r="Y462" t="str">
        <f>IFERROR(INDEX(Stores!$E:$E,MATCH(E462,Stores!$A:$A,0)),"Unknown")</f>
        <v>South Zone 2</v>
      </c>
      <c r="Z462" t="str">
        <f>IFERROR(INDEX(Customers!$J:$J,MATCH(C462,Customers!$A:$A,0)),"Unknown")</f>
        <v>Gold</v>
      </c>
      <c r="AA462" t="str">
        <f t="shared" si="7"/>
        <v>2024-08</v>
      </c>
      <c r="AB462" t="str">
        <f>IFERROR(INDEX(Products!$I:$I,MATCH(D462,Products!$A:$A,0)),"Unknown")</f>
        <v>SUP055</v>
      </c>
    </row>
    <row r="463" spans="1:28" x14ac:dyDescent="0.25">
      <c r="A463" t="s">
        <v>1645</v>
      </c>
      <c r="B463" s="20">
        <v>45605</v>
      </c>
      <c r="C463" t="s">
        <v>1646</v>
      </c>
      <c r="D463" t="s">
        <v>662</v>
      </c>
      <c r="E463" t="s">
        <v>1074</v>
      </c>
      <c r="F463" t="s">
        <v>443</v>
      </c>
      <c r="G463">
        <v>4</v>
      </c>
      <c r="H463" s="21">
        <v>524.01</v>
      </c>
      <c r="I463">
        <v>15</v>
      </c>
      <c r="J463" s="21">
        <v>314.41000000000003</v>
      </c>
      <c r="K463">
        <v>5</v>
      </c>
      <c r="L463" s="21">
        <v>89.08</v>
      </c>
      <c r="M463" s="21">
        <v>1870.71</v>
      </c>
      <c r="N463" s="21">
        <v>1199.44</v>
      </c>
      <c r="O463" s="21">
        <v>582.19000000000005</v>
      </c>
      <c r="P463" t="s">
        <v>121</v>
      </c>
      <c r="Q463" t="s">
        <v>120</v>
      </c>
      <c r="R463" t="s">
        <v>151</v>
      </c>
      <c r="S463" t="s">
        <v>1647</v>
      </c>
      <c r="T463" t="s">
        <v>161</v>
      </c>
      <c r="U463" t="s">
        <v>154</v>
      </c>
      <c r="V463" t="str">
        <f>IFERROR(INDEX(Products!$C:$C,MATCH(D463,Products!$A:$A,0)),"Unknown")</f>
        <v>Men T-Shirts</v>
      </c>
      <c r="W463" t="str">
        <f>IFERROR(INDEX(Products!$E:$E,MATCH(D463,Products!$A:$A,0)),"Unknown")</f>
        <v>Global Desi</v>
      </c>
      <c r="X463" t="str">
        <f>IFERROR(INDEX(Stores!$B:$B,MATCH(E463,Stores!$A:$A,0)),"Unknown")</f>
        <v>TrendMart Hyderabad Standard</v>
      </c>
      <c r="Y463" t="str">
        <f>IFERROR(INDEX(Stores!$E:$E,MATCH(E463,Stores!$A:$A,0)),"Unknown")</f>
        <v>South Zone 2</v>
      </c>
      <c r="Z463" t="str">
        <f>IFERROR(INDEX(Customers!$J:$J,MATCH(C463,Customers!$A:$A,0)),"Unknown")</f>
        <v>Regular</v>
      </c>
      <c r="AA463" t="str">
        <f t="shared" si="7"/>
        <v>2024-11</v>
      </c>
      <c r="AB463" t="str">
        <f>IFERROR(INDEX(Products!$I:$I,MATCH(D463,Products!$A:$A,0)),"Unknown")</f>
        <v>SUP049</v>
      </c>
    </row>
    <row r="464" spans="1:28" x14ac:dyDescent="0.25">
      <c r="A464" t="s">
        <v>1648</v>
      </c>
      <c r="B464" s="20">
        <v>45553</v>
      </c>
      <c r="C464" t="s">
        <v>1114</v>
      </c>
      <c r="D464" t="s">
        <v>1649</v>
      </c>
      <c r="E464" t="s">
        <v>85</v>
      </c>
      <c r="F464" t="s">
        <v>532</v>
      </c>
      <c r="G464">
        <v>1</v>
      </c>
      <c r="H464" s="21">
        <v>1225.76</v>
      </c>
      <c r="I464">
        <v>10</v>
      </c>
      <c r="J464" s="21">
        <v>122.58</v>
      </c>
      <c r="K464">
        <v>12</v>
      </c>
      <c r="L464" s="21">
        <v>132.38</v>
      </c>
      <c r="M464" s="21">
        <v>1235.56</v>
      </c>
      <c r="N464" s="21">
        <v>879.48</v>
      </c>
      <c r="O464" s="21">
        <v>223.7</v>
      </c>
      <c r="P464" t="s">
        <v>124</v>
      </c>
      <c r="Q464" t="s">
        <v>122</v>
      </c>
      <c r="R464" t="s">
        <v>151</v>
      </c>
      <c r="S464" t="s">
        <v>1650</v>
      </c>
      <c r="T464" t="s">
        <v>153</v>
      </c>
      <c r="U464" t="s">
        <v>154</v>
      </c>
      <c r="V464" t="str">
        <f>IFERROR(INDEX(Products!$C:$C,MATCH(D464,Products!$A:$A,0)),"Unknown")</f>
        <v>Belts</v>
      </c>
      <c r="W464" t="str">
        <f>IFERROR(INDEX(Products!$E:$E,MATCH(D464,Products!$A:$A,0)),"Unknown")</f>
        <v>Bata</v>
      </c>
      <c r="X464" t="str">
        <f>IFERROR(INDEX(Stores!$B:$B,MATCH(E464,Stores!$A:$A,0)),"Unknown")</f>
        <v>TrendMart Kalaburagi Mall Kiosk</v>
      </c>
      <c r="Y464" t="str">
        <f>IFERROR(INDEX(Stores!$E:$E,MATCH(E464,Stores!$A:$A,0)),"Unknown")</f>
        <v>South Zone 2</v>
      </c>
      <c r="Z464" t="str">
        <f>IFERROR(INDEX(Customers!$J:$J,MATCH(C464,Customers!$A:$A,0)),"Unknown")</f>
        <v>Silver</v>
      </c>
      <c r="AA464" t="str">
        <f t="shared" si="7"/>
        <v>2024-09</v>
      </c>
      <c r="AB464" t="str">
        <f>IFERROR(INDEX(Products!$I:$I,MATCH(D464,Products!$A:$A,0)),"Unknown")</f>
        <v>SUP032</v>
      </c>
    </row>
    <row r="465" spans="1:28" x14ac:dyDescent="0.25">
      <c r="A465" t="s">
        <v>1651</v>
      </c>
      <c r="B465" s="20">
        <v>45452</v>
      </c>
      <c r="C465" t="s">
        <v>1652</v>
      </c>
      <c r="D465" t="s">
        <v>1197</v>
      </c>
      <c r="E465" t="s">
        <v>334</v>
      </c>
      <c r="F465" t="s">
        <v>403</v>
      </c>
      <c r="G465">
        <v>1</v>
      </c>
      <c r="H465" s="21">
        <v>1156.67</v>
      </c>
      <c r="I465">
        <v>30</v>
      </c>
      <c r="J465" s="21">
        <v>347</v>
      </c>
      <c r="K465">
        <v>12</v>
      </c>
      <c r="L465" s="21">
        <v>97.16</v>
      </c>
      <c r="M465" s="21">
        <v>906.83</v>
      </c>
      <c r="N465" s="21">
        <v>828.52</v>
      </c>
      <c r="O465" s="21">
        <v>-18.850000000000001</v>
      </c>
      <c r="P465" t="s">
        <v>121</v>
      </c>
      <c r="Q465" t="s">
        <v>120</v>
      </c>
      <c r="R465" t="s">
        <v>151</v>
      </c>
      <c r="S465" t="s">
        <v>1653</v>
      </c>
      <c r="T465" t="s">
        <v>161</v>
      </c>
      <c r="U465" t="s">
        <v>184</v>
      </c>
      <c r="V465" t="str">
        <f>IFERROR(INDEX(Products!$C:$C,MATCH(D465,Products!$A:$A,0)),"Unknown")</f>
        <v>Women Jeans</v>
      </c>
      <c r="W465" t="str">
        <f>IFERROR(INDEX(Products!$E:$E,MATCH(D465,Products!$A:$A,0)),"Unknown")</f>
        <v>Van Heusen</v>
      </c>
      <c r="X465" t="str">
        <f>IFERROR(INDEX(Stores!$B:$B,MATCH(E465,Stores!$A:$A,0)),"Unknown")</f>
        <v>TrendMart Madurai High Street</v>
      </c>
      <c r="Y465" t="str">
        <f>IFERROR(INDEX(Stores!$E:$E,MATCH(E465,Stores!$A:$A,0)),"Unknown")</f>
        <v>South Zone 1</v>
      </c>
      <c r="Z465" t="str">
        <f>IFERROR(INDEX(Customers!$J:$J,MATCH(C465,Customers!$A:$A,0)),"Unknown")</f>
        <v>Silver</v>
      </c>
      <c r="AA465" t="str">
        <f t="shared" si="7"/>
        <v>2024-06</v>
      </c>
      <c r="AB465" t="str">
        <f>IFERROR(INDEX(Products!$I:$I,MATCH(D465,Products!$A:$A,0)),"Unknown")</f>
        <v>SUP021</v>
      </c>
    </row>
    <row r="466" spans="1:28" x14ac:dyDescent="0.25">
      <c r="A466" t="s">
        <v>1654</v>
      </c>
      <c r="B466" s="20">
        <v>45547</v>
      </c>
      <c r="C466" t="s">
        <v>1655</v>
      </c>
      <c r="D466" t="s">
        <v>1302</v>
      </c>
      <c r="E466" t="s">
        <v>451</v>
      </c>
      <c r="F466" t="s">
        <v>201</v>
      </c>
      <c r="G466">
        <v>1</v>
      </c>
      <c r="H466" s="21">
        <v>1078.28</v>
      </c>
      <c r="I466">
        <v>0</v>
      </c>
      <c r="J466" s="21">
        <v>0</v>
      </c>
      <c r="K466">
        <v>12</v>
      </c>
      <c r="L466" s="21">
        <v>129.38999999999999</v>
      </c>
      <c r="M466" s="21">
        <v>1207.67</v>
      </c>
      <c r="N466" s="21">
        <v>770.73</v>
      </c>
      <c r="O466" s="21">
        <v>307.55</v>
      </c>
      <c r="P466" t="s">
        <v>125</v>
      </c>
      <c r="Q466" t="s">
        <v>120</v>
      </c>
      <c r="R466" t="s">
        <v>151</v>
      </c>
      <c r="S466" t="s">
        <v>1656</v>
      </c>
      <c r="T466" t="s">
        <v>153</v>
      </c>
      <c r="U466" t="s">
        <v>154</v>
      </c>
      <c r="V466" t="str">
        <f>IFERROR(INDEX(Products!$C:$C,MATCH(D466,Products!$A:$A,0)),"Unknown")</f>
        <v>Women Kurtis</v>
      </c>
      <c r="W466" t="str">
        <f>IFERROR(INDEX(Products!$E:$E,MATCH(D466,Products!$A:$A,0)),"Unknown")</f>
        <v>Fabindia</v>
      </c>
      <c r="X466" t="str">
        <f>IFERROR(INDEX(Stores!$B:$B,MATCH(E466,Stores!$A:$A,0)),"Unknown")</f>
        <v>TrendMart Thoothukudi High Street</v>
      </c>
      <c r="Y466" t="str">
        <f>IFERROR(INDEX(Stores!$E:$E,MATCH(E466,Stores!$A:$A,0)),"Unknown")</f>
        <v>South Zone 1</v>
      </c>
      <c r="Z466" t="str">
        <f>IFERROR(INDEX(Customers!$J:$J,MATCH(C466,Customers!$A:$A,0)),"Unknown")</f>
        <v>Regular</v>
      </c>
      <c r="AA466" t="str">
        <f t="shared" si="7"/>
        <v>2024-09</v>
      </c>
      <c r="AB466" t="str">
        <f>IFERROR(INDEX(Products!$I:$I,MATCH(D466,Products!$A:$A,0)),"Unknown")</f>
        <v>SUP059</v>
      </c>
    </row>
    <row r="467" spans="1:28" x14ac:dyDescent="0.25">
      <c r="A467" t="s">
        <v>1657</v>
      </c>
      <c r="B467" s="20">
        <v>45404</v>
      </c>
      <c r="C467" t="s">
        <v>1658</v>
      </c>
      <c r="D467" t="s">
        <v>558</v>
      </c>
      <c r="E467" t="s">
        <v>1023</v>
      </c>
      <c r="F467" t="s">
        <v>344</v>
      </c>
      <c r="G467">
        <v>3</v>
      </c>
      <c r="H467" s="21">
        <v>618.78</v>
      </c>
      <c r="I467">
        <v>15</v>
      </c>
      <c r="J467" s="21">
        <v>278.45</v>
      </c>
      <c r="K467">
        <v>5</v>
      </c>
      <c r="L467" s="21">
        <v>78.89</v>
      </c>
      <c r="M467" s="21">
        <v>1656.78</v>
      </c>
      <c r="N467" s="21">
        <v>1371.48</v>
      </c>
      <c r="O467" s="21">
        <v>206.41</v>
      </c>
      <c r="P467" t="s">
        <v>121</v>
      </c>
      <c r="Q467" t="s">
        <v>120</v>
      </c>
      <c r="R467" t="s">
        <v>151</v>
      </c>
      <c r="S467" t="s">
        <v>737</v>
      </c>
      <c r="T467" t="s">
        <v>153</v>
      </c>
      <c r="U467" t="s">
        <v>154</v>
      </c>
      <c r="V467" t="str">
        <f>IFERROR(INDEX(Products!$C:$C,MATCH(D467,Products!$A:$A,0)),"Unknown")</f>
        <v>Women Tops</v>
      </c>
      <c r="W467" t="str">
        <f>IFERROR(INDEX(Products!$E:$E,MATCH(D467,Products!$A:$A,0)),"Unknown")</f>
        <v>Aurelia</v>
      </c>
      <c r="X467" t="str">
        <f>IFERROR(INDEX(Stores!$B:$B,MATCH(E467,Stores!$A:$A,0)),"Unknown")</f>
        <v>TrendMart Kochi High Street</v>
      </c>
      <c r="Y467" t="str">
        <f>IFERROR(INDEX(Stores!$E:$E,MATCH(E467,Stores!$A:$A,0)),"Unknown")</f>
        <v>South Zone 1</v>
      </c>
      <c r="Z467" t="str">
        <f>IFERROR(INDEX(Customers!$J:$J,MATCH(C467,Customers!$A:$A,0)),"Unknown")</f>
        <v>Gold</v>
      </c>
      <c r="AA467" t="str">
        <f t="shared" si="7"/>
        <v>2024-04</v>
      </c>
      <c r="AB467" t="str">
        <f>IFERROR(INDEX(Products!$I:$I,MATCH(D467,Products!$A:$A,0)),"Unknown")</f>
        <v>SUP055</v>
      </c>
    </row>
    <row r="468" spans="1:28" x14ac:dyDescent="0.25">
      <c r="A468" t="s">
        <v>1659</v>
      </c>
      <c r="B468" s="20">
        <v>45507</v>
      </c>
      <c r="C468" t="s">
        <v>1660</v>
      </c>
      <c r="D468" t="s">
        <v>1661</v>
      </c>
      <c r="E468" t="s">
        <v>97</v>
      </c>
      <c r="F468" t="s">
        <v>303</v>
      </c>
      <c r="G468">
        <v>3</v>
      </c>
      <c r="H468" s="21">
        <v>838.01</v>
      </c>
      <c r="I468">
        <v>0</v>
      </c>
      <c r="J468" s="21">
        <v>0</v>
      </c>
      <c r="K468">
        <v>5</v>
      </c>
      <c r="L468" s="21">
        <v>125.7</v>
      </c>
      <c r="M468" s="21">
        <v>2639.73</v>
      </c>
      <c r="N468" s="21">
        <v>1984.02</v>
      </c>
      <c r="O468" s="21">
        <v>530.01</v>
      </c>
      <c r="P468" t="s">
        <v>121</v>
      </c>
      <c r="Q468" t="s">
        <v>122</v>
      </c>
      <c r="R468" t="s">
        <v>151</v>
      </c>
      <c r="S468" t="s">
        <v>1662</v>
      </c>
      <c r="T468" t="s">
        <v>161</v>
      </c>
      <c r="U468" t="s">
        <v>154</v>
      </c>
      <c r="V468" t="str">
        <f>IFERROR(INDEX(Products!$C:$C,MATCH(D468,Products!$A:$A,0)),"Unknown")</f>
        <v>Men Jeans</v>
      </c>
      <c r="W468" t="str">
        <f>IFERROR(INDEX(Products!$E:$E,MATCH(D468,Products!$A:$A,0)),"Unknown")</f>
        <v>Aurelia</v>
      </c>
      <c r="X468" t="str">
        <f>IFERROR(INDEX(Stores!$B:$B,MATCH(E468,Stores!$A:$A,0)),"Unknown")</f>
        <v>TrendMart Guntur Flagship</v>
      </c>
      <c r="Y468" t="str">
        <f>IFERROR(INDEX(Stores!$E:$E,MATCH(E468,Stores!$A:$A,0)),"Unknown")</f>
        <v>South Zone 3</v>
      </c>
      <c r="Z468" t="str">
        <f>IFERROR(INDEX(Customers!$J:$J,MATCH(C468,Customers!$A:$A,0)),"Unknown")</f>
        <v>Regular</v>
      </c>
      <c r="AA468" t="str">
        <f t="shared" si="7"/>
        <v>2024-08</v>
      </c>
      <c r="AB468" t="str">
        <f>IFERROR(INDEX(Products!$I:$I,MATCH(D468,Products!$A:$A,0)),"Unknown")</f>
        <v>SUP053</v>
      </c>
    </row>
    <row r="469" spans="1:28" x14ac:dyDescent="0.25">
      <c r="A469" t="s">
        <v>1663</v>
      </c>
      <c r="B469" s="20">
        <v>45509</v>
      </c>
      <c r="C469" t="s">
        <v>1259</v>
      </c>
      <c r="D469" t="s">
        <v>401</v>
      </c>
      <c r="E469" t="s">
        <v>231</v>
      </c>
      <c r="F469" t="s">
        <v>258</v>
      </c>
      <c r="G469">
        <v>2</v>
      </c>
      <c r="H469" s="21">
        <v>1232.4100000000001</v>
      </c>
      <c r="I469">
        <v>25</v>
      </c>
      <c r="J469" s="21">
        <v>616.21</v>
      </c>
      <c r="K469">
        <v>12</v>
      </c>
      <c r="L469" s="21">
        <v>221.83</v>
      </c>
      <c r="M469" s="21">
        <v>2070.44</v>
      </c>
      <c r="N469" s="21">
        <v>1535.66</v>
      </c>
      <c r="O469" s="21">
        <v>312.95</v>
      </c>
      <c r="P469" t="s">
        <v>125</v>
      </c>
      <c r="Q469" t="s">
        <v>122</v>
      </c>
      <c r="R469" t="s">
        <v>151</v>
      </c>
      <c r="S469" t="s">
        <v>1664</v>
      </c>
      <c r="T469" t="s">
        <v>153</v>
      </c>
      <c r="U469" t="s">
        <v>154</v>
      </c>
      <c r="V469" t="str">
        <f>IFERROR(INDEX(Products!$C:$C,MATCH(D469,Products!$A:$A,0)),"Unknown")</f>
        <v>Women Jeans</v>
      </c>
      <c r="W469" t="str">
        <f>IFERROR(INDEX(Products!$E:$E,MATCH(D469,Products!$A:$A,0)),"Unknown")</f>
        <v>Being Human</v>
      </c>
      <c r="X469" t="str">
        <f>IFERROR(INDEX(Stores!$B:$B,MATCH(E469,Stores!$A:$A,0)),"Unknown")</f>
        <v>TrendMart Warangal Outlet</v>
      </c>
      <c r="Y469" t="str">
        <f>IFERROR(INDEX(Stores!$E:$E,MATCH(E469,Stores!$A:$A,0)),"Unknown")</f>
        <v>South Zone 2</v>
      </c>
      <c r="Z469" t="str">
        <f>IFERROR(INDEX(Customers!$J:$J,MATCH(C469,Customers!$A:$A,0)),"Unknown")</f>
        <v>Gold</v>
      </c>
      <c r="AA469" t="str">
        <f t="shared" si="7"/>
        <v>2024-08</v>
      </c>
      <c r="AB469" t="str">
        <f>IFERROR(INDEX(Products!$I:$I,MATCH(D469,Products!$A:$A,0)),"Unknown")</f>
        <v>SUP013</v>
      </c>
    </row>
    <row r="470" spans="1:28" x14ac:dyDescent="0.25">
      <c r="A470" t="s">
        <v>1665</v>
      </c>
      <c r="B470" s="20">
        <v>45443</v>
      </c>
      <c r="C470" t="s">
        <v>733</v>
      </c>
      <c r="D470" t="s">
        <v>498</v>
      </c>
      <c r="E470" t="s">
        <v>206</v>
      </c>
      <c r="F470" t="s">
        <v>269</v>
      </c>
      <c r="G470">
        <v>4</v>
      </c>
      <c r="H470" s="21">
        <v>439.6</v>
      </c>
      <c r="I470">
        <v>20</v>
      </c>
      <c r="J470" s="21">
        <v>351.68</v>
      </c>
      <c r="K470">
        <v>5</v>
      </c>
      <c r="L470" s="21">
        <v>70.34</v>
      </c>
      <c r="M470" s="21">
        <v>1477.06</v>
      </c>
      <c r="N470" s="21">
        <v>1260.52</v>
      </c>
      <c r="O470" s="21">
        <v>146.19999999999999</v>
      </c>
      <c r="P470" t="s">
        <v>121</v>
      </c>
      <c r="Q470" t="s">
        <v>120</v>
      </c>
      <c r="R470" t="s">
        <v>151</v>
      </c>
      <c r="S470" t="s">
        <v>1666</v>
      </c>
      <c r="T470" t="s">
        <v>153</v>
      </c>
      <c r="U470" t="s">
        <v>154</v>
      </c>
      <c r="V470" t="str">
        <f>IFERROR(INDEX(Products!$C:$C,MATCH(D470,Products!$A:$A,0)),"Unknown")</f>
        <v>Belts</v>
      </c>
      <c r="W470" t="str">
        <f>IFERROR(INDEX(Products!$E:$E,MATCH(D470,Products!$A:$A,0)),"Unknown")</f>
        <v>Nike</v>
      </c>
      <c r="X470" t="str">
        <f>IFERROR(INDEX(Stores!$B:$B,MATCH(E470,Stores!$A:$A,0)),"Unknown")</f>
        <v>TrendMart Nizamabad Outlet</v>
      </c>
      <c r="Y470" t="str">
        <f>IFERROR(INDEX(Stores!$E:$E,MATCH(E470,Stores!$A:$A,0)),"Unknown")</f>
        <v>South Zone 2</v>
      </c>
      <c r="Z470" t="str">
        <f>IFERROR(INDEX(Customers!$J:$J,MATCH(C470,Customers!$A:$A,0)),"Unknown")</f>
        <v>Gold</v>
      </c>
      <c r="AA470" t="str">
        <f t="shared" si="7"/>
        <v>2024-05</v>
      </c>
      <c r="AB470" t="str">
        <f>IFERROR(INDEX(Products!$I:$I,MATCH(D470,Products!$A:$A,0)),"Unknown")</f>
        <v>SUP071</v>
      </c>
    </row>
    <row r="471" spans="1:28" x14ac:dyDescent="0.25">
      <c r="A471" t="s">
        <v>1667</v>
      </c>
      <c r="B471" s="20">
        <v>45444</v>
      </c>
      <c r="C471" t="s">
        <v>891</v>
      </c>
      <c r="D471" t="s">
        <v>1668</v>
      </c>
      <c r="E471" t="s">
        <v>93</v>
      </c>
      <c r="F471" t="s">
        <v>269</v>
      </c>
      <c r="G471">
        <v>2</v>
      </c>
      <c r="H471" s="21">
        <v>1342.18</v>
      </c>
      <c r="I471">
        <v>30</v>
      </c>
      <c r="J471" s="21">
        <v>805.31</v>
      </c>
      <c r="K471">
        <v>12</v>
      </c>
      <c r="L471" s="21">
        <v>225.49</v>
      </c>
      <c r="M471" s="21">
        <v>2104.54</v>
      </c>
      <c r="N471" s="21">
        <v>1786.74</v>
      </c>
      <c r="O471" s="21">
        <v>92.31</v>
      </c>
      <c r="P471" t="s">
        <v>121</v>
      </c>
      <c r="Q471" t="s">
        <v>122</v>
      </c>
      <c r="R471" t="s">
        <v>151</v>
      </c>
      <c r="S471" t="s">
        <v>1669</v>
      </c>
      <c r="T471" t="s">
        <v>161</v>
      </c>
      <c r="U471" t="s">
        <v>154</v>
      </c>
      <c r="V471" t="str">
        <f>IFERROR(INDEX(Products!$C:$C,MATCH(D471,Products!$A:$A,0)),"Unknown")</f>
        <v>Women Kurtis</v>
      </c>
      <c r="W471" t="str">
        <f>IFERROR(INDEX(Products!$E:$E,MATCH(D471,Products!$A:$A,0)),"Unknown")</f>
        <v>Liberty</v>
      </c>
      <c r="X471" t="str">
        <f>IFERROR(INDEX(Stores!$B:$B,MATCH(E471,Stores!$A:$A,0)),"Unknown")</f>
        <v>TrendMart Thiruvananthapuram High Street</v>
      </c>
      <c r="Y471" t="str">
        <f>IFERROR(INDEX(Stores!$E:$E,MATCH(E471,Stores!$A:$A,0)),"Unknown")</f>
        <v>South Zone 1</v>
      </c>
      <c r="Z471" t="str">
        <f>IFERROR(INDEX(Customers!$J:$J,MATCH(C471,Customers!$A:$A,0)),"Unknown")</f>
        <v>Regular</v>
      </c>
      <c r="AA471" t="str">
        <f t="shared" si="7"/>
        <v>2024-06</v>
      </c>
      <c r="AB471" t="str">
        <f>IFERROR(INDEX(Products!$I:$I,MATCH(D471,Products!$A:$A,0)),"Unknown")</f>
        <v>SUP022</v>
      </c>
    </row>
    <row r="472" spans="1:28" x14ac:dyDescent="0.25">
      <c r="A472" t="s">
        <v>1670</v>
      </c>
      <c r="B472" s="20">
        <v>45525</v>
      </c>
      <c r="C472" t="s">
        <v>582</v>
      </c>
      <c r="D472" t="s">
        <v>748</v>
      </c>
      <c r="E472" t="s">
        <v>93</v>
      </c>
      <c r="F472" t="s">
        <v>403</v>
      </c>
      <c r="G472">
        <v>2</v>
      </c>
      <c r="H472" s="21">
        <v>1158.75</v>
      </c>
      <c r="I472">
        <v>10</v>
      </c>
      <c r="J472" s="21">
        <v>231.75</v>
      </c>
      <c r="K472">
        <v>12</v>
      </c>
      <c r="L472" s="21">
        <v>250.29</v>
      </c>
      <c r="M472" s="21">
        <v>2336.04</v>
      </c>
      <c r="N472" s="21">
        <v>1683.7</v>
      </c>
      <c r="O472" s="21">
        <v>402.05</v>
      </c>
      <c r="P472" t="s">
        <v>121</v>
      </c>
      <c r="Q472" t="s">
        <v>122</v>
      </c>
      <c r="R472" t="s">
        <v>151</v>
      </c>
      <c r="S472" t="s">
        <v>1671</v>
      </c>
      <c r="T472" t="s">
        <v>153</v>
      </c>
      <c r="U472" t="s">
        <v>154</v>
      </c>
      <c r="V472" t="str">
        <f>IFERROR(INDEX(Products!$C:$C,MATCH(D472,Products!$A:$A,0)),"Unknown")</f>
        <v>Women Dresses</v>
      </c>
      <c r="W472" t="str">
        <f>IFERROR(INDEX(Products!$E:$E,MATCH(D472,Products!$A:$A,0)),"Unknown")</f>
        <v>Kalyan Silks</v>
      </c>
      <c r="X472" t="str">
        <f>IFERROR(INDEX(Stores!$B:$B,MATCH(E472,Stores!$A:$A,0)),"Unknown")</f>
        <v>TrendMart Thiruvananthapuram High Street</v>
      </c>
      <c r="Y472" t="str">
        <f>IFERROR(INDEX(Stores!$E:$E,MATCH(E472,Stores!$A:$A,0)),"Unknown")</f>
        <v>South Zone 1</v>
      </c>
      <c r="Z472" t="str">
        <f>IFERROR(INDEX(Customers!$J:$J,MATCH(C472,Customers!$A:$A,0)),"Unknown")</f>
        <v>Silver</v>
      </c>
      <c r="AA472" t="str">
        <f t="shared" si="7"/>
        <v>2024-08</v>
      </c>
      <c r="AB472" t="str">
        <f>IFERROR(INDEX(Products!$I:$I,MATCH(D472,Products!$A:$A,0)),"Unknown")</f>
        <v>SUP036</v>
      </c>
    </row>
    <row r="473" spans="1:28" x14ac:dyDescent="0.25">
      <c r="A473" t="s">
        <v>1672</v>
      </c>
      <c r="B473" s="20">
        <v>45591</v>
      </c>
      <c r="C473" t="s">
        <v>1673</v>
      </c>
      <c r="D473" t="s">
        <v>285</v>
      </c>
      <c r="E473" t="s">
        <v>86</v>
      </c>
      <c r="F473" t="s">
        <v>408</v>
      </c>
      <c r="G473">
        <v>1</v>
      </c>
      <c r="H473" s="21">
        <v>733.15</v>
      </c>
      <c r="I473">
        <v>5</v>
      </c>
      <c r="J473" s="21">
        <v>36.659999999999997</v>
      </c>
      <c r="K473">
        <v>5</v>
      </c>
      <c r="L473" s="21">
        <v>34.82</v>
      </c>
      <c r="M473" s="21">
        <v>731.31</v>
      </c>
      <c r="N473" s="21">
        <v>499.31</v>
      </c>
      <c r="O473" s="21">
        <v>197.18</v>
      </c>
      <c r="P473" t="s">
        <v>125</v>
      </c>
      <c r="Q473" t="s">
        <v>120</v>
      </c>
      <c r="R473" t="s">
        <v>151</v>
      </c>
      <c r="S473" t="s">
        <v>1674</v>
      </c>
      <c r="T473" t="s">
        <v>161</v>
      </c>
      <c r="U473" t="s">
        <v>154</v>
      </c>
      <c r="V473" t="str">
        <f>IFERROR(INDEX(Products!$C:$C,MATCH(D473,Products!$A:$A,0)),"Unknown")</f>
        <v>Kids Wear</v>
      </c>
      <c r="W473" t="str">
        <f>IFERROR(INDEX(Products!$E:$E,MATCH(D473,Products!$A:$A,0)),"Unknown")</f>
        <v>Global Desi</v>
      </c>
      <c r="X473" t="str">
        <f>IFERROR(INDEX(Stores!$B:$B,MATCH(E473,Stores!$A:$A,0)),"Unknown")</f>
        <v>TrendMart Warangal High Street</v>
      </c>
      <c r="Y473" t="str">
        <f>IFERROR(INDEX(Stores!$E:$E,MATCH(E473,Stores!$A:$A,0)),"Unknown")</f>
        <v>South Zone 2</v>
      </c>
      <c r="Z473" t="str">
        <f>IFERROR(INDEX(Customers!$J:$J,MATCH(C473,Customers!$A:$A,0)),"Unknown")</f>
        <v>Regular</v>
      </c>
      <c r="AA473" t="str">
        <f t="shared" si="7"/>
        <v>2024-10</v>
      </c>
      <c r="AB473" t="str">
        <f>IFERROR(INDEX(Products!$I:$I,MATCH(D473,Products!$A:$A,0)),"Unknown")</f>
        <v>SUP008</v>
      </c>
    </row>
    <row r="474" spans="1:28" x14ac:dyDescent="0.25">
      <c r="A474" t="s">
        <v>1675</v>
      </c>
      <c r="B474" s="20">
        <v>45567</v>
      </c>
      <c r="C474" t="s">
        <v>1676</v>
      </c>
      <c r="D474" t="s">
        <v>1104</v>
      </c>
      <c r="E474" t="s">
        <v>83</v>
      </c>
      <c r="F474" t="s">
        <v>397</v>
      </c>
      <c r="G474">
        <v>1</v>
      </c>
      <c r="H474" s="21">
        <v>3480.96</v>
      </c>
      <c r="I474">
        <v>0</v>
      </c>
      <c r="J474" s="21">
        <v>0</v>
      </c>
      <c r="K474">
        <v>12</v>
      </c>
      <c r="L474" s="21">
        <v>417.72</v>
      </c>
      <c r="M474" s="21">
        <v>3898.68</v>
      </c>
      <c r="N474" s="21">
        <v>2374.0300000000002</v>
      </c>
      <c r="O474" s="21">
        <v>1106.93</v>
      </c>
      <c r="P474" t="s">
        <v>127</v>
      </c>
      <c r="Q474" t="s">
        <v>120</v>
      </c>
      <c r="R474" t="s">
        <v>151</v>
      </c>
      <c r="S474" t="s">
        <v>326</v>
      </c>
      <c r="T474" t="s">
        <v>153</v>
      </c>
      <c r="U474" t="s">
        <v>154</v>
      </c>
      <c r="V474" t="str">
        <f>IFERROR(INDEX(Products!$C:$C,MATCH(D474,Products!$A:$A,0)),"Unknown")</f>
        <v>Handbags</v>
      </c>
      <c r="W474" t="str">
        <f>IFERROR(INDEX(Products!$E:$E,MATCH(D474,Products!$A:$A,0)),"Unknown")</f>
        <v>Nalli Silks</v>
      </c>
      <c r="X474" t="str">
        <f>IFERROR(INDEX(Stores!$B:$B,MATCH(E474,Stores!$A:$A,0)),"Unknown")</f>
        <v>TrendMart Vellore Standard</v>
      </c>
      <c r="Y474" t="str">
        <f>IFERROR(INDEX(Stores!$E:$E,MATCH(E474,Stores!$A:$A,0)),"Unknown")</f>
        <v>South Zone 1</v>
      </c>
      <c r="Z474" t="str">
        <f>IFERROR(INDEX(Customers!$J:$J,MATCH(C474,Customers!$A:$A,0)),"Unknown")</f>
        <v>Silver</v>
      </c>
      <c r="AA474" t="str">
        <f t="shared" si="7"/>
        <v>2024-10</v>
      </c>
      <c r="AB474" t="str">
        <f>IFERROR(INDEX(Products!$I:$I,MATCH(D474,Products!$A:$A,0)),"Unknown")</f>
        <v>SUP070</v>
      </c>
    </row>
    <row r="475" spans="1:28" x14ac:dyDescent="0.25">
      <c r="A475" t="s">
        <v>1677</v>
      </c>
      <c r="B475" s="20">
        <v>45454</v>
      </c>
      <c r="C475" t="s">
        <v>707</v>
      </c>
      <c r="D475" t="s">
        <v>1550</v>
      </c>
      <c r="E475" t="s">
        <v>831</v>
      </c>
      <c r="F475" t="s">
        <v>408</v>
      </c>
      <c r="G475">
        <v>4</v>
      </c>
      <c r="H475" s="21">
        <v>2565.2399999999998</v>
      </c>
      <c r="I475">
        <v>15</v>
      </c>
      <c r="J475" s="21">
        <v>1539.14</v>
      </c>
      <c r="K475">
        <v>12</v>
      </c>
      <c r="L475" s="21">
        <v>1046.6199999999999</v>
      </c>
      <c r="M475" s="21">
        <v>9768.44</v>
      </c>
      <c r="N475" s="21">
        <v>7449.4</v>
      </c>
      <c r="O475" s="21">
        <v>1272.42</v>
      </c>
      <c r="P475" t="s">
        <v>123</v>
      </c>
      <c r="Q475" t="s">
        <v>120</v>
      </c>
      <c r="R475" t="s">
        <v>151</v>
      </c>
      <c r="S475" t="s">
        <v>1678</v>
      </c>
      <c r="T475" t="s">
        <v>153</v>
      </c>
      <c r="U475" t="s">
        <v>154</v>
      </c>
      <c r="V475" t="str">
        <f>IFERROR(INDEX(Products!$C:$C,MATCH(D475,Products!$A:$A,0)),"Unknown")</f>
        <v>Footwear</v>
      </c>
      <c r="W475" t="str">
        <f>IFERROR(INDEX(Products!$E:$E,MATCH(D475,Products!$A:$A,0)),"Unknown")</f>
        <v>Pothys</v>
      </c>
      <c r="X475" t="str">
        <f>IFERROR(INDEX(Stores!$B:$B,MATCH(E475,Stores!$A:$A,0)),"Unknown")</f>
        <v>TrendMart Vellore Standard</v>
      </c>
      <c r="Y475" t="str">
        <f>IFERROR(INDEX(Stores!$E:$E,MATCH(E475,Stores!$A:$A,0)),"Unknown")</f>
        <v>South Zone 1</v>
      </c>
      <c r="Z475" t="str">
        <f>IFERROR(INDEX(Customers!$J:$J,MATCH(C475,Customers!$A:$A,0)),"Unknown")</f>
        <v>Gold</v>
      </c>
      <c r="AA475" t="str">
        <f t="shared" si="7"/>
        <v>2024-06</v>
      </c>
      <c r="AB475" t="str">
        <f>IFERROR(INDEX(Products!$I:$I,MATCH(D475,Products!$A:$A,0)),"Unknown")</f>
        <v>SUP061</v>
      </c>
    </row>
    <row r="476" spans="1:28" x14ac:dyDescent="0.25">
      <c r="A476" t="s">
        <v>1679</v>
      </c>
      <c r="B476" s="20">
        <v>45583</v>
      </c>
      <c r="C476" t="s">
        <v>1680</v>
      </c>
      <c r="D476" t="s">
        <v>612</v>
      </c>
      <c r="E476" t="s">
        <v>1681</v>
      </c>
      <c r="F476" t="s">
        <v>397</v>
      </c>
      <c r="G476">
        <v>5</v>
      </c>
      <c r="H476" s="21">
        <v>589.22</v>
      </c>
      <c r="I476">
        <v>15</v>
      </c>
      <c r="J476" s="21">
        <v>441.92</v>
      </c>
      <c r="K476">
        <v>5</v>
      </c>
      <c r="L476" s="21">
        <v>125.21</v>
      </c>
      <c r="M476" s="21">
        <v>2629.39</v>
      </c>
      <c r="N476" s="21">
        <v>1845</v>
      </c>
      <c r="O476" s="21">
        <v>659.18</v>
      </c>
      <c r="P476" t="s">
        <v>125</v>
      </c>
      <c r="Q476" t="s">
        <v>120</v>
      </c>
      <c r="R476" t="s">
        <v>151</v>
      </c>
      <c r="S476" t="s">
        <v>1682</v>
      </c>
      <c r="T476" t="s">
        <v>153</v>
      </c>
      <c r="U476" t="s">
        <v>154</v>
      </c>
      <c r="V476" t="str">
        <f>IFERROR(INDEX(Products!$C:$C,MATCH(D476,Products!$A:$A,0)),"Unknown")</f>
        <v>Men T-Shirts</v>
      </c>
      <c r="W476" t="str">
        <f>IFERROR(INDEX(Products!$E:$E,MATCH(D476,Products!$A:$A,0)),"Unknown")</f>
        <v>Killer Jeans</v>
      </c>
      <c r="X476" t="str">
        <f>IFERROR(INDEX(Stores!$B:$B,MATCH(E476,Stores!$A:$A,0)),"Unknown")</f>
        <v>TrendMart Warangal Standard</v>
      </c>
      <c r="Y476" t="str">
        <f>IFERROR(INDEX(Stores!$E:$E,MATCH(E476,Stores!$A:$A,0)),"Unknown")</f>
        <v>South Zone 2</v>
      </c>
      <c r="Z476" t="str">
        <f>IFERROR(INDEX(Customers!$J:$J,MATCH(C476,Customers!$A:$A,0)),"Unknown")</f>
        <v>Regular</v>
      </c>
      <c r="AA476" t="str">
        <f t="shared" si="7"/>
        <v>2024-10</v>
      </c>
      <c r="AB476" t="str">
        <f>IFERROR(INDEX(Products!$I:$I,MATCH(D476,Products!$A:$A,0)),"Unknown")</f>
        <v>SUP056</v>
      </c>
    </row>
    <row r="477" spans="1:28" x14ac:dyDescent="0.25">
      <c r="A477" t="s">
        <v>1683</v>
      </c>
      <c r="B477" s="20">
        <v>45569</v>
      </c>
      <c r="C477" t="s">
        <v>1684</v>
      </c>
      <c r="D477" t="s">
        <v>524</v>
      </c>
      <c r="E477" t="s">
        <v>231</v>
      </c>
      <c r="F477" t="s">
        <v>308</v>
      </c>
      <c r="G477">
        <v>2</v>
      </c>
      <c r="H477" s="21">
        <v>715.4</v>
      </c>
      <c r="I477">
        <v>10</v>
      </c>
      <c r="J477" s="21">
        <v>143.08000000000001</v>
      </c>
      <c r="K477">
        <v>5</v>
      </c>
      <c r="L477" s="21">
        <v>64.39</v>
      </c>
      <c r="M477" s="21">
        <v>1352.11</v>
      </c>
      <c r="N477" s="21">
        <v>1095.3399999999999</v>
      </c>
      <c r="O477" s="21">
        <v>192.38</v>
      </c>
      <c r="P477" t="s">
        <v>123</v>
      </c>
      <c r="Q477" t="s">
        <v>120</v>
      </c>
      <c r="R477" t="s">
        <v>151</v>
      </c>
      <c r="S477" t="s">
        <v>555</v>
      </c>
      <c r="T477" t="s">
        <v>153</v>
      </c>
      <c r="U477" t="s">
        <v>154</v>
      </c>
      <c r="V477" t="str">
        <f>IFERROR(INDEX(Products!$C:$C,MATCH(D477,Products!$A:$A,0)),"Unknown")</f>
        <v>Women Tops</v>
      </c>
      <c r="W477" t="str">
        <f>IFERROR(INDEX(Products!$E:$E,MATCH(D477,Products!$A:$A,0)),"Unknown")</f>
        <v>Indian Terrain</v>
      </c>
      <c r="X477" t="str">
        <f>IFERROR(INDEX(Stores!$B:$B,MATCH(E477,Stores!$A:$A,0)),"Unknown")</f>
        <v>TrendMart Warangal Outlet</v>
      </c>
      <c r="Y477" t="str">
        <f>IFERROR(INDEX(Stores!$E:$E,MATCH(E477,Stores!$A:$A,0)),"Unknown")</f>
        <v>South Zone 2</v>
      </c>
      <c r="Z477" t="str">
        <f>IFERROR(INDEX(Customers!$J:$J,MATCH(C477,Customers!$A:$A,0)),"Unknown")</f>
        <v>Silver</v>
      </c>
      <c r="AA477" t="str">
        <f t="shared" si="7"/>
        <v>2024-10</v>
      </c>
      <c r="AB477" t="str">
        <f>IFERROR(INDEX(Products!$I:$I,MATCH(D477,Products!$A:$A,0)),"Unknown")</f>
        <v>SUP062</v>
      </c>
    </row>
    <row r="478" spans="1:28" x14ac:dyDescent="0.25">
      <c r="A478" t="s">
        <v>1685</v>
      </c>
      <c r="B478" s="20">
        <v>45645</v>
      </c>
      <c r="C478" t="s">
        <v>809</v>
      </c>
      <c r="D478" t="s">
        <v>1026</v>
      </c>
      <c r="E478" t="s">
        <v>363</v>
      </c>
      <c r="F478" t="s">
        <v>434</v>
      </c>
      <c r="G478">
        <v>3</v>
      </c>
      <c r="H478" s="21">
        <v>1383.58</v>
      </c>
      <c r="I478">
        <v>30</v>
      </c>
      <c r="J478" s="21">
        <v>1245.22</v>
      </c>
      <c r="K478">
        <v>12</v>
      </c>
      <c r="L478" s="21">
        <v>348.66</v>
      </c>
      <c r="M478" s="21">
        <v>3254.18</v>
      </c>
      <c r="N478" s="21">
        <v>2886.51</v>
      </c>
      <c r="O478" s="21">
        <v>19.010000000000002</v>
      </c>
      <c r="P478" t="s">
        <v>123</v>
      </c>
      <c r="Q478" t="s">
        <v>122</v>
      </c>
      <c r="R478" t="s">
        <v>151</v>
      </c>
      <c r="S478" t="s">
        <v>1222</v>
      </c>
      <c r="T478" t="s">
        <v>153</v>
      </c>
      <c r="U478" t="s">
        <v>154</v>
      </c>
      <c r="V478" t="str">
        <f>IFERROR(INDEX(Products!$C:$C,MATCH(D478,Products!$A:$A,0)),"Unknown")</f>
        <v>Women Sarees</v>
      </c>
      <c r="W478" t="str">
        <f>IFERROR(INDEX(Products!$E:$E,MATCH(D478,Products!$A:$A,0)),"Unknown")</f>
        <v>Spykar</v>
      </c>
      <c r="X478" t="str">
        <f>IFERROR(INDEX(Stores!$B:$B,MATCH(E478,Stores!$A:$A,0)),"Unknown")</f>
        <v>TrendMart Thiruvananthapuram High Street</v>
      </c>
      <c r="Y478" t="str">
        <f>IFERROR(INDEX(Stores!$E:$E,MATCH(E478,Stores!$A:$A,0)),"Unknown")</f>
        <v>South Zone 1</v>
      </c>
      <c r="Z478" t="str">
        <f>IFERROR(INDEX(Customers!$J:$J,MATCH(C478,Customers!$A:$A,0)),"Unknown")</f>
        <v>Regular</v>
      </c>
      <c r="AA478" t="str">
        <f t="shared" si="7"/>
        <v>2024-12</v>
      </c>
      <c r="AB478" t="str">
        <f>IFERROR(INDEX(Products!$I:$I,MATCH(D478,Products!$A:$A,0)),"Unknown")</f>
        <v>SUP001</v>
      </c>
    </row>
    <row r="479" spans="1:28" x14ac:dyDescent="0.25">
      <c r="A479" t="s">
        <v>1686</v>
      </c>
      <c r="B479" s="20">
        <v>45440</v>
      </c>
      <c r="C479" t="s">
        <v>1097</v>
      </c>
      <c r="D479" t="s">
        <v>1687</v>
      </c>
      <c r="E479" t="s">
        <v>84</v>
      </c>
      <c r="F479" t="s">
        <v>550</v>
      </c>
      <c r="G479">
        <v>3</v>
      </c>
      <c r="H479" s="21">
        <v>842.51</v>
      </c>
      <c r="I479">
        <v>15</v>
      </c>
      <c r="J479" s="21">
        <v>379.13</v>
      </c>
      <c r="K479">
        <v>5</v>
      </c>
      <c r="L479" s="21">
        <v>107.42</v>
      </c>
      <c r="M479" s="21">
        <v>2255.8200000000002</v>
      </c>
      <c r="N479" s="21">
        <v>1443.9</v>
      </c>
      <c r="O479" s="21">
        <v>704.5</v>
      </c>
      <c r="P479" t="s">
        <v>125</v>
      </c>
      <c r="Q479" t="s">
        <v>120</v>
      </c>
      <c r="R479" t="s">
        <v>151</v>
      </c>
      <c r="S479" t="s">
        <v>1576</v>
      </c>
      <c r="T479" t="s">
        <v>153</v>
      </c>
      <c r="U479" t="s">
        <v>154</v>
      </c>
      <c r="V479" t="str">
        <f>IFERROR(INDEX(Products!$C:$C,MATCH(D479,Products!$A:$A,0)),"Unknown")</f>
        <v>Accessories</v>
      </c>
      <c r="W479" t="str">
        <f>IFERROR(INDEX(Products!$E:$E,MATCH(D479,Products!$A:$A,0)),"Unknown")</f>
        <v>Unknown</v>
      </c>
      <c r="X479" t="str">
        <f>IFERROR(INDEX(Stores!$B:$B,MATCH(E479,Stores!$A:$A,0)),"Unknown")</f>
        <v>TrendMart Tirupati Standard</v>
      </c>
      <c r="Y479" t="str">
        <f>IFERROR(INDEX(Stores!$E:$E,MATCH(E479,Stores!$A:$A,0)),"Unknown")</f>
        <v>South Zone 3</v>
      </c>
      <c r="Z479" t="str">
        <f>IFERROR(INDEX(Customers!$J:$J,MATCH(C479,Customers!$A:$A,0)),"Unknown")</f>
        <v>Regular</v>
      </c>
      <c r="AA479" t="str">
        <f t="shared" si="7"/>
        <v>2024-05</v>
      </c>
      <c r="AB479" t="str">
        <f>IFERROR(INDEX(Products!$I:$I,MATCH(D479,Products!$A:$A,0)),"Unknown")</f>
        <v>SUP023</v>
      </c>
    </row>
    <row r="480" spans="1:28" x14ac:dyDescent="0.25">
      <c r="A480" t="s">
        <v>1688</v>
      </c>
      <c r="B480" s="20">
        <v>45710</v>
      </c>
      <c r="C480" t="s">
        <v>1689</v>
      </c>
      <c r="D480" t="s">
        <v>638</v>
      </c>
      <c r="E480" t="s">
        <v>630</v>
      </c>
      <c r="F480" t="s">
        <v>165</v>
      </c>
      <c r="G480">
        <v>1</v>
      </c>
      <c r="H480" s="21">
        <v>1378.32</v>
      </c>
      <c r="I480">
        <v>30</v>
      </c>
      <c r="J480" s="21">
        <v>413.5</v>
      </c>
      <c r="K480">
        <v>12</v>
      </c>
      <c r="L480" s="21">
        <v>115.78</v>
      </c>
      <c r="M480" s="21">
        <v>1080.5999999999999</v>
      </c>
      <c r="N480" s="21">
        <v>978.68</v>
      </c>
      <c r="O480" s="21">
        <v>-13.86</v>
      </c>
      <c r="P480" t="s">
        <v>121</v>
      </c>
      <c r="Q480" t="s">
        <v>122</v>
      </c>
      <c r="R480" t="s">
        <v>151</v>
      </c>
      <c r="S480" t="s">
        <v>1619</v>
      </c>
      <c r="T480" t="s">
        <v>161</v>
      </c>
      <c r="U480" t="s">
        <v>184</v>
      </c>
      <c r="V480" t="str">
        <f>IFERROR(INDEX(Products!$C:$C,MATCH(D480,Products!$A:$A,0)),"Unknown")</f>
        <v>Men Trousers</v>
      </c>
      <c r="W480" t="str">
        <f>IFERROR(INDEX(Products!$E:$E,MATCH(D480,Products!$A:$A,0)),"Unknown")</f>
        <v>Westside</v>
      </c>
      <c r="X480" t="str">
        <f>IFERROR(INDEX(Stores!$B:$B,MATCH(E480,Stores!$A:$A,0)),"Unknown")</f>
        <v>TrendMart Guntur Standard</v>
      </c>
      <c r="Y480" t="str">
        <f>IFERROR(INDEX(Stores!$E:$E,MATCH(E480,Stores!$A:$A,0)),"Unknown")</f>
        <v>South Zone 3</v>
      </c>
      <c r="Z480" t="str">
        <f>IFERROR(INDEX(Customers!$J:$J,MATCH(C480,Customers!$A:$A,0)),"Unknown")</f>
        <v>Silver</v>
      </c>
      <c r="AA480" t="str">
        <f t="shared" si="7"/>
        <v>2025-02</v>
      </c>
      <c r="AB480" t="str">
        <f>IFERROR(INDEX(Products!$I:$I,MATCH(D480,Products!$A:$A,0)),"Unknown")</f>
        <v>SUP071</v>
      </c>
    </row>
    <row r="481" spans="1:28" x14ac:dyDescent="0.25">
      <c r="A481" t="s">
        <v>1690</v>
      </c>
      <c r="B481" s="20">
        <v>45617</v>
      </c>
      <c r="C481" t="s">
        <v>380</v>
      </c>
      <c r="D481" t="s">
        <v>1691</v>
      </c>
      <c r="E481" t="s">
        <v>343</v>
      </c>
      <c r="F481" t="s">
        <v>221</v>
      </c>
      <c r="G481">
        <v>1</v>
      </c>
      <c r="H481" s="21">
        <v>961.67</v>
      </c>
      <c r="I481">
        <v>0</v>
      </c>
      <c r="J481" s="21">
        <v>0</v>
      </c>
      <c r="K481">
        <v>5</v>
      </c>
      <c r="L481" s="21">
        <v>48.08</v>
      </c>
      <c r="M481" s="21">
        <v>1009.75</v>
      </c>
      <c r="N481" s="21">
        <v>700.93</v>
      </c>
      <c r="O481" s="21">
        <v>260.74</v>
      </c>
      <c r="P481" t="s">
        <v>125</v>
      </c>
      <c r="Q481" t="s">
        <v>120</v>
      </c>
      <c r="R481" t="s">
        <v>151</v>
      </c>
      <c r="S481" t="s">
        <v>1692</v>
      </c>
      <c r="T481" t="s">
        <v>153</v>
      </c>
      <c r="U481" t="s">
        <v>154</v>
      </c>
      <c r="V481" t="str">
        <f>IFERROR(INDEX(Products!$C:$C,MATCH(D481,Products!$A:$A,0)),"Unknown")</f>
        <v>Women Jeans</v>
      </c>
      <c r="W481" t="str">
        <f>IFERROR(INDEX(Products!$E:$E,MATCH(D481,Products!$A:$A,0)),"Unknown")</f>
        <v>Global Desi</v>
      </c>
      <c r="X481" t="str">
        <f>IFERROR(INDEX(Stores!$B:$B,MATCH(E481,Stores!$A:$A,0)),"Unknown")</f>
        <v>TrendMart Tumakuru Outlet</v>
      </c>
      <c r="Y481" t="str">
        <f>IFERROR(INDEX(Stores!$E:$E,MATCH(E481,Stores!$A:$A,0)),"Unknown")</f>
        <v>South Zone 2</v>
      </c>
      <c r="Z481" t="str">
        <f>IFERROR(INDEX(Customers!$J:$J,MATCH(C481,Customers!$A:$A,0)),"Unknown")</f>
        <v>Regular</v>
      </c>
      <c r="AA481" t="str">
        <f t="shared" si="7"/>
        <v>2024-11</v>
      </c>
      <c r="AB481" t="str">
        <f>IFERROR(INDEX(Products!$I:$I,MATCH(D481,Products!$A:$A,0)),"Unknown")</f>
        <v>SUP015</v>
      </c>
    </row>
    <row r="482" spans="1:28" x14ac:dyDescent="0.25">
      <c r="A482" t="s">
        <v>1693</v>
      </c>
      <c r="B482" s="20">
        <v>45594</v>
      </c>
      <c r="C482" t="s">
        <v>1694</v>
      </c>
      <c r="D482" t="s">
        <v>858</v>
      </c>
      <c r="E482" t="s">
        <v>1171</v>
      </c>
      <c r="F482" t="s">
        <v>263</v>
      </c>
      <c r="G482">
        <v>3</v>
      </c>
      <c r="H482" s="21">
        <v>722.1</v>
      </c>
      <c r="I482">
        <v>10</v>
      </c>
      <c r="J482" s="21">
        <v>216.63</v>
      </c>
      <c r="K482">
        <v>5</v>
      </c>
      <c r="L482" s="21">
        <v>97.48</v>
      </c>
      <c r="M482" s="21">
        <v>2047.15</v>
      </c>
      <c r="N482" s="21">
        <v>1576.35</v>
      </c>
      <c r="O482" s="21">
        <v>373.32</v>
      </c>
      <c r="P482" t="s">
        <v>125</v>
      </c>
      <c r="Q482" t="s">
        <v>122</v>
      </c>
      <c r="R482" t="s">
        <v>151</v>
      </c>
      <c r="S482" t="s">
        <v>356</v>
      </c>
      <c r="T482" t="s">
        <v>153</v>
      </c>
      <c r="U482" t="s">
        <v>154</v>
      </c>
      <c r="V482" t="str">
        <f>IFERROR(INDEX(Products!$C:$C,MATCH(D482,Products!$A:$A,0)),"Unknown")</f>
        <v>Kids Wear</v>
      </c>
      <c r="W482" t="str">
        <f>IFERROR(INDEX(Products!$E:$E,MATCH(D482,Products!$A:$A,0)),"Unknown")</f>
        <v>Sonata</v>
      </c>
      <c r="X482" t="str">
        <f>IFERROR(INDEX(Stores!$B:$B,MATCH(E482,Stores!$A:$A,0)),"Unknown")</f>
        <v>TrendMart Chennai Standard</v>
      </c>
      <c r="Y482" t="str">
        <f>IFERROR(INDEX(Stores!$E:$E,MATCH(E482,Stores!$A:$A,0)),"Unknown")</f>
        <v>South Zone 1</v>
      </c>
      <c r="Z482" t="str">
        <f>IFERROR(INDEX(Customers!$J:$J,MATCH(C482,Customers!$A:$A,0)),"Unknown")</f>
        <v>Regular</v>
      </c>
      <c r="AA482" t="str">
        <f t="shared" si="7"/>
        <v>2024-10</v>
      </c>
      <c r="AB482" t="str">
        <f>IFERROR(INDEX(Products!$I:$I,MATCH(D482,Products!$A:$A,0)),"Unknown")</f>
        <v>SUP089</v>
      </c>
    </row>
    <row r="483" spans="1:28" x14ac:dyDescent="0.25">
      <c r="A483" t="s">
        <v>1695</v>
      </c>
      <c r="B483" s="20">
        <v>45625</v>
      </c>
      <c r="C483" t="s">
        <v>1213</v>
      </c>
      <c r="D483" t="s">
        <v>438</v>
      </c>
      <c r="E483" t="s">
        <v>752</v>
      </c>
      <c r="F483" t="s">
        <v>253</v>
      </c>
      <c r="G483">
        <v>4</v>
      </c>
      <c r="H483" s="21">
        <v>1739.82</v>
      </c>
      <c r="I483">
        <v>25</v>
      </c>
      <c r="J483" s="21">
        <v>1739.82</v>
      </c>
      <c r="K483">
        <v>12</v>
      </c>
      <c r="L483" s="21">
        <v>626.34</v>
      </c>
      <c r="M483" s="21">
        <v>5845.8</v>
      </c>
      <c r="N483" s="21">
        <v>4497.92</v>
      </c>
      <c r="O483" s="21">
        <v>721.54</v>
      </c>
      <c r="P483" t="s">
        <v>125</v>
      </c>
      <c r="Q483" t="s">
        <v>120</v>
      </c>
      <c r="R483" t="s">
        <v>151</v>
      </c>
      <c r="S483" t="s">
        <v>1696</v>
      </c>
      <c r="T483" t="s">
        <v>153</v>
      </c>
      <c r="U483" t="s">
        <v>154</v>
      </c>
      <c r="V483" t="str">
        <f>IFERROR(INDEX(Products!$C:$C,MATCH(D483,Products!$A:$A,0)),"Unknown")</f>
        <v>Women Jeans</v>
      </c>
      <c r="W483" t="str">
        <f>IFERROR(INDEX(Products!$E:$E,MATCH(D483,Products!$A:$A,0)),"Unknown")</f>
        <v>Ramraj Cotton</v>
      </c>
      <c r="X483" t="str">
        <f>IFERROR(INDEX(Stores!$B:$B,MATCH(E483,Stores!$A:$A,0)),"Unknown")</f>
        <v>TrendMart Dindigul High Street</v>
      </c>
      <c r="Y483" t="str">
        <f>IFERROR(INDEX(Stores!$E:$E,MATCH(E483,Stores!$A:$A,0)),"Unknown")</f>
        <v>South Zone 1</v>
      </c>
      <c r="Z483" t="str">
        <f>IFERROR(INDEX(Customers!$J:$J,MATCH(C483,Customers!$A:$A,0)),"Unknown")</f>
        <v>Silver</v>
      </c>
      <c r="AA483" t="str">
        <f t="shared" si="7"/>
        <v>2024-11</v>
      </c>
      <c r="AB483" t="str">
        <f>IFERROR(INDEX(Products!$I:$I,MATCH(D483,Products!$A:$A,0)),"Unknown")</f>
        <v>SUP015</v>
      </c>
    </row>
    <row r="484" spans="1:28" x14ac:dyDescent="0.25">
      <c r="A484" t="s">
        <v>1697</v>
      </c>
      <c r="B484" s="20">
        <v>45383</v>
      </c>
      <c r="C484" t="s">
        <v>1597</v>
      </c>
      <c r="D484" t="s">
        <v>524</v>
      </c>
      <c r="E484" t="s">
        <v>1426</v>
      </c>
      <c r="F484" t="s">
        <v>195</v>
      </c>
      <c r="G484">
        <v>3</v>
      </c>
      <c r="H484" s="21">
        <v>748.45</v>
      </c>
      <c r="I484">
        <v>15</v>
      </c>
      <c r="J484" s="21">
        <v>336.8</v>
      </c>
      <c r="K484">
        <v>5</v>
      </c>
      <c r="L484" s="21">
        <v>95.43</v>
      </c>
      <c r="M484" s="21">
        <v>2003.98</v>
      </c>
      <c r="N484" s="21">
        <v>1643.01</v>
      </c>
      <c r="O484" s="21">
        <v>265.54000000000002</v>
      </c>
      <c r="P484" t="s">
        <v>125</v>
      </c>
      <c r="Q484" t="s">
        <v>120</v>
      </c>
      <c r="R484" t="s">
        <v>151</v>
      </c>
      <c r="S484" t="s">
        <v>1698</v>
      </c>
      <c r="T484" t="s">
        <v>153</v>
      </c>
      <c r="U484" t="s">
        <v>154</v>
      </c>
      <c r="V484" t="str">
        <f>IFERROR(INDEX(Products!$C:$C,MATCH(D484,Products!$A:$A,0)),"Unknown")</f>
        <v>Women Tops</v>
      </c>
      <c r="W484" t="str">
        <f>IFERROR(INDEX(Products!$E:$E,MATCH(D484,Products!$A:$A,0)),"Unknown")</f>
        <v>Indian Terrain</v>
      </c>
      <c r="X484" t="str">
        <f>IFERROR(INDEX(Stores!$B:$B,MATCH(E484,Stores!$A:$A,0)),"Unknown")</f>
        <v>TrendMart Alappuzha Mall Kiosk</v>
      </c>
      <c r="Y484" t="str">
        <f>IFERROR(INDEX(Stores!$E:$E,MATCH(E484,Stores!$A:$A,0)),"Unknown")</f>
        <v>South Zone 1</v>
      </c>
      <c r="Z484" t="str">
        <f>IFERROR(INDEX(Customers!$J:$J,MATCH(C484,Customers!$A:$A,0)),"Unknown")</f>
        <v>Silver</v>
      </c>
      <c r="AA484" t="str">
        <f t="shared" si="7"/>
        <v>2024-04</v>
      </c>
      <c r="AB484" t="str">
        <f>IFERROR(INDEX(Products!$I:$I,MATCH(D484,Products!$A:$A,0)),"Unknown")</f>
        <v>SUP062</v>
      </c>
    </row>
    <row r="485" spans="1:28" x14ac:dyDescent="0.25">
      <c r="A485" t="s">
        <v>1699</v>
      </c>
      <c r="B485" s="20">
        <v>45508</v>
      </c>
      <c r="C485" t="s">
        <v>1700</v>
      </c>
      <c r="D485" t="s">
        <v>1292</v>
      </c>
      <c r="E485" t="s">
        <v>231</v>
      </c>
      <c r="F485" t="s">
        <v>269</v>
      </c>
      <c r="G485">
        <v>4</v>
      </c>
      <c r="H485" s="21">
        <v>595.48</v>
      </c>
      <c r="I485">
        <v>10</v>
      </c>
      <c r="J485" s="21">
        <v>238.19</v>
      </c>
      <c r="K485">
        <v>5</v>
      </c>
      <c r="L485" s="21">
        <v>107.19</v>
      </c>
      <c r="M485" s="21">
        <v>2250.92</v>
      </c>
      <c r="N485" s="21">
        <v>1395</v>
      </c>
      <c r="O485" s="21">
        <v>748.73</v>
      </c>
      <c r="P485" t="s">
        <v>123</v>
      </c>
      <c r="Q485" t="s">
        <v>120</v>
      </c>
      <c r="R485" t="s">
        <v>151</v>
      </c>
      <c r="S485" t="s">
        <v>1184</v>
      </c>
      <c r="T485" t="s">
        <v>161</v>
      </c>
      <c r="U485" t="s">
        <v>154</v>
      </c>
      <c r="V485" t="str">
        <f>IFERROR(INDEX(Products!$C:$C,MATCH(D485,Products!$A:$A,0)),"Unknown")</f>
        <v>Men T-Shirts</v>
      </c>
      <c r="W485" t="str">
        <f>IFERROR(INDEX(Products!$E:$E,MATCH(D485,Products!$A:$A,0)),"Unknown")</f>
        <v>Metro Shoes</v>
      </c>
      <c r="X485" t="str">
        <f>IFERROR(INDEX(Stores!$B:$B,MATCH(E485,Stores!$A:$A,0)),"Unknown")</f>
        <v>TrendMart Warangal Outlet</v>
      </c>
      <c r="Y485" t="str">
        <f>IFERROR(INDEX(Stores!$E:$E,MATCH(E485,Stores!$A:$A,0)),"Unknown")</f>
        <v>South Zone 2</v>
      </c>
      <c r="Z485" t="str">
        <f>IFERROR(INDEX(Customers!$J:$J,MATCH(C485,Customers!$A:$A,0)),"Unknown")</f>
        <v>Silver</v>
      </c>
      <c r="AA485" t="str">
        <f t="shared" si="7"/>
        <v>2024-08</v>
      </c>
      <c r="AB485" t="str">
        <f>IFERROR(INDEX(Products!$I:$I,MATCH(D485,Products!$A:$A,0)),"Unknown")</f>
        <v>SUP024</v>
      </c>
    </row>
    <row r="486" spans="1:28" x14ac:dyDescent="0.25">
      <c r="A486" t="s">
        <v>1701</v>
      </c>
      <c r="B486" s="20">
        <v>45588</v>
      </c>
      <c r="C486" t="s">
        <v>1471</v>
      </c>
      <c r="D486" t="s">
        <v>1219</v>
      </c>
      <c r="E486" t="s">
        <v>88</v>
      </c>
      <c r="F486" t="s">
        <v>189</v>
      </c>
      <c r="G486">
        <v>2</v>
      </c>
      <c r="H486" s="21">
        <v>2832.31</v>
      </c>
      <c r="I486">
        <v>15</v>
      </c>
      <c r="J486" s="21">
        <v>849.69</v>
      </c>
      <c r="K486">
        <v>12</v>
      </c>
      <c r="L486" s="21">
        <v>577.79</v>
      </c>
      <c r="M486" s="21">
        <v>5392.72</v>
      </c>
      <c r="N486" s="21">
        <v>4079.4</v>
      </c>
      <c r="O486" s="21">
        <v>735.53</v>
      </c>
      <c r="P486" t="s">
        <v>121</v>
      </c>
      <c r="Q486" t="s">
        <v>120</v>
      </c>
      <c r="R486" t="s">
        <v>151</v>
      </c>
      <c r="S486" t="s">
        <v>1264</v>
      </c>
      <c r="T486" t="s">
        <v>153</v>
      </c>
      <c r="U486" t="s">
        <v>154</v>
      </c>
      <c r="V486" t="str">
        <f>IFERROR(INDEX(Products!$C:$C,MATCH(D486,Products!$A:$A,0)),"Unknown")</f>
        <v>Watches</v>
      </c>
      <c r="W486" t="str">
        <f>IFERROR(INDEX(Products!$E:$E,MATCH(D486,Products!$A:$A,0)),"Unknown")</f>
        <v>Fossil</v>
      </c>
      <c r="X486" t="str">
        <f>IFERROR(INDEX(Stores!$B:$B,MATCH(E486,Stores!$A:$A,0)),"Unknown")</f>
        <v>TrendMart Kozhikode Mall Kiosk</v>
      </c>
      <c r="Y486" t="str">
        <f>IFERROR(INDEX(Stores!$E:$E,MATCH(E486,Stores!$A:$A,0)),"Unknown")</f>
        <v>South Zone 1</v>
      </c>
      <c r="Z486" t="str">
        <f>IFERROR(INDEX(Customers!$J:$J,MATCH(C486,Customers!$A:$A,0)),"Unknown")</f>
        <v>Silver</v>
      </c>
      <c r="AA486" t="str">
        <f t="shared" si="7"/>
        <v>2024-10</v>
      </c>
      <c r="AB486" t="str">
        <f>IFERROR(INDEX(Products!$I:$I,MATCH(D486,Products!$A:$A,0)),"Unknown")</f>
        <v>SUP054</v>
      </c>
    </row>
    <row r="487" spans="1:28" x14ac:dyDescent="0.25">
      <c r="A487" t="s">
        <v>1702</v>
      </c>
      <c r="B487" s="20">
        <v>45649</v>
      </c>
      <c r="C487" t="s">
        <v>625</v>
      </c>
      <c r="D487" t="s">
        <v>367</v>
      </c>
      <c r="E487" t="s">
        <v>368</v>
      </c>
      <c r="F487" t="s">
        <v>308</v>
      </c>
      <c r="G487">
        <v>2</v>
      </c>
      <c r="H487" s="21">
        <v>749.51</v>
      </c>
      <c r="I487">
        <v>20</v>
      </c>
      <c r="J487" s="21">
        <v>299.8</v>
      </c>
      <c r="K487">
        <v>3</v>
      </c>
      <c r="L487" s="21">
        <v>35.979999999999997</v>
      </c>
      <c r="M487" s="21">
        <v>1235.2</v>
      </c>
      <c r="N487" s="21">
        <v>1113.98</v>
      </c>
      <c r="O487" s="21">
        <v>85.24</v>
      </c>
      <c r="P487" t="s">
        <v>123</v>
      </c>
      <c r="Q487" t="s">
        <v>120</v>
      </c>
      <c r="R487" t="s">
        <v>151</v>
      </c>
      <c r="S487" t="s">
        <v>517</v>
      </c>
      <c r="T487" t="s">
        <v>153</v>
      </c>
      <c r="U487" t="s">
        <v>154</v>
      </c>
      <c r="V487" t="str">
        <f>IFERROR(INDEX(Products!$C:$C,MATCH(D487,Products!$A:$A,0)),"Unknown")</f>
        <v>Jewellery</v>
      </c>
      <c r="W487" t="str">
        <f>IFERROR(INDEX(Products!$E:$E,MATCH(D487,Products!$A:$A,0)),"Unknown")</f>
        <v>Aurelia</v>
      </c>
      <c r="X487" t="str">
        <f>IFERROR(INDEX(Stores!$B:$B,MATCH(E487,Stores!$A:$A,0)),"Unknown")</f>
        <v>TrendMart Alappuzha Outlet</v>
      </c>
      <c r="Y487" t="str">
        <f>IFERROR(INDEX(Stores!$E:$E,MATCH(E487,Stores!$A:$A,0)),"Unknown")</f>
        <v>South Zone 1</v>
      </c>
      <c r="Z487" t="str">
        <f>IFERROR(INDEX(Customers!$J:$J,MATCH(C487,Customers!$A:$A,0)),"Unknown")</f>
        <v>Silver</v>
      </c>
      <c r="AA487" t="str">
        <f t="shared" si="7"/>
        <v>2024-12</v>
      </c>
      <c r="AB487" t="str">
        <f>IFERROR(INDEX(Products!$I:$I,MATCH(D487,Products!$A:$A,0)),"Unknown")</f>
        <v>SUP067</v>
      </c>
    </row>
    <row r="488" spans="1:28" x14ac:dyDescent="0.25">
      <c r="A488" t="s">
        <v>1703</v>
      </c>
      <c r="B488" s="20">
        <v>45531</v>
      </c>
      <c r="C488" t="s">
        <v>1704</v>
      </c>
      <c r="D488" t="s">
        <v>1520</v>
      </c>
      <c r="E488" t="s">
        <v>158</v>
      </c>
      <c r="F488" t="s">
        <v>579</v>
      </c>
      <c r="G488">
        <v>2</v>
      </c>
      <c r="H488" s="21">
        <v>4700.04</v>
      </c>
      <c r="I488">
        <v>0</v>
      </c>
      <c r="J488" s="21">
        <v>0</v>
      </c>
      <c r="K488">
        <v>12</v>
      </c>
      <c r="L488" s="21">
        <v>1128.01</v>
      </c>
      <c r="M488" s="21">
        <v>10528.09</v>
      </c>
      <c r="N488" s="21">
        <v>6473.14</v>
      </c>
      <c r="O488" s="21">
        <v>2926.94</v>
      </c>
      <c r="P488" t="s">
        <v>121</v>
      </c>
      <c r="Q488" t="s">
        <v>120</v>
      </c>
      <c r="R488" t="s">
        <v>151</v>
      </c>
      <c r="S488" t="s">
        <v>1422</v>
      </c>
      <c r="T488" t="s">
        <v>153</v>
      </c>
      <c r="U488" t="s">
        <v>154</v>
      </c>
      <c r="V488" t="str">
        <f>IFERROR(INDEX(Products!$C:$C,MATCH(D488,Products!$A:$A,0)),"Unknown")</f>
        <v>Women Sarees</v>
      </c>
      <c r="W488" t="str">
        <f>IFERROR(INDEX(Products!$E:$E,MATCH(D488,Products!$A:$A,0)),"Unknown")</f>
        <v>Pepe Jeans</v>
      </c>
      <c r="X488" t="str">
        <f>IFERROR(INDEX(Stores!$B:$B,MATCH(E488,Stores!$A:$A,0)),"Unknown")</f>
        <v>TrendMart Tirunelveli High Street</v>
      </c>
      <c r="Y488" t="str">
        <f>IFERROR(INDEX(Stores!$E:$E,MATCH(E488,Stores!$A:$A,0)),"Unknown")</f>
        <v>South Zone 1</v>
      </c>
      <c r="Z488" t="str">
        <f>IFERROR(INDEX(Customers!$J:$J,MATCH(C488,Customers!$A:$A,0)),"Unknown")</f>
        <v>Silver</v>
      </c>
      <c r="AA488" t="str">
        <f t="shared" si="7"/>
        <v>2024-08</v>
      </c>
      <c r="AB488" t="str">
        <f>IFERROR(INDEX(Products!$I:$I,MATCH(D488,Products!$A:$A,0)),"Unknown")</f>
        <v>SUP009</v>
      </c>
    </row>
    <row r="489" spans="1:28" x14ac:dyDescent="0.25">
      <c r="A489" t="s">
        <v>1705</v>
      </c>
      <c r="B489" s="20">
        <v>45709</v>
      </c>
      <c r="C489" t="s">
        <v>509</v>
      </c>
      <c r="D489" t="s">
        <v>1520</v>
      </c>
      <c r="E489" t="s">
        <v>280</v>
      </c>
      <c r="F489" t="s">
        <v>596</v>
      </c>
      <c r="G489">
        <v>2</v>
      </c>
      <c r="H489" s="21">
        <v>4351.58</v>
      </c>
      <c r="I489">
        <v>10</v>
      </c>
      <c r="J489" s="21">
        <v>870.32</v>
      </c>
      <c r="K489">
        <v>12</v>
      </c>
      <c r="L489" s="21">
        <v>939.94</v>
      </c>
      <c r="M489" s="21">
        <v>8772.7800000000007</v>
      </c>
      <c r="N489" s="21">
        <v>6473.14</v>
      </c>
      <c r="O489" s="21">
        <v>1359.7</v>
      </c>
      <c r="P489" t="s">
        <v>121</v>
      </c>
      <c r="Q489" t="s">
        <v>122</v>
      </c>
      <c r="R489" t="s">
        <v>151</v>
      </c>
      <c r="S489" t="s">
        <v>1706</v>
      </c>
      <c r="T489" t="s">
        <v>153</v>
      </c>
      <c r="U489" t="s">
        <v>154</v>
      </c>
      <c r="V489" t="str">
        <f>IFERROR(INDEX(Products!$C:$C,MATCH(D489,Products!$A:$A,0)),"Unknown")</f>
        <v>Women Sarees</v>
      </c>
      <c r="W489" t="str">
        <f>IFERROR(INDEX(Products!$E:$E,MATCH(D489,Products!$A:$A,0)),"Unknown")</f>
        <v>Pepe Jeans</v>
      </c>
      <c r="X489" t="str">
        <f>IFERROR(INDEX(Stores!$B:$B,MATCH(E489,Stores!$A:$A,0)),"Unknown")</f>
        <v>TrendMart Chennai Standard</v>
      </c>
      <c r="Y489" t="str">
        <f>IFERROR(INDEX(Stores!$E:$E,MATCH(E489,Stores!$A:$A,0)),"Unknown")</f>
        <v>South Zone 1</v>
      </c>
      <c r="Z489" t="str">
        <f>IFERROR(INDEX(Customers!$J:$J,MATCH(C489,Customers!$A:$A,0)),"Unknown")</f>
        <v>Gold</v>
      </c>
      <c r="AA489" t="str">
        <f t="shared" si="7"/>
        <v>2025-02</v>
      </c>
      <c r="AB489" t="str">
        <f>IFERROR(INDEX(Products!$I:$I,MATCH(D489,Products!$A:$A,0)),"Unknown")</f>
        <v>SUP009</v>
      </c>
    </row>
    <row r="490" spans="1:28" x14ac:dyDescent="0.25">
      <c r="A490" t="s">
        <v>1707</v>
      </c>
      <c r="B490" s="20">
        <v>45702</v>
      </c>
      <c r="C490" t="s">
        <v>1708</v>
      </c>
      <c r="D490" t="s">
        <v>1709</v>
      </c>
      <c r="E490" t="s">
        <v>607</v>
      </c>
      <c r="F490" t="s">
        <v>377</v>
      </c>
      <c r="G490">
        <v>2</v>
      </c>
      <c r="H490" s="21">
        <v>426.61</v>
      </c>
      <c r="I490">
        <v>20</v>
      </c>
      <c r="J490" s="21">
        <v>170.64</v>
      </c>
      <c r="K490">
        <v>5</v>
      </c>
      <c r="L490" s="21">
        <v>34.130000000000003</v>
      </c>
      <c r="M490" s="21">
        <v>716.71</v>
      </c>
      <c r="N490" s="21">
        <v>654.72</v>
      </c>
      <c r="O490" s="21">
        <v>27.86</v>
      </c>
      <c r="P490" t="s">
        <v>124</v>
      </c>
      <c r="Q490" t="s">
        <v>122</v>
      </c>
      <c r="R490" t="s">
        <v>151</v>
      </c>
      <c r="S490" t="s">
        <v>212</v>
      </c>
      <c r="T490" t="s">
        <v>153</v>
      </c>
      <c r="U490" t="s">
        <v>154</v>
      </c>
      <c r="V490" t="str">
        <f>IFERROR(INDEX(Products!$C:$C,MATCH(D490,Products!$A:$A,0)),"Unknown")</f>
        <v>Kids Wear</v>
      </c>
      <c r="W490" t="str">
        <f>IFERROR(INDEX(Products!$E:$E,MATCH(D490,Products!$A:$A,0)),"Unknown")</f>
        <v>Aurelia</v>
      </c>
      <c r="X490" t="str">
        <f>IFERROR(INDEX(Stores!$B:$B,MATCH(E490,Stores!$A:$A,0)),"Unknown")</f>
        <v>TrendMart Thiruvananthapuram Standard</v>
      </c>
      <c r="Y490" t="str">
        <f>IFERROR(INDEX(Stores!$E:$E,MATCH(E490,Stores!$A:$A,0)),"Unknown")</f>
        <v>South Zone 1</v>
      </c>
      <c r="Z490" t="str">
        <f>IFERROR(INDEX(Customers!$J:$J,MATCH(C490,Customers!$A:$A,0)),"Unknown")</f>
        <v>Gold</v>
      </c>
      <c r="AA490" t="str">
        <f t="shared" si="7"/>
        <v>2025-02</v>
      </c>
      <c r="AB490" t="str">
        <f>IFERROR(INDEX(Products!$I:$I,MATCH(D490,Products!$A:$A,0)),"Unknown")</f>
        <v>SUP055</v>
      </c>
    </row>
    <row r="491" spans="1:28" x14ac:dyDescent="0.25">
      <c r="A491" t="s">
        <v>1710</v>
      </c>
      <c r="B491" s="20">
        <v>45622</v>
      </c>
      <c r="C491" t="s">
        <v>1711</v>
      </c>
      <c r="D491" t="s">
        <v>1709</v>
      </c>
      <c r="E491" t="s">
        <v>302</v>
      </c>
      <c r="F491" t="s">
        <v>303</v>
      </c>
      <c r="G491">
        <v>1</v>
      </c>
      <c r="H491" s="21">
        <v>459.27</v>
      </c>
      <c r="I491">
        <v>25</v>
      </c>
      <c r="J491" s="21">
        <v>114.82</v>
      </c>
      <c r="K491">
        <v>5</v>
      </c>
      <c r="L491" s="21">
        <v>17.22</v>
      </c>
      <c r="M491" s="21">
        <v>361.67</v>
      </c>
      <c r="N491" s="21">
        <v>327.36</v>
      </c>
      <c r="O491" s="21">
        <v>17.09</v>
      </c>
      <c r="P491" t="s">
        <v>125</v>
      </c>
      <c r="Q491" t="s">
        <v>120</v>
      </c>
      <c r="R491" t="s">
        <v>151</v>
      </c>
      <c r="S491" t="s">
        <v>1712</v>
      </c>
      <c r="T491" t="s">
        <v>153</v>
      </c>
      <c r="U491" t="s">
        <v>154</v>
      </c>
      <c r="V491" t="str">
        <f>IFERROR(INDEX(Products!$C:$C,MATCH(D491,Products!$A:$A,0)),"Unknown")</f>
        <v>Kids Wear</v>
      </c>
      <c r="W491" t="str">
        <f>IFERROR(INDEX(Products!$E:$E,MATCH(D491,Products!$A:$A,0)),"Unknown")</f>
        <v>Aurelia</v>
      </c>
      <c r="X491" t="str">
        <f>IFERROR(INDEX(Stores!$B:$B,MATCH(E491,Stores!$A:$A,0)),"Unknown")</f>
        <v>TrendMart Visakhapatnam Standard</v>
      </c>
      <c r="Y491" t="str">
        <f>IFERROR(INDEX(Stores!$E:$E,MATCH(E491,Stores!$A:$A,0)),"Unknown")</f>
        <v>South Zone 3</v>
      </c>
      <c r="Z491" t="str">
        <f>IFERROR(INDEX(Customers!$J:$J,MATCH(C491,Customers!$A:$A,0)),"Unknown")</f>
        <v>Regular</v>
      </c>
      <c r="AA491" t="str">
        <f t="shared" si="7"/>
        <v>2024-11</v>
      </c>
      <c r="AB491" t="str">
        <f>IFERROR(INDEX(Products!$I:$I,MATCH(D491,Products!$A:$A,0)),"Unknown")</f>
        <v>SUP055</v>
      </c>
    </row>
    <row r="492" spans="1:28" x14ac:dyDescent="0.25">
      <c r="A492" t="s">
        <v>1713</v>
      </c>
      <c r="B492" s="20">
        <v>45588</v>
      </c>
      <c r="C492" t="s">
        <v>1286</v>
      </c>
      <c r="D492" t="s">
        <v>654</v>
      </c>
      <c r="E492" t="s">
        <v>262</v>
      </c>
      <c r="F492" t="s">
        <v>237</v>
      </c>
      <c r="G492">
        <v>2</v>
      </c>
      <c r="H492" s="21">
        <v>1154.1600000000001</v>
      </c>
      <c r="I492">
        <v>0</v>
      </c>
      <c r="J492" s="21">
        <v>0</v>
      </c>
      <c r="K492">
        <v>12</v>
      </c>
      <c r="L492" s="21">
        <v>277</v>
      </c>
      <c r="M492" s="21">
        <v>2585.3200000000002</v>
      </c>
      <c r="N492" s="21">
        <v>1730.84</v>
      </c>
      <c r="O492" s="21">
        <v>577.48</v>
      </c>
      <c r="P492" t="s">
        <v>126</v>
      </c>
      <c r="Q492" t="s">
        <v>122</v>
      </c>
      <c r="R492" t="s">
        <v>151</v>
      </c>
      <c r="S492" t="s">
        <v>722</v>
      </c>
      <c r="T492" t="s">
        <v>153</v>
      </c>
      <c r="U492" t="s">
        <v>154</v>
      </c>
      <c r="V492" t="str">
        <f>IFERROR(INDEX(Products!$C:$C,MATCH(D492,Products!$A:$A,0)),"Unknown")</f>
        <v>Women Dresses</v>
      </c>
      <c r="W492" t="str">
        <f>IFERROR(INDEX(Products!$E:$E,MATCH(D492,Products!$A:$A,0)),"Unknown")</f>
        <v>Indian Terrain</v>
      </c>
      <c r="X492" t="str">
        <f>IFERROR(INDEX(Stores!$B:$B,MATCH(E492,Stores!$A:$A,0)),"Unknown")</f>
        <v>TrendMart Thoothukudi Outlet</v>
      </c>
      <c r="Y492" t="str">
        <f>IFERROR(INDEX(Stores!$E:$E,MATCH(E492,Stores!$A:$A,0)),"Unknown")</f>
        <v>South Zone 1</v>
      </c>
      <c r="Z492" t="str">
        <f>IFERROR(INDEX(Customers!$J:$J,MATCH(C492,Customers!$A:$A,0)),"Unknown")</f>
        <v>Regular</v>
      </c>
      <c r="AA492" t="str">
        <f t="shared" si="7"/>
        <v>2024-10</v>
      </c>
      <c r="AB492" t="str">
        <f>IFERROR(INDEX(Products!$I:$I,MATCH(D492,Products!$A:$A,0)),"Unknown")</f>
        <v>SUP049</v>
      </c>
    </row>
    <row r="493" spans="1:28" x14ac:dyDescent="0.25">
      <c r="A493" t="s">
        <v>1714</v>
      </c>
      <c r="B493" s="20">
        <v>45513</v>
      </c>
      <c r="C493" t="s">
        <v>1715</v>
      </c>
      <c r="D493" t="s">
        <v>1338</v>
      </c>
      <c r="E493" t="s">
        <v>798</v>
      </c>
      <c r="F493" t="s">
        <v>397</v>
      </c>
      <c r="G493">
        <v>2</v>
      </c>
      <c r="H493" s="21">
        <v>2220.71</v>
      </c>
      <c r="I493">
        <v>5</v>
      </c>
      <c r="J493" s="21">
        <v>222.07</v>
      </c>
      <c r="K493">
        <v>12</v>
      </c>
      <c r="L493" s="21">
        <v>506.32</v>
      </c>
      <c r="M493" s="21">
        <v>4725.67</v>
      </c>
      <c r="N493" s="21">
        <v>3158.92</v>
      </c>
      <c r="O493" s="21">
        <v>1060.43</v>
      </c>
      <c r="P493" t="s">
        <v>123</v>
      </c>
      <c r="Q493" t="s">
        <v>120</v>
      </c>
      <c r="R493" t="s">
        <v>151</v>
      </c>
      <c r="S493" t="s">
        <v>1716</v>
      </c>
      <c r="T493" t="s">
        <v>153</v>
      </c>
      <c r="U493" t="s">
        <v>154</v>
      </c>
      <c r="V493" t="str">
        <f>IFERROR(INDEX(Products!$C:$C,MATCH(D493,Products!$A:$A,0)),"Unknown")</f>
        <v>Handbags</v>
      </c>
      <c r="W493" t="str">
        <f>IFERROR(INDEX(Products!$E:$E,MATCH(D493,Products!$A:$A,0)),"Unknown")</f>
        <v>Spykar</v>
      </c>
      <c r="X493" t="str">
        <f>IFERROR(INDEX(Stores!$B:$B,MATCH(E493,Stores!$A:$A,0)),"Unknown")</f>
        <v>TrendMart Guntur Standard</v>
      </c>
      <c r="Y493" t="str">
        <f>IFERROR(INDEX(Stores!$E:$E,MATCH(E493,Stores!$A:$A,0)),"Unknown")</f>
        <v>South Zone 3</v>
      </c>
      <c r="Z493" t="str">
        <f>IFERROR(INDEX(Customers!$J:$J,MATCH(C493,Customers!$A:$A,0)),"Unknown")</f>
        <v>Regular</v>
      </c>
      <c r="AA493" t="str">
        <f t="shared" si="7"/>
        <v>2024-08</v>
      </c>
      <c r="AB493" t="str">
        <f>IFERROR(INDEX(Products!$I:$I,MATCH(D493,Products!$A:$A,0)),"Unknown")</f>
        <v>SUP079</v>
      </c>
    </row>
    <row r="494" spans="1:28" x14ac:dyDescent="0.25">
      <c r="A494" t="s">
        <v>1717</v>
      </c>
      <c r="B494" s="20">
        <v>45406</v>
      </c>
      <c r="C494" t="s">
        <v>1718</v>
      </c>
      <c r="D494" t="s">
        <v>666</v>
      </c>
      <c r="E494" t="s">
        <v>231</v>
      </c>
      <c r="F494" t="s">
        <v>397</v>
      </c>
      <c r="G494">
        <v>2</v>
      </c>
      <c r="H494" s="21">
        <v>1364.41</v>
      </c>
      <c r="I494">
        <v>15</v>
      </c>
      <c r="J494" s="21">
        <v>409.32</v>
      </c>
      <c r="K494">
        <v>12</v>
      </c>
      <c r="L494" s="21">
        <v>278.33999999999997</v>
      </c>
      <c r="M494" s="21">
        <v>2597.84</v>
      </c>
      <c r="N494" s="21">
        <v>1808.42</v>
      </c>
      <c r="O494" s="21">
        <v>511.08</v>
      </c>
      <c r="P494" t="s">
        <v>123</v>
      </c>
      <c r="Q494" t="s">
        <v>120</v>
      </c>
      <c r="R494" t="s">
        <v>151</v>
      </c>
      <c r="S494" t="s">
        <v>1719</v>
      </c>
      <c r="T494" t="s">
        <v>153</v>
      </c>
      <c r="U494" t="s">
        <v>154</v>
      </c>
      <c r="V494" t="str">
        <f>IFERROR(INDEX(Products!$C:$C,MATCH(D494,Products!$A:$A,0)),"Unknown")</f>
        <v>Wallets</v>
      </c>
      <c r="W494" t="str">
        <f>IFERROR(INDEX(Products!$E:$E,MATCH(D494,Products!$A:$A,0)),"Unknown")</f>
        <v>Louis Philippe</v>
      </c>
      <c r="X494" t="str">
        <f>IFERROR(INDEX(Stores!$B:$B,MATCH(E494,Stores!$A:$A,0)),"Unknown")</f>
        <v>TrendMart Warangal Outlet</v>
      </c>
      <c r="Y494" t="str">
        <f>IFERROR(INDEX(Stores!$E:$E,MATCH(E494,Stores!$A:$A,0)),"Unknown")</f>
        <v>South Zone 2</v>
      </c>
      <c r="Z494" t="str">
        <f>IFERROR(INDEX(Customers!$J:$J,MATCH(C494,Customers!$A:$A,0)),"Unknown")</f>
        <v>Regular</v>
      </c>
      <c r="AA494" t="str">
        <f t="shared" si="7"/>
        <v>2024-04</v>
      </c>
      <c r="AB494" t="str">
        <f>IFERROR(INDEX(Products!$I:$I,MATCH(D494,Products!$A:$A,0)),"Unknown")</f>
        <v>SUP039</v>
      </c>
    </row>
    <row r="495" spans="1:28" x14ac:dyDescent="0.25">
      <c r="A495" t="s">
        <v>1720</v>
      </c>
      <c r="B495" s="20">
        <v>45626</v>
      </c>
      <c r="C495" t="s">
        <v>582</v>
      </c>
      <c r="D495" t="s">
        <v>481</v>
      </c>
      <c r="E495" t="s">
        <v>607</v>
      </c>
      <c r="F495" t="s">
        <v>574</v>
      </c>
      <c r="G495">
        <v>1</v>
      </c>
      <c r="H495" s="21">
        <v>869.84</v>
      </c>
      <c r="I495">
        <v>25</v>
      </c>
      <c r="J495" s="21">
        <v>217.46</v>
      </c>
      <c r="K495">
        <v>5</v>
      </c>
      <c r="L495" s="21">
        <v>32.619999999999997</v>
      </c>
      <c r="M495" s="21">
        <v>685</v>
      </c>
      <c r="N495" s="21">
        <v>698.08</v>
      </c>
      <c r="O495" s="21">
        <v>-45.7</v>
      </c>
      <c r="P495" t="s">
        <v>126</v>
      </c>
      <c r="Q495" t="s">
        <v>120</v>
      </c>
      <c r="R495" t="s">
        <v>151</v>
      </c>
      <c r="S495" t="s">
        <v>1666</v>
      </c>
      <c r="T495" t="s">
        <v>161</v>
      </c>
      <c r="U495" t="s">
        <v>184</v>
      </c>
      <c r="V495" t="str">
        <f>IFERROR(INDEX(Products!$C:$C,MATCH(D495,Products!$A:$A,0)),"Unknown")</f>
        <v>Women Dresses</v>
      </c>
      <c r="W495" t="str">
        <f>IFERROR(INDEX(Products!$E:$E,MATCH(D495,Products!$A:$A,0)),"Unknown")</f>
        <v>Jack &amp; Jones</v>
      </c>
      <c r="X495" t="str">
        <f>IFERROR(INDEX(Stores!$B:$B,MATCH(E495,Stores!$A:$A,0)),"Unknown")</f>
        <v>TrendMart Thiruvananthapuram Standard</v>
      </c>
      <c r="Y495" t="str">
        <f>IFERROR(INDEX(Stores!$E:$E,MATCH(E495,Stores!$A:$A,0)),"Unknown")</f>
        <v>South Zone 1</v>
      </c>
      <c r="Z495" t="str">
        <f>IFERROR(INDEX(Customers!$J:$J,MATCH(C495,Customers!$A:$A,0)),"Unknown")</f>
        <v>Silver</v>
      </c>
      <c r="AA495" t="str">
        <f t="shared" si="7"/>
        <v>2024-11</v>
      </c>
      <c r="AB495" t="str">
        <f>IFERROR(INDEX(Products!$I:$I,MATCH(D495,Products!$A:$A,0)),"Unknown")</f>
        <v>SUP069</v>
      </c>
    </row>
    <row r="496" spans="1:28" x14ac:dyDescent="0.25">
      <c r="A496" t="s">
        <v>1721</v>
      </c>
      <c r="B496" s="20">
        <v>45464</v>
      </c>
      <c r="C496" t="s">
        <v>1124</v>
      </c>
      <c r="D496" t="s">
        <v>494</v>
      </c>
      <c r="E496" t="s">
        <v>456</v>
      </c>
      <c r="F496" t="s">
        <v>574</v>
      </c>
      <c r="G496">
        <v>3</v>
      </c>
      <c r="H496" s="21">
        <v>1595.23</v>
      </c>
      <c r="I496">
        <v>10</v>
      </c>
      <c r="J496" s="21">
        <v>478.57</v>
      </c>
      <c r="K496">
        <v>12</v>
      </c>
      <c r="L496" s="21">
        <v>516.85</v>
      </c>
      <c r="M496" s="21">
        <v>4823.97</v>
      </c>
      <c r="N496" s="21">
        <v>3422.7</v>
      </c>
      <c r="O496" s="21">
        <v>884.42</v>
      </c>
      <c r="P496" t="s">
        <v>125</v>
      </c>
      <c r="Q496" t="s">
        <v>120</v>
      </c>
      <c r="R496" t="s">
        <v>151</v>
      </c>
      <c r="S496" t="s">
        <v>1516</v>
      </c>
      <c r="T496" t="s">
        <v>153</v>
      </c>
      <c r="U496" t="s">
        <v>154</v>
      </c>
      <c r="V496" t="str">
        <f>IFERROR(INDEX(Products!$C:$C,MATCH(D496,Products!$A:$A,0)),"Unknown")</f>
        <v>Women Dresses</v>
      </c>
      <c r="W496" t="str">
        <f>IFERROR(INDEX(Products!$E:$E,MATCH(D496,Products!$A:$A,0)),"Unknown")</f>
        <v>Reebok</v>
      </c>
      <c r="X496" t="str">
        <f>IFERROR(INDEX(Stores!$B:$B,MATCH(E496,Stores!$A:$A,0)),"Unknown")</f>
        <v>TrendMart Salem Outlet</v>
      </c>
      <c r="Y496" t="str">
        <f>IFERROR(INDEX(Stores!$E:$E,MATCH(E496,Stores!$A:$A,0)),"Unknown")</f>
        <v>South Zone 1</v>
      </c>
      <c r="Z496" t="str">
        <f>IFERROR(INDEX(Customers!$J:$J,MATCH(C496,Customers!$A:$A,0)),"Unknown")</f>
        <v>Gold</v>
      </c>
      <c r="AA496" t="str">
        <f t="shared" si="7"/>
        <v>2024-06</v>
      </c>
      <c r="AB496" t="str">
        <f>IFERROR(INDEX(Products!$I:$I,MATCH(D496,Products!$A:$A,0)),"Unknown")</f>
        <v>SUP085</v>
      </c>
    </row>
    <row r="497" spans="1:28" x14ac:dyDescent="0.25">
      <c r="A497" t="s">
        <v>1722</v>
      </c>
      <c r="B497" s="20">
        <v>45730</v>
      </c>
      <c r="C497" t="s">
        <v>1723</v>
      </c>
      <c r="D497" t="s">
        <v>447</v>
      </c>
      <c r="E497" t="s">
        <v>451</v>
      </c>
      <c r="F497" t="s">
        <v>182</v>
      </c>
      <c r="G497">
        <v>1</v>
      </c>
      <c r="H497" s="21">
        <v>1348.49</v>
      </c>
      <c r="I497">
        <v>0</v>
      </c>
      <c r="J497" s="21">
        <v>0</v>
      </c>
      <c r="K497">
        <v>12</v>
      </c>
      <c r="L497" s="21">
        <v>161.82</v>
      </c>
      <c r="M497" s="21">
        <v>1510.31</v>
      </c>
      <c r="N497" s="21">
        <v>1073.45</v>
      </c>
      <c r="O497" s="21">
        <v>275.04000000000002</v>
      </c>
      <c r="P497" t="s">
        <v>123</v>
      </c>
      <c r="Q497" t="s">
        <v>120</v>
      </c>
      <c r="R497" t="s">
        <v>151</v>
      </c>
      <c r="S497" t="s">
        <v>1724</v>
      </c>
      <c r="T497" t="s">
        <v>153</v>
      </c>
      <c r="U497" t="s">
        <v>154</v>
      </c>
      <c r="V497" t="str">
        <f>IFERROR(INDEX(Products!$C:$C,MATCH(D497,Products!$A:$A,0)),"Unknown")</f>
        <v>Women Jeans</v>
      </c>
      <c r="W497" t="str">
        <f>IFERROR(INDEX(Products!$E:$E,MATCH(D497,Products!$A:$A,0)),"Unknown")</f>
        <v>Biba</v>
      </c>
      <c r="X497" t="str">
        <f>IFERROR(INDEX(Stores!$B:$B,MATCH(E497,Stores!$A:$A,0)),"Unknown")</f>
        <v>TrendMart Thoothukudi High Street</v>
      </c>
      <c r="Y497" t="str">
        <f>IFERROR(INDEX(Stores!$E:$E,MATCH(E497,Stores!$A:$A,0)),"Unknown")</f>
        <v>South Zone 1</v>
      </c>
      <c r="Z497" t="str">
        <f>IFERROR(INDEX(Customers!$J:$J,MATCH(C497,Customers!$A:$A,0)),"Unknown")</f>
        <v>Regular</v>
      </c>
      <c r="AA497" t="str">
        <f t="shared" si="7"/>
        <v>2025-03</v>
      </c>
      <c r="AB497" t="str">
        <f>IFERROR(INDEX(Products!$I:$I,MATCH(D497,Products!$A:$A,0)),"Unknown")</f>
        <v>SUP069</v>
      </c>
    </row>
    <row r="498" spans="1:28" x14ac:dyDescent="0.25">
      <c r="A498" t="s">
        <v>1725</v>
      </c>
      <c r="B498" s="20">
        <v>45731</v>
      </c>
      <c r="C498" t="s">
        <v>1726</v>
      </c>
      <c r="D498" t="s">
        <v>565</v>
      </c>
      <c r="E498" t="s">
        <v>727</v>
      </c>
      <c r="F498" t="s">
        <v>532</v>
      </c>
      <c r="G498">
        <v>3</v>
      </c>
      <c r="H498" s="21">
        <v>1806.61</v>
      </c>
      <c r="I498">
        <v>0</v>
      </c>
      <c r="J498" s="21">
        <v>0</v>
      </c>
      <c r="K498">
        <v>12</v>
      </c>
      <c r="L498" s="21">
        <v>650.38</v>
      </c>
      <c r="M498" s="21">
        <v>6070.21</v>
      </c>
      <c r="N498" s="21">
        <v>3508.38</v>
      </c>
      <c r="O498" s="21">
        <v>1911.45</v>
      </c>
      <c r="P498" t="s">
        <v>121</v>
      </c>
      <c r="Q498" t="s">
        <v>120</v>
      </c>
      <c r="R498" t="s">
        <v>151</v>
      </c>
      <c r="S498" t="s">
        <v>264</v>
      </c>
      <c r="T498" t="s">
        <v>161</v>
      </c>
      <c r="U498" t="s">
        <v>154</v>
      </c>
      <c r="V498" t="str">
        <f>IFERROR(INDEX(Products!$C:$C,MATCH(D498,Products!$A:$A,0)),"Unknown")</f>
        <v>Winter Wear</v>
      </c>
      <c r="W498" t="str">
        <f>IFERROR(INDEX(Products!$E:$E,MATCH(D498,Products!$A:$A,0)),"Unknown")</f>
        <v>Numero Uno</v>
      </c>
      <c r="X498" t="str">
        <f>IFERROR(INDEX(Stores!$B:$B,MATCH(E498,Stores!$A:$A,0)),"Unknown")</f>
        <v>TrendMart Nizamabad Standard</v>
      </c>
      <c r="Y498" t="str">
        <f>IFERROR(INDEX(Stores!$E:$E,MATCH(E498,Stores!$A:$A,0)),"Unknown")</f>
        <v>South Zone 2</v>
      </c>
      <c r="Z498" t="str">
        <f>IFERROR(INDEX(Customers!$J:$J,MATCH(C498,Customers!$A:$A,0)),"Unknown")</f>
        <v>Silver</v>
      </c>
      <c r="AA498" t="str">
        <f t="shared" si="7"/>
        <v>2025-03</v>
      </c>
      <c r="AB498" t="str">
        <f>IFERROR(INDEX(Products!$I:$I,MATCH(D498,Products!$A:$A,0)),"Unknown")</f>
        <v>SUP026</v>
      </c>
    </row>
    <row r="499" spans="1:28" x14ac:dyDescent="0.25">
      <c r="A499" t="s">
        <v>1727</v>
      </c>
      <c r="B499" s="20">
        <v>45446</v>
      </c>
      <c r="C499" t="s">
        <v>1210</v>
      </c>
      <c r="D499" t="s">
        <v>1111</v>
      </c>
      <c r="E499" t="s">
        <v>343</v>
      </c>
      <c r="F499" t="s">
        <v>150</v>
      </c>
      <c r="G499">
        <v>2</v>
      </c>
      <c r="H499" s="21">
        <v>2223.96</v>
      </c>
      <c r="I499">
        <v>5</v>
      </c>
      <c r="J499" s="21">
        <v>222.4</v>
      </c>
      <c r="K499">
        <v>12</v>
      </c>
      <c r="L499" s="21">
        <v>507.06</v>
      </c>
      <c r="M499" s="21">
        <v>4732.58</v>
      </c>
      <c r="N499" s="21">
        <v>3353.84</v>
      </c>
      <c r="O499" s="21">
        <v>871.68</v>
      </c>
      <c r="P499" t="s">
        <v>121</v>
      </c>
      <c r="Q499" t="s">
        <v>120</v>
      </c>
      <c r="R499" t="s">
        <v>151</v>
      </c>
      <c r="S499" t="s">
        <v>1728</v>
      </c>
      <c r="T499" t="s">
        <v>153</v>
      </c>
      <c r="U499" t="s">
        <v>154</v>
      </c>
      <c r="V499" t="str">
        <f>IFERROR(INDEX(Products!$C:$C,MATCH(D499,Products!$A:$A,0)),"Unknown")</f>
        <v>Men Ethnic</v>
      </c>
      <c r="W499" t="str">
        <f>IFERROR(INDEX(Products!$E:$E,MATCH(D499,Products!$A:$A,0)),"Unknown")</f>
        <v>Raymond</v>
      </c>
      <c r="X499" t="str">
        <f>IFERROR(INDEX(Stores!$B:$B,MATCH(E499,Stores!$A:$A,0)),"Unknown")</f>
        <v>TrendMart Tumakuru Outlet</v>
      </c>
      <c r="Y499" t="str">
        <f>IFERROR(INDEX(Stores!$E:$E,MATCH(E499,Stores!$A:$A,0)),"Unknown")</f>
        <v>South Zone 2</v>
      </c>
      <c r="Z499" t="str">
        <f>IFERROR(INDEX(Customers!$J:$J,MATCH(C499,Customers!$A:$A,0)),"Unknown")</f>
        <v>Gold</v>
      </c>
      <c r="AA499" t="str">
        <f t="shared" si="7"/>
        <v>2024-06</v>
      </c>
      <c r="AB499" t="str">
        <f>IFERROR(INDEX(Products!$I:$I,MATCH(D499,Products!$A:$A,0)),"Unknown")</f>
        <v>SUP018</v>
      </c>
    </row>
    <row r="500" spans="1:28" x14ac:dyDescent="0.25">
      <c r="A500" t="s">
        <v>1729</v>
      </c>
      <c r="B500" s="20">
        <v>45393</v>
      </c>
      <c r="C500" t="s">
        <v>1263</v>
      </c>
      <c r="D500" t="s">
        <v>251</v>
      </c>
      <c r="E500" t="s">
        <v>296</v>
      </c>
      <c r="F500" t="s">
        <v>532</v>
      </c>
      <c r="G500">
        <v>2</v>
      </c>
      <c r="H500" s="21">
        <v>754.14</v>
      </c>
      <c r="I500">
        <v>5</v>
      </c>
      <c r="J500" s="21">
        <v>75.41</v>
      </c>
      <c r="K500">
        <v>5</v>
      </c>
      <c r="L500" s="21">
        <v>71.64</v>
      </c>
      <c r="M500" s="21">
        <v>1504.51</v>
      </c>
      <c r="N500" s="21">
        <v>1069.6199999999999</v>
      </c>
      <c r="O500" s="21">
        <v>363.25</v>
      </c>
      <c r="P500" t="s">
        <v>121</v>
      </c>
      <c r="Q500" t="s">
        <v>120</v>
      </c>
      <c r="R500" t="s">
        <v>151</v>
      </c>
      <c r="S500" t="s">
        <v>1730</v>
      </c>
      <c r="T500" t="s">
        <v>153</v>
      </c>
      <c r="U500" t="s">
        <v>154</v>
      </c>
      <c r="V500" t="str">
        <f>IFERROR(INDEX(Products!$C:$C,MATCH(D500,Products!$A:$A,0)),"Unknown")</f>
        <v>Women Tops</v>
      </c>
      <c r="W500" t="str">
        <f>IFERROR(INDEX(Products!$E:$E,MATCH(D500,Products!$A:$A,0)),"Unknown")</f>
        <v>US Polo Assn</v>
      </c>
      <c r="X500" t="str">
        <f>IFERROR(INDEX(Stores!$B:$B,MATCH(E500,Stores!$A:$A,0)),"Unknown")</f>
        <v>TrendMart Kurnool Outlet</v>
      </c>
      <c r="Y500" t="str">
        <f>IFERROR(INDEX(Stores!$E:$E,MATCH(E500,Stores!$A:$A,0)),"Unknown")</f>
        <v>South Zone 3</v>
      </c>
      <c r="Z500" t="str">
        <f>IFERROR(INDEX(Customers!$J:$J,MATCH(C500,Customers!$A:$A,0)),"Unknown")</f>
        <v>Silver</v>
      </c>
      <c r="AA500" t="str">
        <f t="shared" si="7"/>
        <v>2024-04</v>
      </c>
      <c r="AB500" t="str">
        <f>IFERROR(INDEX(Products!$I:$I,MATCH(D500,Products!$A:$A,0)),"Unknown")</f>
        <v>SUP039</v>
      </c>
    </row>
    <row r="501" spans="1:28" x14ac:dyDescent="0.25">
      <c r="A501" t="s">
        <v>1731</v>
      </c>
      <c r="B501" s="20">
        <v>45567</v>
      </c>
      <c r="C501" t="s">
        <v>1732</v>
      </c>
      <c r="D501" t="s">
        <v>1101</v>
      </c>
      <c r="E501" t="s">
        <v>86</v>
      </c>
      <c r="F501" t="s">
        <v>182</v>
      </c>
      <c r="G501">
        <v>3</v>
      </c>
      <c r="H501" s="21">
        <v>848.09</v>
      </c>
      <c r="I501">
        <v>5</v>
      </c>
      <c r="J501" s="21">
        <v>127.21</v>
      </c>
      <c r="K501">
        <v>5</v>
      </c>
      <c r="L501" s="21">
        <v>120.85</v>
      </c>
      <c r="M501" s="21">
        <v>2537.91</v>
      </c>
      <c r="N501" s="21">
        <v>1696.35</v>
      </c>
      <c r="O501" s="21">
        <v>720.71</v>
      </c>
      <c r="P501" t="s">
        <v>124</v>
      </c>
      <c r="Q501" t="s">
        <v>122</v>
      </c>
      <c r="R501" t="s">
        <v>151</v>
      </c>
      <c r="S501" t="s">
        <v>1733</v>
      </c>
      <c r="T501" t="s">
        <v>153</v>
      </c>
      <c r="U501" t="s">
        <v>154</v>
      </c>
      <c r="V501" t="str">
        <f>IFERROR(INDEX(Products!$C:$C,MATCH(D501,Products!$A:$A,0)),"Unknown")</f>
        <v>Kids Wear</v>
      </c>
      <c r="W501" t="str">
        <f>IFERROR(INDEX(Products!$E:$E,MATCH(D501,Products!$A:$A,0)),"Unknown")</f>
        <v>Woodland</v>
      </c>
      <c r="X501" t="str">
        <f>IFERROR(INDEX(Stores!$B:$B,MATCH(E501,Stores!$A:$A,0)),"Unknown")</f>
        <v>TrendMart Warangal High Street</v>
      </c>
      <c r="Y501" t="str">
        <f>IFERROR(INDEX(Stores!$E:$E,MATCH(E501,Stores!$A:$A,0)),"Unknown")</f>
        <v>South Zone 2</v>
      </c>
      <c r="Z501" t="str">
        <f>IFERROR(INDEX(Customers!$J:$J,MATCH(C501,Customers!$A:$A,0)),"Unknown")</f>
        <v>Regular</v>
      </c>
      <c r="AA501" t="str">
        <f t="shared" si="7"/>
        <v>2024-10</v>
      </c>
      <c r="AB501" t="str">
        <f>IFERROR(INDEX(Products!$I:$I,MATCH(D501,Products!$A:$A,0)),"Unknown")</f>
        <v>SUP010</v>
      </c>
    </row>
    <row r="502" spans="1:28" x14ac:dyDescent="0.25">
      <c r="A502" t="s">
        <v>1734</v>
      </c>
      <c r="B502" s="20">
        <v>45681</v>
      </c>
      <c r="C502" t="s">
        <v>250</v>
      </c>
      <c r="D502" t="s">
        <v>888</v>
      </c>
      <c r="E502" t="s">
        <v>741</v>
      </c>
      <c r="F502" t="s">
        <v>281</v>
      </c>
      <c r="G502">
        <v>2</v>
      </c>
      <c r="H502" s="21">
        <v>6089.84</v>
      </c>
      <c r="I502">
        <v>15</v>
      </c>
      <c r="J502" s="21">
        <v>1826.95</v>
      </c>
      <c r="K502">
        <v>3</v>
      </c>
      <c r="L502" s="21">
        <v>310.58</v>
      </c>
      <c r="M502" s="21">
        <v>10663.31</v>
      </c>
      <c r="N502" s="21">
        <v>9525.52</v>
      </c>
      <c r="O502" s="21">
        <v>827.21</v>
      </c>
      <c r="P502" t="s">
        <v>121</v>
      </c>
      <c r="Q502" t="s">
        <v>120</v>
      </c>
      <c r="R502" t="s">
        <v>151</v>
      </c>
      <c r="S502" t="s">
        <v>1735</v>
      </c>
      <c r="T502" t="s">
        <v>153</v>
      </c>
      <c r="U502" t="s">
        <v>154</v>
      </c>
      <c r="V502" t="str">
        <f>IFERROR(INDEX(Products!$C:$C,MATCH(D502,Products!$A:$A,0)),"Unknown")</f>
        <v>Jewellery</v>
      </c>
      <c r="W502" t="str">
        <f>IFERROR(INDEX(Products!$E:$E,MATCH(D502,Products!$A:$A,0)),"Unknown")</f>
        <v>Aurelia</v>
      </c>
      <c r="X502" t="str">
        <f>IFERROR(INDEX(Stores!$B:$B,MATCH(E502,Stores!$A:$A,0)),"Unknown")</f>
        <v>TrendMart Nellore Mall Kiosk</v>
      </c>
      <c r="Y502" t="str">
        <f>IFERROR(INDEX(Stores!$E:$E,MATCH(E502,Stores!$A:$A,0)),"Unknown")</f>
        <v>South Zone 3</v>
      </c>
      <c r="Z502" t="str">
        <f>IFERROR(INDEX(Customers!$J:$J,MATCH(C502,Customers!$A:$A,0)),"Unknown")</f>
        <v>Regular</v>
      </c>
      <c r="AA502" t="str">
        <f t="shared" si="7"/>
        <v>2025-01</v>
      </c>
      <c r="AB502" t="str">
        <f>IFERROR(INDEX(Products!$I:$I,MATCH(D502,Products!$A:$A,0)),"Unknown")</f>
        <v>SUP038</v>
      </c>
    </row>
    <row r="503" spans="1:28" x14ac:dyDescent="0.25">
      <c r="A503" t="s">
        <v>1736</v>
      </c>
      <c r="B503" s="20">
        <v>45563</v>
      </c>
      <c r="C503" t="s">
        <v>696</v>
      </c>
      <c r="D503" t="s">
        <v>317</v>
      </c>
      <c r="E503" t="s">
        <v>1522</v>
      </c>
      <c r="F503" t="s">
        <v>253</v>
      </c>
      <c r="G503">
        <v>2</v>
      </c>
      <c r="H503" s="21">
        <v>2197.96</v>
      </c>
      <c r="I503">
        <v>15</v>
      </c>
      <c r="J503" s="21">
        <v>659.39</v>
      </c>
      <c r="K503">
        <v>12</v>
      </c>
      <c r="L503" s="21">
        <v>448.38</v>
      </c>
      <c r="M503" s="21">
        <v>4184.91</v>
      </c>
      <c r="N503" s="21">
        <v>2923.46</v>
      </c>
      <c r="O503" s="21">
        <v>813.07</v>
      </c>
      <c r="P503" t="s">
        <v>123</v>
      </c>
      <c r="Q503" t="s">
        <v>122</v>
      </c>
      <c r="R503" t="s">
        <v>151</v>
      </c>
      <c r="S503" t="s">
        <v>1737</v>
      </c>
      <c r="T503" t="s">
        <v>161</v>
      </c>
      <c r="U503" t="s">
        <v>154</v>
      </c>
      <c r="V503" t="str">
        <f>IFERROR(INDEX(Products!$C:$C,MATCH(D503,Products!$A:$A,0)),"Unknown")</f>
        <v>Handbags</v>
      </c>
      <c r="W503" t="str">
        <f>IFERROR(INDEX(Products!$E:$E,MATCH(D503,Products!$A:$A,0)),"Unknown")</f>
        <v>Titan</v>
      </c>
      <c r="X503" t="str">
        <f>IFERROR(INDEX(Stores!$B:$B,MATCH(E503,Stores!$A:$A,0)),"Unknown")</f>
        <v>TrendMart Guntur High Street</v>
      </c>
      <c r="Y503" t="str">
        <f>IFERROR(INDEX(Stores!$E:$E,MATCH(E503,Stores!$A:$A,0)),"Unknown")</f>
        <v>South Zone 3</v>
      </c>
      <c r="Z503" t="str">
        <f>IFERROR(INDEX(Customers!$J:$J,MATCH(C503,Customers!$A:$A,0)),"Unknown")</f>
        <v>Silver</v>
      </c>
      <c r="AA503" t="str">
        <f t="shared" si="7"/>
        <v>2024-09</v>
      </c>
      <c r="AB503" t="str">
        <f>IFERROR(INDEX(Products!$I:$I,MATCH(D503,Products!$A:$A,0)),"Unknown")</f>
        <v>SUP027</v>
      </c>
    </row>
    <row r="504" spans="1:28" x14ac:dyDescent="0.25">
      <c r="A504" t="s">
        <v>1738</v>
      </c>
      <c r="B504" s="20">
        <v>45489</v>
      </c>
      <c r="C504" t="s">
        <v>1739</v>
      </c>
      <c r="D504" t="s">
        <v>401</v>
      </c>
      <c r="E504" t="s">
        <v>525</v>
      </c>
      <c r="F504" t="s">
        <v>292</v>
      </c>
      <c r="G504">
        <v>1</v>
      </c>
      <c r="H504" s="21">
        <v>1160.6099999999999</v>
      </c>
      <c r="I504">
        <v>25</v>
      </c>
      <c r="J504" s="21">
        <v>290.14999999999998</v>
      </c>
      <c r="K504">
        <v>12</v>
      </c>
      <c r="L504" s="21">
        <v>104.46</v>
      </c>
      <c r="M504" s="21">
        <v>974.92</v>
      </c>
      <c r="N504" s="21">
        <v>767.83</v>
      </c>
      <c r="O504" s="21">
        <v>102.63</v>
      </c>
      <c r="P504" t="s">
        <v>121</v>
      </c>
      <c r="Q504" t="s">
        <v>120</v>
      </c>
      <c r="R504" t="s">
        <v>151</v>
      </c>
      <c r="S504" t="s">
        <v>1740</v>
      </c>
      <c r="T504" t="s">
        <v>153</v>
      </c>
      <c r="U504" t="s">
        <v>154</v>
      </c>
      <c r="V504" t="str">
        <f>IFERROR(INDEX(Products!$C:$C,MATCH(D504,Products!$A:$A,0)),"Unknown")</f>
        <v>Women Jeans</v>
      </c>
      <c r="W504" t="str">
        <f>IFERROR(INDEX(Products!$E:$E,MATCH(D504,Products!$A:$A,0)),"Unknown")</f>
        <v>Being Human</v>
      </c>
      <c r="X504" t="str">
        <f>IFERROR(INDEX(Stores!$B:$B,MATCH(E504,Stores!$A:$A,0)),"Unknown")</f>
        <v>TrendMart Kollam Standard</v>
      </c>
      <c r="Y504" t="str">
        <f>IFERROR(INDEX(Stores!$E:$E,MATCH(E504,Stores!$A:$A,0)),"Unknown")</f>
        <v>South Zone 1</v>
      </c>
      <c r="Z504" t="str">
        <f>IFERROR(INDEX(Customers!$J:$J,MATCH(C504,Customers!$A:$A,0)),"Unknown")</f>
        <v>Silver</v>
      </c>
      <c r="AA504" t="str">
        <f t="shared" si="7"/>
        <v>2024-07</v>
      </c>
      <c r="AB504" t="str">
        <f>IFERROR(INDEX(Products!$I:$I,MATCH(D504,Products!$A:$A,0)),"Unknown")</f>
        <v>SUP013</v>
      </c>
    </row>
    <row r="505" spans="1:28" x14ac:dyDescent="0.25">
      <c r="A505" t="s">
        <v>1741</v>
      </c>
      <c r="B505" s="20">
        <v>45582</v>
      </c>
      <c r="C505" t="s">
        <v>1742</v>
      </c>
      <c r="D505" t="s">
        <v>455</v>
      </c>
      <c r="E505" t="s">
        <v>999</v>
      </c>
      <c r="F505" t="s">
        <v>579</v>
      </c>
      <c r="G505">
        <v>1</v>
      </c>
      <c r="H505" s="21">
        <v>5308.24</v>
      </c>
      <c r="I505">
        <v>5</v>
      </c>
      <c r="J505" s="21">
        <v>265.41000000000003</v>
      </c>
      <c r="K505">
        <v>12</v>
      </c>
      <c r="L505" s="21">
        <v>605.14</v>
      </c>
      <c r="M505" s="21">
        <v>5647.97</v>
      </c>
      <c r="N505" s="21">
        <v>3748.71</v>
      </c>
      <c r="O505" s="21">
        <v>1294.1199999999999</v>
      </c>
      <c r="P505" t="s">
        <v>124</v>
      </c>
      <c r="Q505" t="s">
        <v>120</v>
      </c>
      <c r="R505" t="s">
        <v>151</v>
      </c>
      <c r="S505" t="s">
        <v>1743</v>
      </c>
      <c r="T505" t="s">
        <v>153</v>
      </c>
      <c r="U505" t="s">
        <v>154</v>
      </c>
      <c r="V505" t="str">
        <f>IFERROR(INDEX(Products!$C:$C,MATCH(D505,Products!$A:$A,0)),"Unknown")</f>
        <v>Watches</v>
      </c>
      <c r="W505" t="str">
        <f>IFERROR(INDEX(Products!$E:$E,MATCH(D505,Products!$A:$A,0)),"Unknown")</f>
        <v>Bata</v>
      </c>
      <c r="X505" t="str">
        <f>IFERROR(INDEX(Stores!$B:$B,MATCH(E505,Stores!$A:$A,0)),"Unknown")</f>
        <v>TrendMart Tumakuru Standard</v>
      </c>
      <c r="Y505" t="str">
        <f>IFERROR(INDEX(Stores!$E:$E,MATCH(E505,Stores!$A:$A,0)),"Unknown")</f>
        <v>South Zone 2</v>
      </c>
      <c r="Z505" t="str">
        <f>IFERROR(INDEX(Customers!$J:$J,MATCH(C505,Customers!$A:$A,0)),"Unknown")</f>
        <v>Silver</v>
      </c>
      <c r="AA505" t="str">
        <f t="shared" si="7"/>
        <v>2024-10</v>
      </c>
      <c r="AB505" t="str">
        <f>IFERROR(INDEX(Products!$I:$I,MATCH(D505,Products!$A:$A,0)),"Unknown")</f>
        <v>SUP051</v>
      </c>
    </row>
    <row r="506" spans="1:28" x14ac:dyDescent="0.25">
      <c r="A506" t="s">
        <v>1744</v>
      </c>
      <c r="B506" s="20">
        <v>45539</v>
      </c>
      <c r="C506" t="s">
        <v>1277</v>
      </c>
      <c r="D506" t="s">
        <v>257</v>
      </c>
      <c r="E506" t="s">
        <v>634</v>
      </c>
      <c r="F506" t="s">
        <v>269</v>
      </c>
      <c r="G506">
        <v>1</v>
      </c>
      <c r="H506" s="21">
        <v>936.88</v>
      </c>
      <c r="I506">
        <v>20</v>
      </c>
      <c r="J506" s="21">
        <v>187.38</v>
      </c>
      <c r="K506">
        <v>5</v>
      </c>
      <c r="L506" s="21">
        <v>37.479999999999997</v>
      </c>
      <c r="M506" s="21">
        <v>786.98</v>
      </c>
      <c r="N506" s="21">
        <v>721.22</v>
      </c>
      <c r="O506" s="21">
        <v>28.28</v>
      </c>
      <c r="P506" t="s">
        <v>124</v>
      </c>
      <c r="Q506" t="s">
        <v>120</v>
      </c>
      <c r="R506" t="s">
        <v>313</v>
      </c>
      <c r="S506" t="s">
        <v>764</v>
      </c>
      <c r="T506" t="s">
        <v>153</v>
      </c>
      <c r="U506" t="s">
        <v>154</v>
      </c>
      <c r="V506" t="str">
        <f>IFERROR(INDEX(Products!$C:$C,MATCH(D506,Products!$A:$A,0)),"Unknown")</f>
        <v>Men Shirts</v>
      </c>
      <c r="W506" t="str">
        <f>IFERROR(INDEX(Products!$E:$E,MATCH(D506,Products!$A:$A,0)),"Unknown")</f>
        <v>Indian Terrain</v>
      </c>
      <c r="X506" t="str">
        <f>IFERROR(INDEX(Stores!$B:$B,MATCH(E506,Stores!$A:$A,0)),"Unknown")</f>
        <v>TrendMart Thrissur High Street</v>
      </c>
      <c r="Y506" t="str">
        <f>IFERROR(INDEX(Stores!$E:$E,MATCH(E506,Stores!$A:$A,0)),"Unknown")</f>
        <v>South Zone 1</v>
      </c>
      <c r="Z506" t="str">
        <f>IFERROR(INDEX(Customers!$J:$J,MATCH(C506,Customers!$A:$A,0)),"Unknown")</f>
        <v>Regular</v>
      </c>
      <c r="AA506" t="str">
        <f t="shared" si="7"/>
        <v>2024-09</v>
      </c>
      <c r="AB506" t="str">
        <f>IFERROR(INDEX(Products!$I:$I,MATCH(D506,Products!$A:$A,0)),"Unknown")</f>
        <v>SUP080</v>
      </c>
    </row>
    <row r="507" spans="1:28" x14ac:dyDescent="0.25">
      <c r="A507" t="s">
        <v>1745</v>
      </c>
      <c r="B507" s="20">
        <v>45729</v>
      </c>
      <c r="C507" t="s">
        <v>1183</v>
      </c>
      <c r="D507" t="s">
        <v>629</v>
      </c>
      <c r="E507" t="s">
        <v>87</v>
      </c>
      <c r="F507" t="s">
        <v>258</v>
      </c>
      <c r="G507">
        <v>2</v>
      </c>
      <c r="H507" s="21">
        <v>6722.45</v>
      </c>
      <c r="I507">
        <v>0</v>
      </c>
      <c r="J507" s="21">
        <v>0</v>
      </c>
      <c r="K507">
        <v>3</v>
      </c>
      <c r="L507" s="21">
        <v>403.35</v>
      </c>
      <c r="M507" s="21">
        <v>13848.25</v>
      </c>
      <c r="N507" s="21">
        <v>9734.42</v>
      </c>
      <c r="O507" s="21">
        <v>3710.48</v>
      </c>
      <c r="P507" t="s">
        <v>124</v>
      </c>
      <c r="Q507" t="s">
        <v>120</v>
      </c>
      <c r="R507" t="s">
        <v>151</v>
      </c>
      <c r="S507" t="s">
        <v>966</v>
      </c>
      <c r="T507" t="s">
        <v>153</v>
      </c>
      <c r="U507" t="s">
        <v>154</v>
      </c>
      <c r="V507" t="str">
        <f>IFERROR(INDEX(Products!$C:$C,MATCH(D507,Products!$A:$A,0)),"Unknown")</f>
        <v>Jewellery</v>
      </c>
      <c r="W507" t="str">
        <f>IFERROR(INDEX(Products!$E:$E,MATCH(D507,Products!$A:$A,0)),"Unknown")</f>
        <v>Global Desi</v>
      </c>
      <c r="X507" t="str">
        <f>IFERROR(INDEX(Stores!$B:$B,MATCH(E507,Stores!$A:$A,0)),"Unknown")</f>
        <v>TrendMart Thiruvananthapuram Standard</v>
      </c>
      <c r="Y507" t="str">
        <f>IFERROR(INDEX(Stores!$E:$E,MATCH(E507,Stores!$A:$A,0)),"Unknown")</f>
        <v>South Zone 1</v>
      </c>
      <c r="Z507" t="str">
        <f>IFERROR(INDEX(Customers!$J:$J,MATCH(C507,Customers!$A:$A,0)),"Unknown")</f>
        <v>Silver</v>
      </c>
      <c r="AA507" t="str">
        <f t="shared" si="7"/>
        <v>2025-03</v>
      </c>
      <c r="AB507" t="str">
        <f>IFERROR(INDEX(Products!$I:$I,MATCH(D507,Products!$A:$A,0)),"Unknown")</f>
        <v>SUP066</v>
      </c>
    </row>
    <row r="508" spans="1:28" x14ac:dyDescent="0.25">
      <c r="A508" t="s">
        <v>1746</v>
      </c>
      <c r="B508" s="20">
        <v>45516</v>
      </c>
      <c r="C508" t="s">
        <v>1747</v>
      </c>
      <c r="D508" t="s">
        <v>433</v>
      </c>
      <c r="E508" t="s">
        <v>1068</v>
      </c>
      <c r="F508" t="s">
        <v>232</v>
      </c>
      <c r="G508">
        <v>2</v>
      </c>
      <c r="H508" s="21">
        <v>887.65</v>
      </c>
      <c r="I508">
        <v>10</v>
      </c>
      <c r="J508" s="21">
        <v>177.53</v>
      </c>
      <c r="K508">
        <v>5</v>
      </c>
      <c r="L508" s="21">
        <v>79.89</v>
      </c>
      <c r="M508" s="21">
        <v>1677.66</v>
      </c>
      <c r="N508" s="21">
        <v>1146.18</v>
      </c>
      <c r="O508" s="21">
        <v>451.59</v>
      </c>
      <c r="P508" t="s">
        <v>125</v>
      </c>
      <c r="Q508" t="s">
        <v>120</v>
      </c>
      <c r="R508" t="s">
        <v>151</v>
      </c>
      <c r="S508" t="s">
        <v>233</v>
      </c>
      <c r="T508" t="s">
        <v>153</v>
      </c>
      <c r="U508" t="s">
        <v>154</v>
      </c>
      <c r="V508" t="str">
        <f>IFERROR(INDEX(Products!$C:$C,MATCH(D508,Products!$A:$A,0)),"Unknown")</f>
        <v>Women Kurtis</v>
      </c>
      <c r="W508" t="str">
        <f>IFERROR(INDEX(Products!$E:$E,MATCH(D508,Products!$A:$A,0)),"Unknown")</f>
        <v>Nike</v>
      </c>
      <c r="X508" t="str">
        <f>IFERROR(INDEX(Stores!$B:$B,MATCH(E508,Stores!$A:$A,0)),"Unknown")</f>
        <v>TrendMart Tumakuru High Street</v>
      </c>
      <c r="Y508" t="str">
        <f>IFERROR(INDEX(Stores!$E:$E,MATCH(E508,Stores!$A:$A,0)),"Unknown")</f>
        <v>South Zone 2</v>
      </c>
      <c r="Z508" t="str">
        <f>IFERROR(INDEX(Customers!$J:$J,MATCH(C508,Customers!$A:$A,0)),"Unknown")</f>
        <v>Regular</v>
      </c>
      <c r="AA508" t="str">
        <f t="shared" si="7"/>
        <v>2024-08</v>
      </c>
      <c r="AB508" t="str">
        <f>IFERROR(INDEX(Products!$I:$I,MATCH(D508,Products!$A:$A,0)),"Unknown")</f>
        <v>SUP012</v>
      </c>
    </row>
    <row r="509" spans="1:28" x14ac:dyDescent="0.25">
      <c r="A509" t="s">
        <v>1748</v>
      </c>
      <c r="B509" s="20">
        <v>45588</v>
      </c>
      <c r="C509" t="s">
        <v>688</v>
      </c>
      <c r="D509" t="s">
        <v>1749</v>
      </c>
      <c r="E509" t="s">
        <v>1002</v>
      </c>
      <c r="F509" t="s">
        <v>403</v>
      </c>
      <c r="G509">
        <v>1</v>
      </c>
      <c r="H509" s="21">
        <v>1274.06</v>
      </c>
      <c r="I509">
        <v>0</v>
      </c>
      <c r="J509" s="21">
        <v>0</v>
      </c>
      <c r="K509">
        <v>12</v>
      </c>
      <c r="L509" s="21">
        <v>152.88999999999999</v>
      </c>
      <c r="M509" s="21">
        <v>1426.95</v>
      </c>
      <c r="N509" s="21">
        <v>893.89</v>
      </c>
      <c r="O509" s="21">
        <v>380.17</v>
      </c>
      <c r="P509" t="s">
        <v>121</v>
      </c>
      <c r="Q509" t="s">
        <v>120</v>
      </c>
      <c r="R509" t="s">
        <v>151</v>
      </c>
      <c r="S509" t="s">
        <v>1750</v>
      </c>
      <c r="T509" t="s">
        <v>153</v>
      </c>
      <c r="U509" t="s">
        <v>154</v>
      </c>
      <c r="V509" t="str">
        <f>IFERROR(INDEX(Products!$C:$C,MATCH(D509,Products!$A:$A,0)),"Unknown")</f>
        <v>Sportswear</v>
      </c>
      <c r="W509" t="str">
        <f>IFERROR(INDEX(Products!$E:$E,MATCH(D509,Products!$A:$A,0)),"Unknown")</f>
        <v>Pantaloons</v>
      </c>
      <c r="X509" t="str">
        <f>IFERROR(INDEX(Stores!$B:$B,MATCH(E509,Stores!$A:$A,0)),"Unknown")</f>
        <v>TrendMart Coimbatore Mall Kiosk</v>
      </c>
      <c r="Y509" t="str">
        <f>IFERROR(INDEX(Stores!$E:$E,MATCH(E509,Stores!$A:$A,0)),"Unknown")</f>
        <v>South Zone 1</v>
      </c>
      <c r="Z509" t="str">
        <f>IFERROR(INDEX(Customers!$J:$J,MATCH(C509,Customers!$A:$A,0)),"Unknown")</f>
        <v>Gold</v>
      </c>
      <c r="AA509" t="str">
        <f t="shared" si="7"/>
        <v>2024-10</v>
      </c>
      <c r="AB509" t="str">
        <f>IFERROR(INDEX(Products!$I:$I,MATCH(D509,Products!$A:$A,0)),"Unknown")</f>
        <v>SUP076</v>
      </c>
    </row>
    <row r="510" spans="1:28" x14ac:dyDescent="0.25">
      <c r="A510" t="s">
        <v>1751</v>
      </c>
      <c r="B510" s="20">
        <v>45735</v>
      </c>
      <c r="C510" t="s">
        <v>1752</v>
      </c>
      <c r="D510" t="s">
        <v>717</v>
      </c>
      <c r="E510" t="s">
        <v>194</v>
      </c>
      <c r="F510" t="s">
        <v>281</v>
      </c>
      <c r="G510">
        <v>2</v>
      </c>
      <c r="H510" s="21">
        <v>1675.85</v>
      </c>
      <c r="I510">
        <v>15</v>
      </c>
      <c r="J510" s="21">
        <v>502.75</v>
      </c>
      <c r="K510">
        <v>12</v>
      </c>
      <c r="L510" s="21">
        <v>341.87</v>
      </c>
      <c r="M510" s="21">
        <v>3190.82</v>
      </c>
      <c r="N510" s="21">
        <v>2266.54</v>
      </c>
      <c r="O510" s="21">
        <v>582.41</v>
      </c>
      <c r="P510" t="s">
        <v>121</v>
      </c>
      <c r="Q510" t="s">
        <v>120</v>
      </c>
      <c r="R510" t="s">
        <v>151</v>
      </c>
      <c r="S510" t="s">
        <v>842</v>
      </c>
      <c r="T510" t="s">
        <v>153</v>
      </c>
      <c r="U510" t="s">
        <v>154</v>
      </c>
      <c r="V510" t="str">
        <f>IFERROR(INDEX(Products!$C:$C,MATCH(D510,Products!$A:$A,0)),"Unknown")</f>
        <v>Women Dresses</v>
      </c>
      <c r="W510" t="str">
        <f>IFERROR(INDEX(Products!$E:$E,MATCH(D510,Products!$A:$A,0)),"Unknown")</f>
        <v>Pantaloons</v>
      </c>
      <c r="X510" t="str">
        <f>IFERROR(INDEX(Stores!$B:$B,MATCH(E510,Stores!$A:$A,0)),"Unknown")</f>
        <v>TrendMart Tirupati High Street</v>
      </c>
      <c r="Y510" t="str">
        <f>IFERROR(INDEX(Stores!$E:$E,MATCH(E510,Stores!$A:$A,0)),"Unknown")</f>
        <v>South Zone 3</v>
      </c>
      <c r="Z510" t="str">
        <f>IFERROR(INDEX(Customers!$J:$J,MATCH(C510,Customers!$A:$A,0)),"Unknown")</f>
        <v>Silver</v>
      </c>
      <c r="AA510" t="str">
        <f t="shared" si="7"/>
        <v>2025-03</v>
      </c>
      <c r="AB510" t="str">
        <f>IFERROR(INDEX(Products!$I:$I,MATCH(D510,Products!$A:$A,0)),"Unknown")</f>
        <v>SUP046</v>
      </c>
    </row>
    <row r="511" spans="1:28" x14ac:dyDescent="0.25">
      <c r="A511" t="s">
        <v>1753</v>
      </c>
      <c r="B511" s="20">
        <v>45598</v>
      </c>
      <c r="C511" t="s">
        <v>1754</v>
      </c>
      <c r="D511" t="s">
        <v>861</v>
      </c>
      <c r="E511" t="s">
        <v>456</v>
      </c>
      <c r="F511" t="s">
        <v>532</v>
      </c>
      <c r="G511">
        <v>1</v>
      </c>
      <c r="H511" s="21">
        <v>1693.72</v>
      </c>
      <c r="I511">
        <v>25</v>
      </c>
      <c r="J511" s="21">
        <v>423.43</v>
      </c>
      <c r="K511">
        <v>12</v>
      </c>
      <c r="L511" s="21">
        <v>152.43</v>
      </c>
      <c r="M511" s="21">
        <v>1422.72</v>
      </c>
      <c r="N511" s="21">
        <v>1139.81</v>
      </c>
      <c r="O511" s="21">
        <v>130.47999999999999</v>
      </c>
      <c r="P511" t="s">
        <v>125</v>
      </c>
      <c r="Q511" t="s">
        <v>122</v>
      </c>
      <c r="R511" t="s">
        <v>151</v>
      </c>
      <c r="S511" t="s">
        <v>1755</v>
      </c>
      <c r="T511" t="s">
        <v>161</v>
      </c>
      <c r="U511" t="s">
        <v>154</v>
      </c>
      <c r="V511" t="str">
        <f>IFERROR(INDEX(Products!$C:$C,MATCH(D511,Products!$A:$A,0)),"Unknown")</f>
        <v>Women Jeans</v>
      </c>
      <c r="W511" t="str">
        <f>IFERROR(INDEX(Products!$E:$E,MATCH(D511,Products!$A:$A,0)),"Unknown")</f>
        <v>Spykar</v>
      </c>
      <c r="X511" t="str">
        <f>IFERROR(INDEX(Stores!$B:$B,MATCH(E511,Stores!$A:$A,0)),"Unknown")</f>
        <v>TrendMart Salem Outlet</v>
      </c>
      <c r="Y511" t="str">
        <f>IFERROR(INDEX(Stores!$E:$E,MATCH(E511,Stores!$A:$A,0)),"Unknown")</f>
        <v>South Zone 1</v>
      </c>
      <c r="Z511" t="str">
        <f>IFERROR(INDEX(Customers!$J:$J,MATCH(C511,Customers!$A:$A,0)),"Unknown")</f>
        <v>Silver</v>
      </c>
      <c r="AA511" t="str">
        <f t="shared" si="7"/>
        <v>2024-11</v>
      </c>
      <c r="AB511" t="str">
        <f>IFERROR(INDEX(Products!$I:$I,MATCH(D511,Products!$A:$A,0)),"Unknown")</f>
        <v>SUP088</v>
      </c>
    </row>
    <row r="512" spans="1:28" x14ac:dyDescent="0.25">
      <c r="A512" t="s">
        <v>1756</v>
      </c>
      <c r="B512" s="20">
        <v>45567</v>
      </c>
      <c r="C512" t="s">
        <v>1127</v>
      </c>
      <c r="D512" t="s">
        <v>888</v>
      </c>
      <c r="E512" t="s">
        <v>231</v>
      </c>
      <c r="F512" t="s">
        <v>286</v>
      </c>
      <c r="G512">
        <v>2</v>
      </c>
      <c r="H512" s="21">
        <v>6421.75</v>
      </c>
      <c r="I512">
        <v>25</v>
      </c>
      <c r="J512" s="21">
        <v>3210.88</v>
      </c>
      <c r="K512">
        <v>3</v>
      </c>
      <c r="L512" s="21">
        <v>288.98</v>
      </c>
      <c r="M512" s="21">
        <v>9921.6</v>
      </c>
      <c r="N512" s="21">
        <v>9525.52</v>
      </c>
      <c r="O512" s="21">
        <v>107.1</v>
      </c>
      <c r="P512" t="s">
        <v>121</v>
      </c>
      <c r="Q512" t="s">
        <v>120</v>
      </c>
      <c r="R512" t="s">
        <v>151</v>
      </c>
      <c r="S512" t="s">
        <v>920</v>
      </c>
      <c r="T512" t="s">
        <v>153</v>
      </c>
      <c r="U512" t="s">
        <v>154</v>
      </c>
      <c r="V512" t="str">
        <f>IFERROR(INDEX(Products!$C:$C,MATCH(D512,Products!$A:$A,0)),"Unknown")</f>
        <v>Jewellery</v>
      </c>
      <c r="W512" t="str">
        <f>IFERROR(INDEX(Products!$E:$E,MATCH(D512,Products!$A:$A,0)),"Unknown")</f>
        <v>Aurelia</v>
      </c>
      <c r="X512" t="str">
        <f>IFERROR(INDEX(Stores!$B:$B,MATCH(E512,Stores!$A:$A,0)),"Unknown")</f>
        <v>TrendMart Warangal Outlet</v>
      </c>
      <c r="Y512" t="str">
        <f>IFERROR(INDEX(Stores!$E:$E,MATCH(E512,Stores!$A:$A,0)),"Unknown")</f>
        <v>South Zone 2</v>
      </c>
      <c r="Z512" t="str">
        <f>IFERROR(INDEX(Customers!$J:$J,MATCH(C512,Customers!$A:$A,0)),"Unknown")</f>
        <v>Regular</v>
      </c>
      <c r="AA512" t="str">
        <f t="shared" si="7"/>
        <v>2024-10</v>
      </c>
      <c r="AB512" t="str">
        <f>IFERROR(INDEX(Products!$I:$I,MATCH(D512,Products!$A:$A,0)),"Unknown")</f>
        <v>SUP038</v>
      </c>
    </row>
    <row r="513" spans="1:28" x14ac:dyDescent="0.25">
      <c r="A513" t="s">
        <v>1757</v>
      </c>
      <c r="B513" s="20">
        <v>45576</v>
      </c>
      <c r="C513" t="s">
        <v>1758</v>
      </c>
      <c r="D513" t="s">
        <v>1759</v>
      </c>
      <c r="E513" t="s">
        <v>999</v>
      </c>
      <c r="F513" t="s">
        <v>403</v>
      </c>
      <c r="G513">
        <v>1</v>
      </c>
      <c r="H513" s="21">
        <v>2830.41</v>
      </c>
      <c r="I513">
        <v>10</v>
      </c>
      <c r="J513" s="21">
        <v>283.04000000000002</v>
      </c>
      <c r="K513">
        <v>12</v>
      </c>
      <c r="L513" s="21">
        <v>305.68</v>
      </c>
      <c r="M513" s="21">
        <v>2853.05</v>
      </c>
      <c r="N513" s="21">
        <v>1940.79</v>
      </c>
      <c r="O513" s="21">
        <v>606.58000000000004</v>
      </c>
      <c r="P513" t="s">
        <v>123</v>
      </c>
      <c r="Q513" t="s">
        <v>120</v>
      </c>
      <c r="R513" t="s">
        <v>151</v>
      </c>
      <c r="S513" t="s">
        <v>770</v>
      </c>
      <c r="T513" t="s">
        <v>153</v>
      </c>
      <c r="U513" t="s">
        <v>154</v>
      </c>
      <c r="V513" t="str">
        <f>IFERROR(INDEX(Products!$C:$C,MATCH(D513,Products!$A:$A,0)),"Unknown")</f>
        <v>Winter Wear</v>
      </c>
      <c r="W513" t="str">
        <f>IFERROR(INDEX(Products!$E:$E,MATCH(D513,Products!$A:$A,0)),"Unknown")</f>
        <v>Bata</v>
      </c>
      <c r="X513" t="str">
        <f>IFERROR(INDEX(Stores!$B:$B,MATCH(E513,Stores!$A:$A,0)),"Unknown")</f>
        <v>TrendMart Tumakuru Standard</v>
      </c>
      <c r="Y513" t="str">
        <f>IFERROR(INDEX(Stores!$E:$E,MATCH(E513,Stores!$A:$A,0)),"Unknown")</f>
        <v>South Zone 2</v>
      </c>
      <c r="Z513" t="str">
        <f>IFERROR(INDEX(Customers!$J:$J,MATCH(C513,Customers!$A:$A,0)),"Unknown")</f>
        <v>Silver</v>
      </c>
      <c r="AA513" t="str">
        <f t="shared" si="7"/>
        <v>2024-10</v>
      </c>
      <c r="AB513" t="str">
        <f>IFERROR(INDEX(Products!$I:$I,MATCH(D513,Products!$A:$A,0)),"Unknown")</f>
        <v>SUP028</v>
      </c>
    </row>
    <row r="514" spans="1:28" x14ac:dyDescent="0.25">
      <c r="A514" t="s">
        <v>1760</v>
      </c>
      <c r="B514" s="20">
        <v>45437</v>
      </c>
      <c r="C514" t="s">
        <v>1761</v>
      </c>
      <c r="D514" t="s">
        <v>1504</v>
      </c>
      <c r="E514" t="s">
        <v>100</v>
      </c>
      <c r="F514" t="s">
        <v>232</v>
      </c>
      <c r="G514">
        <v>4</v>
      </c>
      <c r="H514" s="21">
        <v>1792.41</v>
      </c>
      <c r="I514">
        <v>10</v>
      </c>
      <c r="J514" s="21">
        <v>716.96</v>
      </c>
      <c r="K514">
        <v>12</v>
      </c>
      <c r="L514" s="21">
        <v>774.32</v>
      </c>
      <c r="M514" s="21">
        <v>7227</v>
      </c>
      <c r="N514" s="21">
        <v>4578.3599999999997</v>
      </c>
      <c r="O514" s="21">
        <v>1874.32</v>
      </c>
      <c r="P514" t="s">
        <v>124</v>
      </c>
      <c r="Q514" t="s">
        <v>120</v>
      </c>
      <c r="R514" t="s">
        <v>151</v>
      </c>
      <c r="S514" t="s">
        <v>1762</v>
      </c>
      <c r="T514" t="s">
        <v>161</v>
      </c>
      <c r="U514" t="s">
        <v>154</v>
      </c>
      <c r="V514" t="str">
        <f>IFERROR(INDEX(Products!$C:$C,MATCH(D514,Products!$A:$A,0)),"Unknown")</f>
        <v>Women Dresses</v>
      </c>
      <c r="W514" t="str">
        <f>IFERROR(INDEX(Products!$E:$E,MATCH(D514,Products!$A:$A,0)),"Unknown")</f>
        <v>Westside</v>
      </c>
      <c r="X514" t="str">
        <f>IFERROR(INDEX(Stores!$B:$B,MATCH(E514,Stores!$A:$A,0)),"Unknown")</f>
        <v>TrendMart Kurnool Standard</v>
      </c>
      <c r="Y514" t="str">
        <f>IFERROR(INDEX(Stores!$E:$E,MATCH(E514,Stores!$A:$A,0)),"Unknown")</f>
        <v>South Zone 3</v>
      </c>
      <c r="Z514" t="str">
        <f>IFERROR(INDEX(Customers!$J:$J,MATCH(C514,Customers!$A:$A,0)),"Unknown")</f>
        <v>Platinum</v>
      </c>
      <c r="AA514" t="str">
        <f t="shared" ref="AA514:AA577" si="8">TEXT(B514,"YYYY-MM")</f>
        <v>2024-05</v>
      </c>
      <c r="AB514" t="str">
        <f>IFERROR(INDEX(Products!$I:$I,MATCH(D514,Products!$A:$A,0)),"Unknown")</f>
        <v>SUP010</v>
      </c>
    </row>
    <row r="515" spans="1:28" x14ac:dyDescent="0.25">
      <c r="A515" t="s">
        <v>1763</v>
      </c>
      <c r="B515" s="20">
        <v>45646</v>
      </c>
      <c r="C515" t="s">
        <v>1764</v>
      </c>
      <c r="D515" t="s">
        <v>438</v>
      </c>
      <c r="E515" t="s">
        <v>296</v>
      </c>
      <c r="F515" t="s">
        <v>344</v>
      </c>
      <c r="G515">
        <v>2</v>
      </c>
      <c r="H515" s="21">
        <v>1666.6</v>
      </c>
      <c r="I515">
        <v>25</v>
      </c>
      <c r="J515" s="21">
        <v>833.3</v>
      </c>
      <c r="K515">
        <v>12</v>
      </c>
      <c r="L515" s="21">
        <v>299.99</v>
      </c>
      <c r="M515" s="21">
        <v>2799.89</v>
      </c>
      <c r="N515" s="21">
        <v>2248.96</v>
      </c>
      <c r="O515" s="21">
        <v>250.94</v>
      </c>
      <c r="P515" t="s">
        <v>121</v>
      </c>
      <c r="Q515" t="s">
        <v>122</v>
      </c>
      <c r="R515" t="s">
        <v>151</v>
      </c>
      <c r="S515" t="s">
        <v>1544</v>
      </c>
      <c r="T515" t="s">
        <v>153</v>
      </c>
      <c r="U515" t="s">
        <v>154</v>
      </c>
      <c r="V515" t="str">
        <f>IFERROR(INDEX(Products!$C:$C,MATCH(D515,Products!$A:$A,0)),"Unknown")</f>
        <v>Women Jeans</v>
      </c>
      <c r="W515" t="str">
        <f>IFERROR(INDEX(Products!$E:$E,MATCH(D515,Products!$A:$A,0)),"Unknown")</f>
        <v>Ramraj Cotton</v>
      </c>
      <c r="X515" t="str">
        <f>IFERROR(INDEX(Stores!$B:$B,MATCH(E515,Stores!$A:$A,0)),"Unknown")</f>
        <v>TrendMart Kurnool Outlet</v>
      </c>
      <c r="Y515" t="str">
        <f>IFERROR(INDEX(Stores!$E:$E,MATCH(E515,Stores!$A:$A,0)),"Unknown")</f>
        <v>South Zone 3</v>
      </c>
      <c r="Z515" t="str">
        <f>IFERROR(INDEX(Customers!$J:$J,MATCH(C515,Customers!$A:$A,0)),"Unknown")</f>
        <v>Regular</v>
      </c>
      <c r="AA515" t="str">
        <f t="shared" si="8"/>
        <v>2024-12</v>
      </c>
      <c r="AB515" t="str">
        <f>IFERROR(INDEX(Products!$I:$I,MATCH(D515,Products!$A:$A,0)),"Unknown")</f>
        <v>SUP015</v>
      </c>
    </row>
    <row r="516" spans="1:28" x14ac:dyDescent="0.25">
      <c r="A516" t="s">
        <v>1765</v>
      </c>
      <c r="B516" s="20">
        <v>45613</v>
      </c>
      <c r="C516" t="s">
        <v>1766</v>
      </c>
      <c r="D516" t="s">
        <v>1088</v>
      </c>
      <c r="E516" t="s">
        <v>90</v>
      </c>
      <c r="F516" t="s">
        <v>335</v>
      </c>
      <c r="G516">
        <v>2</v>
      </c>
      <c r="H516" s="21">
        <v>891.23</v>
      </c>
      <c r="I516">
        <v>15</v>
      </c>
      <c r="J516" s="21">
        <v>267.37</v>
      </c>
      <c r="K516">
        <v>5</v>
      </c>
      <c r="L516" s="21">
        <v>75.75</v>
      </c>
      <c r="M516" s="21">
        <v>1590.84</v>
      </c>
      <c r="N516" s="21">
        <v>1198.56</v>
      </c>
      <c r="O516" s="21">
        <v>316.52999999999997</v>
      </c>
      <c r="P516" t="s">
        <v>124</v>
      </c>
      <c r="Q516" t="s">
        <v>120</v>
      </c>
      <c r="R516" t="s">
        <v>151</v>
      </c>
      <c r="S516" t="s">
        <v>546</v>
      </c>
      <c r="T516" t="s">
        <v>161</v>
      </c>
      <c r="U516" t="s">
        <v>154</v>
      </c>
      <c r="V516" t="str">
        <f>IFERROR(INDEX(Products!$C:$C,MATCH(D516,Products!$A:$A,0)),"Unknown")</f>
        <v>Women Kurtis</v>
      </c>
      <c r="W516" t="str">
        <f>IFERROR(INDEX(Products!$E:$E,MATCH(D516,Products!$A:$A,0)),"Unknown")</f>
        <v>Metro Shoes</v>
      </c>
      <c r="X516" t="str">
        <f>IFERROR(INDEX(Stores!$B:$B,MATCH(E516,Stores!$A:$A,0)),"Unknown")</f>
        <v>TrendMart Thoothukudi Mall Kiosk</v>
      </c>
      <c r="Y516" t="str">
        <f>IFERROR(INDEX(Stores!$E:$E,MATCH(E516,Stores!$A:$A,0)),"Unknown")</f>
        <v>South Zone 1</v>
      </c>
      <c r="Z516" t="str">
        <f>IFERROR(INDEX(Customers!$J:$J,MATCH(C516,Customers!$A:$A,0)),"Unknown")</f>
        <v>Gold</v>
      </c>
      <c r="AA516" t="str">
        <f t="shared" si="8"/>
        <v>2024-11</v>
      </c>
      <c r="AB516" t="str">
        <f>IFERROR(INDEX(Products!$I:$I,MATCH(D516,Products!$A:$A,0)),"Unknown")</f>
        <v>SUP045</v>
      </c>
    </row>
    <row r="517" spans="1:28" x14ac:dyDescent="0.25">
      <c r="A517" t="s">
        <v>1767</v>
      </c>
      <c r="B517" s="20">
        <v>45572</v>
      </c>
      <c r="C517" t="s">
        <v>1629</v>
      </c>
      <c r="D517" t="s">
        <v>494</v>
      </c>
      <c r="E517" t="s">
        <v>461</v>
      </c>
      <c r="F517" t="s">
        <v>211</v>
      </c>
      <c r="G517">
        <v>3</v>
      </c>
      <c r="H517" s="21">
        <v>1607.59</v>
      </c>
      <c r="I517">
        <v>0</v>
      </c>
      <c r="J517" s="21">
        <v>0</v>
      </c>
      <c r="K517">
        <v>12</v>
      </c>
      <c r="L517" s="21">
        <v>578.73</v>
      </c>
      <c r="M517" s="21">
        <v>5401.5</v>
      </c>
      <c r="N517" s="21">
        <v>3422.7</v>
      </c>
      <c r="O517" s="21">
        <v>1400.07</v>
      </c>
      <c r="P517" t="s">
        <v>121</v>
      </c>
      <c r="Q517" t="s">
        <v>120</v>
      </c>
      <c r="R517" t="s">
        <v>151</v>
      </c>
      <c r="S517" t="s">
        <v>1293</v>
      </c>
      <c r="T517" t="s">
        <v>153</v>
      </c>
      <c r="U517" t="s">
        <v>154</v>
      </c>
      <c r="V517" t="str">
        <f>IFERROR(INDEX(Products!$C:$C,MATCH(D517,Products!$A:$A,0)),"Unknown")</f>
        <v>Women Dresses</v>
      </c>
      <c r="W517" t="str">
        <f>IFERROR(INDEX(Products!$E:$E,MATCH(D517,Products!$A:$A,0)),"Unknown")</f>
        <v>Reebok</v>
      </c>
      <c r="X517" t="str">
        <f>IFERROR(INDEX(Stores!$B:$B,MATCH(E517,Stores!$A:$A,0)),"Unknown")</f>
        <v>TrendMart Visakhapatnam High Street</v>
      </c>
      <c r="Y517" t="str">
        <f>IFERROR(INDEX(Stores!$E:$E,MATCH(E517,Stores!$A:$A,0)),"Unknown")</f>
        <v>South Zone 3</v>
      </c>
      <c r="Z517" t="str">
        <f>IFERROR(INDEX(Customers!$J:$J,MATCH(C517,Customers!$A:$A,0)),"Unknown")</f>
        <v>Gold</v>
      </c>
      <c r="AA517" t="str">
        <f t="shared" si="8"/>
        <v>2024-10</v>
      </c>
      <c r="AB517" t="str">
        <f>IFERROR(INDEX(Products!$I:$I,MATCH(D517,Products!$A:$A,0)),"Unknown")</f>
        <v>SUP085</v>
      </c>
    </row>
    <row r="518" spans="1:28" x14ac:dyDescent="0.25">
      <c r="A518" t="s">
        <v>1768</v>
      </c>
      <c r="B518" s="20">
        <v>45579</v>
      </c>
      <c r="C518" t="s">
        <v>1708</v>
      </c>
      <c r="D518" t="s">
        <v>1454</v>
      </c>
      <c r="E518" t="s">
        <v>82</v>
      </c>
      <c r="F518" t="s">
        <v>292</v>
      </c>
      <c r="G518">
        <v>1</v>
      </c>
      <c r="H518" s="21">
        <v>721.21</v>
      </c>
      <c r="I518">
        <v>15</v>
      </c>
      <c r="J518" s="21">
        <v>108.18</v>
      </c>
      <c r="K518">
        <v>5</v>
      </c>
      <c r="L518" s="21">
        <v>30.65</v>
      </c>
      <c r="M518" s="21">
        <v>643.67999999999995</v>
      </c>
      <c r="N518" s="21">
        <v>570.17999999999995</v>
      </c>
      <c r="O518" s="21">
        <v>42.85</v>
      </c>
      <c r="P518" t="s">
        <v>121</v>
      </c>
      <c r="Q518" t="s">
        <v>120</v>
      </c>
      <c r="R518" t="s">
        <v>151</v>
      </c>
      <c r="S518" t="s">
        <v>483</v>
      </c>
      <c r="T518" t="s">
        <v>153</v>
      </c>
      <c r="U518" t="s">
        <v>154</v>
      </c>
      <c r="V518" t="str">
        <f>IFERROR(INDEX(Products!$C:$C,MATCH(D518,Products!$A:$A,0)),"Unknown")</f>
        <v>Wallets</v>
      </c>
      <c r="W518" t="str">
        <f>IFERROR(INDEX(Products!$E:$E,MATCH(D518,Products!$A:$A,0)),"Unknown")</f>
        <v>Skechers</v>
      </c>
      <c r="X518" t="str">
        <f>IFERROR(INDEX(Stores!$B:$B,MATCH(E518,Stores!$A:$A,0)),"Unknown")</f>
        <v>TrendMart Kochi High Street</v>
      </c>
      <c r="Y518" t="str">
        <f>IFERROR(INDEX(Stores!$E:$E,MATCH(E518,Stores!$A:$A,0)),"Unknown")</f>
        <v>South Zone 1</v>
      </c>
      <c r="Z518" t="str">
        <f>IFERROR(INDEX(Customers!$J:$J,MATCH(C518,Customers!$A:$A,0)),"Unknown")</f>
        <v>Gold</v>
      </c>
      <c r="AA518" t="str">
        <f t="shared" si="8"/>
        <v>2024-10</v>
      </c>
      <c r="AB518" t="str">
        <f>IFERROR(INDEX(Products!$I:$I,MATCH(D518,Products!$A:$A,0)),"Unknown")</f>
        <v>SUP013</v>
      </c>
    </row>
    <row r="519" spans="1:28" x14ac:dyDescent="0.25">
      <c r="A519" t="s">
        <v>1769</v>
      </c>
      <c r="B519" s="20">
        <v>45641</v>
      </c>
      <c r="C519" t="s">
        <v>1770</v>
      </c>
      <c r="D519" t="s">
        <v>1543</v>
      </c>
      <c r="E519" t="s">
        <v>617</v>
      </c>
      <c r="F519" t="s">
        <v>237</v>
      </c>
      <c r="G519">
        <v>1</v>
      </c>
      <c r="H519" s="21">
        <v>2559.64</v>
      </c>
      <c r="I519">
        <v>10</v>
      </c>
      <c r="J519" s="21">
        <v>255.96</v>
      </c>
      <c r="K519">
        <v>12</v>
      </c>
      <c r="L519" s="21">
        <v>276.44</v>
      </c>
      <c r="M519" s="21">
        <v>2580.12</v>
      </c>
      <c r="N519" s="21">
        <v>1580.02</v>
      </c>
      <c r="O519" s="21">
        <v>723.66</v>
      </c>
      <c r="P519" t="s">
        <v>126</v>
      </c>
      <c r="Q519" t="s">
        <v>122</v>
      </c>
      <c r="R519" t="s">
        <v>151</v>
      </c>
      <c r="S519" t="s">
        <v>1771</v>
      </c>
      <c r="T519" t="s">
        <v>161</v>
      </c>
      <c r="U519" t="s">
        <v>154</v>
      </c>
      <c r="V519" t="str">
        <f>IFERROR(INDEX(Products!$C:$C,MATCH(D519,Products!$A:$A,0)),"Unknown")</f>
        <v>Men Ethnic</v>
      </c>
      <c r="W519" t="str">
        <f>IFERROR(INDEX(Products!$E:$E,MATCH(D519,Products!$A:$A,0)),"Unknown")</f>
        <v>Woodland</v>
      </c>
      <c r="X519" t="str">
        <f>IFERROR(INDEX(Stores!$B:$B,MATCH(E519,Stores!$A:$A,0)),"Unknown")</f>
        <v>TrendMart Mangaluru High Street</v>
      </c>
      <c r="Y519" t="str">
        <f>IFERROR(INDEX(Stores!$E:$E,MATCH(E519,Stores!$A:$A,0)),"Unknown")</f>
        <v>South Zone 2</v>
      </c>
      <c r="Z519" t="str">
        <f>IFERROR(INDEX(Customers!$J:$J,MATCH(C519,Customers!$A:$A,0)),"Unknown")</f>
        <v>Silver</v>
      </c>
      <c r="AA519" t="str">
        <f t="shared" si="8"/>
        <v>2024-12</v>
      </c>
      <c r="AB519" t="str">
        <f>IFERROR(INDEX(Products!$I:$I,MATCH(D519,Products!$A:$A,0)),"Unknown")</f>
        <v>SUP079</v>
      </c>
    </row>
    <row r="520" spans="1:28" x14ac:dyDescent="0.25">
      <c r="A520" t="s">
        <v>1772</v>
      </c>
      <c r="B520" s="20">
        <v>45410</v>
      </c>
      <c r="C520" t="s">
        <v>1107</v>
      </c>
      <c r="D520" t="s">
        <v>447</v>
      </c>
      <c r="E520" t="s">
        <v>1512</v>
      </c>
      <c r="F520" t="s">
        <v>532</v>
      </c>
      <c r="G520">
        <v>2</v>
      </c>
      <c r="H520" s="21">
        <v>1444.95</v>
      </c>
      <c r="I520">
        <v>5</v>
      </c>
      <c r="J520" s="21">
        <v>144.5</v>
      </c>
      <c r="K520">
        <v>12</v>
      </c>
      <c r="L520" s="21">
        <v>329.45</v>
      </c>
      <c r="M520" s="21">
        <v>3074.85</v>
      </c>
      <c r="N520" s="21">
        <v>2146.9</v>
      </c>
      <c r="O520" s="21">
        <v>598.5</v>
      </c>
      <c r="P520" t="s">
        <v>127</v>
      </c>
      <c r="Q520" t="s">
        <v>120</v>
      </c>
      <c r="R520" t="s">
        <v>151</v>
      </c>
      <c r="S520" t="s">
        <v>1773</v>
      </c>
      <c r="T520" t="s">
        <v>161</v>
      </c>
      <c r="U520" t="s">
        <v>154</v>
      </c>
      <c r="V520" t="str">
        <f>IFERROR(INDEX(Products!$C:$C,MATCH(D520,Products!$A:$A,0)),"Unknown")</f>
        <v>Women Jeans</v>
      </c>
      <c r="W520" t="str">
        <f>IFERROR(INDEX(Products!$E:$E,MATCH(D520,Products!$A:$A,0)),"Unknown")</f>
        <v>Biba</v>
      </c>
      <c r="X520" t="str">
        <f>IFERROR(INDEX(Stores!$B:$B,MATCH(E520,Stores!$A:$A,0)),"Unknown")</f>
        <v>TrendMart Erode Mall Kiosk</v>
      </c>
      <c r="Y520" t="str">
        <f>IFERROR(INDEX(Stores!$E:$E,MATCH(E520,Stores!$A:$A,0)),"Unknown")</f>
        <v>South Zone 1</v>
      </c>
      <c r="Z520" t="str">
        <f>IFERROR(INDEX(Customers!$J:$J,MATCH(C520,Customers!$A:$A,0)),"Unknown")</f>
        <v>Silver</v>
      </c>
      <c r="AA520" t="str">
        <f t="shared" si="8"/>
        <v>2024-04</v>
      </c>
      <c r="AB520" t="str">
        <f>IFERROR(INDEX(Products!$I:$I,MATCH(D520,Products!$A:$A,0)),"Unknown")</f>
        <v>SUP069</v>
      </c>
    </row>
    <row r="521" spans="1:28" x14ac:dyDescent="0.25">
      <c r="A521" t="s">
        <v>1774</v>
      </c>
      <c r="B521" s="20">
        <v>45497</v>
      </c>
      <c r="C521" t="s">
        <v>224</v>
      </c>
      <c r="D521" t="s">
        <v>558</v>
      </c>
      <c r="E521" t="s">
        <v>745</v>
      </c>
      <c r="F521" t="s">
        <v>443</v>
      </c>
      <c r="G521">
        <v>3</v>
      </c>
      <c r="H521" s="21">
        <v>676.49</v>
      </c>
      <c r="I521">
        <v>10</v>
      </c>
      <c r="J521" s="21">
        <v>202.95</v>
      </c>
      <c r="K521">
        <v>5</v>
      </c>
      <c r="L521" s="21">
        <v>91.33</v>
      </c>
      <c r="M521" s="21">
        <v>1917.85</v>
      </c>
      <c r="N521" s="21">
        <v>1371.48</v>
      </c>
      <c r="O521" s="21">
        <v>455.04</v>
      </c>
      <c r="P521" t="s">
        <v>121</v>
      </c>
      <c r="Q521" t="s">
        <v>120</v>
      </c>
      <c r="R521" t="s">
        <v>151</v>
      </c>
      <c r="S521" t="s">
        <v>1775</v>
      </c>
      <c r="T521" t="s">
        <v>153</v>
      </c>
      <c r="U521" t="s">
        <v>154</v>
      </c>
      <c r="V521" t="str">
        <f>IFERROR(INDEX(Products!$C:$C,MATCH(D521,Products!$A:$A,0)),"Unknown")</f>
        <v>Women Tops</v>
      </c>
      <c r="W521" t="str">
        <f>IFERROR(INDEX(Products!$E:$E,MATCH(D521,Products!$A:$A,0)),"Unknown")</f>
        <v>Aurelia</v>
      </c>
      <c r="X521" t="str">
        <f>IFERROR(INDEX(Stores!$B:$B,MATCH(E521,Stores!$A:$A,0)),"Unknown")</f>
        <v>TrendMart Thiruvananthapuram Outlet</v>
      </c>
      <c r="Y521" t="str">
        <f>IFERROR(INDEX(Stores!$E:$E,MATCH(E521,Stores!$A:$A,0)),"Unknown")</f>
        <v>South Zone 1</v>
      </c>
      <c r="Z521" t="str">
        <f>IFERROR(INDEX(Customers!$J:$J,MATCH(C521,Customers!$A:$A,0)),"Unknown")</f>
        <v>Gold</v>
      </c>
      <c r="AA521" t="str">
        <f t="shared" si="8"/>
        <v>2024-07</v>
      </c>
      <c r="AB521" t="str">
        <f>IFERROR(INDEX(Products!$I:$I,MATCH(D521,Products!$A:$A,0)),"Unknown")</f>
        <v>SUP055</v>
      </c>
    </row>
    <row r="522" spans="1:28" x14ac:dyDescent="0.25">
      <c r="A522" t="s">
        <v>1776</v>
      </c>
      <c r="B522" s="20">
        <v>45418</v>
      </c>
      <c r="C522" t="s">
        <v>743</v>
      </c>
      <c r="D522" t="s">
        <v>489</v>
      </c>
      <c r="E522" t="s">
        <v>355</v>
      </c>
      <c r="F522" t="s">
        <v>377</v>
      </c>
      <c r="G522">
        <v>3</v>
      </c>
      <c r="H522" s="21">
        <v>1393.18</v>
      </c>
      <c r="I522">
        <v>20</v>
      </c>
      <c r="J522" s="21">
        <v>835.91</v>
      </c>
      <c r="K522">
        <v>12</v>
      </c>
      <c r="L522" s="21">
        <v>401.24</v>
      </c>
      <c r="M522" s="21">
        <v>3744.87</v>
      </c>
      <c r="N522" s="21">
        <v>3146.13</v>
      </c>
      <c r="O522" s="21">
        <v>197.5</v>
      </c>
      <c r="P522" t="s">
        <v>123</v>
      </c>
      <c r="Q522" t="s">
        <v>120</v>
      </c>
      <c r="R522" t="s">
        <v>151</v>
      </c>
      <c r="S522" t="s">
        <v>1728</v>
      </c>
      <c r="T522" t="s">
        <v>153</v>
      </c>
      <c r="U522" t="s">
        <v>154</v>
      </c>
      <c r="V522" t="str">
        <f>IFERROR(INDEX(Products!$C:$C,MATCH(D522,Products!$A:$A,0)),"Unknown")</f>
        <v>Women Jeans</v>
      </c>
      <c r="W522" t="str">
        <f>IFERROR(INDEX(Products!$E:$E,MATCH(D522,Products!$A:$A,0)),"Unknown")</f>
        <v>Woodland</v>
      </c>
      <c r="X522" t="str">
        <f>IFERROR(INDEX(Stores!$B:$B,MATCH(E522,Stores!$A:$A,0)),"Unknown")</f>
        <v>TrendMart Thiruvananthapuram High Street</v>
      </c>
      <c r="Y522" t="str">
        <f>IFERROR(INDEX(Stores!$E:$E,MATCH(E522,Stores!$A:$A,0)),"Unknown")</f>
        <v>South Zone 1</v>
      </c>
      <c r="Z522" t="str">
        <f>IFERROR(INDEX(Customers!$J:$J,MATCH(C522,Customers!$A:$A,0)),"Unknown")</f>
        <v>Silver</v>
      </c>
      <c r="AA522" t="str">
        <f t="shared" si="8"/>
        <v>2024-05</v>
      </c>
      <c r="AB522" t="str">
        <f>IFERROR(INDEX(Products!$I:$I,MATCH(D522,Products!$A:$A,0)),"Unknown")</f>
        <v>SUP015</v>
      </c>
    </row>
    <row r="523" spans="1:28" x14ac:dyDescent="0.25">
      <c r="A523" t="s">
        <v>1777</v>
      </c>
      <c r="B523" s="20">
        <v>45733</v>
      </c>
      <c r="C523" t="s">
        <v>1778</v>
      </c>
      <c r="D523" t="s">
        <v>524</v>
      </c>
      <c r="E523" t="s">
        <v>241</v>
      </c>
      <c r="F523" t="s">
        <v>182</v>
      </c>
      <c r="G523">
        <v>4</v>
      </c>
      <c r="H523" s="21">
        <v>743.71</v>
      </c>
      <c r="I523">
        <v>10</v>
      </c>
      <c r="J523" s="21">
        <v>297.48</v>
      </c>
      <c r="K523">
        <v>5</v>
      </c>
      <c r="L523" s="21">
        <v>133.87</v>
      </c>
      <c r="M523" s="21">
        <v>2811.23</v>
      </c>
      <c r="N523" s="21">
        <v>2190.6799999999998</v>
      </c>
      <c r="O523" s="21">
        <v>486.68</v>
      </c>
      <c r="P523" t="s">
        <v>127</v>
      </c>
      <c r="Q523" t="s">
        <v>122</v>
      </c>
      <c r="R523" t="s">
        <v>151</v>
      </c>
      <c r="S523" t="s">
        <v>842</v>
      </c>
      <c r="T523" t="s">
        <v>153</v>
      </c>
      <c r="U523" t="s">
        <v>154</v>
      </c>
      <c r="V523" t="str">
        <f>IFERROR(INDEX(Products!$C:$C,MATCH(D523,Products!$A:$A,0)),"Unknown")</f>
        <v>Women Tops</v>
      </c>
      <c r="W523" t="str">
        <f>IFERROR(INDEX(Products!$E:$E,MATCH(D523,Products!$A:$A,0)),"Unknown")</f>
        <v>Indian Terrain</v>
      </c>
      <c r="X523" t="str">
        <f>IFERROR(INDEX(Stores!$B:$B,MATCH(E523,Stores!$A:$A,0)),"Unknown")</f>
        <v>TrendMart Nizamabad Mall Kiosk</v>
      </c>
      <c r="Y523" t="str">
        <f>IFERROR(INDEX(Stores!$E:$E,MATCH(E523,Stores!$A:$A,0)),"Unknown")</f>
        <v>South Zone 2</v>
      </c>
      <c r="Z523" t="str">
        <f>IFERROR(INDEX(Customers!$J:$J,MATCH(C523,Customers!$A:$A,0)),"Unknown")</f>
        <v>Regular</v>
      </c>
      <c r="AA523" t="str">
        <f t="shared" si="8"/>
        <v>2025-03</v>
      </c>
      <c r="AB523" t="str">
        <f>IFERROR(INDEX(Products!$I:$I,MATCH(D523,Products!$A:$A,0)),"Unknown")</f>
        <v>SUP062</v>
      </c>
    </row>
    <row r="524" spans="1:28" x14ac:dyDescent="0.25">
      <c r="A524" t="s">
        <v>1779</v>
      </c>
      <c r="B524" s="20">
        <v>45615</v>
      </c>
      <c r="C524" t="s">
        <v>1116</v>
      </c>
      <c r="D524" t="s">
        <v>1780</v>
      </c>
      <c r="E524" t="s">
        <v>343</v>
      </c>
      <c r="F524" t="s">
        <v>269</v>
      </c>
      <c r="G524">
        <v>1</v>
      </c>
      <c r="H524" s="21">
        <v>1167.52</v>
      </c>
      <c r="I524">
        <v>0</v>
      </c>
      <c r="J524" s="21">
        <v>0</v>
      </c>
      <c r="K524">
        <v>3</v>
      </c>
      <c r="L524" s="21">
        <v>35.03</v>
      </c>
      <c r="M524" s="21">
        <v>1202.55</v>
      </c>
      <c r="N524" s="21">
        <v>910.46</v>
      </c>
      <c r="O524" s="21">
        <v>257.06</v>
      </c>
      <c r="P524" t="s">
        <v>125</v>
      </c>
      <c r="Q524" t="s">
        <v>120</v>
      </c>
      <c r="R524" t="s">
        <v>151</v>
      </c>
      <c r="S524" t="s">
        <v>1781</v>
      </c>
      <c r="T524" t="s">
        <v>153</v>
      </c>
      <c r="U524" t="s">
        <v>154</v>
      </c>
      <c r="V524" t="str">
        <f>IFERROR(INDEX(Products!$C:$C,MATCH(D524,Products!$A:$A,0)),"Unknown")</f>
        <v>Jewellery</v>
      </c>
      <c r="W524" t="str">
        <f>IFERROR(INDEX(Products!$E:$E,MATCH(D524,Products!$A:$A,0)),"Unknown")</f>
        <v>Flying Machine</v>
      </c>
      <c r="X524" t="str">
        <f>IFERROR(INDEX(Stores!$B:$B,MATCH(E524,Stores!$A:$A,0)),"Unknown")</f>
        <v>TrendMart Tumakuru Outlet</v>
      </c>
      <c r="Y524" t="str">
        <f>IFERROR(INDEX(Stores!$E:$E,MATCH(E524,Stores!$A:$A,0)),"Unknown")</f>
        <v>South Zone 2</v>
      </c>
      <c r="Z524" t="str">
        <f>IFERROR(INDEX(Customers!$J:$J,MATCH(C524,Customers!$A:$A,0)),"Unknown")</f>
        <v>Silver</v>
      </c>
      <c r="AA524" t="str">
        <f t="shared" si="8"/>
        <v>2024-11</v>
      </c>
      <c r="AB524" t="str">
        <f>IFERROR(INDEX(Products!$I:$I,MATCH(D524,Products!$A:$A,0)),"Unknown")</f>
        <v>SUP039</v>
      </c>
    </row>
    <row r="525" spans="1:28" x14ac:dyDescent="0.25">
      <c r="A525" t="s">
        <v>1782</v>
      </c>
      <c r="B525" s="20">
        <v>45566</v>
      </c>
      <c r="C525" t="s">
        <v>1783</v>
      </c>
      <c r="D525" t="s">
        <v>502</v>
      </c>
      <c r="E525" t="s">
        <v>100</v>
      </c>
      <c r="F525" t="s">
        <v>397</v>
      </c>
      <c r="G525">
        <v>3</v>
      </c>
      <c r="H525" s="21">
        <v>2919.81</v>
      </c>
      <c r="I525">
        <v>15</v>
      </c>
      <c r="J525" s="21">
        <v>1313.91</v>
      </c>
      <c r="K525">
        <v>12</v>
      </c>
      <c r="L525" s="21">
        <v>893.46</v>
      </c>
      <c r="M525" s="21">
        <v>8338.98</v>
      </c>
      <c r="N525" s="21">
        <v>6454.02</v>
      </c>
      <c r="O525" s="21">
        <v>991.5</v>
      </c>
      <c r="P525" t="s">
        <v>123</v>
      </c>
      <c r="Q525" t="s">
        <v>120</v>
      </c>
      <c r="R525" t="s">
        <v>151</v>
      </c>
      <c r="S525" t="s">
        <v>1784</v>
      </c>
      <c r="T525" t="s">
        <v>153</v>
      </c>
      <c r="U525" t="s">
        <v>154</v>
      </c>
      <c r="V525" t="str">
        <f>IFERROR(INDEX(Products!$C:$C,MATCH(D525,Products!$A:$A,0)),"Unknown")</f>
        <v>Handbags</v>
      </c>
      <c r="W525" t="str">
        <f>IFERROR(INDEX(Products!$E:$E,MATCH(D525,Products!$A:$A,0)),"Unknown")</f>
        <v>Libas</v>
      </c>
      <c r="X525" t="str">
        <f>IFERROR(INDEX(Stores!$B:$B,MATCH(E525,Stores!$A:$A,0)),"Unknown")</f>
        <v>TrendMart Kurnool Standard</v>
      </c>
      <c r="Y525" t="str">
        <f>IFERROR(INDEX(Stores!$E:$E,MATCH(E525,Stores!$A:$A,0)),"Unknown")</f>
        <v>South Zone 3</v>
      </c>
      <c r="Z525" t="str">
        <f>IFERROR(INDEX(Customers!$J:$J,MATCH(C525,Customers!$A:$A,0)),"Unknown")</f>
        <v>Regular</v>
      </c>
      <c r="AA525" t="str">
        <f t="shared" si="8"/>
        <v>2024-10</v>
      </c>
      <c r="AB525" t="str">
        <f>IFERROR(INDEX(Products!$I:$I,MATCH(D525,Products!$A:$A,0)),"Unknown")</f>
        <v>SUP070</v>
      </c>
    </row>
    <row r="526" spans="1:28" x14ac:dyDescent="0.25">
      <c r="A526" t="s">
        <v>1785</v>
      </c>
      <c r="B526" s="20">
        <v>45631</v>
      </c>
      <c r="C526" t="s">
        <v>1786</v>
      </c>
      <c r="D526" t="s">
        <v>606</v>
      </c>
      <c r="E526" t="s">
        <v>334</v>
      </c>
      <c r="F526" t="s">
        <v>242</v>
      </c>
      <c r="G526">
        <v>2</v>
      </c>
      <c r="H526" s="21">
        <v>1575.56</v>
      </c>
      <c r="I526">
        <v>30</v>
      </c>
      <c r="J526" s="21">
        <v>945.34</v>
      </c>
      <c r="K526">
        <v>12</v>
      </c>
      <c r="L526" s="21">
        <v>264.69</v>
      </c>
      <c r="M526" s="21">
        <v>2470.4699999999998</v>
      </c>
      <c r="N526" s="21">
        <v>2009.88</v>
      </c>
      <c r="O526" s="21">
        <v>195.9</v>
      </c>
      <c r="P526" t="s">
        <v>123</v>
      </c>
      <c r="Q526" t="s">
        <v>122</v>
      </c>
      <c r="R526" t="s">
        <v>151</v>
      </c>
      <c r="S526" t="s">
        <v>1220</v>
      </c>
      <c r="T526" t="s">
        <v>153</v>
      </c>
      <c r="U526" t="s">
        <v>154</v>
      </c>
      <c r="V526" t="str">
        <f>IFERROR(INDEX(Products!$C:$C,MATCH(D526,Products!$A:$A,0)),"Unknown")</f>
        <v>Sportswear</v>
      </c>
      <c r="W526" t="str">
        <f>IFERROR(INDEX(Products!$E:$E,MATCH(D526,Products!$A:$A,0)),"Unknown")</f>
        <v>Fossil</v>
      </c>
      <c r="X526" t="str">
        <f>IFERROR(INDEX(Stores!$B:$B,MATCH(E526,Stores!$A:$A,0)),"Unknown")</f>
        <v>TrendMart Madurai High Street</v>
      </c>
      <c r="Y526" t="str">
        <f>IFERROR(INDEX(Stores!$E:$E,MATCH(E526,Stores!$A:$A,0)),"Unknown")</f>
        <v>South Zone 1</v>
      </c>
      <c r="Z526" t="str">
        <f>IFERROR(INDEX(Customers!$J:$J,MATCH(C526,Customers!$A:$A,0)),"Unknown")</f>
        <v>Gold</v>
      </c>
      <c r="AA526" t="str">
        <f t="shared" si="8"/>
        <v>2024-12</v>
      </c>
      <c r="AB526" t="str">
        <f>IFERROR(INDEX(Products!$I:$I,MATCH(D526,Products!$A:$A,0)),"Unknown")</f>
        <v>SUP049</v>
      </c>
    </row>
    <row r="527" spans="1:28" x14ac:dyDescent="0.25">
      <c r="A527" t="s">
        <v>1787</v>
      </c>
      <c r="B527" s="20">
        <v>45417</v>
      </c>
      <c r="C527" t="s">
        <v>1501</v>
      </c>
      <c r="D527" t="s">
        <v>780</v>
      </c>
      <c r="E527" t="s">
        <v>90</v>
      </c>
      <c r="F527" t="s">
        <v>377</v>
      </c>
      <c r="G527">
        <v>3</v>
      </c>
      <c r="H527" s="21">
        <v>4715.99</v>
      </c>
      <c r="I527">
        <v>25</v>
      </c>
      <c r="J527" s="21">
        <v>3536.99</v>
      </c>
      <c r="K527">
        <v>12</v>
      </c>
      <c r="L527" s="21">
        <v>1273.32</v>
      </c>
      <c r="M527" s="21">
        <v>11884.3</v>
      </c>
      <c r="N527" s="21">
        <v>8500.83</v>
      </c>
      <c r="O527" s="21">
        <v>2110.15</v>
      </c>
      <c r="P527" t="s">
        <v>121</v>
      </c>
      <c r="Q527" t="s">
        <v>122</v>
      </c>
      <c r="R527" t="s">
        <v>151</v>
      </c>
      <c r="S527" t="s">
        <v>1788</v>
      </c>
      <c r="T527" t="s">
        <v>161</v>
      </c>
      <c r="U527" t="s">
        <v>154</v>
      </c>
      <c r="V527" t="str">
        <f>IFERROR(INDEX(Products!$C:$C,MATCH(D527,Products!$A:$A,0)),"Unknown")</f>
        <v>Watches</v>
      </c>
      <c r="W527" t="str">
        <f>IFERROR(INDEX(Products!$E:$E,MATCH(D527,Products!$A:$A,0)),"Unknown")</f>
        <v>Mufti</v>
      </c>
      <c r="X527" t="str">
        <f>IFERROR(INDEX(Stores!$B:$B,MATCH(E527,Stores!$A:$A,0)),"Unknown")</f>
        <v>TrendMart Thoothukudi Mall Kiosk</v>
      </c>
      <c r="Y527" t="str">
        <f>IFERROR(INDEX(Stores!$E:$E,MATCH(E527,Stores!$A:$A,0)),"Unknown")</f>
        <v>South Zone 1</v>
      </c>
      <c r="Z527" t="str">
        <f>IFERROR(INDEX(Customers!$J:$J,MATCH(C527,Customers!$A:$A,0)),"Unknown")</f>
        <v>Regular</v>
      </c>
      <c r="AA527" t="str">
        <f t="shared" si="8"/>
        <v>2024-05</v>
      </c>
      <c r="AB527" t="str">
        <f>IFERROR(INDEX(Products!$I:$I,MATCH(D527,Products!$A:$A,0)),"Unknown")</f>
        <v>SUP063</v>
      </c>
    </row>
    <row r="528" spans="1:28" x14ac:dyDescent="0.25">
      <c r="A528" t="s">
        <v>1789</v>
      </c>
      <c r="B528" s="20">
        <v>45593</v>
      </c>
      <c r="C528" t="s">
        <v>1790</v>
      </c>
      <c r="D528" t="s">
        <v>996</v>
      </c>
      <c r="E528" t="s">
        <v>92</v>
      </c>
      <c r="F528" t="s">
        <v>618</v>
      </c>
      <c r="G528">
        <v>3</v>
      </c>
      <c r="H528" s="21">
        <v>1867.05</v>
      </c>
      <c r="I528">
        <v>30</v>
      </c>
      <c r="J528" s="21">
        <v>1680.35</v>
      </c>
      <c r="K528">
        <v>12</v>
      </c>
      <c r="L528" s="21">
        <v>470.5</v>
      </c>
      <c r="M528" s="21">
        <v>4391.3</v>
      </c>
      <c r="N528" s="21">
        <v>4291.71</v>
      </c>
      <c r="O528" s="21">
        <v>-370.91</v>
      </c>
      <c r="P528" t="s">
        <v>125</v>
      </c>
      <c r="Q528" t="s">
        <v>120</v>
      </c>
      <c r="R528" t="s">
        <v>151</v>
      </c>
      <c r="S528" t="s">
        <v>1791</v>
      </c>
      <c r="T528" t="s">
        <v>153</v>
      </c>
      <c r="U528" t="s">
        <v>184</v>
      </c>
      <c r="V528" t="str">
        <f>IFERROR(INDEX(Products!$C:$C,MATCH(D528,Products!$A:$A,0)),"Unknown")</f>
        <v>Men Ethnic</v>
      </c>
      <c r="W528" t="str">
        <f>IFERROR(INDEX(Products!$E:$E,MATCH(D528,Products!$A:$A,0)),"Unknown")</f>
        <v>Liberty</v>
      </c>
      <c r="X528" t="str">
        <f>IFERROR(INDEX(Stores!$B:$B,MATCH(E528,Stores!$A:$A,0)),"Unknown")</f>
        <v>TrendMart Guntur High Street</v>
      </c>
      <c r="Y528" t="str">
        <f>IFERROR(INDEX(Stores!$E:$E,MATCH(E528,Stores!$A:$A,0)),"Unknown")</f>
        <v>South Zone 3</v>
      </c>
      <c r="Z528" t="str">
        <f>IFERROR(INDEX(Customers!$J:$J,MATCH(C528,Customers!$A:$A,0)),"Unknown")</f>
        <v>Gold</v>
      </c>
      <c r="AA528" t="str">
        <f t="shared" si="8"/>
        <v>2024-10</v>
      </c>
      <c r="AB528" t="str">
        <f>IFERROR(INDEX(Products!$I:$I,MATCH(D528,Products!$A:$A,0)),"Unknown")</f>
        <v>SUP046</v>
      </c>
    </row>
    <row r="529" spans="1:28" x14ac:dyDescent="0.25">
      <c r="A529" t="s">
        <v>1792</v>
      </c>
      <c r="B529" s="20">
        <v>45395</v>
      </c>
      <c r="C529" t="s">
        <v>1793</v>
      </c>
      <c r="D529" t="s">
        <v>164</v>
      </c>
      <c r="E529" t="s">
        <v>280</v>
      </c>
      <c r="F529" t="s">
        <v>189</v>
      </c>
      <c r="G529">
        <v>2</v>
      </c>
      <c r="H529" s="21">
        <v>3924.79</v>
      </c>
      <c r="I529">
        <v>10</v>
      </c>
      <c r="J529" s="21">
        <v>784.96</v>
      </c>
      <c r="K529">
        <v>12</v>
      </c>
      <c r="L529" s="21">
        <v>847.75</v>
      </c>
      <c r="M529" s="21">
        <v>7912.37</v>
      </c>
      <c r="N529" s="21">
        <v>5267.12</v>
      </c>
      <c r="O529" s="21">
        <v>1797.5</v>
      </c>
      <c r="P529" t="s">
        <v>125</v>
      </c>
      <c r="Q529" t="s">
        <v>122</v>
      </c>
      <c r="R529" t="s">
        <v>151</v>
      </c>
      <c r="S529" t="s">
        <v>1794</v>
      </c>
      <c r="T529" t="s">
        <v>161</v>
      </c>
      <c r="U529" t="s">
        <v>154</v>
      </c>
      <c r="V529" t="str">
        <f>IFERROR(INDEX(Products!$C:$C,MATCH(D529,Products!$A:$A,0)),"Unknown")</f>
        <v>Women Sarees</v>
      </c>
      <c r="W529" t="str">
        <f>IFERROR(INDEX(Products!$E:$E,MATCH(D529,Products!$A:$A,0)),"Unknown")</f>
        <v>Westside</v>
      </c>
      <c r="X529" t="str">
        <f>IFERROR(INDEX(Stores!$B:$B,MATCH(E529,Stores!$A:$A,0)),"Unknown")</f>
        <v>TrendMart Chennai Standard</v>
      </c>
      <c r="Y529" t="str">
        <f>IFERROR(INDEX(Stores!$E:$E,MATCH(E529,Stores!$A:$A,0)),"Unknown")</f>
        <v>South Zone 1</v>
      </c>
      <c r="Z529" t="str">
        <f>IFERROR(INDEX(Customers!$J:$J,MATCH(C529,Customers!$A:$A,0)),"Unknown")</f>
        <v>Gold</v>
      </c>
      <c r="AA529" t="str">
        <f t="shared" si="8"/>
        <v>2024-04</v>
      </c>
      <c r="AB529" t="str">
        <f>IFERROR(INDEX(Products!$I:$I,MATCH(D529,Products!$A:$A,0)),"Unknown")</f>
        <v>SUP069</v>
      </c>
    </row>
    <row r="530" spans="1:28" x14ac:dyDescent="0.25">
      <c r="A530" t="s">
        <v>1795</v>
      </c>
      <c r="B530" s="20">
        <v>45602</v>
      </c>
      <c r="C530" t="s">
        <v>602</v>
      </c>
      <c r="D530" t="s">
        <v>1044</v>
      </c>
      <c r="E530" t="s">
        <v>681</v>
      </c>
      <c r="F530" t="s">
        <v>269</v>
      </c>
      <c r="G530">
        <v>6</v>
      </c>
      <c r="H530" s="21">
        <v>575.83000000000004</v>
      </c>
      <c r="I530">
        <v>10</v>
      </c>
      <c r="J530" s="21">
        <v>345.5</v>
      </c>
      <c r="K530">
        <v>5</v>
      </c>
      <c r="L530" s="21">
        <v>155.47</v>
      </c>
      <c r="M530" s="21">
        <v>3264.95</v>
      </c>
      <c r="N530" s="21">
        <v>2010.9</v>
      </c>
      <c r="O530" s="21">
        <v>1098.58</v>
      </c>
      <c r="P530" t="s">
        <v>125</v>
      </c>
      <c r="Q530" t="s">
        <v>120</v>
      </c>
      <c r="R530" t="s">
        <v>151</v>
      </c>
      <c r="S530" t="s">
        <v>1796</v>
      </c>
      <c r="T530" t="s">
        <v>153</v>
      </c>
      <c r="U530" t="s">
        <v>154</v>
      </c>
      <c r="V530" t="str">
        <f>IFERROR(INDEX(Products!$C:$C,MATCH(D530,Products!$A:$A,0)),"Unknown")</f>
        <v>Men T-Shirts</v>
      </c>
      <c r="W530" t="str">
        <f>IFERROR(INDEX(Products!$E:$E,MATCH(D530,Products!$A:$A,0)),"Unknown")</f>
        <v>Mufti</v>
      </c>
      <c r="X530" t="str">
        <f>IFERROR(INDEX(Stores!$B:$B,MATCH(E530,Stores!$A:$A,0)),"Unknown")</f>
        <v>TrendMart Shivamogga Mall Kiosk</v>
      </c>
      <c r="Y530" t="str">
        <f>IFERROR(INDEX(Stores!$E:$E,MATCH(E530,Stores!$A:$A,0)),"Unknown")</f>
        <v>South Zone 2</v>
      </c>
      <c r="Z530" t="str">
        <f>IFERROR(INDEX(Customers!$J:$J,MATCH(C530,Customers!$A:$A,0)),"Unknown")</f>
        <v>Gold</v>
      </c>
      <c r="AA530" t="str">
        <f t="shared" si="8"/>
        <v>2024-11</v>
      </c>
      <c r="AB530" t="str">
        <f>IFERROR(INDEX(Products!$I:$I,MATCH(D530,Products!$A:$A,0)),"Unknown")</f>
        <v>SUP042</v>
      </c>
    </row>
    <row r="531" spans="1:28" x14ac:dyDescent="0.25">
      <c r="A531" t="s">
        <v>1797</v>
      </c>
      <c r="B531" s="20">
        <v>45460</v>
      </c>
      <c r="C531" t="s">
        <v>1013</v>
      </c>
      <c r="D531" t="s">
        <v>629</v>
      </c>
      <c r="E531" t="s">
        <v>906</v>
      </c>
      <c r="F531" t="s">
        <v>237</v>
      </c>
      <c r="G531">
        <v>1</v>
      </c>
      <c r="H531" s="21">
        <v>6629.45</v>
      </c>
      <c r="I531">
        <v>0</v>
      </c>
      <c r="J531" s="21">
        <v>0</v>
      </c>
      <c r="K531">
        <v>3</v>
      </c>
      <c r="L531" s="21">
        <v>198.88</v>
      </c>
      <c r="M531" s="21">
        <v>6828.33</v>
      </c>
      <c r="N531" s="21">
        <v>4867.21</v>
      </c>
      <c r="O531" s="21">
        <v>1762.24</v>
      </c>
      <c r="P531" t="s">
        <v>124</v>
      </c>
      <c r="Q531" t="s">
        <v>120</v>
      </c>
      <c r="R531" t="s">
        <v>151</v>
      </c>
      <c r="S531" t="s">
        <v>1798</v>
      </c>
      <c r="T531" t="s">
        <v>153</v>
      </c>
      <c r="U531" t="s">
        <v>154</v>
      </c>
      <c r="V531" t="str">
        <f>IFERROR(INDEX(Products!$C:$C,MATCH(D531,Products!$A:$A,0)),"Unknown")</f>
        <v>Jewellery</v>
      </c>
      <c r="W531" t="str">
        <f>IFERROR(INDEX(Products!$E:$E,MATCH(D531,Products!$A:$A,0)),"Unknown")</f>
        <v>Global Desi</v>
      </c>
      <c r="X531" t="str">
        <f>IFERROR(INDEX(Stores!$B:$B,MATCH(E531,Stores!$A:$A,0)),"Unknown")</f>
        <v>TrendMart Vijayawada Standard</v>
      </c>
      <c r="Y531" t="str">
        <f>IFERROR(INDEX(Stores!$E:$E,MATCH(E531,Stores!$A:$A,0)),"Unknown")</f>
        <v>South Zone 3</v>
      </c>
      <c r="Z531" t="str">
        <f>IFERROR(INDEX(Customers!$J:$J,MATCH(C531,Customers!$A:$A,0)),"Unknown")</f>
        <v>Regular</v>
      </c>
      <c r="AA531" t="str">
        <f t="shared" si="8"/>
        <v>2024-06</v>
      </c>
      <c r="AB531" t="str">
        <f>IFERROR(INDEX(Products!$I:$I,MATCH(D531,Products!$A:$A,0)),"Unknown")</f>
        <v>SUP066</v>
      </c>
    </row>
    <row r="532" spans="1:28" x14ac:dyDescent="0.25">
      <c r="A532" t="s">
        <v>1799</v>
      </c>
      <c r="B532" s="20">
        <v>45594</v>
      </c>
      <c r="C532" t="s">
        <v>1800</v>
      </c>
      <c r="D532" t="s">
        <v>658</v>
      </c>
      <c r="E532" t="s">
        <v>387</v>
      </c>
      <c r="F532" t="s">
        <v>176</v>
      </c>
      <c r="G532">
        <v>4</v>
      </c>
      <c r="H532" s="21">
        <v>297.68</v>
      </c>
      <c r="I532">
        <v>30</v>
      </c>
      <c r="J532" s="21">
        <v>357.22</v>
      </c>
      <c r="K532">
        <v>5</v>
      </c>
      <c r="L532" s="21">
        <v>41.67</v>
      </c>
      <c r="M532" s="21">
        <v>875.17</v>
      </c>
      <c r="N532" s="21">
        <v>687.6</v>
      </c>
      <c r="O532" s="21">
        <v>145.9</v>
      </c>
      <c r="P532" t="s">
        <v>125</v>
      </c>
      <c r="Q532" t="s">
        <v>120</v>
      </c>
      <c r="R532" t="s">
        <v>151</v>
      </c>
      <c r="S532" t="s">
        <v>1801</v>
      </c>
      <c r="T532" t="s">
        <v>153</v>
      </c>
      <c r="U532" t="s">
        <v>154</v>
      </c>
      <c r="V532" t="str">
        <f>IFERROR(INDEX(Products!$C:$C,MATCH(D532,Products!$A:$A,0)),"Unknown")</f>
        <v>Accessories</v>
      </c>
      <c r="W532" t="str">
        <f>IFERROR(INDEX(Products!$E:$E,MATCH(D532,Products!$A:$A,0)),"Unknown")</f>
        <v>Flying Machine</v>
      </c>
      <c r="X532" t="str">
        <f>IFERROR(INDEX(Stores!$B:$B,MATCH(E532,Stores!$A:$A,0)),"Unknown")</f>
        <v>TrendMart Kannur Outlet</v>
      </c>
      <c r="Y532" t="str">
        <f>IFERROR(INDEX(Stores!$E:$E,MATCH(E532,Stores!$A:$A,0)),"Unknown")</f>
        <v>South Zone 1</v>
      </c>
      <c r="Z532" t="str">
        <f>IFERROR(INDEX(Customers!$J:$J,MATCH(C532,Customers!$A:$A,0)),"Unknown")</f>
        <v>Platinum</v>
      </c>
      <c r="AA532" t="str">
        <f t="shared" si="8"/>
        <v>2024-10</v>
      </c>
      <c r="AB532" t="str">
        <f>IFERROR(INDEX(Products!$I:$I,MATCH(D532,Products!$A:$A,0)),"Unknown")</f>
        <v>SUP002</v>
      </c>
    </row>
    <row r="533" spans="1:28" x14ac:dyDescent="0.25">
      <c r="A533" t="s">
        <v>1802</v>
      </c>
      <c r="B533" s="20">
        <v>45578</v>
      </c>
      <c r="C533" t="s">
        <v>1803</v>
      </c>
      <c r="D533" t="s">
        <v>1219</v>
      </c>
      <c r="E533" t="s">
        <v>470</v>
      </c>
      <c r="F533" t="s">
        <v>258</v>
      </c>
      <c r="G533">
        <v>2</v>
      </c>
      <c r="H533" s="21">
        <v>3356.37</v>
      </c>
      <c r="I533">
        <v>10</v>
      </c>
      <c r="J533" s="21">
        <v>671.27</v>
      </c>
      <c r="K533">
        <v>12</v>
      </c>
      <c r="L533" s="21">
        <v>724.98</v>
      </c>
      <c r="M533" s="21">
        <v>6766.45</v>
      </c>
      <c r="N533" s="21">
        <v>4079.4</v>
      </c>
      <c r="O533" s="21">
        <v>1962.07</v>
      </c>
      <c r="P533" t="s">
        <v>124</v>
      </c>
      <c r="Q533" t="s">
        <v>122</v>
      </c>
      <c r="R533" t="s">
        <v>151</v>
      </c>
      <c r="S533" t="s">
        <v>1804</v>
      </c>
      <c r="T533" t="s">
        <v>161</v>
      </c>
      <c r="U533" t="s">
        <v>154</v>
      </c>
      <c r="V533" t="str">
        <f>IFERROR(INDEX(Products!$C:$C,MATCH(D533,Products!$A:$A,0)),"Unknown")</f>
        <v>Watches</v>
      </c>
      <c r="W533" t="str">
        <f>IFERROR(INDEX(Products!$E:$E,MATCH(D533,Products!$A:$A,0)),"Unknown")</f>
        <v>Fossil</v>
      </c>
      <c r="X533" t="str">
        <f>IFERROR(INDEX(Stores!$B:$B,MATCH(E533,Stores!$A:$A,0)),"Unknown")</f>
        <v>TrendMart Thiruvananthapuram High Street</v>
      </c>
      <c r="Y533" t="str">
        <f>IFERROR(INDEX(Stores!$E:$E,MATCH(E533,Stores!$A:$A,0)),"Unknown")</f>
        <v>South Zone 1</v>
      </c>
      <c r="Z533" t="str">
        <f>IFERROR(INDEX(Customers!$J:$J,MATCH(C533,Customers!$A:$A,0)),"Unknown")</f>
        <v>Regular</v>
      </c>
      <c r="AA533" t="str">
        <f t="shared" si="8"/>
        <v>2024-10</v>
      </c>
      <c r="AB533" t="str">
        <f>IFERROR(INDEX(Products!$I:$I,MATCH(D533,Products!$A:$A,0)),"Unknown")</f>
        <v>SUP054</v>
      </c>
    </row>
    <row r="534" spans="1:28" x14ac:dyDescent="0.25">
      <c r="A534" t="s">
        <v>1805</v>
      </c>
      <c r="B534" s="20">
        <v>45672</v>
      </c>
      <c r="C534" t="s">
        <v>1599</v>
      </c>
      <c r="D534" t="s">
        <v>1511</v>
      </c>
      <c r="E534" t="s">
        <v>451</v>
      </c>
      <c r="F534" t="s">
        <v>308</v>
      </c>
      <c r="G534">
        <v>2</v>
      </c>
      <c r="H534" s="21">
        <v>2352.16</v>
      </c>
      <c r="I534">
        <v>15</v>
      </c>
      <c r="J534" s="21">
        <v>705.65</v>
      </c>
      <c r="K534">
        <v>12</v>
      </c>
      <c r="L534" s="21">
        <v>479.84</v>
      </c>
      <c r="M534" s="21">
        <v>4478.51</v>
      </c>
      <c r="N534" s="21">
        <v>3612.06</v>
      </c>
      <c r="O534" s="21">
        <v>386.61</v>
      </c>
      <c r="P534" t="s">
        <v>121</v>
      </c>
      <c r="Q534" t="s">
        <v>120</v>
      </c>
      <c r="R534" t="s">
        <v>151</v>
      </c>
      <c r="S534" t="s">
        <v>1806</v>
      </c>
      <c r="T534" t="s">
        <v>153</v>
      </c>
      <c r="U534" t="s">
        <v>154</v>
      </c>
      <c r="V534" t="str">
        <f>IFERROR(INDEX(Products!$C:$C,MATCH(D534,Products!$A:$A,0)),"Unknown")</f>
        <v>Watches</v>
      </c>
      <c r="W534" t="str">
        <f>IFERROR(INDEX(Products!$E:$E,MATCH(D534,Products!$A:$A,0)),"Unknown")</f>
        <v>Woodland</v>
      </c>
      <c r="X534" t="str">
        <f>IFERROR(INDEX(Stores!$B:$B,MATCH(E534,Stores!$A:$A,0)),"Unknown")</f>
        <v>TrendMart Thoothukudi High Street</v>
      </c>
      <c r="Y534" t="str">
        <f>IFERROR(INDEX(Stores!$E:$E,MATCH(E534,Stores!$A:$A,0)),"Unknown")</f>
        <v>South Zone 1</v>
      </c>
      <c r="Z534" t="str">
        <f>IFERROR(INDEX(Customers!$J:$J,MATCH(C534,Customers!$A:$A,0)),"Unknown")</f>
        <v>Regular</v>
      </c>
      <c r="AA534" t="str">
        <f t="shared" si="8"/>
        <v>2025-01</v>
      </c>
      <c r="AB534" t="str">
        <f>IFERROR(INDEX(Products!$I:$I,MATCH(D534,Products!$A:$A,0)),"Unknown")</f>
        <v>SUP064</v>
      </c>
    </row>
    <row r="535" spans="1:28" x14ac:dyDescent="0.25">
      <c r="A535" t="s">
        <v>1807</v>
      </c>
      <c r="B535" s="20">
        <v>45624</v>
      </c>
      <c r="C535" t="s">
        <v>1554</v>
      </c>
      <c r="D535" t="s">
        <v>312</v>
      </c>
      <c r="E535" t="s">
        <v>914</v>
      </c>
      <c r="F535" t="s">
        <v>532</v>
      </c>
      <c r="G535">
        <v>2</v>
      </c>
      <c r="H535" s="21">
        <v>1194.3399999999999</v>
      </c>
      <c r="I535">
        <v>15</v>
      </c>
      <c r="J535" s="21">
        <v>358.3</v>
      </c>
      <c r="K535">
        <v>12</v>
      </c>
      <c r="L535" s="21">
        <v>243.65</v>
      </c>
      <c r="M535" s="21">
        <v>2274.0300000000002</v>
      </c>
      <c r="N535" s="21">
        <v>1731.84</v>
      </c>
      <c r="O535" s="21">
        <v>298.54000000000002</v>
      </c>
      <c r="P535" t="s">
        <v>125</v>
      </c>
      <c r="Q535" t="s">
        <v>120</v>
      </c>
      <c r="R535" t="s">
        <v>151</v>
      </c>
      <c r="S535" t="s">
        <v>1513</v>
      </c>
      <c r="T535" t="s">
        <v>153</v>
      </c>
      <c r="U535" t="s">
        <v>154</v>
      </c>
      <c r="V535" t="str">
        <f>IFERROR(INDEX(Products!$C:$C,MATCH(D535,Products!$A:$A,0)),"Unknown")</f>
        <v>Handbags</v>
      </c>
      <c r="W535" t="str">
        <f>IFERROR(INDEX(Products!$E:$E,MATCH(D535,Products!$A:$A,0)),"Unknown")</f>
        <v>Wrangler</v>
      </c>
      <c r="X535" t="str">
        <f>IFERROR(INDEX(Stores!$B:$B,MATCH(E535,Stores!$A:$A,0)),"Unknown")</f>
        <v>TrendMart Thiruvananthapuram Outlet</v>
      </c>
      <c r="Y535" t="str">
        <f>IFERROR(INDEX(Stores!$E:$E,MATCH(E535,Stores!$A:$A,0)),"Unknown")</f>
        <v>South Zone 1</v>
      </c>
      <c r="Z535" t="str">
        <f>IFERROR(INDEX(Customers!$J:$J,MATCH(C535,Customers!$A:$A,0)),"Unknown")</f>
        <v>Gold</v>
      </c>
      <c r="AA535" t="str">
        <f t="shared" si="8"/>
        <v>2024-11</v>
      </c>
      <c r="AB535" t="str">
        <f>IFERROR(INDEX(Products!$I:$I,MATCH(D535,Products!$A:$A,0)),"Unknown")</f>
        <v>SUP008</v>
      </c>
    </row>
    <row r="536" spans="1:28" x14ac:dyDescent="0.25">
      <c r="A536" t="s">
        <v>1808</v>
      </c>
      <c r="B536" s="20">
        <v>45464</v>
      </c>
      <c r="C536" t="s">
        <v>743</v>
      </c>
      <c r="D536" t="s">
        <v>1809</v>
      </c>
      <c r="E536" t="s">
        <v>291</v>
      </c>
      <c r="F536" t="s">
        <v>242</v>
      </c>
      <c r="G536">
        <v>1</v>
      </c>
      <c r="H536" s="21">
        <v>998.13</v>
      </c>
      <c r="I536">
        <v>10</v>
      </c>
      <c r="J536" s="21">
        <v>99.81</v>
      </c>
      <c r="K536">
        <v>5</v>
      </c>
      <c r="L536" s="21">
        <v>44.92</v>
      </c>
      <c r="M536" s="21">
        <v>943.24</v>
      </c>
      <c r="N536" s="21">
        <v>756.59</v>
      </c>
      <c r="O536" s="21">
        <v>141.72999999999999</v>
      </c>
      <c r="P536" t="s">
        <v>123</v>
      </c>
      <c r="Q536" t="s">
        <v>122</v>
      </c>
      <c r="R536" t="s">
        <v>151</v>
      </c>
      <c r="S536" t="s">
        <v>1018</v>
      </c>
      <c r="T536" t="s">
        <v>153</v>
      </c>
      <c r="U536" t="s">
        <v>154</v>
      </c>
      <c r="V536" t="str">
        <f>IFERROR(INDEX(Products!$C:$C,MATCH(D536,Products!$A:$A,0)),"Unknown")</f>
        <v>Men Jeans</v>
      </c>
      <c r="W536" t="str">
        <f>IFERROR(INDEX(Products!$E:$E,MATCH(D536,Products!$A:$A,0)),"Unknown")</f>
        <v>Mufti</v>
      </c>
      <c r="X536" t="str">
        <f>IFERROR(INDEX(Stores!$B:$B,MATCH(E536,Stores!$A:$A,0)),"Unknown")</f>
        <v>TrendMart Khammam Standard</v>
      </c>
      <c r="Y536" t="str">
        <f>IFERROR(INDEX(Stores!$E:$E,MATCH(E536,Stores!$A:$A,0)),"Unknown")</f>
        <v>South Zone 2</v>
      </c>
      <c r="Z536" t="str">
        <f>IFERROR(INDEX(Customers!$J:$J,MATCH(C536,Customers!$A:$A,0)),"Unknown")</f>
        <v>Silver</v>
      </c>
      <c r="AA536" t="str">
        <f t="shared" si="8"/>
        <v>2024-06</v>
      </c>
      <c r="AB536" t="str">
        <f>IFERROR(INDEX(Products!$I:$I,MATCH(D536,Products!$A:$A,0)),"Unknown")</f>
        <v>SUP035</v>
      </c>
    </row>
    <row r="537" spans="1:28" x14ac:dyDescent="0.25">
      <c r="A537" t="s">
        <v>1810</v>
      </c>
      <c r="B537" s="20">
        <v>45487</v>
      </c>
      <c r="C537" t="s">
        <v>1170</v>
      </c>
      <c r="D537" t="s">
        <v>1080</v>
      </c>
      <c r="E537" t="s">
        <v>848</v>
      </c>
      <c r="F537" t="s">
        <v>182</v>
      </c>
      <c r="G537">
        <v>5</v>
      </c>
      <c r="H537" s="21">
        <v>1454.7</v>
      </c>
      <c r="I537">
        <v>0</v>
      </c>
      <c r="J537" s="21">
        <v>0</v>
      </c>
      <c r="K537">
        <v>12</v>
      </c>
      <c r="L537" s="21">
        <v>872.82</v>
      </c>
      <c r="M537" s="21">
        <v>8146.32</v>
      </c>
      <c r="N537" s="21">
        <v>4571.75</v>
      </c>
      <c r="O537" s="21">
        <v>2701.75</v>
      </c>
      <c r="P537" t="s">
        <v>125</v>
      </c>
      <c r="Q537" t="s">
        <v>122</v>
      </c>
      <c r="R537" t="s">
        <v>151</v>
      </c>
      <c r="S537" t="s">
        <v>1565</v>
      </c>
      <c r="T537" t="s">
        <v>161</v>
      </c>
      <c r="U537" t="s">
        <v>154</v>
      </c>
      <c r="V537" t="str">
        <f>IFERROR(INDEX(Products!$C:$C,MATCH(D537,Products!$A:$A,0)),"Unknown")</f>
        <v>Winter Wear</v>
      </c>
      <c r="W537" t="str">
        <f>IFERROR(INDEX(Products!$E:$E,MATCH(D537,Products!$A:$A,0)),"Unknown")</f>
        <v>Max Fashion</v>
      </c>
      <c r="X537" t="str">
        <f>IFERROR(INDEX(Stores!$B:$B,MATCH(E537,Stores!$A:$A,0)),"Unknown")</f>
        <v>TrendMart Shivamogga Standard</v>
      </c>
      <c r="Y537" t="str">
        <f>IFERROR(INDEX(Stores!$E:$E,MATCH(E537,Stores!$A:$A,0)),"Unknown")</f>
        <v>South Zone 2</v>
      </c>
      <c r="Z537" t="str">
        <f>IFERROR(INDEX(Customers!$J:$J,MATCH(C537,Customers!$A:$A,0)),"Unknown")</f>
        <v>Gold</v>
      </c>
      <c r="AA537" t="str">
        <f t="shared" si="8"/>
        <v>2024-07</v>
      </c>
      <c r="AB537" t="str">
        <f>IFERROR(INDEX(Products!$I:$I,MATCH(D537,Products!$A:$A,0)),"Unknown")</f>
        <v>SUP017</v>
      </c>
    </row>
    <row r="538" spans="1:28" x14ac:dyDescent="0.25">
      <c r="A538" t="s">
        <v>1811</v>
      </c>
      <c r="B538" s="20">
        <v>45408</v>
      </c>
      <c r="C538" t="s">
        <v>1812</v>
      </c>
      <c r="D538" t="s">
        <v>1813</v>
      </c>
      <c r="E538" t="s">
        <v>98</v>
      </c>
      <c r="F538" t="s">
        <v>308</v>
      </c>
      <c r="G538">
        <v>3</v>
      </c>
      <c r="H538" s="21">
        <v>999.66</v>
      </c>
      <c r="I538">
        <v>15</v>
      </c>
      <c r="J538" s="21">
        <v>449.85</v>
      </c>
      <c r="K538">
        <v>5</v>
      </c>
      <c r="L538" s="21">
        <v>127.46</v>
      </c>
      <c r="M538" s="21">
        <v>2676.59</v>
      </c>
      <c r="N538" s="21">
        <v>2177.61</v>
      </c>
      <c r="O538" s="21">
        <v>371.52</v>
      </c>
      <c r="P538" t="s">
        <v>124</v>
      </c>
      <c r="Q538" t="s">
        <v>120</v>
      </c>
      <c r="R538" t="s">
        <v>313</v>
      </c>
      <c r="S538" t="s">
        <v>838</v>
      </c>
      <c r="T538" t="s">
        <v>153</v>
      </c>
      <c r="U538" t="s">
        <v>154</v>
      </c>
      <c r="V538" t="str">
        <f>IFERROR(INDEX(Products!$C:$C,MATCH(D538,Products!$A:$A,0)),"Unknown")</f>
        <v>Footwear</v>
      </c>
      <c r="W538" t="str">
        <f>IFERROR(INDEX(Products!$E:$E,MATCH(D538,Products!$A:$A,0)),"Unknown")</f>
        <v>Titan</v>
      </c>
      <c r="X538" t="str">
        <f>IFERROR(INDEX(Stores!$B:$B,MATCH(E538,Stores!$A:$A,0)),"Unknown")</f>
        <v>TrendMart Bengaluru Flagship</v>
      </c>
      <c r="Y538" t="str">
        <f>IFERROR(INDEX(Stores!$E:$E,MATCH(E538,Stores!$A:$A,0)),"Unknown")</f>
        <v>South Zone 2</v>
      </c>
      <c r="Z538" t="str">
        <f>IFERROR(INDEX(Customers!$J:$J,MATCH(C538,Customers!$A:$A,0)),"Unknown")</f>
        <v>Regular</v>
      </c>
      <c r="AA538" t="str">
        <f t="shared" si="8"/>
        <v>2024-04</v>
      </c>
      <c r="AB538" t="str">
        <f>IFERROR(INDEX(Products!$I:$I,MATCH(D538,Products!$A:$A,0)),"Unknown")</f>
        <v>SUP002</v>
      </c>
    </row>
    <row r="539" spans="1:28" x14ac:dyDescent="0.25">
      <c r="A539" t="s">
        <v>1814</v>
      </c>
      <c r="B539" s="20">
        <v>45712</v>
      </c>
      <c r="C539" t="s">
        <v>1114</v>
      </c>
      <c r="D539" t="s">
        <v>756</v>
      </c>
      <c r="E539" t="s">
        <v>451</v>
      </c>
      <c r="F539" t="s">
        <v>618</v>
      </c>
      <c r="G539">
        <v>1</v>
      </c>
      <c r="H539" s="21">
        <v>773.55</v>
      </c>
      <c r="I539">
        <v>30</v>
      </c>
      <c r="J539" s="21">
        <v>232.06</v>
      </c>
      <c r="K539">
        <v>5</v>
      </c>
      <c r="L539" s="21">
        <v>27.07</v>
      </c>
      <c r="M539" s="21">
        <v>568.55999999999995</v>
      </c>
      <c r="N539" s="21">
        <v>522.38</v>
      </c>
      <c r="O539" s="21">
        <v>19.11</v>
      </c>
      <c r="P539" t="s">
        <v>124</v>
      </c>
      <c r="Q539" t="s">
        <v>120</v>
      </c>
      <c r="R539" t="s">
        <v>151</v>
      </c>
      <c r="S539" t="s">
        <v>1194</v>
      </c>
      <c r="T539" t="s">
        <v>153</v>
      </c>
      <c r="U539" t="s">
        <v>154</v>
      </c>
      <c r="V539" t="str">
        <f>IFERROR(INDEX(Products!$C:$C,MATCH(D539,Products!$A:$A,0)),"Unknown")</f>
        <v>Women Tops</v>
      </c>
      <c r="W539" t="str">
        <f>IFERROR(INDEX(Products!$E:$E,MATCH(D539,Products!$A:$A,0)),"Unknown")</f>
        <v>Peter England</v>
      </c>
      <c r="X539" t="str">
        <f>IFERROR(INDEX(Stores!$B:$B,MATCH(E539,Stores!$A:$A,0)),"Unknown")</f>
        <v>TrendMart Thoothukudi High Street</v>
      </c>
      <c r="Y539" t="str">
        <f>IFERROR(INDEX(Stores!$E:$E,MATCH(E539,Stores!$A:$A,0)),"Unknown")</f>
        <v>South Zone 1</v>
      </c>
      <c r="Z539" t="str">
        <f>IFERROR(INDEX(Customers!$J:$J,MATCH(C539,Customers!$A:$A,0)),"Unknown")</f>
        <v>Silver</v>
      </c>
      <c r="AA539" t="str">
        <f t="shared" si="8"/>
        <v>2025-02</v>
      </c>
      <c r="AB539" t="str">
        <f>IFERROR(INDEX(Products!$I:$I,MATCH(D539,Products!$A:$A,0)),"Unknown")</f>
        <v>SUP018</v>
      </c>
    </row>
    <row r="540" spans="1:28" x14ac:dyDescent="0.25">
      <c r="A540" t="s">
        <v>1815</v>
      </c>
      <c r="B540" s="20">
        <v>45404</v>
      </c>
      <c r="C540" t="s">
        <v>867</v>
      </c>
      <c r="D540" t="s">
        <v>1816</v>
      </c>
      <c r="E540" t="s">
        <v>181</v>
      </c>
      <c r="F540" t="s">
        <v>211</v>
      </c>
      <c r="G540">
        <v>2</v>
      </c>
      <c r="H540" s="21">
        <v>1340.93</v>
      </c>
      <c r="I540">
        <v>10</v>
      </c>
      <c r="J540" s="21">
        <v>268.19</v>
      </c>
      <c r="K540">
        <v>12</v>
      </c>
      <c r="L540" s="21">
        <v>289.64</v>
      </c>
      <c r="M540" s="21">
        <v>2703.31</v>
      </c>
      <c r="N540" s="21">
        <v>1812.6</v>
      </c>
      <c r="O540" s="21">
        <v>601.07000000000005</v>
      </c>
      <c r="P540" t="s">
        <v>123</v>
      </c>
      <c r="Q540" t="s">
        <v>120</v>
      </c>
      <c r="R540" t="s">
        <v>151</v>
      </c>
      <c r="S540" t="s">
        <v>1134</v>
      </c>
      <c r="T540" t="s">
        <v>153</v>
      </c>
      <c r="U540" t="s">
        <v>154</v>
      </c>
      <c r="V540" t="str">
        <f>IFERROR(INDEX(Products!$C:$C,MATCH(D540,Products!$A:$A,0)),"Unknown")</f>
        <v>Wallets</v>
      </c>
      <c r="W540" t="str">
        <f>IFERROR(INDEX(Products!$E:$E,MATCH(D540,Products!$A:$A,0)),"Unknown")</f>
        <v>Louis Philippe</v>
      </c>
      <c r="X540" t="str">
        <f>IFERROR(INDEX(Stores!$B:$B,MATCH(E540,Stores!$A:$A,0)),"Unknown")</f>
        <v>TrendMart Kurnool High Street</v>
      </c>
      <c r="Y540" t="str">
        <f>IFERROR(INDEX(Stores!$E:$E,MATCH(E540,Stores!$A:$A,0)),"Unknown")</f>
        <v>South Zone 3</v>
      </c>
      <c r="Z540" t="str">
        <f>IFERROR(INDEX(Customers!$J:$J,MATCH(C540,Customers!$A:$A,0)),"Unknown")</f>
        <v>Silver</v>
      </c>
      <c r="AA540" t="str">
        <f t="shared" si="8"/>
        <v>2024-04</v>
      </c>
      <c r="AB540" t="str">
        <f>IFERROR(INDEX(Products!$I:$I,MATCH(D540,Products!$A:$A,0)),"Unknown")</f>
        <v>SUP076</v>
      </c>
    </row>
    <row r="541" spans="1:28" x14ac:dyDescent="0.25">
      <c r="A541" t="s">
        <v>1817</v>
      </c>
      <c r="B541" s="20">
        <v>45616</v>
      </c>
      <c r="C541" t="s">
        <v>414</v>
      </c>
      <c r="D541" t="s">
        <v>1044</v>
      </c>
      <c r="E541" t="s">
        <v>831</v>
      </c>
      <c r="F541" t="s">
        <v>397</v>
      </c>
      <c r="G541">
        <v>1</v>
      </c>
      <c r="H541" s="21">
        <v>575.37</v>
      </c>
      <c r="I541">
        <v>0</v>
      </c>
      <c r="J541" s="21">
        <v>0</v>
      </c>
      <c r="K541">
        <v>5</v>
      </c>
      <c r="L541" s="21">
        <v>28.77</v>
      </c>
      <c r="M541" s="21">
        <v>604.14</v>
      </c>
      <c r="N541" s="21">
        <v>335.15</v>
      </c>
      <c r="O541" s="21">
        <v>240.22</v>
      </c>
      <c r="P541" t="s">
        <v>125</v>
      </c>
      <c r="Q541" t="s">
        <v>122</v>
      </c>
      <c r="R541" t="s">
        <v>151</v>
      </c>
      <c r="S541" t="s">
        <v>1639</v>
      </c>
      <c r="T541" t="s">
        <v>153</v>
      </c>
      <c r="U541" t="s">
        <v>154</v>
      </c>
      <c r="V541" t="str">
        <f>IFERROR(INDEX(Products!$C:$C,MATCH(D541,Products!$A:$A,0)),"Unknown")</f>
        <v>Men T-Shirts</v>
      </c>
      <c r="W541" t="str">
        <f>IFERROR(INDEX(Products!$E:$E,MATCH(D541,Products!$A:$A,0)),"Unknown")</f>
        <v>Mufti</v>
      </c>
      <c r="X541" t="str">
        <f>IFERROR(INDEX(Stores!$B:$B,MATCH(E541,Stores!$A:$A,0)),"Unknown")</f>
        <v>TrendMart Vellore Standard</v>
      </c>
      <c r="Y541" t="str">
        <f>IFERROR(INDEX(Stores!$E:$E,MATCH(E541,Stores!$A:$A,0)),"Unknown")</f>
        <v>South Zone 1</v>
      </c>
      <c r="Z541" t="str">
        <f>IFERROR(INDEX(Customers!$J:$J,MATCH(C541,Customers!$A:$A,0)),"Unknown")</f>
        <v>Regular</v>
      </c>
      <c r="AA541" t="str">
        <f t="shared" si="8"/>
        <v>2024-11</v>
      </c>
      <c r="AB541" t="str">
        <f>IFERROR(INDEX(Products!$I:$I,MATCH(D541,Products!$A:$A,0)),"Unknown")</f>
        <v>SUP042</v>
      </c>
    </row>
    <row r="542" spans="1:28" x14ac:dyDescent="0.25">
      <c r="A542" t="s">
        <v>1818</v>
      </c>
      <c r="B542" s="20">
        <v>45553</v>
      </c>
      <c r="C542" t="s">
        <v>1819</v>
      </c>
      <c r="D542" t="s">
        <v>622</v>
      </c>
      <c r="E542" t="s">
        <v>90</v>
      </c>
      <c r="F542" t="s">
        <v>550</v>
      </c>
      <c r="G542">
        <v>1</v>
      </c>
      <c r="H542" s="21">
        <v>2751.75</v>
      </c>
      <c r="I542">
        <v>30</v>
      </c>
      <c r="J542" s="21">
        <v>825.52</v>
      </c>
      <c r="K542">
        <v>12</v>
      </c>
      <c r="L542" s="21">
        <v>231.15</v>
      </c>
      <c r="M542" s="21">
        <v>2157.38</v>
      </c>
      <c r="N542" s="21">
        <v>1853.14</v>
      </c>
      <c r="O542" s="21">
        <v>73.09</v>
      </c>
      <c r="P542" t="s">
        <v>121</v>
      </c>
      <c r="Q542" t="s">
        <v>120</v>
      </c>
      <c r="R542" t="s">
        <v>151</v>
      </c>
      <c r="S542" t="s">
        <v>1671</v>
      </c>
      <c r="T542" t="s">
        <v>153</v>
      </c>
      <c r="U542" t="s">
        <v>154</v>
      </c>
      <c r="V542" t="str">
        <f>IFERROR(INDEX(Products!$C:$C,MATCH(D542,Products!$A:$A,0)),"Unknown")</f>
        <v>Women Sarees</v>
      </c>
      <c r="W542" t="str">
        <f>IFERROR(INDEX(Products!$E:$E,MATCH(D542,Products!$A:$A,0)),"Unknown")</f>
        <v>Sparx</v>
      </c>
      <c r="X542" t="str">
        <f>IFERROR(INDEX(Stores!$B:$B,MATCH(E542,Stores!$A:$A,0)),"Unknown")</f>
        <v>TrendMart Thoothukudi Mall Kiosk</v>
      </c>
      <c r="Y542" t="str">
        <f>IFERROR(INDEX(Stores!$E:$E,MATCH(E542,Stores!$A:$A,0)),"Unknown")</f>
        <v>South Zone 1</v>
      </c>
      <c r="Z542" t="str">
        <f>IFERROR(INDEX(Customers!$J:$J,MATCH(C542,Customers!$A:$A,0)),"Unknown")</f>
        <v>Regular</v>
      </c>
      <c r="AA542" t="str">
        <f t="shared" si="8"/>
        <v>2024-09</v>
      </c>
      <c r="AB542" t="str">
        <f>IFERROR(INDEX(Products!$I:$I,MATCH(D542,Products!$A:$A,0)),"Unknown")</f>
        <v>SUP080</v>
      </c>
    </row>
    <row r="543" spans="1:28" x14ac:dyDescent="0.25">
      <c r="A543" t="s">
        <v>1820</v>
      </c>
      <c r="B543" s="20">
        <v>45592</v>
      </c>
      <c r="C543" t="s">
        <v>1821</v>
      </c>
      <c r="D543" t="s">
        <v>1026</v>
      </c>
      <c r="E543" t="s">
        <v>495</v>
      </c>
      <c r="F543" t="s">
        <v>462</v>
      </c>
      <c r="G543">
        <v>2</v>
      </c>
      <c r="H543" s="21">
        <v>1327.57</v>
      </c>
      <c r="I543">
        <v>15</v>
      </c>
      <c r="J543" s="21">
        <v>398.27</v>
      </c>
      <c r="K543">
        <v>12</v>
      </c>
      <c r="L543" s="21">
        <v>270.82</v>
      </c>
      <c r="M543" s="21">
        <v>2527.69</v>
      </c>
      <c r="N543" s="21">
        <v>1924.34</v>
      </c>
      <c r="O543" s="21">
        <v>332.53</v>
      </c>
      <c r="P543" t="s">
        <v>124</v>
      </c>
      <c r="Q543" t="s">
        <v>120</v>
      </c>
      <c r="R543" t="s">
        <v>151</v>
      </c>
      <c r="S543" t="s">
        <v>1822</v>
      </c>
      <c r="T543" t="s">
        <v>161</v>
      </c>
      <c r="U543" t="s">
        <v>154</v>
      </c>
      <c r="V543" t="str">
        <f>IFERROR(INDEX(Products!$C:$C,MATCH(D543,Products!$A:$A,0)),"Unknown")</f>
        <v>Women Sarees</v>
      </c>
      <c r="W543" t="str">
        <f>IFERROR(INDEX(Products!$E:$E,MATCH(D543,Products!$A:$A,0)),"Unknown")</f>
        <v>Spykar</v>
      </c>
      <c r="X543" t="str">
        <f>IFERROR(INDEX(Stores!$B:$B,MATCH(E543,Stores!$A:$A,0)),"Unknown")</f>
        <v>TrendMart Visakhapatnam Flagship</v>
      </c>
      <c r="Y543" t="str">
        <f>IFERROR(INDEX(Stores!$E:$E,MATCH(E543,Stores!$A:$A,0)),"Unknown")</f>
        <v>South Zone 3</v>
      </c>
      <c r="Z543" t="str">
        <f>IFERROR(INDEX(Customers!$J:$J,MATCH(C543,Customers!$A:$A,0)),"Unknown")</f>
        <v>Silver</v>
      </c>
      <c r="AA543" t="str">
        <f t="shared" si="8"/>
        <v>2024-10</v>
      </c>
      <c r="AB543" t="str">
        <f>IFERROR(INDEX(Products!$I:$I,MATCH(D543,Products!$A:$A,0)),"Unknown")</f>
        <v>SUP001</v>
      </c>
    </row>
    <row r="544" spans="1:28" x14ac:dyDescent="0.25">
      <c r="A544" t="s">
        <v>1823</v>
      </c>
      <c r="B544" s="20">
        <v>45595</v>
      </c>
      <c r="C544" t="s">
        <v>419</v>
      </c>
      <c r="D544" t="s">
        <v>1431</v>
      </c>
      <c r="E544" t="s">
        <v>1325</v>
      </c>
      <c r="F544" t="s">
        <v>275</v>
      </c>
      <c r="G544">
        <v>1</v>
      </c>
      <c r="H544" s="21">
        <v>1322.83</v>
      </c>
      <c r="I544">
        <v>15</v>
      </c>
      <c r="J544" s="21">
        <v>198.42</v>
      </c>
      <c r="K544">
        <v>12</v>
      </c>
      <c r="L544" s="21">
        <v>134.93</v>
      </c>
      <c r="M544" s="21">
        <v>1259.3399999999999</v>
      </c>
      <c r="N544" s="21">
        <v>949.97</v>
      </c>
      <c r="O544" s="21">
        <v>174.44</v>
      </c>
      <c r="P544" t="s">
        <v>123</v>
      </c>
      <c r="Q544" t="s">
        <v>122</v>
      </c>
      <c r="R544" t="s">
        <v>151</v>
      </c>
      <c r="S544" t="s">
        <v>589</v>
      </c>
      <c r="T544" t="s">
        <v>153</v>
      </c>
      <c r="U544" t="s">
        <v>154</v>
      </c>
      <c r="V544" t="str">
        <f>IFERROR(INDEX(Products!$C:$C,MATCH(D544,Products!$A:$A,0)),"Unknown")</f>
        <v>Wallets</v>
      </c>
      <c r="W544" t="str">
        <f>IFERROR(INDEX(Products!$E:$E,MATCH(D544,Products!$A:$A,0)),"Unknown")</f>
        <v>Van Heusen</v>
      </c>
      <c r="X544" t="str">
        <f>IFERROR(INDEX(Stores!$B:$B,MATCH(E544,Stores!$A:$A,0)),"Unknown")</f>
        <v>TrendMart Thrissur Standard</v>
      </c>
      <c r="Y544" t="str">
        <f>IFERROR(INDEX(Stores!$E:$E,MATCH(E544,Stores!$A:$A,0)),"Unknown")</f>
        <v>South Zone 1</v>
      </c>
      <c r="Z544" t="str">
        <f>IFERROR(INDEX(Customers!$J:$J,MATCH(C544,Customers!$A:$A,0)),"Unknown")</f>
        <v>Regular</v>
      </c>
      <c r="AA544" t="str">
        <f t="shared" si="8"/>
        <v>2024-10</v>
      </c>
      <c r="AB544" t="str">
        <f>IFERROR(INDEX(Products!$I:$I,MATCH(D544,Products!$A:$A,0)),"Unknown")</f>
        <v>SUP087</v>
      </c>
    </row>
    <row r="545" spans="1:28" x14ac:dyDescent="0.25">
      <c r="A545" t="s">
        <v>1824</v>
      </c>
      <c r="B545" s="20">
        <v>45586</v>
      </c>
      <c r="C545" t="s">
        <v>1473</v>
      </c>
      <c r="D545" t="s">
        <v>1809</v>
      </c>
      <c r="E545" t="s">
        <v>1825</v>
      </c>
      <c r="F545" t="s">
        <v>281</v>
      </c>
      <c r="G545">
        <v>2</v>
      </c>
      <c r="H545" s="21">
        <v>1057.68</v>
      </c>
      <c r="I545">
        <v>15</v>
      </c>
      <c r="J545" s="21">
        <v>317.3</v>
      </c>
      <c r="K545">
        <v>12</v>
      </c>
      <c r="L545" s="21">
        <v>215.77</v>
      </c>
      <c r="M545" s="21">
        <v>2013.83</v>
      </c>
      <c r="N545" s="21">
        <v>1513.18</v>
      </c>
      <c r="O545" s="21">
        <v>284.88</v>
      </c>
      <c r="P545" t="s">
        <v>125</v>
      </c>
      <c r="Q545" t="s">
        <v>120</v>
      </c>
      <c r="R545" t="s">
        <v>151</v>
      </c>
      <c r="S545" t="s">
        <v>1826</v>
      </c>
      <c r="T545" t="s">
        <v>153</v>
      </c>
      <c r="U545" t="s">
        <v>154</v>
      </c>
      <c r="V545" t="str">
        <f>IFERROR(INDEX(Products!$C:$C,MATCH(D545,Products!$A:$A,0)),"Unknown")</f>
        <v>Men Jeans</v>
      </c>
      <c r="W545" t="str">
        <f>IFERROR(INDEX(Products!$E:$E,MATCH(D545,Products!$A:$A,0)),"Unknown")</f>
        <v>Mufti</v>
      </c>
      <c r="X545" t="str">
        <f>IFERROR(INDEX(Stores!$B:$B,MATCH(E545,Stores!$A:$A,0)),"Unknown")</f>
        <v>TrendMart Vijayawada Outlet</v>
      </c>
      <c r="Y545" t="str">
        <f>IFERROR(INDEX(Stores!$E:$E,MATCH(E545,Stores!$A:$A,0)),"Unknown")</f>
        <v>South Zone 3</v>
      </c>
      <c r="Z545" t="str">
        <f>IFERROR(INDEX(Customers!$J:$J,MATCH(C545,Customers!$A:$A,0)),"Unknown")</f>
        <v>Regular</v>
      </c>
      <c r="AA545" t="str">
        <f t="shared" si="8"/>
        <v>2024-10</v>
      </c>
      <c r="AB545" t="str">
        <f>IFERROR(INDEX(Products!$I:$I,MATCH(D545,Products!$A:$A,0)),"Unknown")</f>
        <v>SUP035</v>
      </c>
    </row>
    <row r="546" spans="1:28" x14ac:dyDescent="0.25">
      <c r="A546" t="s">
        <v>1827</v>
      </c>
      <c r="B546" s="20">
        <v>45693</v>
      </c>
      <c r="C546" t="s">
        <v>1828</v>
      </c>
      <c r="D546" t="s">
        <v>662</v>
      </c>
      <c r="E546" t="s">
        <v>470</v>
      </c>
      <c r="F546" t="s">
        <v>189</v>
      </c>
      <c r="G546">
        <v>4</v>
      </c>
      <c r="H546" s="21">
        <v>500.44</v>
      </c>
      <c r="I546">
        <v>20</v>
      </c>
      <c r="J546" s="21">
        <v>400.35</v>
      </c>
      <c r="K546">
        <v>5</v>
      </c>
      <c r="L546" s="21">
        <v>80.069999999999993</v>
      </c>
      <c r="M546" s="21">
        <v>1681.48</v>
      </c>
      <c r="N546" s="21">
        <v>1199.44</v>
      </c>
      <c r="O546" s="21">
        <v>401.97</v>
      </c>
      <c r="P546" t="s">
        <v>124</v>
      </c>
      <c r="Q546" t="s">
        <v>120</v>
      </c>
      <c r="R546" t="s">
        <v>151</v>
      </c>
      <c r="S546" t="s">
        <v>1829</v>
      </c>
      <c r="T546" t="s">
        <v>153</v>
      </c>
      <c r="U546" t="s">
        <v>154</v>
      </c>
      <c r="V546" t="str">
        <f>IFERROR(INDEX(Products!$C:$C,MATCH(D546,Products!$A:$A,0)),"Unknown")</f>
        <v>Men T-Shirts</v>
      </c>
      <c r="W546" t="str">
        <f>IFERROR(INDEX(Products!$E:$E,MATCH(D546,Products!$A:$A,0)),"Unknown")</f>
        <v>Global Desi</v>
      </c>
      <c r="X546" t="str">
        <f>IFERROR(INDEX(Stores!$B:$B,MATCH(E546,Stores!$A:$A,0)),"Unknown")</f>
        <v>TrendMart Thiruvananthapuram High Street</v>
      </c>
      <c r="Y546" t="str">
        <f>IFERROR(INDEX(Stores!$E:$E,MATCH(E546,Stores!$A:$A,0)),"Unknown")</f>
        <v>South Zone 1</v>
      </c>
      <c r="Z546" t="str">
        <f>IFERROR(INDEX(Customers!$J:$J,MATCH(C546,Customers!$A:$A,0)),"Unknown")</f>
        <v>Platinum</v>
      </c>
      <c r="AA546" t="str">
        <f t="shared" si="8"/>
        <v>2025-02</v>
      </c>
      <c r="AB546" t="str">
        <f>IFERROR(INDEX(Products!$I:$I,MATCH(D546,Products!$A:$A,0)),"Unknown")</f>
        <v>SUP049</v>
      </c>
    </row>
    <row r="547" spans="1:28" x14ac:dyDescent="0.25">
      <c r="A547" t="s">
        <v>1830</v>
      </c>
      <c r="B547" s="20">
        <v>45453</v>
      </c>
      <c r="C547" t="s">
        <v>1831</v>
      </c>
      <c r="D547" t="s">
        <v>210</v>
      </c>
      <c r="E547" t="s">
        <v>745</v>
      </c>
      <c r="F547" t="s">
        <v>176</v>
      </c>
      <c r="G547">
        <v>3</v>
      </c>
      <c r="H547" s="21">
        <v>1674.22</v>
      </c>
      <c r="I547">
        <v>25</v>
      </c>
      <c r="J547" s="21">
        <v>1255.6600000000001</v>
      </c>
      <c r="K547">
        <v>12</v>
      </c>
      <c r="L547" s="21">
        <v>452.04</v>
      </c>
      <c r="M547" s="21">
        <v>4219.04</v>
      </c>
      <c r="N547" s="21">
        <v>4199.55</v>
      </c>
      <c r="O547" s="21">
        <v>-432.55</v>
      </c>
      <c r="P547" t="s">
        <v>121</v>
      </c>
      <c r="Q547" t="s">
        <v>120</v>
      </c>
      <c r="R547" t="s">
        <v>151</v>
      </c>
      <c r="S547" t="s">
        <v>1832</v>
      </c>
      <c r="T547" t="s">
        <v>153</v>
      </c>
      <c r="U547" t="s">
        <v>184</v>
      </c>
      <c r="V547" t="str">
        <f>IFERROR(INDEX(Products!$C:$C,MATCH(D547,Products!$A:$A,0)),"Unknown")</f>
        <v>Women Dresses</v>
      </c>
      <c r="W547" t="str">
        <f>IFERROR(INDEX(Products!$E:$E,MATCH(D547,Products!$A:$A,0)),"Unknown")</f>
        <v>Nike</v>
      </c>
      <c r="X547" t="str">
        <f>IFERROR(INDEX(Stores!$B:$B,MATCH(E547,Stores!$A:$A,0)),"Unknown")</f>
        <v>TrendMart Thiruvananthapuram Outlet</v>
      </c>
      <c r="Y547" t="str">
        <f>IFERROR(INDEX(Stores!$E:$E,MATCH(E547,Stores!$A:$A,0)),"Unknown")</f>
        <v>South Zone 1</v>
      </c>
      <c r="Z547" t="str">
        <f>IFERROR(INDEX(Customers!$J:$J,MATCH(C547,Customers!$A:$A,0)),"Unknown")</f>
        <v>Gold</v>
      </c>
      <c r="AA547" t="str">
        <f t="shared" si="8"/>
        <v>2024-06</v>
      </c>
      <c r="AB547" t="str">
        <f>IFERROR(INDEX(Products!$I:$I,MATCH(D547,Products!$A:$A,0)),"Unknown")</f>
        <v>SUP073</v>
      </c>
    </row>
    <row r="548" spans="1:28" x14ac:dyDescent="0.25">
      <c r="A548" t="s">
        <v>1833</v>
      </c>
      <c r="B548" s="20">
        <v>45590</v>
      </c>
      <c r="C548" t="s">
        <v>1834</v>
      </c>
      <c r="D548" t="s">
        <v>1520</v>
      </c>
      <c r="E548" t="s">
        <v>291</v>
      </c>
      <c r="F548" t="s">
        <v>397</v>
      </c>
      <c r="G548">
        <v>4</v>
      </c>
      <c r="H548" s="21">
        <v>4331.16</v>
      </c>
      <c r="I548">
        <v>5</v>
      </c>
      <c r="J548" s="21">
        <v>866.23</v>
      </c>
      <c r="K548">
        <v>12</v>
      </c>
      <c r="L548" s="21">
        <v>1975.01</v>
      </c>
      <c r="M548" s="21">
        <v>18433.419999999998</v>
      </c>
      <c r="N548" s="21">
        <v>12946.28</v>
      </c>
      <c r="O548" s="21">
        <v>3512.13</v>
      </c>
      <c r="P548" t="s">
        <v>125</v>
      </c>
      <c r="Q548" t="s">
        <v>120</v>
      </c>
      <c r="R548" t="s">
        <v>151</v>
      </c>
      <c r="S548" t="s">
        <v>1835</v>
      </c>
      <c r="T548" t="s">
        <v>153</v>
      </c>
      <c r="U548" t="s">
        <v>154</v>
      </c>
      <c r="V548" t="str">
        <f>IFERROR(INDEX(Products!$C:$C,MATCH(D548,Products!$A:$A,0)),"Unknown")</f>
        <v>Women Sarees</v>
      </c>
      <c r="W548" t="str">
        <f>IFERROR(INDEX(Products!$E:$E,MATCH(D548,Products!$A:$A,0)),"Unknown")</f>
        <v>Pepe Jeans</v>
      </c>
      <c r="X548" t="str">
        <f>IFERROR(INDEX(Stores!$B:$B,MATCH(E548,Stores!$A:$A,0)),"Unknown")</f>
        <v>TrendMart Khammam Standard</v>
      </c>
      <c r="Y548" t="str">
        <f>IFERROR(INDEX(Stores!$E:$E,MATCH(E548,Stores!$A:$A,0)),"Unknown")</f>
        <v>South Zone 2</v>
      </c>
      <c r="Z548" t="str">
        <f>IFERROR(INDEX(Customers!$J:$J,MATCH(C548,Customers!$A:$A,0)),"Unknown")</f>
        <v>Silver</v>
      </c>
      <c r="AA548" t="str">
        <f t="shared" si="8"/>
        <v>2024-10</v>
      </c>
      <c r="AB548" t="str">
        <f>IFERROR(INDEX(Products!$I:$I,MATCH(D548,Products!$A:$A,0)),"Unknown")</f>
        <v>SUP009</v>
      </c>
    </row>
    <row r="549" spans="1:28" x14ac:dyDescent="0.25">
      <c r="A549" t="s">
        <v>1836</v>
      </c>
      <c r="B549" s="20">
        <v>45450</v>
      </c>
      <c r="C549" t="s">
        <v>1554</v>
      </c>
      <c r="D549" t="s">
        <v>210</v>
      </c>
      <c r="E549" t="s">
        <v>87</v>
      </c>
      <c r="F549" t="s">
        <v>275</v>
      </c>
      <c r="G549">
        <v>2</v>
      </c>
      <c r="H549" s="21">
        <v>1711.1</v>
      </c>
      <c r="I549">
        <v>0</v>
      </c>
      <c r="J549" s="21">
        <v>0</v>
      </c>
      <c r="K549">
        <v>12</v>
      </c>
      <c r="L549" s="21">
        <v>410.66</v>
      </c>
      <c r="M549" s="21">
        <v>3832.86</v>
      </c>
      <c r="N549" s="21">
        <v>2799.7</v>
      </c>
      <c r="O549" s="21">
        <v>622.5</v>
      </c>
      <c r="P549" t="s">
        <v>125</v>
      </c>
      <c r="Q549" t="s">
        <v>120</v>
      </c>
      <c r="R549" t="s">
        <v>151</v>
      </c>
      <c r="S549" t="s">
        <v>1837</v>
      </c>
      <c r="T549" t="s">
        <v>153</v>
      </c>
      <c r="U549" t="s">
        <v>154</v>
      </c>
      <c r="V549" t="str">
        <f>IFERROR(INDEX(Products!$C:$C,MATCH(D549,Products!$A:$A,0)),"Unknown")</f>
        <v>Women Dresses</v>
      </c>
      <c r="W549" t="str">
        <f>IFERROR(INDEX(Products!$E:$E,MATCH(D549,Products!$A:$A,0)),"Unknown")</f>
        <v>Nike</v>
      </c>
      <c r="X549" t="str">
        <f>IFERROR(INDEX(Stores!$B:$B,MATCH(E549,Stores!$A:$A,0)),"Unknown")</f>
        <v>TrendMart Thiruvananthapuram Standard</v>
      </c>
      <c r="Y549" t="str">
        <f>IFERROR(INDEX(Stores!$E:$E,MATCH(E549,Stores!$A:$A,0)),"Unknown")</f>
        <v>South Zone 1</v>
      </c>
      <c r="Z549" t="str">
        <f>IFERROR(INDEX(Customers!$J:$J,MATCH(C549,Customers!$A:$A,0)),"Unknown")</f>
        <v>Gold</v>
      </c>
      <c r="AA549" t="str">
        <f t="shared" si="8"/>
        <v>2024-06</v>
      </c>
      <c r="AB549" t="str">
        <f>IFERROR(INDEX(Products!$I:$I,MATCH(D549,Products!$A:$A,0)),"Unknown")</f>
        <v>SUP073</v>
      </c>
    </row>
    <row r="550" spans="1:28" x14ac:dyDescent="0.25">
      <c r="A550" t="s">
        <v>1838</v>
      </c>
      <c r="B550" s="20">
        <v>45459</v>
      </c>
      <c r="C550" t="s">
        <v>1377</v>
      </c>
      <c r="D550" t="s">
        <v>376</v>
      </c>
      <c r="E550" t="s">
        <v>85</v>
      </c>
      <c r="F550" t="s">
        <v>532</v>
      </c>
      <c r="G550">
        <v>1</v>
      </c>
      <c r="H550" s="21">
        <v>1416.96</v>
      </c>
      <c r="I550">
        <v>10</v>
      </c>
      <c r="J550" s="21">
        <v>141.69999999999999</v>
      </c>
      <c r="K550">
        <v>12</v>
      </c>
      <c r="L550" s="21">
        <v>153.03</v>
      </c>
      <c r="M550" s="21">
        <v>1428.29</v>
      </c>
      <c r="N550" s="21">
        <v>1025.24</v>
      </c>
      <c r="O550" s="21">
        <v>250.02</v>
      </c>
      <c r="P550" t="s">
        <v>121</v>
      </c>
      <c r="Q550" t="s">
        <v>120</v>
      </c>
      <c r="R550" t="s">
        <v>151</v>
      </c>
      <c r="S550" t="s">
        <v>1839</v>
      </c>
      <c r="T550" t="s">
        <v>161</v>
      </c>
      <c r="U550" t="s">
        <v>154</v>
      </c>
      <c r="V550" t="str">
        <f>IFERROR(INDEX(Products!$C:$C,MATCH(D550,Products!$A:$A,0)),"Unknown")</f>
        <v>Women Jeans</v>
      </c>
      <c r="W550" t="str">
        <f>IFERROR(INDEX(Products!$E:$E,MATCH(D550,Products!$A:$A,0)),"Unknown")</f>
        <v>Pothys</v>
      </c>
      <c r="X550" t="str">
        <f>IFERROR(INDEX(Stores!$B:$B,MATCH(E550,Stores!$A:$A,0)),"Unknown")</f>
        <v>TrendMart Kalaburagi Mall Kiosk</v>
      </c>
      <c r="Y550" t="str">
        <f>IFERROR(INDEX(Stores!$E:$E,MATCH(E550,Stores!$A:$A,0)),"Unknown")</f>
        <v>South Zone 2</v>
      </c>
      <c r="Z550" t="str">
        <f>IFERROR(INDEX(Customers!$J:$J,MATCH(C550,Customers!$A:$A,0)),"Unknown")</f>
        <v>Silver</v>
      </c>
      <c r="AA550" t="str">
        <f t="shared" si="8"/>
        <v>2024-06</v>
      </c>
      <c r="AB550" t="str">
        <f>IFERROR(INDEX(Products!$I:$I,MATCH(D550,Products!$A:$A,0)),"Unknown")</f>
        <v>SUP015</v>
      </c>
    </row>
    <row r="551" spans="1:28" x14ac:dyDescent="0.25">
      <c r="A551" t="s">
        <v>1840</v>
      </c>
      <c r="B551" s="20">
        <v>45691</v>
      </c>
      <c r="C551" t="s">
        <v>1841</v>
      </c>
      <c r="D551" t="s">
        <v>805</v>
      </c>
      <c r="E551" t="s">
        <v>81</v>
      </c>
      <c r="F551" t="s">
        <v>308</v>
      </c>
      <c r="G551">
        <v>2</v>
      </c>
      <c r="H551" s="21">
        <v>1036.56</v>
      </c>
      <c r="I551">
        <v>15</v>
      </c>
      <c r="J551" s="21">
        <v>310.97000000000003</v>
      </c>
      <c r="K551">
        <v>12</v>
      </c>
      <c r="L551" s="21">
        <v>211.46</v>
      </c>
      <c r="M551" s="21">
        <v>1973.61</v>
      </c>
      <c r="N551" s="21">
        <v>1167.72</v>
      </c>
      <c r="O551" s="21">
        <v>594.42999999999995</v>
      </c>
      <c r="P551" t="s">
        <v>124</v>
      </c>
      <c r="Q551" t="s">
        <v>120</v>
      </c>
      <c r="R551" t="s">
        <v>151</v>
      </c>
      <c r="S551" t="s">
        <v>1842</v>
      </c>
      <c r="T551" t="s">
        <v>153</v>
      </c>
      <c r="U551" t="s">
        <v>154</v>
      </c>
      <c r="V551" t="str">
        <f>IFERROR(INDEX(Products!$C:$C,MATCH(D551,Products!$A:$A,0)),"Unknown")</f>
        <v>Accessories</v>
      </c>
      <c r="W551" t="str">
        <f>IFERROR(INDEX(Products!$E:$E,MATCH(D551,Products!$A:$A,0)),"Unknown")</f>
        <v>Being Human</v>
      </c>
      <c r="X551" t="str">
        <f>IFERROR(INDEX(Stores!$B:$B,MATCH(E551,Stores!$A:$A,0)),"Unknown")</f>
        <v>TrendMart Vijayawada High Street</v>
      </c>
      <c r="Y551" t="str">
        <f>IFERROR(INDEX(Stores!$E:$E,MATCH(E551,Stores!$A:$A,0)),"Unknown")</f>
        <v>South Zone 3</v>
      </c>
      <c r="Z551" t="str">
        <f>IFERROR(INDEX(Customers!$J:$J,MATCH(C551,Customers!$A:$A,0)),"Unknown")</f>
        <v>Silver</v>
      </c>
      <c r="AA551" t="str">
        <f t="shared" si="8"/>
        <v>2025-02</v>
      </c>
      <c r="AB551" t="str">
        <f>IFERROR(INDEX(Products!$I:$I,MATCH(D551,Products!$A:$A,0)),"Unknown")</f>
        <v>SUP069</v>
      </c>
    </row>
    <row r="552" spans="1:28" x14ac:dyDescent="0.25">
      <c r="A552" t="s">
        <v>1843</v>
      </c>
      <c r="B552" s="20">
        <v>45541</v>
      </c>
      <c r="C552" t="s">
        <v>1844</v>
      </c>
      <c r="D552" t="s">
        <v>717</v>
      </c>
      <c r="E552" t="s">
        <v>451</v>
      </c>
      <c r="F552" t="s">
        <v>303</v>
      </c>
      <c r="G552">
        <v>1</v>
      </c>
      <c r="H552" s="21">
        <v>1625.75</v>
      </c>
      <c r="I552">
        <v>0</v>
      </c>
      <c r="J552" s="21">
        <v>0</v>
      </c>
      <c r="K552">
        <v>12</v>
      </c>
      <c r="L552" s="21">
        <v>195.09</v>
      </c>
      <c r="M552" s="21">
        <v>1820.84</v>
      </c>
      <c r="N552" s="21">
        <v>1133.27</v>
      </c>
      <c r="O552" s="21">
        <v>492.48</v>
      </c>
      <c r="P552" t="s">
        <v>121</v>
      </c>
      <c r="Q552" t="s">
        <v>120</v>
      </c>
      <c r="R552" t="s">
        <v>151</v>
      </c>
      <c r="S552" t="s">
        <v>1845</v>
      </c>
      <c r="T552" t="s">
        <v>153</v>
      </c>
      <c r="U552" t="s">
        <v>154</v>
      </c>
      <c r="V552" t="str">
        <f>IFERROR(INDEX(Products!$C:$C,MATCH(D552,Products!$A:$A,0)),"Unknown")</f>
        <v>Women Dresses</v>
      </c>
      <c r="W552" t="str">
        <f>IFERROR(INDEX(Products!$E:$E,MATCH(D552,Products!$A:$A,0)),"Unknown")</f>
        <v>Pantaloons</v>
      </c>
      <c r="X552" t="str">
        <f>IFERROR(INDEX(Stores!$B:$B,MATCH(E552,Stores!$A:$A,0)),"Unknown")</f>
        <v>TrendMart Thoothukudi High Street</v>
      </c>
      <c r="Y552" t="str">
        <f>IFERROR(INDEX(Stores!$E:$E,MATCH(E552,Stores!$A:$A,0)),"Unknown")</f>
        <v>South Zone 1</v>
      </c>
      <c r="Z552" t="str">
        <f>IFERROR(INDEX(Customers!$J:$J,MATCH(C552,Customers!$A:$A,0)),"Unknown")</f>
        <v>Regular</v>
      </c>
      <c r="AA552" t="str">
        <f t="shared" si="8"/>
        <v>2024-09</v>
      </c>
      <c r="AB552" t="str">
        <f>IFERROR(INDEX(Products!$I:$I,MATCH(D552,Products!$A:$A,0)),"Unknown")</f>
        <v>SUP046</v>
      </c>
    </row>
    <row r="553" spans="1:28" x14ac:dyDescent="0.25">
      <c r="A553" t="s">
        <v>1846</v>
      </c>
      <c r="B553" s="20">
        <v>45420</v>
      </c>
      <c r="C553" t="s">
        <v>952</v>
      </c>
      <c r="D553" t="s">
        <v>339</v>
      </c>
      <c r="E553" t="s">
        <v>268</v>
      </c>
      <c r="F553" t="s">
        <v>292</v>
      </c>
      <c r="G553">
        <v>2</v>
      </c>
      <c r="H553" s="21">
        <v>815.09</v>
      </c>
      <c r="I553">
        <v>30</v>
      </c>
      <c r="J553" s="21">
        <v>489.05</v>
      </c>
      <c r="K553">
        <v>5</v>
      </c>
      <c r="L553" s="21">
        <v>57.06</v>
      </c>
      <c r="M553" s="21">
        <v>1198.19</v>
      </c>
      <c r="N553" s="21">
        <v>1137.06</v>
      </c>
      <c r="O553" s="21">
        <v>4.07</v>
      </c>
      <c r="P553" t="s">
        <v>123</v>
      </c>
      <c r="Q553" t="s">
        <v>120</v>
      </c>
      <c r="R553" t="s">
        <v>151</v>
      </c>
      <c r="S553" t="s">
        <v>1847</v>
      </c>
      <c r="T553" t="s">
        <v>153</v>
      </c>
      <c r="U553" t="s">
        <v>154</v>
      </c>
      <c r="V553" t="str">
        <f>IFERROR(INDEX(Products!$C:$C,MATCH(D553,Products!$A:$A,0)),"Unknown")</f>
        <v>Women Kurtis</v>
      </c>
      <c r="W553" t="str">
        <f>IFERROR(INDEX(Products!$E:$E,MATCH(D553,Products!$A:$A,0)),"Unknown")</f>
        <v>Allen Solly</v>
      </c>
      <c r="X553" t="str">
        <f>IFERROR(INDEX(Stores!$B:$B,MATCH(E553,Stores!$A:$A,0)),"Unknown")</f>
        <v>TrendMart Kochi High Street</v>
      </c>
      <c r="Y553" t="str">
        <f>IFERROR(INDEX(Stores!$E:$E,MATCH(E553,Stores!$A:$A,0)),"Unknown")</f>
        <v>South Zone 1</v>
      </c>
      <c r="Z553" t="str">
        <f>IFERROR(INDEX(Customers!$J:$J,MATCH(C553,Customers!$A:$A,0)),"Unknown")</f>
        <v>Regular</v>
      </c>
      <c r="AA553" t="str">
        <f t="shared" si="8"/>
        <v>2024-05</v>
      </c>
      <c r="AB553" t="str">
        <f>IFERROR(INDEX(Products!$I:$I,MATCH(D553,Products!$A:$A,0)),"Unknown")</f>
        <v>SUP086</v>
      </c>
    </row>
    <row r="554" spans="1:28" x14ac:dyDescent="0.25">
      <c r="A554" t="s">
        <v>1848</v>
      </c>
      <c r="B554" s="20">
        <v>45511</v>
      </c>
      <c r="C554" t="s">
        <v>1389</v>
      </c>
      <c r="D554" t="s">
        <v>376</v>
      </c>
      <c r="E554" t="s">
        <v>274</v>
      </c>
      <c r="F554" t="s">
        <v>516</v>
      </c>
      <c r="G554">
        <v>4</v>
      </c>
      <c r="H554" s="21">
        <v>1349.16</v>
      </c>
      <c r="I554">
        <v>10</v>
      </c>
      <c r="J554" s="21">
        <v>539.66</v>
      </c>
      <c r="K554">
        <v>12</v>
      </c>
      <c r="L554" s="21">
        <v>582.84</v>
      </c>
      <c r="M554" s="21">
        <v>5439.82</v>
      </c>
      <c r="N554" s="21">
        <v>4100.96</v>
      </c>
      <c r="O554" s="21">
        <v>756.02</v>
      </c>
      <c r="P554" t="s">
        <v>123</v>
      </c>
      <c r="Q554" t="s">
        <v>122</v>
      </c>
      <c r="R554" t="s">
        <v>151</v>
      </c>
      <c r="S554" t="s">
        <v>1211</v>
      </c>
      <c r="T554" t="s">
        <v>153</v>
      </c>
      <c r="U554" t="s">
        <v>154</v>
      </c>
      <c r="V554" t="str">
        <f>IFERROR(INDEX(Products!$C:$C,MATCH(D554,Products!$A:$A,0)),"Unknown")</f>
        <v>Women Jeans</v>
      </c>
      <c r="W554" t="str">
        <f>IFERROR(INDEX(Products!$E:$E,MATCH(D554,Products!$A:$A,0)),"Unknown")</f>
        <v>Pothys</v>
      </c>
      <c r="X554" t="str">
        <f>IFERROR(INDEX(Stores!$B:$B,MATCH(E554,Stores!$A:$A,0)),"Unknown")</f>
        <v>TrendMart Mangaluru Standard</v>
      </c>
      <c r="Y554" t="str">
        <f>IFERROR(INDEX(Stores!$E:$E,MATCH(E554,Stores!$A:$A,0)),"Unknown")</f>
        <v>South Zone 2</v>
      </c>
      <c r="Z554" t="str">
        <f>IFERROR(INDEX(Customers!$J:$J,MATCH(C554,Customers!$A:$A,0)),"Unknown")</f>
        <v>Regular</v>
      </c>
      <c r="AA554" t="str">
        <f t="shared" si="8"/>
        <v>2024-08</v>
      </c>
      <c r="AB554" t="str">
        <f>IFERROR(INDEX(Products!$I:$I,MATCH(D554,Products!$A:$A,0)),"Unknown")</f>
        <v>SUP015</v>
      </c>
    </row>
    <row r="555" spans="1:28" x14ac:dyDescent="0.25">
      <c r="A555" t="s">
        <v>1849</v>
      </c>
      <c r="B555" s="20">
        <v>45701</v>
      </c>
      <c r="C555" t="s">
        <v>1152</v>
      </c>
      <c r="D555" t="s">
        <v>864</v>
      </c>
      <c r="E555" t="s">
        <v>906</v>
      </c>
      <c r="F555" t="s">
        <v>232</v>
      </c>
      <c r="G555">
        <v>2</v>
      </c>
      <c r="H555" s="21">
        <v>2919.14</v>
      </c>
      <c r="I555">
        <v>30</v>
      </c>
      <c r="J555" s="21">
        <v>1751.48</v>
      </c>
      <c r="K555">
        <v>3</v>
      </c>
      <c r="L555" s="21">
        <v>122.6</v>
      </c>
      <c r="M555" s="21">
        <v>4209.3999999999996</v>
      </c>
      <c r="N555" s="21">
        <v>3979.86</v>
      </c>
      <c r="O555" s="21">
        <v>106.94</v>
      </c>
      <c r="P555" t="s">
        <v>124</v>
      </c>
      <c r="Q555" t="s">
        <v>120</v>
      </c>
      <c r="R555" t="s">
        <v>151</v>
      </c>
      <c r="S555" t="s">
        <v>760</v>
      </c>
      <c r="T555" t="s">
        <v>153</v>
      </c>
      <c r="U555" t="s">
        <v>154</v>
      </c>
      <c r="V555" t="str">
        <f>IFERROR(INDEX(Products!$C:$C,MATCH(D555,Products!$A:$A,0)),"Unknown")</f>
        <v>Jewellery</v>
      </c>
      <c r="W555" t="str">
        <f>IFERROR(INDEX(Products!$E:$E,MATCH(D555,Products!$A:$A,0)),"Unknown")</f>
        <v>Wrangler</v>
      </c>
      <c r="X555" t="str">
        <f>IFERROR(INDEX(Stores!$B:$B,MATCH(E555,Stores!$A:$A,0)),"Unknown")</f>
        <v>TrendMart Vijayawada Standard</v>
      </c>
      <c r="Y555" t="str">
        <f>IFERROR(INDEX(Stores!$E:$E,MATCH(E555,Stores!$A:$A,0)),"Unknown")</f>
        <v>South Zone 3</v>
      </c>
      <c r="Z555" t="str">
        <f>IFERROR(INDEX(Customers!$J:$J,MATCH(C555,Customers!$A:$A,0)),"Unknown")</f>
        <v>Silver</v>
      </c>
      <c r="AA555" t="str">
        <f t="shared" si="8"/>
        <v>2025-02</v>
      </c>
      <c r="AB555" t="str">
        <f>IFERROR(INDEX(Products!$I:$I,MATCH(D555,Products!$A:$A,0)),"Unknown")</f>
        <v>SUP070</v>
      </c>
    </row>
    <row r="556" spans="1:28" x14ac:dyDescent="0.25">
      <c r="A556" t="s">
        <v>1850</v>
      </c>
      <c r="B556" s="20">
        <v>45636</v>
      </c>
      <c r="C556" t="s">
        <v>1851</v>
      </c>
      <c r="D556" t="s">
        <v>317</v>
      </c>
      <c r="E556" t="s">
        <v>1141</v>
      </c>
      <c r="F556" t="s">
        <v>403</v>
      </c>
      <c r="G556">
        <v>3</v>
      </c>
      <c r="H556" s="21">
        <v>2027.55</v>
      </c>
      <c r="I556">
        <v>10</v>
      </c>
      <c r="J556" s="21">
        <v>608.26</v>
      </c>
      <c r="K556">
        <v>12</v>
      </c>
      <c r="L556" s="21">
        <v>656.93</v>
      </c>
      <c r="M556" s="21">
        <v>6131.32</v>
      </c>
      <c r="N556" s="21">
        <v>4385.1899999999996</v>
      </c>
      <c r="O556" s="21">
        <v>1089.2</v>
      </c>
      <c r="P556" t="s">
        <v>123</v>
      </c>
      <c r="Q556" t="s">
        <v>122</v>
      </c>
      <c r="R556" t="s">
        <v>151</v>
      </c>
      <c r="S556" t="s">
        <v>1069</v>
      </c>
      <c r="T556" t="s">
        <v>153</v>
      </c>
      <c r="U556" t="s">
        <v>154</v>
      </c>
      <c r="V556" t="str">
        <f>IFERROR(INDEX(Products!$C:$C,MATCH(D556,Products!$A:$A,0)),"Unknown")</f>
        <v>Handbags</v>
      </c>
      <c r="W556" t="str">
        <f>IFERROR(INDEX(Products!$E:$E,MATCH(D556,Products!$A:$A,0)),"Unknown")</f>
        <v>Titan</v>
      </c>
      <c r="X556" t="str">
        <f>IFERROR(INDEX(Stores!$B:$B,MATCH(E556,Stores!$A:$A,0)),"Unknown")</f>
        <v>TrendMart Kochi Standard</v>
      </c>
      <c r="Y556" t="str">
        <f>IFERROR(INDEX(Stores!$E:$E,MATCH(E556,Stores!$A:$A,0)),"Unknown")</f>
        <v>South Zone 1</v>
      </c>
      <c r="Z556" t="str">
        <f>IFERROR(INDEX(Customers!$J:$J,MATCH(C556,Customers!$A:$A,0)),"Unknown")</f>
        <v>Silver</v>
      </c>
      <c r="AA556" t="str">
        <f t="shared" si="8"/>
        <v>2024-12</v>
      </c>
      <c r="AB556" t="str">
        <f>IFERROR(INDEX(Products!$I:$I,MATCH(D556,Products!$A:$A,0)),"Unknown")</f>
        <v>SUP027</v>
      </c>
    </row>
    <row r="557" spans="1:28" x14ac:dyDescent="0.25">
      <c r="A557" t="s">
        <v>1852</v>
      </c>
      <c r="B557" s="20">
        <v>45719</v>
      </c>
      <c r="C557" t="s">
        <v>637</v>
      </c>
      <c r="D557" t="s">
        <v>438</v>
      </c>
      <c r="E557" t="s">
        <v>90</v>
      </c>
      <c r="F557" t="s">
        <v>443</v>
      </c>
      <c r="G557">
        <v>2</v>
      </c>
      <c r="H557" s="21">
        <v>1667.15</v>
      </c>
      <c r="I557">
        <v>15</v>
      </c>
      <c r="J557" s="21">
        <v>500.14</v>
      </c>
      <c r="K557">
        <v>12</v>
      </c>
      <c r="L557" s="21">
        <v>340.1</v>
      </c>
      <c r="M557" s="21">
        <v>3174.26</v>
      </c>
      <c r="N557" s="21">
        <v>2248.96</v>
      </c>
      <c r="O557" s="21">
        <v>585.20000000000005</v>
      </c>
      <c r="P557" t="s">
        <v>121</v>
      </c>
      <c r="Q557" t="s">
        <v>120</v>
      </c>
      <c r="R557" t="s">
        <v>151</v>
      </c>
      <c r="S557" t="s">
        <v>619</v>
      </c>
      <c r="T557" t="s">
        <v>153</v>
      </c>
      <c r="U557" t="s">
        <v>154</v>
      </c>
      <c r="V557" t="str">
        <f>IFERROR(INDEX(Products!$C:$C,MATCH(D557,Products!$A:$A,0)),"Unknown")</f>
        <v>Women Jeans</v>
      </c>
      <c r="W557" t="str">
        <f>IFERROR(INDEX(Products!$E:$E,MATCH(D557,Products!$A:$A,0)),"Unknown")</f>
        <v>Ramraj Cotton</v>
      </c>
      <c r="X557" t="str">
        <f>IFERROR(INDEX(Stores!$B:$B,MATCH(E557,Stores!$A:$A,0)),"Unknown")</f>
        <v>TrendMart Thoothukudi Mall Kiosk</v>
      </c>
      <c r="Y557" t="str">
        <f>IFERROR(INDEX(Stores!$E:$E,MATCH(E557,Stores!$A:$A,0)),"Unknown")</f>
        <v>South Zone 1</v>
      </c>
      <c r="Z557" t="str">
        <f>IFERROR(INDEX(Customers!$J:$J,MATCH(C557,Customers!$A:$A,0)),"Unknown")</f>
        <v>Silver</v>
      </c>
      <c r="AA557" t="str">
        <f t="shared" si="8"/>
        <v>2025-03</v>
      </c>
      <c r="AB557" t="str">
        <f>IFERROR(INDEX(Products!$I:$I,MATCH(D557,Products!$A:$A,0)),"Unknown")</f>
        <v>SUP015</v>
      </c>
    </row>
    <row r="558" spans="1:28" x14ac:dyDescent="0.25">
      <c r="A558" t="s">
        <v>1853</v>
      </c>
      <c r="B558" s="20">
        <v>45559</v>
      </c>
      <c r="C558" t="s">
        <v>602</v>
      </c>
      <c r="D558" t="s">
        <v>494</v>
      </c>
      <c r="E558" t="s">
        <v>429</v>
      </c>
      <c r="F558" t="s">
        <v>618</v>
      </c>
      <c r="G558">
        <v>5</v>
      </c>
      <c r="H558" s="21">
        <v>1604.84</v>
      </c>
      <c r="I558">
        <v>0</v>
      </c>
      <c r="J558" s="21">
        <v>0</v>
      </c>
      <c r="K558">
        <v>12</v>
      </c>
      <c r="L558" s="21">
        <v>962.9</v>
      </c>
      <c r="M558" s="21">
        <v>8987.1</v>
      </c>
      <c r="N558" s="21">
        <v>5704.5</v>
      </c>
      <c r="O558" s="21">
        <v>2319.6999999999998</v>
      </c>
      <c r="P558" t="s">
        <v>127</v>
      </c>
      <c r="Q558" t="s">
        <v>122</v>
      </c>
      <c r="R558" t="s">
        <v>151</v>
      </c>
      <c r="S558" t="s">
        <v>1557</v>
      </c>
      <c r="T558" t="s">
        <v>153</v>
      </c>
      <c r="U558" t="s">
        <v>154</v>
      </c>
      <c r="V558" t="str">
        <f>IFERROR(INDEX(Products!$C:$C,MATCH(D558,Products!$A:$A,0)),"Unknown")</f>
        <v>Women Dresses</v>
      </c>
      <c r="W558" t="str">
        <f>IFERROR(INDEX(Products!$E:$E,MATCH(D558,Products!$A:$A,0)),"Unknown")</f>
        <v>Reebok</v>
      </c>
      <c r="X558" t="str">
        <f>IFERROR(INDEX(Stores!$B:$B,MATCH(E558,Stores!$A:$A,0)),"Unknown")</f>
        <v>TrendMart Tirunelveli Flagship</v>
      </c>
      <c r="Y558" t="str">
        <f>IFERROR(INDEX(Stores!$E:$E,MATCH(E558,Stores!$A:$A,0)),"Unknown")</f>
        <v>South Zone 1</v>
      </c>
      <c r="Z558" t="str">
        <f>IFERROR(INDEX(Customers!$J:$J,MATCH(C558,Customers!$A:$A,0)),"Unknown")</f>
        <v>Gold</v>
      </c>
      <c r="AA558" t="str">
        <f t="shared" si="8"/>
        <v>2024-09</v>
      </c>
      <c r="AB558" t="str">
        <f>IFERROR(INDEX(Products!$I:$I,MATCH(D558,Products!$A:$A,0)),"Unknown")</f>
        <v>SUP085</v>
      </c>
    </row>
    <row r="559" spans="1:28" x14ac:dyDescent="0.25">
      <c r="A559" t="s">
        <v>1854</v>
      </c>
      <c r="B559" s="20">
        <v>45741</v>
      </c>
      <c r="C559" t="s">
        <v>1855</v>
      </c>
      <c r="D559" t="s">
        <v>1156</v>
      </c>
      <c r="E559" t="s">
        <v>1522</v>
      </c>
      <c r="F559" t="s">
        <v>242</v>
      </c>
      <c r="G559">
        <v>2</v>
      </c>
      <c r="H559" s="21">
        <v>608.19000000000005</v>
      </c>
      <c r="I559">
        <v>10</v>
      </c>
      <c r="J559" s="21">
        <v>121.64</v>
      </c>
      <c r="K559">
        <v>5</v>
      </c>
      <c r="L559" s="21">
        <v>54.74</v>
      </c>
      <c r="M559" s="21">
        <v>1149.48</v>
      </c>
      <c r="N559" s="21">
        <v>1018.88</v>
      </c>
      <c r="O559" s="21">
        <v>75.86</v>
      </c>
      <c r="P559" t="s">
        <v>124</v>
      </c>
      <c r="Q559" t="s">
        <v>120</v>
      </c>
      <c r="R559" t="s">
        <v>151</v>
      </c>
      <c r="S559" t="s">
        <v>889</v>
      </c>
      <c r="T559" t="s">
        <v>153</v>
      </c>
      <c r="U559" t="s">
        <v>154</v>
      </c>
      <c r="V559" t="str">
        <f>IFERROR(INDEX(Products!$C:$C,MATCH(D559,Products!$A:$A,0)),"Unknown")</f>
        <v>Kids Wear</v>
      </c>
      <c r="W559" t="str">
        <f>IFERROR(INDEX(Products!$E:$E,MATCH(D559,Products!$A:$A,0)),"Unknown")</f>
        <v>Allen Solly</v>
      </c>
      <c r="X559" t="str">
        <f>IFERROR(INDEX(Stores!$B:$B,MATCH(E559,Stores!$A:$A,0)),"Unknown")</f>
        <v>TrendMart Guntur High Street</v>
      </c>
      <c r="Y559" t="str">
        <f>IFERROR(INDEX(Stores!$E:$E,MATCH(E559,Stores!$A:$A,0)),"Unknown")</f>
        <v>South Zone 3</v>
      </c>
      <c r="Z559" t="str">
        <f>IFERROR(INDEX(Customers!$J:$J,MATCH(C559,Customers!$A:$A,0)),"Unknown")</f>
        <v>Platinum</v>
      </c>
      <c r="AA559" t="str">
        <f t="shared" si="8"/>
        <v>2025-03</v>
      </c>
      <c r="AB559" t="str">
        <f>IFERROR(INDEX(Products!$I:$I,MATCH(D559,Products!$A:$A,0)),"Unknown")</f>
        <v>SUP026</v>
      </c>
    </row>
    <row r="560" spans="1:28" x14ac:dyDescent="0.25">
      <c r="A560" t="s">
        <v>1856</v>
      </c>
      <c r="B560" s="20">
        <v>45496</v>
      </c>
      <c r="C560" t="s">
        <v>1857</v>
      </c>
      <c r="D560" t="s">
        <v>805</v>
      </c>
      <c r="E560" t="s">
        <v>588</v>
      </c>
      <c r="F560" t="s">
        <v>532</v>
      </c>
      <c r="G560">
        <v>2</v>
      </c>
      <c r="H560" s="21">
        <v>1020.22</v>
      </c>
      <c r="I560">
        <v>30</v>
      </c>
      <c r="J560" s="21">
        <v>612.13</v>
      </c>
      <c r="K560">
        <v>12</v>
      </c>
      <c r="L560" s="21">
        <v>171.4</v>
      </c>
      <c r="M560" s="21">
        <v>1599.71</v>
      </c>
      <c r="N560" s="21">
        <v>1167.72</v>
      </c>
      <c r="O560" s="21">
        <v>260.58999999999997</v>
      </c>
      <c r="P560" t="s">
        <v>125</v>
      </c>
      <c r="Q560" t="s">
        <v>120</v>
      </c>
      <c r="R560" t="s">
        <v>151</v>
      </c>
      <c r="S560" t="s">
        <v>1858</v>
      </c>
      <c r="T560" t="s">
        <v>153</v>
      </c>
      <c r="U560" t="s">
        <v>154</v>
      </c>
      <c r="V560" t="str">
        <f>IFERROR(INDEX(Products!$C:$C,MATCH(D560,Products!$A:$A,0)),"Unknown")</f>
        <v>Accessories</v>
      </c>
      <c r="W560" t="str">
        <f>IFERROR(INDEX(Products!$E:$E,MATCH(D560,Products!$A:$A,0)),"Unknown")</f>
        <v>Being Human</v>
      </c>
      <c r="X560" t="str">
        <f>IFERROR(INDEX(Stores!$B:$B,MATCH(E560,Stores!$A:$A,0)),"Unknown")</f>
        <v>TrendMart Nizamabad Standard</v>
      </c>
      <c r="Y560" t="str">
        <f>IFERROR(INDEX(Stores!$E:$E,MATCH(E560,Stores!$A:$A,0)),"Unknown")</f>
        <v>South Zone 2</v>
      </c>
      <c r="Z560" t="str">
        <f>IFERROR(INDEX(Customers!$J:$J,MATCH(C560,Customers!$A:$A,0)),"Unknown")</f>
        <v>Regular</v>
      </c>
      <c r="AA560" t="str">
        <f t="shared" si="8"/>
        <v>2024-07</v>
      </c>
      <c r="AB560" t="str">
        <f>IFERROR(INDEX(Products!$I:$I,MATCH(D560,Products!$A:$A,0)),"Unknown")</f>
        <v>SUP069</v>
      </c>
    </row>
    <row r="561" spans="1:28" x14ac:dyDescent="0.25">
      <c r="A561" t="s">
        <v>1859</v>
      </c>
      <c r="B561" s="20">
        <v>45403</v>
      </c>
      <c r="C561" t="s">
        <v>1334</v>
      </c>
      <c r="D561" t="s">
        <v>494</v>
      </c>
      <c r="E561" t="s">
        <v>1074</v>
      </c>
      <c r="F561" t="s">
        <v>242</v>
      </c>
      <c r="G561">
        <v>1</v>
      </c>
      <c r="H561" s="21">
        <v>1952.9</v>
      </c>
      <c r="I561">
        <v>25</v>
      </c>
      <c r="J561" s="21">
        <v>488.23</v>
      </c>
      <c r="K561">
        <v>12</v>
      </c>
      <c r="L561" s="21">
        <v>175.76</v>
      </c>
      <c r="M561" s="21">
        <v>1640.43</v>
      </c>
      <c r="N561" s="21">
        <v>1140.9000000000001</v>
      </c>
      <c r="O561" s="21">
        <v>323.77</v>
      </c>
      <c r="P561" t="s">
        <v>124</v>
      </c>
      <c r="Q561" t="s">
        <v>122</v>
      </c>
      <c r="R561" t="s">
        <v>151</v>
      </c>
      <c r="S561" t="s">
        <v>1719</v>
      </c>
      <c r="T561" t="s">
        <v>161</v>
      </c>
      <c r="U561" t="s">
        <v>154</v>
      </c>
      <c r="V561" t="str">
        <f>IFERROR(INDEX(Products!$C:$C,MATCH(D561,Products!$A:$A,0)),"Unknown")</f>
        <v>Women Dresses</v>
      </c>
      <c r="W561" t="str">
        <f>IFERROR(INDEX(Products!$E:$E,MATCH(D561,Products!$A:$A,0)),"Unknown")</f>
        <v>Reebok</v>
      </c>
      <c r="X561" t="str">
        <f>IFERROR(INDEX(Stores!$B:$B,MATCH(E561,Stores!$A:$A,0)),"Unknown")</f>
        <v>TrendMart Hyderabad Standard</v>
      </c>
      <c r="Y561" t="str">
        <f>IFERROR(INDEX(Stores!$E:$E,MATCH(E561,Stores!$A:$A,0)),"Unknown")</f>
        <v>South Zone 2</v>
      </c>
      <c r="Z561" t="str">
        <f>IFERROR(INDEX(Customers!$J:$J,MATCH(C561,Customers!$A:$A,0)),"Unknown")</f>
        <v>Regular</v>
      </c>
      <c r="AA561" t="str">
        <f t="shared" si="8"/>
        <v>2024-04</v>
      </c>
      <c r="AB561" t="str">
        <f>IFERROR(INDEX(Products!$I:$I,MATCH(D561,Products!$A:$A,0)),"Unknown")</f>
        <v>SUP085</v>
      </c>
    </row>
    <row r="562" spans="1:28" x14ac:dyDescent="0.25">
      <c r="A562" t="s">
        <v>1860</v>
      </c>
      <c r="B562" s="20">
        <v>45472</v>
      </c>
      <c r="C562" t="s">
        <v>1861</v>
      </c>
      <c r="D562" t="s">
        <v>466</v>
      </c>
      <c r="E562" t="s">
        <v>86</v>
      </c>
      <c r="F562" t="s">
        <v>462</v>
      </c>
      <c r="G562">
        <v>2</v>
      </c>
      <c r="H562" s="21">
        <v>860.75</v>
      </c>
      <c r="I562">
        <v>30</v>
      </c>
      <c r="J562" s="21">
        <v>516.45000000000005</v>
      </c>
      <c r="K562">
        <v>5</v>
      </c>
      <c r="L562" s="21">
        <v>60.25</v>
      </c>
      <c r="M562" s="21">
        <v>1265.3</v>
      </c>
      <c r="N562" s="21">
        <v>1142.18</v>
      </c>
      <c r="O562" s="21">
        <v>62.87</v>
      </c>
      <c r="P562" t="s">
        <v>126</v>
      </c>
      <c r="Q562" t="s">
        <v>120</v>
      </c>
      <c r="R562" t="s">
        <v>151</v>
      </c>
      <c r="S562" t="s">
        <v>1669</v>
      </c>
      <c r="T562" t="s">
        <v>161</v>
      </c>
      <c r="U562" t="s">
        <v>154</v>
      </c>
      <c r="V562" t="str">
        <f>IFERROR(INDEX(Products!$C:$C,MATCH(D562,Products!$A:$A,0)),"Unknown")</f>
        <v>Women Kurtis</v>
      </c>
      <c r="W562" t="str">
        <f>IFERROR(INDEX(Products!$E:$E,MATCH(D562,Products!$A:$A,0)),"Unknown")</f>
        <v>Fabindia</v>
      </c>
      <c r="X562" t="str">
        <f>IFERROR(INDEX(Stores!$B:$B,MATCH(E562,Stores!$A:$A,0)),"Unknown")</f>
        <v>TrendMart Warangal High Street</v>
      </c>
      <c r="Y562" t="str">
        <f>IFERROR(INDEX(Stores!$E:$E,MATCH(E562,Stores!$A:$A,0)),"Unknown")</f>
        <v>South Zone 2</v>
      </c>
      <c r="Z562" t="str">
        <f>IFERROR(INDEX(Customers!$J:$J,MATCH(C562,Customers!$A:$A,0)),"Unknown")</f>
        <v>Platinum</v>
      </c>
      <c r="AA562" t="str">
        <f t="shared" si="8"/>
        <v>2024-06</v>
      </c>
      <c r="AB562" t="str">
        <f>IFERROR(INDEX(Products!$I:$I,MATCH(D562,Products!$A:$A,0)),"Unknown")</f>
        <v>SUP017</v>
      </c>
    </row>
    <row r="563" spans="1:28" x14ac:dyDescent="0.25">
      <c r="A563" t="s">
        <v>1862</v>
      </c>
      <c r="B563" s="20">
        <v>45638</v>
      </c>
      <c r="C563" t="s">
        <v>514</v>
      </c>
      <c r="D563" t="s">
        <v>1649</v>
      </c>
      <c r="E563" t="s">
        <v>360</v>
      </c>
      <c r="F563" t="s">
        <v>574</v>
      </c>
      <c r="G563">
        <v>4</v>
      </c>
      <c r="H563" s="21">
        <v>1320.66</v>
      </c>
      <c r="I563">
        <v>10</v>
      </c>
      <c r="J563" s="21">
        <v>528.26</v>
      </c>
      <c r="K563">
        <v>12</v>
      </c>
      <c r="L563" s="21">
        <v>570.53</v>
      </c>
      <c r="M563" s="21">
        <v>5324.91</v>
      </c>
      <c r="N563" s="21">
        <v>3517.92</v>
      </c>
      <c r="O563" s="21">
        <v>1236.46</v>
      </c>
      <c r="P563" t="s">
        <v>123</v>
      </c>
      <c r="Q563" t="s">
        <v>120</v>
      </c>
      <c r="R563" t="s">
        <v>151</v>
      </c>
      <c r="S563" t="s">
        <v>1863</v>
      </c>
      <c r="T563" t="s">
        <v>153</v>
      </c>
      <c r="U563" t="s">
        <v>154</v>
      </c>
      <c r="V563" t="str">
        <f>IFERROR(INDEX(Products!$C:$C,MATCH(D563,Products!$A:$A,0)),"Unknown")</f>
        <v>Belts</v>
      </c>
      <c r="W563" t="str">
        <f>IFERROR(INDEX(Products!$E:$E,MATCH(D563,Products!$A:$A,0)),"Unknown")</f>
        <v>Bata</v>
      </c>
      <c r="X563" t="str">
        <f>IFERROR(INDEX(Stores!$B:$B,MATCH(E563,Stores!$A:$A,0)),"Unknown")</f>
        <v>TrendMart Kochi Standard</v>
      </c>
      <c r="Y563" t="str">
        <f>IFERROR(INDEX(Stores!$E:$E,MATCH(E563,Stores!$A:$A,0)),"Unknown")</f>
        <v>South Zone 1</v>
      </c>
      <c r="Z563" t="str">
        <f>IFERROR(INDEX(Customers!$J:$J,MATCH(C563,Customers!$A:$A,0)),"Unknown")</f>
        <v>Regular</v>
      </c>
      <c r="AA563" t="str">
        <f t="shared" si="8"/>
        <v>2024-12</v>
      </c>
      <c r="AB563" t="str">
        <f>IFERROR(INDEX(Products!$I:$I,MATCH(D563,Products!$A:$A,0)),"Unknown")</f>
        <v>SUP032</v>
      </c>
    </row>
    <row r="564" spans="1:28" x14ac:dyDescent="0.25">
      <c r="A564" t="s">
        <v>1864</v>
      </c>
      <c r="B564" s="20">
        <v>45572</v>
      </c>
      <c r="C564" t="s">
        <v>1199</v>
      </c>
      <c r="D564" t="s">
        <v>438</v>
      </c>
      <c r="E564" t="s">
        <v>158</v>
      </c>
      <c r="F564" t="s">
        <v>397</v>
      </c>
      <c r="G564">
        <v>1</v>
      </c>
      <c r="H564" s="21">
        <v>1698.5</v>
      </c>
      <c r="I564">
        <v>10</v>
      </c>
      <c r="J564" s="21">
        <v>169.85</v>
      </c>
      <c r="K564">
        <v>12</v>
      </c>
      <c r="L564" s="21">
        <v>183.44</v>
      </c>
      <c r="M564" s="21">
        <v>1712.09</v>
      </c>
      <c r="N564" s="21">
        <v>1124.48</v>
      </c>
      <c r="O564" s="21">
        <v>404.17</v>
      </c>
      <c r="P564" t="s">
        <v>123</v>
      </c>
      <c r="Q564" t="s">
        <v>120</v>
      </c>
      <c r="R564" t="s">
        <v>151</v>
      </c>
      <c r="S564" t="s">
        <v>1865</v>
      </c>
      <c r="T564" t="s">
        <v>153</v>
      </c>
      <c r="U564" t="s">
        <v>154</v>
      </c>
      <c r="V564" t="str">
        <f>IFERROR(INDEX(Products!$C:$C,MATCH(D564,Products!$A:$A,0)),"Unknown")</f>
        <v>Women Jeans</v>
      </c>
      <c r="W564" t="str">
        <f>IFERROR(INDEX(Products!$E:$E,MATCH(D564,Products!$A:$A,0)),"Unknown")</f>
        <v>Ramraj Cotton</v>
      </c>
      <c r="X564" t="str">
        <f>IFERROR(INDEX(Stores!$B:$B,MATCH(E564,Stores!$A:$A,0)),"Unknown")</f>
        <v>TrendMart Tirunelveli High Street</v>
      </c>
      <c r="Y564" t="str">
        <f>IFERROR(INDEX(Stores!$E:$E,MATCH(E564,Stores!$A:$A,0)),"Unknown")</f>
        <v>South Zone 1</v>
      </c>
      <c r="Z564" t="str">
        <f>IFERROR(INDEX(Customers!$J:$J,MATCH(C564,Customers!$A:$A,0)),"Unknown")</f>
        <v>Silver</v>
      </c>
      <c r="AA564" t="str">
        <f t="shared" si="8"/>
        <v>2024-10</v>
      </c>
      <c r="AB564" t="str">
        <f>IFERROR(INDEX(Products!$I:$I,MATCH(D564,Products!$A:$A,0)),"Unknown")</f>
        <v>SUP015</v>
      </c>
    </row>
    <row r="565" spans="1:28" x14ac:dyDescent="0.25">
      <c r="A565" t="s">
        <v>1866</v>
      </c>
      <c r="B565" s="20">
        <v>45697</v>
      </c>
      <c r="C565" t="s">
        <v>1867</v>
      </c>
      <c r="D565" t="s">
        <v>1080</v>
      </c>
      <c r="E565" t="s">
        <v>701</v>
      </c>
      <c r="F565" t="s">
        <v>232</v>
      </c>
      <c r="G565">
        <v>1</v>
      </c>
      <c r="H565" s="21">
        <v>1432.19</v>
      </c>
      <c r="I565">
        <v>15</v>
      </c>
      <c r="J565" s="21">
        <v>214.83</v>
      </c>
      <c r="K565">
        <v>12</v>
      </c>
      <c r="L565" s="21">
        <v>146.08000000000001</v>
      </c>
      <c r="M565" s="21">
        <v>1363.44</v>
      </c>
      <c r="N565" s="21">
        <v>914.35</v>
      </c>
      <c r="O565" s="21">
        <v>303.01</v>
      </c>
      <c r="P565" t="s">
        <v>121</v>
      </c>
      <c r="Q565" t="s">
        <v>120</v>
      </c>
      <c r="R565" t="s">
        <v>151</v>
      </c>
      <c r="S565" t="s">
        <v>1868</v>
      </c>
      <c r="T565" t="s">
        <v>161</v>
      </c>
      <c r="U565" t="s">
        <v>154</v>
      </c>
      <c r="V565" t="str">
        <f>IFERROR(INDEX(Products!$C:$C,MATCH(D565,Products!$A:$A,0)),"Unknown")</f>
        <v>Winter Wear</v>
      </c>
      <c r="W565" t="str">
        <f>IFERROR(INDEX(Products!$E:$E,MATCH(D565,Products!$A:$A,0)),"Unknown")</f>
        <v>Max Fashion</v>
      </c>
      <c r="X565" t="str">
        <f>IFERROR(INDEX(Stores!$B:$B,MATCH(E565,Stores!$A:$A,0)),"Unknown")</f>
        <v>TrendMart Vijayawada Mall Kiosk</v>
      </c>
      <c r="Y565" t="str">
        <f>IFERROR(INDEX(Stores!$E:$E,MATCH(E565,Stores!$A:$A,0)),"Unknown")</f>
        <v>South Zone 3</v>
      </c>
      <c r="Z565" t="str">
        <f>IFERROR(INDEX(Customers!$J:$J,MATCH(C565,Customers!$A:$A,0)),"Unknown")</f>
        <v>Gold</v>
      </c>
      <c r="AA565" t="str">
        <f t="shared" si="8"/>
        <v>2025-02</v>
      </c>
      <c r="AB565" t="str">
        <f>IFERROR(INDEX(Products!$I:$I,MATCH(D565,Products!$A:$A,0)),"Unknown")</f>
        <v>SUP017</v>
      </c>
    </row>
    <row r="566" spans="1:28" x14ac:dyDescent="0.25">
      <c r="A566" t="s">
        <v>1869</v>
      </c>
      <c r="B566" s="20">
        <v>45490</v>
      </c>
      <c r="C566" t="s">
        <v>1870</v>
      </c>
      <c r="D566" t="s">
        <v>1350</v>
      </c>
      <c r="E566" t="s">
        <v>470</v>
      </c>
      <c r="F566" t="s">
        <v>232</v>
      </c>
      <c r="G566">
        <v>1</v>
      </c>
      <c r="H566" s="21">
        <v>634.35</v>
      </c>
      <c r="I566">
        <v>0</v>
      </c>
      <c r="J566" s="21">
        <v>0</v>
      </c>
      <c r="K566">
        <v>5</v>
      </c>
      <c r="L566" s="21">
        <v>31.72</v>
      </c>
      <c r="M566" s="21">
        <v>666.07</v>
      </c>
      <c r="N566" s="21">
        <v>419.4</v>
      </c>
      <c r="O566" s="21">
        <v>214.95</v>
      </c>
      <c r="P566" t="s">
        <v>125</v>
      </c>
      <c r="Q566" t="s">
        <v>120</v>
      </c>
      <c r="R566" t="s">
        <v>151</v>
      </c>
      <c r="S566" t="s">
        <v>1871</v>
      </c>
      <c r="T566" t="s">
        <v>153</v>
      </c>
      <c r="U566" t="s">
        <v>154</v>
      </c>
      <c r="V566" t="str">
        <f>IFERROR(INDEX(Products!$C:$C,MATCH(D566,Products!$A:$A,0)),"Unknown")</f>
        <v>Women Tops</v>
      </c>
      <c r="W566" t="str">
        <f>IFERROR(INDEX(Products!$E:$E,MATCH(D566,Products!$A:$A,0)),"Unknown")</f>
        <v>Jack &amp; Jones</v>
      </c>
      <c r="X566" t="str">
        <f>IFERROR(INDEX(Stores!$B:$B,MATCH(E566,Stores!$A:$A,0)),"Unknown")</f>
        <v>TrendMart Thiruvananthapuram High Street</v>
      </c>
      <c r="Y566" t="str">
        <f>IFERROR(INDEX(Stores!$E:$E,MATCH(E566,Stores!$A:$A,0)),"Unknown")</f>
        <v>South Zone 1</v>
      </c>
      <c r="Z566" t="str">
        <f>IFERROR(INDEX(Customers!$J:$J,MATCH(C566,Customers!$A:$A,0)),"Unknown")</f>
        <v>Platinum</v>
      </c>
      <c r="AA566" t="str">
        <f t="shared" si="8"/>
        <v>2024-07</v>
      </c>
      <c r="AB566" t="str">
        <f>IFERROR(INDEX(Products!$I:$I,MATCH(D566,Products!$A:$A,0)),"Unknown")</f>
        <v>SUP089</v>
      </c>
    </row>
    <row r="567" spans="1:28" x14ac:dyDescent="0.25">
      <c r="A567" t="s">
        <v>1872</v>
      </c>
      <c r="B567" s="20">
        <v>45400</v>
      </c>
      <c r="C567" t="s">
        <v>1873</v>
      </c>
      <c r="D567" t="s">
        <v>1292</v>
      </c>
      <c r="E567" t="s">
        <v>515</v>
      </c>
      <c r="F567" t="s">
        <v>618</v>
      </c>
      <c r="G567">
        <v>5</v>
      </c>
      <c r="H567" s="21">
        <v>520.34</v>
      </c>
      <c r="I567">
        <v>0</v>
      </c>
      <c r="J567" s="21">
        <v>0</v>
      </c>
      <c r="K567">
        <v>5</v>
      </c>
      <c r="L567" s="21">
        <v>130.09</v>
      </c>
      <c r="M567" s="21">
        <v>2731.79</v>
      </c>
      <c r="N567" s="21">
        <v>1743.75</v>
      </c>
      <c r="O567" s="21">
        <v>857.95</v>
      </c>
      <c r="P567" t="s">
        <v>121</v>
      </c>
      <c r="Q567" t="s">
        <v>120</v>
      </c>
      <c r="R567" t="s">
        <v>151</v>
      </c>
      <c r="S567" t="s">
        <v>589</v>
      </c>
      <c r="T567" t="s">
        <v>153</v>
      </c>
      <c r="U567" t="s">
        <v>154</v>
      </c>
      <c r="V567" t="str">
        <f>IFERROR(INDEX(Products!$C:$C,MATCH(D567,Products!$A:$A,0)),"Unknown")</f>
        <v>Men T-Shirts</v>
      </c>
      <c r="W567" t="str">
        <f>IFERROR(INDEX(Products!$E:$E,MATCH(D567,Products!$A:$A,0)),"Unknown")</f>
        <v>Metro Shoes</v>
      </c>
      <c r="X567" t="str">
        <f>IFERROR(INDEX(Stores!$B:$B,MATCH(E567,Stores!$A:$A,0)),"Unknown")</f>
        <v>TrendMart Kochi High Street</v>
      </c>
      <c r="Y567" t="str">
        <f>IFERROR(INDEX(Stores!$E:$E,MATCH(E567,Stores!$A:$A,0)),"Unknown")</f>
        <v>South Zone 1</v>
      </c>
      <c r="Z567" t="str">
        <f>IFERROR(INDEX(Customers!$J:$J,MATCH(C567,Customers!$A:$A,0)),"Unknown")</f>
        <v>Gold</v>
      </c>
      <c r="AA567" t="str">
        <f t="shared" si="8"/>
        <v>2024-04</v>
      </c>
      <c r="AB567" t="str">
        <f>IFERROR(INDEX(Products!$I:$I,MATCH(D567,Products!$A:$A,0)),"Unknown")</f>
        <v>SUP024</v>
      </c>
    </row>
    <row r="568" spans="1:28" x14ac:dyDescent="0.25">
      <c r="A568" t="s">
        <v>1874</v>
      </c>
      <c r="B568" s="20">
        <v>45746</v>
      </c>
      <c r="C568" t="s">
        <v>1507</v>
      </c>
      <c r="D568" t="s">
        <v>1128</v>
      </c>
      <c r="E568" t="s">
        <v>667</v>
      </c>
      <c r="F568" t="s">
        <v>308</v>
      </c>
      <c r="G568">
        <v>2</v>
      </c>
      <c r="H568" s="21">
        <v>1873.7</v>
      </c>
      <c r="I568">
        <v>10</v>
      </c>
      <c r="J568" s="21">
        <v>374.74</v>
      </c>
      <c r="K568">
        <v>12</v>
      </c>
      <c r="L568" s="21">
        <v>404.72</v>
      </c>
      <c r="M568" s="21">
        <v>3777.38</v>
      </c>
      <c r="N568" s="21">
        <v>2231.84</v>
      </c>
      <c r="O568" s="21">
        <v>1140.82</v>
      </c>
      <c r="P568" t="s">
        <v>124</v>
      </c>
      <c r="Q568" t="s">
        <v>122</v>
      </c>
      <c r="R568" t="s">
        <v>151</v>
      </c>
      <c r="S568" t="s">
        <v>1875</v>
      </c>
      <c r="T568" t="s">
        <v>161</v>
      </c>
      <c r="U568" t="s">
        <v>154</v>
      </c>
      <c r="V568" t="str">
        <f>IFERROR(INDEX(Products!$C:$C,MATCH(D568,Products!$A:$A,0)),"Unknown")</f>
        <v>Winter Wear</v>
      </c>
      <c r="W568" t="str">
        <f>IFERROR(INDEX(Products!$E:$E,MATCH(D568,Products!$A:$A,0)),"Unknown")</f>
        <v>Libas</v>
      </c>
      <c r="X568" t="str">
        <f>IFERROR(INDEX(Stores!$B:$B,MATCH(E568,Stores!$A:$A,0)),"Unknown")</f>
        <v>TrendMart Hyderabad High Street</v>
      </c>
      <c r="Y568" t="str">
        <f>IFERROR(INDEX(Stores!$E:$E,MATCH(E568,Stores!$A:$A,0)),"Unknown")</f>
        <v>South Zone 2</v>
      </c>
      <c r="Z568" t="str">
        <f>IFERROR(INDEX(Customers!$J:$J,MATCH(C568,Customers!$A:$A,0)),"Unknown")</f>
        <v>Gold</v>
      </c>
      <c r="AA568" t="str">
        <f t="shared" si="8"/>
        <v>2025-03</v>
      </c>
      <c r="AB568" t="str">
        <f>IFERROR(INDEX(Products!$I:$I,MATCH(D568,Products!$A:$A,0)),"Unknown")</f>
        <v>SUP007</v>
      </c>
    </row>
    <row r="569" spans="1:28" x14ac:dyDescent="0.25">
      <c r="A569" t="s">
        <v>1876</v>
      </c>
      <c r="B569" s="20">
        <v>45484</v>
      </c>
      <c r="C569" t="s">
        <v>1618</v>
      </c>
      <c r="D569" t="s">
        <v>1877</v>
      </c>
      <c r="E569" t="s">
        <v>425</v>
      </c>
      <c r="F569" t="s">
        <v>532</v>
      </c>
      <c r="G569">
        <v>3</v>
      </c>
      <c r="H569" s="21">
        <v>1804.77</v>
      </c>
      <c r="I569">
        <v>0</v>
      </c>
      <c r="J569" s="21">
        <v>0</v>
      </c>
      <c r="K569">
        <v>12</v>
      </c>
      <c r="L569" s="21">
        <v>649.72</v>
      </c>
      <c r="M569" s="21">
        <v>6064.03</v>
      </c>
      <c r="N569" s="21">
        <v>3994.65</v>
      </c>
      <c r="O569" s="21">
        <v>1419.66</v>
      </c>
      <c r="P569" t="s">
        <v>123</v>
      </c>
      <c r="Q569" t="s">
        <v>120</v>
      </c>
      <c r="R569" t="s">
        <v>151</v>
      </c>
      <c r="S569" t="s">
        <v>1878</v>
      </c>
      <c r="T569" t="s">
        <v>153</v>
      </c>
      <c r="U569" t="s">
        <v>154</v>
      </c>
      <c r="V569" t="str">
        <f>IFERROR(INDEX(Products!$C:$C,MATCH(D569,Products!$A:$A,0)),"Unknown")</f>
        <v>Women Sarees</v>
      </c>
      <c r="W569" t="str">
        <f>IFERROR(INDEX(Products!$E:$E,MATCH(D569,Products!$A:$A,0)),"Unknown")</f>
        <v>Sonata</v>
      </c>
      <c r="X569" t="str">
        <f>IFERROR(INDEX(Stores!$B:$B,MATCH(E569,Stores!$A:$A,0)),"Unknown")</f>
        <v>TrendMart Kozhikode Outlet</v>
      </c>
      <c r="Y569" t="str">
        <f>IFERROR(INDEX(Stores!$E:$E,MATCH(E569,Stores!$A:$A,0)),"Unknown")</f>
        <v>South Zone 1</v>
      </c>
      <c r="Z569" t="str">
        <f>IFERROR(INDEX(Customers!$J:$J,MATCH(C569,Customers!$A:$A,0)),"Unknown")</f>
        <v>Regular</v>
      </c>
      <c r="AA569" t="str">
        <f t="shared" si="8"/>
        <v>2024-07</v>
      </c>
      <c r="AB569" t="str">
        <f>IFERROR(INDEX(Products!$I:$I,MATCH(D569,Products!$A:$A,0)),"Unknown")</f>
        <v>SUP073</v>
      </c>
    </row>
    <row r="570" spans="1:28" x14ac:dyDescent="0.25">
      <c r="A570" t="s">
        <v>1879</v>
      </c>
      <c r="B570" s="20">
        <v>45420</v>
      </c>
      <c r="C570" t="s">
        <v>1880</v>
      </c>
      <c r="D570" t="s">
        <v>246</v>
      </c>
      <c r="E570" t="s">
        <v>231</v>
      </c>
      <c r="F570" t="s">
        <v>434</v>
      </c>
      <c r="G570">
        <v>2</v>
      </c>
      <c r="H570" s="21">
        <v>1265.3800000000001</v>
      </c>
      <c r="I570">
        <v>25</v>
      </c>
      <c r="J570" s="21">
        <v>632.69000000000005</v>
      </c>
      <c r="K570">
        <v>12</v>
      </c>
      <c r="L570" s="21">
        <v>227.77</v>
      </c>
      <c r="M570" s="21">
        <v>2125.84</v>
      </c>
      <c r="N570" s="21">
        <v>1730.96</v>
      </c>
      <c r="O570" s="21">
        <v>167.11</v>
      </c>
      <c r="P570" t="s">
        <v>124</v>
      </c>
      <c r="Q570" t="s">
        <v>120</v>
      </c>
      <c r="R570" t="s">
        <v>151</v>
      </c>
      <c r="S570" t="s">
        <v>1881</v>
      </c>
      <c r="T570" t="s">
        <v>153</v>
      </c>
      <c r="U570" t="s">
        <v>154</v>
      </c>
      <c r="V570" t="str">
        <f>IFERROR(INDEX(Products!$C:$C,MATCH(D570,Products!$A:$A,0)),"Unknown")</f>
        <v>Women Dresses</v>
      </c>
      <c r="W570" t="str">
        <f>IFERROR(INDEX(Products!$E:$E,MATCH(D570,Products!$A:$A,0)),"Unknown")</f>
        <v>Tanishq</v>
      </c>
      <c r="X570" t="str">
        <f>IFERROR(INDEX(Stores!$B:$B,MATCH(E570,Stores!$A:$A,0)),"Unknown")</f>
        <v>TrendMart Warangal Outlet</v>
      </c>
      <c r="Y570" t="str">
        <f>IFERROR(INDEX(Stores!$E:$E,MATCH(E570,Stores!$A:$A,0)),"Unknown")</f>
        <v>South Zone 2</v>
      </c>
      <c r="Z570" t="str">
        <f>IFERROR(INDEX(Customers!$J:$J,MATCH(C570,Customers!$A:$A,0)),"Unknown")</f>
        <v>Silver</v>
      </c>
      <c r="AA570" t="str">
        <f t="shared" si="8"/>
        <v>2024-05</v>
      </c>
      <c r="AB570" t="str">
        <f>IFERROR(INDEX(Products!$I:$I,MATCH(D570,Products!$A:$A,0)),"Unknown")</f>
        <v>SUP002</v>
      </c>
    </row>
    <row r="571" spans="1:28" x14ac:dyDescent="0.25">
      <c r="A571" t="s">
        <v>1882</v>
      </c>
      <c r="B571" s="20">
        <v>45587</v>
      </c>
      <c r="C571" t="s">
        <v>1883</v>
      </c>
      <c r="D571" t="s">
        <v>767</v>
      </c>
      <c r="E571" t="s">
        <v>87</v>
      </c>
      <c r="F571" t="s">
        <v>242</v>
      </c>
      <c r="G571">
        <v>4</v>
      </c>
      <c r="H571" s="21">
        <v>432.04</v>
      </c>
      <c r="I571">
        <v>0</v>
      </c>
      <c r="J571" s="21">
        <v>0</v>
      </c>
      <c r="K571">
        <v>5</v>
      </c>
      <c r="L571" s="21">
        <v>86.41</v>
      </c>
      <c r="M571" s="21">
        <v>1814.57</v>
      </c>
      <c r="N571" s="21">
        <v>1048.24</v>
      </c>
      <c r="O571" s="21">
        <v>679.92</v>
      </c>
      <c r="P571" t="s">
        <v>124</v>
      </c>
      <c r="Q571" t="s">
        <v>120</v>
      </c>
      <c r="R571" t="s">
        <v>151</v>
      </c>
      <c r="S571" t="s">
        <v>471</v>
      </c>
      <c r="T571" t="s">
        <v>153</v>
      </c>
      <c r="U571" t="s">
        <v>154</v>
      </c>
      <c r="V571" t="str">
        <f>IFERROR(INDEX(Products!$C:$C,MATCH(D571,Products!$A:$A,0)),"Unknown")</f>
        <v>Men T-Shirts</v>
      </c>
      <c r="W571" t="str">
        <f>IFERROR(INDEX(Products!$E:$E,MATCH(D571,Products!$A:$A,0)),"Unknown")</f>
        <v>Skechers</v>
      </c>
      <c r="X571" t="str">
        <f>IFERROR(INDEX(Stores!$B:$B,MATCH(E571,Stores!$A:$A,0)),"Unknown")</f>
        <v>TrendMart Thiruvananthapuram Standard</v>
      </c>
      <c r="Y571" t="str">
        <f>IFERROR(INDEX(Stores!$E:$E,MATCH(E571,Stores!$A:$A,0)),"Unknown")</f>
        <v>South Zone 1</v>
      </c>
      <c r="Z571" t="str">
        <f>IFERROR(INDEX(Customers!$J:$J,MATCH(C571,Customers!$A:$A,0)),"Unknown")</f>
        <v>Gold</v>
      </c>
      <c r="AA571" t="str">
        <f t="shared" si="8"/>
        <v>2024-10</v>
      </c>
      <c r="AB571" t="str">
        <f>IFERROR(INDEX(Products!$I:$I,MATCH(D571,Products!$A:$A,0)),"Unknown")</f>
        <v>SUP061</v>
      </c>
    </row>
    <row r="572" spans="1:28" x14ac:dyDescent="0.25">
      <c r="A572" t="s">
        <v>1884</v>
      </c>
      <c r="B572" s="20">
        <v>45690</v>
      </c>
      <c r="C572" t="s">
        <v>1885</v>
      </c>
      <c r="D572" t="s">
        <v>1292</v>
      </c>
      <c r="E572" t="s">
        <v>343</v>
      </c>
      <c r="F572" t="s">
        <v>242</v>
      </c>
      <c r="G572">
        <v>5</v>
      </c>
      <c r="H572" s="21">
        <v>548.51</v>
      </c>
      <c r="I572">
        <v>10</v>
      </c>
      <c r="J572" s="21">
        <v>274.25</v>
      </c>
      <c r="K572">
        <v>5</v>
      </c>
      <c r="L572" s="21">
        <v>123.42</v>
      </c>
      <c r="M572" s="21">
        <v>2591.7199999999998</v>
      </c>
      <c r="N572" s="21">
        <v>1743.75</v>
      </c>
      <c r="O572" s="21">
        <v>724.55</v>
      </c>
      <c r="P572" t="s">
        <v>123</v>
      </c>
      <c r="Q572" t="s">
        <v>122</v>
      </c>
      <c r="R572" t="s">
        <v>151</v>
      </c>
      <c r="S572" t="s">
        <v>1886</v>
      </c>
      <c r="T572" t="s">
        <v>161</v>
      </c>
      <c r="U572" t="s">
        <v>154</v>
      </c>
      <c r="V572" t="str">
        <f>IFERROR(INDEX(Products!$C:$C,MATCH(D572,Products!$A:$A,0)),"Unknown")</f>
        <v>Men T-Shirts</v>
      </c>
      <c r="W572" t="str">
        <f>IFERROR(INDEX(Products!$E:$E,MATCH(D572,Products!$A:$A,0)),"Unknown")</f>
        <v>Metro Shoes</v>
      </c>
      <c r="X572" t="str">
        <f>IFERROR(INDEX(Stores!$B:$B,MATCH(E572,Stores!$A:$A,0)),"Unknown")</f>
        <v>TrendMart Tumakuru Outlet</v>
      </c>
      <c r="Y572" t="str">
        <f>IFERROR(INDEX(Stores!$E:$E,MATCH(E572,Stores!$A:$A,0)),"Unknown")</f>
        <v>South Zone 2</v>
      </c>
      <c r="Z572" t="str">
        <f>IFERROR(INDEX(Customers!$J:$J,MATCH(C572,Customers!$A:$A,0)),"Unknown")</f>
        <v>Gold</v>
      </c>
      <c r="AA572" t="str">
        <f t="shared" si="8"/>
        <v>2025-02</v>
      </c>
      <c r="AB572" t="str">
        <f>IFERROR(INDEX(Products!$I:$I,MATCH(D572,Products!$A:$A,0)),"Unknown")</f>
        <v>SUP024</v>
      </c>
    </row>
    <row r="573" spans="1:28" x14ac:dyDescent="0.25">
      <c r="A573" t="s">
        <v>1887</v>
      </c>
      <c r="B573" s="20">
        <v>45396</v>
      </c>
      <c r="C573" t="s">
        <v>1888</v>
      </c>
      <c r="D573" t="s">
        <v>697</v>
      </c>
      <c r="E573" t="s">
        <v>82</v>
      </c>
      <c r="F573" t="s">
        <v>408</v>
      </c>
      <c r="G573">
        <v>1</v>
      </c>
      <c r="H573" s="21">
        <v>1209.77</v>
      </c>
      <c r="I573">
        <v>10</v>
      </c>
      <c r="J573" s="21">
        <v>120.98</v>
      </c>
      <c r="K573">
        <v>12</v>
      </c>
      <c r="L573" s="21">
        <v>130.65</v>
      </c>
      <c r="M573" s="21">
        <v>1219.44</v>
      </c>
      <c r="N573" s="21">
        <v>699.84</v>
      </c>
      <c r="O573" s="21">
        <v>388.95</v>
      </c>
      <c r="P573" t="s">
        <v>123</v>
      </c>
      <c r="Q573" t="s">
        <v>122</v>
      </c>
      <c r="R573" t="s">
        <v>151</v>
      </c>
      <c r="S573" t="s">
        <v>1201</v>
      </c>
      <c r="T573" t="s">
        <v>161</v>
      </c>
      <c r="U573" t="s">
        <v>154</v>
      </c>
      <c r="V573" t="str">
        <f>IFERROR(INDEX(Products!$C:$C,MATCH(D573,Products!$A:$A,0)),"Unknown")</f>
        <v>Women Tops</v>
      </c>
      <c r="W573" t="str">
        <f>IFERROR(INDEX(Products!$E:$E,MATCH(D573,Products!$A:$A,0)),"Unknown")</f>
        <v>Nalli Silks</v>
      </c>
      <c r="X573" t="str">
        <f>IFERROR(INDEX(Stores!$B:$B,MATCH(E573,Stores!$A:$A,0)),"Unknown")</f>
        <v>TrendMart Kochi High Street</v>
      </c>
      <c r="Y573" t="str">
        <f>IFERROR(INDEX(Stores!$E:$E,MATCH(E573,Stores!$A:$A,0)),"Unknown")</f>
        <v>South Zone 1</v>
      </c>
      <c r="Z573" t="str">
        <f>IFERROR(INDEX(Customers!$J:$J,MATCH(C573,Customers!$A:$A,0)),"Unknown")</f>
        <v>Regular</v>
      </c>
      <c r="AA573" t="str">
        <f t="shared" si="8"/>
        <v>2024-04</v>
      </c>
      <c r="AB573" t="str">
        <f>IFERROR(INDEX(Products!$I:$I,MATCH(D573,Products!$A:$A,0)),"Unknown")</f>
        <v>SUP008</v>
      </c>
    </row>
    <row r="574" spans="1:28" x14ac:dyDescent="0.25">
      <c r="A574" t="s">
        <v>1889</v>
      </c>
      <c r="B574" s="20">
        <v>45415</v>
      </c>
      <c r="C574" t="s">
        <v>1152</v>
      </c>
      <c r="D574" t="s">
        <v>1759</v>
      </c>
      <c r="E574" t="s">
        <v>194</v>
      </c>
      <c r="F574" t="s">
        <v>269</v>
      </c>
      <c r="G574">
        <v>1</v>
      </c>
      <c r="H574" s="21">
        <v>2768.29</v>
      </c>
      <c r="I574">
        <v>30</v>
      </c>
      <c r="J574" s="21">
        <v>830.49</v>
      </c>
      <c r="K574">
        <v>12</v>
      </c>
      <c r="L574" s="21">
        <v>232.54</v>
      </c>
      <c r="M574" s="21">
        <v>2170.34</v>
      </c>
      <c r="N574" s="21">
        <v>1940.79</v>
      </c>
      <c r="O574" s="21">
        <v>-2.99</v>
      </c>
      <c r="P574" t="s">
        <v>125</v>
      </c>
      <c r="Q574" t="s">
        <v>122</v>
      </c>
      <c r="R574" t="s">
        <v>313</v>
      </c>
      <c r="S574" t="s">
        <v>1532</v>
      </c>
      <c r="T574" t="s">
        <v>153</v>
      </c>
      <c r="U574" t="s">
        <v>184</v>
      </c>
      <c r="V574" t="str">
        <f>IFERROR(INDEX(Products!$C:$C,MATCH(D574,Products!$A:$A,0)),"Unknown")</f>
        <v>Winter Wear</v>
      </c>
      <c r="W574" t="str">
        <f>IFERROR(INDEX(Products!$E:$E,MATCH(D574,Products!$A:$A,0)),"Unknown")</f>
        <v>Bata</v>
      </c>
      <c r="X574" t="str">
        <f>IFERROR(INDEX(Stores!$B:$B,MATCH(E574,Stores!$A:$A,0)),"Unknown")</f>
        <v>TrendMart Tirupati High Street</v>
      </c>
      <c r="Y574" t="str">
        <f>IFERROR(INDEX(Stores!$E:$E,MATCH(E574,Stores!$A:$A,0)),"Unknown")</f>
        <v>South Zone 3</v>
      </c>
      <c r="Z574" t="str">
        <f>IFERROR(INDEX(Customers!$J:$J,MATCH(C574,Customers!$A:$A,0)),"Unknown")</f>
        <v>Silver</v>
      </c>
      <c r="AA574" t="str">
        <f t="shared" si="8"/>
        <v>2024-05</v>
      </c>
      <c r="AB574" t="str">
        <f>IFERROR(INDEX(Products!$I:$I,MATCH(D574,Products!$A:$A,0)),"Unknown")</f>
        <v>SUP028</v>
      </c>
    </row>
    <row r="575" spans="1:28" x14ac:dyDescent="0.25">
      <c r="A575" t="s">
        <v>1890</v>
      </c>
      <c r="B575" s="20">
        <v>45746</v>
      </c>
      <c r="C575" t="s">
        <v>505</v>
      </c>
      <c r="D575" t="s">
        <v>662</v>
      </c>
      <c r="E575" t="s">
        <v>1591</v>
      </c>
      <c r="F575" t="s">
        <v>281</v>
      </c>
      <c r="G575">
        <v>3</v>
      </c>
      <c r="H575" s="21">
        <v>542.63</v>
      </c>
      <c r="I575">
        <v>15</v>
      </c>
      <c r="J575" s="21">
        <v>244.18</v>
      </c>
      <c r="K575">
        <v>5</v>
      </c>
      <c r="L575" s="21">
        <v>69.19</v>
      </c>
      <c r="M575" s="21">
        <v>1452.9</v>
      </c>
      <c r="N575" s="21">
        <v>899.58</v>
      </c>
      <c r="O575" s="21">
        <v>484.13</v>
      </c>
      <c r="P575" t="s">
        <v>124</v>
      </c>
      <c r="Q575" t="s">
        <v>120</v>
      </c>
      <c r="R575" t="s">
        <v>151</v>
      </c>
      <c r="S575" t="s">
        <v>1891</v>
      </c>
      <c r="T575" t="s">
        <v>161</v>
      </c>
      <c r="U575" t="s">
        <v>154</v>
      </c>
      <c r="V575" t="str">
        <f>IFERROR(INDEX(Products!$C:$C,MATCH(D575,Products!$A:$A,0)),"Unknown")</f>
        <v>Men T-Shirts</v>
      </c>
      <c r="W575" t="str">
        <f>IFERROR(INDEX(Products!$E:$E,MATCH(D575,Products!$A:$A,0)),"Unknown")</f>
        <v>Global Desi</v>
      </c>
      <c r="X575" t="str">
        <f>IFERROR(INDEX(Stores!$B:$B,MATCH(E575,Stores!$A:$A,0)),"Unknown")</f>
        <v>TrendMart Guntur Standard</v>
      </c>
      <c r="Y575" t="str">
        <f>IFERROR(INDEX(Stores!$E:$E,MATCH(E575,Stores!$A:$A,0)),"Unknown")</f>
        <v>South Zone 3</v>
      </c>
      <c r="Z575" t="str">
        <f>IFERROR(INDEX(Customers!$J:$J,MATCH(C575,Customers!$A:$A,0)),"Unknown")</f>
        <v>Regular</v>
      </c>
      <c r="AA575" t="str">
        <f t="shared" si="8"/>
        <v>2025-03</v>
      </c>
      <c r="AB575" t="str">
        <f>IFERROR(INDEX(Products!$I:$I,MATCH(D575,Products!$A:$A,0)),"Unknown")</f>
        <v>SUP049</v>
      </c>
    </row>
    <row r="576" spans="1:28" x14ac:dyDescent="0.25">
      <c r="A576" t="s">
        <v>1892</v>
      </c>
      <c r="B576" s="20">
        <v>45671</v>
      </c>
      <c r="C576" t="s">
        <v>1893</v>
      </c>
      <c r="D576" t="s">
        <v>407</v>
      </c>
      <c r="E576" t="s">
        <v>914</v>
      </c>
      <c r="F576" t="s">
        <v>237</v>
      </c>
      <c r="G576">
        <v>1</v>
      </c>
      <c r="H576" s="21">
        <v>1166.1199999999999</v>
      </c>
      <c r="I576">
        <v>25</v>
      </c>
      <c r="J576" s="21">
        <v>291.52999999999997</v>
      </c>
      <c r="K576">
        <v>12</v>
      </c>
      <c r="L576" s="21">
        <v>104.95</v>
      </c>
      <c r="M576" s="21">
        <v>979.54</v>
      </c>
      <c r="N576" s="21">
        <v>802.64</v>
      </c>
      <c r="O576" s="21">
        <v>71.95</v>
      </c>
      <c r="P576" t="s">
        <v>125</v>
      </c>
      <c r="Q576" t="s">
        <v>120</v>
      </c>
      <c r="R576" t="s">
        <v>151</v>
      </c>
      <c r="S576" t="s">
        <v>1378</v>
      </c>
      <c r="T576" t="s">
        <v>153</v>
      </c>
      <c r="U576" t="s">
        <v>154</v>
      </c>
      <c r="V576" t="str">
        <f>IFERROR(INDEX(Products!$C:$C,MATCH(D576,Products!$A:$A,0)),"Unknown")</f>
        <v>Winter Wear</v>
      </c>
      <c r="W576" t="str">
        <f>IFERROR(INDEX(Products!$E:$E,MATCH(D576,Products!$A:$A,0)),"Unknown")</f>
        <v>Metro Shoes</v>
      </c>
      <c r="X576" t="str">
        <f>IFERROR(INDEX(Stores!$B:$B,MATCH(E576,Stores!$A:$A,0)),"Unknown")</f>
        <v>TrendMart Thiruvananthapuram Outlet</v>
      </c>
      <c r="Y576" t="str">
        <f>IFERROR(INDEX(Stores!$E:$E,MATCH(E576,Stores!$A:$A,0)),"Unknown")</f>
        <v>South Zone 1</v>
      </c>
      <c r="Z576" t="str">
        <f>IFERROR(INDEX(Customers!$J:$J,MATCH(C576,Customers!$A:$A,0)),"Unknown")</f>
        <v>Regular</v>
      </c>
      <c r="AA576" t="str">
        <f t="shared" si="8"/>
        <v>2025-01</v>
      </c>
      <c r="AB576" t="str">
        <f>IFERROR(INDEX(Products!$I:$I,MATCH(D576,Products!$A:$A,0)),"Unknown")</f>
        <v>SUP067</v>
      </c>
    </row>
    <row r="577" spans="1:28" x14ac:dyDescent="0.25">
      <c r="A577" t="s">
        <v>1894</v>
      </c>
      <c r="B577" s="20">
        <v>45494</v>
      </c>
      <c r="C577" t="s">
        <v>594</v>
      </c>
      <c r="D577" t="s">
        <v>1095</v>
      </c>
      <c r="E577" t="s">
        <v>639</v>
      </c>
      <c r="F577" t="s">
        <v>532</v>
      </c>
      <c r="G577">
        <v>4</v>
      </c>
      <c r="H577" s="21">
        <v>1298.8800000000001</v>
      </c>
      <c r="I577">
        <v>10</v>
      </c>
      <c r="J577" s="21">
        <v>519.54999999999995</v>
      </c>
      <c r="K577">
        <v>12</v>
      </c>
      <c r="L577" s="21">
        <v>561.12</v>
      </c>
      <c r="M577" s="21">
        <v>5237.09</v>
      </c>
      <c r="N577" s="21">
        <v>3078.52</v>
      </c>
      <c r="O577" s="21">
        <v>1597.45</v>
      </c>
      <c r="P577" t="s">
        <v>124</v>
      </c>
      <c r="Q577" t="s">
        <v>120</v>
      </c>
      <c r="R577" t="s">
        <v>151</v>
      </c>
      <c r="S577" t="s">
        <v>1895</v>
      </c>
      <c r="T577" t="s">
        <v>161</v>
      </c>
      <c r="U577" t="s">
        <v>154</v>
      </c>
      <c r="V577" t="str">
        <f>IFERROR(INDEX(Products!$C:$C,MATCH(D577,Products!$A:$A,0)),"Unknown")</f>
        <v>Women Dresses</v>
      </c>
      <c r="W577" t="str">
        <f>IFERROR(INDEX(Products!$E:$E,MATCH(D577,Products!$A:$A,0)),"Unknown")</f>
        <v>Ramraj Cotton</v>
      </c>
      <c r="X577" t="str">
        <f>IFERROR(INDEX(Stores!$B:$B,MATCH(E577,Stores!$A:$A,0)),"Unknown")</f>
        <v>TrendMart Kurnool Outlet</v>
      </c>
      <c r="Y577" t="str">
        <f>IFERROR(INDEX(Stores!$E:$E,MATCH(E577,Stores!$A:$A,0)),"Unknown")</f>
        <v>South Zone 3</v>
      </c>
      <c r="Z577" t="str">
        <f>IFERROR(INDEX(Customers!$J:$J,MATCH(C577,Customers!$A:$A,0)),"Unknown")</f>
        <v>Silver</v>
      </c>
      <c r="AA577" t="str">
        <f t="shared" si="8"/>
        <v>2024-07</v>
      </c>
      <c r="AB577" t="str">
        <f>IFERROR(INDEX(Products!$I:$I,MATCH(D577,Products!$A:$A,0)),"Unknown")</f>
        <v>SUP054</v>
      </c>
    </row>
    <row r="578" spans="1:28" x14ac:dyDescent="0.25">
      <c r="A578" t="s">
        <v>1896</v>
      </c>
      <c r="B578" s="20">
        <v>45716</v>
      </c>
      <c r="C578" t="s">
        <v>1897</v>
      </c>
      <c r="D578" t="s">
        <v>1302</v>
      </c>
      <c r="E578" t="s">
        <v>274</v>
      </c>
      <c r="F578" t="s">
        <v>596</v>
      </c>
      <c r="G578">
        <v>1</v>
      </c>
      <c r="H578" s="21">
        <v>1093.83</v>
      </c>
      <c r="I578">
        <v>5</v>
      </c>
      <c r="J578" s="21">
        <v>54.69</v>
      </c>
      <c r="K578">
        <v>12</v>
      </c>
      <c r="L578" s="21">
        <v>124.7</v>
      </c>
      <c r="M578" s="21">
        <v>1163.8399999999999</v>
      </c>
      <c r="N578" s="21">
        <v>770.73</v>
      </c>
      <c r="O578" s="21">
        <v>268.41000000000003</v>
      </c>
      <c r="P578" t="s">
        <v>125</v>
      </c>
      <c r="Q578" t="s">
        <v>120</v>
      </c>
      <c r="R578" t="s">
        <v>151</v>
      </c>
      <c r="S578" t="s">
        <v>1898</v>
      </c>
      <c r="T578" t="s">
        <v>153</v>
      </c>
      <c r="U578" t="s">
        <v>154</v>
      </c>
      <c r="V578" t="str">
        <f>IFERROR(INDEX(Products!$C:$C,MATCH(D578,Products!$A:$A,0)),"Unknown")</f>
        <v>Women Kurtis</v>
      </c>
      <c r="W578" t="str">
        <f>IFERROR(INDEX(Products!$E:$E,MATCH(D578,Products!$A:$A,0)),"Unknown")</f>
        <v>Fabindia</v>
      </c>
      <c r="X578" t="str">
        <f>IFERROR(INDEX(Stores!$B:$B,MATCH(E578,Stores!$A:$A,0)),"Unknown")</f>
        <v>TrendMart Mangaluru Standard</v>
      </c>
      <c r="Y578" t="str">
        <f>IFERROR(INDEX(Stores!$E:$E,MATCH(E578,Stores!$A:$A,0)),"Unknown")</f>
        <v>South Zone 2</v>
      </c>
      <c r="Z578" t="str">
        <f>IFERROR(INDEX(Customers!$J:$J,MATCH(C578,Customers!$A:$A,0)),"Unknown")</f>
        <v>Silver</v>
      </c>
      <c r="AA578" t="str">
        <f t="shared" ref="AA578:AA641" si="9">TEXT(B578,"YYYY-MM")</f>
        <v>2025-02</v>
      </c>
      <c r="AB578" t="str">
        <f>IFERROR(INDEX(Products!$I:$I,MATCH(D578,Products!$A:$A,0)),"Unknown")</f>
        <v>SUP059</v>
      </c>
    </row>
    <row r="579" spans="1:28" x14ac:dyDescent="0.25">
      <c r="A579" t="s">
        <v>1899</v>
      </c>
      <c r="B579" s="20">
        <v>45615</v>
      </c>
      <c r="C579" t="s">
        <v>1900</v>
      </c>
      <c r="D579" t="s">
        <v>1224</v>
      </c>
      <c r="E579" t="s">
        <v>296</v>
      </c>
      <c r="F579" t="s">
        <v>344</v>
      </c>
      <c r="G579">
        <v>3</v>
      </c>
      <c r="H579" s="21">
        <v>1554.45</v>
      </c>
      <c r="I579">
        <v>25</v>
      </c>
      <c r="J579" s="21">
        <v>1165.8399999999999</v>
      </c>
      <c r="K579">
        <v>12</v>
      </c>
      <c r="L579" s="21">
        <v>419.7</v>
      </c>
      <c r="M579" s="21">
        <v>3917.21</v>
      </c>
      <c r="N579" s="21">
        <v>3582.42</v>
      </c>
      <c r="O579" s="21">
        <v>-84.91</v>
      </c>
      <c r="P579" t="s">
        <v>121</v>
      </c>
      <c r="Q579" t="s">
        <v>122</v>
      </c>
      <c r="R579" t="s">
        <v>151</v>
      </c>
      <c r="S579" t="s">
        <v>1901</v>
      </c>
      <c r="T579" t="s">
        <v>153</v>
      </c>
      <c r="U579" t="s">
        <v>184</v>
      </c>
      <c r="V579" t="str">
        <f>IFERROR(INDEX(Products!$C:$C,MATCH(D579,Products!$A:$A,0)),"Unknown")</f>
        <v>Men Jeans</v>
      </c>
      <c r="W579" t="str">
        <f>IFERROR(INDEX(Products!$E:$E,MATCH(D579,Products!$A:$A,0)),"Unknown")</f>
        <v>Killer Jeans</v>
      </c>
      <c r="X579" t="str">
        <f>IFERROR(INDEX(Stores!$B:$B,MATCH(E579,Stores!$A:$A,0)),"Unknown")</f>
        <v>TrendMart Kurnool Outlet</v>
      </c>
      <c r="Y579" t="str">
        <f>IFERROR(INDEX(Stores!$E:$E,MATCH(E579,Stores!$A:$A,0)),"Unknown")</f>
        <v>South Zone 3</v>
      </c>
      <c r="Z579" t="str">
        <f>IFERROR(INDEX(Customers!$J:$J,MATCH(C579,Customers!$A:$A,0)),"Unknown")</f>
        <v>Gold</v>
      </c>
      <c r="AA579" t="str">
        <f t="shared" si="9"/>
        <v>2024-11</v>
      </c>
      <c r="AB579" t="str">
        <f>IFERROR(INDEX(Products!$I:$I,MATCH(D579,Products!$A:$A,0)),"Unknown")</f>
        <v>SUP084</v>
      </c>
    </row>
    <row r="580" spans="1:28" x14ac:dyDescent="0.25">
      <c r="A580" t="s">
        <v>1902</v>
      </c>
      <c r="B580" s="20">
        <v>45599</v>
      </c>
      <c r="C580" t="s">
        <v>755</v>
      </c>
      <c r="D580" t="s">
        <v>1903</v>
      </c>
      <c r="E580" t="s">
        <v>1163</v>
      </c>
      <c r="F580" t="s">
        <v>292</v>
      </c>
      <c r="G580">
        <v>4</v>
      </c>
      <c r="H580" s="21">
        <v>1101.3499999999999</v>
      </c>
      <c r="I580">
        <v>25</v>
      </c>
      <c r="J580" s="21">
        <v>1101.3499999999999</v>
      </c>
      <c r="K580">
        <v>12</v>
      </c>
      <c r="L580" s="21">
        <v>396.49</v>
      </c>
      <c r="M580" s="21">
        <v>3700.54</v>
      </c>
      <c r="N580" s="21">
        <v>3044.28</v>
      </c>
      <c r="O580" s="21">
        <v>259.77</v>
      </c>
      <c r="P580" t="s">
        <v>121</v>
      </c>
      <c r="Q580" t="s">
        <v>120</v>
      </c>
      <c r="R580" t="s">
        <v>151</v>
      </c>
      <c r="S580" t="s">
        <v>1523</v>
      </c>
      <c r="T580" t="s">
        <v>161</v>
      </c>
      <c r="U580" t="s">
        <v>154</v>
      </c>
      <c r="V580" t="str">
        <f>IFERROR(INDEX(Products!$C:$C,MATCH(D580,Products!$A:$A,0)),"Unknown")</f>
        <v>Belts</v>
      </c>
      <c r="W580" t="str">
        <f>IFERROR(INDEX(Products!$E:$E,MATCH(D580,Products!$A:$A,0)),"Unknown")</f>
        <v>US Polo Assn</v>
      </c>
      <c r="X580" t="str">
        <f>IFERROR(INDEX(Stores!$B:$B,MATCH(E580,Stores!$A:$A,0)),"Unknown")</f>
        <v>TrendMart Alappuzha Outlet</v>
      </c>
      <c r="Y580" t="str">
        <f>IFERROR(INDEX(Stores!$E:$E,MATCH(E580,Stores!$A:$A,0)),"Unknown")</f>
        <v>South Zone 1</v>
      </c>
      <c r="Z580" t="str">
        <f>IFERROR(INDEX(Customers!$J:$J,MATCH(C580,Customers!$A:$A,0)),"Unknown")</f>
        <v>Regular</v>
      </c>
      <c r="AA580" t="str">
        <f t="shared" si="9"/>
        <v>2024-11</v>
      </c>
      <c r="AB580" t="str">
        <f>IFERROR(INDEX(Products!$I:$I,MATCH(D580,Products!$A:$A,0)),"Unknown")</f>
        <v>SUP029</v>
      </c>
    </row>
    <row r="581" spans="1:28" x14ac:dyDescent="0.25">
      <c r="A581" t="s">
        <v>1904</v>
      </c>
      <c r="B581" s="20">
        <v>45725</v>
      </c>
      <c r="C581" t="s">
        <v>1196</v>
      </c>
      <c r="D581" t="s">
        <v>1905</v>
      </c>
      <c r="E581" t="s">
        <v>1108</v>
      </c>
      <c r="F581" t="s">
        <v>397</v>
      </c>
      <c r="G581">
        <v>2</v>
      </c>
      <c r="H581" s="21">
        <v>930.12</v>
      </c>
      <c r="I581">
        <v>10</v>
      </c>
      <c r="J581" s="21">
        <v>186.02</v>
      </c>
      <c r="K581">
        <v>5</v>
      </c>
      <c r="L581" s="21">
        <v>83.71</v>
      </c>
      <c r="M581" s="21">
        <v>1757.93</v>
      </c>
      <c r="N581" s="21">
        <v>1260.2</v>
      </c>
      <c r="O581" s="21">
        <v>414.02</v>
      </c>
      <c r="P581" t="s">
        <v>126</v>
      </c>
      <c r="Q581" t="s">
        <v>122</v>
      </c>
      <c r="R581" t="s">
        <v>151</v>
      </c>
      <c r="S581" t="s">
        <v>448</v>
      </c>
      <c r="T581" t="s">
        <v>161</v>
      </c>
      <c r="U581" t="s">
        <v>154</v>
      </c>
      <c r="V581" t="str">
        <f>IFERROR(INDEX(Products!$C:$C,MATCH(D581,Products!$A:$A,0)),"Unknown")</f>
        <v>Sportswear</v>
      </c>
      <c r="W581" t="str">
        <f>IFERROR(INDEX(Products!$E:$E,MATCH(D581,Products!$A:$A,0)),"Unknown")</f>
        <v>Pantaloons</v>
      </c>
      <c r="X581" t="str">
        <f>IFERROR(INDEX(Stores!$B:$B,MATCH(E581,Stores!$A:$A,0)),"Unknown")</f>
        <v>TrendMart Karimnagar Standard</v>
      </c>
      <c r="Y581" t="str">
        <f>IFERROR(INDEX(Stores!$E:$E,MATCH(E581,Stores!$A:$A,0)),"Unknown")</f>
        <v>South Zone 2</v>
      </c>
      <c r="Z581" t="str">
        <f>IFERROR(INDEX(Customers!$J:$J,MATCH(C581,Customers!$A:$A,0)),"Unknown")</f>
        <v>Silver</v>
      </c>
      <c r="AA581" t="str">
        <f t="shared" si="9"/>
        <v>2025-03</v>
      </c>
      <c r="AB581" t="str">
        <f>IFERROR(INDEX(Products!$I:$I,MATCH(D581,Products!$A:$A,0)),"Unknown")</f>
        <v>SUP062</v>
      </c>
    </row>
    <row r="582" spans="1:28" x14ac:dyDescent="0.25">
      <c r="A582" t="s">
        <v>1906</v>
      </c>
      <c r="B582" s="20">
        <v>45648</v>
      </c>
      <c r="C582" t="s">
        <v>1831</v>
      </c>
      <c r="D582" t="s">
        <v>325</v>
      </c>
      <c r="E582" t="s">
        <v>451</v>
      </c>
      <c r="F582" t="s">
        <v>532</v>
      </c>
      <c r="G582">
        <v>3</v>
      </c>
      <c r="H582" s="21">
        <v>1231.6300000000001</v>
      </c>
      <c r="I582">
        <v>0</v>
      </c>
      <c r="J582" s="21">
        <v>0</v>
      </c>
      <c r="K582">
        <v>12</v>
      </c>
      <c r="L582" s="21">
        <v>443.39</v>
      </c>
      <c r="M582" s="21">
        <v>4138.28</v>
      </c>
      <c r="N582" s="21">
        <v>2277</v>
      </c>
      <c r="O582" s="21">
        <v>1417.89</v>
      </c>
      <c r="P582" t="s">
        <v>121</v>
      </c>
      <c r="Q582" t="s">
        <v>122</v>
      </c>
      <c r="R582" t="s">
        <v>151</v>
      </c>
      <c r="S582" t="s">
        <v>1907</v>
      </c>
      <c r="T582" t="s">
        <v>161</v>
      </c>
      <c r="U582" t="s">
        <v>154</v>
      </c>
      <c r="V582" t="str">
        <f>IFERROR(INDEX(Products!$C:$C,MATCH(D582,Products!$A:$A,0)),"Unknown")</f>
        <v>Women Jeans</v>
      </c>
      <c r="W582" t="str">
        <f>IFERROR(INDEX(Products!$E:$E,MATCH(D582,Products!$A:$A,0)),"Unknown")</f>
        <v>Nalli Silks</v>
      </c>
      <c r="X582" t="str">
        <f>IFERROR(INDEX(Stores!$B:$B,MATCH(E582,Stores!$A:$A,0)),"Unknown")</f>
        <v>TrendMart Thoothukudi High Street</v>
      </c>
      <c r="Y582" t="str">
        <f>IFERROR(INDEX(Stores!$E:$E,MATCH(E582,Stores!$A:$A,0)),"Unknown")</f>
        <v>South Zone 1</v>
      </c>
      <c r="Z582" t="str">
        <f>IFERROR(INDEX(Customers!$J:$J,MATCH(C582,Customers!$A:$A,0)),"Unknown")</f>
        <v>Gold</v>
      </c>
      <c r="AA582" t="str">
        <f t="shared" si="9"/>
        <v>2024-12</v>
      </c>
      <c r="AB582" t="str">
        <f>IFERROR(INDEX(Products!$I:$I,MATCH(D582,Products!$A:$A,0)),"Unknown")</f>
        <v>SUP048</v>
      </c>
    </row>
    <row r="583" spans="1:28" x14ac:dyDescent="0.25">
      <c r="A583" t="s">
        <v>1908</v>
      </c>
      <c r="B583" s="20">
        <v>45484</v>
      </c>
      <c r="C583" t="s">
        <v>904</v>
      </c>
      <c r="D583" t="s">
        <v>1909</v>
      </c>
      <c r="E583" t="s">
        <v>806</v>
      </c>
      <c r="F583" t="s">
        <v>263</v>
      </c>
      <c r="G583">
        <v>4</v>
      </c>
      <c r="H583" s="21">
        <v>1272.49</v>
      </c>
      <c r="I583">
        <v>20</v>
      </c>
      <c r="J583" s="21">
        <v>1017.99</v>
      </c>
      <c r="K583">
        <v>12</v>
      </c>
      <c r="L583" s="21">
        <v>488.64</v>
      </c>
      <c r="M583" s="21">
        <v>4560.6099999999997</v>
      </c>
      <c r="N583" s="21">
        <v>3869.48</v>
      </c>
      <c r="O583" s="21">
        <v>202.49</v>
      </c>
      <c r="P583" t="s">
        <v>124</v>
      </c>
      <c r="Q583" t="s">
        <v>120</v>
      </c>
      <c r="R583" t="s">
        <v>151</v>
      </c>
      <c r="S583" t="s">
        <v>1910</v>
      </c>
      <c r="T583" t="s">
        <v>153</v>
      </c>
      <c r="U583" t="s">
        <v>154</v>
      </c>
      <c r="V583" t="str">
        <f>IFERROR(INDEX(Products!$C:$C,MATCH(D583,Products!$A:$A,0)),"Unknown")</f>
        <v>Men Trousers</v>
      </c>
      <c r="W583" t="str">
        <f>IFERROR(INDEX(Products!$E:$E,MATCH(D583,Products!$A:$A,0)),"Unknown")</f>
        <v>Aurelia</v>
      </c>
      <c r="X583" t="str">
        <f>IFERROR(INDEX(Stores!$B:$B,MATCH(E583,Stores!$A:$A,0)),"Unknown")</f>
        <v>TrendMart Tirunelveli Flagship</v>
      </c>
      <c r="Y583" t="str">
        <f>IFERROR(INDEX(Stores!$E:$E,MATCH(E583,Stores!$A:$A,0)),"Unknown")</f>
        <v>South Zone 1</v>
      </c>
      <c r="Z583" t="str">
        <f>IFERROR(INDEX(Customers!$J:$J,MATCH(C583,Customers!$A:$A,0)),"Unknown")</f>
        <v>Gold</v>
      </c>
      <c r="AA583" t="str">
        <f t="shared" si="9"/>
        <v>2024-07</v>
      </c>
      <c r="AB583" t="str">
        <f>IFERROR(INDEX(Products!$I:$I,MATCH(D583,Products!$A:$A,0)),"Unknown")</f>
        <v>SUP011</v>
      </c>
    </row>
    <row r="584" spans="1:28" x14ac:dyDescent="0.25">
      <c r="A584" t="s">
        <v>1911</v>
      </c>
      <c r="B584" s="20">
        <v>45528</v>
      </c>
      <c r="C584" t="s">
        <v>354</v>
      </c>
      <c r="D584" t="s">
        <v>301</v>
      </c>
      <c r="E584" t="s">
        <v>1512</v>
      </c>
      <c r="F584" t="s">
        <v>443</v>
      </c>
      <c r="G584">
        <v>1</v>
      </c>
      <c r="H584" s="21">
        <v>1562.27</v>
      </c>
      <c r="I584">
        <v>30</v>
      </c>
      <c r="J584" s="21">
        <v>468.68</v>
      </c>
      <c r="K584">
        <v>12</v>
      </c>
      <c r="L584" s="21">
        <v>131.22999999999999</v>
      </c>
      <c r="M584" s="21">
        <v>1224.82</v>
      </c>
      <c r="N584" s="21">
        <v>971.65</v>
      </c>
      <c r="O584" s="21">
        <v>121.94</v>
      </c>
      <c r="P584" t="s">
        <v>125</v>
      </c>
      <c r="Q584" t="s">
        <v>122</v>
      </c>
      <c r="R584" t="s">
        <v>151</v>
      </c>
      <c r="S584" t="s">
        <v>457</v>
      </c>
      <c r="T584" t="s">
        <v>161</v>
      </c>
      <c r="U584" t="s">
        <v>154</v>
      </c>
      <c r="V584" t="str">
        <f>IFERROR(INDEX(Products!$C:$C,MATCH(D584,Products!$A:$A,0)),"Unknown")</f>
        <v>Women Jeans</v>
      </c>
      <c r="W584" t="str">
        <f>IFERROR(INDEX(Products!$E:$E,MATCH(D584,Products!$A:$A,0)),"Unknown")</f>
        <v>Unknown</v>
      </c>
      <c r="X584" t="str">
        <f>IFERROR(INDEX(Stores!$B:$B,MATCH(E584,Stores!$A:$A,0)),"Unknown")</f>
        <v>TrendMart Erode Mall Kiosk</v>
      </c>
      <c r="Y584" t="str">
        <f>IFERROR(INDEX(Stores!$E:$E,MATCH(E584,Stores!$A:$A,0)),"Unknown")</f>
        <v>South Zone 1</v>
      </c>
      <c r="Z584" t="str">
        <f>IFERROR(INDEX(Customers!$J:$J,MATCH(C584,Customers!$A:$A,0)),"Unknown")</f>
        <v>Platinum</v>
      </c>
      <c r="AA584" t="str">
        <f t="shared" si="9"/>
        <v>2024-08</v>
      </c>
      <c r="AB584" t="str">
        <f>IFERROR(INDEX(Products!$I:$I,MATCH(D584,Products!$A:$A,0)),"Unknown")</f>
        <v>SUP050</v>
      </c>
    </row>
    <row r="585" spans="1:28" x14ac:dyDescent="0.25">
      <c r="A585" t="s">
        <v>1912</v>
      </c>
      <c r="B585" s="20">
        <v>45467</v>
      </c>
      <c r="C585" t="s">
        <v>1913</v>
      </c>
      <c r="D585" t="s">
        <v>587</v>
      </c>
      <c r="E585" t="s">
        <v>158</v>
      </c>
      <c r="F585" t="s">
        <v>532</v>
      </c>
      <c r="G585">
        <v>1</v>
      </c>
      <c r="H585" s="21">
        <v>3015.46</v>
      </c>
      <c r="I585">
        <v>30</v>
      </c>
      <c r="J585" s="21">
        <v>904.64</v>
      </c>
      <c r="K585">
        <v>12</v>
      </c>
      <c r="L585" s="21">
        <v>253.3</v>
      </c>
      <c r="M585" s="21">
        <v>2364.12</v>
      </c>
      <c r="N585" s="21">
        <v>2135.85</v>
      </c>
      <c r="O585" s="21">
        <v>-25.03</v>
      </c>
      <c r="P585" t="s">
        <v>125</v>
      </c>
      <c r="Q585" t="s">
        <v>120</v>
      </c>
      <c r="R585" t="s">
        <v>151</v>
      </c>
      <c r="S585" t="s">
        <v>1914</v>
      </c>
      <c r="T585" t="s">
        <v>153</v>
      </c>
      <c r="U585" t="s">
        <v>184</v>
      </c>
      <c r="V585" t="str">
        <f>IFERROR(INDEX(Products!$C:$C,MATCH(D585,Products!$A:$A,0)),"Unknown")</f>
        <v>Handbags</v>
      </c>
      <c r="W585" t="str">
        <f>IFERROR(INDEX(Products!$E:$E,MATCH(D585,Products!$A:$A,0)),"Unknown")</f>
        <v>Tanishq</v>
      </c>
      <c r="X585" t="str">
        <f>IFERROR(INDEX(Stores!$B:$B,MATCH(E585,Stores!$A:$A,0)),"Unknown")</f>
        <v>TrendMart Tirunelveli High Street</v>
      </c>
      <c r="Y585" t="str">
        <f>IFERROR(INDEX(Stores!$E:$E,MATCH(E585,Stores!$A:$A,0)),"Unknown")</f>
        <v>South Zone 1</v>
      </c>
      <c r="Z585" t="str">
        <f>IFERROR(INDEX(Customers!$J:$J,MATCH(C585,Customers!$A:$A,0)),"Unknown")</f>
        <v>Regular</v>
      </c>
      <c r="AA585" t="str">
        <f t="shared" si="9"/>
        <v>2024-06</v>
      </c>
      <c r="AB585" t="str">
        <f>IFERROR(INDEX(Products!$I:$I,MATCH(D585,Products!$A:$A,0)),"Unknown")</f>
        <v>SUP029</v>
      </c>
    </row>
    <row r="586" spans="1:28" x14ac:dyDescent="0.25">
      <c r="A586" t="s">
        <v>1915</v>
      </c>
      <c r="B586" s="20">
        <v>45711</v>
      </c>
      <c r="C586" t="s">
        <v>1916</v>
      </c>
      <c r="D586" t="s">
        <v>407</v>
      </c>
      <c r="E586" t="s">
        <v>200</v>
      </c>
      <c r="F586" t="s">
        <v>237</v>
      </c>
      <c r="G586">
        <v>3</v>
      </c>
      <c r="H586" s="21">
        <v>1324.24</v>
      </c>
      <c r="I586">
        <v>10</v>
      </c>
      <c r="J586" s="21">
        <v>397.27</v>
      </c>
      <c r="K586">
        <v>12</v>
      </c>
      <c r="L586" s="21">
        <v>429.05</v>
      </c>
      <c r="M586" s="21">
        <v>4004.5</v>
      </c>
      <c r="N586" s="21">
        <v>2407.92</v>
      </c>
      <c r="O586" s="21">
        <v>1167.53</v>
      </c>
      <c r="P586" t="s">
        <v>124</v>
      </c>
      <c r="Q586" t="s">
        <v>120</v>
      </c>
      <c r="R586" t="s">
        <v>151</v>
      </c>
      <c r="S586" t="s">
        <v>304</v>
      </c>
      <c r="T586" t="s">
        <v>161</v>
      </c>
      <c r="U586" t="s">
        <v>154</v>
      </c>
      <c r="V586" t="str">
        <f>IFERROR(INDEX(Products!$C:$C,MATCH(D586,Products!$A:$A,0)),"Unknown")</f>
        <v>Winter Wear</v>
      </c>
      <c r="W586" t="str">
        <f>IFERROR(INDEX(Products!$E:$E,MATCH(D586,Products!$A:$A,0)),"Unknown")</f>
        <v>Metro Shoes</v>
      </c>
      <c r="X586" t="str">
        <f>IFERROR(INDEX(Stores!$B:$B,MATCH(E586,Stores!$A:$A,0)),"Unknown")</f>
        <v>TrendMart Kozhikode Standard</v>
      </c>
      <c r="Y586" t="str">
        <f>IFERROR(INDEX(Stores!$E:$E,MATCH(E586,Stores!$A:$A,0)),"Unknown")</f>
        <v>South Zone 1</v>
      </c>
      <c r="Z586" t="str">
        <f>IFERROR(INDEX(Customers!$J:$J,MATCH(C586,Customers!$A:$A,0)),"Unknown")</f>
        <v>Regular</v>
      </c>
      <c r="AA586" t="str">
        <f t="shared" si="9"/>
        <v>2025-02</v>
      </c>
      <c r="AB586" t="str">
        <f>IFERROR(INDEX(Products!$I:$I,MATCH(D586,Products!$A:$A,0)),"Unknown")</f>
        <v>SUP067</v>
      </c>
    </row>
    <row r="587" spans="1:28" x14ac:dyDescent="0.25">
      <c r="A587" t="s">
        <v>1917</v>
      </c>
      <c r="B587" s="20">
        <v>45575</v>
      </c>
      <c r="C587" t="s">
        <v>1597</v>
      </c>
      <c r="D587" t="s">
        <v>424</v>
      </c>
      <c r="E587" t="s">
        <v>537</v>
      </c>
      <c r="F587" t="s">
        <v>532</v>
      </c>
      <c r="G587">
        <v>2</v>
      </c>
      <c r="H587" s="21">
        <v>337.96</v>
      </c>
      <c r="I587">
        <v>10</v>
      </c>
      <c r="J587" s="21">
        <v>67.59</v>
      </c>
      <c r="K587">
        <v>5</v>
      </c>
      <c r="L587" s="21">
        <v>30.42</v>
      </c>
      <c r="M587" s="21">
        <v>638.75</v>
      </c>
      <c r="N587" s="21">
        <v>508.3</v>
      </c>
      <c r="O587" s="21">
        <v>100.03</v>
      </c>
      <c r="P587" t="s">
        <v>123</v>
      </c>
      <c r="Q587" t="s">
        <v>120</v>
      </c>
      <c r="R587" t="s">
        <v>151</v>
      </c>
      <c r="S587" t="s">
        <v>1662</v>
      </c>
      <c r="T587" t="s">
        <v>153</v>
      </c>
      <c r="U587" t="s">
        <v>154</v>
      </c>
      <c r="V587" t="str">
        <f>IFERROR(INDEX(Products!$C:$C,MATCH(D587,Products!$A:$A,0)),"Unknown")</f>
        <v>Belts</v>
      </c>
      <c r="W587" t="str">
        <f>IFERROR(INDEX(Products!$E:$E,MATCH(D587,Products!$A:$A,0)),"Unknown")</f>
        <v>Raymond</v>
      </c>
      <c r="X587" t="str">
        <f>IFERROR(INDEX(Stores!$B:$B,MATCH(E587,Stores!$A:$A,0)),"Unknown")</f>
        <v>TrendMart Thrissur High Street</v>
      </c>
      <c r="Y587" t="str">
        <f>IFERROR(INDEX(Stores!$E:$E,MATCH(E587,Stores!$A:$A,0)),"Unknown")</f>
        <v>South Zone 1</v>
      </c>
      <c r="Z587" t="str">
        <f>IFERROR(INDEX(Customers!$J:$J,MATCH(C587,Customers!$A:$A,0)),"Unknown")</f>
        <v>Silver</v>
      </c>
      <c r="AA587" t="str">
        <f t="shared" si="9"/>
        <v>2024-10</v>
      </c>
      <c r="AB587" t="str">
        <f>IFERROR(INDEX(Products!$I:$I,MATCH(D587,Products!$A:$A,0)),"Unknown")</f>
        <v>SUP002</v>
      </c>
    </row>
    <row r="588" spans="1:28" x14ac:dyDescent="0.25">
      <c r="A588" t="s">
        <v>1918</v>
      </c>
      <c r="B588" s="20">
        <v>45557</v>
      </c>
      <c r="C588" t="s">
        <v>1919</v>
      </c>
      <c r="D588" t="s">
        <v>1920</v>
      </c>
      <c r="E588" t="s">
        <v>99</v>
      </c>
      <c r="F588" t="s">
        <v>211</v>
      </c>
      <c r="G588">
        <v>2</v>
      </c>
      <c r="H588" s="21">
        <v>942.67</v>
      </c>
      <c r="I588">
        <v>0</v>
      </c>
      <c r="J588" s="21">
        <v>0</v>
      </c>
      <c r="K588">
        <v>5</v>
      </c>
      <c r="L588" s="21">
        <v>94.27</v>
      </c>
      <c r="M588" s="21">
        <v>1979.61</v>
      </c>
      <c r="N588" s="21">
        <v>1070.94</v>
      </c>
      <c r="O588" s="21">
        <v>814.4</v>
      </c>
      <c r="P588" t="s">
        <v>121</v>
      </c>
      <c r="Q588" t="s">
        <v>122</v>
      </c>
      <c r="R588" t="s">
        <v>151</v>
      </c>
      <c r="S588" t="s">
        <v>1921</v>
      </c>
      <c r="T588" t="s">
        <v>161</v>
      </c>
      <c r="U588" t="s">
        <v>154</v>
      </c>
      <c r="V588" t="str">
        <f>IFERROR(INDEX(Products!$C:$C,MATCH(D588,Products!$A:$A,0)),"Unknown")</f>
        <v>Accessories</v>
      </c>
      <c r="W588" t="str">
        <f>IFERROR(INDEX(Products!$E:$E,MATCH(D588,Products!$A:$A,0)),"Unknown")</f>
        <v>Metro Shoes</v>
      </c>
      <c r="X588" t="str">
        <f>IFERROR(INDEX(Stores!$B:$B,MATCH(E588,Stores!$A:$A,0)),"Unknown")</f>
        <v>TrendMart Hubballi Standard</v>
      </c>
      <c r="Y588" t="str">
        <f>IFERROR(INDEX(Stores!$E:$E,MATCH(E588,Stores!$A:$A,0)),"Unknown")</f>
        <v>South Zone 2</v>
      </c>
      <c r="Z588" t="str">
        <f>IFERROR(INDEX(Customers!$J:$J,MATCH(C588,Customers!$A:$A,0)),"Unknown")</f>
        <v>Silver</v>
      </c>
      <c r="AA588" t="str">
        <f t="shared" si="9"/>
        <v>2024-09</v>
      </c>
      <c r="AB588" t="str">
        <f>IFERROR(INDEX(Products!$I:$I,MATCH(D588,Products!$A:$A,0)),"Unknown")</f>
        <v>SUP003</v>
      </c>
    </row>
    <row r="589" spans="1:28" x14ac:dyDescent="0.25">
      <c r="A589" t="s">
        <v>1922</v>
      </c>
      <c r="B589" s="20">
        <v>45449</v>
      </c>
      <c r="C589" t="s">
        <v>785</v>
      </c>
      <c r="D589" t="s">
        <v>888</v>
      </c>
      <c r="E589" t="s">
        <v>1074</v>
      </c>
      <c r="F589" t="s">
        <v>170</v>
      </c>
      <c r="G589">
        <v>3</v>
      </c>
      <c r="H589" s="21">
        <v>6342.34</v>
      </c>
      <c r="I589">
        <v>15</v>
      </c>
      <c r="J589" s="21">
        <v>2854.05</v>
      </c>
      <c r="K589">
        <v>3</v>
      </c>
      <c r="L589" s="21">
        <v>485.19</v>
      </c>
      <c r="M589" s="21">
        <v>16658.16</v>
      </c>
      <c r="N589" s="21">
        <v>14288.28</v>
      </c>
      <c r="O589" s="21">
        <v>1884.69</v>
      </c>
      <c r="P589" t="s">
        <v>121</v>
      </c>
      <c r="Q589" t="s">
        <v>122</v>
      </c>
      <c r="R589" t="s">
        <v>151</v>
      </c>
      <c r="S589" t="s">
        <v>1075</v>
      </c>
      <c r="T589" t="s">
        <v>153</v>
      </c>
      <c r="U589" t="s">
        <v>154</v>
      </c>
      <c r="V589" t="str">
        <f>IFERROR(INDEX(Products!$C:$C,MATCH(D589,Products!$A:$A,0)),"Unknown")</f>
        <v>Jewellery</v>
      </c>
      <c r="W589" t="str">
        <f>IFERROR(INDEX(Products!$E:$E,MATCH(D589,Products!$A:$A,0)),"Unknown")</f>
        <v>Aurelia</v>
      </c>
      <c r="X589" t="str">
        <f>IFERROR(INDEX(Stores!$B:$B,MATCH(E589,Stores!$A:$A,0)),"Unknown")</f>
        <v>TrendMart Hyderabad Standard</v>
      </c>
      <c r="Y589" t="str">
        <f>IFERROR(INDEX(Stores!$E:$E,MATCH(E589,Stores!$A:$A,0)),"Unknown")</f>
        <v>South Zone 2</v>
      </c>
      <c r="Z589" t="str">
        <f>IFERROR(INDEX(Customers!$J:$J,MATCH(C589,Customers!$A:$A,0)),"Unknown")</f>
        <v>Regular</v>
      </c>
      <c r="AA589" t="str">
        <f t="shared" si="9"/>
        <v>2024-06</v>
      </c>
      <c r="AB589" t="str">
        <f>IFERROR(INDEX(Products!$I:$I,MATCH(D589,Products!$A:$A,0)),"Unknown")</f>
        <v>SUP038</v>
      </c>
    </row>
    <row r="590" spans="1:28" x14ac:dyDescent="0.25">
      <c r="A590" t="s">
        <v>1923</v>
      </c>
      <c r="B590" s="20">
        <v>45588</v>
      </c>
      <c r="C590" t="s">
        <v>1924</v>
      </c>
      <c r="D590" t="s">
        <v>1780</v>
      </c>
      <c r="E590" t="s">
        <v>470</v>
      </c>
      <c r="F590" t="s">
        <v>237</v>
      </c>
      <c r="G590">
        <v>1</v>
      </c>
      <c r="H590" s="21">
        <v>1233.9000000000001</v>
      </c>
      <c r="I590">
        <v>0</v>
      </c>
      <c r="J590" s="21">
        <v>0</v>
      </c>
      <c r="K590">
        <v>3</v>
      </c>
      <c r="L590" s="21">
        <v>37.020000000000003</v>
      </c>
      <c r="M590" s="21">
        <v>1270.92</v>
      </c>
      <c r="N590" s="21">
        <v>910.46</v>
      </c>
      <c r="O590" s="21">
        <v>323.44</v>
      </c>
      <c r="P590" t="s">
        <v>121</v>
      </c>
      <c r="Q590" t="s">
        <v>120</v>
      </c>
      <c r="R590" t="s">
        <v>151</v>
      </c>
      <c r="S590" t="s">
        <v>1925</v>
      </c>
      <c r="T590" t="s">
        <v>153</v>
      </c>
      <c r="U590" t="s">
        <v>154</v>
      </c>
      <c r="V590" t="str">
        <f>IFERROR(INDEX(Products!$C:$C,MATCH(D590,Products!$A:$A,0)),"Unknown")</f>
        <v>Jewellery</v>
      </c>
      <c r="W590" t="str">
        <f>IFERROR(INDEX(Products!$E:$E,MATCH(D590,Products!$A:$A,0)),"Unknown")</f>
        <v>Flying Machine</v>
      </c>
      <c r="X590" t="str">
        <f>IFERROR(INDEX(Stores!$B:$B,MATCH(E590,Stores!$A:$A,0)),"Unknown")</f>
        <v>TrendMart Thiruvananthapuram High Street</v>
      </c>
      <c r="Y590" t="str">
        <f>IFERROR(INDEX(Stores!$E:$E,MATCH(E590,Stores!$A:$A,0)),"Unknown")</f>
        <v>South Zone 1</v>
      </c>
      <c r="Z590" t="str">
        <f>IFERROR(INDEX(Customers!$J:$J,MATCH(C590,Customers!$A:$A,0)),"Unknown")</f>
        <v>Silver</v>
      </c>
      <c r="AA590" t="str">
        <f t="shared" si="9"/>
        <v>2024-10</v>
      </c>
      <c r="AB590" t="str">
        <f>IFERROR(INDEX(Products!$I:$I,MATCH(D590,Products!$A:$A,0)),"Unknown")</f>
        <v>SUP039</v>
      </c>
    </row>
    <row r="591" spans="1:28" x14ac:dyDescent="0.25">
      <c r="A591" t="s">
        <v>1926</v>
      </c>
      <c r="B591" s="20">
        <v>45551</v>
      </c>
      <c r="C591" t="s">
        <v>1927</v>
      </c>
      <c r="D591" t="s">
        <v>1928</v>
      </c>
      <c r="E591" t="s">
        <v>1442</v>
      </c>
      <c r="F591" t="s">
        <v>275</v>
      </c>
      <c r="G591">
        <v>1</v>
      </c>
      <c r="H591" s="21">
        <v>871.68</v>
      </c>
      <c r="I591">
        <v>15</v>
      </c>
      <c r="J591" s="21">
        <v>130.75</v>
      </c>
      <c r="K591">
        <v>5</v>
      </c>
      <c r="L591" s="21">
        <v>37.049999999999997</v>
      </c>
      <c r="M591" s="21">
        <v>777.98</v>
      </c>
      <c r="N591" s="21">
        <v>658.19</v>
      </c>
      <c r="O591" s="21">
        <v>82.74</v>
      </c>
      <c r="P591" t="s">
        <v>126</v>
      </c>
      <c r="Q591" t="s">
        <v>120</v>
      </c>
      <c r="R591" t="s">
        <v>151</v>
      </c>
      <c r="S591" t="s">
        <v>1929</v>
      </c>
      <c r="T591" t="s">
        <v>153</v>
      </c>
      <c r="U591" t="s">
        <v>154</v>
      </c>
      <c r="V591" t="str">
        <f>IFERROR(INDEX(Products!$C:$C,MATCH(D591,Products!$A:$A,0)),"Unknown")</f>
        <v>Men Jeans</v>
      </c>
      <c r="W591" t="str">
        <f>IFERROR(INDEX(Products!$E:$E,MATCH(D591,Products!$A:$A,0)),"Unknown")</f>
        <v>Skechers</v>
      </c>
      <c r="X591" t="str">
        <f>IFERROR(INDEX(Stores!$B:$B,MATCH(E591,Stores!$A:$A,0)),"Unknown")</f>
        <v>TrendMart Vellore High Street</v>
      </c>
      <c r="Y591" t="str">
        <f>IFERROR(INDEX(Stores!$E:$E,MATCH(E591,Stores!$A:$A,0)),"Unknown")</f>
        <v>South Zone 1</v>
      </c>
      <c r="Z591" t="str">
        <f>IFERROR(INDEX(Customers!$J:$J,MATCH(C591,Customers!$A:$A,0)),"Unknown")</f>
        <v>Silver</v>
      </c>
      <c r="AA591" t="str">
        <f t="shared" si="9"/>
        <v>2024-09</v>
      </c>
      <c r="AB591" t="str">
        <f>IFERROR(INDEX(Products!$I:$I,MATCH(D591,Products!$A:$A,0)),"Unknown")</f>
        <v>SUP015</v>
      </c>
    </row>
    <row r="592" spans="1:28" x14ac:dyDescent="0.25">
      <c r="A592" t="s">
        <v>1930</v>
      </c>
      <c r="B592" s="20">
        <v>45565</v>
      </c>
      <c r="C592" t="s">
        <v>853</v>
      </c>
      <c r="D592" t="s">
        <v>1931</v>
      </c>
      <c r="E592" t="s">
        <v>1074</v>
      </c>
      <c r="F592" t="s">
        <v>258</v>
      </c>
      <c r="G592">
        <v>2</v>
      </c>
      <c r="H592" s="21">
        <v>915.76</v>
      </c>
      <c r="I592">
        <v>5</v>
      </c>
      <c r="J592" s="21">
        <v>91.58</v>
      </c>
      <c r="K592">
        <v>5</v>
      </c>
      <c r="L592" s="21">
        <v>87</v>
      </c>
      <c r="M592" s="21">
        <v>1826.94</v>
      </c>
      <c r="N592" s="21">
        <v>1340.34</v>
      </c>
      <c r="O592" s="21">
        <v>399.6</v>
      </c>
      <c r="P592" t="s">
        <v>121</v>
      </c>
      <c r="Q592" t="s">
        <v>120</v>
      </c>
      <c r="R592" t="s">
        <v>151</v>
      </c>
      <c r="S592" t="s">
        <v>1168</v>
      </c>
      <c r="T592" t="s">
        <v>153</v>
      </c>
      <c r="U592" t="s">
        <v>154</v>
      </c>
      <c r="V592" t="str">
        <f>IFERROR(INDEX(Products!$C:$C,MATCH(D592,Products!$A:$A,0)),"Unknown")</f>
        <v>Men Jeans</v>
      </c>
      <c r="W592" t="str">
        <f>IFERROR(INDEX(Products!$E:$E,MATCH(D592,Products!$A:$A,0)),"Unknown")</f>
        <v>Libas</v>
      </c>
      <c r="X592" t="str">
        <f>IFERROR(INDEX(Stores!$B:$B,MATCH(E592,Stores!$A:$A,0)),"Unknown")</f>
        <v>TrendMart Hyderabad Standard</v>
      </c>
      <c r="Y592" t="str">
        <f>IFERROR(INDEX(Stores!$E:$E,MATCH(E592,Stores!$A:$A,0)),"Unknown")</f>
        <v>South Zone 2</v>
      </c>
      <c r="Z592" t="str">
        <f>IFERROR(INDEX(Customers!$J:$J,MATCH(C592,Customers!$A:$A,0)),"Unknown")</f>
        <v>Gold</v>
      </c>
      <c r="AA592" t="str">
        <f t="shared" si="9"/>
        <v>2024-09</v>
      </c>
      <c r="AB592" t="str">
        <f>IFERROR(INDEX(Products!$I:$I,MATCH(D592,Products!$A:$A,0)),"Unknown")</f>
        <v>SUP018</v>
      </c>
    </row>
    <row r="593" spans="1:28" x14ac:dyDescent="0.25">
      <c r="A593" t="s">
        <v>1932</v>
      </c>
      <c r="B593" s="20">
        <v>45654</v>
      </c>
      <c r="C593" t="s">
        <v>1933</v>
      </c>
      <c r="D593" t="s">
        <v>251</v>
      </c>
      <c r="E593" t="s">
        <v>607</v>
      </c>
      <c r="F593" t="s">
        <v>434</v>
      </c>
      <c r="G593">
        <v>4</v>
      </c>
      <c r="H593" s="21">
        <v>805.77</v>
      </c>
      <c r="I593">
        <v>0</v>
      </c>
      <c r="J593" s="21">
        <v>0</v>
      </c>
      <c r="K593">
        <v>5</v>
      </c>
      <c r="L593" s="21">
        <v>161.15</v>
      </c>
      <c r="M593" s="21">
        <v>3384.23</v>
      </c>
      <c r="N593" s="21">
        <v>2139.2399999999998</v>
      </c>
      <c r="O593" s="21">
        <v>1083.8399999999999</v>
      </c>
      <c r="P593" t="s">
        <v>124</v>
      </c>
      <c r="Q593" t="s">
        <v>122</v>
      </c>
      <c r="R593" t="s">
        <v>151</v>
      </c>
      <c r="S593" t="s">
        <v>1319</v>
      </c>
      <c r="T593" t="s">
        <v>161</v>
      </c>
      <c r="U593" t="s">
        <v>154</v>
      </c>
      <c r="V593" t="str">
        <f>IFERROR(INDEX(Products!$C:$C,MATCH(D593,Products!$A:$A,0)),"Unknown")</f>
        <v>Women Tops</v>
      </c>
      <c r="W593" t="str">
        <f>IFERROR(INDEX(Products!$E:$E,MATCH(D593,Products!$A:$A,0)),"Unknown")</f>
        <v>US Polo Assn</v>
      </c>
      <c r="X593" t="str">
        <f>IFERROR(INDEX(Stores!$B:$B,MATCH(E593,Stores!$A:$A,0)),"Unknown")</f>
        <v>TrendMart Thiruvananthapuram Standard</v>
      </c>
      <c r="Y593" t="str">
        <f>IFERROR(INDEX(Stores!$E:$E,MATCH(E593,Stores!$A:$A,0)),"Unknown")</f>
        <v>South Zone 1</v>
      </c>
      <c r="Z593" t="str">
        <f>IFERROR(INDEX(Customers!$J:$J,MATCH(C593,Customers!$A:$A,0)),"Unknown")</f>
        <v>Gold</v>
      </c>
      <c r="AA593" t="str">
        <f t="shared" si="9"/>
        <v>2024-12</v>
      </c>
      <c r="AB593" t="str">
        <f>IFERROR(INDEX(Products!$I:$I,MATCH(D593,Products!$A:$A,0)),"Unknown")</f>
        <v>SUP039</v>
      </c>
    </row>
    <row r="594" spans="1:28" x14ac:dyDescent="0.25">
      <c r="A594" t="s">
        <v>1934</v>
      </c>
      <c r="B594" s="20">
        <v>45502</v>
      </c>
      <c r="C594" t="s">
        <v>1935</v>
      </c>
      <c r="D594" t="s">
        <v>650</v>
      </c>
      <c r="E594" t="s">
        <v>1442</v>
      </c>
      <c r="F594" t="s">
        <v>516</v>
      </c>
      <c r="G594">
        <v>3</v>
      </c>
      <c r="H594" s="21">
        <v>1931.87</v>
      </c>
      <c r="I594">
        <v>30</v>
      </c>
      <c r="J594" s="21">
        <v>1738.68</v>
      </c>
      <c r="K594">
        <v>12</v>
      </c>
      <c r="L594" s="21">
        <v>486.83</v>
      </c>
      <c r="M594" s="21">
        <v>4543.76</v>
      </c>
      <c r="N594" s="21">
        <v>4227.3599999999997</v>
      </c>
      <c r="O594" s="21">
        <v>-170.43</v>
      </c>
      <c r="P594" t="s">
        <v>125</v>
      </c>
      <c r="Q594" t="s">
        <v>122</v>
      </c>
      <c r="R594" t="s">
        <v>151</v>
      </c>
      <c r="S594" t="s">
        <v>1326</v>
      </c>
      <c r="T594" t="s">
        <v>153</v>
      </c>
      <c r="U594" t="s">
        <v>184</v>
      </c>
      <c r="V594" t="str">
        <f>IFERROR(INDEX(Products!$C:$C,MATCH(D594,Products!$A:$A,0)),"Unknown")</f>
        <v>Winter Wear</v>
      </c>
      <c r="W594" t="str">
        <f>IFERROR(INDEX(Products!$E:$E,MATCH(D594,Products!$A:$A,0)),"Unknown")</f>
        <v>Mufti</v>
      </c>
      <c r="X594" t="str">
        <f>IFERROR(INDEX(Stores!$B:$B,MATCH(E594,Stores!$A:$A,0)),"Unknown")</f>
        <v>TrendMart Vellore High Street</v>
      </c>
      <c r="Y594" t="str">
        <f>IFERROR(INDEX(Stores!$E:$E,MATCH(E594,Stores!$A:$A,0)),"Unknown")</f>
        <v>South Zone 1</v>
      </c>
      <c r="Z594" t="str">
        <f>IFERROR(INDEX(Customers!$J:$J,MATCH(C594,Customers!$A:$A,0)),"Unknown")</f>
        <v>Gold</v>
      </c>
      <c r="AA594" t="str">
        <f t="shared" si="9"/>
        <v>2024-07</v>
      </c>
      <c r="AB594" t="str">
        <f>IFERROR(INDEX(Products!$I:$I,MATCH(D594,Products!$A:$A,0)),"Unknown")</f>
        <v>SUP078</v>
      </c>
    </row>
    <row r="595" spans="1:28" x14ac:dyDescent="0.25">
      <c r="A595" t="s">
        <v>1936</v>
      </c>
      <c r="B595" s="20">
        <v>45424</v>
      </c>
      <c r="C595" t="s">
        <v>1937</v>
      </c>
      <c r="D595" t="s">
        <v>381</v>
      </c>
      <c r="E595" t="s">
        <v>1591</v>
      </c>
      <c r="F595" t="s">
        <v>434</v>
      </c>
      <c r="G595">
        <v>4</v>
      </c>
      <c r="H595" s="21">
        <v>842.62</v>
      </c>
      <c r="I595">
        <v>0</v>
      </c>
      <c r="J595" s="21">
        <v>0</v>
      </c>
      <c r="K595">
        <v>5</v>
      </c>
      <c r="L595" s="21">
        <v>168.52</v>
      </c>
      <c r="M595" s="21">
        <v>3539</v>
      </c>
      <c r="N595" s="21">
        <v>2055.36</v>
      </c>
      <c r="O595" s="21">
        <v>1315.12</v>
      </c>
      <c r="P595" t="s">
        <v>124</v>
      </c>
      <c r="Q595" t="s">
        <v>120</v>
      </c>
      <c r="R595" t="s">
        <v>151</v>
      </c>
      <c r="S595" t="s">
        <v>1938</v>
      </c>
      <c r="T595" t="s">
        <v>161</v>
      </c>
      <c r="U595" t="s">
        <v>154</v>
      </c>
      <c r="V595" t="str">
        <f>IFERROR(INDEX(Products!$C:$C,MATCH(D595,Products!$A:$A,0)),"Unknown")</f>
        <v>Wallets</v>
      </c>
      <c r="W595" t="str">
        <f>IFERROR(INDEX(Products!$E:$E,MATCH(D595,Products!$A:$A,0)),"Unknown")</f>
        <v>Tanishq</v>
      </c>
      <c r="X595" t="str">
        <f>IFERROR(INDEX(Stores!$B:$B,MATCH(E595,Stores!$A:$A,0)),"Unknown")</f>
        <v>TrendMart Guntur Standard</v>
      </c>
      <c r="Y595" t="str">
        <f>IFERROR(INDEX(Stores!$E:$E,MATCH(E595,Stores!$A:$A,0)),"Unknown")</f>
        <v>South Zone 3</v>
      </c>
      <c r="Z595" t="str">
        <f>IFERROR(INDEX(Customers!$J:$J,MATCH(C595,Customers!$A:$A,0)),"Unknown")</f>
        <v>Gold</v>
      </c>
      <c r="AA595" t="str">
        <f t="shared" si="9"/>
        <v>2024-05</v>
      </c>
      <c r="AB595" t="str">
        <f>IFERROR(INDEX(Products!$I:$I,MATCH(D595,Products!$A:$A,0)),"Unknown")</f>
        <v>SUP007</v>
      </c>
    </row>
    <row r="596" spans="1:28" x14ac:dyDescent="0.25">
      <c r="A596" t="s">
        <v>1939</v>
      </c>
      <c r="B596" s="20">
        <v>45709</v>
      </c>
      <c r="C596" t="s">
        <v>1940</v>
      </c>
      <c r="D596" t="s">
        <v>1302</v>
      </c>
      <c r="E596" t="s">
        <v>81</v>
      </c>
      <c r="F596" t="s">
        <v>258</v>
      </c>
      <c r="G596">
        <v>2</v>
      </c>
      <c r="H596" s="21">
        <v>1081.8699999999999</v>
      </c>
      <c r="I596">
        <v>30</v>
      </c>
      <c r="J596" s="21">
        <v>649.12</v>
      </c>
      <c r="K596">
        <v>12</v>
      </c>
      <c r="L596" s="21">
        <v>181.75</v>
      </c>
      <c r="M596" s="21">
        <v>1696.37</v>
      </c>
      <c r="N596" s="21">
        <v>1541.46</v>
      </c>
      <c r="O596" s="21">
        <v>-26.84</v>
      </c>
      <c r="P596" t="s">
        <v>123</v>
      </c>
      <c r="Q596" t="s">
        <v>120</v>
      </c>
      <c r="R596" t="s">
        <v>151</v>
      </c>
      <c r="S596" t="s">
        <v>1788</v>
      </c>
      <c r="T596" t="s">
        <v>153</v>
      </c>
      <c r="U596" t="s">
        <v>184</v>
      </c>
      <c r="V596" t="str">
        <f>IFERROR(INDEX(Products!$C:$C,MATCH(D596,Products!$A:$A,0)),"Unknown")</f>
        <v>Women Kurtis</v>
      </c>
      <c r="W596" t="str">
        <f>IFERROR(INDEX(Products!$E:$E,MATCH(D596,Products!$A:$A,0)),"Unknown")</f>
        <v>Fabindia</v>
      </c>
      <c r="X596" t="str">
        <f>IFERROR(INDEX(Stores!$B:$B,MATCH(E596,Stores!$A:$A,0)),"Unknown")</f>
        <v>TrendMart Vijayawada High Street</v>
      </c>
      <c r="Y596" t="str">
        <f>IFERROR(INDEX(Stores!$E:$E,MATCH(E596,Stores!$A:$A,0)),"Unknown")</f>
        <v>South Zone 3</v>
      </c>
      <c r="Z596" t="str">
        <f>IFERROR(INDEX(Customers!$J:$J,MATCH(C596,Customers!$A:$A,0)),"Unknown")</f>
        <v>Silver</v>
      </c>
      <c r="AA596" t="str">
        <f t="shared" si="9"/>
        <v>2025-02</v>
      </c>
      <c r="AB596" t="str">
        <f>IFERROR(INDEX(Products!$I:$I,MATCH(D596,Products!$A:$A,0)),"Unknown")</f>
        <v>SUP059</v>
      </c>
    </row>
    <row r="597" spans="1:28" x14ac:dyDescent="0.25">
      <c r="A597" t="s">
        <v>1941</v>
      </c>
      <c r="B597" s="20">
        <v>45389</v>
      </c>
      <c r="C597" t="s">
        <v>1573</v>
      </c>
      <c r="D597" t="s">
        <v>858</v>
      </c>
      <c r="E597" t="s">
        <v>83</v>
      </c>
      <c r="F597" t="s">
        <v>292</v>
      </c>
      <c r="G597">
        <v>2</v>
      </c>
      <c r="H597" s="21">
        <v>750.62</v>
      </c>
      <c r="I597">
        <v>10</v>
      </c>
      <c r="J597" s="21">
        <v>150.12</v>
      </c>
      <c r="K597">
        <v>5</v>
      </c>
      <c r="L597" s="21">
        <v>67.56</v>
      </c>
      <c r="M597" s="21">
        <v>1418.68</v>
      </c>
      <c r="N597" s="21">
        <v>1050.9000000000001</v>
      </c>
      <c r="O597" s="21">
        <v>300.22000000000003</v>
      </c>
      <c r="P597" t="s">
        <v>124</v>
      </c>
      <c r="Q597" t="s">
        <v>120</v>
      </c>
      <c r="R597" t="s">
        <v>151</v>
      </c>
      <c r="S597" t="s">
        <v>917</v>
      </c>
      <c r="T597" t="s">
        <v>161</v>
      </c>
      <c r="U597" t="s">
        <v>154</v>
      </c>
      <c r="V597" t="str">
        <f>IFERROR(INDEX(Products!$C:$C,MATCH(D597,Products!$A:$A,0)),"Unknown")</f>
        <v>Kids Wear</v>
      </c>
      <c r="W597" t="str">
        <f>IFERROR(INDEX(Products!$E:$E,MATCH(D597,Products!$A:$A,0)),"Unknown")</f>
        <v>Sonata</v>
      </c>
      <c r="X597" t="str">
        <f>IFERROR(INDEX(Stores!$B:$B,MATCH(E597,Stores!$A:$A,0)),"Unknown")</f>
        <v>TrendMart Vellore Standard</v>
      </c>
      <c r="Y597" t="str">
        <f>IFERROR(INDEX(Stores!$E:$E,MATCH(E597,Stores!$A:$A,0)),"Unknown")</f>
        <v>South Zone 1</v>
      </c>
      <c r="Z597" t="str">
        <f>IFERROR(INDEX(Customers!$J:$J,MATCH(C597,Customers!$A:$A,0)),"Unknown")</f>
        <v>Silver</v>
      </c>
      <c r="AA597" t="str">
        <f t="shared" si="9"/>
        <v>2024-04</v>
      </c>
      <c r="AB597" t="str">
        <f>IFERROR(INDEX(Products!$I:$I,MATCH(D597,Products!$A:$A,0)),"Unknown")</f>
        <v>SUP089</v>
      </c>
    </row>
    <row r="598" spans="1:28" x14ac:dyDescent="0.25">
      <c r="A598" t="s">
        <v>1942</v>
      </c>
      <c r="B598" s="20">
        <v>45573</v>
      </c>
      <c r="C598" t="s">
        <v>867</v>
      </c>
      <c r="D598" t="s">
        <v>858</v>
      </c>
      <c r="E598" t="s">
        <v>1163</v>
      </c>
      <c r="F598" t="s">
        <v>176</v>
      </c>
      <c r="G598">
        <v>1</v>
      </c>
      <c r="H598" s="21">
        <v>662.96</v>
      </c>
      <c r="I598">
        <v>10</v>
      </c>
      <c r="J598" s="21">
        <v>66.3</v>
      </c>
      <c r="K598">
        <v>5</v>
      </c>
      <c r="L598" s="21">
        <v>29.83</v>
      </c>
      <c r="M598" s="21">
        <v>626.49</v>
      </c>
      <c r="N598" s="21">
        <v>525.45000000000005</v>
      </c>
      <c r="O598" s="21">
        <v>71.209999999999994</v>
      </c>
      <c r="P598" t="s">
        <v>124</v>
      </c>
      <c r="Q598" t="s">
        <v>122</v>
      </c>
      <c r="R598" t="s">
        <v>151</v>
      </c>
      <c r="S598" t="s">
        <v>690</v>
      </c>
      <c r="T598" t="s">
        <v>153</v>
      </c>
      <c r="U598" t="s">
        <v>154</v>
      </c>
      <c r="V598" t="str">
        <f>IFERROR(INDEX(Products!$C:$C,MATCH(D598,Products!$A:$A,0)),"Unknown")</f>
        <v>Kids Wear</v>
      </c>
      <c r="W598" t="str">
        <f>IFERROR(INDEX(Products!$E:$E,MATCH(D598,Products!$A:$A,0)),"Unknown")</f>
        <v>Sonata</v>
      </c>
      <c r="X598" t="str">
        <f>IFERROR(INDEX(Stores!$B:$B,MATCH(E598,Stores!$A:$A,0)),"Unknown")</f>
        <v>TrendMart Alappuzha Outlet</v>
      </c>
      <c r="Y598" t="str">
        <f>IFERROR(INDEX(Stores!$E:$E,MATCH(E598,Stores!$A:$A,0)),"Unknown")</f>
        <v>South Zone 1</v>
      </c>
      <c r="Z598" t="str">
        <f>IFERROR(INDEX(Customers!$J:$J,MATCH(C598,Customers!$A:$A,0)),"Unknown")</f>
        <v>Silver</v>
      </c>
      <c r="AA598" t="str">
        <f t="shared" si="9"/>
        <v>2024-10</v>
      </c>
      <c r="AB598" t="str">
        <f>IFERROR(INDEX(Products!$I:$I,MATCH(D598,Products!$A:$A,0)),"Unknown")</f>
        <v>SUP089</v>
      </c>
    </row>
    <row r="599" spans="1:28" x14ac:dyDescent="0.25">
      <c r="A599" t="s">
        <v>1943</v>
      </c>
      <c r="B599" s="20">
        <v>45608</v>
      </c>
      <c r="C599" t="s">
        <v>245</v>
      </c>
      <c r="D599" t="s">
        <v>1687</v>
      </c>
      <c r="E599" t="s">
        <v>456</v>
      </c>
      <c r="F599" t="s">
        <v>201</v>
      </c>
      <c r="G599">
        <v>1</v>
      </c>
      <c r="H599" s="21">
        <v>827.96</v>
      </c>
      <c r="I599">
        <v>30</v>
      </c>
      <c r="J599" s="21">
        <v>248.39</v>
      </c>
      <c r="K599">
        <v>5</v>
      </c>
      <c r="L599" s="21">
        <v>28.98</v>
      </c>
      <c r="M599" s="21">
        <v>608.54999999999995</v>
      </c>
      <c r="N599" s="21">
        <v>481.3</v>
      </c>
      <c r="O599" s="21">
        <v>98.27</v>
      </c>
      <c r="P599" t="s">
        <v>124</v>
      </c>
      <c r="Q599" t="s">
        <v>120</v>
      </c>
      <c r="R599" t="s">
        <v>151</v>
      </c>
      <c r="S599" t="s">
        <v>694</v>
      </c>
      <c r="T599" t="s">
        <v>153</v>
      </c>
      <c r="U599" t="s">
        <v>154</v>
      </c>
      <c r="V599" t="str">
        <f>IFERROR(INDEX(Products!$C:$C,MATCH(D599,Products!$A:$A,0)),"Unknown")</f>
        <v>Accessories</v>
      </c>
      <c r="W599" t="str">
        <f>IFERROR(INDEX(Products!$E:$E,MATCH(D599,Products!$A:$A,0)),"Unknown")</f>
        <v>Unknown</v>
      </c>
      <c r="X599" t="str">
        <f>IFERROR(INDEX(Stores!$B:$B,MATCH(E599,Stores!$A:$A,0)),"Unknown")</f>
        <v>TrendMart Salem Outlet</v>
      </c>
      <c r="Y599" t="str">
        <f>IFERROR(INDEX(Stores!$E:$E,MATCH(E599,Stores!$A:$A,0)),"Unknown")</f>
        <v>South Zone 1</v>
      </c>
      <c r="Z599" t="str">
        <f>IFERROR(INDEX(Customers!$J:$J,MATCH(C599,Customers!$A:$A,0)),"Unknown")</f>
        <v>Regular</v>
      </c>
      <c r="AA599" t="str">
        <f t="shared" si="9"/>
        <v>2024-11</v>
      </c>
      <c r="AB599" t="str">
        <f>IFERROR(INDEX(Products!$I:$I,MATCH(D599,Products!$A:$A,0)),"Unknown")</f>
        <v>SUP023</v>
      </c>
    </row>
    <row r="600" spans="1:28" x14ac:dyDescent="0.25">
      <c r="A600" t="s">
        <v>1944</v>
      </c>
      <c r="B600" s="20">
        <v>45453</v>
      </c>
      <c r="C600" t="s">
        <v>354</v>
      </c>
      <c r="D600" t="s">
        <v>524</v>
      </c>
      <c r="E600" t="s">
        <v>1512</v>
      </c>
      <c r="F600" t="s">
        <v>269</v>
      </c>
      <c r="G600">
        <v>2</v>
      </c>
      <c r="H600" s="21">
        <v>706.6</v>
      </c>
      <c r="I600">
        <v>15</v>
      </c>
      <c r="J600" s="21">
        <v>211.98</v>
      </c>
      <c r="K600">
        <v>5</v>
      </c>
      <c r="L600" s="21">
        <v>60.06</v>
      </c>
      <c r="M600" s="21">
        <v>1261.28</v>
      </c>
      <c r="N600" s="21">
        <v>1095.3399999999999</v>
      </c>
      <c r="O600" s="21">
        <v>105.88</v>
      </c>
      <c r="P600" t="s">
        <v>121</v>
      </c>
      <c r="Q600" t="s">
        <v>120</v>
      </c>
      <c r="R600" t="s">
        <v>151</v>
      </c>
      <c r="S600" t="s">
        <v>457</v>
      </c>
      <c r="T600" t="s">
        <v>153</v>
      </c>
      <c r="U600" t="s">
        <v>154</v>
      </c>
      <c r="V600" t="str">
        <f>IFERROR(INDEX(Products!$C:$C,MATCH(D600,Products!$A:$A,0)),"Unknown")</f>
        <v>Women Tops</v>
      </c>
      <c r="W600" t="str">
        <f>IFERROR(INDEX(Products!$E:$E,MATCH(D600,Products!$A:$A,0)),"Unknown")</f>
        <v>Indian Terrain</v>
      </c>
      <c r="X600" t="str">
        <f>IFERROR(INDEX(Stores!$B:$B,MATCH(E600,Stores!$A:$A,0)),"Unknown")</f>
        <v>TrendMart Erode Mall Kiosk</v>
      </c>
      <c r="Y600" t="str">
        <f>IFERROR(INDEX(Stores!$E:$E,MATCH(E600,Stores!$A:$A,0)),"Unknown")</f>
        <v>South Zone 1</v>
      </c>
      <c r="Z600" t="str">
        <f>IFERROR(INDEX(Customers!$J:$J,MATCH(C600,Customers!$A:$A,0)),"Unknown")</f>
        <v>Platinum</v>
      </c>
      <c r="AA600" t="str">
        <f t="shared" si="9"/>
        <v>2024-06</v>
      </c>
      <c r="AB600" t="str">
        <f>IFERROR(INDEX(Products!$I:$I,MATCH(D600,Products!$A:$A,0)),"Unknown")</f>
        <v>SUP062</v>
      </c>
    </row>
    <row r="601" spans="1:28" x14ac:dyDescent="0.25">
      <c r="A601" t="s">
        <v>1945</v>
      </c>
      <c r="B601" s="20">
        <v>45514</v>
      </c>
      <c r="C601" t="s">
        <v>1144</v>
      </c>
      <c r="D601" t="s">
        <v>251</v>
      </c>
      <c r="E601" t="s">
        <v>727</v>
      </c>
      <c r="F601" t="s">
        <v>263</v>
      </c>
      <c r="G601">
        <v>3</v>
      </c>
      <c r="H601" s="21">
        <v>792.6</v>
      </c>
      <c r="I601">
        <v>20</v>
      </c>
      <c r="J601" s="21">
        <v>475.56</v>
      </c>
      <c r="K601">
        <v>5</v>
      </c>
      <c r="L601" s="21">
        <v>95.11</v>
      </c>
      <c r="M601" s="21">
        <v>1997.35</v>
      </c>
      <c r="N601" s="21">
        <v>1604.43</v>
      </c>
      <c r="O601" s="21">
        <v>297.81</v>
      </c>
      <c r="P601" t="s">
        <v>126</v>
      </c>
      <c r="Q601" t="s">
        <v>122</v>
      </c>
      <c r="R601" t="s">
        <v>151</v>
      </c>
      <c r="S601" t="s">
        <v>1712</v>
      </c>
      <c r="T601" t="s">
        <v>161</v>
      </c>
      <c r="U601" t="s">
        <v>154</v>
      </c>
      <c r="V601" t="str">
        <f>IFERROR(INDEX(Products!$C:$C,MATCH(D601,Products!$A:$A,0)),"Unknown")</f>
        <v>Women Tops</v>
      </c>
      <c r="W601" t="str">
        <f>IFERROR(INDEX(Products!$E:$E,MATCH(D601,Products!$A:$A,0)),"Unknown")</f>
        <v>US Polo Assn</v>
      </c>
      <c r="X601" t="str">
        <f>IFERROR(INDEX(Stores!$B:$B,MATCH(E601,Stores!$A:$A,0)),"Unknown")</f>
        <v>TrendMart Nizamabad Standard</v>
      </c>
      <c r="Y601" t="str">
        <f>IFERROR(INDEX(Stores!$E:$E,MATCH(E601,Stores!$A:$A,0)),"Unknown")</f>
        <v>South Zone 2</v>
      </c>
      <c r="Z601" t="str">
        <f>IFERROR(INDEX(Customers!$J:$J,MATCH(C601,Customers!$A:$A,0)),"Unknown")</f>
        <v>Gold</v>
      </c>
      <c r="AA601" t="str">
        <f t="shared" si="9"/>
        <v>2024-08</v>
      </c>
      <c r="AB601" t="str">
        <f>IFERROR(INDEX(Products!$I:$I,MATCH(D601,Products!$A:$A,0)),"Unknown")</f>
        <v>SUP039</v>
      </c>
    </row>
    <row r="602" spans="1:28" x14ac:dyDescent="0.25">
      <c r="A602" t="s">
        <v>1946</v>
      </c>
      <c r="B602" s="20">
        <v>45480</v>
      </c>
      <c r="C602" t="s">
        <v>1947</v>
      </c>
      <c r="D602" t="s">
        <v>670</v>
      </c>
      <c r="E602" t="s">
        <v>1187</v>
      </c>
      <c r="F602" t="s">
        <v>195</v>
      </c>
      <c r="G602">
        <v>1</v>
      </c>
      <c r="H602" s="21">
        <v>1969</v>
      </c>
      <c r="I602">
        <v>25</v>
      </c>
      <c r="J602" s="21">
        <v>492.25</v>
      </c>
      <c r="K602">
        <v>12</v>
      </c>
      <c r="L602" s="21">
        <v>177.21</v>
      </c>
      <c r="M602" s="21">
        <v>1653.96</v>
      </c>
      <c r="N602" s="21">
        <v>1378.38</v>
      </c>
      <c r="O602" s="21">
        <v>98.37</v>
      </c>
      <c r="P602" t="s">
        <v>121</v>
      </c>
      <c r="Q602" t="s">
        <v>122</v>
      </c>
      <c r="R602" t="s">
        <v>151</v>
      </c>
      <c r="S602" t="s">
        <v>1948</v>
      </c>
      <c r="T602" t="s">
        <v>161</v>
      </c>
      <c r="U602" t="s">
        <v>154</v>
      </c>
      <c r="V602" t="str">
        <f>IFERROR(INDEX(Products!$C:$C,MATCH(D602,Products!$A:$A,0)),"Unknown")</f>
        <v>Women Sarees</v>
      </c>
      <c r="W602" t="str">
        <f>IFERROR(INDEX(Products!$E:$E,MATCH(D602,Products!$A:$A,0)),"Unknown")</f>
        <v>Reebok</v>
      </c>
      <c r="X602" t="str">
        <f>IFERROR(INDEX(Stores!$B:$B,MATCH(E602,Stores!$A:$A,0)),"Unknown")</f>
        <v>TrendMart Vijayawada Mall Kiosk</v>
      </c>
      <c r="Y602" t="str">
        <f>IFERROR(INDEX(Stores!$E:$E,MATCH(E602,Stores!$A:$A,0)),"Unknown")</f>
        <v>South Zone 3</v>
      </c>
      <c r="Z602" t="str">
        <f>IFERROR(INDEX(Customers!$J:$J,MATCH(C602,Customers!$A:$A,0)),"Unknown")</f>
        <v>Silver</v>
      </c>
      <c r="AA602" t="str">
        <f t="shared" si="9"/>
        <v>2024-07</v>
      </c>
      <c r="AB602" t="str">
        <f>IFERROR(INDEX(Products!$I:$I,MATCH(D602,Products!$A:$A,0)),"Unknown")</f>
        <v>SUP073</v>
      </c>
    </row>
    <row r="603" spans="1:28" x14ac:dyDescent="0.25">
      <c r="A603" t="s">
        <v>1949</v>
      </c>
      <c r="B603" s="20">
        <v>45620</v>
      </c>
      <c r="C603" t="s">
        <v>884</v>
      </c>
      <c r="D603" t="s">
        <v>756</v>
      </c>
      <c r="E603" t="s">
        <v>1163</v>
      </c>
      <c r="F603" t="s">
        <v>403</v>
      </c>
      <c r="G603">
        <v>1</v>
      </c>
      <c r="H603" s="21">
        <v>814.97</v>
      </c>
      <c r="I603">
        <v>10</v>
      </c>
      <c r="J603" s="21">
        <v>81.5</v>
      </c>
      <c r="K603">
        <v>5</v>
      </c>
      <c r="L603" s="21">
        <v>36.67</v>
      </c>
      <c r="M603" s="21">
        <v>770.14</v>
      </c>
      <c r="N603" s="21">
        <v>522.38</v>
      </c>
      <c r="O603" s="21">
        <v>211.09</v>
      </c>
      <c r="P603" t="s">
        <v>121</v>
      </c>
      <c r="Q603" t="s">
        <v>120</v>
      </c>
      <c r="R603" t="s">
        <v>151</v>
      </c>
      <c r="S603" t="s">
        <v>1950</v>
      </c>
      <c r="T603" t="s">
        <v>161</v>
      </c>
      <c r="U603" t="s">
        <v>154</v>
      </c>
      <c r="V603" t="str">
        <f>IFERROR(INDEX(Products!$C:$C,MATCH(D603,Products!$A:$A,0)),"Unknown")</f>
        <v>Women Tops</v>
      </c>
      <c r="W603" t="str">
        <f>IFERROR(INDEX(Products!$E:$E,MATCH(D603,Products!$A:$A,0)),"Unknown")</f>
        <v>Peter England</v>
      </c>
      <c r="X603" t="str">
        <f>IFERROR(INDEX(Stores!$B:$B,MATCH(E603,Stores!$A:$A,0)),"Unknown")</f>
        <v>TrendMart Alappuzha Outlet</v>
      </c>
      <c r="Y603" t="str">
        <f>IFERROR(INDEX(Stores!$E:$E,MATCH(E603,Stores!$A:$A,0)),"Unknown")</f>
        <v>South Zone 1</v>
      </c>
      <c r="Z603" t="str">
        <f>IFERROR(INDEX(Customers!$J:$J,MATCH(C603,Customers!$A:$A,0)),"Unknown")</f>
        <v>Regular</v>
      </c>
      <c r="AA603" t="str">
        <f t="shared" si="9"/>
        <v>2024-11</v>
      </c>
      <c r="AB603" t="str">
        <f>IFERROR(INDEX(Products!$I:$I,MATCH(D603,Products!$A:$A,0)),"Unknown")</f>
        <v>SUP018</v>
      </c>
    </row>
    <row r="604" spans="1:28" x14ac:dyDescent="0.25">
      <c r="A604" t="s">
        <v>1951</v>
      </c>
      <c r="B604" s="20">
        <v>45703</v>
      </c>
      <c r="C604" t="s">
        <v>1952</v>
      </c>
      <c r="D604" t="s">
        <v>996</v>
      </c>
      <c r="E604" t="s">
        <v>82</v>
      </c>
      <c r="F604" t="s">
        <v>532</v>
      </c>
      <c r="G604">
        <v>2</v>
      </c>
      <c r="H604" s="21">
        <v>1848.06</v>
      </c>
      <c r="I604">
        <v>30</v>
      </c>
      <c r="J604" s="21">
        <v>1108.8399999999999</v>
      </c>
      <c r="K604">
        <v>12</v>
      </c>
      <c r="L604" s="21">
        <v>310.47000000000003</v>
      </c>
      <c r="M604" s="21">
        <v>2897.75</v>
      </c>
      <c r="N604" s="21">
        <v>2861.14</v>
      </c>
      <c r="O604" s="21">
        <v>-273.86</v>
      </c>
      <c r="P604" t="s">
        <v>125</v>
      </c>
      <c r="Q604" t="s">
        <v>120</v>
      </c>
      <c r="R604" t="s">
        <v>151</v>
      </c>
      <c r="S604" t="s">
        <v>737</v>
      </c>
      <c r="T604" t="s">
        <v>161</v>
      </c>
      <c r="U604" t="s">
        <v>184</v>
      </c>
      <c r="V604" t="str">
        <f>IFERROR(INDEX(Products!$C:$C,MATCH(D604,Products!$A:$A,0)),"Unknown")</f>
        <v>Men Ethnic</v>
      </c>
      <c r="W604" t="str">
        <f>IFERROR(INDEX(Products!$E:$E,MATCH(D604,Products!$A:$A,0)),"Unknown")</f>
        <v>Liberty</v>
      </c>
      <c r="X604" t="str">
        <f>IFERROR(INDEX(Stores!$B:$B,MATCH(E604,Stores!$A:$A,0)),"Unknown")</f>
        <v>TrendMart Kochi High Street</v>
      </c>
      <c r="Y604" t="str">
        <f>IFERROR(INDEX(Stores!$E:$E,MATCH(E604,Stores!$A:$A,0)),"Unknown")</f>
        <v>South Zone 1</v>
      </c>
      <c r="Z604" t="str">
        <f>IFERROR(INDEX(Customers!$J:$J,MATCH(C604,Customers!$A:$A,0)),"Unknown")</f>
        <v>Gold</v>
      </c>
      <c r="AA604" t="str">
        <f t="shared" si="9"/>
        <v>2025-02</v>
      </c>
      <c r="AB604" t="str">
        <f>IFERROR(INDEX(Products!$I:$I,MATCH(D604,Products!$A:$A,0)),"Unknown")</f>
        <v>SUP046</v>
      </c>
    </row>
    <row r="605" spans="1:28" x14ac:dyDescent="0.25">
      <c r="A605" t="s">
        <v>1953</v>
      </c>
      <c r="B605" s="20">
        <v>45471</v>
      </c>
      <c r="C605" t="s">
        <v>1210</v>
      </c>
      <c r="D605" t="s">
        <v>210</v>
      </c>
      <c r="E605" t="s">
        <v>823</v>
      </c>
      <c r="F605" t="s">
        <v>275</v>
      </c>
      <c r="G605">
        <v>2</v>
      </c>
      <c r="H605" s="21">
        <v>1777.33</v>
      </c>
      <c r="I605">
        <v>30</v>
      </c>
      <c r="J605" s="21">
        <v>1066.4000000000001</v>
      </c>
      <c r="K605">
        <v>12</v>
      </c>
      <c r="L605" s="21">
        <v>298.58999999999997</v>
      </c>
      <c r="M605" s="21">
        <v>2786.85</v>
      </c>
      <c r="N605" s="21">
        <v>2799.7</v>
      </c>
      <c r="O605" s="21">
        <v>-311.44</v>
      </c>
      <c r="P605" t="s">
        <v>123</v>
      </c>
      <c r="Q605" t="s">
        <v>120</v>
      </c>
      <c r="R605" t="s">
        <v>151</v>
      </c>
      <c r="S605" t="s">
        <v>770</v>
      </c>
      <c r="T605" t="s">
        <v>153</v>
      </c>
      <c r="U605" t="s">
        <v>184</v>
      </c>
      <c r="V605" t="str">
        <f>IFERROR(INDEX(Products!$C:$C,MATCH(D605,Products!$A:$A,0)),"Unknown")</f>
        <v>Women Dresses</v>
      </c>
      <c r="W605" t="str">
        <f>IFERROR(INDEX(Products!$E:$E,MATCH(D605,Products!$A:$A,0)),"Unknown")</f>
        <v>Nike</v>
      </c>
      <c r="X605" t="str">
        <f>IFERROR(INDEX(Stores!$B:$B,MATCH(E605,Stores!$A:$A,0)),"Unknown")</f>
        <v>TrendMart Thoothukudi Mall Kiosk</v>
      </c>
      <c r="Y605" t="str">
        <f>IFERROR(INDEX(Stores!$E:$E,MATCH(E605,Stores!$A:$A,0)),"Unknown")</f>
        <v>South Zone 1</v>
      </c>
      <c r="Z605" t="str">
        <f>IFERROR(INDEX(Customers!$J:$J,MATCH(C605,Customers!$A:$A,0)),"Unknown")</f>
        <v>Gold</v>
      </c>
      <c r="AA605" t="str">
        <f t="shared" si="9"/>
        <v>2024-06</v>
      </c>
      <c r="AB605" t="str">
        <f>IFERROR(INDEX(Products!$I:$I,MATCH(D605,Products!$A:$A,0)),"Unknown")</f>
        <v>SUP073</v>
      </c>
    </row>
    <row r="606" spans="1:28" x14ac:dyDescent="0.25">
      <c r="A606" t="s">
        <v>1954</v>
      </c>
      <c r="B606" s="20">
        <v>45537</v>
      </c>
      <c r="C606" t="s">
        <v>809</v>
      </c>
      <c r="D606" t="s">
        <v>689</v>
      </c>
      <c r="E606" t="s">
        <v>1442</v>
      </c>
      <c r="F606" t="s">
        <v>574</v>
      </c>
      <c r="G606">
        <v>4</v>
      </c>
      <c r="H606" s="21">
        <v>746.61</v>
      </c>
      <c r="I606">
        <v>15</v>
      </c>
      <c r="J606" s="21">
        <v>447.97</v>
      </c>
      <c r="K606">
        <v>5</v>
      </c>
      <c r="L606" s="21">
        <v>126.92</v>
      </c>
      <c r="M606" s="21">
        <v>2665.39</v>
      </c>
      <c r="N606" s="21">
        <v>2365.52</v>
      </c>
      <c r="O606" s="21">
        <v>172.95</v>
      </c>
      <c r="P606" t="s">
        <v>123</v>
      </c>
      <c r="Q606" t="s">
        <v>120</v>
      </c>
      <c r="R606" t="s">
        <v>151</v>
      </c>
      <c r="S606" t="s">
        <v>1955</v>
      </c>
      <c r="T606" t="s">
        <v>153</v>
      </c>
      <c r="U606" t="s">
        <v>154</v>
      </c>
      <c r="V606" t="str">
        <f>IFERROR(INDEX(Products!$C:$C,MATCH(D606,Products!$A:$A,0)),"Unknown")</f>
        <v>Kids Wear</v>
      </c>
      <c r="W606" t="str">
        <f>IFERROR(INDEX(Products!$E:$E,MATCH(D606,Products!$A:$A,0)),"Unknown")</f>
        <v>Libas</v>
      </c>
      <c r="X606" t="str">
        <f>IFERROR(INDEX(Stores!$B:$B,MATCH(E606,Stores!$A:$A,0)),"Unknown")</f>
        <v>TrendMart Vellore High Street</v>
      </c>
      <c r="Y606" t="str">
        <f>IFERROR(INDEX(Stores!$E:$E,MATCH(E606,Stores!$A:$A,0)),"Unknown")</f>
        <v>South Zone 1</v>
      </c>
      <c r="Z606" t="str">
        <f>IFERROR(INDEX(Customers!$J:$J,MATCH(C606,Customers!$A:$A,0)),"Unknown")</f>
        <v>Regular</v>
      </c>
      <c r="AA606" t="str">
        <f t="shared" si="9"/>
        <v>2024-09</v>
      </c>
      <c r="AB606" t="str">
        <f>IFERROR(INDEX(Products!$I:$I,MATCH(D606,Products!$A:$A,0)),"Unknown")</f>
        <v>SUP031</v>
      </c>
    </row>
    <row r="607" spans="1:28" x14ac:dyDescent="0.25">
      <c r="A607" t="s">
        <v>1956</v>
      </c>
      <c r="B607" s="20">
        <v>45573</v>
      </c>
      <c r="C607" t="s">
        <v>676</v>
      </c>
      <c r="D607" t="s">
        <v>246</v>
      </c>
      <c r="E607" t="s">
        <v>88</v>
      </c>
      <c r="F607" t="s">
        <v>176</v>
      </c>
      <c r="G607">
        <v>4</v>
      </c>
      <c r="H607" s="21">
        <v>1270</v>
      </c>
      <c r="I607">
        <v>30</v>
      </c>
      <c r="J607" s="21">
        <v>1524</v>
      </c>
      <c r="K607">
        <v>12</v>
      </c>
      <c r="L607" s="21">
        <v>426.72</v>
      </c>
      <c r="M607" s="21">
        <v>3982.72</v>
      </c>
      <c r="N607" s="21">
        <v>3461.92</v>
      </c>
      <c r="O607" s="21">
        <v>94.08</v>
      </c>
      <c r="P607" t="s">
        <v>125</v>
      </c>
      <c r="Q607" t="s">
        <v>120</v>
      </c>
      <c r="R607" t="s">
        <v>151</v>
      </c>
      <c r="S607" t="s">
        <v>1528</v>
      </c>
      <c r="T607" t="s">
        <v>153</v>
      </c>
      <c r="U607" t="s">
        <v>154</v>
      </c>
      <c r="V607" t="str">
        <f>IFERROR(INDEX(Products!$C:$C,MATCH(D607,Products!$A:$A,0)),"Unknown")</f>
        <v>Women Dresses</v>
      </c>
      <c r="W607" t="str">
        <f>IFERROR(INDEX(Products!$E:$E,MATCH(D607,Products!$A:$A,0)),"Unknown")</f>
        <v>Tanishq</v>
      </c>
      <c r="X607" t="str">
        <f>IFERROR(INDEX(Stores!$B:$B,MATCH(E607,Stores!$A:$A,0)),"Unknown")</f>
        <v>TrendMart Kozhikode Mall Kiosk</v>
      </c>
      <c r="Y607" t="str">
        <f>IFERROR(INDEX(Stores!$E:$E,MATCH(E607,Stores!$A:$A,0)),"Unknown")</f>
        <v>South Zone 1</v>
      </c>
      <c r="Z607" t="str">
        <f>IFERROR(INDEX(Customers!$J:$J,MATCH(C607,Customers!$A:$A,0)),"Unknown")</f>
        <v>Silver</v>
      </c>
      <c r="AA607" t="str">
        <f t="shared" si="9"/>
        <v>2024-10</v>
      </c>
      <c r="AB607" t="str">
        <f>IFERROR(INDEX(Products!$I:$I,MATCH(D607,Products!$A:$A,0)),"Unknown")</f>
        <v>SUP002</v>
      </c>
    </row>
    <row r="608" spans="1:28" x14ac:dyDescent="0.25">
      <c r="A608" t="s">
        <v>1957</v>
      </c>
      <c r="B608" s="20">
        <v>45711</v>
      </c>
      <c r="C608" t="s">
        <v>797</v>
      </c>
      <c r="D608" t="s">
        <v>236</v>
      </c>
      <c r="E608" t="s">
        <v>607</v>
      </c>
      <c r="F608" t="s">
        <v>232</v>
      </c>
      <c r="G608">
        <v>1</v>
      </c>
      <c r="H608" s="21">
        <v>888.12</v>
      </c>
      <c r="I608">
        <v>10</v>
      </c>
      <c r="J608" s="21">
        <v>88.81</v>
      </c>
      <c r="K608">
        <v>5</v>
      </c>
      <c r="L608" s="21">
        <v>39.97</v>
      </c>
      <c r="M608" s="21">
        <v>839.28</v>
      </c>
      <c r="N608" s="21">
        <v>550.01</v>
      </c>
      <c r="O608" s="21">
        <v>249.3</v>
      </c>
      <c r="P608" t="s">
        <v>126</v>
      </c>
      <c r="Q608" t="s">
        <v>120</v>
      </c>
      <c r="R608" t="s">
        <v>151</v>
      </c>
      <c r="S608" t="s">
        <v>1796</v>
      </c>
      <c r="T608" t="s">
        <v>161</v>
      </c>
      <c r="U608" t="s">
        <v>154</v>
      </c>
      <c r="V608" t="str">
        <f>IFERROR(INDEX(Products!$C:$C,MATCH(D608,Products!$A:$A,0)),"Unknown")</f>
        <v>Women Tops</v>
      </c>
      <c r="W608" t="str">
        <f>IFERROR(INDEX(Products!$E:$E,MATCH(D608,Products!$A:$A,0)),"Unknown")</f>
        <v>Nike</v>
      </c>
      <c r="X608" t="str">
        <f>IFERROR(INDEX(Stores!$B:$B,MATCH(E608,Stores!$A:$A,0)),"Unknown")</f>
        <v>TrendMart Thiruvananthapuram Standard</v>
      </c>
      <c r="Y608" t="str">
        <f>IFERROR(INDEX(Stores!$E:$E,MATCH(E608,Stores!$A:$A,0)),"Unknown")</f>
        <v>South Zone 1</v>
      </c>
      <c r="Z608" t="str">
        <f>IFERROR(INDEX(Customers!$J:$J,MATCH(C608,Customers!$A:$A,0)),"Unknown")</f>
        <v>Platinum</v>
      </c>
      <c r="AA608" t="str">
        <f t="shared" si="9"/>
        <v>2025-02</v>
      </c>
      <c r="AB608" t="str">
        <f>IFERROR(INDEX(Products!$I:$I,MATCH(D608,Products!$A:$A,0)),"Unknown")</f>
        <v>SUP075</v>
      </c>
    </row>
    <row r="609" spans="1:28" x14ac:dyDescent="0.25">
      <c r="A609" t="s">
        <v>1958</v>
      </c>
      <c r="B609" s="20">
        <v>45573</v>
      </c>
      <c r="C609" t="s">
        <v>1959</v>
      </c>
      <c r="D609" t="s">
        <v>1668</v>
      </c>
      <c r="E609" t="s">
        <v>831</v>
      </c>
      <c r="F609" t="s">
        <v>189</v>
      </c>
      <c r="G609">
        <v>1</v>
      </c>
      <c r="H609" s="21">
        <v>1331.55</v>
      </c>
      <c r="I609">
        <v>0</v>
      </c>
      <c r="J609" s="21">
        <v>0</v>
      </c>
      <c r="K609">
        <v>12</v>
      </c>
      <c r="L609" s="21">
        <v>159.79</v>
      </c>
      <c r="M609" s="21">
        <v>1491.34</v>
      </c>
      <c r="N609" s="21">
        <v>893.37</v>
      </c>
      <c r="O609" s="21">
        <v>438.18</v>
      </c>
      <c r="P609" t="s">
        <v>121</v>
      </c>
      <c r="Q609" t="s">
        <v>120</v>
      </c>
      <c r="R609" t="s">
        <v>151</v>
      </c>
      <c r="S609" t="s">
        <v>1910</v>
      </c>
      <c r="T609" t="s">
        <v>153</v>
      </c>
      <c r="U609" t="s">
        <v>154</v>
      </c>
      <c r="V609" t="str">
        <f>IFERROR(INDEX(Products!$C:$C,MATCH(D609,Products!$A:$A,0)),"Unknown")</f>
        <v>Women Kurtis</v>
      </c>
      <c r="W609" t="str">
        <f>IFERROR(INDEX(Products!$E:$E,MATCH(D609,Products!$A:$A,0)),"Unknown")</f>
        <v>Liberty</v>
      </c>
      <c r="X609" t="str">
        <f>IFERROR(INDEX(Stores!$B:$B,MATCH(E609,Stores!$A:$A,0)),"Unknown")</f>
        <v>TrendMart Vellore Standard</v>
      </c>
      <c r="Y609" t="str">
        <f>IFERROR(INDEX(Stores!$E:$E,MATCH(E609,Stores!$A:$A,0)),"Unknown")</f>
        <v>South Zone 1</v>
      </c>
      <c r="Z609" t="str">
        <f>IFERROR(INDEX(Customers!$J:$J,MATCH(C609,Customers!$A:$A,0)),"Unknown")</f>
        <v>Silver</v>
      </c>
      <c r="AA609" t="str">
        <f t="shared" si="9"/>
        <v>2024-10</v>
      </c>
      <c r="AB609" t="str">
        <f>IFERROR(INDEX(Products!$I:$I,MATCH(D609,Products!$A:$A,0)),"Unknown")</f>
        <v>SUP022</v>
      </c>
    </row>
    <row r="610" spans="1:28" x14ac:dyDescent="0.25">
      <c r="A610" t="s">
        <v>1960</v>
      </c>
      <c r="B610" s="20">
        <v>45584</v>
      </c>
      <c r="C610" t="s">
        <v>1961</v>
      </c>
      <c r="D610" t="s">
        <v>949</v>
      </c>
      <c r="E610" t="s">
        <v>1962</v>
      </c>
      <c r="F610" t="s">
        <v>150</v>
      </c>
      <c r="G610">
        <v>4</v>
      </c>
      <c r="H610" s="21">
        <v>1521.83</v>
      </c>
      <c r="I610">
        <v>10</v>
      </c>
      <c r="J610" s="21">
        <v>608.73</v>
      </c>
      <c r="K610">
        <v>12</v>
      </c>
      <c r="L610" s="21">
        <v>657.43</v>
      </c>
      <c r="M610" s="21">
        <v>6136.02</v>
      </c>
      <c r="N610" s="21">
        <v>3954.28</v>
      </c>
      <c r="O610" s="21">
        <v>1524.31</v>
      </c>
      <c r="P610" t="s">
        <v>121</v>
      </c>
      <c r="Q610" t="s">
        <v>120</v>
      </c>
      <c r="R610" t="s">
        <v>151</v>
      </c>
      <c r="S610" t="s">
        <v>1712</v>
      </c>
      <c r="T610" t="s">
        <v>161</v>
      </c>
      <c r="U610" t="s">
        <v>154</v>
      </c>
      <c r="V610" t="str">
        <f>IFERROR(INDEX(Products!$C:$C,MATCH(D610,Products!$A:$A,0)),"Unknown")</f>
        <v>Handbags</v>
      </c>
      <c r="W610" t="str">
        <f>IFERROR(INDEX(Products!$E:$E,MATCH(D610,Products!$A:$A,0)),"Unknown")</f>
        <v>Fastrack</v>
      </c>
      <c r="X610" t="str">
        <f>IFERROR(INDEX(Stores!$B:$B,MATCH(E610,Stores!$A:$A,0)),"Unknown")</f>
        <v>TrendMart Guntur High Street</v>
      </c>
      <c r="Y610" t="str">
        <f>IFERROR(INDEX(Stores!$E:$E,MATCH(E610,Stores!$A:$A,0)),"Unknown")</f>
        <v>South Zone 3</v>
      </c>
      <c r="Z610" t="str">
        <f>IFERROR(INDEX(Customers!$J:$J,MATCH(C610,Customers!$A:$A,0)),"Unknown")</f>
        <v>Silver</v>
      </c>
      <c r="AA610" t="str">
        <f t="shared" si="9"/>
        <v>2024-10</v>
      </c>
      <c r="AB610" t="str">
        <f>IFERROR(INDEX(Products!$I:$I,MATCH(D610,Products!$A:$A,0)),"Unknown")</f>
        <v>SUP069</v>
      </c>
    </row>
    <row r="611" spans="1:28" x14ac:dyDescent="0.25">
      <c r="A611" t="s">
        <v>1963</v>
      </c>
      <c r="B611" s="20">
        <v>45439</v>
      </c>
      <c r="C611" t="s">
        <v>1107</v>
      </c>
      <c r="D611" t="s">
        <v>1520</v>
      </c>
      <c r="E611" t="s">
        <v>396</v>
      </c>
      <c r="F611" t="s">
        <v>201</v>
      </c>
      <c r="G611">
        <v>1</v>
      </c>
      <c r="H611" s="21">
        <v>4487.3500000000004</v>
      </c>
      <c r="I611">
        <v>15</v>
      </c>
      <c r="J611" s="21">
        <v>673.1</v>
      </c>
      <c r="K611">
        <v>12</v>
      </c>
      <c r="L611" s="21">
        <v>457.71</v>
      </c>
      <c r="M611" s="21">
        <v>4271.96</v>
      </c>
      <c r="N611" s="21">
        <v>3236.57</v>
      </c>
      <c r="O611" s="21">
        <v>577.67999999999995</v>
      </c>
      <c r="P611" t="s">
        <v>123</v>
      </c>
      <c r="Q611" t="s">
        <v>120</v>
      </c>
      <c r="R611" t="s">
        <v>151</v>
      </c>
      <c r="S611" t="s">
        <v>1781</v>
      </c>
      <c r="T611" t="s">
        <v>153</v>
      </c>
      <c r="U611" t="s">
        <v>154</v>
      </c>
      <c r="V611" t="str">
        <f>IFERROR(INDEX(Products!$C:$C,MATCH(D611,Products!$A:$A,0)),"Unknown")</f>
        <v>Women Sarees</v>
      </c>
      <c r="W611" t="str">
        <f>IFERROR(INDEX(Products!$E:$E,MATCH(D611,Products!$A:$A,0)),"Unknown")</f>
        <v>Pepe Jeans</v>
      </c>
      <c r="X611" t="str">
        <f>IFERROR(INDEX(Stores!$B:$B,MATCH(E611,Stores!$A:$A,0)),"Unknown")</f>
        <v>TrendMart Davanagere High Street</v>
      </c>
      <c r="Y611" t="str">
        <f>IFERROR(INDEX(Stores!$E:$E,MATCH(E611,Stores!$A:$A,0)),"Unknown")</f>
        <v>South Zone 2</v>
      </c>
      <c r="Z611" t="str">
        <f>IFERROR(INDEX(Customers!$J:$J,MATCH(C611,Customers!$A:$A,0)),"Unknown")</f>
        <v>Silver</v>
      </c>
      <c r="AA611" t="str">
        <f t="shared" si="9"/>
        <v>2024-05</v>
      </c>
      <c r="AB611" t="str">
        <f>IFERROR(INDEX(Products!$I:$I,MATCH(D611,Products!$A:$A,0)),"Unknown")</f>
        <v>SUP009</v>
      </c>
    </row>
    <row r="612" spans="1:28" x14ac:dyDescent="0.25">
      <c r="A612" t="s">
        <v>1964</v>
      </c>
      <c r="B612" s="20">
        <v>45707</v>
      </c>
      <c r="C612" t="s">
        <v>1471</v>
      </c>
      <c r="D612" t="s">
        <v>359</v>
      </c>
      <c r="E612" t="s">
        <v>823</v>
      </c>
      <c r="F612" t="s">
        <v>211</v>
      </c>
      <c r="G612">
        <v>2</v>
      </c>
      <c r="H612" s="21">
        <v>2300.27</v>
      </c>
      <c r="I612">
        <v>0</v>
      </c>
      <c r="J612" s="21">
        <v>0</v>
      </c>
      <c r="K612">
        <v>12</v>
      </c>
      <c r="L612" s="21">
        <v>552.05999999999995</v>
      </c>
      <c r="M612" s="21">
        <v>5152.6000000000004</v>
      </c>
      <c r="N612" s="21">
        <v>3608.74</v>
      </c>
      <c r="O612" s="21">
        <v>991.8</v>
      </c>
      <c r="P612" t="s">
        <v>123</v>
      </c>
      <c r="Q612" t="s">
        <v>120</v>
      </c>
      <c r="R612" t="s">
        <v>151</v>
      </c>
      <c r="S612" t="s">
        <v>872</v>
      </c>
      <c r="T612" t="s">
        <v>153</v>
      </c>
      <c r="U612" t="s">
        <v>154</v>
      </c>
      <c r="V612" t="str">
        <f>IFERROR(INDEX(Products!$C:$C,MATCH(D612,Products!$A:$A,0)),"Unknown")</f>
        <v>Men Ethnic</v>
      </c>
      <c r="W612" t="str">
        <f>IFERROR(INDEX(Products!$E:$E,MATCH(D612,Products!$A:$A,0)),"Unknown")</f>
        <v>US Polo Assn</v>
      </c>
      <c r="X612" t="str">
        <f>IFERROR(INDEX(Stores!$B:$B,MATCH(E612,Stores!$A:$A,0)),"Unknown")</f>
        <v>TrendMart Thoothukudi Mall Kiosk</v>
      </c>
      <c r="Y612" t="str">
        <f>IFERROR(INDEX(Stores!$E:$E,MATCH(E612,Stores!$A:$A,0)),"Unknown")</f>
        <v>South Zone 1</v>
      </c>
      <c r="Z612" t="str">
        <f>IFERROR(INDEX(Customers!$J:$J,MATCH(C612,Customers!$A:$A,0)),"Unknown")</f>
        <v>Silver</v>
      </c>
      <c r="AA612" t="str">
        <f t="shared" si="9"/>
        <v>2025-02</v>
      </c>
      <c r="AB612" t="str">
        <f>IFERROR(INDEX(Products!$I:$I,MATCH(D612,Products!$A:$A,0)),"Unknown")</f>
        <v>SUP036</v>
      </c>
    </row>
    <row r="613" spans="1:28" x14ac:dyDescent="0.25">
      <c r="A613" t="s">
        <v>1965</v>
      </c>
      <c r="B613" s="20">
        <v>45724</v>
      </c>
      <c r="C613" t="s">
        <v>1420</v>
      </c>
      <c r="D613" t="s">
        <v>949</v>
      </c>
      <c r="E613" t="s">
        <v>999</v>
      </c>
      <c r="F613" t="s">
        <v>574</v>
      </c>
      <c r="G613">
        <v>2</v>
      </c>
      <c r="H613" s="21">
        <v>1700.79</v>
      </c>
      <c r="I613">
        <v>0</v>
      </c>
      <c r="J613" s="21">
        <v>0</v>
      </c>
      <c r="K613">
        <v>12</v>
      </c>
      <c r="L613" s="21">
        <v>408.19</v>
      </c>
      <c r="M613" s="21">
        <v>3809.77</v>
      </c>
      <c r="N613" s="21">
        <v>1977.14</v>
      </c>
      <c r="O613" s="21">
        <v>1424.44</v>
      </c>
      <c r="P613" t="s">
        <v>124</v>
      </c>
      <c r="Q613" t="s">
        <v>122</v>
      </c>
      <c r="R613" t="s">
        <v>151</v>
      </c>
      <c r="S613" t="s">
        <v>1230</v>
      </c>
      <c r="T613" t="s">
        <v>161</v>
      </c>
      <c r="U613" t="s">
        <v>154</v>
      </c>
      <c r="V613" t="str">
        <f>IFERROR(INDEX(Products!$C:$C,MATCH(D613,Products!$A:$A,0)),"Unknown")</f>
        <v>Handbags</v>
      </c>
      <c r="W613" t="str">
        <f>IFERROR(INDEX(Products!$E:$E,MATCH(D613,Products!$A:$A,0)),"Unknown")</f>
        <v>Fastrack</v>
      </c>
      <c r="X613" t="str">
        <f>IFERROR(INDEX(Stores!$B:$B,MATCH(E613,Stores!$A:$A,0)),"Unknown")</f>
        <v>TrendMart Tumakuru Standard</v>
      </c>
      <c r="Y613" t="str">
        <f>IFERROR(INDEX(Stores!$E:$E,MATCH(E613,Stores!$A:$A,0)),"Unknown")</f>
        <v>South Zone 2</v>
      </c>
      <c r="Z613" t="str">
        <f>IFERROR(INDEX(Customers!$J:$J,MATCH(C613,Customers!$A:$A,0)),"Unknown")</f>
        <v>Regular</v>
      </c>
      <c r="AA613" t="str">
        <f t="shared" si="9"/>
        <v>2025-03</v>
      </c>
      <c r="AB613" t="str">
        <f>IFERROR(INDEX(Products!$I:$I,MATCH(D613,Products!$A:$A,0)),"Unknown")</f>
        <v>SUP069</v>
      </c>
    </row>
    <row r="614" spans="1:28" x14ac:dyDescent="0.25">
      <c r="A614" t="s">
        <v>1966</v>
      </c>
      <c r="B614" s="20">
        <v>45450</v>
      </c>
      <c r="C614" t="s">
        <v>1967</v>
      </c>
      <c r="D614" t="s">
        <v>1036</v>
      </c>
      <c r="E614" t="s">
        <v>914</v>
      </c>
      <c r="F614" t="s">
        <v>434</v>
      </c>
      <c r="G614">
        <v>3</v>
      </c>
      <c r="H614" s="21">
        <v>888.66</v>
      </c>
      <c r="I614">
        <v>0</v>
      </c>
      <c r="J614" s="21">
        <v>0</v>
      </c>
      <c r="K614">
        <v>5</v>
      </c>
      <c r="L614" s="21">
        <v>133.30000000000001</v>
      </c>
      <c r="M614" s="21">
        <v>2799.28</v>
      </c>
      <c r="N614" s="21">
        <v>1770.06</v>
      </c>
      <c r="O614" s="21">
        <v>895.92</v>
      </c>
      <c r="P614" t="s">
        <v>125</v>
      </c>
      <c r="Q614" t="s">
        <v>120</v>
      </c>
      <c r="R614" t="s">
        <v>313</v>
      </c>
      <c r="S614" t="s">
        <v>1712</v>
      </c>
      <c r="T614" t="s">
        <v>153</v>
      </c>
      <c r="U614" t="s">
        <v>154</v>
      </c>
      <c r="V614" t="str">
        <f>IFERROR(INDEX(Products!$C:$C,MATCH(D614,Products!$A:$A,0)),"Unknown")</f>
        <v>Belts</v>
      </c>
      <c r="W614" t="str">
        <f>IFERROR(INDEX(Products!$E:$E,MATCH(D614,Products!$A:$A,0)),"Unknown")</f>
        <v>Skechers</v>
      </c>
      <c r="X614" t="str">
        <f>IFERROR(INDEX(Stores!$B:$B,MATCH(E614,Stores!$A:$A,0)),"Unknown")</f>
        <v>TrendMart Thiruvananthapuram Outlet</v>
      </c>
      <c r="Y614" t="str">
        <f>IFERROR(INDEX(Stores!$E:$E,MATCH(E614,Stores!$A:$A,0)),"Unknown")</f>
        <v>South Zone 1</v>
      </c>
      <c r="Z614" t="str">
        <f>IFERROR(INDEX(Customers!$J:$J,MATCH(C614,Customers!$A:$A,0)),"Unknown")</f>
        <v>Gold</v>
      </c>
      <c r="AA614" t="str">
        <f t="shared" si="9"/>
        <v>2024-06</v>
      </c>
      <c r="AB614" t="str">
        <f>IFERROR(INDEX(Products!$I:$I,MATCH(D614,Products!$A:$A,0)),"Unknown")</f>
        <v>SUP085</v>
      </c>
    </row>
    <row r="615" spans="1:28" x14ac:dyDescent="0.25">
      <c r="A615" t="s">
        <v>1968</v>
      </c>
      <c r="B615" s="20">
        <v>45591</v>
      </c>
      <c r="C615" t="s">
        <v>1873</v>
      </c>
      <c r="D615" t="s">
        <v>1421</v>
      </c>
      <c r="E615" t="s">
        <v>634</v>
      </c>
      <c r="F615" t="s">
        <v>159</v>
      </c>
      <c r="G615">
        <v>2</v>
      </c>
      <c r="H615" s="21">
        <v>1257.42</v>
      </c>
      <c r="I615">
        <v>15</v>
      </c>
      <c r="J615" s="21">
        <v>377.23</v>
      </c>
      <c r="K615">
        <v>12</v>
      </c>
      <c r="L615" s="21">
        <v>256.51</v>
      </c>
      <c r="M615" s="21">
        <v>2394.12</v>
      </c>
      <c r="N615" s="21">
        <v>1634.66</v>
      </c>
      <c r="O615" s="21">
        <v>502.95</v>
      </c>
      <c r="P615" t="s">
        <v>121</v>
      </c>
      <c r="Q615" t="s">
        <v>120</v>
      </c>
      <c r="R615" t="s">
        <v>151</v>
      </c>
      <c r="S615" t="s">
        <v>1969</v>
      </c>
      <c r="T615" t="s">
        <v>161</v>
      </c>
      <c r="U615" t="s">
        <v>154</v>
      </c>
      <c r="V615" t="str">
        <f>IFERROR(INDEX(Products!$C:$C,MATCH(D615,Products!$A:$A,0)),"Unknown")</f>
        <v>Men Jeans</v>
      </c>
      <c r="W615" t="str">
        <f>IFERROR(INDEX(Products!$E:$E,MATCH(D615,Products!$A:$A,0)),"Unknown")</f>
        <v>Flying Machine</v>
      </c>
      <c r="X615" t="str">
        <f>IFERROR(INDEX(Stores!$B:$B,MATCH(E615,Stores!$A:$A,0)),"Unknown")</f>
        <v>TrendMart Thrissur High Street</v>
      </c>
      <c r="Y615" t="str">
        <f>IFERROR(INDEX(Stores!$E:$E,MATCH(E615,Stores!$A:$A,0)),"Unknown")</f>
        <v>South Zone 1</v>
      </c>
      <c r="Z615" t="str">
        <f>IFERROR(INDEX(Customers!$J:$J,MATCH(C615,Customers!$A:$A,0)),"Unknown")</f>
        <v>Gold</v>
      </c>
      <c r="AA615" t="str">
        <f t="shared" si="9"/>
        <v>2024-10</v>
      </c>
      <c r="AB615" t="str">
        <f>IFERROR(INDEX(Products!$I:$I,MATCH(D615,Products!$A:$A,0)),"Unknown")</f>
        <v>SUP043</v>
      </c>
    </row>
    <row r="616" spans="1:28" x14ac:dyDescent="0.25">
      <c r="A616" t="s">
        <v>1970</v>
      </c>
      <c r="B616" s="20">
        <v>45523</v>
      </c>
      <c r="C616" t="s">
        <v>1049</v>
      </c>
      <c r="D616" t="s">
        <v>1421</v>
      </c>
      <c r="E616" t="s">
        <v>280</v>
      </c>
      <c r="F616" t="s">
        <v>237</v>
      </c>
      <c r="G616">
        <v>1</v>
      </c>
      <c r="H616" s="21">
        <v>1242.7</v>
      </c>
      <c r="I616">
        <v>0</v>
      </c>
      <c r="J616" s="21">
        <v>0</v>
      </c>
      <c r="K616">
        <v>12</v>
      </c>
      <c r="L616" s="21">
        <v>149.12</v>
      </c>
      <c r="M616" s="21">
        <v>1391.82</v>
      </c>
      <c r="N616" s="21">
        <v>817.33</v>
      </c>
      <c r="O616" s="21">
        <v>425.37</v>
      </c>
      <c r="P616" t="s">
        <v>125</v>
      </c>
      <c r="Q616" t="s">
        <v>120</v>
      </c>
      <c r="R616" t="s">
        <v>151</v>
      </c>
      <c r="S616" t="s">
        <v>1275</v>
      </c>
      <c r="T616" t="s">
        <v>153</v>
      </c>
      <c r="U616" t="s">
        <v>154</v>
      </c>
      <c r="V616" t="str">
        <f>IFERROR(INDEX(Products!$C:$C,MATCH(D616,Products!$A:$A,0)),"Unknown")</f>
        <v>Men Jeans</v>
      </c>
      <c r="W616" t="str">
        <f>IFERROR(INDEX(Products!$E:$E,MATCH(D616,Products!$A:$A,0)),"Unknown")</f>
        <v>Flying Machine</v>
      </c>
      <c r="X616" t="str">
        <f>IFERROR(INDEX(Stores!$B:$B,MATCH(E616,Stores!$A:$A,0)),"Unknown")</f>
        <v>TrendMart Chennai Standard</v>
      </c>
      <c r="Y616" t="str">
        <f>IFERROR(INDEX(Stores!$E:$E,MATCH(E616,Stores!$A:$A,0)),"Unknown")</f>
        <v>South Zone 1</v>
      </c>
      <c r="Z616" t="str">
        <f>IFERROR(INDEX(Customers!$J:$J,MATCH(C616,Customers!$A:$A,0)),"Unknown")</f>
        <v>Silver</v>
      </c>
      <c r="AA616" t="str">
        <f t="shared" si="9"/>
        <v>2024-08</v>
      </c>
      <c r="AB616" t="str">
        <f>IFERROR(INDEX(Products!$I:$I,MATCH(D616,Products!$A:$A,0)),"Unknown")</f>
        <v>SUP043</v>
      </c>
    </row>
    <row r="617" spans="1:28" x14ac:dyDescent="0.25">
      <c r="A617" t="s">
        <v>1971</v>
      </c>
      <c r="B617" s="20">
        <v>45583</v>
      </c>
      <c r="C617" t="s">
        <v>1457</v>
      </c>
      <c r="D617" t="s">
        <v>1972</v>
      </c>
      <c r="E617" t="s">
        <v>175</v>
      </c>
      <c r="F617" t="s">
        <v>195</v>
      </c>
      <c r="G617">
        <v>4</v>
      </c>
      <c r="H617" s="21">
        <v>1001.02</v>
      </c>
      <c r="I617">
        <v>10</v>
      </c>
      <c r="J617" s="21">
        <v>400.41</v>
      </c>
      <c r="K617">
        <v>12</v>
      </c>
      <c r="L617" s="21">
        <v>432.44</v>
      </c>
      <c r="M617" s="21">
        <v>4036.11</v>
      </c>
      <c r="N617" s="21">
        <v>2889.6</v>
      </c>
      <c r="O617" s="21">
        <v>714.07</v>
      </c>
      <c r="P617" t="s">
        <v>125</v>
      </c>
      <c r="Q617" t="s">
        <v>120</v>
      </c>
      <c r="R617" t="s">
        <v>151</v>
      </c>
      <c r="S617" t="s">
        <v>392</v>
      </c>
      <c r="T617" t="s">
        <v>153</v>
      </c>
      <c r="U617" t="s">
        <v>154</v>
      </c>
      <c r="V617" t="str">
        <f>IFERROR(INDEX(Products!$C:$C,MATCH(D617,Products!$A:$A,0)),"Unknown")</f>
        <v>Women Jeans</v>
      </c>
      <c r="W617" t="str">
        <f>IFERROR(INDEX(Products!$E:$E,MATCH(D617,Products!$A:$A,0)),"Unknown")</f>
        <v>Spykar</v>
      </c>
      <c r="X617" t="str">
        <f>IFERROR(INDEX(Stores!$B:$B,MATCH(E617,Stores!$A:$A,0)),"Unknown")</f>
        <v>TrendMart Thoothukudi Flagship</v>
      </c>
      <c r="Y617" t="str">
        <f>IFERROR(INDEX(Stores!$E:$E,MATCH(E617,Stores!$A:$A,0)),"Unknown")</f>
        <v>South Zone 1</v>
      </c>
      <c r="Z617" t="str">
        <f>IFERROR(INDEX(Customers!$J:$J,MATCH(C617,Customers!$A:$A,0)),"Unknown")</f>
        <v>Platinum</v>
      </c>
      <c r="AA617" t="str">
        <f t="shared" si="9"/>
        <v>2024-10</v>
      </c>
      <c r="AB617" t="str">
        <f>IFERROR(INDEX(Products!$I:$I,MATCH(D617,Products!$A:$A,0)),"Unknown")</f>
        <v>SUP087</v>
      </c>
    </row>
    <row r="618" spans="1:28" x14ac:dyDescent="0.25">
      <c r="A618" t="s">
        <v>1973</v>
      </c>
      <c r="B618" s="20">
        <v>45656</v>
      </c>
      <c r="C618" t="s">
        <v>1861</v>
      </c>
      <c r="D618" t="s">
        <v>830</v>
      </c>
      <c r="E618" t="s">
        <v>425</v>
      </c>
      <c r="F618" t="s">
        <v>211</v>
      </c>
      <c r="G618">
        <v>3</v>
      </c>
      <c r="H618" s="21">
        <v>835.14</v>
      </c>
      <c r="I618">
        <v>0</v>
      </c>
      <c r="J618" s="21">
        <v>0</v>
      </c>
      <c r="K618">
        <v>5</v>
      </c>
      <c r="L618" s="21">
        <v>125.27</v>
      </c>
      <c r="M618" s="21">
        <v>2630.69</v>
      </c>
      <c r="N618" s="21">
        <v>1710.6</v>
      </c>
      <c r="O618" s="21">
        <v>794.82</v>
      </c>
      <c r="P618" t="s">
        <v>126</v>
      </c>
      <c r="Q618" t="s">
        <v>120</v>
      </c>
      <c r="R618" t="s">
        <v>151</v>
      </c>
      <c r="S618" t="s">
        <v>1249</v>
      </c>
      <c r="T618" t="s">
        <v>153</v>
      </c>
      <c r="U618" t="s">
        <v>154</v>
      </c>
      <c r="V618" t="str">
        <f>IFERROR(INDEX(Products!$C:$C,MATCH(D618,Products!$A:$A,0)),"Unknown")</f>
        <v>Men Shirts</v>
      </c>
      <c r="W618" t="str">
        <f>IFERROR(INDEX(Products!$E:$E,MATCH(D618,Products!$A:$A,0)),"Unknown")</f>
        <v>AND</v>
      </c>
      <c r="X618" t="str">
        <f>IFERROR(INDEX(Stores!$B:$B,MATCH(E618,Stores!$A:$A,0)),"Unknown")</f>
        <v>TrendMart Kozhikode Outlet</v>
      </c>
      <c r="Y618" t="str">
        <f>IFERROR(INDEX(Stores!$E:$E,MATCH(E618,Stores!$A:$A,0)),"Unknown")</f>
        <v>South Zone 1</v>
      </c>
      <c r="Z618" t="str">
        <f>IFERROR(INDEX(Customers!$J:$J,MATCH(C618,Customers!$A:$A,0)),"Unknown")</f>
        <v>Platinum</v>
      </c>
      <c r="AA618" t="str">
        <f t="shared" si="9"/>
        <v>2024-12</v>
      </c>
      <c r="AB618" t="str">
        <f>IFERROR(INDEX(Products!$I:$I,MATCH(D618,Products!$A:$A,0)),"Unknown")</f>
        <v>SUP012</v>
      </c>
    </row>
    <row r="619" spans="1:28" x14ac:dyDescent="0.25">
      <c r="A619" t="s">
        <v>1974</v>
      </c>
      <c r="B619" s="20">
        <v>45410</v>
      </c>
      <c r="C619" t="s">
        <v>1286</v>
      </c>
      <c r="D619" t="s">
        <v>1063</v>
      </c>
      <c r="E619" t="s">
        <v>82</v>
      </c>
      <c r="F619" t="s">
        <v>176</v>
      </c>
      <c r="G619">
        <v>2</v>
      </c>
      <c r="H619" s="21">
        <v>1104.9100000000001</v>
      </c>
      <c r="I619">
        <v>25</v>
      </c>
      <c r="J619" s="21">
        <v>552.46</v>
      </c>
      <c r="K619">
        <v>12</v>
      </c>
      <c r="L619" s="21">
        <v>198.88</v>
      </c>
      <c r="M619" s="21">
        <v>1856.24</v>
      </c>
      <c r="N619" s="21">
        <v>1153.94</v>
      </c>
      <c r="O619" s="21">
        <v>503.42</v>
      </c>
      <c r="P619" t="s">
        <v>121</v>
      </c>
      <c r="Q619" t="s">
        <v>120</v>
      </c>
      <c r="R619" t="s">
        <v>151</v>
      </c>
      <c r="S619" t="s">
        <v>1975</v>
      </c>
      <c r="T619" t="s">
        <v>161</v>
      </c>
      <c r="U619" t="s">
        <v>154</v>
      </c>
      <c r="V619" t="str">
        <f>IFERROR(INDEX(Products!$C:$C,MATCH(D619,Products!$A:$A,0)),"Unknown")</f>
        <v>Accessories</v>
      </c>
      <c r="W619" t="str">
        <f>IFERROR(INDEX(Products!$E:$E,MATCH(D619,Products!$A:$A,0)),"Unknown")</f>
        <v>Pepe Jeans</v>
      </c>
      <c r="X619" t="str">
        <f>IFERROR(INDEX(Stores!$B:$B,MATCH(E619,Stores!$A:$A,0)),"Unknown")</f>
        <v>TrendMart Kochi High Street</v>
      </c>
      <c r="Y619" t="str">
        <f>IFERROR(INDEX(Stores!$E:$E,MATCH(E619,Stores!$A:$A,0)),"Unknown")</f>
        <v>South Zone 1</v>
      </c>
      <c r="Z619" t="str">
        <f>IFERROR(INDEX(Customers!$J:$J,MATCH(C619,Customers!$A:$A,0)),"Unknown")</f>
        <v>Regular</v>
      </c>
      <c r="AA619" t="str">
        <f t="shared" si="9"/>
        <v>2024-04</v>
      </c>
      <c r="AB619" t="str">
        <f>IFERROR(INDEX(Products!$I:$I,MATCH(D619,Products!$A:$A,0)),"Unknown")</f>
        <v>SUP056</v>
      </c>
    </row>
    <row r="620" spans="1:28" x14ac:dyDescent="0.25">
      <c r="A620" t="s">
        <v>1976</v>
      </c>
      <c r="B620" s="20">
        <v>45553</v>
      </c>
      <c r="C620" t="s">
        <v>1534</v>
      </c>
      <c r="D620" t="s">
        <v>531</v>
      </c>
      <c r="E620" t="s">
        <v>727</v>
      </c>
      <c r="F620" t="s">
        <v>377</v>
      </c>
      <c r="G620">
        <v>3</v>
      </c>
      <c r="H620" s="21">
        <v>3199.89</v>
      </c>
      <c r="I620">
        <v>5</v>
      </c>
      <c r="J620" s="21">
        <v>479.98</v>
      </c>
      <c r="K620">
        <v>12</v>
      </c>
      <c r="L620" s="21">
        <v>1094.3599999999999</v>
      </c>
      <c r="M620" s="21">
        <v>10214.049999999999</v>
      </c>
      <c r="N620" s="21">
        <v>6102.03</v>
      </c>
      <c r="O620" s="21">
        <v>3017.66</v>
      </c>
      <c r="P620" t="s">
        <v>124</v>
      </c>
      <c r="Q620" t="s">
        <v>120</v>
      </c>
      <c r="R620" t="s">
        <v>151</v>
      </c>
      <c r="S620" t="s">
        <v>183</v>
      </c>
      <c r="T620" t="s">
        <v>153</v>
      </c>
      <c r="U620" t="s">
        <v>154</v>
      </c>
      <c r="V620" t="str">
        <f>IFERROR(INDEX(Products!$C:$C,MATCH(D620,Products!$A:$A,0)),"Unknown")</f>
        <v>Handbags</v>
      </c>
      <c r="W620" t="str">
        <f>IFERROR(INDEX(Products!$E:$E,MATCH(D620,Products!$A:$A,0)),"Unknown")</f>
        <v>GRT Jewellers</v>
      </c>
      <c r="X620" t="str">
        <f>IFERROR(INDEX(Stores!$B:$B,MATCH(E620,Stores!$A:$A,0)),"Unknown")</f>
        <v>TrendMart Nizamabad Standard</v>
      </c>
      <c r="Y620" t="str">
        <f>IFERROR(INDEX(Stores!$E:$E,MATCH(E620,Stores!$A:$A,0)),"Unknown")</f>
        <v>South Zone 2</v>
      </c>
      <c r="Z620" t="str">
        <f>IFERROR(INDEX(Customers!$J:$J,MATCH(C620,Customers!$A:$A,0)),"Unknown")</f>
        <v>Regular</v>
      </c>
      <c r="AA620" t="str">
        <f t="shared" si="9"/>
        <v>2024-09</v>
      </c>
      <c r="AB620" t="str">
        <f>IFERROR(INDEX(Products!$I:$I,MATCH(D620,Products!$A:$A,0)),"Unknown")</f>
        <v>SUP047</v>
      </c>
    </row>
    <row r="621" spans="1:28" x14ac:dyDescent="0.25">
      <c r="A621" t="s">
        <v>1977</v>
      </c>
      <c r="B621" s="20">
        <v>45688</v>
      </c>
      <c r="C621" t="s">
        <v>1301</v>
      </c>
      <c r="D621" t="s">
        <v>931</v>
      </c>
      <c r="E621" t="s">
        <v>200</v>
      </c>
      <c r="F621" t="s">
        <v>269</v>
      </c>
      <c r="G621">
        <v>2</v>
      </c>
      <c r="H621" s="21">
        <v>1403.63</v>
      </c>
      <c r="I621">
        <v>30</v>
      </c>
      <c r="J621" s="21">
        <v>842.18</v>
      </c>
      <c r="K621">
        <v>12</v>
      </c>
      <c r="L621" s="21">
        <v>235.81</v>
      </c>
      <c r="M621" s="21">
        <v>2200.89</v>
      </c>
      <c r="N621" s="21">
        <v>2041.8</v>
      </c>
      <c r="O621" s="21">
        <v>-76.72</v>
      </c>
      <c r="P621" t="s">
        <v>125</v>
      </c>
      <c r="Q621" t="s">
        <v>122</v>
      </c>
      <c r="R621" t="s">
        <v>151</v>
      </c>
      <c r="S621" t="s">
        <v>1978</v>
      </c>
      <c r="T621" t="s">
        <v>153</v>
      </c>
      <c r="U621" t="s">
        <v>184</v>
      </c>
      <c r="V621" t="str">
        <f>IFERROR(INDEX(Products!$C:$C,MATCH(D621,Products!$A:$A,0)),"Unknown")</f>
        <v>Women Sarees</v>
      </c>
      <c r="W621" t="str">
        <f>IFERROR(INDEX(Products!$E:$E,MATCH(D621,Products!$A:$A,0)),"Unknown")</f>
        <v>Jack &amp; Jones</v>
      </c>
      <c r="X621" t="str">
        <f>IFERROR(INDEX(Stores!$B:$B,MATCH(E621,Stores!$A:$A,0)),"Unknown")</f>
        <v>TrendMart Kozhikode Standard</v>
      </c>
      <c r="Y621" t="str">
        <f>IFERROR(INDEX(Stores!$E:$E,MATCH(E621,Stores!$A:$A,0)),"Unknown")</f>
        <v>South Zone 1</v>
      </c>
      <c r="Z621" t="str">
        <f>IFERROR(INDEX(Customers!$J:$J,MATCH(C621,Customers!$A:$A,0)),"Unknown")</f>
        <v>Regular</v>
      </c>
      <c r="AA621" t="str">
        <f t="shared" si="9"/>
        <v>2025-01</v>
      </c>
      <c r="AB621" t="str">
        <f>IFERROR(INDEX(Products!$I:$I,MATCH(D621,Products!$A:$A,0)),"Unknown")</f>
        <v>SUP058</v>
      </c>
    </row>
    <row r="622" spans="1:28" x14ac:dyDescent="0.25">
      <c r="A622" t="s">
        <v>1979</v>
      </c>
      <c r="B622" s="20">
        <v>45621</v>
      </c>
      <c r="C622" t="s">
        <v>1980</v>
      </c>
      <c r="D622" t="s">
        <v>1813</v>
      </c>
      <c r="E622" t="s">
        <v>318</v>
      </c>
      <c r="F622" t="s">
        <v>377</v>
      </c>
      <c r="G622">
        <v>3</v>
      </c>
      <c r="H622" s="21">
        <v>979.41</v>
      </c>
      <c r="I622">
        <v>30</v>
      </c>
      <c r="J622" s="21">
        <v>881.47</v>
      </c>
      <c r="K622">
        <v>5</v>
      </c>
      <c r="L622" s="21">
        <v>102.84</v>
      </c>
      <c r="M622" s="21">
        <v>2159.6</v>
      </c>
      <c r="N622" s="21">
        <v>2177.61</v>
      </c>
      <c r="O622" s="21">
        <v>-120.85</v>
      </c>
      <c r="P622" t="s">
        <v>123</v>
      </c>
      <c r="Q622" t="s">
        <v>120</v>
      </c>
      <c r="R622" t="s">
        <v>151</v>
      </c>
      <c r="S622" t="s">
        <v>1981</v>
      </c>
      <c r="T622" t="s">
        <v>153</v>
      </c>
      <c r="U622" t="s">
        <v>184</v>
      </c>
      <c r="V622" t="str">
        <f>IFERROR(INDEX(Products!$C:$C,MATCH(D622,Products!$A:$A,0)),"Unknown")</f>
        <v>Footwear</v>
      </c>
      <c r="W622" t="str">
        <f>IFERROR(INDEX(Products!$E:$E,MATCH(D622,Products!$A:$A,0)),"Unknown")</f>
        <v>Titan</v>
      </c>
      <c r="X622" t="str">
        <f>IFERROR(INDEX(Stores!$B:$B,MATCH(E622,Stores!$A:$A,0)),"Unknown")</f>
        <v>TrendMart Guntur Outlet</v>
      </c>
      <c r="Y622" t="str">
        <f>IFERROR(INDEX(Stores!$E:$E,MATCH(E622,Stores!$A:$A,0)),"Unknown")</f>
        <v>South Zone 3</v>
      </c>
      <c r="Z622" t="str">
        <f>IFERROR(INDEX(Customers!$J:$J,MATCH(C622,Customers!$A:$A,0)),"Unknown")</f>
        <v>Gold</v>
      </c>
      <c r="AA622" t="str">
        <f t="shared" si="9"/>
        <v>2024-11</v>
      </c>
      <c r="AB622" t="str">
        <f>IFERROR(INDEX(Products!$I:$I,MATCH(D622,Products!$A:$A,0)),"Unknown")</f>
        <v>SUP002</v>
      </c>
    </row>
    <row r="623" spans="1:28" x14ac:dyDescent="0.25">
      <c r="A623" t="s">
        <v>1982</v>
      </c>
      <c r="B623" s="20">
        <v>45416</v>
      </c>
      <c r="C623" t="s">
        <v>1861</v>
      </c>
      <c r="D623" t="s">
        <v>531</v>
      </c>
      <c r="E623" t="s">
        <v>1522</v>
      </c>
      <c r="F623" t="s">
        <v>189</v>
      </c>
      <c r="G623">
        <v>4</v>
      </c>
      <c r="H623" s="21">
        <v>3520.88</v>
      </c>
      <c r="I623">
        <v>0</v>
      </c>
      <c r="J623" s="21">
        <v>0</v>
      </c>
      <c r="K623">
        <v>12</v>
      </c>
      <c r="L623" s="21">
        <v>1690.02</v>
      </c>
      <c r="M623" s="21">
        <v>15773.54</v>
      </c>
      <c r="N623" s="21">
        <v>8136.04</v>
      </c>
      <c r="O623" s="21">
        <v>5947.48</v>
      </c>
      <c r="P623" t="s">
        <v>124</v>
      </c>
      <c r="Q623" t="s">
        <v>120</v>
      </c>
      <c r="R623" t="s">
        <v>151</v>
      </c>
      <c r="S623" t="s">
        <v>592</v>
      </c>
      <c r="T623" t="s">
        <v>161</v>
      </c>
      <c r="U623" t="s">
        <v>154</v>
      </c>
      <c r="V623" t="str">
        <f>IFERROR(INDEX(Products!$C:$C,MATCH(D623,Products!$A:$A,0)),"Unknown")</f>
        <v>Handbags</v>
      </c>
      <c r="W623" t="str">
        <f>IFERROR(INDEX(Products!$E:$E,MATCH(D623,Products!$A:$A,0)),"Unknown")</f>
        <v>GRT Jewellers</v>
      </c>
      <c r="X623" t="str">
        <f>IFERROR(INDEX(Stores!$B:$B,MATCH(E623,Stores!$A:$A,0)),"Unknown")</f>
        <v>TrendMart Guntur High Street</v>
      </c>
      <c r="Y623" t="str">
        <f>IFERROR(INDEX(Stores!$E:$E,MATCH(E623,Stores!$A:$A,0)),"Unknown")</f>
        <v>South Zone 3</v>
      </c>
      <c r="Z623" t="str">
        <f>IFERROR(INDEX(Customers!$J:$J,MATCH(C623,Customers!$A:$A,0)),"Unknown")</f>
        <v>Platinum</v>
      </c>
      <c r="AA623" t="str">
        <f t="shared" si="9"/>
        <v>2024-05</v>
      </c>
      <c r="AB623" t="str">
        <f>IFERROR(INDEX(Products!$I:$I,MATCH(D623,Products!$A:$A,0)),"Unknown")</f>
        <v>SUP047</v>
      </c>
    </row>
    <row r="624" spans="1:28" x14ac:dyDescent="0.25">
      <c r="A624" t="s">
        <v>1983</v>
      </c>
      <c r="B624" s="20">
        <v>45553</v>
      </c>
      <c r="C624" t="s">
        <v>743</v>
      </c>
      <c r="D624" t="s">
        <v>174</v>
      </c>
      <c r="E624" t="s">
        <v>200</v>
      </c>
      <c r="F624" t="s">
        <v>579</v>
      </c>
      <c r="G624">
        <v>3</v>
      </c>
      <c r="H624" s="21">
        <v>859.24</v>
      </c>
      <c r="I624">
        <v>0</v>
      </c>
      <c r="J624" s="21">
        <v>0</v>
      </c>
      <c r="K624">
        <v>5</v>
      </c>
      <c r="L624" s="21">
        <v>128.88999999999999</v>
      </c>
      <c r="M624" s="21">
        <v>2706.61</v>
      </c>
      <c r="N624" s="21">
        <v>1619.28</v>
      </c>
      <c r="O624" s="21">
        <v>958.44</v>
      </c>
      <c r="P624" t="s">
        <v>121</v>
      </c>
      <c r="Q624" t="s">
        <v>120</v>
      </c>
      <c r="R624" t="s">
        <v>151</v>
      </c>
      <c r="S624" t="s">
        <v>570</v>
      </c>
      <c r="T624" t="s">
        <v>153</v>
      </c>
      <c r="U624" t="s">
        <v>154</v>
      </c>
      <c r="V624" t="str">
        <f>IFERROR(INDEX(Products!$C:$C,MATCH(D624,Products!$A:$A,0)),"Unknown")</f>
        <v>Women Kurtis</v>
      </c>
      <c r="W624" t="str">
        <f>IFERROR(INDEX(Products!$E:$E,MATCH(D624,Products!$A:$A,0)),"Unknown")</f>
        <v>Reebok</v>
      </c>
      <c r="X624" t="str">
        <f>IFERROR(INDEX(Stores!$B:$B,MATCH(E624,Stores!$A:$A,0)),"Unknown")</f>
        <v>TrendMart Kozhikode Standard</v>
      </c>
      <c r="Y624" t="str">
        <f>IFERROR(INDEX(Stores!$E:$E,MATCH(E624,Stores!$A:$A,0)),"Unknown")</f>
        <v>South Zone 1</v>
      </c>
      <c r="Z624" t="str">
        <f>IFERROR(INDEX(Customers!$J:$J,MATCH(C624,Customers!$A:$A,0)),"Unknown")</f>
        <v>Silver</v>
      </c>
      <c r="AA624" t="str">
        <f t="shared" si="9"/>
        <v>2024-09</v>
      </c>
      <c r="AB624" t="str">
        <f>IFERROR(INDEX(Products!$I:$I,MATCH(D624,Products!$A:$A,0)),"Unknown")</f>
        <v>SUP012</v>
      </c>
    </row>
    <row r="625" spans="1:28" x14ac:dyDescent="0.25">
      <c r="A625" t="s">
        <v>1984</v>
      </c>
      <c r="B625" s="20">
        <v>45614</v>
      </c>
      <c r="C625" t="s">
        <v>1985</v>
      </c>
      <c r="D625" t="s">
        <v>149</v>
      </c>
      <c r="E625" t="s">
        <v>1825</v>
      </c>
      <c r="F625" t="s">
        <v>286</v>
      </c>
      <c r="G625">
        <v>1</v>
      </c>
      <c r="H625" s="21">
        <v>756.58</v>
      </c>
      <c r="I625">
        <v>0</v>
      </c>
      <c r="J625" s="21">
        <v>0</v>
      </c>
      <c r="K625">
        <v>5</v>
      </c>
      <c r="L625" s="21">
        <v>37.83</v>
      </c>
      <c r="M625" s="21">
        <v>794.41</v>
      </c>
      <c r="N625" s="21">
        <v>496.67</v>
      </c>
      <c r="O625" s="21">
        <v>259.91000000000003</v>
      </c>
      <c r="P625" t="s">
        <v>123</v>
      </c>
      <c r="Q625" t="s">
        <v>120</v>
      </c>
      <c r="R625" t="s">
        <v>151</v>
      </c>
      <c r="S625" t="s">
        <v>1608</v>
      </c>
      <c r="T625" t="s">
        <v>153</v>
      </c>
      <c r="U625" t="s">
        <v>154</v>
      </c>
      <c r="V625" t="str">
        <f>IFERROR(INDEX(Products!$C:$C,MATCH(D625,Products!$A:$A,0)),"Unknown")</f>
        <v>Women Kurtis</v>
      </c>
      <c r="W625" t="str">
        <f>IFERROR(INDEX(Products!$E:$E,MATCH(D625,Products!$A:$A,0)),"Unknown")</f>
        <v>Pepe Jeans</v>
      </c>
      <c r="X625" t="str">
        <f>IFERROR(INDEX(Stores!$B:$B,MATCH(E625,Stores!$A:$A,0)),"Unknown")</f>
        <v>TrendMart Vijayawada Outlet</v>
      </c>
      <c r="Y625" t="str">
        <f>IFERROR(INDEX(Stores!$E:$E,MATCH(E625,Stores!$A:$A,0)),"Unknown")</f>
        <v>South Zone 3</v>
      </c>
      <c r="Z625" t="str">
        <f>IFERROR(INDEX(Customers!$J:$J,MATCH(C625,Customers!$A:$A,0)),"Unknown")</f>
        <v>Platinum</v>
      </c>
      <c r="AA625" t="str">
        <f t="shared" si="9"/>
        <v>2024-11</v>
      </c>
      <c r="AB625" t="str">
        <f>IFERROR(INDEX(Products!$I:$I,MATCH(D625,Products!$A:$A,0)),"Unknown")</f>
        <v>SUP049</v>
      </c>
    </row>
    <row r="626" spans="1:28" x14ac:dyDescent="0.25">
      <c r="A626" t="s">
        <v>1986</v>
      </c>
      <c r="B626" s="20">
        <v>45513</v>
      </c>
      <c r="C626" t="s">
        <v>256</v>
      </c>
      <c r="D626" t="s">
        <v>1877</v>
      </c>
      <c r="E626" t="s">
        <v>402</v>
      </c>
      <c r="F626" t="s">
        <v>335</v>
      </c>
      <c r="G626">
        <v>3</v>
      </c>
      <c r="H626" s="21">
        <v>1776.59</v>
      </c>
      <c r="I626">
        <v>0</v>
      </c>
      <c r="J626" s="21">
        <v>0</v>
      </c>
      <c r="K626">
        <v>12</v>
      </c>
      <c r="L626" s="21">
        <v>639.57000000000005</v>
      </c>
      <c r="M626" s="21">
        <v>5969.34</v>
      </c>
      <c r="N626" s="21">
        <v>3994.65</v>
      </c>
      <c r="O626" s="21">
        <v>1335.12</v>
      </c>
      <c r="P626" t="s">
        <v>123</v>
      </c>
      <c r="Q626" t="s">
        <v>120</v>
      </c>
      <c r="R626" t="s">
        <v>151</v>
      </c>
      <c r="S626" t="s">
        <v>1656</v>
      </c>
      <c r="T626" t="s">
        <v>153</v>
      </c>
      <c r="U626" t="s">
        <v>154</v>
      </c>
      <c r="V626" t="str">
        <f>IFERROR(INDEX(Products!$C:$C,MATCH(D626,Products!$A:$A,0)),"Unknown")</f>
        <v>Women Sarees</v>
      </c>
      <c r="W626" t="str">
        <f>IFERROR(INDEX(Products!$E:$E,MATCH(D626,Products!$A:$A,0)),"Unknown")</f>
        <v>Sonata</v>
      </c>
      <c r="X626" t="str">
        <f>IFERROR(INDEX(Stores!$B:$B,MATCH(E626,Stores!$A:$A,0)),"Unknown")</f>
        <v>TrendMart Kannur Standard</v>
      </c>
      <c r="Y626" t="str">
        <f>IFERROR(INDEX(Stores!$E:$E,MATCH(E626,Stores!$A:$A,0)),"Unknown")</f>
        <v>South Zone 1</v>
      </c>
      <c r="Z626" t="str">
        <f>IFERROR(INDEX(Customers!$J:$J,MATCH(C626,Customers!$A:$A,0)),"Unknown")</f>
        <v>Regular</v>
      </c>
      <c r="AA626" t="str">
        <f t="shared" si="9"/>
        <v>2024-08</v>
      </c>
      <c r="AB626" t="str">
        <f>IFERROR(INDEX(Products!$I:$I,MATCH(D626,Products!$A:$A,0)),"Unknown")</f>
        <v>SUP073</v>
      </c>
    </row>
    <row r="627" spans="1:28" x14ac:dyDescent="0.25">
      <c r="A627" t="s">
        <v>1987</v>
      </c>
      <c r="B627" s="20">
        <v>45553</v>
      </c>
      <c r="C627" t="s">
        <v>1988</v>
      </c>
      <c r="D627" t="s">
        <v>1590</v>
      </c>
      <c r="E627" t="s">
        <v>1512</v>
      </c>
      <c r="F627" t="s">
        <v>532</v>
      </c>
      <c r="G627">
        <v>2</v>
      </c>
      <c r="H627" s="21">
        <v>479.6</v>
      </c>
      <c r="I627">
        <v>10</v>
      </c>
      <c r="J627" s="21">
        <v>95.92</v>
      </c>
      <c r="K627">
        <v>5</v>
      </c>
      <c r="L627" s="21">
        <v>43.16</v>
      </c>
      <c r="M627" s="21">
        <v>906.44</v>
      </c>
      <c r="N627" s="21">
        <v>674.18</v>
      </c>
      <c r="O627" s="21">
        <v>189.1</v>
      </c>
      <c r="P627" t="s">
        <v>121</v>
      </c>
      <c r="Q627" t="s">
        <v>122</v>
      </c>
      <c r="R627" t="s">
        <v>151</v>
      </c>
      <c r="S627" t="s">
        <v>1630</v>
      </c>
      <c r="T627" t="s">
        <v>153</v>
      </c>
      <c r="U627" t="s">
        <v>154</v>
      </c>
      <c r="V627" t="str">
        <f>IFERROR(INDEX(Products!$C:$C,MATCH(D627,Products!$A:$A,0)),"Unknown")</f>
        <v>Kids Wear</v>
      </c>
      <c r="W627" t="str">
        <f>IFERROR(INDEX(Products!$E:$E,MATCH(D627,Products!$A:$A,0)),"Unknown")</f>
        <v>Peter England</v>
      </c>
      <c r="X627" t="str">
        <f>IFERROR(INDEX(Stores!$B:$B,MATCH(E627,Stores!$A:$A,0)),"Unknown")</f>
        <v>TrendMart Erode Mall Kiosk</v>
      </c>
      <c r="Y627" t="str">
        <f>IFERROR(INDEX(Stores!$E:$E,MATCH(E627,Stores!$A:$A,0)),"Unknown")</f>
        <v>South Zone 1</v>
      </c>
      <c r="Z627" t="str">
        <f>IFERROR(INDEX(Customers!$J:$J,MATCH(C627,Customers!$A:$A,0)),"Unknown")</f>
        <v>Regular</v>
      </c>
      <c r="AA627" t="str">
        <f t="shared" si="9"/>
        <v>2024-09</v>
      </c>
      <c r="AB627" t="str">
        <f>IFERROR(INDEX(Products!$I:$I,MATCH(D627,Products!$A:$A,0)),"Unknown")</f>
        <v>SUP065</v>
      </c>
    </row>
    <row r="628" spans="1:28" x14ac:dyDescent="0.25">
      <c r="A628" t="s">
        <v>1989</v>
      </c>
      <c r="B628" s="20">
        <v>45611</v>
      </c>
      <c r="C628" t="s">
        <v>1990</v>
      </c>
      <c r="D628" t="s">
        <v>1780</v>
      </c>
      <c r="E628" t="s">
        <v>96</v>
      </c>
      <c r="F628" t="s">
        <v>150</v>
      </c>
      <c r="G628">
        <v>1</v>
      </c>
      <c r="H628" s="21">
        <v>1209.93</v>
      </c>
      <c r="I628">
        <v>20</v>
      </c>
      <c r="J628" s="21">
        <v>241.99</v>
      </c>
      <c r="K628">
        <v>3</v>
      </c>
      <c r="L628" s="21">
        <v>29.04</v>
      </c>
      <c r="M628" s="21">
        <v>996.98</v>
      </c>
      <c r="N628" s="21">
        <v>910.46</v>
      </c>
      <c r="O628" s="21">
        <v>57.48</v>
      </c>
      <c r="P628" t="s">
        <v>121</v>
      </c>
      <c r="Q628" t="s">
        <v>120</v>
      </c>
      <c r="R628" t="s">
        <v>151</v>
      </c>
      <c r="S628" t="s">
        <v>426</v>
      </c>
      <c r="T628" t="s">
        <v>153</v>
      </c>
      <c r="U628" t="s">
        <v>154</v>
      </c>
      <c r="V628" t="str">
        <f>IFERROR(INDEX(Products!$C:$C,MATCH(D628,Products!$A:$A,0)),"Unknown")</f>
        <v>Jewellery</v>
      </c>
      <c r="W628" t="str">
        <f>IFERROR(INDEX(Products!$E:$E,MATCH(D628,Products!$A:$A,0)),"Unknown")</f>
        <v>Flying Machine</v>
      </c>
      <c r="X628" t="str">
        <f>IFERROR(INDEX(Stores!$B:$B,MATCH(E628,Stores!$A:$A,0)),"Unknown")</f>
        <v>TrendMart Shivamogga Outlet</v>
      </c>
      <c r="Y628" t="str">
        <f>IFERROR(INDEX(Stores!$E:$E,MATCH(E628,Stores!$A:$A,0)),"Unknown")</f>
        <v>South Zone 2</v>
      </c>
      <c r="Z628" t="str">
        <f>IFERROR(INDEX(Customers!$J:$J,MATCH(C628,Customers!$A:$A,0)),"Unknown")</f>
        <v>Silver</v>
      </c>
      <c r="AA628" t="str">
        <f t="shared" si="9"/>
        <v>2024-11</v>
      </c>
      <c r="AB628" t="str">
        <f>IFERROR(INDEX(Products!$I:$I,MATCH(D628,Products!$A:$A,0)),"Unknown")</f>
        <v>SUP039</v>
      </c>
    </row>
    <row r="629" spans="1:28" x14ac:dyDescent="0.25">
      <c r="A629" t="s">
        <v>1991</v>
      </c>
      <c r="B629" s="20">
        <v>45563</v>
      </c>
      <c r="C629" t="s">
        <v>653</v>
      </c>
      <c r="D629" t="s">
        <v>558</v>
      </c>
      <c r="E629" t="s">
        <v>578</v>
      </c>
      <c r="F629" t="s">
        <v>170</v>
      </c>
      <c r="G629">
        <v>1</v>
      </c>
      <c r="H629" s="21">
        <v>763.48</v>
      </c>
      <c r="I629">
        <v>5</v>
      </c>
      <c r="J629" s="21">
        <v>38.17</v>
      </c>
      <c r="K629">
        <v>5</v>
      </c>
      <c r="L629" s="21">
        <v>36.270000000000003</v>
      </c>
      <c r="M629" s="21">
        <v>761.58</v>
      </c>
      <c r="N629" s="21">
        <v>457.16</v>
      </c>
      <c r="O629" s="21">
        <v>268.14999999999998</v>
      </c>
      <c r="P629" t="s">
        <v>124</v>
      </c>
      <c r="Q629" t="s">
        <v>120</v>
      </c>
      <c r="R629" t="s">
        <v>151</v>
      </c>
      <c r="S629" t="s">
        <v>1992</v>
      </c>
      <c r="T629" t="s">
        <v>161</v>
      </c>
      <c r="U629" t="s">
        <v>154</v>
      </c>
      <c r="V629" t="str">
        <f>IFERROR(INDEX(Products!$C:$C,MATCH(D629,Products!$A:$A,0)),"Unknown")</f>
        <v>Women Tops</v>
      </c>
      <c r="W629" t="str">
        <f>IFERROR(INDEX(Products!$E:$E,MATCH(D629,Products!$A:$A,0)),"Unknown")</f>
        <v>Aurelia</v>
      </c>
      <c r="X629" t="str">
        <f>IFERROR(INDEX(Stores!$B:$B,MATCH(E629,Stores!$A:$A,0)),"Unknown")</f>
        <v>TrendMart Vellore Standard</v>
      </c>
      <c r="Y629" t="str">
        <f>IFERROR(INDEX(Stores!$E:$E,MATCH(E629,Stores!$A:$A,0)),"Unknown")</f>
        <v>South Zone 1</v>
      </c>
      <c r="Z629" t="str">
        <f>IFERROR(INDEX(Customers!$J:$J,MATCH(C629,Customers!$A:$A,0)),"Unknown")</f>
        <v>Silver</v>
      </c>
      <c r="AA629" t="str">
        <f t="shared" si="9"/>
        <v>2024-09</v>
      </c>
      <c r="AB629" t="str">
        <f>IFERROR(INDEX(Products!$I:$I,MATCH(D629,Products!$A:$A,0)),"Unknown")</f>
        <v>SUP055</v>
      </c>
    </row>
    <row r="630" spans="1:28" x14ac:dyDescent="0.25">
      <c r="A630" t="s">
        <v>1993</v>
      </c>
      <c r="B630" s="20">
        <v>45548</v>
      </c>
      <c r="C630" t="s">
        <v>1994</v>
      </c>
      <c r="D630" t="s">
        <v>199</v>
      </c>
      <c r="E630" t="s">
        <v>360</v>
      </c>
      <c r="F630" t="s">
        <v>269</v>
      </c>
      <c r="G630">
        <v>2</v>
      </c>
      <c r="H630" s="21">
        <v>811.76</v>
      </c>
      <c r="I630">
        <v>30</v>
      </c>
      <c r="J630" s="21">
        <v>487.06</v>
      </c>
      <c r="K630">
        <v>5</v>
      </c>
      <c r="L630" s="21">
        <v>56.82</v>
      </c>
      <c r="M630" s="21">
        <v>1193.28</v>
      </c>
      <c r="N630" s="21">
        <v>977.2</v>
      </c>
      <c r="O630" s="21">
        <v>159.26</v>
      </c>
      <c r="P630" t="s">
        <v>124</v>
      </c>
      <c r="Q630" t="s">
        <v>122</v>
      </c>
      <c r="R630" t="s">
        <v>151</v>
      </c>
      <c r="S630" t="s">
        <v>1995</v>
      </c>
      <c r="T630" t="s">
        <v>153</v>
      </c>
      <c r="U630" t="s">
        <v>154</v>
      </c>
      <c r="V630" t="str">
        <f>IFERROR(INDEX(Products!$C:$C,MATCH(D630,Products!$A:$A,0)),"Unknown")</f>
        <v>Accessories</v>
      </c>
      <c r="W630" t="str">
        <f>IFERROR(INDEX(Products!$E:$E,MATCH(D630,Products!$A:$A,0)),"Unknown")</f>
        <v>Arrow</v>
      </c>
      <c r="X630" t="str">
        <f>IFERROR(INDEX(Stores!$B:$B,MATCH(E630,Stores!$A:$A,0)),"Unknown")</f>
        <v>TrendMart Kochi Standard</v>
      </c>
      <c r="Y630" t="str">
        <f>IFERROR(INDEX(Stores!$E:$E,MATCH(E630,Stores!$A:$A,0)),"Unknown")</f>
        <v>South Zone 1</v>
      </c>
      <c r="Z630" t="str">
        <f>IFERROR(INDEX(Customers!$J:$J,MATCH(C630,Customers!$A:$A,0)),"Unknown")</f>
        <v>Gold</v>
      </c>
      <c r="AA630" t="str">
        <f t="shared" si="9"/>
        <v>2024-09</v>
      </c>
      <c r="AB630" t="str">
        <f>IFERROR(INDEX(Products!$I:$I,MATCH(D630,Products!$A:$A,0)),"Unknown")</f>
        <v>SUP018</v>
      </c>
    </row>
    <row r="631" spans="1:28" x14ac:dyDescent="0.25">
      <c r="A631" t="s">
        <v>1996</v>
      </c>
      <c r="B631" s="20">
        <v>45714</v>
      </c>
      <c r="C631" t="s">
        <v>1010</v>
      </c>
      <c r="D631" t="s">
        <v>236</v>
      </c>
      <c r="E631" t="s">
        <v>1962</v>
      </c>
      <c r="F631" t="s">
        <v>462</v>
      </c>
      <c r="G631">
        <v>3</v>
      </c>
      <c r="H631" s="21">
        <v>808.31</v>
      </c>
      <c r="I631">
        <v>10</v>
      </c>
      <c r="J631" s="21">
        <v>242.49</v>
      </c>
      <c r="K631">
        <v>5</v>
      </c>
      <c r="L631" s="21">
        <v>109.12</v>
      </c>
      <c r="M631" s="21">
        <v>2291.56</v>
      </c>
      <c r="N631" s="21">
        <v>1650.03</v>
      </c>
      <c r="O631" s="21">
        <v>532.41</v>
      </c>
      <c r="P631" t="s">
        <v>126</v>
      </c>
      <c r="Q631" t="s">
        <v>122</v>
      </c>
      <c r="R631" t="s">
        <v>151</v>
      </c>
      <c r="S631" t="s">
        <v>1671</v>
      </c>
      <c r="T631" t="s">
        <v>153</v>
      </c>
      <c r="U631" t="s">
        <v>154</v>
      </c>
      <c r="V631" t="str">
        <f>IFERROR(INDEX(Products!$C:$C,MATCH(D631,Products!$A:$A,0)),"Unknown")</f>
        <v>Women Tops</v>
      </c>
      <c r="W631" t="str">
        <f>IFERROR(INDEX(Products!$E:$E,MATCH(D631,Products!$A:$A,0)),"Unknown")</f>
        <v>Nike</v>
      </c>
      <c r="X631" t="str">
        <f>IFERROR(INDEX(Stores!$B:$B,MATCH(E631,Stores!$A:$A,0)),"Unknown")</f>
        <v>TrendMart Guntur High Street</v>
      </c>
      <c r="Y631" t="str">
        <f>IFERROR(INDEX(Stores!$E:$E,MATCH(E631,Stores!$A:$A,0)),"Unknown")</f>
        <v>South Zone 3</v>
      </c>
      <c r="Z631" t="str">
        <f>IFERROR(INDEX(Customers!$J:$J,MATCH(C631,Customers!$A:$A,0)),"Unknown")</f>
        <v>Silver</v>
      </c>
      <c r="AA631" t="str">
        <f t="shared" si="9"/>
        <v>2025-02</v>
      </c>
      <c r="AB631" t="str">
        <f>IFERROR(INDEX(Products!$I:$I,MATCH(D631,Products!$A:$A,0)),"Unknown")</f>
        <v>SUP075</v>
      </c>
    </row>
    <row r="632" spans="1:28" x14ac:dyDescent="0.25">
      <c r="A632" t="s">
        <v>1997</v>
      </c>
      <c r="B632" s="20">
        <v>45723</v>
      </c>
      <c r="C632" t="s">
        <v>1998</v>
      </c>
      <c r="D632" t="s">
        <v>1278</v>
      </c>
      <c r="E632" t="s">
        <v>1681</v>
      </c>
      <c r="F632" t="s">
        <v>335</v>
      </c>
      <c r="G632">
        <v>4</v>
      </c>
      <c r="H632" s="21">
        <v>4911.9799999999996</v>
      </c>
      <c r="I632">
        <v>0</v>
      </c>
      <c r="J632" s="21">
        <v>0</v>
      </c>
      <c r="K632">
        <v>12</v>
      </c>
      <c r="L632" s="21">
        <v>2357.75</v>
      </c>
      <c r="M632" s="21">
        <v>22005.67</v>
      </c>
      <c r="N632" s="21">
        <v>15403.88</v>
      </c>
      <c r="O632" s="21">
        <v>4244.04</v>
      </c>
      <c r="P632" t="s">
        <v>124</v>
      </c>
      <c r="Q632" t="s">
        <v>122</v>
      </c>
      <c r="R632" t="s">
        <v>151</v>
      </c>
      <c r="S632" t="s">
        <v>1999</v>
      </c>
      <c r="T632" t="s">
        <v>153</v>
      </c>
      <c r="U632" t="s">
        <v>154</v>
      </c>
      <c r="V632" t="str">
        <f>IFERROR(INDEX(Products!$C:$C,MATCH(D632,Products!$A:$A,0)),"Unknown")</f>
        <v>Watches</v>
      </c>
      <c r="W632" t="str">
        <f>IFERROR(INDEX(Products!$E:$E,MATCH(D632,Products!$A:$A,0)),"Unknown")</f>
        <v>Aurelia</v>
      </c>
      <c r="X632" t="str">
        <f>IFERROR(INDEX(Stores!$B:$B,MATCH(E632,Stores!$A:$A,0)),"Unknown")</f>
        <v>TrendMart Warangal Standard</v>
      </c>
      <c r="Y632" t="str">
        <f>IFERROR(INDEX(Stores!$E:$E,MATCH(E632,Stores!$A:$A,0)),"Unknown")</f>
        <v>South Zone 2</v>
      </c>
      <c r="Z632" t="str">
        <f>IFERROR(INDEX(Customers!$J:$J,MATCH(C632,Customers!$A:$A,0)),"Unknown")</f>
        <v>Gold</v>
      </c>
      <c r="AA632" t="str">
        <f t="shared" si="9"/>
        <v>2025-03</v>
      </c>
      <c r="AB632" t="str">
        <f>IFERROR(INDEX(Products!$I:$I,MATCH(D632,Products!$A:$A,0)),"Unknown")</f>
        <v>SUP079</v>
      </c>
    </row>
    <row r="633" spans="1:28" x14ac:dyDescent="0.25">
      <c r="A633" t="s">
        <v>2000</v>
      </c>
      <c r="B633" s="20">
        <v>45594</v>
      </c>
      <c r="C633" t="s">
        <v>1139</v>
      </c>
      <c r="D633" t="s">
        <v>892</v>
      </c>
      <c r="E633" t="s">
        <v>607</v>
      </c>
      <c r="F633" t="s">
        <v>150</v>
      </c>
      <c r="G633">
        <v>2</v>
      </c>
      <c r="H633" s="21">
        <v>2595.33</v>
      </c>
      <c r="I633">
        <v>10</v>
      </c>
      <c r="J633" s="21">
        <v>519.07000000000005</v>
      </c>
      <c r="K633">
        <v>12</v>
      </c>
      <c r="L633" s="21">
        <v>560.59</v>
      </c>
      <c r="M633" s="21">
        <v>5232.18</v>
      </c>
      <c r="N633" s="21">
        <v>3485.78</v>
      </c>
      <c r="O633" s="21">
        <v>1185.81</v>
      </c>
      <c r="P633" t="s">
        <v>121</v>
      </c>
      <c r="Q633" t="s">
        <v>122</v>
      </c>
      <c r="R633" t="s">
        <v>151</v>
      </c>
      <c r="S633" t="s">
        <v>1600</v>
      </c>
      <c r="T633" t="s">
        <v>153</v>
      </c>
      <c r="U633" t="s">
        <v>154</v>
      </c>
      <c r="V633" t="str">
        <f>IFERROR(INDEX(Products!$C:$C,MATCH(D633,Products!$A:$A,0)),"Unknown")</f>
        <v>Men Ethnic</v>
      </c>
      <c r="W633" t="str">
        <f>IFERROR(INDEX(Products!$E:$E,MATCH(D633,Products!$A:$A,0)),"Unknown")</f>
        <v>Blackberrys</v>
      </c>
      <c r="X633" t="str">
        <f>IFERROR(INDEX(Stores!$B:$B,MATCH(E633,Stores!$A:$A,0)),"Unknown")</f>
        <v>TrendMart Thiruvananthapuram Standard</v>
      </c>
      <c r="Y633" t="str">
        <f>IFERROR(INDEX(Stores!$E:$E,MATCH(E633,Stores!$A:$A,0)),"Unknown")</f>
        <v>South Zone 1</v>
      </c>
      <c r="Z633" t="str">
        <f>IFERROR(INDEX(Customers!$J:$J,MATCH(C633,Customers!$A:$A,0)),"Unknown")</f>
        <v>Silver</v>
      </c>
      <c r="AA633" t="str">
        <f t="shared" si="9"/>
        <v>2024-10</v>
      </c>
      <c r="AB633" t="str">
        <f>IFERROR(INDEX(Products!$I:$I,MATCH(D633,Products!$A:$A,0)),"Unknown")</f>
        <v>SUP084</v>
      </c>
    </row>
    <row r="634" spans="1:28" x14ac:dyDescent="0.25">
      <c r="A634" t="s">
        <v>2001</v>
      </c>
      <c r="B634" s="20">
        <v>45503</v>
      </c>
      <c r="C634" t="s">
        <v>2002</v>
      </c>
      <c r="D634" t="s">
        <v>1616</v>
      </c>
      <c r="E634" t="s">
        <v>1187</v>
      </c>
      <c r="F634" t="s">
        <v>258</v>
      </c>
      <c r="G634">
        <v>2</v>
      </c>
      <c r="H634" s="21">
        <v>4375.09</v>
      </c>
      <c r="I634">
        <v>0</v>
      </c>
      <c r="J634" s="21">
        <v>0</v>
      </c>
      <c r="K634">
        <v>12</v>
      </c>
      <c r="L634" s="21">
        <v>1050.02</v>
      </c>
      <c r="M634" s="21">
        <v>9800.2000000000007</v>
      </c>
      <c r="N634" s="21">
        <v>6046.26</v>
      </c>
      <c r="O634" s="21">
        <v>2703.92</v>
      </c>
      <c r="P634" t="s">
        <v>126</v>
      </c>
      <c r="Q634" t="s">
        <v>120</v>
      </c>
      <c r="R634" t="s">
        <v>151</v>
      </c>
      <c r="S634" t="s">
        <v>512</v>
      </c>
      <c r="T634" t="s">
        <v>153</v>
      </c>
      <c r="U634" t="s">
        <v>154</v>
      </c>
      <c r="V634" t="str">
        <f>IFERROR(INDEX(Products!$C:$C,MATCH(D634,Products!$A:$A,0)),"Unknown")</f>
        <v>Women Sarees</v>
      </c>
      <c r="W634" t="str">
        <f>IFERROR(INDEX(Products!$E:$E,MATCH(D634,Products!$A:$A,0)),"Unknown")</f>
        <v>Max Fashion</v>
      </c>
      <c r="X634" t="str">
        <f>IFERROR(INDEX(Stores!$B:$B,MATCH(E634,Stores!$A:$A,0)),"Unknown")</f>
        <v>TrendMart Vijayawada Mall Kiosk</v>
      </c>
      <c r="Y634" t="str">
        <f>IFERROR(INDEX(Stores!$E:$E,MATCH(E634,Stores!$A:$A,0)),"Unknown")</f>
        <v>South Zone 3</v>
      </c>
      <c r="Z634" t="str">
        <f>IFERROR(INDEX(Customers!$J:$J,MATCH(C634,Customers!$A:$A,0)),"Unknown")</f>
        <v>Gold</v>
      </c>
      <c r="AA634" t="str">
        <f t="shared" si="9"/>
        <v>2024-07</v>
      </c>
      <c r="AB634" t="str">
        <f>IFERROR(INDEX(Products!$I:$I,MATCH(D634,Products!$A:$A,0)),"Unknown")</f>
        <v>SUP047</v>
      </c>
    </row>
    <row r="635" spans="1:28" x14ac:dyDescent="0.25">
      <c r="A635" t="s">
        <v>2003</v>
      </c>
      <c r="B635" s="20">
        <v>45696</v>
      </c>
      <c r="C635" t="s">
        <v>1420</v>
      </c>
      <c r="D635" t="s">
        <v>1063</v>
      </c>
      <c r="E635" t="s">
        <v>671</v>
      </c>
      <c r="F635" t="s">
        <v>242</v>
      </c>
      <c r="G635">
        <v>2</v>
      </c>
      <c r="H635" s="21">
        <v>1119.54</v>
      </c>
      <c r="I635">
        <v>30</v>
      </c>
      <c r="J635" s="21">
        <v>671.72</v>
      </c>
      <c r="K635">
        <v>12</v>
      </c>
      <c r="L635" s="21">
        <v>188.08</v>
      </c>
      <c r="M635" s="21">
        <v>1755.44</v>
      </c>
      <c r="N635" s="21">
        <v>1153.94</v>
      </c>
      <c r="O635" s="21">
        <v>413.42</v>
      </c>
      <c r="P635" t="s">
        <v>125</v>
      </c>
      <c r="Q635" t="s">
        <v>122</v>
      </c>
      <c r="R635" t="s">
        <v>151</v>
      </c>
      <c r="S635" t="s">
        <v>2004</v>
      </c>
      <c r="T635" t="s">
        <v>161</v>
      </c>
      <c r="U635" t="s">
        <v>154</v>
      </c>
      <c r="V635" t="str">
        <f>IFERROR(INDEX(Products!$C:$C,MATCH(D635,Products!$A:$A,0)),"Unknown")</f>
        <v>Accessories</v>
      </c>
      <c r="W635" t="str">
        <f>IFERROR(INDEX(Products!$E:$E,MATCH(D635,Products!$A:$A,0)),"Unknown")</f>
        <v>Pepe Jeans</v>
      </c>
      <c r="X635" t="str">
        <f>IFERROR(INDEX(Stores!$B:$B,MATCH(E635,Stores!$A:$A,0)),"Unknown")</f>
        <v>TrendMart Hyderabad Mall Kiosk</v>
      </c>
      <c r="Y635" t="str">
        <f>IFERROR(INDEX(Stores!$E:$E,MATCH(E635,Stores!$A:$A,0)),"Unknown")</f>
        <v>South Zone 2</v>
      </c>
      <c r="Z635" t="str">
        <f>IFERROR(INDEX(Customers!$J:$J,MATCH(C635,Customers!$A:$A,0)),"Unknown")</f>
        <v>Regular</v>
      </c>
      <c r="AA635" t="str">
        <f t="shared" si="9"/>
        <v>2025-02</v>
      </c>
      <c r="AB635" t="str">
        <f>IFERROR(INDEX(Products!$I:$I,MATCH(D635,Products!$A:$A,0)),"Unknown")</f>
        <v>SUP056</v>
      </c>
    </row>
    <row r="636" spans="1:28" x14ac:dyDescent="0.25">
      <c r="A636" t="s">
        <v>2005</v>
      </c>
      <c r="B636" s="20">
        <v>45592</v>
      </c>
      <c r="C636" t="s">
        <v>1660</v>
      </c>
      <c r="D636" t="s">
        <v>2006</v>
      </c>
      <c r="E636" t="s">
        <v>1825</v>
      </c>
      <c r="F636" t="s">
        <v>532</v>
      </c>
      <c r="G636">
        <v>4</v>
      </c>
      <c r="H636" s="21">
        <v>1552.37</v>
      </c>
      <c r="I636">
        <v>30</v>
      </c>
      <c r="J636" s="21">
        <v>1862.84</v>
      </c>
      <c r="K636">
        <v>12</v>
      </c>
      <c r="L636" s="21">
        <v>521.6</v>
      </c>
      <c r="M636" s="21">
        <v>4868.24</v>
      </c>
      <c r="N636" s="21">
        <v>4180.76</v>
      </c>
      <c r="O636" s="21">
        <v>165.88</v>
      </c>
      <c r="P636" t="s">
        <v>126</v>
      </c>
      <c r="Q636" t="s">
        <v>122</v>
      </c>
      <c r="R636" t="s">
        <v>151</v>
      </c>
      <c r="S636" t="s">
        <v>2007</v>
      </c>
      <c r="T636" t="s">
        <v>161</v>
      </c>
      <c r="U636" t="s">
        <v>154</v>
      </c>
      <c r="V636" t="str">
        <f>IFERROR(INDEX(Products!$C:$C,MATCH(D636,Products!$A:$A,0)),"Unknown")</f>
        <v>Winter Wear</v>
      </c>
      <c r="W636" t="str">
        <f>IFERROR(INDEX(Products!$E:$E,MATCH(D636,Products!$A:$A,0)),"Unknown")</f>
        <v>Fossil</v>
      </c>
      <c r="X636" t="str">
        <f>IFERROR(INDEX(Stores!$B:$B,MATCH(E636,Stores!$A:$A,0)),"Unknown")</f>
        <v>TrendMart Vijayawada Outlet</v>
      </c>
      <c r="Y636" t="str">
        <f>IFERROR(INDEX(Stores!$E:$E,MATCH(E636,Stores!$A:$A,0)),"Unknown")</f>
        <v>South Zone 3</v>
      </c>
      <c r="Z636" t="str">
        <f>IFERROR(INDEX(Customers!$J:$J,MATCH(C636,Customers!$A:$A,0)),"Unknown")</f>
        <v>Regular</v>
      </c>
      <c r="AA636" t="str">
        <f t="shared" si="9"/>
        <v>2024-10</v>
      </c>
      <c r="AB636" t="str">
        <f>IFERROR(INDEX(Products!$I:$I,MATCH(D636,Products!$A:$A,0)),"Unknown")</f>
        <v>SUP075</v>
      </c>
    </row>
    <row r="637" spans="1:28" x14ac:dyDescent="0.25">
      <c r="A637" t="s">
        <v>2008</v>
      </c>
      <c r="B637" s="20">
        <v>45712</v>
      </c>
      <c r="C637" t="s">
        <v>1985</v>
      </c>
      <c r="D637" t="s">
        <v>236</v>
      </c>
      <c r="E637" t="s">
        <v>355</v>
      </c>
      <c r="F637" t="s">
        <v>258</v>
      </c>
      <c r="G637">
        <v>1</v>
      </c>
      <c r="H637" s="21">
        <v>817.42</v>
      </c>
      <c r="I637">
        <v>20</v>
      </c>
      <c r="J637" s="21">
        <v>163.47999999999999</v>
      </c>
      <c r="K637">
        <v>5</v>
      </c>
      <c r="L637" s="21">
        <v>32.700000000000003</v>
      </c>
      <c r="M637" s="21">
        <v>686.64</v>
      </c>
      <c r="N637" s="21">
        <v>550.01</v>
      </c>
      <c r="O637" s="21">
        <v>103.93</v>
      </c>
      <c r="P637" t="s">
        <v>125</v>
      </c>
      <c r="Q637" t="s">
        <v>122</v>
      </c>
      <c r="R637" t="s">
        <v>151</v>
      </c>
      <c r="S637" t="s">
        <v>2009</v>
      </c>
      <c r="T637" t="s">
        <v>153</v>
      </c>
      <c r="U637" t="s">
        <v>154</v>
      </c>
      <c r="V637" t="str">
        <f>IFERROR(INDEX(Products!$C:$C,MATCH(D637,Products!$A:$A,0)),"Unknown")</f>
        <v>Women Tops</v>
      </c>
      <c r="W637" t="str">
        <f>IFERROR(INDEX(Products!$E:$E,MATCH(D637,Products!$A:$A,0)),"Unknown")</f>
        <v>Nike</v>
      </c>
      <c r="X637" t="str">
        <f>IFERROR(INDEX(Stores!$B:$B,MATCH(E637,Stores!$A:$A,0)),"Unknown")</f>
        <v>TrendMart Thiruvananthapuram High Street</v>
      </c>
      <c r="Y637" t="str">
        <f>IFERROR(INDEX(Stores!$E:$E,MATCH(E637,Stores!$A:$A,0)),"Unknown")</f>
        <v>South Zone 1</v>
      </c>
      <c r="Z637" t="str">
        <f>IFERROR(INDEX(Customers!$J:$J,MATCH(C637,Customers!$A:$A,0)),"Unknown")</f>
        <v>Platinum</v>
      </c>
      <c r="AA637" t="str">
        <f t="shared" si="9"/>
        <v>2025-02</v>
      </c>
      <c r="AB637" t="str">
        <f>IFERROR(INDEX(Products!$I:$I,MATCH(D637,Products!$A:$A,0)),"Unknown")</f>
        <v>SUP075</v>
      </c>
    </row>
    <row r="638" spans="1:28" x14ac:dyDescent="0.25">
      <c r="A638" t="s">
        <v>2010</v>
      </c>
      <c r="B638" s="20">
        <v>45648</v>
      </c>
      <c r="C638" t="s">
        <v>2011</v>
      </c>
      <c r="D638" t="s">
        <v>583</v>
      </c>
      <c r="E638" t="s">
        <v>470</v>
      </c>
      <c r="F638" t="s">
        <v>303</v>
      </c>
      <c r="G638">
        <v>3</v>
      </c>
      <c r="H638" s="21">
        <v>919.44</v>
      </c>
      <c r="I638">
        <v>30</v>
      </c>
      <c r="J638" s="21">
        <v>827.5</v>
      </c>
      <c r="K638">
        <v>5</v>
      </c>
      <c r="L638" s="21">
        <v>96.54</v>
      </c>
      <c r="M638" s="21">
        <v>2027.36</v>
      </c>
      <c r="N638" s="21">
        <v>1889.16</v>
      </c>
      <c r="O638" s="21">
        <v>41.66</v>
      </c>
      <c r="P638" t="s">
        <v>124</v>
      </c>
      <c r="Q638" t="s">
        <v>122</v>
      </c>
      <c r="R638" t="s">
        <v>151</v>
      </c>
      <c r="S638" t="s">
        <v>1886</v>
      </c>
      <c r="T638" t="s">
        <v>161</v>
      </c>
      <c r="U638" t="s">
        <v>154</v>
      </c>
      <c r="V638" t="str">
        <f>IFERROR(INDEX(Products!$C:$C,MATCH(D638,Products!$A:$A,0)),"Unknown")</f>
        <v>Women Tops</v>
      </c>
      <c r="W638" t="str">
        <f>IFERROR(INDEX(Products!$E:$E,MATCH(D638,Products!$A:$A,0)),"Unknown")</f>
        <v>Ramraj Cotton</v>
      </c>
      <c r="X638" t="str">
        <f>IFERROR(INDEX(Stores!$B:$B,MATCH(E638,Stores!$A:$A,0)),"Unknown")</f>
        <v>TrendMart Thiruvananthapuram High Street</v>
      </c>
      <c r="Y638" t="str">
        <f>IFERROR(INDEX(Stores!$E:$E,MATCH(E638,Stores!$A:$A,0)),"Unknown")</f>
        <v>South Zone 1</v>
      </c>
      <c r="Z638" t="str">
        <f>IFERROR(INDEX(Customers!$J:$J,MATCH(C638,Customers!$A:$A,0)),"Unknown")</f>
        <v>Gold</v>
      </c>
      <c r="AA638" t="str">
        <f t="shared" si="9"/>
        <v>2024-12</v>
      </c>
      <c r="AB638" t="str">
        <f>IFERROR(INDEX(Products!$I:$I,MATCH(D638,Products!$A:$A,0)),"Unknown")</f>
        <v>SUP048</v>
      </c>
    </row>
    <row r="639" spans="1:28" x14ac:dyDescent="0.25">
      <c r="A639" t="s">
        <v>2012</v>
      </c>
      <c r="B639" s="20">
        <v>45514</v>
      </c>
      <c r="C639" t="s">
        <v>2013</v>
      </c>
      <c r="D639" t="s">
        <v>215</v>
      </c>
      <c r="E639" t="s">
        <v>241</v>
      </c>
      <c r="F639" t="s">
        <v>443</v>
      </c>
      <c r="G639">
        <v>2</v>
      </c>
      <c r="H639" s="21">
        <v>1213.3699999999999</v>
      </c>
      <c r="I639">
        <v>15</v>
      </c>
      <c r="J639" s="21">
        <v>364.01</v>
      </c>
      <c r="K639">
        <v>12</v>
      </c>
      <c r="L639" s="21">
        <v>247.53</v>
      </c>
      <c r="M639" s="21">
        <v>2310.2600000000002</v>
      </c>
      <c r="N639" s="21">
        <v>1656.88</v>
      </c>
      <c r="O639" s="21">
        <v>405.85</v>
      </c>
      <c r="P639" t="s">
        <v>121</v>
      </c>
      <c r="Q639" t="s">
        <v>122</v>
      </c>
      <c r="R639" t="s">
        <v>151</v>
      </c>
      <c r="S639" t="s">
        <v>2014</v>
      </c>
      <c r="T639" t="s">
        <v>161</v>
      </c>
      <c r="U639" t="s">
        <v>154</v>
      </c>
      <c r="V639" t="str">
        <f>IFERROR(INDEX(Products!$C:$C,MATCH(D639,Products!$A:$A,0)),"Unknown")</f>
        <v>Men Jeans</v>
      </c>
      <c r="W639" t="str">
        <f>IFERROR(INDEX(Products!$E:$E,MATCH(D639,Products!$A:$A,0)),"Unknown")</f>
        <v>Metro Shoes</v>
      </c>
      <c r="X639" t="str">
        <f>IFERROR(INDEX(Stores!$B:$B,MATCH(E639,Stores!$A:$A,0)),"Unknown")</f>
        <v>TrendMart Nizamabad Mall Kiosk</v>
      </c>
      <c r="Y639" t="str">
        <f>IFERROR(INDEX(Stores!$E:$E,MATCH(E639,Stores!$A:$A,0)),"Unknown")</f>
        <v>South Zone 2</v>
      </c>
      <c r="Z639" t="str">
        <f>IFERROR(INDEX(Customers!$J:$J,MATCH(C639,Customers!$A:$A,0)),"Unknown")</f>
        <v>Gold</v>
      </c>
      <c r="AA639" t="str">
        <f t="shared" si="9"/>
        <v>2024-08</v>
      </c>
      <c r="AB639" t="str">
        <f>IFERROR(INDEX(Products!$I:$I,MATCH(D639,Products!$A:$A,0)),"Unknown")</f>
        <v>SUP022</v>
      </c>
    </row>
    <row r="640" spans="1:28" x14ac:dyDescent="0.25">
      <c r="A640" t="s">
        <v>2015</v>
      </c>
      <c r="B640" s="20">
        <v>45632</v>
      </c>
      <c r="C640" t="s">
        <v>1711</v>
      </c>
      <c r="D640" t="s">
        <v>236</v>
      </c>
      <c r="E640" t="s">
        <v>823</v>
      </c>
      <c r="F640" t="s">
        <v>170</v>
      </c>
      <c r="G640">
        <v>2</v>
      </c>
      <c r="H640" s="21">
        <v>821.65</v>
      </c>
      <c r="I640">
        <v>30</v>
      </c>
      <c r="J640" s="21">
        <v>492.99</v>
      </c>
      <c r="K640">
        <v>5</v>
      </c>
      <c r="L640" s="21">
        <v>57.52</v>
      </c>
      <c r="M640" s="21">
        <v>1207.83</v>
      </c>
      <c r="N640" s="21">
        <v>1100.02</v>
      </c>
      <c r="O640" s="21">
        <v>50.29</v>
      </c>
      <c r="P640" t="s">
        <v>123</v>
      </c>
      <c r="Q640" t="s">
        <v>122</v>
      </c>
      <c r="R640" t="s">
        <v>151</v>
      </c>
      <c r="S640" t="s">
        <v>1353</v>
      </c>
      <c r="T640" t="s">
        <v>153</v>
      </c>
      <c r="U640" t="s">
        <v>154</v>
      </c>
      <c r="V640" t="str">
        <f>IFERROR(INDEX(Products!$C:$C,MATCH(D640,Products!$A:$A,0)),"Unknown")</f>
        <v>Women Tops</v>
      </c>
      <c r="W640" t="str">
        <f>IFERROR(INDEX(Products!$E:$E,MATCH(D640,Products!$A:$A,0)),"Unknown")</f>
        <v>Nike</v>
      </c>
      <c r="X640" t="str">
        <f>IFERROR(INDEX(Stores!$B:$B,MATCH(E640,Stores!$A:$A,0)),"Unknown")</f>
        <v>TrendMart Thoothukudi Mall Kiosk</v>
      </c>
      <c r="Y640" t="str">
        <f>IFERROR(INDEX(Stores!$E:$E,MATCH(E640,Stores!$A:$A,0)),"Unknown")</f>
        <v>South Zone 1</v>
      </c>
      <c r="Z640" t="str">
        <f>IFERROR(INDEX(Customers!$J:$J,MATCH(C640,Customers!$A:$A,0)),"Unknown")</f>
        <v>Regular</v>
      </c>
      <c r="AA640" t="str">
        <f t="shared" si="9"/>
        <v>2024-12</v>
      </c>
      <c r="AB640" t="str">
        <f>IFERROR(INDEX(Products!$I:$I,MATCH(D640,Products!$A:$A,0)),"Unknown")</f>
        <v>SUP075</v>
      </c>
    </row>
    <row r="641" spans="1:28" x14ac:dyDescent="0.25">
      <c r="A641" t="s">
        <v>2016</v>
      </c>
      <c r="B641" s="20">
        <v>45613</v>
      </c>
      <c r="C641" t="s">
        <v>1468</v>
      </c>
      <c r="D641" t="s">
        <v>187</v>
      </c>
      <c r="E641" t="s">
        <v>280</v>
      </c>
      <c r="F641" t="s">
        <v>618</v>
      </c>
      <c r="G641">
        <v>4</v>
      </c>
      <c r="H641" s="21">
        <v>1664.85</v>
      </c>
      <c r="I641">
        <v>30</v>
      </c>
      <c r="J641" s="21">
        <v>1997.82</v>
      </c>
      <c r="K641">
        <v>12</v>
      </c>
      <c r="L641" s="21">
        <v>559.39</v>
      </c>
      <c r="M641" s="21">
        <v>5220.97</v>
      </c>
      <c r="N641" s="21">
        <v>4594.6400000000003</v>
      </c>
      <c r="O641" s="21">
        <v>66.94</v>
      </c>
      <c r="P641" t="s">
        <v>125</v>
      </c>
      <c r="Q641" t="s">
        <v>120</v>
      </c>
      <c r="R641" t="s">
        <v>151</v>
      </c>
      <c r="S641" t="s">
        <v>2017</v>
      </c>
      <c r="T641" t="s">
        <v>161</v>
      </c>
      <c r="U641" t="s">
        <v>154</v>
      </c>
      <c r="V641" t="str">
        <f>IFERROR(INDEX(Products!$C:$C,MATCH(D641,Products!$A:$A,0)),"Unknown")</f>
        <v>Sportswear</v>
      </c>
      <c r="W641" t="str">
        <f>IFERROR(INDEX(Products!$E:$E,MATCH(D641,Products!$A:$A,0)),"Unknown")</f>
        <v>US Polo Assn</v>
      </c>
      <c r="X641" t="str">
        <f>IFERROR(INDEX(Stores!$B:$B,MATCH(E641,Stores!$A:$A,0)),"Unknown")</f>
        <v>TrendMart Chennai Standard</v>
      </c>
      <c r="Y641" t="str">
        <f>IFERROR(INDEX(Stores!$E:$E,MATCH(E641,Stores!$A:$A,0)),"Unknown")</f>
        <v>South Zone 1</v>
      </c>
      <c r="Z641" t="str">
        <f>IFERROR(INDEX(Customers!$J:$J,MATCH(C641,Customers!$A:$A,0)),"Unknown")</f>
        <v>Gold</v>
      </c>
      <c r="AA641" t="str">
        <f t="shared" si="9"/>
        <v>2024-11</v>
      </c>
      <c r="AB641" t="str">
        <f>IFERROR(INDEX(Products!$I:$I,MATCH(D641,Products!$A:$A,0)),"Unknown")</f>
        <v>SUP043</v>
      </c>
    </row>
    <row r="642" spans="1:28" x14ac:dyDescent="0.25">
      <c r="A642" t="s">
        <v>2018</v>
      </c>
      <c r="B642" s="20">
        <v>45417</v>
      </c>
      <c r="C642" t="s">
        <v>411</v>
      </c>
      <c r="D642" t="s">
        <v>2019</v>
      </c>
      <c r="E642" t="s">
        <v>914</v>
      </c>
      <c r="F642" t="s">
        <v>253</v>
      </c>
      <c r="G642">
        <v>1</v>
      </c>
      <c r="H642" s="21">
        <v>2317.7600000000002</v>
      </c>
      <c r="I642">
        <v>0</v>
      </c>
      <c r="J642" s="21">
        <v>0</v>
      </c>
      <c r="K642">
        <v>12</v>
      </c>
      <c r="L642" s="21">
        <v>278.13</v>
      </c>
      <c r="M642" s="21">
        <v>2595.89</v>
      </c>
      <c r="N642" s="21">
        <v>1504.79</v>
      </c>
      <c r="O642" s="21">
        <v>812.97</v>
      </c>
      <c r="P642" t="s">
        <v>121</v>
      </c>
      <c r="Q642" t="s">
        <v>122</v>
      </c>
      <c r="R642" t="s">
        <v>151</v>
      </c>
      <c r="S642" t="s">
        <v>722</v>
      </c>
      <c r="T642" t="s">
        <v>161</v>
      </c>
      <c r="U642" t="s">
        <v>154</v>
      </c>
      <c r="V642" t="str">
        <f>IFERROR(INDEX(Products!$C:$C,MATCH(D642,Products!$A:$A,0)),"Unknown")</f>
        <v>Footwear</v>
      </c>
      <c r="W642" t="str">
        <f>IFERROR(INDEX(Products!$E:$E,MATCH(D642,Products!$A:$A,0)),"Unknown")</f>
        <v>Bata</v>
      </c>
      <c r="X642" t="str">
        <f>IFERROR(INDEX(Stores!$B:$B,MATCH(E642,Stores!$A:$A,0)),"Unknown")</f>
        <v>TrendMart Thiruvananthapuram Outlet</v>
      </c>
      <c r="Y642" t="str">
        <f>IFERROR(INDEX(Stores!$E:$E,MATCH(E642,Stores!$A:$A,0)),"Unknown")</f>
        <v>South Zone 1</v>
      </c>
      <c r="Z642" t="str">
        <f>IFERROR(INDEX(Customers!$J:$J,MATCH(C642,Customers!$A:$A,0)),"Unknown")</f>
        <v>Gold</v>
      </c>
      <c r="AA642" t="str">
        <f t="shared" ref="AA642:AA705" si="10">TEXT(B642,"YYYY-MM")</f>
        <v>2024-05</v>
      </c>
      <c r="AB642" t="str">
        <f>IFERROR(INDEX(Products!$I:$I,MATCH(D642,Products!$A:$A,0)),"Unknown")</f>
        <v>SUP004</v>
      </c>
    </row>
    <row r="643" spans="1:28" x14ac:dyDescent="0.25">
      <c r="A643" t="s">
        <v>2020</v>
      </c>
      <c r="B643" s="20">
        <v>45438</v>
      </c>
      <c r="C643" t="s">
        <v>2021</v>
      </c>
      <c r="D643" t="s">
        <v>210</v>
      </c>
      <c r="E643" t="s">
        <v>206</v>
      </c>
      <c r="F643" t="s">
        <v>176</v>
      </c>
      <c r="G643">
        <v>3</v>
      </c>
      <c r="H643" s="21">
        <v>1922</v>
      </c>
      <c r="I643">
        <v>0</v>
      </c>
      <c r="J643" s="21">
        <v>0</v>
      </c>
      <c r="K643">
        <v>12</v>
      </c>
      <c r="L643" s="21">
        <v>691.92</v>
      </c>
      <c r="M643" s="21">
        <v>6457.92</v>
      </c>
      <c r="N643" s="21">
        <v>4199.55</v>
      </c>
      <c r="O643" s="21">
        <v>1566.45</v>
      </c>
      <c r="P643" t="s">
        <v>121</v>
      </c>
      <c r="Q643" t="s">
        <v>120</v>
      </c>
      <c r="R643" t="s">
        <v>151</v>
      </c>
      <c r="S643" t="s">
        <v>2022</v>
      </c>
      <c r="T643" t="s">
        <v>161</v>
      </c>
      <c r="U643" t="s">
        <v>154</v>
      </c>
      <c r="V643" t="str">
        <f>IFERROR(INDEX(Products!$C:$C,MATCH(D643,Products!$A:$A,0)),"Unknown")</f>
        <v>Women Dresses</v>
      </c>
      <c r="W643" t="str">
        <f>IFERROR(INDEX(Products!$E:$E,MATCH(D643,Products!$A:$A,0)),"Unknown")</f>
        <v>Nike</v>
      </c>
      <c r="X643" t="str">
        <f>IFERROR(INDEX(Stores!$B:$B,MATCH(E643,Stores!$A:$A,0)),"Unknown")</f>
        <v>TrendMart Nizamabad Outlet</v>
      </c>
      <c r="Y643" t="str">
        <f>IFERROR(INDEX(Stores!$E:$E,MATCH(E643,Stores!$A:$A,0)),"Unknown")</f>
        <v>South Zone 2</v>
      </c>
      <c r="Z643" t="str">
        <f>IFERROR(INDEX(Customers!$J:$J,MATCH(C643,Customers!$A:$A,0)),"Unknown")</f>
        <v>Gold</v>
      </c>
      <c r="AA643" t="str">
        <f t="shared" si="10"/>
        <v>2024-05</v>
      </c>
      <c r="AB643" t="str">
        <f>IFERROR(INDEX(Products!$I:$I,MATCH(D643,Products!$A:$A,0)),"Unknown")</f>
        <v>SUP073</v>
      </c>
    </row>
    <row r="644" spans="1:28" x14ac:dyDescent="0.25">
      <c r="A644" t="s">
        <v>2023</v>
      </c>
      <c r="B644" s="20">
        <v>45482</v>
      </c>
      <c r="C644" t="s">
        <v>572</v>
      </c>
      <c r="D644" t="s">
        <v>455</v>
      </c>
      <c r="E644" t="s">
        <v>1522</v>
      </c>
      <c r="F644" t="s">
        <v>242</v>
      </c>
      <c r="G644">
        <v>2</v>
      </c>
      <c r="H644" s="21">
        <v>4945.6099999999997</v>
      </c>
      <c r="I644">
        <v>10</v>
      </c>
      <c r="J644" s="21">
        <v>989.12</v>
      </c>
      <c r="K644">
        <v>12</v>
      </c>
      <c r="L644" s="21">
        <v>1068.25</v>
      </c>
      <c r="M644" s="21">
        <v>9970.35</v>
      </c>
      <c r="N644" s="21">
        <v>7497.42</v>
      </c>
      <c r="O644" s="21">
        <v>1404.68</v>
      </c>
      <c r="P644" t="s">
        <v>124</v>
      </c>
      <c r="Q644" t="s">
        <v>120</v>
      </c>
      <c r="R644" t="s">
        <v>151</v>
      </c>
      <c r="S644" t="s">
        <v>1109</v>
      </c>
      <c r="T644" t="s">
        <v>153</v>
      </c>
      <c r="U644" t="s">
        <v>154</v>
      </c>
      <c r="V644" t="str">
        <f>IFERROR(INDEX(Products!$C:$C,MATCH(D644,Products!$A:$A,0)),"Unknown")</f>
        <v>Watches</v>
      </c>
      <c r="W644" t="str">
        <f>IFERROR(INDEX(Products!$E:$E,MATCH(D644,Products!$A:$A,0)),"Unknown")</f>
        <v>Bata</v>
      </c>
      <c r="X644" t="str">
        <f>IFERROR(INDEX(Stores!$B:$B,MATCH(E644,Stores!$A:$A,0)),"Unknown")</f>
        <v>TrendMart Guntur High Street</v>
      </c>
      <c r="Y644" t="str">
        <f>IFERROR(INDEX(Stores!$E:$E,MATCH(E644,Stores!$A:$A,0)),"Unknown")</f>
        <v>South Zone 3</v>
      </c>
      <c r="Z644" t="str">
        <f>IFERROR(INDEX(Customers!$J:$J,MATCH(C644,Customers!$A:$A,0)),"Unknown")</f>
        <v>Regular</v>
      </c>
      <c r="AA644" t="str">
        <f t="shared" si="10"/>
        <v>2024-07</v>
      </c>
      <c r="AB644" t="str">
        <f>IFERROR(INDEX(Products!$I:$I,MATCH(D644,Products!$A:$A,0)),"Unknown")</f>
        <v>SUP051</v>
      </c>
    </row>
    <row r="645" spans="1:28" x14ac:dyDescent="0.25">
      <c r="A645" t="s">
        <v>2024</v>
      </c>
      <c r="B645" s="20">
        <v>45589</v>
      </c>
      <c r="C645" t="s">
        <v>260</v>
      </c>
      <c r="D645" t="s">
        <v>1140</v>
      </c>
      <c r="E645" t="s">
        <v>914</v>
      </c>
      <c r="F645" t="s">
        <v>165</v>
      </c>
      <c r="G645">
        <v>1</v>
      </c>
      <c r="H645" s="21">
        <v>1324.35</v>
      </c>
      <c r="I645">
        <v>25</v>
      </c>
      <c r="J645" s="21">
        <v>331.09</v>
      </c>
      <c r="K645">
        <v>12</v>
      </c>
      <c r="L645" s="21">
        <v>119.19</v>
      </c>
      <c r="M645" s="21">
        <v>1112.45</v>
      </c>
      <c r="N645" s="21">
        <v>894.68</v>
      </c>
      <c r="O645" s="21">
        <v>98.58</v>
      </c>
      <c r="P645" t="s">
        <v>125</v>
      </c>
      <c r="Q645" t="s">
        <v>120</v>
      </c>
      <c r="R645" t="s">
        <v>151</v>
      </c>
      <c r="S645" t="s">
        <v>2025</v>
      </c>
      <c r="T645" t="s">
        <v>153</v>
      </c>
      <c r="U645" t="s">
        <v>154</v>
      </c>
      <c r="V645" t="str">
        <f>IFERROR(INDEX(Products!$C:$C,MATCH(D645,Products!$A:$A,0)),"Unknown")</f>
        <v>Sportswear</v>
      </c>
      <c r="W645" t="str">
        <f>IFERROR(INDEX(Products!$E:$E,MATCH(D645,Products!$A:$A,0)),"Unknown")</f>
        <v>Bata</v>
      </c>
      <c r="X645" t="str">
        <f>IFERROR(INDEX(Stores!$B:$B,MATCH(E645,Stores!$A:$A,0)),"Unknown")</f>
        <v>TrendMart Thiruvananthapuram Outlet</v>
      </c>
      <c r="Y645" t="str">
        <f>IFERROR(INDEX(Stores!$E:$E,MATCH(E645,Stores!$A:$A,0)),"Unknown")</f>
        <v>South Zone 1</v>
      </c>
      <c r="Z645" t="str">
        <f>IFERROR(INDEX(Customers!$J:$J,MATCH(C645,Customers!$A:$A,0)),"Unknown")</f>
        <v>Silver</v>
      </c>
      <c r="AA645" t="str">
        <f t="shared" si="10"/>
        <v>2024-10</v>
      </c>
      <c r="AB645" t="str">
        <f>IFERROR(INDEX(Products!$I:$I,MATCH(D645,Products!$A:$A,0)),"Unknown")</f>
        <v>SUP065</v>
      </c>
    </row>
    <row r="646" spans="1:28" x14ac:dyDescent="0.25">
      <c r="A646" t="s">
        <v>2026</v>
      </c>
      <c r="B646" s="20">
        <v>45424</v>
      </c>
      <c r="C646" t="s">
        <v>1562</v>
      </c>
      <c r="D646" t="s">
        <v>460</v>
      </c>
      <c r="E646" t="s">
        <v>506</v>
      </c>
      <c r="F646" t="s">
        <v>308</v>
      </c>
      <c r="G646">
        <v>2</v>
      </c>
      <c r="H646" s="21">
        <v>1297.3</v>
      </c>
      <c r="I646">
        <v>0</v>
      </c>
      <c r="J646" s="21">
        <v>0</v>
      </c>
      <c r="K646">
        <v>12</v>
      </c>
      <c r="L646" s="21">
        <v>311.35000000000002</v>
      </c>
      <c r="M646" s="21">
        <v>2905.95</v>
      </c>
      <c r="N646" s="21">
        <v>1823.68</v>
      </c>
      <c r="O646" s="21">
        <v>770.92</v>
      </c>
      <c r="P646" t="s">
        <v>121</v>
      </c>
      <c r="Q646" t="s">
        <v>120</v>
      </c>
      <c r="R646" t="s">
        <v>151</v>
      </c>
      <c r="S646" t="s">
        <v>2027</v>
      </c>
      <c r="T646" t="s">
        <v>161</v>
      </c>
      <c r="U646" t="s">
        <v>154</v>
      </c>
      <c r="V646" t="str">
        <f>IFERROR(INDEX(Products!$C:$C,MATCH(D646,Products!$A:$A,0)),"Unknown")</f>
        <v>Men Trousers</v>
      </c>
      <c r="W646" t="str">
        <f>IFERROR(INDEX(Products!$E:$E,MATCH(D646,Products!$A:$A,0)),"Unknown")</f>
        <v>Louis Philippe</v>
      </c>
      <c r="X646" t="str">
        <f>IFERROR(INDEX(Stores!$B:$B,MATCH(E646,Stores!$A:$A,0)),"Unknown")</f>
        <v>TrendMart Nellore High Street</v>
      </c>
      <c r="Y646" t="str">
        <f>IFERROR(INDEX(Stores!$E:$E,MATCH(E646,Stores!$A:$A,0)),"Unknown")</f>
        <v>South Zone 3</v>
      </c>
      <c r="Z646" t="str">
        <f>IFERROR(INDEX(Customers!$J:$J,MATCH(C646,Customers!$A:$A,0)),"Unknown")</f>
        <v>Regular</v>
      </c>
      <c r="AA646" t="str">
        <f t="shared" si="10"/>
        <v>2024-05</v>
      </c>
      <c r="AB646" t="str">
        <f>IFERROR(INDEX(Products!$I:$I,MATCH(D646,Products!$A:$A,0)),"Unknown")</f>
        <v>SUP034</v>
      </c>
    </row>
    <row r="647" spans="1:28" x14ac:dyDescent="0.25">
      <c r="A647" t="s">
        <v>2028</v>
      </c>
      <c r="B647" s="20">
        <v>45493</v>
      </c>
      <c r="C647" t="s">
        <v>2029</v>
      </c>
      <c r="D647" t="s">
        <v>1197</v>
      </c>
      <c r="E647" t="s">
        <v>745</v>
      </c>
      <c r="F647" t="s">
        <v>408</v>
      </c>
      <c r="G647">
        <v>2</v>
      </c>
      <c r="H647" s="21">
        <v>1244.07</v>
      </c>
      <c r="I647">
        <v>30</v>
      </c>
      <c r="J647" s="21">
        <v>746.44</v>
      </c>
      <c r="K647">
        <v>12</v>
      </c>
      <c r="L647" s="21">
        <v>209</v>
      </c>
      <c r="M647" s="21">
        <v>1950.7</v>
      </c>
      <c r="N647" s="21">
        <v>1657.04</v>
      </c>
      <c r="O647" s="21">
        <v>84.66</v>
      </c>
      <c r="P647" t="s">
        <v>123</v>
      </c>
      <c r="Q647" t="s">
        <v>122</v>
      </c>
      <c r="R647" t="s">
        <v>151</v>
      </c>
      <c r="S647" t="s">
        <v>1353</v>
      </c>
      <c r="T647" t="s">
        <v>161</v>
      </c>
      <c r="U647" t="s">
        <v>154</v>
      </c>
      <c r="V647" t="str">
        <f>IFERROR(INDEX(Products!$C:$C,MATCH(D647,Products!$A:$A,0)),"Unknown")</f>
        <v>Women Jeans</v>
      </c>
      <c r="W647" t="str">
        <f>IFERROR(INDEX(Products!$E:$E,MATCH(D647,Products!$A:$A,0)),"Unknown")</f>
        <v>Van Heusen</v>
      </c>
      <c r="X647" t="str">
        <f>IFERROR(INDEX(Stores!$B:$B,MATCH(E647,Stores!$A:$A,0)),"Unknown")</f>
        <v>TrendMart Thiruvananthapuram Outlet</v>
      </c>
      <c r="Y647" t="str">
        <f>IFERROR(INDEX(Stores!$E:$E,MATCH(E647,Stores!$A:$A,0)),"Unknown")</f>
        <v>South Zone 1</v>
      </c>
      <c r="Z647" t="str">
        <f>IFERROR(INDEX(Customers!$J:$J,MATCH(C647,Customers!$A:$A,0)),"Unknown")</f>
        <v>Regular</v>
      </c>
      <c r="AA647" t="str">
        <f t="shared" si="10"/>
        <v>2024-07</v>
      </c>
      <c r="AB647" t="str">
        <f>IFERROR(INDEX(Products!$I:$I,MATCH(D647,Products!$A:$A,0)),"Unknown")</f>
        <v>SUP021</v>
      </c>
    </row>
    <row r="648" spans="1:28" x14ac:dyDescent="0.25">
      <c r="A648" t="s">
        <v>2030</v>
      </c>
      <c r="B648" s="20">
        <v>45612</v>
      </c>
      <c r="C648" t="s">
        <v>2031</v>
      </c>
      <c r="D648" t="s">
        <v>756</v>
      </c>
      <c r="E648" t="s">
        <v>226</v>
      </c>
      <c r="F648" t="s">
        <v>159</v>
      </c>
      <c r="G648">
        <v>0</v>
      </c>
      <c r="H648" s="21">
        <v>838.13</v>
      </c>
      <c r="I648">
        <v>20</v>
      </c>
      <c r="J648" s="21">
        <v>0</v>
      </c>
      <c r="K648">
        <v>5</v>
      </c>
      <c r="L648" s="21">
        <v>0</v>
      </c>
      <c r="M648" s="21">
        <v>0</v>
      </c>
      <c r="N648" s="21">
        <v>0</v>
      </c>
      <c r="O648" s="21">
        <v>0</v>
      </c>
      <c r="P648" t="s">
        <v>121</v>
      </c>
      <c r="Q648" t="s">
        <v>120</v>
      </c>
      <c r="R648" t="s">
        <v>482</v>
      </c>
      <c r="S648" t="s">
        <v>2032</v>
      </c>
      <c r="T648" t="s">
        <v>161</v>
      </c>
      <c r="U648" t="s">
        <v>154</v>
      </c>
      <c r="V648" t="str">
        <f>IFERROR(INDEX(Products!$C:$C,MATCH(D648,Products!$A:$A,0)),"Unknown")</f>
        <v>Women Tops</v>
      </c>
      <c r="W648" t="str">
        <f>IFERROR(INDEX(Products!$E:$E,MATCH(D648,Products!$A:$A,0)),"Unknown")</f>
        <v>Peter England</v>
      </c>
      <c r="X648" t="str">
        <f>IFERROR(INDEX(Stores!$B:$B,MATCH(E648,Stores!$A:$A,0)),"Unknown")</f>
        <v>TrendMart Kurnool Standard</v>
      </c>
      <c r="Y648" t="str">
        <f>IFERROR(INDEX(Stores!$E:$E,MATCH(E648,Stores!$A:$A,0)),"Unknown")</f>
        <v>South Zone 3</v>
      </c>
      <c r="Z648" t="str">
        <f>IFERROR(INDEX(Customers!$J:$J,MATCH(C648,Customers!$A:$A,0)),"Unknown")</f>
        <v>Regular</v>
      </c>
      <c r="AA648" t="str">
        <f t="shared" si="10"/>
        <v>2024-11</v>
      </c>
      <c r="AB648" t="str">
        <f>IFERROR(INDEX(Products!$I:$I,MATCH(D648,Products!$A:$A,0)),"Unknown")</f>
        <v>SUP018</v>
      </c>
    </row>
    <row r="649" spans="1:28" x14ac:dyDescent="0.25">
      <c r="A649" t="s">
        <v>2033</v>
      </c>
      <c r="B649" s="20">
        <v>45694</v>
      </c>
      <c r="C649" t="s">
        <v>2034</v>
      </c>
      <c r="D649" t="s">
        <v>1071</v>
      </c>
      <c r="E649" t="s">
        <v>1426</v>
      </c>
      <c r="F649" t="s">
        <v>189</v>
      </c>
      <c r="G649">
        <v>4</v>
      </c>
      <c r="H649" s="21">
        <v>2071.25</v>
      </c>
      <c r="I649">
        <v>25</v>
      </c>
      <c r="J649" s="21">
        <v>2071.25</v>
      </c>
      <c r="K649">
        <v>12</v>
      </c>
      <c r="L649" s="21">
        <v>745.65</v>
      </c>
      <c r="M649" s="21">
        <v>6959.4</v>
      </c>
      <c r="N649" s="21">
        <v>6168.92</v>
      </c>
      <c r="O649" s="21">
        <v>44.83</v>
      </c>
      <c r="P649" t="s">
        <v>123</v>
      </c>
      <c r="Q649" t="s">
        <v>120</v>
      </c>
      <c r="R649" t="s">
        <v>151</v>
      </c>
      <c r="S649" t="s">
        <v>1662</v>
      </c>
      <c r="T649" t="s">
        <v>153</v>
      </c>
      <c r="U649" t="s">
        <v>154</v>
      </c>
      <c r="V649" t="str">
        <f>IFERROR(INDEX(Products!$C:$C,MATCH(D649,Products!$A:$A,0)),"Unknown")</f>
        <v>Footwear</v>
      </c>
      <c r="W649" t="str">
        <f>IFERROR(INDEX(Products!$E:$E,MATCH(D649,Products!$A:$A,0)),"Unknown")</f>
        <v>Max Fashion</v>
      </c>
      <c r="X649" t="str">
        <f>IFERROR(INDEX(Stores!$B:$B,MATCH(E649,Stores!$A:$A,0)),"Unknown")</f>
        <v>TrendMart Alappuzha Mall Kiosk</v>
      </c>
      <c r="Y649" t="str">
        <f>IFERROR(INDEX(Stores!$E:$E,MATCH(E649,Stores!$A:$A,0)),"Unknown")</f>
        <v>South Zone 1</v>
      </c>
      <c r="Z649" t="str">
        <f>IFERROR(INDEX(Customers!$J:$J,MATCH(C649,Customers!$A:$A,0)),"Unknown")</f>
        <v>Gold</v>
      </c>
      <c r="AA649" t="str">
        <f t="shared" si="10"/>
        <v>2025-02</v>
      </c>
      <c r="AB649" t="str">
        <f>IFERROR(INDEX(Products!$I:$I,MATCH(D649,Products!$A:$A,0)),"Unknown")</f>
        <v>SUP039</v>
      </c>
    </row>
    <row r="650" spans="1:28" x14ac:dyDescent="0.25">
      <c r="A650" t="s">
        <v>2035</v>
      </c>
      <c r="B650" s="20">
        <v>45603</v>
      </c>
      <c r="C650" t="s">
        <v>2036</v>
      </c>
      <c r="D650" t="s">
        <v>2037</v>
      </c>
      <c r="E650" t="s">
        <v>456</v>
      </c>
      <c r="F650" t="s">
        <v>211</v>
      </c>
      <c r="G650">
        <v>1</v>
      </c>
      <c r="H650" s="21">
        <v>1932.17</v>
      </c>
      <c r="I650">
        <v>5</v>
      </c>
      <c r="J650" s="21">
        <v>96.61</v>
      </c>
      <c r="K650">
        <v>12</v>
      </c>
      <c r="L650" s="21">
        <v>220.27</v>
      </c>
      <c r="M650" s="21">
        <v>2055.83</v>
      </c>
      <c r="N650" s="21">
        <v>1205.1400000000001</v>
      </c>
      <c r="O650" s="21">
        <v>630.41999999999996</v>
      </c>
      <c r="P650" t="s">
        <v>124</v>
      </c>
      <c r="Q650" t="s">
        <v>120</v>
      </c>
      <c r="R650" t="s">
        <v>151</v>
      </c>
      <c r="S650" t="s">
        <v>889</v>
      </c>
      <c r="T650" t="s">
        <v>153</v>
      </c>
      <c r="U650" t="s">
        <v>154</v>
      </c>
      <c r="V650" t="str">
        <f>IFERROR(INDEX(Products!$C:$C,MATCH(D650,Products!$A:$A,0)),"Unknown")</f>
        <v>Men Ethnic</v>
      </c>
      <c r="W650" t="str">
        <f>IFERROR(INDEX(Products!$E:$E,MATCH(D650,Products!$A:$A,0)),"Unknown")</f>
        <v>Skechers</v>
      </c>
      <c r="X650" t="str">
        <f>IFERROR(INDEX(Stores!$B:$B,MATCH(E650,Stores!$A:$A,0)),"Unknown")</f>
        <v>TrendMart Salem Outlet</v>
      </c>
      <c r="Y650" t="str">
        <f>IFERROR(INDEX(Stores!$E:$E,MATCH(E650,Stores!$A:$A,0)),"Unknown")</f>
        <v>South Zone 1</v>
      </c>
      <c r="Z650" t="str">
        <f>IFERROR(INDEX(Customers!$J:$J,MATCH(C650,Customers!$A:$A,0)),"Unknown")</f>
        <v>Silver</v>
      </c>
      <c r="AA650" t="str">
        <f t="shared" si="10"/>
        <v>2024-11</v>
      </c>
      <c r="AB650" t="str">
        <f>IFERROR(INDEX(Products!$I:$I,MATCH(D650,Products!$A:$A,0)),"Unknown")</f>
        <v>SUP083</v>
      </c>
    </row>
    <row r="651" spans="1:28" x14ac:dyDescent="0.25">
      <c r="A651" t="s">
        <v>2038</v>
      </c>
      <c r="B651" s="20">
        <v>45564</v>
      </c>
      <c r="C651" t="s">
        <v>963</v>
      </c>
      <c r="D651" t="s">
        <v>2039</v>
      </c>
      <c r="E651" t="s">
        <v>451</v>
      </c>
      <c r="F651" t="s">
        <v>253</v>
      </c>
      <c r="G651">
        <v>1</v>
      </c>
      <c r="H651" s="21">
        <v>3177.59</v>
      </c>
      <c r="I651">
        <v>10</v>
      </c>
      <c r="J651" s="21">
        <v>317.76</v>
      </c>
      <c r="K651">
        <v>12</v>
      </c>
      <c r="L651" s="21">
        <v>343.18</v>
      </c>
      <c r="M651" s="21">
        <v>3203.01</v>
      </c>
      <c r="N651" s="21">
        <v>2078.92</v>
      </c>
      <c r="O651" s="21">
        <v>780.91</v>
      </c>
      <c r="P651" t="s">
        <v>126</v>
      </c>
      <c r="Q651" t="s">
        <v>120</v>
      </c>
      <c r="R651" t="s">
        <v>151</v>
      </c>
      <c r="S651" t="s">
        <v>1165</v>
      </c>
      <c r="T651" t="s">
        <v>161</v>
      </c>
      <c r="U651" t="s">
        <v>154</v>
      </c>
      <c r="V651" t="str">
        <f>IFERROR(INDEX(Products!$C:$C,MATCH(D651,Products!$A:$A,0)),"Unknown")</f>
        <v>Women Sarees</v>
      </c>
      <c r="W651" t="str">
        <f>IFERROR(INDEX(Products!$E:$E,MATCH(D651,Products!$A:$A,0)),"Unknown")</f>
        <v>Arrow</v>
      </c>
      <c r="X651" t="str">
        <f>IFERROR(INDEX(Stores!$B:$B,MATCH(E651,Stores!$A:$A,0)),"Unknown")</f>
        <v>TrendMart Thoothukudi High Street</v>
      </c>
      <c r="Y651" t="str">
        <f>IFERROR(INDEX(Stores!$E:$E,MATCH(E651,Stores!$A:$A,0)),"Unknown")</f>
        <v>South Zone 1</v>
      </c>
      <c r="Z651" t="str">
        <f>IFERROR(INDEX(Customers!$J:$J,MATCH(C651,Customers!$A:$A,0)),"Unknown")</f>
        <v>Silver</v>
      </c>
      <c r="AA651" t="str">
        <f t="shared" si="10"/>
        <v>2024-09</v>
      </c>
      <c r="AB651" t="str">
        <f>IFERROR(INDEX(Products!$I:$I,MATCH(D651,Products!$A:$A,0)),"Unknown")</f>
        <v>SUP087</v>
      </c>
    </row>
    <row r="652" spans="1:28" x14ac:dyDescent="0.25">
      <c r="A652" t="s">
        <v>2040</v>
      </c>
      <c r="B652" s="20">
        <v>45624</v>
      </c>
      <c r="C652" t="s">
        <v>2041</v>
      </c>
      <c r="D652" t="s">
        <v>748</v>
      </c>
      <c r="E652" t="s">
        <v>451</v>
      </c>
      <c r="F652" t="s">
        <v>532</v>
      </c>
      <c r="G652">
        <v>1</v>
      </c>
      <c r="H652" s="21">
        <v>1144.06</v>
      </c>
      <c r="I652">
        <v>30</v>
      </c>
      <c r="J652" s="21">
        <v>343.22</v>
      </c>
      <c r="K652">
        <v>12</v>
      </c>
      <c r="L652" s="21">
        <v>96.1</v>
      </c>
      <c r="M652" s="21">
        <v>896.94</v>
      </c>
      <c r="N652" s="21">
        <v>841.85</v>
      </c>
      <c r="O652" s="21">
        <v>-41.01</v>
      </c>
      <c r="P652" t="s">
        <v>123</v>
      </c>
      <c r="Q652" t="s">
        <v>120</v>
      </c>
      <c r="R652" t="s">
        <v>151</v>
      </c>
      <c r="S652" t="s">
        <v>737</v>
      </c>
      <c r="T652" t="s">
        <v>153</v>
      </c>
      <c r="U652" t="s">
        <v>184</v>
      </c>
      <c r="V652" t="str">
        <f>IFERROR(INDEX(Products!$C:$C,MATCH(D652,Products!$A:$A,0)),"Unknown")</f>
        <v>Women Dresses</v>
      </c>
      <c r="W652" t="str">
        <f>IFERROR(INDEX(Products!$E:$E,MATCH(D652,Products!$A:$A,0)),"Unknown")</f>
        <v>Kalyan Silks</v>
      </c>
      <c r="X652" t="str">
        <f>IFERROR(INDEX(Stores!$B:$B,MATCH(E652,Stores!$A:$A,0)),"Unknown")</f>
        <v>TrendMart Thoothukudi High Street</v>
      </c>
      <c r="Y652" t="str">
        <f>IFERROR(INDEX(Stores!$E:$E,MATCH(E652,Stores!$A:$A,0)),"Unknown")</f>
        <v>South Zone 1</v>
      </c>
      <c r="Z652" t="str">
        <f>IFERROR(INDEX(Customers!$J:$J,MATCH(C652,Customers!$A:$A,0)),"Unknown")</f>
        <v>Regular</v>
      </c>
      <c r="AA652" t="str">
        <f t="shared" si="10"/>
        <v>2024-11</v>
      </c>
      <c r="AB652" t="str">
        <f>IFERROR(INDEX(Products!$I:$I,MATCH(D652,Products!$A:$A,0)),"Unknown")</f>
        <v>SUP036</v>
      </c>
    </row>
    <row r="653" spans="1:28" x14ac:dyDescent="0.25">
      <c r="A653" t="s">
        <v>2042</v>
      </c>
      <c r="B653" s="20">
        <v>45604</v>
      </c>
      <c r="C653" t="s">
        <v>2043</v>
      </c>
      <c r="D653" t="s">
        <v>273</v>
      </c>
      <c r="E653" t="s">
        <v>927</v>
      </c>
      <c r="F653" t="s">
        <v>335</v>
      </c>
      <c r="G653">
        <v>4</v>
      </c>
      <c r="H653" s="21">
        <v>1279.71</v>
      </c>
      <c r="I653">
        <v>30</v>
      </c>
      <c r="J653" s="21">
        <v>1535.65</v>
      </c>
      <c r="K653">
        <v>12</v>
      </c>
      <c r="L653" s="21">
        <v>429.98</v>
      </c>
      <c r="M653" s="21">
        <v>4013.17</v>
      </c>
      <c r="N653" s="21">
        <v>3507.68</v>
      </c>
      <c r="O653" s="21">
        <v>75.510000000000005</v>
      </c>
      <c r="P653" t="s">
        <v>121</v>
      </c>
      <c r="Q653" t="s">
        <v>120</v>
      </c>
      <c r="R653" t="s">
        <v>151</v>
      </c>
      <c r="S653" t="s">
        <v>842</v>
      </c>
      <c r="T653" t="s">
        <v>153</v>
      </c>
      <c r="U653" t="s">
        <v>154</v>
      </c>
      <c r="V653" t="str">
        <f>IFERROR(INDEX(Products!$C:$C,MATCH(D653,Products!$A:$A,0)),"Unknown")</f>
        <v>Women Kurtis</v>
      </c>
      <c r="W653" t="str">
        <f>IFERROR(INDEX(Products!$E:$E,MATCH(D653,Products!$A:$A,0)),"Unknown")</f>
        <v>Indian Terrain</v>
      </c>
      <c r="X653" t="str">
        <f>IFERROR(INDEX(Stores!$B:$B,MATCH(E653,Stores!$A:$A,0)),"Unknown")</f>
        <v>TrendMart Kochi Mall Kiosk</v>
      </c>
      <c r="Y653" t="str">
        <f>IFERROR(INDEX(Stores!$E:$E,MATCH(E653,Stores!$A:$A,0)),"Unknown")</f>
        <v>South Zone 1</v>
      </c>
      <c r="Z653" t="str">
        <f>IFERROR(INDEX(Customers!$J:$J,MATCH(C653,Customers!$A:$A,0)),"Unknown")</f>
        <v>Regular</v>
      </c>
      <c r="AA653" t="str">
        <f t="shared" si="10"/>
        <v>2024-11</v>
      </c>
      <c r="AB653" t="str">
        <f>IFERROR(INDEX(Products!$I:$I,MATCH(D653,Products!$A:$A,0)),"Unknown")</f>
        <v>SUP006</v>
      </c>
    </row>
    <row r="654" spans="1:28" x14ac:dyDescent="0.25">
      <c r="A654" t="s">
        <v>2044</v>
      </c>
      <c r="B654" s="20">
        <v>45420</v>
      </c>
      <c r="C654" t="s">
        <v>2045</v>
      </c>
      <c r="D654" t="s">
        <v>307</v>
      </c>
      <c r="E654" t="s">
        <v>360</v>
      </c>
      <c r="F654" t="s">
        <v>263</v>
      </c>
      <c r="G654">
        <v>2</v>
      </c>
      <c r="H654" s="21">
        <v>1122.24</v>
      </c>
      <c r="I654">
        <v>25</v>
      </c>
      <c r="J654" s="21">
        <v>561.12</v>
      </c>
      <c r="K654">
        <v>12</v>
      </c>
      <c r="L654" s="21">
        <v>202</v>
      </c>
      <c r="M654" s="21">
        <v>1885.36</v>
      </c>
      <c r="N654" s="21">
        <v>1510.12</v>
      </c>
      <c r="O654" s="21">
        <v>173.24</v>
      </c>
      <c r="P654" t="s">
        <v>123</v>
      </c>
      <c r="Q654" t="s">
        <v>120</v>
      </c>
      <c r="R654" t="s">
        <v>151</v>
      </c>
      <c r="S654" t="s">
        <v>2046</v>
      </c>
      <c r="T654" t="s">
        <v>153</v>
      </c>
      <c r="U654" t="s">
        <v>154</v>
      </c>
      <c r="V654" t="str">
        <f>IFERROR(INDEX(Products!$C:$C,MATCH(D654,Products!$A:$A,0)),"Unknown")</f>
        <v>Winter Wear</v>
      </c>
      <c r="W654" t="str">
        <f>IFERROR(INDEX(Products!$E:$E,MATCH(D654,Products!$A:$A,0)),"Unknown")</f>
        <v>Fastrack</v>
      </c>
      <c r="X654" t="str">
        <f>IFERROR(INDEX(Stores!$B:$B,MATCH(E654,Stores!$A:$A,0)),"Unknown")</f>
        <v>TrendMart Kochi Standard</v>
      </c>
      <c r="Y654" t="str">
        <f>IFERROR(INDEX(Stores!$E:$E,MATCH(E654,Stores!$A:$A,0)),"Unknown")</f>
        <v>South Zone 1</v>
      </c>
      <c r="Z654" t="str">
        <f>IFERROR(INDEX(Customers!$J:$J,MATCH(C654,Customers!$A:$A,0)),"Unknown")</f>
        <v>Regular</v>
      </c>
      <c r="AA654" t="str">
        <f t="shared" si="10"/>
        <v>2024-05</v>
      </c>
      <c r="AB654" t="str">
        <f>IFERROR(INDEX(Products!$I:$I,MATCH(D654,Products!$A:$A,0)),"Unknown")</f>
        <v>SUP008</v>
      </c>
    </row>
    <row r="655" spans="1:28" x14ac:dyDescent="0.25">
      <c r="A655" t="s">
        <v>2047</v>
      </c>
      <c r="B655" s="20">
        <v>45577</v>
      </c>
      <c r="C655" t="s">
        <v>278</v>
      </c>
      <c r="D655" t="s">
        <v>756</v>
      </c>
      <c r="E655" t="s">
        <v>999</v>
      </c>
      <c r="F655" t="s">
        <v>292</v>
      </c>
      <c r="G655">
        <v>1</v>
      </c>
      <c r="H655" s="21">
        <v>789.82</v>
      </c>
      <c r="I655">
        <v>30</v>
      </c>
      <c r="J655" s="21">
        <v>236.95</v>
      </c>
      <c r="K655">
        <v>5</v>
      </c>
      <c r="L655" s="21">
        <v>27.64</v>
      </c>
      <c r="M655" s="21">
        <v>580.51</v>
      </c>
      <c r="N655" s="21">
        <v>522.38</v>
      </c>
      <c r="O655" s="21">
        <v>30.49</v>
      </c>
      <c r="P655" t="s">
        <v>121</v>
      </c>
      <c r="Q655" t="s">
        <v>122</v>
      </c>
      <c r="R655" t="s">
        <v>151</v>
      </c>
      <c r="S655" t="s">
        <v>2048</v>
      </c>
      <c r="T655" t="s">
        <v>161</v>
      </c>
      <c r="U655" t="s">
        <v>154</v>
      </c>
      <c r="V655" t="str">
        <f>IFERROR(INDEX(Products!$C:$C,MATCH(D655,Products!$A:$A,0)),"Unknown")</f>
        <v>Women Tops</v>
      </c>
      <c r="W655" t="str">
        <f>IFERROR(INDEX(Products!$E:$E,MATCH(D655,Products!$A:$A,0)),"Unknown")</f>
        <v>Peter England</v>
      </c>
      <c r="X655" t="str">
        <f>IFERROR(INDEX(Stores!$B:$B,MATCH(E655,Stores!$A:$A,0)),"Unknown")</f>
        <v>TrendMart Tumakuru Standard</v>
      </c>
      <c r="Y655" t="str">
        <f>IFERROR(INDEX(Stores!$E:$E,MATCH(E655,Stores!$A:$A,0)),"Unknown")</f>
        <v>South Zone 2</v>
      </c>
      <c r="Z655" t="str">
        <f>IFERROR(INDEX(Customers!$J:$J,MATCH(C655,Customers!$A:$A,0)),"Unknown")</f>
        <v>Regular</v>
      </c>
      <c r="AA655" t="str">
        <f t="shared" si="10"/>
        <v>2024-10</v>
      </c>
      <c r="AB655" t="str">
        <f>IFERROR(INDEX(Products!$I:$I,MATCH(D655,Products!$A:$A,0)),"Unknown")</f>
        <v>SUP018</v>
      </c>
    </row>
    <row r="656" spans="1:28" x14ac:dyDescent="0.25">
      <c r="A656" t="s">
        <v>2049</v>
      </c>
      <c r="B656" s="20">
        <v>45551</v>
      </c>
      <c r="C656" t="s">
        <v>2050</v>
      </c>
      <c r="D656" t="s">
        <v>2051</v>
      </c>
      <c r="E656" t="s">
        <v>95</v>
      </c>
      <c r="F656" t="s">
        <v>263</v>
      </c>
      <c r="G656">
        <v>3</v>
      </c>
      <c r="H656" s="21">
        <v>2570.27</v>
      </c>
      <c r="I656">
        <v>0</v>
      </c>
      <c r="J656" s="21">
        <v>0</v>
      </c>
      <c r="K656">
        <v>12</v>
      </c>
      <c r="L656" s="21">
        <v>925.3</v>
      </c>
      <c r="M656" s="21">
        <v>8636.11</v>
      </c>
      <c r="N656" s="21">
        <v>5875.17</v>
      </c>
      <c r="O656" s="21">
        <v>1835.64</v>
      </c>
      <c r="P656" t="s">
        <v>123</v>
      </c>
      <c r="Q656" t="s">
        <v>122</v>
      </c>
      <c r="R656" t="s">
        <v>151</v>
      </c>
      <c r="S656" t="s">
        <v>988</v>
      </c>
      <c r="T656" t="s">
        <v>153</v>
      </c>
      <c r="U656" t="s">
        <v>154</v>
      </c>
      <c r="V656" t="str">
        <f>IFERROR(INDEX(Products!$C:$C,MATCH(D656,Products!$A:$A,0)),"Unknown")</f>
        <v>Men Ethnic</v>
      </c>
      <c r="W656" t="str">
        <f>IFERROR(INDEX(Products!$E:$E,MATCH(D656,Products!$A:$A,0)),"Unknown")</f>
        <v>Nike</v>
      </c>
      <c r="X656" t="str">
        <f>IFERROR(INDEX(Stores!$B:$B,MATCH(E656,Stores!$A:$A,0)),"Unknown")</f>
        <v>TrendMart Thrissur Standard</v>
      </c>
      <c r="Y656" t="str">
        <f>IFERROR(INDEX(Stores!$E:$E,MATCH(E656,Stores!$A:$A,0)),"Unknown")</f>
        <v>South Zone 1</v>
      </c>
      <c r="Z656" t="str">
        <f>IFERROR(INDEX(Customers!$J:$J,MATCH(C656,Customers!$A:$A,0)),"Unknown")</f>
        <v>Gold</v>
      </c>
      <c r="AA656" t="str">
        <f t="shared" si="10"/>
        <v>2024-09</v>
      </c>
      <c r="AB656" t="str">
        <f>IFERROR(INDEX(Products!$I:$I,MATCH(D656,Products!$A:$A,0)),"Unknown")</f>
        <v>SUP002</v>
      </c>
    </row>
    <row r="657" spans="1:28" x14ac:dyDescent="0.25">
      <c r="A657" t="s">
        <v>2052</v>
      </c>
      <c r="B657" s="20">
        <v>45726</v>
      </c>
      <c r="C657" t="s">
        <v>2053</v>
      </c>
      <c r="D657" t="s">
        <v>1328</v>
      </c>
      <c r="E657" t="s">
        <v>429</v>
      </c>
      <c r="F657" t="s">
        <v>618</v>
      </c>
      <c r="G657">
        <v>2</v>
      </c>
      <c r="H657" s="21">
        <v>1612.72</v>
      </c>
      <c r="I657">
        <v>0</v>
      </c>
      <c r="J657" s="21">
        <v>0</v>
      </c>
      <c r="K657">
        <v>12</v>
      </c>
      <c r="L657" s="21">
        <v>387.05</v>
      </c>
      <c r="M657" s="21">
        <v>3612.49</v>
      </c>
      <c r="N657" s="21">
        <v>2184.86</v>
      </c>
      <c r="O657" s="21">
        <v>1040.58</v>
      </c>
      <c r="P657" t="s">
        <v>121</v>
      </c>
      <c r="Q657" t="s">
        <v>122</v>
      </c>
      <c r="R657" t="s">
        <v>151</v>
      </c>
      <c r="S657" t="s">
        <v>2054</v>
      </c>
      <c r="T657" t="s">
        <v>153</v>
      </c>
      <c r="U657" t="s">
        <v>154</v>
      </c>
      <c r="V657" t="str">
        <f>IFERROR(INDEX(Products!$C:$C,MATCH(D657,Products!$A:$A,0)),"Unknown")</f>
        <v>Winter Wear</v>
      </c>
      <c r="W657" t="str">
        <f>IFERROR(INDEX(Products!$E:$E,MATCH(D657,Products!$A:$A,0)),"Unknown")</f>
        <v>Fastrack</v>
      </c>
      <c r="X657" t="str">
        <f>IFERROR(INDEX(Stores!$B:$B,MATCH(E657,Stores!$A:$A,0)),"Unknown")</f>
        <v>TrendMart Tirunelveli Flagship</v>
      </c>
      <c r="Y657" t="str">
        <f>IFERROR(INDEX(Stores!$E:$E,MATCH(E657,Stores!$A:$A,0)),"Unknown")</f>
        <v>South Zone 1</v>
      </c>
      <c r="Z657" t="str">
        <f>IFERROR(INDEX(Customers!$J:$J,MATCH(C657,Customers!$A:$A,0)),"Unknown")</f>
        <v>Silver</v>
      </c>
      <c r="AA657" t="str">
        <f t="shared" si="10"/>
        <v>2025-03</v>
      </c>
      <c r="AB657" t="str">
        <f>IFERROR(INDEX(Products!$I:$I,MATCH(D657,Products!$A:$A,0)),"Unknown")</f>
        <v>SUP033</v>
      </c>
    </row>
    <row r="658" spans="1:28" x14ac:dyDescent="0.25">
      <c r="A658" t="s">
        <v>2055</v>
      </c>
      <c r="B658" s="20">
        <v>45741</v>
      </c>
      <c r="C658" t="s">
        <v>501</v>
      </c>
      <c r="D658" t="s">
        <v>312</v>
      </c>
      <c r="E658" t="s">
        <v>363</v>
      </c>
      <c r="F658" t="s">
        <v>150</v>
      </c>
      <c r="G658">
        <v>2</v>
      </c>
      <c r="H658" s="21">
        <v>1283.24</v>
      </c>
      <c r="I658">
        <v>0</v>
      </c>
      <c r="J658" s="21">
        <v>0</v>
      </c>
      <c r="K658">
        <v>12</v>
      </c>
      <c r="L658" s="21">
        <v>307.98</v>
      </c>
      <c r="M658" s="21">
        <v>2874.46</v>
      </c>
      <c r="N658" s="21">
        <v>1731.84</v>
      </c>
      <c r="O658" s="21">
        <v>834.64</v>
      </c>
      <c r="P658" t="s">
        <v>124</v>
      </c>
      <c r="Q658" t="s">
        <v>122</v>
      </c>
      <c r="R658" t="s">
        <v>151</v>
      </c>
      <c r="S658" t="s">
        <v>309</v>
      </c>
      <c r="T658" t="s">
        <v>153</v>
      </c>
      <c r="U658" t="s">
        <v>154</v>
      </c>
      <c r="V658" t="str">
        <f>IFERROR(INDEX(Products!$C:$C,MATCH(D658,Products!$A:$A,0)),"Unknown")</f>
        <v>Handbags</v>
      </c>
      <c r="W658" t="str">
        <f>IFERROR(INDEX(Products!$E:$E,MATCH(D658,Products!$A:$A,0)),"Unknown")</f>
        <v>Wrangler</v>
      </c>
      <c r="X658" t="str">
        <f>IFERROR(INDEX(Stores!$B:$B,MATCH(E658,Stores!$A:$A,0)),"Unknown")</f>
        <v>TrendMart Thiruvananthapuram High Street</v>
      </c>
      <c r="Y658" t="str">
        <f>IFERROR(INDEX(Stores!$E:$E,MATCH(E658,Stores!$A:$A,0)),"Unknown")</f>
        <v>South Zone 1</v>
      </c>
      <c r="Z658" t="str">
        <f>IFERROR(INDEX(Customers!$J:$J,MATCH(C658,Customers!$A:$A,0)),"Unknown")</f>
        <v>Regular</v>
      </c>
      <c r="AA658" t="str">
        <f t="shared" si="10"/>
        <v>2025-03</v>
      </c>
      <c r="AB658" t="str">
        <f>IFERROR(INDEX(Products!$I:$I,MATCH(D658,Products!$A:$A,0)),"Unknown")</f>
        <v>SUP008</v>
      </c>
    </row>
    <row r="659" spans="1:28" x14ac:dyDescent="0.25">
      <c r="A659" t="s">
        <v>2056</v>
      </c>
      <c r="B659" s="20">
        <v>45397</v>
      </c>
      <c r="C659" t="s">
        <v>1337</v>
      </c>
      <c r="D659" t="s">
        <v>1197</v>
      </c>
      <c r="E659" t="s">
        <v>396</v>
      </c>
      <c r="F659" t="s">
        <v>237</v>
      </c>
      <c r="G659">
        <v>1</v>
      </c>
      <c r="H659" s="21">
        <v>1057.6500000000001</v>
      </c>
      <c r="I659">
        <v>0</v>
      </c>
      <c r="J659" s="21">
        <v>0</v>
      </c>
      <c r="K659">
        <v>12</v>
      </c>
      <c r="L659" s="21">
        <v>126.92</v>
      </c>
      <c r="M659" s="21">
        <v>1184.57</v>
      </c>
      <c r="N659" s="21">
        <v>828.52</v>
      </c>
      <c r="O659" s="21">
        <v>229.13</v>
      </c>
      <c r="P659" t="s">
        <v>123</v>
      </c>
      <c r="Q659" t="s">
        <v>120</v>
      </c>
      <c r="R659" t="s">
        <v>151</v>
      </c>
      <c r="S659" t="s">
        <v>2057</v>
      </c>
      <c r="T659" t="s">
        <v>153</v>
      </c>
      <c r="U659" t="s">
        <v>154</v>
      </c>
      <c r="V659" t="str">
        <f>IFERROR(INDEX(Products!$C:$C,MATCH(D659,Products!$A:$A,0)),"Unknown")</f>
        <v>Women Jeans</v>
      </c>
      <c r="W659" t="str">
        <f>IFERROR(INDEX(Products!$E:$E,MATCH(D659,Products!$A:$A,0)),"Unknown")</f>
        <v>Van Heusen</v>
      </c>
      <c r="X659" t="str">
        <f>IFERROR(INDEX(Stores!$B:$B,MATCH(E659,Stores!$A:$A,0)),"Unknown")</f>
        <v>TrendMart Davanagere High Street</v>
      </c>
      <c r="Y659" t="str">
        <f>IFERROR(INDEX(Stores!$E:$E,MATCH(E659,Stores!$A:$A,0)),"Unknown")</f>
        <v>South Zone 2</v>
      </c>
      <c r="Z659" t="str">
        <f>IFERROR(INDEX(Customers!$J:$J,MATCH(C659,Customers!$A:$A,0)),"Unknown")</f>
        <v>Regular</v>
      </c>
      <c r="AA659" t="str">
        <f t="shared" si="10"/>
        <v>2024-04</v>
      </c>
      <c r="AB659" t="str">
        <f>IFERROR(INDEX(Products!$I:$I,MATCH(D659,Products!$A:$A,0)),"Unknown")</f>
        <v>SUP021</v>
      </c>
    </row>
    <row r="660" spans="1:28" x14ac:dyDescent="0.25">
      <c r="A660" t="s">
        <v>2058</v>
      </c>
      <c r="B660" s="20">
        <v>45449</v>
      </c>
      <c r="C660" t="s">
        <v>1605</v>
      </c>
      <c r="D660" t="s">
        <v>558</v>
      </c>
      <c r="E660" t="s">
        <v>216</v>
      </c>
      <c r="F660" t="s">
        <v>221</v>
      </c>
      <c r="G660">
        <v>3</v>
      </c>
      <c r="H660" s="21">
        <v>673.44</v>
      </c>
      <c r="I660">
        <v>0</v>
      </c>
      <c r="J660" s="21">
        <v>0</v>
      </c>
      <c r="K660">
        <v>5</v>
      </c>
      <c r="L660" s="21">
        <v>101.02</v>
      </c>
      <c r="M660" s="21">
        <v>2121.34</v>
      </c>
      <c r="N660" s="21">
        <v>1371.48</v>
      </c>
      <c r="O660" s="21">
        <v>648.84</v>
      </c>
      <c r="P660" t="s">
        <v>126</v>
      </c>
      <c r="Q660" t="s">
        <v>120</v>
      </c>
      <c r="R660" t="s">
        <v>151</v>
      </c>
      <c r="S660" t="s">
        <v>2014</v>
      </c>
      <c r="T660" t="s">
        <v>153</v>
      </c>
      <c r="U660" t="s">
        <v>154</v>
      </c>
      <c r="V660" t="str">
        <f>IFERROR(INDEX(Products!$C:$C,MATCH(D660,Products!$A:$A,0)),"Unknown")</f>
        <v>Women Tops</v>
      </c>
      <c r="W660" t="str">
        <f>IFERROR(INDEX(Products!$E:$E,MATCH(D660,Products!$A:$A,0)),"Unknown")</f>
        <v>Aurelia</v>
      </c>
      <c r="X660" t="str">
        <f>IFERROR(INDEX(Stores!$B:$B,MATCH(E660,Stores!$A:$A,0)),"Unknown")</f>
        <v>TrendMart Madurai Mall Kiosk</v>
      </c>
      <c r="Y660" t="str">
        <f>IFERROR(INDEX(Stores!$E:$E,MATCH(E660,Stores!$A:$A,0)),"Unknown")</f>
        <v>South Zone 1</v>
      </c>
      <c r="Z660" t="str">
        <f>IFERROR(INDEX(Customers!$J:$J,MATCH(C660,Customers!$A:$A,0)),"Unknown")</f>
        <v>Gold</v>
      </c>
      <c r="AA660" t="str">
        <f t="shared" si="10"/>
        <v>2024-06</v>
      </c>
      <c r="AB660" t="str">
        <f>IFERROR(INDEX(Products!$I:$I,MATCH(D660,Products!$A:$A,0)),"Unknown")</f>
        <v>SUP055</v>
      </c>
    </row>
    <row r="661" spans="1:28" x14ac:dyDescent="0.25">
      <c r="A661" t="s">
        <v>2059</v>
      </c>
      <c r="B661" s="20">
        <v>45542</v>
      </c>
      <c r="C661" t="s">
        <v>380</v>
      </c>
      <c r="D661" t="s">
        <v>1903</v>
      </c>
      <c r="E661" t="s">
        <v>815</v>
      </c>
      <c r="F661" t="s">
        <v>297</v>
      </c>
      <c r="G661">
        <v>1</v>
      </c>
      <c r="H661" s="21">
        <v>1150.82</v>
      </c>
      <c r="I661">
        <v>25</v>
      </c>
      <c r="J661" s="21">
        <v>287.7</v>
      </c>
      <c r="K661">
        <v>12</v>
      </c>
      <c r="L661" s="21">
        <v>103.57</v>
      </c>
      <c r="M661" s="21">
        <v>966.69</v>
      </c>
      <c r="N661" s="21">
        <v>761.07</v>
      </c>
      <c r="O661" s="21">
        <v>102.05</v>
      </c>
      <c r="P661" t="s">
        <v>125</v>
      </c>
      <c r="Q661" t="s">
        <v>122</v>
      </c>
      <c r="R661" t="s">
        <v>151</v>
      </c>
      <c r="S661" t="s">
        <v>2060</v>
      </c>
      <c r="T661" t="s">
        <v>161</v>
      </c>
      <c r="U661" t="s">
        <v>154</v>
      </c>
      <c r="V661" t="str">
        <f>IFERROR(INDEX(Products!$C:$C,MATCH(D661,Products!$A:$A,0)),"Unknown")</f>
        <v>Belts</v>
      </c>
      <c r="W661" t="str">
        <f>IFERROR(INDEX(Products!$E:$E,MATCH(D661,Products!$A:$A,0)),"Unknown")</f>
        <v>US Polo Assn</v>
      </c>
      <c r="X661" t="str">
        <f>IFERROR(INDEX(Stores!$B:$B,MATCH(E661,Stores!$A:$A,0)),"Unknown")</f>
        <v>TrendMart Madurai Mall Kiosk</v>
      </c>
      <c r="Y661" t="str">
        <f>IFERROR(INDEX(Stores!$E:$E,MATCH(E661,Stores!$A:$A,0)),"Unknown")</f>
        <v>South Zone 1</v>
      </c>
      <c r="Z661" t="str">
        <f>IFERROR(INDEX(Customers!$J:$J,MATCH(C661,Customers!$A:$A,0)),"Unknown")</f>
        <v>Regular</v>
      </c>
      <c r="AA661" t="str">
        <f t="shared" si="10"/>
        <v>2024-09</v>
      </c>
      <c r="AB661" t="str">
        <f>IFERROR(INDEX(Products!$I:$I,MATCH(D661,Products!$A:$A,0)),"Unknown")</f>
        <v>SUP029</v>
      </c>
    </row>
    <row r="662" spans="1:28" x14ac:dyDescent="0.25">
      <c r="A662" t="s">
        <v>2061</v>
      </c>
      <c r="B662" s="20">
        <v>45401</v>
      </c>
      <c r="C662" t="s">
        <v>2062</v>
      </c>
      <c r="D662" t="s">
        <v>622</v>
      </c>
      <c r="E662" t="s">
        <v>343</v>
      </c>
      <c r="F662" t="s">
        <v>550</v>
      </c>
      <c r="G662">
        <v>2</v>
      </c>
      <c r="H662" s="21">
        <v>2656.69</v>
      </c>
      <c r="I662">
        <v>15</v>
      </c>
      <c r="J662" s="21">
        <v>797.01</v>
      </c>
      <c r="K662">
        <v>12</v>
      </c>
      <c r="L662" s="21">
        <v>541.96</v>
      </c>
      <c r="M662" s="21">
        <v>5058.33</v>
      </c>
      <c r="N662" s="21">
        <v>3706.28</v>
      </c>
      <c r="O662" s="21">
        <v>810.09</v>
      </c>
      <c r="P662" t="s">
        <v>123</v>
      </c>
      <c r="Q662" t="s">
        <v>120</v>
      </c>
      <c r="R662" t="s">
        <v>151</v>
      </c>
      <c r="S662" t="s">
        <v>348</v>
      </c>
      <c r="T662" t="s">
        <v>153</v>
      </c>
      <c r="U662" t="s">
        <v>154</v>
      </c>
      <c r="V662" t="str">
        <f>IFERROR(INDEX(Products!$C:$C,MATCH(D662,Products!$A:$A,0)),"Unknown")</f>
        <v>Women Sarees</v>
      </c>
      <c r="W662" t="str">
        <f>IFERROR(INDEX(Products!$E:$E,MATCH(D662,Products!$A:$A,0)),"Unknown")</f>
        <v>Sparx</v>
      </c>
      <c r="X662" t="str">
        <f>IFERROR(INDEX(Stores!$B:$B,MATCH(E662,Stores!$A:$A,0)),"Unknown")</f>
        <v>TrendMart Tumakuru Outlet</v>
      </c>
      <c r="Y662" t="str">
        <f>IFERROR(INDEX(Stores!$E:$E,MATCH(E662,Stores!$A:$A,0)),"Unknown")</f>
        <v>South Zone 2</v>
      </c>
      <c r="Z662" t="str">
        <f>IFERROR(INDEX(Customers!$J:$J,MATCH(C662,Customers!$A:$A,0)),"Unknown")</f>
        <v>Gold</v>
      </c>
      <c r="AA662" t="str">
        <f t="shared" si="10"/>
        <v>2024-04</v>
      </c>
      <c r="AB662" t="str">
        <f>IFERROR(INDEX(Products!$I:$I,MATCH(D662,Products!$A:$A,0)),"Unknown")</f>
        <v>SUP080</v>
      </c>
    </row>
    <row r="663" spans="1:28" x14ac:dyDescent="0.25">
      <c r="A663" t="s">
        <v>2063</v>
      </c>
      <c r="B663" s="20">
        <v>45744</v>
      </c>
      <c r="C663" t="s">
        <v>459</v>
      </c>
      <c r="D663" t="s">
        <v>2064</v>
      </c>
      <c r="E663" t="s">
        <v>477</v>
      </c>
      <c r="F663" t="s">
        <v>516</v>
      </c>
      <c r="G663">
        <v>2</v>
      </c>
      <c r="H663" s="21">
        <v>1805.75</v>
      </c>
      <c r="I663">
        <v>25</v>
      </c>
      <c r="J663" s="21">
        <v>902.88</v>
      </c>
      <c r="K663">
        <v>12</v>
      </c>
      <c r="L663" s="21">
        <v>325.02999999999997</v>
      </c>
      <c r="M663" s="21">
        <v>3033.65</v>
      </c>
      <c r="N663" s="21">
        <v>2366.8200000000002</v>
      </c>
      <c r="O663" s="21">
        <v>341.8</v>
      </c>
      <c r="P663" t="s">
        <v>123</v>
      </c>
      <c r="Q663" t="s">
        <v>122</v>
      </c>
      <c r="R663" t="s">
        <v>151</v>
      </c>
      <c r="S663" t="s">
        <v>2065</v>
      </c>
      <c r="T663" t="s">
        <v>153</v>
      </c>
      <c r="U663" t="s">
        <v>154</v>
      </c>
      <c r="V663" t="str">
        <f>IFERROR(INDEX(Products!$C:$C,MATCH(D663,Products!$A:$A,0)),"Unknown")</f>
        <v>Watches</v>
      </c>
      <c r="W663" t="str">
        <f>IFERROR(INDEX(Products!$E:$E,MATCH(D663,Products!$A:$A,0)),"Unknown")</f>
        <v>Nalli Silks</v>
      </c>
      <c r="X663" t="str">
        <f>IFERROR(INDEX(Stores!$B:$B,MATCH(E663,Stores!$A:$A,0)),"Unknown")</f>
        <v>TrendMart Hubballi Standard</v>
      </c>
      <c r="Y663" t="str">
        <f>IFERROR(INDEX(Stores!$E:$E,MATCH(E663,Stores!$A:$A,0)),"Unknown")</f>
        <v>South Zone 2</v>
      </c>
      <c r="Z663" t="str">
        <f>IFERROR(INDEX(Customers!$J:$J,MATCH(C663,Customers!$A:$A,0)),"Unknown")</f>
        <v>Gold</v>
      </c>
      <c r="AA663" t="str">
        <f t="shared" si="10"/>
        <v>2025-03</v>
      </c>
      <c r="AB663" t="str">
        <f>IFERROR(INDEX(Products!$I:$I,MATCH(D663,Products!$A:$A,0)),"Unknown")</f>
        <v>SUP020</v>
      </c>
    </row>
    <row r="664" spans="1:28" x14ac:dyDescent="0.25">
      <c r="A664" t="s">
        <v>2066</v>
      </c>
      <c r="B664" s="20">
        <v>45579</v>
      </c>
      <c r="C664" t="s">
        <v>2067</v>
      </c>
      <c r="D664" t="s">
        <v>565</v>
      </c>
      <c r="E664" t="s">
        <v>1962</v>
      </c>
      <c r="F664" t="s">
        <v>253</v>
      </c>
      <c r="G664">
        <v>2</v>
      </c>
      <c r="H664" s="21">
        <v>1835.29</v>
      </c>
      <c r="I664">
        <v>20</v>
      </c>
      <c r="J664" s="21">
        <v>734.12</v>
      </c>
      <c r="K664">
        <v>12</v>
      </c>
      <c r="L664" s="21">
        <v>352.38</v>
      </c>
      <c r="M664" s="21">
        <v>3288.84</v>
      </c>
      <c r="N664" s="21">
        <v>2338.92</v>
      </c>
      <c r="O664" s="21">
        <v>597.54</v>
      </c>
      <c r="P664" t="s">
        <v>121</v>
      </c>
      <c r="Q664" t="s">
        <v>120</v>
      </c>
      <c r="R664" t="s">
        <v>151</v>
      </c>
      <c r="S664" t="s">
        <v>731</v>
      </c>
      <c r="T664" t="s">
        <v>153</v>
      </c>
      <c r="U664" t="s">
        <v>154</v>
      </c>
      <c r="V664" t="str">
        <f>IFERROR(INDEX(Products!$C:$C,MATCH(D664,Products!$A:$A,0)),"Unknown")</f>
        <v>Winter Wear</v>
      </c>
      <c r="W664" t="str">
        <f>IFERROR(INDEX(Products!$E:$E,MATCH(D664,Products!$A:$A,0)),"Unknown")</f>
        <v>Numero Uno</v>
      </c>
      <c r="X664" t="str">
        <f>IFERROR(INDEX(Stores!$B:$B,MATCH(E664,Stores!$A:$A,0)),"Unknown")</f>
        <v>TrendMart Guntur High Street</v>
      </c>
      <c r="Y664" t="str">
        <f>IFERROR(INDEX(Stores!$E:$E,MATCH(E664,Stores!$A:$A,0)),"Unknown")</f>
        <v>South Zone 3</v>
      </c>
      <c r="Z664" t="str">
        <f>IFERROR(INDEX(Customers!$J:$J,MATCH(C664,Customers!$A:$A,0)),"Unknown")</f>
        <v>Silver</v>
      </c>
      <c r="AA664" t="str">
        <f t="shared" si="10"/>
        <v>2024-10</v>
      </c>
      <c r="AB664" t="str">
        <f>IFERROR(INDEX(Products!$I:$I,MATCH(D664,Products!$A:$A,0)),"Unknown")</f>
        <v>SUP026</v>
      </c>
    </row>
    <row r="665" spans="1:28" x14ac:dyDescent="0.25">
      <c r="A665" t="s">
        <v>2068</v>
      </c>
      <c r="B665" s="20">
        <v>45538</v>
      </c>
      <c r="C665" t="s">
        <v>338</v>
      </c>
      <c r="D665" t="s">
        <v>1649</v>
      </c>
      <c r="E665" t="s">
        <v>368</v>
      </c>
      <c r="F665" t="s">
        <v>344</v>
      </c>
      <c r="G665">
        <v>2</v>
      </c>
      <c r="H665" s="21">
        <v>1303.45</v>
      </c>
      <c r="I665">
        <v>5</v>
      </c>
      <c r="J665" s="21">
        <v>130.34</v>
      </c>
      <c r="K665">
        <v>12</v>
      </c>
      <c r="L665" s="21">
        <v>297.19</v>
      </c>
      <c r="M665" s="21">
        <v>2773.75</v>
      </c>
      <c r="N665" s="21">
        <v>1758.96</v>
      </c>
      <c r="O665" s="21">
        <v>717.6</v>
      </c>
      <c r="P665" t="s">
        <v>123</v>
      </c>
      <c r="Q665" t="s">
        <v>122</v>
      </c>
      <c r="R665" t="s">
        <v>151</v>
      </c>
      <c r="S665" t="s">
        <v>865</v>
      </c>
      <c r="T665" t="s">
        <v>153</v>
      </c>
      <c r="U665" t="s">
        <v>154</v>
      </c>
      <c r="V665" t="str">
        <f>IFERROR(INDEX(Products!$C:$C,MATCH(D665,Products!$A:$A,0)),"Unknown")</f>
        <v>Belts</v>
      </c>
      <c r="W665" t="str">
        <f>IFERROR(INDEX(Products!$E:$E,MATCH(D665,Products!$A:$A,0)),"Unknown")</f>
        <v>Bata</v>
      </c>
      <c r="X665" t="str">
        <f>IFERROR(INDEX(Stores!$B:$B,MATCH(E665,Stores!$A:$A,0)),"Unknown")</f>
        <v>TrendMart Alappuzha Outlet</v>
      </c>
      <c r="Y665" t="str">
        <f>IFERROR(INDEX(Stores!$E:$E,MATCH(E665,Stores!$A:$A,0)),"Unknown")</f>
        <v>South Zone 1</v>
      </c>
      <c r="Z665" t="str">
        <f>IFERROR(INDEX(Customers!$J:$J,MATCH(C665,Customers!$A:$A,0)),"Unknown")</f>
        <v>Platinum</v>
      </c>
      <c r="AA665" t="str">
        <f t="shared" si="10"/>
        <v>2024-09</v>
      </c>
      <c r="AB665" t="str">
        <f>IFERROR(INDEX(Products!$I:$I,MATCH(D665,Products!$A:$A,0)),"Unknown")</f>
        <v>SUP032</v>
      </c>
    </row>
    <row r="666" spans="1:28" x14ac:dyDescent="0.25">
      <c r="A666" t="s">
        <v>2069</v>
      </c>
      <c r="B666" s="20">
        <v>45566</v>
      </c>
      <c r="C666" t="s">
        <v>909</v>
      </c>
      <c r="D666" t="s">
        <v>273</v>
      </c>
      <c r="E666" t="s">
        <v>1962</v>
      </c>
      <c r="F666" t="s">
        <v>195</v>
      </c>
      <c r="G666">
        <v>1</v>
      </c>
      <c r="H666" s="21">
        <v>1285.3399999999999</v>
      </c>
      <c r="I666">
        <v>0</v>
      </c>
      <c r="J666" s="21">
        <v>0</v>
      </c>
      <c r="K666">
        <v>12</v>
      </c>
      <c r="L666" s="21">
        <v>154.24</v>
      </c>
      <c r="M666" s="21">
        <v>1439.58</v>
      </c>
      <c r="N666" s="21">
        <v>876.92</v>
      </c>
      <c r="O666" s="21">
        <v>408.42</v>
      </c>
      <c r="P666" t="s">
        <v>124</v>
      </c>
      <c r="Q666" t="s">
        <v>122</v>
      </c>
      <c r="R666" t="s">
        <v>151</v>
      </c>
      <c r="S666" t="s">
        <v>2070</v>
      </c>
      <c r="T666" t="s">
        <v>153</v>
      </c>
      <c r="U666" t="s">
        <v>154</v>
      </c>
      <c r="V666" t="str">
        <f>IFERROR(INDEX(Products!$C:$C,MATCH(D666,Products!$A:$A,0)),"Unknown")</f>
        <v>Women Kurtis</v>
      </c>
      <c r="W666" t="str">
        <f>IFERROR(INDEX(Products!$E:$E,MATCH(D666,Products!$A:$A,0)),"Unknown")</f>
        <v>Indian Terrain</v>
      </c>
      <c r="X666" t="str">
        <f>IFERROR(INDEX(Stores!$B:$B,MATCH(E666,Stores!$A:$A,0)),"Unknown")</f>
        <v>TrendMart Guntur High Street</v>
      </c>
      <c r="Y666" t="str">
        <f>IFERROR(INDEX(Stores!$E:$E,MATCH(E666,Stores!$A:$A,0)),"Unknown")</f>
        <v>South Zone 3</v>
      </c>
      <c r="Z666" t="str">
        <f>IFERROR(INDEX(Customers!$J:$J,MATCH(C666,Customers!$A:$A,0)),"Unknown")</f>
        <v>Regular</v>
      </c>
      <c r="AA666" t="str">
        <f t="shared" si="10"/>
        <v>2024-10</v>
      </c>
      <c r="AB666" t="str">
        <f>IFERROR(INDEX(Products!$I:$I,MATCH(D666,Products!$A:$A,0)),"Unknown")</f>
        <v>SUP006</v>
      </c>
    </row>
    <row r="667" spans="1:28" x14ac:dyDescent="0.25">
      <c r="A667" t="s">
        <v>2071</v>
      </c>
      <c r="B667" s="20">
        <v>45741</v>
      </c>
      <c r="C667" t="s">
        <v>2002</v>
      </c>
      <c r="D667" t="s">
        <v>861</v>
      </c>
      <c r="E667" t="s">
        <v>910</v>
      </c>
      <c r="F667" t="s">
        <v>596</v>
      </c>
      <c r="G667">
        <v>1</v>
      </c>
      <c r="H667" s="21">
        <v>1678.39</v>
      </c>
      <c r="I667">
        <v>5</v>
      </c>
      <c r="J667" s="21">
        <v>83.92</v>
      </c>
      <c r="K667">
        <v>12</v>
      </c>
      <c r="L667" s="21">
        <v>191.34</v>
      </c>
      <c r="M667" s="21">
        <v>1785.81</v>
      </c>
      <c r="N667" s="21">
        <v>1139.81</v>
      </c>
      <c r="O667" s="21">
        <v>454.66</v>
      </c>
      <c r="P667" t="s">
        <v>123</v>
      </c>
      <c r="Q667" t="s">
        <v>120</v>
      </c>
      <c r="R667" t="s">
        <v>151</v>
      </c>
      <c r="S667" t="s">
        <v>2072</v>
      </c>
      <c r="T667" t="s">
        <v>153</v>
      </c>
      <c r="U667" t="s">
        <v>154</v>
      </c>
      <c r="V667" t="str">
        <f>IFERROR(INDEX(Products!$C:$C,MATCH(D667,Products!$A:$A,0)),"Unknown")</f>
        <v>Women Jeans</v>
      </c>
      <c r="W667" t="str">
        <f>IFERROR(INDEX(Products!$E:$E,MATCH(D667,Products!$A:$A,0)),"Unknown")</f>
        <v>Spykar</v>
      </c>
      <c r="X667" t="str">
        <f>IFERROR(INDEX(Stores!$B:$B,MATCH(E667,Stores!$A:$A,0)),"Unknown")</f>
        <v>TrendMart Karimnagar Standard</v>
      </c>
      <c r="Y667" t="str">
        <f>IFERROR(INDEX(Stores!$E:$E,MATCH(E667,Stores!$A:$A,0)),"Unknown")</f>
        <v>South Zone 2</v>
      </c>
      <c r="Z667" t="str">
        <f>IFERROR(INDEX(Customers!$J:$J,MATCH(C667,Customers!$A:$A,0)),"Unknown")</f>
        <v>Gold</v>
      </c>
      <c r="AA667" t="str">
        <f t="shared" si="10"/>
        <v>2025-03</v>
      </c>
      <c r="AB667" t="str">
        <f>IFERROR(INDEX(Products!$I:$I,MATCH(D667,Products!$A:$A,0)),"Unknown")</f>
        <v>SUP088</v>
      </c>
    </row>
    <row r="668" spans="1:28" x14ac:dyDescent="0.25">
      <c r="A668" t="s">
        <v>2073</v>
      </c>
      <c r="B668" s="20">
        <v>45733</v>
      </c>
      <c r="C668" t="s">
        <v>2074</v>
      </c>
      <c r="D668" t="s">
        <v>1539</v>
      </c>
      <c r="E668" t="s">
        <v>85</v>
      </c>
      <c r="F668" t="s">
        <v>176</v>
      </c>
      <c r="G668">
        <v>3</v>
      </c>
      <c r="H668" s="21">
        <v>1102.06</v>
      </c>
      <c r="I668">
        <v>10</v>
      </c>
      <c r="J668" s="21">
        <v>330.62</v>
      </c>
      <c r="K668">
        <v>12</v>
      </c>
      <c r="L668" s="21">
        <v>357.07</v>
      </c>
      <c r="M668" s="21">
        <v>3332.63</v>
      </c>
      <c r="N668" s="21">
        <v>2752.32</v>
      </c>
      <c r="O668" s="21">
        <v>223.24</v>
      </c>
      <c r="P668" t="s">
        <v>121</v>
      </c>
      <c r="Q668" t="s">
        <v>122</v>
      </c>
      <c r="R668" t="s">
        <v>313</v>
      </c>
      <c r="S668" t="s">
        <v>786</v>
      </c>
      <c r="T668" t="s">
        <v>153</v>
      </c>
      <c r="U668" t="s">
        <v>154</v>
      </c>
      <c r="V668" t="str">
        <f>IFERROR(INDEX(Products!$C:$C,MATCH(D668,Products!$A:$A,0)),"Unknown")</f>
        <v>Wallets</v>
      </c>
      <c r="W668" t="str">
        <f>IFERROR(INDEX(Products!$E:$E,MATCH(D668,Products!$A:$A,0)),"Unknown")</f>
        <v>Reebok</v>
      </c>
      <c r="X668" t="str">
        <f>IFERROR(INDEX(Stores!$B:$B,MATCH(E668,Stores!$A:$A,0)),"Unknown")</f>
        <v>TrendMart Kalaburagi Mall Kiosk</v>
      </c>
      <c r="Y668" t="str">
        <f>IFERROR(INDEX(Stores!$E:$E,MATCH(E668,Stores!$A:$A,0)),"Unknown")</f>
        <v>South Zone 2</v>
      </c>
      <c r="Z668" t="str">
        <f>IFERROR(INDEX(Customers!$J:$J,MATCH(C668,Customers!$A:$A,0)),"Unknown")</f>
        <v>Regular</v>
      </c>
      <c r="AA668" t="str">
        <f t="shared" si="10"/>
        <v>2025-03</v>
      </c>
      <c r="AB668" t="str">
        <f>IFERROR(INDEX(Products!$I:$I,MATCH(D668,Products!$A:$A,0)),"Unknown")</f>
        <v>SUP007</v>
      </c>
    </row>
    <row r="669" spans="1:28" x14ac:dyDescent="0.25">
      <c r="A669" t="s">
        <v>2075</v>
      </c>
      <c r="B669" s="20">
        <v>45725</v>
      </c>
      <c r="C669" t="s">
        <v>2076</v>
      </c>
      <c r="D669" t="s">
        <v>1520</v>
      </c>
      <c r="E669" t="s">
        <v>639</v>
      </c>
      <c r="F669" t="s">
        <v>382</v>
      </c>
      <c r="G669">
        <v>3</v>
      </c>
      <c r="H669" s="21">
        <v>4789.37</v>
      </c>
      <c r="I669">
        <v>20</v>
      </c>
      <c r="J669" s="21">
        <v>2873.62</v>
      </c>
      <c r="K669">
        <v>12</v>
      </c>
      <c r="L669" s="21">
        <v>1379.34</v>
      </c>
      <c r="M669" s="21">
        <v>12873.83</v>
      </c>
      <c r="N669" s="21">
        <v>9709.7099999999991</v>
      </c>
      <c r="O669" s="21">
        <v>1784.78</v>
      </c>
      <c r="P669" t="s">
        <v>121</v>
      </c>
      <c r="Q669" t="s">
        <v>122</v>
      </c>
      <c r="R669" t="s">
        <v>151</v>
      </c>
      <c r="S669" t="s">
        <v>1587</v>
      </c>
      <c r="T669" t="s">
        <v>161</v>
      </c>
      <c r="U669" t="s">
        <v>154</v>
      </c>
      <c r="V669" t="str">
        <f>IFERROR(INDEX(Products!$C:$C,MATCH(D669,Products!$A:$A,0)),"Unknown")</f>
        <v>Women Sarees</v>
      </c>
      <c r="W669" t="str">
        <f>IFERROR(INDEX(Products!$E:$E,MATCH(D669,Products!$A:$A,0)),"Unknown")</f>
        <v>Pepe Jeans</v>
      </c>
      <c r="X669" t="str">
        <f>IFERROR(INDEX(Stores!$B:$B,MATCH(E669,Stores!$A:$A,0)),"Unknown")</f>
        <v>TrendMart Kurnool Outlet</v>
      </c>
      <c r="Y669" t="str">
        <f>IFERROR(INDEX(Stores!$E:$E,MATCH(E669,Stores!$A:$A,0)),"Unknown")</f>
        <v>South Zone 3</v>
      </c>
      <c r="Z669" t="str">
        <f>IFERROR(INDEX(Customers!$J:$J,MATCH(C669,Customers!$A:$A,0)),"Unknown")</f>
        <v>Regular</v>
      </c>
      <c r="AA669" t="str">
        <f t="shared" si="10"/>
        <v>2025-03</v>
      </c>
      <c r="AB669" t="str">
        <f>IFERROR(INDEX(Products!$I:$I,MATCH(D669,Products!$A:$A,0)),"Unknown")</f>
        <v>SUP009</v>
      </c>
    </row>
    <row r="670" spans="1:28" x14ac:dyDescent="0.25">
      <c r="A670" t="s">
        <v>2077</v>
      </c>
      <c r="B670" s="20">
        <v>45558</v>
      </c>
      <c r="C670" t="s">
        <v>2078</v>
      </c>
      <c r="D670" t="s">
        <v>199</v>
      </c>
      <c r="E670" t="s">
        <v>387</v>
      </c>
      <c r="F670" t="s">
        <v>303</v>
      </c>
      <c r="G670">
        <v>2</v>
      </c>
      <c r="H670" s="21">
        <v>888.22</v>
      </c>
      <c r="I670">
        <v>25</v>
      </c>
      <c r="J670" s="21">
        <v>444.11</v>
      </c>
      <c r="K670">
        <v>5</v>
      </c>
      <c r="L670" s="21">
        <v>66.62</v>
      </c>
      <c r="M670" s="21">
        <v>1398.95</v>
      </c>
      <c r="N670" s="21">
        <v>977.2</v>
      </c>
      <c r="O670" s="21">
        <v>355.13</v>
      </c>
      <c r="P670" t="s">
        <v>121</v>
      </c>
      <c r="Q670" t="s">
        <v>122</v>
      </c>
      <c r="R670" t="s">
        <v>151</v>
      </c>
      <c r="S670" t="s">
        <v>2079</v>
      </c>
      <c r="T670" t="s">
        <v>153</v>
      </c>
      <c r="U670" t="s">
        <v>154</v>
      </c>
      <c r="V670" t="str">
        <f>IFERROR(INDEX(Products!$C:$C,MATCH(D670,Products!$A:$A,0)),"Unknown")</f>
        <v>Accessories</v>
      </c>
      <c r="W670" t="str">
        <f>IFERROR(INDEX(Products!$E:$E,MATCH(D670,Products!$A:$A,0)),"Unknown")</f>
        <v>Arrow</v>
      </c>
      <c r="X670" t="str">
        <f>IFERROR(INDEX(Stores!$B:$B,MATCH(E670,Stores!$A:$A,0)),"Unknown")</f>
        <v>TrendMart Kannur Outlet</v>
      </c>
      <c r="Y670" t="str">
        <f>IFERROR(INDEX(Stores!$E:$E,MATCH(E670,Stores!$A:$A,0)),"Unknown")</f>
        <v>South Zone 1</v>
      </c>
      <c r="Z670" t="str">
        <f>IFERROR(INDEX(Customers!$J:$J,MATCH(C670,Customers!$A:$A,0)),"Unknown")</f>
        <v>Gold</v>
      </c>
      <c r="AA670" t="str">
        <f t="shared" si="10"/>
        <v>2024-09</v>
      </c>
      <c r="AB670" t="str">
        <f>IFERROR(INDEX(Products!$I:$I,MATCH(D670,Products!$A:$A,0)),"Unknown")</f>
        <v>SUP018</v>
      </c>
    </row>
    <row r="671" spans="1:28" x14ac:dyDescent="0.25">
      <c r="A671" t="s">
        <v>2080</v>
      </c>
      <c r="B671" s="20">
        <v>45735</v>
      </c>
      <c r="C671" t="s">
        <v>2081</v>
      </c>
      <c r="D671" t="s">
        <v>317</v>
      </c>
      <c r="E671" t="s">
        <v>1068</v>
      </c>
      <c r="F671" t="s">
        <v>269</v>
      </c>
      <c r="G671">
        <v>3</v>
      </c>
      <c r="H671" s="21">
        <v>2032.24</v>
      </c>
      <c r="I671">
        <v>0</v>
      </c>
      <c r="J671" s="21">
        <v>0</v>
      </c>
      <c r="K671">
        <v>12</v>
      </c>
      <c r="L671" s="21">
        <v>731.61</v>
      </c>
      <c r="M671" s="21">
        <v>6828.33</v>
      </c>
      <c r="N671" s="21">
        <v>4385.1899999999996</v>
      </c>
      <c r="O671" s="21">
        <v>1711.53</v>
      </c>
      <c r="P671" t="s">
        <v>121</v>
      </c>
      <c r="Q671" t="s">
        <v>120</v>
      </c>
      <c r="R671" t="s">
        <v>151</v>
      </c>
      <c r="S671" t="s">
        <v>972</v>
      </c>
      <c r="T671" t="s">
        <v>153</v>
      </c>
      <c r="U671" t="s">
        <v>154</v>
      </c>
      <c r="V671" t="str">
        <f>IFERROR(INDEX(Products!$C:$C,MATCH(D671,Products!$A:$A,0)),"Unknown")</f>
        <v>Handbags</v>
      </c>
      <c r="W671" t="str">
        <f>IFERROR(INDEX(Products!$E:$E,MATCH(D671,Products!$A:$A,0)),"Unknown")</f>
        <v>Titan</v>
      </c>
      <c r="X671" t="str">
        <f>IFERROR(INDEX(Stores!$B:$B,MATCH(E671,Stores!$A:$A,0)),"Unknown")</f>
        <v>TrendMart Tumakuru High Street</v>
      </c>
      <c r="Y671" t="str">
        <f>IFERROR(INDEX(Stores!$E:$E,MATCH(E671,Stores!$A:$A,0)),"Unknown")</f>
        <v>South Zone 2</v>
      </c>
      <c r="Z671" t="str">
        <f>IFERROR(INDEX(Customers!$J:$J,MATCH(C671,Customers!$A:$A,0)),"Unknown")</f>
        <v>Regular</v>
      </c>
      <c r="AA671" t="str">
        <f t="shared" si="10"/>
        <v>2025-03</v>
      </c>
      <c r="AB671" t="str">
        <f>IFERROR(INDEX(Products!$I:$I,MATCH(D671,Products!$A:$A,0)),"Unknown")</f>
        <v>SUP027</v>
      </c>
    </row>
    <row r="672" spans="1:28" x14ac:dyDescent="0.25">
      <c r="A672" t="s">
        <v>2082</v>
      </c>
      <c r="B672" s="20">
        <v>45584</v>
      </c>
      <c r="C672" t="s">
        <v>2013</v>
      </c>
      <c r="D672" t="s">
        <v>583</v>
      </c>
      <c r="E672" t="s">
        <v>681</v>
      </c>
      <c r="F672" t="s">
        <v>242</v>
      </c>
      <c r="G672">
        <v>1</v>
      </c>
      <c r="H672" s="21">
        <v>970.09</v>
      </c>
      <c r="I672">
        <v>25</v>
      </c>
      <c r="J672" s="21">
        <v>242.52</v>
      </c>
      <c r="K672">
        <v>5</v>
      </c>
      <c r="L672" s="21">
        <v>36.380000000000003</v>
      </c>
      <c r="M672" s="21">
        <v>763.95</v>
      </c>
      <c r="N672" s="21">
        <v>629.72</v>
      </c>
      <c r="O672" s="21">
        <v>97.85</v>
      </c>
      <c r="P672" t="s">
        <v>124</v>
      </c>
      <c r="Q672" t="s">
        <v>120</v>
      </c>
      <c r="R672" t="s">
        <v>151</v>
      </c>
      <c r="S672" t="s">
        <v>293</v>
      </c>
      <c r="T672" t="s">
        <v>161</v>
      </c>
      <c r="U672" t="s">
        <v>154</v>
      </c>
      <c r="V672" t="str">
        <f>IFERROR(INDEX(Products!$C:$C,MATCH(D672,Products!$A:$A,0)),"Unknown")</f>
        <v>Women Tops</v>
      </c>
      <c r="W672" t="str">
        <f>IFERROR(INDEX(Products!$E:$E,MATCH(D672,Products!$A:$A,0)),"Unknown")</f>
        <v>Ramraj Cotton</v>
      </c>
      <c r="X672" t="str">
        <f>IFERROR(INDEX(Stores!$B:$B,MATCH(E672,Stores!$A:$A,0)),"Unknown")</f>
        <v>TrendMart Shivamogga Mall Kiosk</v>
      </c>
      <c r="Y672" t="str">
        <f>IFERROR(INDEX(Stores!$E:$E,MATCH(E672,Stores!$A:$A,0)),"Unknown")</f>
        <v>South Zone 2</v>
      </c>
      <c r="Z672" t="str">
        <f>IFERROR(INDEX(Customers!$J:$J,MATCH(C672,Customers!$A:$A,0)),"Unknown")</f>
        <v>Gold</v>
      </c>
      <c r="AA672" t="str">
        <f t="shared" si="10"/>
        <v>2024-10</v>
      </c>
      <c r="AB672" t="str">
        <f>IFERROR(INDEX(Products!$I:$I,MATCH(D672,Products!$A:$A,0)),"Unknown")</f>
        <v>SUP048</v>
      </c>
    </row>
    <row r="673" spans="1:28" x14ac:dyDescent="0.25">
      <c r="A673" t="s">
        <v>2083</v>
      </c>
      <c r="B673" s="20">
        <v>45454</v>
      </c>
      <c r="C673" t="s">
        <v>1828</v>
      </c>
      <c r="D673" t="s">
        <v>531</v>
      </c>
      <c r="E673" t="s">
        <v>810</v>
      </c>
      <c r="F673" t="s">
        <v>377</v>
      </c>
      <c r="G673">
        <v>1</v>
      </c>
      <c r="H673" s="21">
        <v>3047.59</v>
      </c>
      <c r="I673">
        <v>25</v>
      </c>
      <c r="J673" s="21">
        <v>761.9</v>
      </c>
      <c r="K673">
        <v>12</v>
      </c>
      <c r="L673" s="21">
        <v>274.27999999999997</v>
      </c>
      <c r="M673" s="21">
        <v>2559.9699999999998</v>
      </c>
      <c r="N673" s="21">
        <v>2034.01</v>
      </c>
      <c r="O673" s="21">
        <v>251.68</v>
      </c>
      <c r="P673" t="s">
        <v>123</v>
      </c>
      <c r="Q673" t="s">
        <v>122</v>
      </c>
      <c r="R673" t="s">
        <v>313</v>
      </c>
      <c r="S673" t="s">
        <v>2084</v>
      </c>
      <c r="T673" t="s">
        <v>153</v>
      </c>
      <c r="U673" t="s">
        <v>154</v>
      </c>
      <c r="V673" t="str">
        <f>IFERROR(INDEX(Products!$C:$C,MATCH(D673,Products!$A:$A,0)),"Unknown")</f>
        <v>Handbags</v>
      </c>
      <c r="W673" t="str">
        <f>IFERROR(INDEX(Products!$E:$E,MATCH(D673,Products!$A:$A,0)),"Unknown")</f>
        <v>GRT Jewellers</v>
      </c>
      <c r="X673" t="str">
        <f>IFERROR(INDEX(Stores!$B:$B,MATCH(E673,Stores!$A:$A,0)),"Unknown")</f>
        <v>TrendMart Nizamabad Standard</v>
      </c>
      <c r="Y673" t="str">
        <f>IFERROR(INDEX(Stores!$E:$E,MATCH(E673,Stores!$A:$A,0)),"Unknown")</f>
        <v>South Zone 2</v>
      </c>
      <c r="Z673" t="str">
        <f>IFERROR(INDEX(Customers!$J:$J,MATCH(C673,Customers!$A:$A,0)),"Unknown")</f>
        <v>Platinum</v>
      </c>
      <c r="AA673" t="str">
        <f t="shared" si="10"/>
        <v>2024-06</v>
      </c>
      <c r="AB673" t="str">
        <f>IFERROR(INDEX(Products!$I:$I,MATCH(D673,Products!$A:$A,0)),"Unknown")</f>
        <v>SUP047</v>
      </c>
    </row>
    <row r="674" spans="1:28" x14ac:dyDescent="0.25">
      <c r="A674" t="s">
        <v>2085</v>
      </c>
      <c r="B674" s="20">
        <v>45628</v>
      </c>
      <c r="C674" t="s">
        <v>2086</v>
      </c>
      <c r="D674" t="s">
        <v>1590</v>
      </c>
      <c r="E674" t="s">
        <v>93</v>
      </c>
      <c r="F674" t="s">
        <v>292</v>
      </c>
      <c r="G674">
        <v>3</v>
      </c>
      <c r="H674" s="21">
        <v>475.89</v>
      </c>
      <c r="I674">
        <v>20</v>
      </c>
      <c r="J674" s="21">
        <v>285.52999999999997</v>
      </c>
      <c r="K674">
        <v>5</v>
      </c>
      <c r="L674" s="21">
        <v>57.11</v>
      </c>
      <c r="M674" s="21">
        <v>1199.25</v>
      </c>
      <c r="N674" s="21">
        <v>1011.27</v>
      </c>
      <c r="O674" s="21">
        <v>130.87</v>
      </c>
      <c r="P674" t="s">
        <v>121</v>
      </c>
      <c r="Q674" t="s">
        <v>120</v>
      </c>
      <c r="R674" t="s">
        <v>151</v>
      </c>
      <c r="S674" t="s">
        <v>640</v>
      </c>
      <c r="T674" t="s">
        <v>153</v>
      </c>
      <c r="U674" t="s">
        <v>154</v>
      </c>
      <c r="V674" t="str">
        <f>IFERROR(INDEX(Products!$C:$C,MATCH(D674,Products!$A:$A,0)),"Unknown")</f>
        <v>Kids Wear</v>
      </c>
      <c r="W674" t="str">
        <f>IFERROR(INDEX(Products!$E:$E,MATCH(D674,Products!$A:$A,0)),"Unknown")</f>
        <v>Peter England</v>
      </c>
      <c r="X674" t="str">
        <f>IFERROR(INDEX(Stores!$B:$B,MATCH(E674,Stores!$A:$A,0)),"Unknown")</f>
        <v>TrendMart Thiruvananthapuram High Street</v>
      </c>
      <c r="Y674" t="str">
        <f>IFERROR(INDEX(Stores!$E:$E,MATCH(E674,Stores!$A:$A,0)),"Unknown")</f>
        <v>South Zone 1</v>
      </c>
      <c r="Z674" t="str">
        <f>IFERROR(INDEX(Customers!$J:$J,MATCH(C674,Customers!$A:$A,0)),"Unknown")</f>
        <v>Regular</v>
      </c>
      <c r="AA674" t="str">
        <f t="shared" si="10"/>
        <v>2024-12</v>
      </c>
      <c r="AB674" t="str">
        <f>IFERROR(INDEX(Products!$I:$I,MATCH(D674,Products!$A:$A,0)),"Unknown")</f>
        <v>SUP065</v>
      </c>
    </row>
    <row r="675" spans="1:28" x14ac:dyDescent="0.25">
      <c r="A675" t="s">
        <v>2087</v>
      </c>
      <c r="B675" s="20">
        <v>45574</v>
      </c>
      <c r="C675" t="s">
        <v>726</v>
      </c>
      <c r="D675" t="s">
        <v>1590</v>
      </c>
      <c r="E675" t="s">
        <v>334</v>
      </c>
      <c r="F675" t="s">
        <v>176</v>
      </c>
      <c r="G675">
        <v>1</v>
      </c>
      <c r="H675" s="21">
        <v>511.61</v>
      </c>
      <c r="I675">
        <v>20</v>
      </c>
      <c r="J675" s="21">
        <v>102.32</v>
      </c>
      <c r="K675">
        <v>5</v>
      </c>
      <c r="L675" s="21">
        <v>20.46</v>
      </c>
      <c r="M675" s="21">
        <v>429.75</v>
      </c>
      <c r="N675" s="21">
        <v>337.09</v>
      </c>
      <c r="O675" s="21">
        <v>72.2</v>
      </c>
      <c r="P675" t="s">
        <v>124</v>
      </c>
      <c r="Q675" t="s">
        <v>120</v>
      </c>
      <c r="R675" t="s">
        <v>151</v>
      </c>
      <c r="S675" t="s">
        <v>1574</v>
      </c>
      <c r="T675" t="s">
        <v>153</v>
      </c>
      <c r="U675" t="s">
        <v>154</v>
      </c>
      <c r="V675" t="str">
        <f>IFERROR(INDEX(Products!$C:$C,MATCH(D675,Products!$A:$A,0)),"Unknown")</f>
        <v>Kids Wear</v>
      </c>
      <c r="W675" t="str">
        <f>IFERROR(INDEX(Products!$E:$E,MATCH(D675,Products!$A:$A,0)),"Unknown")</f>
        <v>Peter England</v>
      </c>
      <c r="X675" t="str">
        <f>IFERROR(INDEX(Stores!$B:$B,MATCH(E675,Stores!$A:$A,0)),"Unknown")</f>
        <v>TrendMart Madurai High Street</v>
      </c>
      <c r="Y675" t="str">
        <f>IFERROR(INDEX(Stores!$E:$E,MATCH(E675,Stores!$A:$A,0)),"Unknown")</f>
        <v>South Zone 1</v>
      </c>
      <c r="Z675" t="str">
        <f>IFERROR(INDEX(Customers!$J:$J,MATCH(C675,Customers!$A:$A,0)),"Unknown")</f>
        <v>Platinum</v>
      </c>
      <c r="AA675" t="str">
        <f t="shared" si="10"/>
        <v>2024-10</v>
      </c>
      <c r="AB675" t="str">
        <f>IFERROR(INDEX(Products!$I:$I,MATCH(D675,Products!$A:$A,0)),"Unknown")</f>
        <v>SUP065</v>
      </c>
    </row>
    <row r="676" spans="1:28" x14ac:dyDescent="0.25">
      <c r="A676" t="s">
        <v>2088</v>
      </c>
      <c r="B676" s="20">
        <v>45627</v>
      </c>
      <c r="C676" t="s">
        <v>2089</v>
      </c>
      <c r="D676" t="s">
        <v>395</v>
      </c>
      <c r="E676" t="s">
        <v>355</v>
      </c>
      <c r="F676" t="s">
        <v>195</v>
      </c>
      <c r="G676">
        <v>5</v>
      </c>
      <c r="H676" s="21">
        <v>515.23</v>
      </c>
      <c r="I676">
        <v>10</v>
      </c>
      <c r="J676" s="21">
        <v>257.62</v>
      </c>
      <c r="K676">
        <v>5</v>
      </c>
      <c r="L676" s="21">
        <v>115.93</v>
      </c>
      <c r="M676" s="21">
        <v>2434.46</v>
      </c>
      <c r="N676" s="21">
        <v>1475</v>
      </c>
      <c r="O676" s="21">
        <v>843.53</v>
      </c>
      <c r="P676" t="s">
        <v>121</v>
      </c>
      <c r="Q676" t="s">
        <v>122</v>
      </c>
      <c r="R676" t="s">
        <v>151</v>
      </c>
      <c r="S676" t="s">
        <v>2090</v>
      </c>
      <c r="T676" t="s">
        <v>161</v>
      </c>
      <c r="U676" t="s">
        <v>154</v>
      </c>
      <c r="V676" t="str">
        <f>IFERROR(INDEX(Products!$C:$C,MATCH(D676,Products!$A:$A,0)),"Unknown")</f>
        <v>Men T-Shirts</v>
      </c>
      <c r="W676" t="str">
        <f>IFERROR(INDEX(Products!$E:$E,MATCH(D676,Products!$A:$A,0)),"Unknown")</f>
        <v>Nalli Silks</v>
      </c>
      <c r="X676" t="str">
        <f>IFERROR(INDEX(Stores!$B:$B,MATCH(E676,Stores!$A:$A,0)),"Unknown")</f>
        <v>TrendMart Thiruvananthapuram High Street</v>
      </c>
      <c r="Y676" t="str">
        <f>IFERROR(INDEX(Stores!$E:$E,MATCH(E676,Stores!$A:$A,0)),"Unknown")</f>
        <v>South Zone 1</v>
      </c>
      <c r="Z676" t="str">
        <f>IFERROR(INDEX(Customers!$J:$J,MATCH(C676,Customers!$A:$A,0)),"Unknown")</f>
        <v>Silver</v>
      </c>
      <c r="AA676" t="str">
        <f t="shared" si="10"/>
        <v>2024-12</v>
      </c>
      <c r="AB676" t="str">
        <f>IFERROR(INDEX(Products!$I:$I,MATCH(D676,Products!$A:$A,0)),"Unknown")</f>
        <v>SUP049</v>
      </c>
    </row>
    <row r="677" spans="1:28" x14ac:dyDescent="0.25">
      <c r="A677" t="s">
        <v>2091</v>
      </c>
      <c r="B677" s="20">
        <v>45586</v>
      </c>
      <c r="C677" t="s">
        <v>1213</v>
      </c>
      <c r="D677" t="s">
        <v>489</v>
      </c>
      <c r="E677" t="s">
        <v>806</v>
      </c>
      <c r="F677" t="s">
        <v>308</v>
      </c>
      <c r="G677">
        <v>3</v>
      </c>
      <c r="H677" s="21">
        <v>1369.38</v>
      </c>
      <c r="I677">
        <v>15</v>
      </c>
      <c r="J677" s="21">
        <v>616.22</v>
      </c>
      <c r="K677">
        <v>12</v>
      </c>
      <c r="L677" s="21">
        <v>419.03</v>
      </c>
      <c r="M677" s="21">
        <v>3910.95</v>
      </c>
      <c r="N677" s="21">
        <v>3146.13</v>
      </c>
      <c r="O677" s="21">
        <v>345.79</v>
      </c>
      <c r="P677" t="s">
        <v>121</v>
      </c>
      <c r="Q677" t="s">
        <v>120</v>
      </c>
      <c r="R677" t="s">
        <v>151</v>
      </c>
      <c r="S677" t="s">
        <v>2092</v>
      </c>
      <c r="T677" t="s">
        <v>153</v>
      </c>
      <c r="U677" t="s">
        <v>154</v>
      </c>
      <c r="V677" t="str">
        <f>IFERROR(INDEX(Products!$C:$C,MATCH(D677,Products!$A:$A,0)),"Unknown")</f>
        <v>Women Jeans</v>
      </c>
      <c r="W677" t="str">
        <f>IFERROR(INDEX(Products!$E:$E,MATCH(D677,Products!$A:$A,0)),"Unknown")</f>
        <v>Woodland</v>
      </c>
      <c r="X677" t="str">
        <f>IFERROR(INDEX(Stores!$B:$B,MATCH(E677,Stores!$A:$A,0)),"Unknown")</f>
        <v>TrendMart Tirunelveli Flagship</v>
      </c>
      <c r="Y677" t="str">
        <f>IFERROR(INDEX(Stores!$E:$E,MATCH(E677,Stores!$A:$A,0)),"Unknown")</f>
        <v>South Zone 1</v>
      </c>
      <c r="Z677" t="str">
        <f>IFERROR(INDEX(Customers!$J:$J,MATCH(C677,Customers!$A:$A,0)),"Unknown")</f>
        <v>Silver</v>
      </c>
      <c r="AA677" t="str">
        <f t="shared" si="10"/>
        <v>2024-10</v>
      </c>
      <c r="AB677" t="str">
        <f>IFERROR(INDEX(Products!$I:$I,MATCH(D677,Products!$A:$A,0)),"Unknown")</f>
        <v>SUP015</v>
      </c>
    </row>
    <row r="678" spans="1:28" x14ac:dyDescent="0.25">
      <c r="A678" t="s">
        <v>2093</v>
      </c>
      <c r="B678" s="20">
        <v>45624</v>
      </c>
      <c r="C678" t="s">
        <v>1253</v>
      </c>
      <c r="D678" t="s">
        <v>469</v>
      </c>
      <c r="E678" t="s">
        <v>451</v>
      </c>
      <c r="F678" t="s">
        <v>201</v>
      </c>
      <c r="G678">
        <v>4</v>
      </c>
      <c r="H678" s="21">
        <v>830.44</v>
      </c>
      <c r="I678">
        <v>30</v>
      </c>
      <c r="J678" s="21">
        <v>996.53</v>
      </c>
      <c r="K678">
        <v>5</v>
      </c>
      <c r="L678" s="21">
        <v>116.26</v>
      </c>
      <c r="M678" s="21">
        <v>2441.4899999999998</v>
      </c>
      <c r="N678" s="21">
        <v>2272.2399999999998</v>
      </c>
      <c r="O678" s="21">
        <v>52.99</v>
      </c>
      <c r="P678" t="s">
        <v>127</v>
      </c>
      <c r="Q678" t="s">
        <v>122</v>
      </c>
      <c r="R678" t="s">
        <v>151</v>
      </c>
      <c r="S678" t="s">
        <v>1881</v>
      </c>
      <c r="T678" t="s">
        <v>153</v>
      </c>
      <c r="U678" t="s">
        <v>154</v>
      </c>
      <c r="V678" t="str">
        <f>IFERROR(INDEX(Products!$C:$C,MATCH(D678,Products!$A:$A,0)),"Unknown")</f>
        <v>Women Kurtis</v>
      </c>
      <c r="W678" t="str">
        <f>IFERROR(INDEX(Products!$E:$E,MATCH(D678,Products!$A:$A,0)),"Unknown")</f>
        <v>Libas</v>
      </c>
      <c r="X678" t="str">
        <f>IFERROR(INDEX(Stores!$B:$B,MATCH(E678,Stores!$A:$A,0)),"Unknown")</f>
        <v>TrendMart Thoothukudi High Street</v>
      </c>
      <c r="Y678" t="str">
        <f>IFERROR(INDEX(Stores!$E:$E,MATCH(E678,Stores!$A:$A,0)),"Unknown")</f>
        <v>South Zone 1</v>
      </c>
      <c r="Z678" t="str">
        <f>IFERROR(INDEX(Customers!$J:$J,MATCH(C678,Customers!$A:$A,0)),"Unknown")</f>
        <v>Gold</v>
      </c>
      <c r="AA678" t="str">
        <f t="shared" si="10"/>
        <v>2024-11</v>
      </c>
      <c r="AB678" t="str">
        <f>IFERROR(INDEX(Products!$I:$I,MATCH(D678,Products!$A:$A,0)),"Unknown")</f>
        <v>SUP079</v>
      </c>
    </row>
    <row r="679" spans="1:28" x14ac:dyDescent="0.25">
      <c r="A679" t="s">
        <v>2094</v>
      </c>
      <c r="B679" s="20">
        <v>45504</v>
      </c>
      <c r="C679" t="s">
        <v>957</v>
      </c>
      <c r="D679" t="s">
        <v>697</v>
      </c>
      <c r="E679" t="s">
        <v>280</v>
      </c>
      <c r="F679" t="s">
        <v>253</v>
      </c>
      <c r="G679">
        <v>3</v>
      </c>
      <c r="H679" s="21">
        <v>1132.5899999999999</v>
      </c>
      <c r="I679">
        <v>30</v>
      </c>
      <c r="J679" s="21">
        <v>1019.33</v>
      </c>
      <c r="K679">
        <v>12</v>
      </c>
      <c r="L679" s="21">
        <v>285.41000000000003</v>
      </c>
      <c r="M679" s="21">
        <v>2663.85</v>
      </c>
      <c r="N679" s="21">
        <v>2099.52</v>
      </c>
      <c r="O679" s="21">
        <v>278.92</v>
      </c>
      <c r="P679" t="s">
        <v>124</v>
      </c>
      <c r="Q679" t="s">
        <v>120</v>
      </c>
      <c r="R679" t="s">
        <v>151</v>
      </c>
      <c r="S679" t="s">
        <v>668</v>
      </c>
      <c r="T679" t="s">
        <v>153</v>
      </c>
      <c r="U679" t="s">
        <v>154</v>
      </c>
      <c r="V679" t="str">
        <f>IFERROR(INDEX(Products!$C:$C,MATCH(D679,Products!$A:$A,0)),"Unknown")</f>
        <v>Women Tops</v>
      </c>
      <c r="W679" t="str">
        <f>IFERROR(INDEX(Products!$E:$E,MATCH(D679,Products!$A:$A,0)),"Unknown")</f>
        <v>Nalli Silks</v>
      </c>
      <c r="X679" t="str">
        <f>IFERROR(INDEX(Stores!$B:$B,MATCH(E679,Stores!$A:$A,0)),"Unknown")</f>
        <v>TrendMart Chennai Standard</v>
      </c>
      <c r="Y679" t="str">
        <f>IFERROR(INDEX(Stores!$E:$E,MATCH(E679,Stores!$A:$A,0)),"Unknown")</f>
        <v>South Zone 1</v>
      </c>
      <c r="Z679" t="str">
        <f>IFERROR(INDEX(Customers!$J:$J,MATCH(C679,Customers!$A:$A,0)),"Unknown")</f>
        <v>Regular</v>
      </c>
      <c r="AA679" t="str">
        <f t="shared" si="10"/>
        <v>2024-07</v>
      </c>
      <c r="AB679" t="str">
        <f>IFERROR(INDEX(Products!$I:$I,MATCH(D679,Products!$A:$A,0)),"Unknown")</f>
        <v>SUP008</v>
      </c>
    </row>
    <row r="680" spans="1:28" x14ac:dyDescent="0.25">
      <c r="A680" t="s">
        <v>2095</v>
      </c>
      <c r="B680" s="20">
        <v>45388</v>
      </c>
      <c r="C680" t="s">
        <v>2096</v>
      </c>
      <c r="D680" t="s">
        <v>595</v>
      </c>
      <c r="E680" t="s">
        <v>525</v>
      </c>
      <c r="F680" t="s">
        <v>335</v>
      </c>
      <c r="G680">
        <v>2</v>
      </c>
      <c r="H680" s="21">
        <v>926.02</v>
      </c>
      <c r="I680">
        <v>0</v>
      </c>
      <c r="J680" s="21">
        <v>0</v>
      </c>
      <c r="K680">
        <v>5</v>
      </c>
      <c r="L680" s="21">
        <v>92.6</v>
      </c>
      <c r="M680" s="21">
        <v>1944.64</v>
      </c>
      <c r="N680" s="21">
        <v>1180.96</v>
      </c>
      <c r="O680" s="21">
        <v>671.08</v>
      </c>
      <c r="P680" t="s">
        <v>125</v>
      </c>
      <c r="Q680" t="s">
        <v>120</v>
      </c>
      <c r="R680" t="s">
        <v>151</v>
      </c>
      <c r="S680" t="s">
        <v>2097</v>
      </c>
      <c r="T680" t="s">
        <v>161</v>
      </c>
      <c r="U680" t="s">
        <v>154</v>
      </c>
      <c r="V680" t="str">
        <f>IFERROR(INDEX(Products!$C:$C,MATCH(D680,Products!$A:$A,0)),"Unknown")</f>
        <v>Men Shirts</v>
      </c>
      <c r="W680" t="str">
        <f>IFERROR(INDEX(Products!$E:$E,MATCH(D680,Products!$A:$A,0)),"Unknown")</f>
        <v>Nalli Silks</v>
      </c>
      <c r="X680" t="str">
        <f>IFERROR(INDEX(Stores!$B:$B,MATCH(E680,Stores!$A:$A,0)),"Unknown")</f>
        <v>TrendMart Kollam Standard</v>
      </c>
      <c r="Y680" t="str">
        <f>IFERROR(INDEX(Stores!$E:$E,MATCH(E680,Stores!$A:$A,0)),"Unknown")</f>
        <v>South Zone 1</v>
      </c>
      <c r="Z680" t="str">
        <f>IFERROR(INDEX(Customers!$J:$J,MATCH(C680,Customers!$A:$A,0)),"Unknown")</f>
        <v>Regular</v>
      </c>
      <c r="AA680" t="str">
        <f t="shared" si="10"/>
        <v>2024-04</v>
      </c>
      <c r="AB680" t="str">
        <f>IFERROR(INDEX(Products!$I:$I,MATCH(D680,Products!$A:$A,0)),"Unknown")</f>
        <v>SUP055</v>
      </c>
    </row>
    <row r="681" spans="1:28" x14ac:dyDescent="0.25">
      <c r="A681" t="s">
        <v>2098</v>
      </c>
      <c r="B681" s="20">
        <v>45585</v>
      </c>
      <c r="C681" t="s">
        <v>2099</v>
      </c>
      <c r="D681" t="s">
        <v>494</v>
      </c>
      <c r="E681" t="s">
        <v>1068</v>
      </c>
      <c r="F681" t="s">
        <v>403</v>
      </c>
      <c r="G681">
        <v>2</v>
      </c>
      <c r="H681" s="21">
        <v>1833.71</v>
      </c>
      <c r="I681">
        <v>0</v>
      </c>
      <c r="J681" s="21">
        <v>0</v>
      </c>
      <c r="K681">
        <v>12</v>
      </c>
      <c r="L681" s="21">
        <v>440.09</v>
      </c>
      <c r="M681" s="21">
        <v>4107.51</v>
      </c>
      <c r="N681" s="21">
        <v>2281.8000000000002</v>
      </c>
      <c r="O681" s="21">
        <v>1385.62</v>
      </c>
      <c r="P681" t="s">
        <v>124</v>
      </c>
      <c r="Q681" t="s">
        <v>120</v>
      </c>
      <c r="R681" t="s">
        <v>313</v>
      </c>
      <c r="S681" t="s">
        <v>2100</v>
      </c>
      <c r="T681" t="s">
        <v>161</v>
      </c>
      <c r="U681" t="s">
        <v>154</v>
      </c>
      <c r="V681" t="str">
        <f>IFERROR(INDEX(Products!$C:$C,MATCH(D681,Products!$A:$A,0)),"Unknown")</f>
        <v>Women Dresses</v>
      </c>
      <c r="W681" t="str">
        <f>IFERROR(INDEX(Products!$E:$E,MATCH(D681,Products!$A:$A,0)),"Unknown")</f>
        <v>Reebok</v>
      </c>
      <c r="X681" t="str">
        <f>IFERROR(INDEX(Stores!$B:$B,MATCH(E681,Stores!$A:$A,0)),"Unknown")</f>
        <v>TrendMart Tumakuru High Street</v>
      </c>
      <c r="Y681" t="str">
        <f>IFERROR(INDEX(Stores!$E:$E,MATCH(E681,Stores!$A:$A,0)),"Unknown")</f>
        <v>South Zone 2</v>
      </c>
      <c r="Z681" t="str">
        <f>IFERROR(INDEX(Customers!$J:$J,MATCH(C681,Customers!$A:$A,0)),"Unknown")</f>
        <v>Gold</v>
      </c>
      <c r="AA681" t="str">
        <f t="shared" si="10"/>
        <v>2024-10</v>
      </c>
      <c r="AB681" t="str">
        <f>IFERROR(INDEX(Products!$I:$I,MATCH(D681,Products!$A:$A,0)),"Unknown")</f>
        <v>SUP085</v>
      </c>
    </row>
    <row r="682" spans="1:28" x14ac:dyDescent="0.25">
      <c r="A682" t="s">
        <v>2101</v>
      </c>
      <c r="B682" s="20">
        <v>45635</v>
      </c>
      <c r="C682" t="s">
        <v>2102</v>
      </c>
      <c r="D682" t="s">
        <v>424</v>
      </c>
      <c r="E682" t="s">
        <v>588</v>
      </c>
      <c r="F682" t="s">
        <v>242</v>
      </c>
      <c r="G682">
        <v>4</v>
      </c>
      <c r="H682" s="21">
        <v>315.62</v>
      </c>
      <c r="I682">
        <v>15</v>
      </c>
      <c r="J682" s="21">
        <v>189.37</v>
      </c>
      <c r="K682">
        <v>5</v>
      </c>
      <c r="L682" s="21">
        <v>53.66</v>
      </c>
      <c r="M682" s="21">
        <v>1126.77</v>
      </c>
      <c r="N682" s="21">
        <v>1016.6</v>
      </c>
      <c r="O682" s="21">
        <v>56.51</v>
      </c>
      <c r="P682" t="s">
        <v>121</v>
      </c>
      <c r="Q682" t="s">
        <v>122</v>
      </c>
      <c r="R682" t="s">
        <v>151</v>
      </c>
      <c r="S682" t="s">
        <v>2103</v>
      </c>
      <c r="T682" t="s">
        <v>153</v>
      </c>
      <c r="U682" t="s">
        <v>154</v>
      </c>
      <c r="V682" t="str">
        <f>IFERROR(INDEX(Products!$C:$C,MATCH(D682,Products!$A:$A,0)),"Unknown")</f>
        <v>Belts</v>
      </c>
      <c r="W682" t="str">
        <f>IFERROR(INDEX(Products!$E:$E,MATCH(D682,Products!$A:$A,0)),"Unknown")</f>
        <v>Raymond</v>
      </c>
      <c r="X682" t="str">
        <f>IFERROR(INDEX(Stores!$B:$B,MATCH(E682,Stores!$A:$A,0)),"Unknown")</f>
        <v>TrendMart Nizamabad Standard</v>
      </c>
      <c r="Y682" t="str">
        <f>IFERROR(INDEX(Stores!$E:$E,MATCH(E682,Stores!$A:$A,0)),"Unknown")</f>
        <v>South Zone 2</v>
      </c>
      <c r="Z682" t="str">
        <f>IFERROR(INDEX(Customers!$J:$J,MATCH(C682,Customers!$A:$A,0)),"Unknown")</f>
        <v>Gold</v>
      </c>
      <c r="AA682" t="str">
        <f t="shared" si="10"/>
        <v>2024-12</v>
      </c>
      <c r="AB682" t="str">
        <f>IFERROR(INDEX(Products!$I:$I,MATCH(D682,Products!$A:$A,0)),"Unknown")</f>
        <v>SUP002</v>
      </c>
    </row>
    <row r="683" spans="1:28" x14ac:dyDescent="0.25">
      <c r="A683" t="s">
        <v>2104</v>
      </c>
      <c r="B683" s="20">
        <v>45415</v>
      </c>
      <c r="C683" t="s">
        <v>2105</v>
      </c>
      <c r="D683" t="s">
        <v>376</v>
      </c>
      <c r="E683" t="s">
        <v>1108</v>
      </c>
      <c r="F683" t="s">
        <v>165</v>
      </c>
      <c r="G683">
        <v>3</v>
      </c>
      <c r="H683" s="21">
        <v>1322.42</v>
      </c>
      <c r="I683">
        <v>10</v>
      </c>
      <c r="J683" s="21">
        <v>396.73</v>
      </c>
      <c r="K683">
        <v>12</v>
      </c>
      <c r="L683" s="21">
        <v>428.46</v>
      </c>
      <c r="M683" s="21">
        <v>3998.99</v>
      </c>
      <c r="N683" s="21">
        <v>3075.72</v>
      </c>
      <c r="O683" s="21">
        <v>494.81</v>
      </c>
      <c r="P683" t="s">
        <v>124</v>
      </c>
      <c r="Q683" t="s">
        <v>120</v>
      </c>
      <c r="R683" t="s">
        <v>151</v>
      </c>
      <c r="S683" t="s">
        <v>2106</v>
      </c>
      <c r="T683" t="s">
        <v>153</v>
      </c>
      <c r="U683" t="s">
        <v>154</v>
      </c>
      <c r="V683" t="str">
        <f>IFERROR(INDEX(Products!$C:$C,MATCH(D683,Products!$A:$A,0)),"Unknown")</f>
        <v>Women Jeans</v>
      </c>
      <c r="W683" t="str">
        <f>IFERROR(INDEX(Products!$E:$E,MATCH(D683,Products!$A:$A,0)),"Unknown")</f>
        <v>Pothys</v>
      </c>
      <c r="X683" t="str">
        <f>IFERROR(INDEX(Stores!$B:$B,MATCH(E683,Stores!$A:$A,0)),"Unknown")</f>
        <v>TrendMart Karimnagar Standard</v>
      </c>
      <c r="Y683" t="str">
        <f>IFERROR(INDEX(Stores!$E:$E,MATCH(E683,Stores!$A:$A,0)),"Unknown")</f>
        <v>South Zone 2</v>
      </c>
      <c r="Z683" t="str">
        <f>IFERROR(INDEX(Customers!$J:$J,MATCH(C683,Customers!$A:$A,0)),"Unknown")</f>
        <v>Regular</v>
      </c>
      <c r="AA683" t="str">
        <f t="shared" si="10"/>
        <v>2024-05</v>
      </c>
      <c r="AB683" t="str">
        <f>IFERROR(INDEX(Products!$I:$I,MATCH(D683,Products!$A:$A,0)),"Unknown")</f>
        <v>SUP015</v>
      </c>
    </row>
    <row r="684" spans="1:28" x14ac:dyDescent="0.25">
      <c r="A684" t="s">
        <v>2107</v>
      </c>
      <c r="B684" s="20">
        <v>45690</v>
      </c>
      <c r="C684" t="s">
        <v>1441</v>
      </c>
      <c r="D684" t="s">
        <v>622</v>
      </c>
      <c r="E684" t="s">
        <v>206</v>
      </c>
      <c r="F684" t="s">
        <v>165</v>
      </c>
      <c r="G684">
        <v>2</v>
      </c>
      <c r="H684" s="21">
        <v>2832.56</v>
      </c>
      <c r="I684">
        <v>25</v>
      </c>
      <c r="J684" s="21">
        <v>1416.28</v>
      </c>
      <c r="K684">
        <v>12</v>
      </c>
      <c r="L684" s="21">
        <v>509.86</v>
      </c>
      <c r="M684" s="21">
        <v>4758.7</v>
      </c>
      <c r="N684" s="21">
        <v>3706.28</v>
      </c>
      <c r="O684" s="21">
        <v>542.55999999999995</v>
      </c>
      <c r="P684" t="s">
        <v>121</v>
      </c>
      <c r="Q684" t="s">
        <v>120</v>
      </c>
      <c r="R684" t="s">
        <v>151</v>
      </c>
      <c r="S684" t="s">
        <v>2108</v>
      </c>
      <c r="T684" t="s">
        <v>161</v>
      </c>
      <c r="U684" t="s">
        <v>154</v>
      </c>
      <c r="V684" t="str">
        <f>IFERROR(INDEX(Products!$C:$C,MATCH(D684,Products!$A:$A,0)),"Unknown")</f>
        <v>Women Sarees</v>
      </c>
      <c r="W684" t="str">
        <f>IFERROR(INDEX(Products!$E:$E,MATCH(D684,Products!$A:$A,0)),"Unknown")</f>
        <v>Sparx</v>
      </c>
      <c r="X684" t="str">
        <f>IFERROR(INDEX(Stores!$B:$B,MATCH(E684,Stores!$A:$A,0)),"Unknown")</f>
        <v>TrendMart Nizamabad Outlet</v>
      </c>
      <c r="Y684" t="str">
        <f>IFERROR(INDEX(Stores!$E:$E,MATCH(E684,Stores!$A:$A,0)),"Unknown")</f>
        <v>South Zone 2</v>
      </c>
      <c r="Z684" t="str">
        <f>IFERROR(INDEX(Customers!$J:$J,MATCH(C684,Customers!$A:$A,0)),"Unknown")</f>
        <v>Platinum</v>
      </c>
      <c r="AA684" t="str">
        <f t="shared" si="10"/>
        <v>2025-02</v>
      </c>
      <c r="AB684" t="str">
        <f>IFERROR(INDEX(Products!$I:$I,MATCH(D684,Products!$A:$A,0)),"Unknown")</f>
        <v>SUP080</v>
      </c>
    </row>
    <row r="685" spans="1:28" x14ac:dyDescent="0.25">
      <c r="A685" t="s">
        <v>2109</v>
      </c>
      <c r="B685" s="20">
        <v>45668</v>
      </c>
      <c r="C685" t="s">
        <v>2110</v>
      </c>
      <c r="D685" t="s">
        <v>622</v>
      </c>
      <c r="E685" t="s">
        <v>727</v>
      </c>
      <c r="F685" t="s">
        <v>596</v>
      </c>
      <c r="G685">
        <v>1</v>
      </c>
      <c r="H685" s="21">
        <v>2849.39</v>
      </c>
      <c r="I685">
        <v>30</v>
      </c>
      <c r="J685" s="21">
        <v>854.82</v>
      </c>
      <c r="K685">
        <v>12</v>
      </c>
      <c r="L685" s="21">
        <v>239.35</v>
      </c>
      <c r="M685" s="21">
        <v>2233.92</v>
      </c>
      <c r="N685" s="21">
        <v>1853.14</v>
      </c>
      <c r="O685" s="21">
        <v>141.43</v>
      </c>
      <c r="P685" t="s">
        <v>121</v>
      </c>
      <c r="Q685" t="s">
        <v>120</v>
      </c>
      <c r="R685" t="s">
        <v>151</v>
      </c>
      <c r="S685" t="s">
        <v>879</v>
      </c>
      <c r="T685" t="s">
        <v>161</v>
      </c>
      <c r="U685" t="s">
        <v>154</v>
      </c>
      <c r="V685" t="str">
        <f>IFERROR(INDEX(Products!$C:$C,MATCH(D685,Products!$A:$A,0)),"Unknown")</f>
        <v>Women Sarees</v>
      </c>
      <c r="W685" t="str">
        <f>IFERROR(INDEX(Products!$E:$E,MATCH(D685,Products!$A:$A,0)),"Unknown")</f>
        <v>Sparx</v>
      </c>
      <c r="X685" t="str">
        <f>IFERROR(INDEX(Stores!$B:$B,MATCH(E685,Stores!$A:$A,0)),"Unknown")</f>
        <v>TrendMart Nizamabad Standard</v>
      </c>
      <c r="Y685" t="str">
        <f>IFERROR(INDEX(Stores!$E:$E,MATCH(E685,Stores!$A:$A,0)),"Unknown")</f>
        <v>South Zone 2</v>
      </c>
      <c r="Z685" t="str">
        <f>IFERROR(INDEX(Customers!$J:$J,MATCH(C685,Customers!$A:$A,0)),"Unknown")</f>
        <v>Regular</v>
      </c>
      <c r="AA685" t="str">
        <f t="shared" si="10"/>
        <v>2025-01</v>
      </c>
      <c r="AB685" t="str">
        <f>IFERROR(INDEX(Products!$I:$I,MATCH(D685,Products!$A:$A,0)),"Unknown")</f>
        <v>SUP080</v>
      </c>
    </row>
    <row r="686" spans="1:28" x14ac:dyDescent="0.25">
      <c r="A686" t="s">
        <v>2111</v>
      </c>
      <c r="B686" s="20">
        <v>45535</v>
      </c>
      <c r="C686" t="s">
        <v>1473</v>
      </c>
      <c r="D686" t="s">
        <v>1130</v>
      </c>
      <c r="E686" t="s">
        <v>83</v>
      </c>
      <c r="F686" t="s">
        <v>165</v>
      </c>
      <c r="G686">
        <v>2</v>
      </c>
      <c r="H686" s="21">
        <v>3729.48</v>
      </c>
      <c r="I686">
        <v>15</v>
      </c>
      <c r="J686" s="21">
        <v>1118.8399999999999</v>
      </c>
      <c r="K686">
        <v>12</v>
      </c>
      <c r="L686" s="21">
        <v>760.81</v>
      </c>
      <c r="M686" s="21">
        <v>7100.93</v>
      </c>
      <c r="N686" s="21">
        <v>5464.62</v>
      </c>
      <c r="O686" s="21">
        <v>875.5</v>
      </c>
      <c r="P686" t="s">
        <v>124</v>
      </c>
      <c r="Q686" t="s">
        <v>120</v>
      </c>
      <c r="R686" t="s">
        <v>151</v>
      </c>
      <c r="S686" t="s">
        <v>2112</v>
      </c>
      <c r="T686" t="s">
        <v>161</v>
      </c>
      <c r="U686" t="s">
        <v>154</v>
      </c>
      <c r="V686" t="str">
        <f>IFERROR(INDEX(Products!$C:$C,MATCH(D686,Products!$A:$A,0)),"Unknown")</f>
        <v>Women Sarees</v>
      </c>
      <c r="W686" t="str">
        <f>IFERROR(INDEX(Products!$E:$E,MATCH(D686,Products!$A:$A,0)),"Unknown")</f>
        <v>Sparx</v>
      </c>
      <c r="X686" t="str">
        <f>IFERROR(INDEX(Stores!$B:$B,MATCH(E686,Stores!$A:$A,0)),"Unknown")</f>
        <v>TrendMart Vellore Standard</v>
      </c>
      <c r="Y686" t="str">
        <f>IFERROR(INDEX(Stores!$E:$E,MATCH(E686,Stores!$A:$A,0)),"Unknown")</f>
        <v>South Zone 1</v>
      </c>
      <c r="Z686" t="str">
        <f>IFERROR(INDEX(Customers!$J:$J,MATCH(C686,Customers!$A:$A,0)),"Unknown")</f>
        <v>Regular</v>
      </c>
      <c r="AA686" t="str">
        <f t="shared" si="10"/>
        <v>2024-08</v>
      </c>
      <c r="AB686" t="str">
        <f>IFERROR(INDEX(Products!$I:$I,MATCH(D686,Products!$A:$A,0)),"Unknown")</f>
        <v>SUP069</v>
      </c>
    </row>
    <row r="687" spans="1:28" x14ac:dyDescent="0.25">
      <c r="A687" t="s">
        <v>2113</v>
      </c>
      <c r="B687" s="20">
        <v>45624</v>
      </c>
      <c r="C687" t="s">
        <v>1711</v>
      </c>
      <c r="D687" t="s">
        <v>164</v>
      </c>
      <c r="E687" t="s">
        <v>639</v>
      </c>
      <c r="F687" t="s">
        <v>434</v>
      </c>
      <c r="G687">
        <v>1</v>
      </c>
      <c r="H687" s="21">
        <v>3845.25</v>
      </c>
      <c r="I687">
        <v>10</v>
      </c>
      <c r="J687" s="21">
        <v>384.52</v>
      </c>
      <c r="K687">
        <v>12</v>
      </c>
      <c r="L687" s="21">
        <v>415.29</v>
      </c>
      <c r="M687" s="21">
        <v>3876.02</v>
      </c>
      <c r="N687" s="21">
        <v>2633.56</v>
      </c>
      <c r="O687" s="21">
        <v>827.17</v>
      </c>
      <c r="P687" t="s">
        <v>125</v>
      </c>
      <c r="Q687" t="s">
        <v>120</v>
      </c>
      <c r="R687" t="s">
        <v>151</v>
      </c>
      <c r="S687" t="s">
        <v>1492</v>
      </c>
      <c r="T687" t="s">
        <v>153</v>
      </c>
      <c r="U687" t="s">
        <v>154</v>
      </c>
      <c r="V687" t="str">
        <f>IFERROR(INDEX(Products!$C:$C,MATCH(D687,Products!$A:$A,0)),"Unknown")</f>
        <v>Women Sarees</v>
      </c>
      <c r="W687" t="str">
        <f>IFERROR(INDEX(Products!$E:$E,MATCH(D687,Products!$A:$A,0)),"Unknown")</f>
        <v>Westside</v>
      </c>
      <c r="X687" t="str">
        <f>IFERROR(INDEX(Stores!$B:$B,MATCH(E687,Stores!$A:$A,0)),"Unknown")</f>
        <v>TrendMart Kurnool Outlet</v>
      </c>
      <c r="Y687" t="str">
        <f>IFERROR(INDEX(Stores!$E:$E,MATCH(E687,Stores!$A:$A,0)),"Unknown")</f>
        <v>South Zone 3</v>
      </c>
      <c r="Z687" t="str">
        <f>IFERROR(INDEX(Customers!$J:$J,MATCH(C687,Customers!$A:$A,0)),"Unknown")</f>
        <v>Regular</v>
      </c>
      <c r="AA687" t="str">
        <f t="shared" si="10"/>
        <v>2024-11</v>
      </c>
      <c r="AB687" t="str">
        <f>IFERROR(INDEX(Products!$I:$I,MATCH(D687,Products!$A:$A,0)),"Unknown")</f>
        <v>SUP069</v>
      </c>
    </row>
    <row r="688" spans="1:28" x14ac:dyDescent="0.25">
      <c r="A688" t="s">
        <v>2114</v>
      </c>
      <c r="B688" s="20">
        <v>45681</v>
      </c>
      <c r="C688" t="s">
        <v>2115</v>
      </c>
      <c r="D688" t="s">
        <v>489</v>
      </c>
      <c r="E688" t="s">
        <v>98</v>
      </c>
      <c r="F688" t="s">
        <v>397</v>
      </c>
      <c r="G688">
        <v>2</v>
      </c>
      <c r="H688" s="21">
        <v>1462.47</v>
      </c>
      <c r="I688">
        <v>15</v>
      </c>
      <c r="J688" s="21">
        <v>438.74</v>
      </c>
      <c r="K688">
        <v>12</v>
      </c>
      <c r="L688" s="21">
        <v>298.33999999999997</v>
      </c>
      <c r="M688" s="21">
        <v>2784.54</v>
      </c>
      <c r="N688" s="21">
        <v>2097.42</v>
      </c>
      <c r="O688" s="21">
        <v>388.78</v>
      </c>
      <c r="P688" t="s">
        <v>125</v>
      </c>
      <c r="Q688" t="s">
        <v>122</v>
      </c>
      <c r="R688" t="s">
        <v>151</v>
      </c>
      <c r="S688" t="s">
        <v>491</v>
      </c>
      <c r="T688" t="s">
        <v>153</v>
      </c>
      <c r="U688" t="s">
        <v>154</v>
      </c>
      <c r="V688" t="str">
        <f>IFERROR(INDEX(Products!$C:$C,MATCH(D688,Products!$A:$A,0)),"Unknown")</f>
        <v>Women Jeans</v>
      </c>
      <c r="W688" t="str">
        <f>IFERROR(INDEX(Products!$E:$E,MATCH(D688,Products!$A:$A,0)),"Unknown")</f>
        <v>Woodland</v>
      </c>
      <c r="X688" t="str">
        <f>IFERROR(INDEX(Stores!$B:$B,MATCH(E688,Stores!$A:$A,0)),"Unknown")</f>
        <v>TrendMart Bengaluru Flagship</v>
      </c>
      <c r="Y688" t="str">
        <f>IFERROR(INDEX(Stores!$E:$E,MATCH(E688,Stores!$A:$A,0)),"Unknown")</f>
        <v>South Zone 2</v>
      </c>
      <c r="Z688" t="str">
        <f>IFERROR(INDEX(Customers!$J:$J,MATCH(C688,Customers!$A:$A,0)),"Unknown")</f>
        <v>Gold</v>
      </c>
      <c r="AA688" t="str">
        <f t="shared" si="10"/>
        <v>2025-01</v>
      </c>
      <c r="AB688" t="str">
        <f>IFERROR(INDEX(Products!$I:$I,MATCH(D688,Products!$A:$A,0)),"Unknown")</f>
        <v>SUP015</v>
      </c>
    </row>
    <row r="689" spans="1:28" x14ac:dyDescent="0.25">
      <c r="A689" t="s">
        <v>2116</v>
      </c>
      <c r="B689" s="20">
        <v>45471</v>
      </c>
      <c r="C689" t="s">
        <v>2117</v>
      </c>
      <c r="D689" t="s">
        <v>236</v>
      </c>
      <c r="E689" t="s">
        <v>810</v>
      </c>
      <c r="F689" t="s">
        <v>258</v>
      </c>
      <c r="G689">
        <v>3</v>
      </c>
      <c r="H689" s="21">
        <v>784.69</v>
      </c>
      <c r="I689">
        <v>10</v>
      </c>
      <c r="J689" s="21">
        <v>235.41</v>
      </c>
      <c r="K689">
        <v>5</v>
      </c>
      <c r="L689" s="21">
        <v>105.93</v>
      </c>
      <c r="M689" s="21">
        <v>2224.59</v>
      </c>
      <c r="N689" s="21">
        <v>1650.03</v>
      </c>
      <c r="O689" s="21">
        <v>468.63</v>
      </c>
      <c r="P689" t="s">
        <v>126</v>
      </c>
      <c r="Q689" t="s">
        <v>120</v>
      </c>
      <c r="R689" t="s">
        <v>151</v>
      </c>
      <c r="S689" t="s">
        <v>1332</v>
      </c>
      <c r="T689" t="s">
        <v>153</v>
      </c>
      <c r="U689" t="s">
        <v>154</v>
      </c>
      <c r="V689" t="str">
        <f>IFERROR(INDEX(Products!$C:$C,MATCH(D689,Products!$A:$A,0)),"Unknown")</f>
        <v>Women Tops</v>
      </c>
      <c r="W689" t="str">
        <f>IFERROR(INDEX(Products!$E:$E,MATCH(D689,Products!$A:$A,0)),"Unknown")</f>
        <v>Nike</v>
      </c>
      <c r="X689" t="str">
        <f>IFERROR(INDEX(Stores!$B:$B,MATCH(E689,Stores!$A:$A,0)),"Unknown")</f>
        <v>TrendMart Nizamabad Standard</v>
      </c>
      <c r="Y689" t="str">
        <f>IFERROR(INDEX(Stores!$E:$E,MATCH(E689,Stores!$A:$A,0)),"Unknown")</f>
        <v>South Zone 2</v>
      </c>
      <c r="Z689" t="str">
        <f>IFERROR(INDEX(Customers!$J:$J,MATCH(C689,Customers!$A:$A,0)),"Unknown")</f>
        <v>Regular</v>
      </c>
      <c r="AA689" t="str">
        <f t="shared" si="10"/>
        <v>2024-06</v>
      </c>
      <c r="AB689" t="str">
        <f>IFERROR(INDEX(Products!$I:$I,MATCH(D689,Products!$A:$A,0)),"Unknown")</f>
        <v>SUP075</v>
      </c>
    </row>
    <row r="690" spans="1:28" x14ac:dyDescent="0.25">
      <c r="A690" t="s">
        <v>2118</v>
      </c>
      <c r="B690" s="20">
        <v>45492</v>
      </c>
      <c r="C690" t="s">
        <v>192</v>
      </c>
      <c r="D690" t="s">
        <v>169</v>
      </c>
      <c r="E690" t="s">
        <v>815</v>
      </c>
      <c r="F690" t="s">
        <v>258</v>
      </c>
      <c r="G690">
        <v>2</v>
      </c>
      <c r="H690" s="21">
        <v>5008.82</v>
      </c>
      <c r="I690">
        <v>10</v>
      </c>
      <c r="J690" s="21">
        <v>1001.76</v>
      </c>
      <c r="K690">
        <v>12</v>
      </c>
      <c r="L690" s="21">
        <v>1081.9100000000001</v>
      </c>
      <c r="M690" s="21">
        <v>10097.790000000001</v>
      </c>
      <c r="N690" s="21">
        <v>6741.6</v>
      </c>
      <c r="O690" s="21">
        <v>2274.2800000000002</v>
      </c>
      <c r="P690" t="s">
        <v>123</v>
      </c>
      <c r="Q690" t="s">
        <v>120</v>
      </c>
      <c r="R690" t="s">
        <v>151</v>
      </c>
      <c r="S690" t="s">
        <v>2119</v>
      </c>
      <c r="T690" t="s">
        <v>153</v>
      </c>
      <c r="U690" t="s">
        <v>154</v>
      </c>
      <c r="V690" t="str">
        <f>IFERROR(INDEX(Products!$C:$C,MATCH(D690,Products!$A:$A,0)),"Unknown")</f>
        <v>Women Sarees</v>
      </c>
      <c r="W690" t="str">
        <f>IFERROR(INDEX(Products!$E:$E,MATCH(D690,Products!$A:$A,0)),"Unknown")</f>
        <v>Max Fashion</v>
      </c>
      <c r="X690" t="str">
        <f>IFERROR(INDEX(Stores!$B:$B,MATCH(E690,Stores!$A:$A,0)),"Unknown")</f>
        <v>TrendMart Madurai Mall Kiosk</v>
      </c>
      <c r="Y690" t="str">
        <f>IFERROR(INDEX(Stores!$E:$E,MATCH(E690,Stores!$A:$A,0)),"Unknown")</f>
        <v>South Zone 1</v>
      </c>
      <c r="Z690" t="str">
        <f>IFERROR(INDEX(Customers!$J:$J,MATCH(C690,Customers!$A:$A,0)),"Unknown")</f>
        <v>Silver</v>
      </c>
      <c r="AA690" t="str">
        <f t="shared" si="10"/>
        <v>2024-07</v>
      </c>
      <c r="AB690" t="str">
        <f>IFERROR(INDEX(Products!$I:$I,MATCH(D690,Products!$A:$A,0)),"Unknown")</f>
        <v>SUP084</v>
      </c>
    </row>
    <row r="691" spans="1:28" x14ac:dyDescent="0.25">
      <c r="A691" t="s">
        <v>2120</v>
      </c>
      <c r="B691" s="20">
        <v>45624</v>
      </c>
      <c r="C691" t="s">
        <v>441</v>
      </c>
      <c r="D691" t="s">
        <v>210</v>
      </c>
      <c r="E691" t="s">
        <v>87</v>
      </c>
      <c r="F691" t="s">
        <v>574</v>
      </c>
      <c r="G691">
        <v>2</v>
      </c>
      <c r="H691" s="21">
        <v>1748.18</v>
      </c>
      <c r="I691">
        <v>0</v>
      </c>
      <c r="J691" s="21">
        <v>0</v>
      </c>
      <c r="K691">
        <v>12</v>
      </c>
      <c r="L691" s="21">
        <v>419.56</v>
      </c>
      <c r="M691" s="21">
        <v>3915.92</v>
      </c>
      <c r="N691" s="21">
        <v>2799.7</v>
      </c>
      <c r="O691" s="21">
        <v>696.66</v>
      </c>
      <c r="P691" t="s">
        <v>123</v>
      </c>
      <c r="Q691" t="s">
        <v>120</v>
      </c>
      <c r="R691" t="s">
        <v>151</v>
      </c>
      <c r="S691" t="s">
        <v>1342</v>
      </c>
      <c r="T691" t="s">
        <v>153</v>
      </c>
      <c r="U691" t="s">
        <v>154</v>
      </c>
      <c r="V691" t="str">
        <f>IFERROR(INDEX(Products!$C:$C,MATCH(D691,Products!$A:$A,0)),"Unknown")</f>
        <v>Women Dresses</v>
      </c>
      <c r="W691" t="str">
        <f>IFERROR(INDEX(Products!$E:$E,MATCH(D691,Products!$A:$A,0)),"Unknown")</f>
        <v>Nike</v>
      </c>
      <c r="X691" t="str">
        <f>IFERROR(INDEX(Stores!$B:$B,MATCH(E691,Stores!$A:$A,0)),"Unknown")</f>
        <v>TrendMart Thiruvananthapuram Standard</v>
      </c>
      <c r="Y691" t="str">
        <f>IFERROR(INDEX(Stores!$E:$E,MATCH(E691,Stores!$A:$A,0)),"Unknown")</f>
        <v>South Zone 1</v>
      </c>
      <c r="Z691" t="str">
        <f>IFERROR(INDEX(Customers!$J:$J,MATCH(C691,Customers!$A:$A,0)),"Unknown")</f>
        <v>Gold</v>
      </c>
      <c r="AA691" t="str">
        <f t="shared" si="10"/>
        <v>2024-11</v>
      </c>
      <c r="AB691" t="str">
        <f>IFERROR(INDEX(Products!$I:$I,MATCH(D691,Products!$A:$A,0)),"Unknown")</f>
        <v>SUP073</v>
      </c>
    </row>
    <row r="692" spans="1:28" x14ac:dyDescent="0.25">
      <c r="A692" t="s">
        <v>2121</v>
      </c>
      <c r="B692" s="20">
        <v>45563</v>
      </c>
      <c r="C692" t="s">
        <v>2122</v>
      </c>
      <c r="D692" t="s">
        <v>1476</v>
      </c>
      <c r="E692" t="s">
        <v>1074</v>
      </c>
      <c r="F692" t="s">
        <v>403</v>
      </c>
      <c r="G692">
        <v>2</v>
      </c>
      <c r="H692" s="21">
        <v>892.74</v>
      </c>
      <c r="I692">
        <v>0</v>
      </c>
      <c r="J692" s="21">
        <v>0</v>
      </c>
      <c r="K692">
        <v>5</v>
      </c>
      <c r="L692" s="21">
        <v>89.27</v>
      </c>
      <c r="M692" s="21">
        <v>1874.75</v>
      </c>
      <c r="N692" s="21">
        <v>1170.52</v>
      </c>
      <c r="O692" s="21">
        <v>614.96</v>
      </c>
      <c r="P692" t="s">
        <v>125</v>
      </c>
      <c r="Q692" t="s">
        <v>120</v>
      </c>
      <c r="R692" t="s">
        <v>151</v>
      </c>
      <c r="S692" t="s">
        <v>264</v>
      </c>
      <c r="T692" t="s">
        <v>161</v>
      </c>
      <c r="U692" t="s">
        <v>154</v>
      </c>
      <c r="V692" t="str">
        <f>IFERROR(INDEX(Products!$C:$C,MATCH(D692,Products!$A:$A,0)),"Unknown")</f>
        <v>Men Trousers</v>
      </c>
      <c r="W692" t="str">
        <f>IFERROR(INDEX(Products!$E:$E,MATCH(D692,Products!$A:$A,0)),"Unknown")</f>
        <v>Van Heusen</v>
      </c>
      <c r="X692" t="str">
        <f>IFERROR(INDEX(Stores!$B:$B,MATCH(E692,Stores!$A:$A,0)),"Unknown")</f>
        <v>TrendMart Hyderabad Standard</v>
      </c>
      <c r="Y692" t="str">
        <f>IFERROR(INDEX(Stores!$E:$E,MATCH(E692,Stores!$A:$A,0)),"Unknown")</f>
        <v>South Zone 2</v>
      </c>
      <c r="Z692" t="str">
        <f>IFERROR(INDEX(Customers!$J:$J,MATCH(C692,Customers!$A:$A,0)),"Unknown")</f>
        <v>Gold</v>
      </c>
      <c r="AA692" t="str">
        <f t="shared" si="10"/>
        <v>2024-09</v>
      </c>
      <c r="AB692" t="str">
        <f>IFERROR(INDEX(Products!$I:$I,MATCH(D692,Products!$A:$A,0)),"Unknown")</f>
        <v>SUP012</v>
      </c>
    </row>
    <row r="693" spans="1:28" x14ac:dyDescent="0.25">
      <c r="A693" t="s">
        <v>2123</v>
      </c>
      <c r="B693" s="20">
        <v>45448</v>
      </c>
      <c r="C693" t="s">
        <v>1288</v>
      </c>
      <c r="D693" t="s">
        <v>494</v>
      </c>
      <c r="E693" t="s">
        <v>613</v>
      </c>
      <c r="F693" t="s">
        <v>382</v>
      </c>
      <c r="G693">
        <v>2</v>
      </c>
      <c r="H693" s="21">
        <v>1747.98</v>
      </c>
      <c r="I693">
        <v>10</v>
      </c>
      <c r="J693" s="21">
        <v>349.6</v>
      </c>
      <c r="K693">
        <v>12</v>
      </c>
      <c r="L693" s="21">
        <v>377.56</v>
      </c>
      <c r="M693" s="21">
        <v>3523.92</v>
      </c>
      <c r="N693" s="21">
        <v>2281.8000000000002</v>
      </c>
      <c r="O693" s="21">
        <v>864.56</v>
      </c>
      <c r="P693" t="s">
        <v>121</v>
      </c>
      <c r="Q693" t="s">
        <v>122</v>
      </c>
      <c r="R693" t="s">
        <v>151</v>
      </c>
      <c r="S693" t="s">
        <v>1516</v>
      </c>
      <c r="T693" t="s">
        <v>153</v>
      </c>
      <c r="U693" t="s">
        <v>154</v>
      </c>
      <c r="V693" t="str">
        <f>IFERROR(INDEX(Products!$C:$C,MATCH(D693,Products!$A:$A,0)),"Unknown")</f>
        <v>Women Dresses</v>
      </c>
      <c r="W693" t="str">
        <f>IFERROR(INDEX(Products!$E:$E,MATCH(D693,Products!$A:$A,0)),"Unknown")</f>
        <v>Reebok</v>
      </c>
      <c r="X693" t="str">
        <f>IFERROR(INDEX(Stores!$B:$B,MATCH(E693,Stores!$A:$A,0)),"Unknown")</f>
        <v>TrendMart Kochi Mall Kiosk</v>
      </c>
      <c r="Y693" t="str">
        <f>IFERROR(INDEX(Stores!$E:$E,MATCH(E693,Stores!$A:$A,0)),"Unknown")</f>
        <v>South Zone 1</v>
      </c>
      <c r="Z693" t="str">
        <f>IFERROR(INDEX(Customers!$J:$J,MATCH(C693,Customers!$A:$A,0)),"Unknown")</f>
        <v>Silver</v>
      </c>
      <c r="AA693" t="str">
        <f t="shared" si="10"/>
        <v>2024-06</v>
      </c>
      <c r="AB693" t="str">
        <f>IFERROR(INDEX(Products!$I:$I,MATCH(D693,Products!$A:$A,0)),"Unknown")</f>
        <v>SUP085</v>
      </c>
    </row>
    <row r="694" spans="1:28" x14ac:dyDescent="0.25">
      <c r="A694" t="s">
        <v>2124</v>
      </c>
      <c r="B694" s="20">
        <v>45535</v>
      </c>
      <c r="C694" t="s">
        <v>2125</v>
      </c>
      <c r="D694" t="s">
        <v>545</v>
      </c>
      <c r="E694" t="s">
        <v>1017</v>
      </c>
      <c r="F694" t="s">
        <v>382</v>
      </c>
      <c r="G694">
        <v>3</v>
      </c>
      <c r="H694" s="21">
        <v>1541.21</v>
      </c>
      <c r="I694">
        <v>20</v>
      </c>
      <c r="J694" s="21">
        <v>924.73</v>
      </c>
      <c r="K694">
        <v>12</v>
      </c>
      <c r="L694" s="21">
        <v>443.87</v>
      </c>
      <c r="M694" s="21">
        <v>4142.7700000000004</v>
      </c>
      <c r="N694" s="21">
        <v>2504.88</v>
      </c>
      <c r="O694" s="21">
        <v>1194.02</v>
      </c>
      <c r="P694" t="s">
        <v>121</v>
      </c>
      <c r="Q694" t="s">
        <v>120</v>
      </c>
      <c r="R694" t="s">
        <v>151</v>
      </c>
      <c r="S694" t="s">
        <v>2126</v>
      </c>
      <c r="T694" t="s">
        <v>161</v>
      </c>
      <c r="U694" t="s">
        <v>154</v>
      </c>
      <c r="V694" t="str">
        <f>IFERROR(INDEX(Products!$C:$C,MATCH(D694,Products!$A:$A,0)),"Unknown")</f>
        <v>Women Jeans</v>
      </c>
      <c r="W694" t="str">
        <f>IFERROR(INDEX(Products!$E:$E,MATCH(D694,Products!$A:$A,0)),"Unknown")</f>
        <v>US Polo Assn</v>
      </c>
      <c r="X694" t="str">
        <f>IFERROR(INDEX(Stores!$B:$B,MATCH(E694,Stores!$A:$A,0)),"Unknown")</f>
        <v>TrendMart Mangaluru Standard</v>
      </c>
      <c r="Y694" t="str">
        <f>IFERROR(INDEX(Stores!$E:$E,MATCH(E694,Stores!$A:$A,0)),"Unknown")</f>
        <v>South Zone 2</v>
      </c>
      <c r="Z694" t="str">
        <f>IFERROR(INDEX(Customers!$J:$J,MATCH(C694,Customers!$A:$A,0)),"Unknown")</f>
        <v>Regular</v>
      </c>
      <c r="AA694" t="str">
        <f t="shared" si="10"/>
        <v>2024-08</v>
      </c>
      <c r="AB694" t="str">
        <f>IFERROR(INDEX(Products!$I:$I,MATCH(D694,Products!$A:$A,0)),"Unknown")</f>
        <v>SUP041</v>
      </c>
    </row>
    <row r="695" spans="1:28" x14ac:dyDescent="0.25">
      <c r="A695" t="s">
        <v>2127</v>
      </c>
      <c r="B695" s="20">
        <v>45656</v>
      </c>
      <c r="C695" t="s">
        <v>300</v>
      </c>
      <c r="D695" t="s">
        <v>1140</v>
      </c>
      <c r="E695" t="s">
        <v>537</v>
      </c>
      <c r="F695" t="s">
        <v>550</v>
      </c>
      <c r="G695">
        <v>2</v>
      </c>
      <c r="H695" s="21">
        <v>1363.58</v>
      </c>
      <c r="I695">
        <v>0</v>
      </c>
      <c r="J695" s="21">
        <v>0</v>
      </c>
      <c r="K695">
        <v>12</v>
      </c>
      <c r="L695" s="21">
        <v>327.26</v>
      </c>
      <c r="M695" s="21">
        <v>3054.42</v>
      </c>
      <c r="N695" s="21">
        <v>1789.36</v>
      </c>
      <c r="O695" s="21">
        <v>937.8</v>
      </c>
      <c r="P695" t="s">
        <v>121</v>
      </c>
      <c r="Q695" t="s">
        <v>122</v>
      </c>
      <c r="R695" t="s">
        <v>151</v>
      </c>
      <c r="S695" t="s">
        <v>202</v>
      </c>
      <c r="T695" t="s">
        <v>153</v>
      </c>
      <c r="U695" t="s">
        <v>154</v>
      </c>
      <c r="V695" t="str">
        <f>IFERROR(INDEX(Products!$C:$C,MATCH(D695,Products!$A:$A,0)),"Unknown")</f>
        <v>Sportswear</v>
      </c>
      <c r="W695" t="str">
        <f>IFERROR(INDEX(Products!$E:$E,MATCH(D695,Products!$A:$A,0)),"Unknown")</f>
        <v>Bata</v>
      </c>
      <c r="X695" t="str">
        <f>IFERROR(INDEX(Stores!$B:$B,MATCH(E695,Stores!$A:$A,0)),"Unknown")</f>
        <v>TrendMart Thrissur High Street</v>
      </c>
      <c r="Y695" t="str">
        <f>IFERROR(INDEX(Stores!$E:$E,MATCH(E695,Stores!$A:$A,0)),"Unknown")</f>
        <v>South Zone 1</v>
      </c>
      <c r="Z695" t="str">
        <f>IFERROR(INDEX(Customers!$J:$J,MATCH(C695,Customers!$A:$A,0)),"Unknown")</f>
        <v>Silver</v>
      </c>
      <c r="AA695" t="str">
        <f t="shared" si="10"/>
        <v>2024-12</v>
      </c>
      <c r="AB695" t="str">
        <f>IFERROR(INDEX(Products!$I:$I,MATCH(D695,Products!$A:$A,0)),"Unknown")</f>
        <v>SUP065</v>
      </c>
    </row>
    <row r="696" spans="1:28" x14ac:dyDescent="0.25">
      <c r="A696" t="s">
        <v>2128</v>
      </c>
      <c r="B696" s="20">
        <v>45558</v>
      </c>
      <c r="C696" t="s">
        <v>2081</v>
      </c>
      <c r="D696" t="s">
        <v>2129</v>
      </c>
      <c r="E696" t="s">
        <v>511</v>
      </c>
      <c r="F696" t="s">
        <v>532</v>
      </c>
      <c r="G696">
        <v>2</v>
      </c>
      <c r="H696" s="21">
        <v>2604.88</v>
      </c>
      <c r="I696">
        <v>0</v>
      </c>
      <c r="J696" s="21">
        <v>0</v>
      </c>
      <c r="K696">
        <v>12</v>
      </c>
      <c r="L696" s="21">
        <v>625.16999999999996</v>
      </c>
      <c r="M696" s="21">
        <v>5834.93</v>
      </c>
      <c r="N696" s="21">
        <v>3776.58</v>
      </c>
      <c r="O696" s="21">
        <v>1433.18</v>
      </c>
      <c r="P696" t="s">
        <v>121</v>
      </c>
      <c r="Q696" t="s">
        <v>120</v>
      </c>
      <c r="R696" t="s">
        <v>151</v>
      </c>
      <c r="S696" t="s">
        <v>1275</v>
      </c>
      <c r="T696" t="s">
        <v>153</v>
      </c>
      <c r="U696" t="s">
        <v>154</v>
      </c>
      <c r="V696" t="str">
        <f>IFERROR(INDEX(Products!$C:$C,MATCH(D696,Products!$A:$A,0)),"Unknown")</f>
        <v>Men Ethnic</v>
      </c>
      <c r="W696" t="str">
        <f>IFERROR(INDEX(Products!$E:$E,MATCH(D696,Products!$A:$A,0)),"Unknown")</f>
        <v>Reebok</v>
      </c>
      <c r="X696" t="str">
        <f>IFERROR(INDEX(Stores!$B:$B,MATCH(E696,Stores!$A:$A,0)),"Unknown")</f>
        <v>TrendMart Khammam Standard</v>
      </c>
      <c r="Y696" t="str">
        <f>IFERROR(INDEX(Stores!$E:$E,MATCH(E696,Stores!$A:$A,0)),"Unknown")</f>
        <v>South Zone 2</v>
      </c>
      <c r="Z696" t="str">
        <f>IFERROR(INDEX(Customers!$J:$J,MATCH(C696,Customers!$A:$A,0)),"Unknown")</f>
        <v>Regular</v>
      </c>
      <c r="AA696" t="str">
        <f t="shared" si="10"/>
        <v>2024-09</v>
      </c>
      <c r="AB696" t="str">
        <f>IFERROR(INDEX(Products!$I:$I,MATCH(D696,Products!$A:$A,0)),"Unknown")</f>
        <v>SUP029</v>
      </c>
    </row>
    <row r="697" spans="1:28" x14ac:dyDescent="0.25">
      <c r="A697" t="s">
        <v>2130</v>
      </c>
      <c r="B697" s="20">
        <v>45594</v>
      </c>
      <c r="C697" t="s">
        <v>2131</v>
      </c>
      <c r="D697" t="s">
        <v>230</v>
      </c>
      <c r="E697" t="s">
        <v>1002</v>
      </c>
      <c r="F697" t="s">
        <v>574</v>
      </c>
      <c r="G697">
        <v>3</v>
      </c>
      <c r="H697" s="21">
        <v>1384.76</v>
      </c>
      <c r="I697">
        <v>30</v>
      </c>
      <c r="J697" s="21">
        <v>1246.28</v>
      </c>
      <c r="K697">
        <v>12</v>
      </c>
      <c r="L697" s="21">
        <v>348.96</v>
      </c>
      <c r="M697" s="21">
        <v>3256.96</v>
      </c>
      <c r="N697" s="21">
        <v>2838.9</v>
      </c>
      <c r="O697" s="21">
        <v>69.099999999999994</v>
      </c>
      <c r="P697" t="s">
        <v>121</v>
      </c>
      <c r="Q697" t="s">
        <v>120</v>
      </c>
      <c r="R697" t="s">
        <v>151</v>
      </c>
      <c r="S697" t="s">
        <v>979</v>
      </c>
      <c r="T697" t="s">
        <v>153</v>
      </c>
      <c r="U697" t="s">
        <v>154</v>
      </c>
      <c r="V697" t="str">
        <f>IFERROR(INDEX(Products!$C:$C,MATCH(D697,Products!$A:$A,0)),"Unknown")</f>
        <v>Watches</v>
      </c>
      <c r="W697" t="str">
        <f>IFERROR(INDEX(Products!$E:$E,MATCH(D697,Products!$A:$A,0)),"Unknown")</f>
        <v>Wrangler</v>
      </c>
      <c r="X697" t="str">
        <f>IFERROR(INDEX(Stores!$B:$B,MATCH(E697,Stores!$A:$A,0)),"Unknown")</f>
        <v>TrendMart Coimbatore Mall Kiosk</v>
      </c>
      <c r="Y697" t="str">
        <f>IFERROR(INDEX(Stores!$E:$E,MATCH(E697,Stores!$A:$A,0)),"Unknown")</f>
        <v>South Zone 1</v>
      </c>
      <c r="Z697" t="str">
        <f>IFERROR(INDEX(Customers!$J:$J,MATCH(C697,Customers!$A:$A,0)),"Unknown")</f>
        <v>Gold</v>
      </c>
      <c r="AA697" t="str">
        <f t="shared" si="10"/>
        <v>2024-10</v>
      </c>
      <c r="AB697" t="str">
        <f>IFERROR(INDEX(Products!$I:$I,MATCH(D697,Products!$A:$A,0)),"Unknown")</f>
        <v>SUP044</v>
      </c>
    </row>
    <row r="698" spans="1:28" x14ac:dyDescent="0.25">
      <c r="A698" t="s">
        <v>2132</v>
      </c>
      <c r="B698" s="20">
        <v>45560</v>
      </c>
      <c r="C698" t="s">
        <v>2133</v>
      </c>
      <c r="D698" t="s">
        <v>372</v>
      </c>
      <c r="E698" t="s">
        <v>511</v>
      </c>
      <c r="F698" t="s">
        <v>237</v>
      </c>
      <c r="G698">
        <v>1</v>
      </c>
      <c r="H698" s="21">
        <v>604.59</v>
      </c>
      <c r="I698">
        <v>0</v>
      </c>
      <c r="J698" s="21">
        <v>0</v>
      </c>
      <c r="K698">
        <v>5</v>
      </c>
      <c r="L698" s="21">
        <v>30.23</v>
      </c>
      <c r="M698" s="21">
        <v>634.82000000000005</v>
      </c>
      <c r="N698" s="21">
        <v>413.39</v>
      </c>
      <c r="O698" s="21">
        <v>191.2</v>
      </c>
      <c r="P698" t="s">
        <v>121</v>
      </c>
      <c r="Q698" t="s">
        <v>120</v>
      </c>
      <c r="R698" t="s">
        <v>151</v>
      </c>
      <c r="S698" t="s">
        <v>911</v>
      </c>
      <c r="T698" t="s">
        <v>153</v>
      </c>
      <c r="U698" t="s">
        <v>154</v>
      </c>
      <c r="V698" t="str">
        <f>IFERROR(INDEX(Products!$C:$C,MATCH(D698,Products!$A:$A,0)),"Unknown")</f>
        <v>Kids Wear</v>
      </c>
      <c r="W698" t="str">
        <f>IFERROR(INDEX(Products!$E:$E,MATCH(D698,Products!$A:$A,0)),"Unknown")</f>
        <v>Jack &amp; Jones</v>
      </c>
      <c r="X698" t="str">
        <f>IFERROR(INDEX(Stores!$B:$B,MATCH(E698,Stores!$A:$A,0)),"Unknown")</f>
        <v>TrendMart Khammam Standard</v>
      </c>
      <c r="Y698" t="str">
        <f>IFERROR(INDEX(Stores!$E:$E,MATCH(E698,Stores!$A:$A,0)),"Unknown")</f>
        <v>South Zone 2</v>
      </c>
      <c r="Z698" t="str">
        <f>IFERROR(INDEX(Customers!$J:$J,MATCH(C698,Customers!$A:$A,0)),"Unknown")</f>
        <v>Silver</v>
      </c>
      <c r="AA698" t="str">
        <f t="shared" si="10"/>
        <v>2024-09</v>
      </c>
      <c r="AB698" t="str">
        <f>IFERROR(INDEX(Products!$I:$I,MATCH(D698,Products!$A:$A,0)),"Unknown")</f>
        <v>SUP065</v>
      </c>
    </row>
    <row r="699" spans="1:28" x14ac:dyDescent="0.25">
      <c r="A699" t="s">
        <v>2134</v>
      </c>
      <c r="B699" s="20">
        <v>45462</v>
      </c>
      <c r="C699" t="s">
        <v>2135</v>
      </c>
      <c r="D699" t="s">
        <v>236</v>
      </c>
      <c r="E699" t="s">
        <v>262</v>
      </c>
      <c r="F699" t="s">
        <v>397</v>
      </c>
      <c r="G699">
        <v>2</v>
      </c>
      <c r="H699" s="21">
        <v>792.32</v>
      </c>
      <c r="I699">
        <v>30</v>
      </c>
      <c r="J699" s="21">
        <v>475.39</v>
      </c>
      <c r="K699">
        <v>5</v>
      </c>
      <c r="L699" s="21">
        <v>55.46</v>
      </c>
      <c r="M699" s="21">
        <v>1164.71</v>
      </c>
      <c r="N699" s="21">
        <v>1100.02</v>
      </c>
      <c r="O699" s="21">
        <v>9.23</v>
      </c>
      <c r="P699" t="s">
        <v>124</v>
      </c>
      <c r="Q699" t="s">
        <v>122</v>
      </c>
      <c r="R699" t="s">
        <v>151</v>
      </c>
      <c r="S699" t="s">
        <v>2136</v>
      </c>
      <c r="T699" t="s">
        <v>153</v>
      </c>
      <c r="U699" t="s">
        <v>154</v>
      </c>
      <c r="V699" t="str">
        <f>IFERROR(INDEX(Products!$C:$C,MATCH(D699,Products!$A:$A,0)),"Unknown")</f>
        <v>Women Tops</v>
      </c>
      <c r="W699" t="str">
        <f>IFERROR(INDEX(Products!$E:$E,MATCH(D699,Products!$A:$A,0)),"Unknown")</f>
        <v>Nike</v>
      </c>
      <c r="X699" t="str">
        <f>IFERROR(INDEX(Stores!$B:$B,MATCH(E699,Stores!$A:$A,0)),"Unknown")</f>
        <v>TrendMart Thoothukudi Outlet</v>
      </c>
      <c r="Y699" t="str">
        <f>IFERROR(INDEX(Stores!$E:$E,MATCH(E699,Stores!$A:$A,0)),"Unknown")</f>
        <v>South Zone 1</v>
      </c>
      <c r="Z699" t="str">
        <f>IFERROR(INDEX(Customers!$J:$J,MATCH(C699,Customers!$A:$A,0)),"Unknown")</f>
        <v>Regular</v>
      </c>
      <c r="AA699" t="str">
        <f t="shared" si="10"/>
        <v>2024-06</v>
      </c>
      <c r="AB699" t="str">
        <f>IFERROR(INDEX(Products!$I:$I,MATCH(D699,Products!$A:$A,0)),"Unknown")</f>
        <v>SUP075</v>
      </c>
    </row>
    <row r="700" spans="1:28" x14ac:dyDescent="0.25">
      <c r="A700" t="s">
        <v>2137</v>
      </c>
      <c r="B700" s="20">
        <v>45453</v>
      </c>
      <c r="C700" t="s">
        <v>1673</v>
      </c>
      <c r="D700" t="s">
        <v>1016</v>
      </c>
      <c r="E700" t="s">
        <v>387</v>
      </c>
      <c r="F700" t="s">
        <v>182</v>
      </c>
      <c r="G700">
        <v>1</v>
      </c>
      <c r="H700" s="21">
        <v>5364.27</v>
      </c>
      <c r="I700">
        <v>10</v>
      </c>
      <c r="J700" s="21">
        <v>536.42999999999995</v>
      </c>
      <c r="K700">
        <v>12</v>
      </c>
      <c r="L700" s="21">
        <v>579.34</v>
      </c>
      <c r="M700" s="21">
        <v>5407.18</v>
      </c>
      <c r="N700" s="21">
        <v>3662.37</v>
      </c>
      <c r="O700" s="21">
        <v>1165.47</v>
      </c>
      <c r="P700" t="s">
        <v>124</v>
      </c>
      <c r="Q700" t="s">
        <v>120</v>
      </c>
      <c r="R700" t="s">
        <v>151</v>
      </c>
      <c r="S700" t="s">
        <v>457</v>
      </c>
      <c r="T700" t="s">
        <v>153</v>
      </c>
      <c r="U700" t="s">
        <v>154</v>
      </c>
      <c r="V700" t="str">
        <f>IFERROR(INDEX(Products!$C:$C,MATCH(D700,Products!$A:$A,0)),"Unknown")</f>
        <v>Watches</v>
      </c>
      <c r="W700" t="str">
        <f>IFERROR(INDEX(Products!$E:$E,MATCH(D700,Products!$A:$A,0)),"Unknown")</f>
        <v>Pantaloons</v>
      </c>
      <c r="X700" t="str">
        <f>IFERROR(INDEX(Stores!$B:$B,MATCH(E700,Stores!$A:$A,0)),"Unknown")</f>
        <v>TrendMart Kannur Outlet</v>
      </c>
      <c r="Y700" t="str">
        <f>IFERROR(INDEX(Stores!$E:$E,MATCH(E700,Stores!$A:$A,0)),"Unknown")</f>
        <v>South Zone 1</v>
      </c>
      <c r="Z700" t="str">
        <f>IFERROR(INDEX(Customers!$J:$J,MATCH(C700,Customers!$A:$A,0)),"Unknown")</f>
        <v>Regular</v>
      </c>
      <c r="AA700" t="str">
        <f t="shared" si="10"/>
        <v>2024-06</v>
      </c>
      <c r="AB700" t="str">
        <f>IFERROR(INDEX(Products!$I:$I,MATCH(D700,Products!$A:$A,0)),"Unknown")</f>
        <v>SUP007</v>
      </c>
    </row>
    <row r="701" spans="1:28" x14ac:dyDescent="0.25">
      <c r="A701" t="s">
        <v>2138</v>
      </c>
      <c r="B701" s="20">
        <v>45527</v>
      </c>
      <c r="C701" t="s">
        <v>437</v>
      </c>
      <c r="D701" t="s">
        <v>433</v>
      </c>
      <c r="E701" t="s">
        <v>745</v>
      </c>
      <c r="F701" t="s">
        <v>574</v>
      </c>
      <c r="G701">
        <v>3</v>
      </c>
      <c r="H701" s="21">
        <v>830.87</v>
      </c>
      <c r="I701">
        <v>10</v>
      </c>
      <c r="J701" s="21">
        <v>249.26</v>
      </c>
      <c r="K701">
        <v>5</v>
      </c>
      <c r="L701" s="21">
        <v>112.17</v>
      </c>
      <c r="M701" s="21">
        <v>2355.52</v>
      </c>
      <c r="N701" s="21">
        <v>1719.27</v>
      </c>
      <c r="O701" s="21">
        <v>524.08000000000004</v>
      </c>
      <c r="P701" t="s">
        <v>121</v>
      </c>
      <c r="Q701" t="s">
        <v>120</v>
      </c>
      <c r="R701" t="s">
        <v>151</v>
      </c>
      <c r="S701" t="s">
        <v>1401</v>
      </c>
      <c r="T701" t="s">
        <v>153</v>
      </c>
      <c r="U701" t="s">
        <v>154</v>
      </c>
      <c r="V701" t="str">
        <f>IFERROR(INDEX(Products!$C:$C,MATCH(D701,Products!$A:$A,0)),"Unknown")</f>
        <v>Women Kurtis</v>
      </c>
      <c r="W701" t="str">
        <f>IFERROR(INDEX(Products!$E:$E,MATCH(D701,Products!$A:$A,0)),"Unknown")</f>
        <v>Nike</v>
      </c>
      <c r="X701" t="str">
        <f>IFERROR(INDEX(Stores!$B:$B,MATCH(E701,Stores!$A:$A,0)),"Unknown")</f>
        <v>TrendMart Thiruvananthapuram Outlet</v>
      </c>
      <c r="Y701" t="str">
        <f>IFERROR(INDEX(Stores!$E:$E,MATCH(E701,Stores!$A:$A,0)),"Unknown")</f>
        <v>South Zone 1</v>
      </c>
      <c r="Z701" t="str">
        <f>IFERROR(INDEX(Customers!$J:$J,MATCH(C701,Customers!$A:$A,0)),"Unknown")</f>
        <v>Regular</v>
      </c>
      <c r="AA701" t="str">
        <f t="shared" si="10"/>
        <v>2024-08</v>
      </c>
      <c r="AB701" t="str">
        <f>IFERROR(INDEX(Products!$I:$I,MATCH(D701,Products!$A:$A,0)),"Unknown")</f>
        <v>SUP012</v>
      </c>
    </row>
    <row r="702" spans="1:28" x14ac:dyDescent="0.25">
      <c r="A702" t="s">
        <v>2139</v>
      </c>
      <c r="B702" s="20">
        <v>45592</v>
      </c>
      <c r="C702" t="s">
        <v>2140</v>
      </c>
      <c r="D702" t="s">
        <v>466</v>
      </c>
      <c r="E702" t="s">
        <v>701</v>
      </c>
      <c r="F702" t="s">
        <v>532</v>
      </c>
      <c r="G702">
        <v>3</v>
      </c>
      <c r="H702" s="21">
        <v>811.48</v>
      </c>
      <c r="I702">
        <v>5</v>
      </c>
      <c r="J702" s="21">
        <v>121.72</v>
      </c>
      <c r="K702">
        <v>5</v>
      </c>
      <c r="L702" s="21">
        <v>115.64</v>
      </c>
      <c r="M702" s="21">
        <v>2428.36</v>
      </c>
      <c r="N702" s="21">
        <v>1713.27</v>
      </c>
      <c r="O702" s="21">
        <v>599.45000000000005</v>
      </c>
      <c r="P702" t="s">
        <v>123</v>
      </c>
      <c r="Q702" t="s">
        <v>122</v>
      </c>
      <c r="R702" t="s">
        <v>151</v>
      </c>
      <c r="S702" t="s">
        <v>1053</v>
      </c>
      <c r="T702" t="s">
        <v>161</v>
      </c>
      <c r="U702" t="s">
        <v>154</v>
      </c>
      <c r="V702" t="str">
        <f>IFERROR(INDEX(Products!$C:$C,MATCH(D702,Products!$A:$A,0)),"Unknown")</f>
        <v>Women Kurtis</v>
      </c>
      <c r="W702" t="str">
        <f>IFERROR(INDEX(Products!$E:$E,MATCH(D702,Products!$A:$A,0)),"Unknown")</f>
        <v>Fabindia</v>
      </c>
      <c r="X702" t="str">
        <f>IFERROR(INDEX(Stores!$B:$B,MATCH(E702,Stores!$A:$A,0)),"Unknown")</f>
        <v>TrendMart Vijayawada Mall Kiosk</v>
      </c>
      <c r="Y702" t="str">
        <f>IFERROR(INDEX(Stores!$E:$E,MATCH(E702,Stores!$A:$A,0)),"Unknown")</f>
        <v>South Zone 3</v>
      </c>
      <c r="Z702" t="str">
        <f>IFERROR(INDEX(Customers!$J:$J,MATCH(C702,Customers!$A:$A,0)),"Unknown")</f>
        <v>Silver</v>
      </c>
      <c r="AA702" t="str">
        <f t="shared" si="10"/>
        <v>2024-10</v>
      </c>
      <c r="AB702" t="str">
        <f>IFERROR(INDEX(Products!$I:$I,MATCH(D702,Products!$A:$A,0)),"Unknown")</f>
        <v>SUP017</v>
      </c>
    </row>
    <row r="703" spans="1:28" x14ac:dyDescent="0.25">
      <c r="A703" t="s">
        <v>2141</v>
      </c>
      <c r="B703" s="20">
        <v>45729</v>
      </c>
      <c r="C703" t="s">
        <v>480</v>
      </c>
      <c r="D703" t="s">
        <v>1321</v>
      </c>
      <c r="E703" t="s">
        <v>181</v>
      </c>
      <c r="F703" t="s">
        <v>232</v>
      </c>
      <c r="G703">
        <v>1</v>
      </c>
      <c r="H703" s="21">
        <v>2489.8000000000002</v>
      </c>
      <c r="I703">
        <v>20</v>
      </c>
      <c r="J703" s="21">
        <v>497.96</v>
      </c>
      <c r="K703">
        <v>12</v>
      </c>
      <c r="L703" s="21">
        <v>239.02</v>
      </c>
      <c r="M703" s="21">
        <v>2230.86</v>
      </c>
      <c r="N703" s="21">
        <v>1729.72</v>
      </c>
      <c r="O703" s="21">
        <v>262.12</v>
      </c>
      <c r="P703" t="s">
        <v>121</v>
      </c>
      <c r="Q703" t="s">
        <v>120</v>
      </c>
      <c r="R703" t="s">
        <v>151</v>
      </c>
      <c r="S703" t="s">
        <v>2142</v>
      </c>
      <c r="T703" t="s">
        <v>153</v>
      </c>
      <c r="U703" t="s">
        <v>154</v>
      </c>
      <c r="V703" t="str">
        <f>IFERROR(INDEX(Products!$C:$C,MATCH(D703,Products!$A:$A,0)),"Unknown")</f>
        <v>Men Ethnic</v>
      </c>
      <c r="W703" t="str">
        <f>IFERROR(INDEX(Products!$E:$E,MATCH(D703,Products!$A:$A,0)),"Unknown")</f>
        <v>Nalli Silks</v>
      </c>
      <c r="X703" t="str">
        <f>IFERROR(INDEX(Stores!$B:$B,MATCH(E703,Stores!$A:$A,0)),"Unknown")</f>
        <v>TrendMart Kurnool High Street</v>
      </c>
      <c r="Y703" t="str">
        <f>IFERROR(INDEX(Stores!$E:$E,MATCH(E703,Stores!$A:$A,0)),"Unknown")</f>
        <v>South Zone 3</v>
      </c>
      <c r="Z703" t="str">
        <f>IFERROR(INDEX(Customers!$J:$J,MATCH(C703,Customers!$A:$A,0)),"Unknown")</f>
        <v>Silver</v>
      </c>
      <c r="AA703" t="str">
        <f t="shared" si="10"/>
        <v>2025-03</v>
      </c>
      <c r="AB703" t="str">
        <f>IFERROR(INDEX(Products!$I:$I,MATCH(D703,Products!$A:$A,0)),"Unknown")</f>
        <v>SUP018</v>
      </c>
    </row>
    <row r="704" spans="1:28" x14ac:dyDescent="0.25">
      <c r="A704" t="s">
        <v>2143</v>
      </c>
      <c r="B704" s="20">
        <v>45737</v>
      </c>
      <c r="C704" t="s">
        <v>818</v>
      </c>
      <c r="D704" t="s">
        <v>1204</v>
      </c>
      <c r="E704" t="s">
        <v>617</v>
      </c>
      <c r="F704" t="s">
        <v>221</v>
      </c>
      <c r="G704">
        <v>3</v>
      </c>
      <c r="H704" s="21">
        <v>762.49</v>
      </c>
      <c r="I704">
        <v>20</v>
      </c>
      <c r="J704" s="21">
        <v>457.49</v>
      </c>
      <c r="K704">
        <v>5</v>
      </c>
      <c r="L704" s="21">
        <v>91.5</v>
      </c>
      <c r="M704" s="21">
        <v>1921.48</v>
      </c>
      <c r="N704" s="21">
        <v>1243.5</v>
      </c>
      <c r="O704" s="21">
        <v>586.48</v>
      </c>
      <c r="P704" t="s">
        <v>121</v>
      </c>
      <c r="Q704" t="s">
        <v>120</v>
      </c>
      <c r="R704" t="s">
        <v>151</v>
      </c>
      <c r="S704" t="s">
        <v>2144</v>
      </c>
      <c r="T704" t="s">
        <v>153</v>
      </c>
      <c r="U704" t="s">
        <v>154</v>
      </c>
      <c r="V704" t="str">
        <f>IFERROR(INDEX(Products!$C:$C,MATCH(D704,Products!$A:$A,0)),"Unknown")</f>
        <v>Accessories</v>
      </c>
      <c r="W704" t="str">
        <f>IFERROR(INDEX(Products!$E:$E,MATCH(D704,Products!$A:$A,0)),"Unknown")</f>
        <v>Pepe Jeans</v>
      </c>
      <c r="X704" t="str">
        <f>IFERROR(INDEX(Stores!$B:$B,MATCH(E704,Stores!$A:$A,0)),"Unknown")</f>
        <v>TrendMart Mangaluru High Street</v>
      </c>
      <c r="Y704" t="str">
        <f>IFERROR(INDEX(Stores!$E:$E,MATCH(E704,Stores!$A:$A,0)),"Unknown")</f>
        <v>South Zone 2</v>
      </c>
      <c r="Z704" t="str">
        <f>IFERROR(INDEX(Customers!$J:$J,MATCH(C704,Customers!$A:$A,0)),"Unknown")</f>
        <v>Gold</v>
      </c>
      <c r="AA704" t="str">
        <f t="shared" si="10"/>
        <v>2025-03</v>
      </c>
      <c r="AB704" t="str">
        <f>IFERROR(INDEX(Products!$I:$I,MATCH(D704,Products!$A:$A,0)),"Unknown")</f>
        <v>SUP008</v>
      </c>
    </row>
    <row r="705" spans="1:28" x14ac:dyDescent="0.25">
      <c r="A705" t="s">
        <v>2145</v>
      </c>
      <c r="B705" s="20">
        <v>45722</v>
      </c>
      <c r="C705" t="s">
        <v>2131</v>
      </c>
      <c r="D705" t="s">
        <v>205</v>
      </c>
      <c r="E705" t="s">
        <v>82</v>
      </c>
      <c r="F705" t="s">
        <v>195</v>
      </c>
      <c r="G705">
        <v>2</v>
      </c>
      <c r="H705" s="21">
        <v>976.67</v>
      </c>
      <c r="I705">
        <v>5</v>
      </c>
      <c r="J705" s="21">
        <v>97.67</v>
      </c>
      <c r="K705">
        <v>5</v>
      </c>
      <c r="L705" s="21">
        <v>92.78</v>
      </c>
      <c r="M705" s="21">
        <v>1948.45</v>
      </c>
      <c r="N705" s="21">
        <v>1385.06</v>
      </c>
      <c r="O705" s="21">
        <v>470.61</v>
      </c>
      <c r="P705" t="s">
        <v>121</v>
      </c>
      <c r="Q705" t="s">
        <v>122</v>
      </c>
      <c r="R705" t="s">
        <v>151</v>
      </c>
      <c r="S705" t="s">
        <v>448</v>
      </c>
      <c r="T705" t="s">
        <v>153</v>
      </c>
      <c r="U705" t="s">
        <v>154</v>
      </c>
      <c r="V705" t="str">
        <f>IFERROR(INDEX(Products!$C:$C,MATCH(D705,Products!$A:$A,0)),"Unknown")</f>
        <v>Women Jeans</v>
      </c>
      <c r="W705" t="str">
        <f>IFERROR(INDEX(Products!$E:$E,MATCH(D705,Products!$A:$A,0)),"Unknown")</f>
        <v>Sonata</v>
      </c>
      <c r="X705" t="str">
        <f>IFERROR(INDEX(Stores!$B:$B,MATCH(E705,Stores!$A:$A,0)),"Unknown")</f>
        <v>TrendMart Kochi High Street</v>
      </c>
      <c r="Y705" t="str">
        <f>IFERROR(INDEX(Stores!$E:$E,MATCH(E705,Stores!$A:$A,0)),"Unknown")</f>
        <v>South Zone 1</v>
      </c>
      <c r="Z705" t="str">
        <f>IFERROR(INDEX(Customers!$J:$J,MATCH(C705,Customers!$A:$A,0)),"Unknown")</f>
        <v>Gold</v>
      </c>
      <c r="AA705" t="str">
        <f t="shared" si="10"/>
        <v>2025-03</v>
      </c>
      <c r="AB705" t="str">
        <f>IFERROR(INDEX(Products!$I:$I,MATCH(D705,Products!$A:$A,0)),"Unknown")</f>
        <v>SUP014</v>
      </c>
    </row>
    <row r="706" spans="1:28" x14ac:dyDescent="0.25">
      <c r="A706" t="s">
        <v>2146</v>
      </c>
      <c r="B706" s="20">
        <v>45621</v>
      </c>
      <c r="C706" t="s">
        <v>1888</v>
      </c>
      <c r="D706" t="s">
        <v>864</v>
      </c>
      <c r="E706" t="s">
        <v>613</v>
      </c>
      <c r="F706" t="s">
        <v>462</v>
      </c>
      <c r="G706">
        <v>2</v>
      </c>
      <c r="H706" s="21">
        <v>3197.99</v>
      </c>
      <c r="I706">
        <v>30</v>
      </c>
      <c r="J706" s="21">
        <v>1918.79</v>
      </c>
      <c r="K706">
        <v>3</v>
      </c>
      <c r="L706" s="21">
        <v>134.32</v>
      </c>
      <c r="M706" s="21">
        <v>4611.51</v>
      </c>
      <c r="N706" s="21">
        <v>3979.86</v>
      </c>
      <c r="O706" s="21">
        <v>497.33</v>
      </c>
      <c r="P706" t="s">
        <v>126</v>
      </c>
      <c r="Q706" t="s">
        <v>120</v>
      </c>
      <c r="R706" t="s">
        <v>151</v>
      </c>
      <c r="S706" t="s">
        <v>2147</v>
      </c>
      <c r="T706" t="s">
        <v>153</v>
      </c>
      <c r="U706" t="s">
        <v>154</v>
      </c>
      <c r="V706" t="str">
        <f>IFERROR(INDEX(Products!$C:$C,MATCH(D706,Products!$A:$A,0)),"Unknown")</f>
        <v>Jewellery</v>
      </c>
      <c r="W706" t="str">
        <f>IFERROR(INDEX(Products!$E:$E,MATCH(D706,Products!$A:$A,0)),"Unknown")</f>
        <v>Wrangler</v>
      </c>
      <c r="X706" t="str">
        <f>IFERROR(INDEX(Stores!$B:$B,MATCH(E706,Stores!$A:$A,0)),"Unknown")</f>
        <v>TrendMart Kochi Mall Kiosk</v>
      </c>
      <c r="Y706" t="str">
        <f>IFERROR(INDEX(Stores!$E:$E,MATCH(E706,Stores!$A:$A,0)),"Unknown")</f>
        <v>South Zone 1</v>
      </c>
      <c r="Z706" t="str">
        <f>IFERROR(INDEX(Customers!$J:$J,MATCH(C706,Customers!$A:$A,0)),"Unknown")</f>
        <v>Regular</v>
      </c>
      <c r="AA706" t="str">
        <f t="shared" ref="AA706:AA769" si="11">TEXT(B706,"YYYY-MM")</f>
        <v>2024-11</v>
      </c>
      <c r="AB706" t="str">
        <f>IFERROR(INDEX(Products!$I:$I,MATCH(D706,Products!$A:$A,0)),"Unknown")</f>
        <v>SUP070</v>
      </c>
    </row>
    <row r="707" spans="1:28" x14ac:dyDescent="0.25">
      <c r="A707" t="s">
        <v>2148</v>
      </c>
      <c r="B707" s="20">
        <v>45637</v>
      </c>
      <c r="C707" t="s">
        <v>1268</v>
      </c>
      <c r="D707" t="s">
        <v>769</v>
      </c>
      <c r="E707" t="s">
        <v>1163</v>
      </c>
      <c r="F707" t="s">
        <v>263</v>
      </c>
      <c r="G707">
        <v>2</v>
      </c>
      <c r="H707" s="21">
        <v>1598.43</v>
      </c>
      <c r="I707">
        <v>15</v>
      </c>
      <c r="J707" s="21">
        <v>479.53</v>
      </c>
      <c r="K707">
        <v>12</v>
      </c>
      <c r="L707" s="21">
        <v>326.08</v>
      </c>
      <c r="M707" s="21">
        <v>3043.41</v>
      </c>
      <c r="N707" s="21">
        <v>2230.38</v>
      </c>
      <c r="O707" s="21">
        <v>486.95</v>
      </c>
      <c r="P707" t="s">
        <v>124</v>
      </c>
      <c r="Q707" t="s">
        <v>120</v>
      </c>
      <c r="R707" t="s">
        <v>151</v>
      </c>
      <c r="S707" t="s">
        <v>2149</v>
      </c>
      <c r="T707" t="s">
        <v>153</v>
      </c>
      <c r="U707" t="s">
        <v>154</v>
      </c>
      <c r="V707" t="str">
        <f>IFERROR(INDEX(Products!$C:$C,MATCH(D707,Products!$A:$A,0)),"Unknown")</f>
        <v>Sportswear</v>
      </c>
      <c r="W707" t="str">
        <f>IFERROR(INDEX(Products!$E:$E,MATCH(D707,Products!$A:$A,0)),"Unknown")</f>
        <v>Allen Solly</v>
      </c>
      <c r="X707" t="str">
        <f>IFERROR(INDEX(Stores!$B:$B,MATCH(E707,Stores!$A:$A,0)),"Unknown")</f>
        <v>TrendMart Alappuzha Outlet</v>
      </c>
      <c r="Y707" t="str">
        <f>IFERROR(INDEX(Stores!$E:$E,MATCH(E707,Stores!$A:$A,0)),"Unknown")</f>
        <v>South Zone 1</v>
      </c>
      <c r="Z707" t="str">
        <f>IFERROR(INDEX(Customers!$J:$J,MATCH(C707,Customers!$A:$A,0)),"Unknown")</f>
        <v>Regular</v>
      </c>
      <c r="AA707" t="str">
        <f t="shared" si="11"/>
        <v>2024-12</v>
      </c>
      <c r="AB707" t="str">
        <f>IFERROR(INDEX(Products!$I:$I,MATCH(D707,Products!$A:$A,0)),"Unknown")</f>
        <v>SUP029</v>
      </c>
    </row>
    <row r="708" spans="1:28" x14ac:dyDescent="0.25">
      <c r="A708" t="s">
        <v>2150</v>
      </c>
      <c r="B708" s="20">
        <v>45394</v>
      </c>
      <c r="C708" t="s">
        <v>173</v>
      </c>
      <c r="D708" t="s">
        <v>424</v>
      </c>
      <c r="E708" t="s">
        <v>671</v>
      </c>
      <c r="F708" t="s">
        <v>269</v>
      </c>
      <c r="G708">
        <v>1</v>
      </c>
      <c r="H708" s="21">
        <v>320.33</v>
      </c>
      <c r="I708">
        <v>10</v>
      </c>
      <c r="J708" s="21">
        <v>32.03</v>
      </c>
      <c r="K708">
        <v>5</v>
      </c>
      <c r="L708" s="21">
        <v>14.41</v>
      </c>
      <c r="M708" s="21">
        <v>302.70999999999998</v>
      </c>
      <c r="N708" s="21">
        <v>254.15</v>
      </c>
      <c r="O708" s="21">
        <v>34.15</v>
      </c>
      <c r="P708" t="s">
        <v>123</v>
      </c>
      <c r="Q708" t="s">
        <v>122</v>
      </c>
      <c r="R708" t="s">
        <v>151</v>
      </c>
      <c r="S708" t="s">
        <v>2151</v>
      </c>
      <c r="T708" t="s">
        <v>153</v>
      </c>
      <c r="U708" t="s">
        <v>154</v>
      </c>
      <c r="V708" t="str">
        <f>IFERROR(INDEX(Products!$C:$C,MATCH(D708,Products!$A:$A,0)),"Unknown")</f>
        <v>Belts</v>
      </c>
      <c r="W708" t="str">
        <f>IFERROR(INDEX(Products!$E:$E,MATCH(D708,Products!$A:$A,0)),"Unknown")</f>
        <v>Raymond</v>
      </c>
      <c r="X708" t="str">
        <f>IFERROR(INDEX(Stores!$B:$B,MATCH(E708,Stores!$A:$A,0)),"Unknown")</f>
        <v>TrendMart Hyderabad Mall Kiosk</v>
      </c>
      <c r="Y708" t="str">
        <f>IFERROR(INDEX(Stores!$E:$E,MATCH(E708,Stores!$A:$A,0)),"Unknown")</f>
        <v>South Zone 2</v>
      </c>
      <c r="Z708" t="str">
        <f>IFERROR(INDEX(Customers!$J:$J,MATCH(C708,Customers!$A:$A,0)),"Unknown")</f>
        <v>Regular</v>
      </c>
      <c r="AA708" t="str">
        <f t="shared" si="11"/>
        <v>2024-04</v>
      </c>
      <c r="AB708" t="str">
        <f>IFERROR(INDEX(Products!$I:$I,MATCH(D708,Products!$A:$A,0)),"Unknown")</f>
        <v>SUP002</v>
      </c>
    </row>
    <row r="709" spans="1:28" x14ac:dyDescent="0.25">
      <c r="A709" t="s">
        <v>2152</v>
      </c>
      <c r="B709" s="20">
        <v>45539</v>
      </c>
      <c r="C709" t="s">
        <v>2053</v>
      </c>
      <c r="D709" t="s">
        <v>494</v>
      </c>
      <c r="E709" t="s">
        <v>355</v>
      </c>
      <c r="F709" t="s">
        <v>579</v>
      </c>
      <c r="G709">
        <v>1</v>
      </c>
      <c r="H709" s="21">
        <v>1638.14</v>
      </c>
      <c r="I709">
        <v>30</v>
      </c>
      <c r="J709" s="21">
        <v>491.44</v>
      </c>
      <c r="K709">
        <v>12</v>
      </c>
      <c r="L709" s="21">
        <v>137.6</v>
      </c>
      <c r="M709" s="21">
        <v>1284.3</v>
      </c>
      <c r="N709" s="21">
        <v>1140.9000000000001</v>
      </c>
      <c r="O709" s="21">
        <v>5.8</v>
      </c>
      <c r="P709" t="s">
        <v>125</v>
      </c>
      <c r="Q709" t="s">
        <v>120</v>
      </c>
      <c r="R709" t="s">
        <v>151</v>
      </c>
      <c r="S709" t="s">
        <v>938</v>
      </c>
      <c r="T709" t="s">
        <v>153</v>
      </c>
      <c r="U709" t="s">
        <v>154</v>
      </c>
      <c r="V709" t="str">
        <f>IFERROR(INDEX(Products!$C:$C,MATCH(D709,Products!$A:$A,0)),"Unknown")</f>
        <v>Women Dresses</v>
      </c>
      <c r="W709" t="str">
        <f>IFERROR(INDEX(Products!$E:$E,MATCH(D709,Products!$A:$A,0)),"Unknown")</f>
        <v>Reebok</v>
      </c>
      <c r="X709" t="str">
        <f>IFERROR(INDEX(Stores!$B:$B,MATCH(E709,Stores!$A:$A,0)),"Unknown")</f>
        <v>TrendMart Thiruvananthapuram High Street</v>
      </c>
      <c r="Y709" t="str">
        <f>IFERROR(INDEX(Stores!$E:$E,MATCH(E709,Stores!$A:$A,0)),"Unknown")</f>
        <v>South Zone 1</v>
      </c>
      <c r="Z709" t="str">
        <f>IFERROR(INDEX(Customers!$J:$J,MATCH(C709,Customers!$A:$A,0)),"Unknown")</f>
        <v>Silver</v>
      </c>
      <c r="AA709" t="str">
        <f t="shared" si="11"/>
        <v>2024-09</v>
      </c>
      <c r="AB709" t="str">
        <f>IFERROR(INDEX(Products!$I:$I,MATCH(D709,Products!$A:$A,0)),"Unknown")</f>
        <v>SUP085</v>
      </c>
    </row>
    <row r="710" spans="1:28" x14ac:dyDescent="0.25">
      <c r="A710" t="s">
        <v>2153</v>
      </c>
      <c r="B710" s="20">
        <v>45420</v>
      </c>
      <c r="C710" t="s">
        <v>2154</v>
      </c>
      <c r="D710" t="s">
        <v>372</v>
      </c>
      <c r="E710" t="s">
        <v>806</v>
      </c>
      <c r="F710" t="s">
        <v>242</v>
      </c>
      <c r="G710">
        <v>1</v>
      </c>
      <c r="H710" s="21">
        <v>644.80999999999995</v>
      </c>
      <c r="I710">
        <v>0</v>
      </c>
      <c r="J710" s="21">
        <v>0</v>
      </c>
      <c r="K710">
        <v>5</v>
      </c>
      <c r="L710" s="21">
        <v>32.24</v>
      </c>
      <c r="M710" s="21">
        <v>677.05</v>
      </c>
      <c r="N710" s="21">
        <v>413.39</v>
      </c>
      <c r="O710" s="21">
        <v>231.42</v>
      </c>
      <c r="P710" t="s">
        <v>121</v>
      </c>
      <c r="Q710" t="s">
        <v>122</v>
      </c>
      <c r="R710" t="s">
        <v>151</v>
      </c>
      <c r="S710" t="s">
        <v>2155</v>
      </c>
      <c r="T710" t="s">
        <v>153</v>
      </c>
      <c r="U710" t="s">
        <v>154</v>
      </c>
      <c r="V710" t="str">
        <f>IFERROR(INDEX(Products!$C:$C,MATCH(D710,Products!$A:$A,0)),"Unknown")</f>
        <v>Kids Wear</v>
      </c>
      <c r="W710" t="str">
        <f>IFERROR(INDEX(Products!$E:$E,MATCH(D710,Products!$A:$A,0)),"Unknown")</f>
        <v>Jack &amp; Jones</v>
      </c>
      <c r="X710" t="str">
        <f>IFERROR(INDEX(Stores!$B:$B,MATCH(E710,Stores!$A:$A,0)),"Unknown")</f>
        <v>TrendMart Tirunelveli Flagship</v>
      </c>
      <c r="Y710" t="str">
        <f>IFERROR(INDEX(Stores!$E:$E,MATCH(E710,Stores!$A:$A,0)),"Unknown")</f>
        <v>South Zone 1</v>
      </c>
      <c r="Z710" t="str">
        <f>IFERROR(INDEX(Customers!$J:$J,MATCH(C710,Customers!$A:$A,0)),"Unknown")</f>
        <v>Silver</v>
      </c>
      <c r="AA710" t="str">
        <f t="shared" si="11"/>
        <v>2024-05</v>
      </c>
      <c r="AB710" t="str">
        <f>IFERROR(INDEX(Products!$I:$I,MATCH(D710,Products!$A:$A,0)),"Unknown")</f>
        <v>SUP065</v>
      </c>
    </row>
    <row r="711" spans="1:28" x14ac:dyDescent="0.25">
      <c r="A711" t="s">
        <v>2156</v>
      </c>
      <c r="B711" s="20">
        <v>45421</v>
      </c>
      <c r="C711" t="s">
        <v>1933</v>
      </c>
      <c r="D711" t="s">
        <v>1186</v>
      </c>
      <c r="E711" t="s">
        <v>206</v>
      </c>
      <c r="F711" t="s">
        <v>532</v>
      </c>
      <c r="G711">
        <v>1</v>
      </c>
      <c r="H711" s="21">
        <v>1160.24</v>
      </c>
      <c r="I711">
        <v>5</v>
      </c>
      <c r="J711" s="21">
        <v>58.01</v>
      </c>
      <c r="K711">
        <v>12</v>
      </c>
      <c r="L711" s="21">
        <v>132.27000000000001</v>
      </c>
      <c r="M711" s="21">
        <v>1234.5</v>
      </c>
      <c r="N711" s="21">
        <v>815.45</v>
      </c>
      <c r="O711" s="21">
        <v>286.77999999999997</v>
      </c>
      <c r="P711" t="s">
        <v>121</v>
      </c>
      <c r="Q711" t="s">
        <v>120</v>
      </c>
      <c r="R711" t="s">
        <v>151</v>
      </c>
      <c r="S711" t="s">
        <v>1845</v>
      </c>
      <c r="T711" t="s">
        <v>153</v>
      </c>
      <c r="U711" t="s">
        <v>154</v>
      </c>
      <c r="V711" t="str">
        <f>IFERROR(INDEX(Products!$C:$C,MATCH(D711,Products!$A:$A,0)),"Unknown")</f>
        <v>Wallets</v>
      </c>
      <c r="W711" t="str">
        <f>IFERROR(INDEX(Products!$E:$E,MATCH(D711,Products!$A:$A,0)),"Unknown")</f>
        <v>Levi's</v>
      </c>
      <c r="X711" t="str">
        <f>IFERROR(INDEX(Stores!$B:$B,MATCH(E711,Stores!$A:$A,0)),"Unknown")</f>
        <v>TrendMart Nizamabad Outlet</v>
      </c>
      <c r="Y711" t="str">
        <f>IFERROR(INDEX(Stores!$E:$E,MATCH(E711,Stores!$A:$A,0)),"Unknown")</f>
        <v>South Zone 2</v>
      </c>
      <c r="Z711" t="str">
        <f>IFERROR(INDEX(Customers!$J:$J,MATCH(C711,Customers!$A:$A,0)),"Unknown")</f>
        <v>Gold</v>
      </c>
      <c r="AA711" t="str">
        <f t="shared" si="11"/>
        <v>2024-05</v>
      </c>
      <c r="AB711" t="str">
        <f>IFERROR(INDEX(Products!$I:$I,MATCH(D711,Products!$A:$A,0)),"Unknown")</f>
        <v>SUP045</v>
      </c>
    </row>
    <row r="712" spans="1:28" x14ac:dyDescent="0.25">
      <c r="A712" t="s">
        <v>2157</v>
      </c>
      <c r="B712" s="20">
        <v>45480</v>
      </c>
      <c r="C712" t="s">
        <v>2158</v>
      </c>
      <c r="D712" t="s">
        <v>1292</v>
      </c>
      <c r="E712" t="s">
        <v>296</v>
      </c>
      <c r="F712" t="s">
        <v>189</v>
      </c>
      <c r="G712">
        <v>2</v>
      </c>
      <c r="H712" s="21">
        <v>552.45000000000005</v>
      </c>
      <c r="I712">
        <v>15</v>
      </c>
      <c r="J712" s="21">
        <v>165.74</v>
      </c>
      <c r="K712">
        <v>5</v>
      </c>
      <c r="L712" s="21">
        <v>46.96</v>
      </c>
      <c r="M712" s="21">
        <v>986.12</v>
      </c>
      <c r="N712" s="21">
        <v>697.5</v>
      </c>
      <c r="O712" s="21">
        <v>241.66</v>
      </c>
      <c r="P712" t="s">
        <v>123</v>
      </c>
      <c r="Q712" t="s">
        <v>122</v>
      </c>
      <c r="R712" t="s">
        <v>151</v>
      </c>
      <c r="S712" t="s">
        <v>2159</v>
      </c>
      <c r="T712" t="s">
        <v>161</v>
      </c>
      <c r="U712" t="s">
        <v>154</v>
      </c>
      <c r="V712" t="str">
        <f>IFERROR(INDEX(Products!$C:$C,MATCH(D712,Products!$A:$A,0)),"Unknown")</f>
        <v>Men T-Shirts</v>
      </c>
      <c r="W712" t="str">
        <f>IFERROR(INDEX(Products!$E:$E,MATCH(D712,Products!$A:$A,0)),"Unknown")</f>
        <v>Metro Shoes</v>
      </c>
      <c r="X712" t="str">
        <f>IFERROR(INDEX(Stores!$B:$B,MATCH(E712,Stores!$A:$A,0)),"Unknown")</f>
        <v>TrendMart Kurnool Outlet</v>
      </c>
      <c r="Y712" t="str">
        <f>IFERROR(INDEX(Stores!$E:$E,MATCH(E712,Stores!$A:$A,0)),"Unknown")</f>
        <v>South Zone 3</v>
      </c>
      <c r="Z712" t="str">
        <f>IFERROR(INDEX(Customers!$J:$J,MATCH(C712,Customers!$A:$A,0)),"Unknown")</f>
        <v>Gold</v>
      </c>
      <c r="AA712" t="str">
        <f t="shared" si="11"/>
        <v>2024-07</v>
      </c>
      <c r="AB712" t="str">
        <f>IFERROR(INDEX(Products!$I:$I,MATCH(D712,Products!$A:$A,0)),"Unknown")</f>
        <v>SUP024</v>
      </c>
    </row>
    <row r="713" spans="1:28" x14ac:dyDescent="0.25">
      <c r="A713" t="s">
        <v>2160</v>
      </c>
      <c r="B713" s="20">
        <v>45709</v>
      </c>
      <c r="C713" t="s">
        <v>1764</v>
      </c>
      <c r="D713" t="s">
        <v>1454</v>
      </c>
      <c r="E713" t="s">
        <v>98</v>
      </c>
      <c r="F713" t="s">
        <v>242</v>
      </c>
      <c r="G713">
        <v>1</v>
      </c>
      <c r="H713" s="21">
        <v>729.47</v>
      </c>
      <c r="I713">
        <v>0</v>
      </c>
      <c r="J713" s="21">
        <v>0</v>
      </c>
      <c r="K713">
        <v>5</v>
      </c>
      <c r="L713" s="21">
        <v>36.47</v>
      </c>
      <c r="M713" s="21">
        <v>765.94</v>
      </c>
      <c r="N713" s="21">
        <v>570.17999999999995</v>
      </c>
      <c r="O713" s="21">
        <v>159.29</v>
      </c>
      <c r="P713" t="s">
        <v>121</v>
      </c>
      <c r="Q713" t="s">
        <v>120</v>
      </c>
      <c r="R713" t="s">
        <v>151</v>
      </c>
      <c r="S713" t="s">
        <v>964</v>
      </c>
      <c r="T713" t="s">
        <v>153</v>
      </c>
      <c r="U713" t="s">
        <v>154</v>
      </c>
      <c r="V713" t="str">
        <f>IFERROR(INDEX(Products!$C:$C,MATCH(D713,Products!$A:$A,0)),"Unknown")</f>
        <v>Wallets</v>
      </c>
      <c r="W713" t="str">
        <f>IFERROR(INDEX(Products!$E:$E,MATCH(D713,Products!$A:$A,0)),"Unknown")</f>
        <v>Skechers</v>
      </c>
      <c r="X713" t="str">
        <f>IFERROR(INDEX(Stores!$B:$B,MATCH(E713,Stores!$A:$A,0)),"Unknown")</f>
        <v>TrendMart Bengaluru Flagship</v>
      </c>
      <c r="Y713" t="str">
        <f>IFERROR(INDEX(Stores!$E:$E,MATCH(E713,Stores!$A:$A,0)),"Unknown")</f>
        <v>South Zone 2</v>
      </c>
      <c r="Z713" t="str">
        <f>IFERROR(INDEX(Customers!$J:$J,MATCH(C713,Customers!$A:$A,0)),"Unknown")</f>
        <v>Regular</v>
      </c>
      <c r="AA713" t="str">
        <f t="shared" si="11"/>
        <v>2025-02</v>
      </c>
      <c r="AB713" t="str">
        <f>IFERROR(INDEX(Products!$I:$I,MATCH(D713,Products!$A:$A,0)),"Unknown")</f>
        <v>SUP013</v>
      </c>
    </row>
    <row r="714" spans="1:28" x14ac:dyDescent="0.25">
      <c r="A714" t="s">
        <v>2161</v>
      </c>
      <c r="B714" s="20">
        <v>45422</v>
      </c>
      <c r="C714" t="s">
        <v>916</v>
      </c>
      <c r="D714" t="s">
        <v>536</v>
      </c>
      <c r="E714" t="s">
        <v>252</v>
      </c>
      <c r="F714" t="s">
        <v>201</v>
      </c>
      <c r="G714">
        <v>2</v>
      </c>
      <c r="H714" s="21">
        <v>559.85</v>
      </c>
      <c r="I714">
        <v>15</v>
      </c>
      <c r="J714" s="21">
        <v>167.96</v>
      </c>
      <c r="K714">
        <v>5</v>
      </c>
      <c r="L714" s="21">
        <v>47.59</v>
      </c>
      <c r="M714" s="21">
        <v>999.33</v>
      </c>
      <c r="N714" s="21">
        <v>714.9</v>
      </c>
      <c r="O714" s="21">
        <v>236.84</v>
      </c>
      <c r="P714" t="s">
        <v>124</v>
      </c>
      <c r="Q714" t="s">
        <v>122</v>
      </c>
      <c r="R714" t="s">
        <v>151</v>
      </c>
      <c r="S714" t="s">
        <v>2162</v>
      </c>
      <c r="T714" t="s">
        <v>153</v>
      </c>
      <c r="U714" t="s">
        <v>154</v>
      </c>
      <c r="V714" t="str">
        <f>IFERROR(INDEX(Products!$C:$C,MATCH(D714,Products!$A:$A,0)),"Unknown")</f>
        <v>Wallets</v>
      </c>
      <c r="W714" t="str">
        <f>IFERROR(INDEX(Products!$E:$E,MATCH(D714,Products!$A:$A,0)),"Unknown")</f>
        <v>Aurelia</v>
      </c>
      <c r="X714" t="str">
        <f>IFERROR(INDEX(Stores!$B:$B,MATCH(E714,Stores!$A:$A,0)),"Unknown")</f>
        <v>TrendMart Nellore Standard</v>
      </c>
      <c r="Y714" t="str">
        <f>IFERROR(INDEX(Stores!$E:$E,MATCH(E714,Stores!$A:$A,0)),"Unknown")</f>
        <v>South Zone 3</v>
      </c>
      <c r="Z714" t="str">
        <f>IFERROR(INDEX(Customers!$J:$J,MATCH(C714,Customers!$A:$A,0)),"Unknown")</f>
        <v>Silver</v>
      </c>
      <c r="AA714" t="str">
        <f t="shared" si="11"/>
        <v>2024-05</v>
      </c>
      <c r="AB714" t="str">
        <f>IFERROR(INDEX(Products!$I:$I,MATCH(D714,Products!$A:$A,0)),"Unknown")</f>
        <v>SUP084</v>
      </c>
    </row>
    <row r="715" spans="1:28" x14ac:dyDescent="0.25">
      <c r="A715" t="s">
        <v>2163</v>
      </c>
      <c r="B715" s="20">
        <v>45472</v>
      </c>
      <c r="C715" t="s">
        <v>834</v>
      </c>
      <c r="D715" t="s">
        <v>1809</v>
      </c>
      <c r="E715" t="s">
        <v>506</v>
      </c>
      <c r="F715" t="s">
        <v>516</v>
      </c>
      <c r="G715">
        <v>1</v>
      </c>
      <c r="H715" s="21">
        <v>1207.3699999999999</v>
      </c>
      <c r="I715">
        <v>10</v>
      </c>
      <c r="J715" s="21">
        <v>120.74</v>
      </c>
      <c r="K715">
        <v>12</v>
      </c>
      <c r="L715" s="21">
        <v>130.4</v>
      </c>
      <c r="M715" s="21">
        <v>1217.03</v>
      </c>
      <c r="N715" s="21">
        <v>756.59</v>
      </c>
      <c r="O715" s="21">
        <v>330.04</v>
      </c>
      <c r="P715" t="s">
        <v>121</v>
      </c>
      <c r="Q715" t="s">
        <v>120</v>
      </c>
      <c r="R715" t="s">
        <v>151</v>
      </c>
      <c r="S715" t="s">
        <v>1351</v>
      </c>
      <c r="T715" t="s">
        <v>161</v>
      </c>
      <c r="U715" t="s">
        <v>154</v>
      </c>
      <c r="V715" t="str">
        <f>IFERROR(INDEX(Products!$C:$C,MATCH(D715,Products!$A:$A,0)),"Unknown")</f>
        <v>Men Jeans</v>
      </c>
      <c r="W715" t="str">
        <f>IFERROR(INDEX(Products!$E:$E,MATCH(D715,Products!$A:$A,0)),"Unknown")</f>
        <v>Mufti</v>
      </c>
      <c r="X715" t="str">
        <f>IFERROR(INDEX(Stores!$B:$B,MATCH(E715,Stores!$A:$A,0)),"Unknown")</f>
        <v>TrendMart Nellore High Street</v>
      </c>
      <c r="Y715" t="str">
        <f>IFERROR(INDEX(Stores!$E:$E,MATCH(E715,Stores!$A:$A,0)),"Unknown")</f>
        <v>South Zone 3</v>
      </c>
      <c r="Z715" t="str">
        <f>IFERROR(INDEX(Customers!$J:$J,MATCH(C715,Customers!$A:$A,0)),"Unknown")</f>
        <v>Platinum</v>
      </c>
      <c r="AA715" t="str">
        <f t="shared" si="11"/>
        <v>2024-06</v>
      </c>
      <c r="AB715" t="str">
        <f>IFERROR(INDEX(Products!$I:$I,MATCH(D715,Products!$A:$A,0)),"Unknown")</f>
        <v>SUP035</v>
      </c>
    </row>
    <row r="716" spans="1:28" x14ac:dyDescent="0.25">
      <c r="A716" t="s">
        <v>2164</v>
      </c>
      <c r="B716" s="20">
        <v>45422</v>
      </c>
      <c r="C716" t="s">
        <v>2165</v>
      </c>
      <c r="D716" t="s">
        <v>1292</v>
      </c>
      <c r="E716" t="s">
        <v>537</v>
      </c>
      <c r="F716" t="s">
        <v>237</v>
      </c>
      <c r="G716">
        <v>2</v>
      </c>
      <c r="H716" s="21">
        <v>525.01</v>
      </c>
      <c r="I716">
        <v>20</v>
      </c>
      <c r="J716" s="21">
        <v>210</v>
      </c>
      <c r="K716">
        <v>5</v>
      </c>
      <c r="L716" s="21">
        <v>42</v>
      </c>
      <c r="M716" s="21">
        <v>882.02</v>
      </c>
      <c r="N716" s="21">
        <v>697.5</v>
      </c>
      <c r="O716" s="21">
        <v>142.52000000000001</v>
      </c>
      <c r="P716" t="s">
        <v>125</v>
      </c>
      <c r="Q716" t="s">
        <v>120</v>
      </c>
      <c r="R716" t="s">
        <v>151</v>
      </c>
      <c r="S716" t="s">
        <v>2166</v>
      </c>
      <c r="T716" t="s">
        <v>153</v>
      </c>
      <c r="U716" t="s">
        <v>154</v>
      </c>
      <c r="V716" t="str">
        <f>IFERROR(INDEX(Products!$C:$C,MATCH(D716,Products!$A:$A,0)),"Unknown")</f>
        <v>Men T-Shirts</v>
      </c>
      <c r="W716" t="str">
        <f>IFERROR(INDEX(Products!$E:$E,MATCH(D716,Products!$A:$A,0)),"Unknown")</f>
        <v>Metro Shoes</v>
      </c>
      <c r="X716" t="str">
        <f>IFERROR(INDEX(Stores!$B:$B,MATCH(E716,Stores!$A:$A,0)),"Unknown")</f>
        <v>TrendMart Thrissur High Street</v>
      </c>
      <c r="Y716" t="str">
        <f>IFERROR(INDEX(Stores!$E:$E,MATCH(E716,Stores!$A:$A,0)),"Unknown")</f>
        <v>South Zone 1</v>
      </c>
      <c r="Z716" t="str">
        <f>IFERROR(INDEX(Customers!$J:$J,MATCH(C716,Customers!$A:$A,0)),"Unknown")</f>
        <v>Gold</v>
      </c>
      <c r="AA716" t="str">
        <f t="shared" si="11"/>
        <v>2024-05</v>
      </c>
      <c r="AB716" t="str">
        <f>IFERROR(INDEX(Products!$I:$I,MATCH(D716,Products!$A:$A,0)),"Unknown")</f>
        <v>SUP024</v>
      </c>
    </row>
    <row r="717" spans="1:28" x14ac:dyDescent="0.25">
      <c r="A717" t="s">
        <v>2167</v>
      </c>
      <c r="B717" s="20">
        <v>45484</v>
      </c>
      <c r="C717" t="s">
        <v>2168</v>
      </c>
      <c r="D717" t="s">
        <v>2169</v>
      </c>
      <c r="E717" t="s">
        <v>351</v>
      </c>
      <c r="F717" t="s">
        <v>263</v>
      </c>
      <c r="G717">
        <v>2</v>
      </c>
      <c r="H717" s="21">
        <v>991.73</v>
      </c>
      <c r="I717">
        <v>0</v>
      </c>
      <c r="J717" s="21">
        <v>0</v>
      </c>
      <c r="K717">
        <v>5</v>
      </c>
      <c r="L717" s="21">
        <v>99.17</v>
      </c>
      <c r="M717" s="21">
        <v>2082.63</v>
      </c>
      <c r="N717" s="21">
        <v>1281.52</v>
      </c>
      <c r="O717" s="21">
        <v>701.94</v>
      </c>
      <c r="P717" t="s">
        <v>121</v>
      </c>
      <c r="Q717" t="s">
        <v>122</v>
      </c>
      <c r="R717" t="s">
        <v>151</v>
      </c>
      <c r="S717" t="s">
        <v>2162</v>
      </c>
      <c r="T717" t="s">
        <v>153</v>
      </c>
      <c r="U717" t="s">
        <v>154</v>
      </c>
      <c r="V717" t="str">
        <f>IFERROR(INDEX(Products!$C:$C,MATCH(D717,Products!$A:$A,0)),"Unknown")</f>
        <v>Men Trousers</v>
      </c>
      <c r="W717" t="str">
        <f>IFERROR(INDEX(Products!$E:$E,MATCH(D717,Products!$A:$A,0)),"Unknown")</f>
        <v>Titan</v>
      </c>
      <c r="X717" t="str">
        <f>IFERROR(INDEX(Stores!$B:$B,MATCH(E717,Stores!$A:$A,0)),"Unknown")</f>
        <v>TrendMart Kozhikode High Street</v>
      </c>
      <c r="Y717" t="str">
        <f>IFERROR(INDEX(Stores!$E:$E,MATCH(E717,Stores!$A:$A,0)),"Unknown")</f>
        <v>South Zone 1</v>
      </c>
      <c r="Z717" t="str">
        <f>IFERROR(INDEX(Customers!$J:$J,MATCH(C717,Customers!$A:$A,0)),"Unknown")</f>
        <v>Regular</v>
      </c>
      <c r="AA717" t="str">
        <f t="shared" si="11"/>
        <v>2024-07</v>
      </c>
      <c r="AB717" t="str">
        <f>IFERROR(INDEX(Products!$I:$I,MATCH(D717,Products!$A:$A,0)),"Unknown")</f>
        <v>SUP069</v>
      </c>
    </row>
    <row r="718" spans="1:28" x14ac:dyDescent="0.25">
      <c r="A718" t="s">
        <v>2170</v>
      </c>
      <c r="B718" s="20">
        <v>45745</v>
      </c>
      <c r="C718" t="s">
        <v>904</v>
      </c>
      <c r="D718" t="s">
        <v>1036</v>
      </c>
      <c r="E718" t="s">
        <v>94</v>
      </c>
      <c r="F718" t="s">
        <v>201</v>
      </c>
      <c r="G718">
        <v>4</v>
      </c>
      <c r="H718" s="21">
        <v>969.22</v>
      </c>
      <c r="I718">
        <v>0</v>
      </c>
      <c r="J718" s="21">
        <v>0</v>
      </c>
      <c r="K718">
        <v>5</v>
      </c>
      <c r="L718" s="21">
        <v>193.84</v>
      </c>
      <c r="M718" s="21">
        <v>4070.72</v>
      </c>
      <c r="N718" s="21">
        <v>2360.08</v>
      </c>
      <c r="O718" s="21">
        <v>1516.8</v>
      </c>
      <c r="P718" t="s">
        <v>125</v>
      </c>
      <c r="Q718" t="s">
        <v>120</v>
      </c>
      <c r="R718" t="s">
        <v>151</v>
      </c>
      <c r="S718" t="s">
        <v>1587</v>
      </c>
      <c r="T718" t="s">
        <v>161</v>
      </c>
      <c r="U718" t="s">
        <v>154</v>
      </c>
      <c r="V718" t="str">
        <f>IFERROR(INDEX(Products!$C:$C,MATCH(D718,Products!$A:$A,0)),"Unknown")</f>
        <v>Belts</v>
      </c>
      <c r="W718" t="str">
        <f>IFERROR(INDEX(Products!$E:$E,MATCH(D718,Products!$A:$A,0)),"Unknown")</f>
        <v>Skechers</v>
      </c>
      <c r="X718" t="str">
        <f>IFERROR(INDEX(Stores!$B:$B,MATCH(E718,Stores!$A:$A,0)),"Unknown")</f>
        <v>TrendMart Bengaluru Mall Kiosk</v>
      </c>
      <c r="Y718" t="str">
        <f>IFERROR(INDEX(Stores!$E:$E,MATCH(E718,Stores!$A:$A,0)),"Unknown")</f>
        <v>South Zone 2</v>
      </c>
      <c r="Z718" t="str">
        <f>IFERROR(INDEX(Customers!$J:$J,MATCH(C718,Customers!$A:$A,0)),"Unknown")</f>
        <v>Gold</v>
      </c>
      <c r="AA718" t="str">
        <f t="shared" si="11"/>
        <v>2025-03</v>
      </c>
      <c r="AB718" t="str">
        <f>IFERROR(INDEX(Products!$I:$I,MATCH(D718,Products!$A:$A,0)),"Unknown")</f>
        <v>SUP085</v>
      </c>
    </row>
    <row r="719" spans="1:28" x14ac:dyDescent="0.25">
      <c r="A719" t="s">
        <v>2171</v>
      </c>
      <c r="B719" s="20">
        <v>45591</v>
      </c>
      <c r="C719" t="s">
        <v>2172</v>
      </c>
      <c r="D719" t="s">
        <v>1312</v>
      </c>
      <c r="E719" t="s">
        <v>355</v>
      </c>
      <c r="F719" t="s">
        <v>308</v>
      </c>
      <c r="G719">
        <v>3</v>
      </c>
      <c r="H719" s="21">
        <v>982.16</v>
      </c>
      <c r="I719">
        <v>10</v>
      </c>
      <c r="J719" s="21">
        <v>294.64999999999998</v>
      </c>
      <c r="K719">
        <v>5</v>
      </c>
      <c r="L719" s="21">
        <v>132.59</v>
      </c>
      <c r="M719" s="21">
        <v>2784.42</v>
      </c>
      <c r="N719" s="21">
        <v>2301.33</v>
      </c>
      <c r="O719" s="21">
        <v>350.5</v>
      </c>
      <c r="P719" t="s">
        <v>125</v>
      </c>
      <c r="Q719" t="s">
        <v>120</v>
      </c>
      <c r="R719" t="s">
        <v>151</v>
      </c>
      <c r="S719" t="s">
        <v>907</v>
      </c>
      <c r="T719" t="s">
        <v>161</v>
      </c>
      <c r="U719" t="s">
        <v>154</v>
      </c>
      <c r="V719" t="str">
        <f>IFERROR(INDEX(Products!$C:$C,MATCH(D719,Products!$A:$A,0)),"Unknown")</f>
        <v>Women Kurtis</v>
      </c>
      <c r="W719" t="str">
        <f>IFERROR(INDEX(Products!$E:$E,MATCH(D719,Products!$A:$A,0)),"Unknown")</f>
        <v>Louis Philippe</v>
      </c>
      <c r="X719" t="str">
        <f>IFERROR(INDEX(Stores!$B:$B,MATCH(E719,Stores!$A:$A,0)),"Unknown")</f>
        <v>TrendMart Thiruvananthapuram High Street</v>
      </c>
      <c r="Y719" t="str">
        <f>IFERROR(INDEX(Stores!$E:$E,MATCH(E719,Stores!$A:$A,0)),"Unknown")</f>
        <v>South Zone 1</v>
      </c>
      <c r="Z719" t="str">
        <f>IFERROR(INDEX(Customers!$J:$J,MATCH(C719,Customers!$A:$A,0)),"Unknown")</f>
        <v>Silver</v>
      </c>
      <c r="AA719" t="str">
        <f t="shared" si="11"/>
        <v>2024-10</v>
      </c>
      <c r="AB719" t="str">
        <f>IFERROR(INDEX(Products!$I:$I,MATCH(D719,Products!$A:$A,0)),"Unknown")</f>
        <v>SUP010</v>
      </c>
    </row>
    <row r="720" spans="1:28" x14ac:dyDescent="0.25">
      <c r="A720" t="s">
        <v>2173</v>
      </c>
      <c r="B720" s="20">
        <v>45531</v>
      </c>
      <c r="C720" t="s">
        <v>2174</v>
      </c>
      <c r="D720" t="s">
        <v>210</v>
      </c>
      <c r="E720" t="s">
        <v>461</v>
      </c>
      <c r="F720" t="s">
        <v>165</v>
      </c>
      <c r="G720">
        <v>1</v>
      </c>
      <c r="H720" s="21">
        <v>1707.01</v>
      </c>
      <c r="I720">
        <v>20</v>
      </c>
      <c r="J720" s="21">
        <v>341.4</v>
      </c>
      <c r="K720">
        <v>12</v>
      </c>
      <c r="L720" s="21">
        <v>163.87</v>
      </c>
      <c r="M720" s="21">
        <v>1529.48</v>
      </c>
      <c r="N720" s="21">
        <v>1399.85</v>
      </c>
      <c r="O720" s="21">
        <v>-34.24</v>
      </c>
      <c r="P720" t="s">
        <v>123</v>
      </c>
      <c r="Q720" t="s">
        <v>120</v>
      </c>
      <c r="R720" t="s">
        <v>151</v>
      </c>
      <c r="S720" t="s">
        <v>2175</v>
      </c>
      <c r="T720" t="s">
        <v>153</v>
      </c>
      <c r="U720" t="s">
        <v>184</v>
      </c>
      <c r="V720" t="str">
        <f>IFERROR(INDEX(Products!$C:$C,MATCH(D720,Products!$A:$A,0)),"Unknown")</f>
        <v>Women Dresses</v>
      </c>
      <c r="W720" t="str">
        <f>IFERROR(INDEX(Products!$E:$E,MATCH(D720,Products!$A:$A,0)),"Unknown")</f>
        <v>Nike</v>
      </c>
      <c r="X720" t="str">
        <f>IFERROR(INDEX(Stores!$B:$B,MATCH(E720,Stores!$A:$A,0)),"Unknown")</f>
        <v>TrendMart Visakhapatnam High Street</v>
      </c>
      <c r="Y720" t="str">
        <f>IFERROR(INDEX(Stores!$E:$E,MATCH(E720,Stores!$A:$A,0)),"Unknown")</f>
        <v>South Zone 3</v>
      </c>
      <c r="Z720" t="str">
        <f>IFERROR(INDEX(Customers!$J:$J,MATCH(C720,Customers!$A:$A,0)),"Unknown")</f>
        <v>Gold</v>
      </c>
      <c r="AA720" t="str">
        <f t="shared" si="11"/>
        <v>2024-08</v>
      </c>
      <c r="AB720" t="str">
        <f>IFERROR(INDEX(Products!$I:$I,MATCH(D720,Products!$A:$A,0)),"Unknown")</f>
        <v>SUP073</v>
      </c>
    </row>
    <row r="721" spans="1:28" x14ac:dyDescent="0.25">
      <c r="A721" t="s">
        <v>2176</v>
      </c>
      <c r="B721" s="20">
        <v>45727</v>
      </c>
      <c r="C721" t="s">
        <v>1038</v>
      </c>
      <c r="D721" t="s">
        <v>205</v>
      </c>
      <c r="E721" t="s">
        <v>268</v>
      </c>
      <c r="F721" t="s">
        <v>195</v>
      </c>
      <c r="G721">
        <v>1</v>
      </c>
      <c r="H721" s="21">
        <v>1054.6600000000001</v>
      </c>
      <c r="I721">
        <v>10</v>
      </c>
      <c r="J721" s="21">
        <v>105.47</v>
      </c>
      <c r="K721">
        <v>12</v>
      </c>
      <c r="L721" s="21">
        <v>113.9</v>
      </c>
      <c r="M721" s="21">
        <v>1063.0899999999999</v>
      </c>
      <c r="N721" s="21">
        <v>692.53</v>
      </c>
      <c r="O721" s="21">
        <v>256.66000000000003</v>
      </c>
      <c r="P721" t="s">
        <v>121</v>
      </c>
      <c r="Q721" t="s">
        <v>120</v>
      </c>
      <c r="R721" t="s">
        <v>151</v>
      </c>
      <c r="S721" t="s">
        <v>2177</v>
      </c>
      <c r="T721" t="s">
        <v>153</v>
      </c>
      <c r="U721" t="s">
        <v>154</v>
      </c>
      <c r="V721" t="str">
        <f>IFERROR(INDEX(Products!$C:$C,MATCH(D721,Products!$A:$A,0)),"Unknown")</f>
        <v>Women Jeans</v>
      </c>
      <c r="W721" t="str">
        <f>IFERROR(INDEX(Products!$E:$E,MATCH(D721,Products!$A:$A,0)),"Unknown")</f>
        <v>Sonata</v>
      </c>
      <c r="X721" t="str">
        <f>IFERROR(INDEX(Stores!$B:$B,MATCH(E721,Stores!$A:$A,0)),"Unknown")</f>
        <v>TrendMart Kochi High Street</v>
      </c>
      <c r="Y721" t="str">
        <f>IFERROR(INDEX(Stores!$E:$E,MATCH(E721,Stores!$A:$A,0)),"Unknown")</f>
        <v>South Zone 1</v>
      </c>
      <c r="Z721" t="str">
        <f>IFERROR(INDEX(Customers!$J:$J,MATCH(C721,Customers!$A:$A,0)),"Unknown")</f>
        <v>Regular</v>
      </c>
      <c r="AA721" t="str">
        <f t="shared" si="11"/>
        <v>2025-03</v>
      </c>
      <c r="AB721" t="str">
        <f>IFERROR(INDEX(Products!$I:$I,MATCH(D721,Products!$A:$A,0)),"Unknown")</f>
        <v>SUP014</v>
      </c>
    </row>
    <row r="722" spans="1:28" x14ac:dyDescent="0.25">
      <c r="A722" t="s">
        <v>2178</v>
      </c>
      <c r="B722" s="20">
        <v>45453</v>
      </c>
      <c r="C722" t="s">
        <v>454</v>
      </c>
      <c r="D722" t="s">
        <v>2039</v>
      </c>
      <c r="E722" t="s">
        <v>741</v>
      </c>
      <c r="F722" t="s">
        <v>397</v>
      </c>
      <c r="G722">
        <v>2</v>
      </c>
      <c r="H722" s="21">
        <v>2774.71</v>
      </c>
      <c r="I722">
        <v>15</v>
      </c>
      <c r="J722" s="21">
        <v>832.41</v>
      </c>
      <c r="K722">
        <v>12</v>
      </c>
      <c r="L722" s="21">
        <v>566.04</v>
      </c>
      <c r="M722" s="21">
        <v>5283.05</v>
      </c>
      <c r="N722" s="21">
        <v>4157.84</v>
      </c>
      <c r="O722" s="21">
        <v>559.16999999999996</v>
      </c>
      <c r="P722" t="s">
        <v>121</v>
      </c>
      <c r="Q722" t="s">
        <v>120</v>
      </c>
      <c r="R722" t="s">
        <v>151</v>
      </c>
      <c r="S722" t="s">
        <v>1293</v>
      </c>
      <c r="T722" t="s">
        <v>153</v>
      </c>
      <c r="U722" t="s">
        <v>154</v>
      </c>
      <c r="V722" t="str">
        <f>IFERROR(INDEX(Products!$C:$C,MATCH(D722,Products!$A:$A,0)),"Unknown")</f>
        <v>Women Sarees</v>
      </c>
      <c r="W722" t="str">
        <f>IFERROR(INDEX(Products!$E:$E,MATCH(D722,Products!$A:$A,0)),"Unknown")</f>
        <v>Arrow</v>
      </c>
      <c r="X722" t="str">
        <f>IFERROR(INDEX(Stores!$B:$B,MATCH(E722,Stores!$A:$A,0)),"Unknown")</f>
        <v>TrendMart Nellore Mall Kiosk</v>
      </c>
      <c r="Y722" t="str">
        <f>IFERROR(INDEX(Stores!$E:$E,MATCH(E722,Stores!$A:$A,0)),"Unknown")</f>
        <v>South Zone 3</v>
      </c>
      <c r="Z722" t="str">
        <f>IFERROR(INDEX(Customers!$J:$J,MATCH(C722,Customers!$A:$A,0)),"Unknown")</f>
        <v>Silver</v>
      </c>
      <c r="AA722" t="str">
        <f t="shared" si="11"/>
        <v>2024-06</v>
      </c>
      <c r="AB722" t="str">
        <f>IFERROR(INDEX(Products!$I:$I,MATCH(D722,Products!$A:$A,0)),"Unknown")</f>
        <v>SUP087</v>
      </c>
    </row>
    <row r="723" spans="1:28" x14ac:dyDescent="0.25">
      <c r="A723" t="s">
        <v>2179</v>
      </c>
      <c r="B723" s="20">
        <v>45583</v>
      </c>
      <c r="C723" t="s">
        <v>366</v>
      </c>
      <c r="D723" t="s">
        <v>1280</v>
      </c>
      <c r="E723" t="s">
        <v>396</v>
      </c>
      <c r="F723" t="s">
        <v>237</v>
      </c>
      <c r="G723">
        <v>2</v>
      </c>
      <c r="H723" s="21">
        <v>1165.71</v>
      </c>
      <c r="I723">
        <v>0</v>
      </c>
      <c r="J723" s="21">
        <v>0</v>
      </c>
      <c r="K723">
        <v>12</v>
      </c>
      <c r="L723" s="21">
        <v>279.77</v>
      </c>
      <c r="M723" s="21">
        <v>2611.19</v>
      </c>
      <c r="N723" s="21">
        <v>1509.46</v>
      </c>
      <c r="O723" s="21">
        <v>821.96</v>
      </c>
      <c r="P723" t="s">
        <v>121</v>
      </c>
      <c r="Q723" t="s">
        <v>120</v>
      </c>
      <c r="R723" t="s">
        <v>151</v>
      </c>
      <c r="S723" t="s">
        <v>1217</v>
      </c>
      <c r="T723" t="s">
        <v>153</v>
      </c>
      <c r="U723" t="s">
        <v>154</v>
      </c>
      <c r="V723" t="str">
        <f>IFERROR(INDEX(Products!$C:$C,MATCH(D723,Products!$A:$A,0)),"Unknown")</f>
        <v>Men Jeans</v>
      </c>
      <c r="W723" t="str">
        <f>IFERROR(INDEX(Products!$E:$E,MATCH(D723,Products!$A:$A,0)),"Unknown")</f>
        <v>Jack &amp; Jones</v>
      </c>
      <c r="X723" t="str">
        <f>IFERROR(INDEX(Stores!$B:$B,MATCH(E723,Stores!$A:$A,0)),"Unknown")</f>
        <v>TrendMart Davanagere High Street</v>
      </c>
      <c r="Y723" t="str">
        <f>IFERROR(INDEX(Stores!$E:$E,MATCH(E723,Stores!$A:$A,0)),"Unknown")</f>
        <v>South Zone 2</v>
      </c>
      <c r="Z723" t="str">
        <f>IFERROR(INDEX(Customers!$J:$J,MATCH(C723,Customers!$A:$A,0)),"Unknown")</f>
        <v>Gold</v>
      </c>
      <c r="AA723" t="str">
        <f t="shared" si="11"/>
        <v>2024-10</v>
      </c>
      <c r="AB723" t="str">
        <f>IFERROR(INDEX(Products!$I:$I,MATCH(D723,Products!$A:$A,0)),"Unknown")</f>
        <v>SUP072</v>
      </c>
    </row>
    <row r="724" spans="1:28" x14ac:dyDescent="0.25">
      <c r="A724" t="s">
        <v>2180</v>
      </c>
      <c r="B724" s="20">
        <v>45466</v>
      </c>
      <c r="C724" t="s">
        <v>2086</v>
      </c>
      <c r="D724" t="s">
        <v>1590</v>
      </c>
      <c r="E724" t="s">
        <v>87</v>
      </c>
      <c r="F724" t="s">
        <v>176</v>
      </c>
      <c r="G724">
        <v>2</v>
      </c>
      <c r="H724" s="21">
        <v>555.6</v>
      </c>
      <c r="I724">
        <v>25</v>
      </c>
      <c r="J724" s="21">
        <v>277.8</v>
      </c>
      <c r="K724">
        <v>5</v>
      </c>
      <c r="L724" s="21">
        <v>41.67</v>
      </c>
      <c r="M724" s="21">
        <v>875.07</v>
      </c>
      <c r="N724" s="21">
        <v>674.18</v>
      </c>
      <c r="O724" s="21">
        <v>159.22</v>
      </c>
      <c r="P724" t="s">
        <v>123</v>
      </c>
      <c r="Q724" t="s">
        <v>122</v>
      </c>
      <c r="R724" t="s">
        <v>151</v>
      </c>
      <c r="S724" t="s">
        <v>953</v>
      </c>
      <c r="T724" t="s">
        <v>161</v>
      </c>
      <c r="U724" t="s">
        <v>154</v>
      </c>
      <c r="V724" t="str">
        <f>IFERROR(INDEX(Products!$C:$C,MATCH(D724,Products!$A:$A,0)),"Unknown")</f>
        <v>Kids Wear</v>
      </c>
      <c r="W724" t="str">
        <f>IFERROR(INDEX(Products!$E:$E,MATCH(D724,Products!$A:$A,0)),"Unknown")</f>
        <v>Peter England</v>
      </c>
      <c r="X724" t="str">
        <f>IFERROR(INDEX(Stores!$B:$B,MATCH(E724,Stores!$A:$A,0)),"Unknown")</f>
        <v>TrendMart Thiruvananthapuram Standard</v>
      </c>
      <c r="Y724" t="str">
        <f>IFERROR(INDEX(Stores!$E:$E,MATCH(E724,Stores!$A:$A,0)),"Unknown")</f>
        <v>South Zone 1</v>
      </c>
      <c r="Z724" t="str">
        <f>IFERROR(INDEX(Customers!$J:$J,MATCH(C724,Customers!$A:$A,0)),"Unknown")</f>
        <v>Regular</v>
      </c>
      <c r="AA724" t="str">
        <f t="shared" si="11"/>
        <v>2024-06</v>
      </c>
      <c r="AB724" t="str">
        <f>IFERROR(INDEX(Products!$I:$I,MATCH(D724,Products!$A:$A,0)),"Unknown")</f>
        <v>SUP065</v>
      </c>
    </row>
    <row r="725" spans="1:28" x14ac:dyDescent="0.25">
      <c r="A725" t="s">
        <v>2181</v>
      </c>
      <c r="B725" s="20">
        <v>45425</v>
      </c>
      <c r="C725" t="s">
        <v>857</v>
      </c>
      <c r="D725" t="s">
        <v>481</v>
      </c>
      <c r="E725" t="s">
        <v>701</v>
      </c>
      <c r="F725" t="s">
        <v>397</v>
      </c>
      <c r="G725">
        <v>3</v>
      </c>
      <c r="H725" s="21">
        <v>936.59</v>
      </c>
      <c r="I725">
        <v>0</v>
      </c>
      <c r="J725" s="21">
        <v>0</v>
      </c>
      <c r="K725">
        <v>5</v>
      </c>
      <c r="L725" s="21">
        <v>140.49</v>
      </c>
      <c r="M725" s="21">
        <v>2950.26</v>
      </c>
      <c r="N725" s="21">
        <v>2094.2399999999998</v>
      </c>
      <c r="O725" s="21">
        <v>715.53</v>
      </c>
      <c r="P725" t="s">
        <v>123</v>
      </c>
      <c r="Q725" t="s">
        <v>120</v>
      </c>
      <c r="R725" t="s">
        <v>151</v>
      </c>
      <c r="S725" t="s">
        <v>2182</v>
      </c>
      <c r="T725" t="s">
        <v>153</v>
      </c>
      <c r="U725" t="s">
        <v>154</v>
      </c>
      <c r="V725" t="str">
        <f>IFERROR(INDEX(Products!$C:$C,MATCH(D725,Products!$A:$A,0)),"Unknown")</f>
        <v>Women Dresses</v>
      </c>
      <c r="W725" t="str">
        <f>IFERROR(INDEX(Products!$E:$E,MATCH(D725,Products!$A:$A,0)),"Unknown")</f>
        <v>Jack &amp; Jones</v>
      </c>
      <c r="X725" t="str">
        <f>IFERROR(INDEX(Stores!$B:$B,MATCH(E725,Stores!$A:$A,0)),"Unknown")</f>
        <v>TrendMart Vijayawada Mall Kiosk</v>
      </c>
      <c r="Y725" t="str">
        <f>IFERROR(INDEX(Stores!$E:$E,MATCH(E725,Stores!$A:$A,0)),"Unknown")</f>
        <v>South Zone 3</v>
      </c>
      <c r="Z725" t="str">
        <f>IFERROR(INDEX(Customers!$J:$J,MATCH(C725,Customers!$A:$A,0)),"Unknown")</f>
        <v>Gold</v>
      </c>
      <c r="AA725" t="str">
        <f t="shared" si="11"/>
        <v>2024-05</v>
      </c>
      <c r="AB725" t="str">
        <f>IFERROR(INDEX(Products!$I:$I,MATCH(D725,Products!$A:$A,0)),"Unknown")</f>
        <v>SUP069</v>
      </c>
    </row>
    <row r="726" spans="1:28" x14ac:dyDescent="0.25">
      <c r="A726" t="s">
        <v>2183</v>
      </c>
      <c r="B726" s="20">
        <v>45531</v>
      </c>
      <c r="C726" t="s">
        <v>851</v>
      </c>
      <c r="D726" t="s">
        <v>968</v>
      </c>
      <c r="E726" t="s">
        <v>416</v>
      </c>
      <c r="F726" t="s">
        <v>195</v>
      </c>
      <c r="G726">
        <v>2</v>
      </c>
      <c r="H726" s="21">
        <v>525.37</v>
      </c>
      <c r="I726">
        <v>20</v>
      </c>
      <c r="J726" s="21">
        <v>210.15</v>
      </c>
      <c r="K726">
        <v>5</v>
      </c>
      <c r="L726" s="21">
        <v>42.03</v>
      </c>
      <c r="M726" s="21">
        <v>882.62</v>
      </c>
      <c r="N726" s="21">
        <v>607.22</v>
      </c>
      <c r="O726" s="21">
        <v>233.37</v>
      </c>
      <c r="P726" t="s">
        <v>125</v>
      </c>
      <c r="Q726" t="s">
        <v>122</v>
      </c>
      <c r="R726" t="s">
        <v>151</v>
      </c>
      <c r="S726" t="s">
        <v>1439</v>
      </c>
      <c r="T726" t="s">
        <v>153</v>
      </c>
      <c r="U726" t="s">
        <v>154</v>
      </c>
      <c r="V726" t="str">
        <f>IFERROR(INDEX(Products!$C:$C,MATCH(D726,Products!$A:$A,0)),"Unknown")</f>
        <v>Accessories</v>
      </c>
      <c r="W726" t="str">
        <f>IFERROR(INDEX(Products!$E:$E,MATCH(D726,Products!$A:$A,0)),"Unknown")</f>
        <v>Blackberrys</v>
      </c>
      <c r="X726" t="str">
        <f>IFERROR(INDEX(Stores!$B:$B,MATCH(E726,Stores!$A:$A,0)),"Unknown")</f>
        <v>TrendMart Dindigul Standard</v>
      </c>
      <c r="Y726" t="str">
        <f>IFERROR(INDEX(Stores!$E:$E,MATCH(E726,Stores!$A:$A,0)),"Unknown")</f>
        <v>South Zone 1</v>
      </c>
      <c r="Z726" t="str">
        <f>IFERROR(INDEX(Customers!$J:$J,MATCH(C726,Customers!$A:$A,0)),"Unknown")</f>
        <v>Regular</v>
      </c>
      <c r="AA726" t="str">
        <f t="shared" si="11"/>
        <v>2024-08</v>
      </c>
      <c r="AB726" t="str">
        <f>IFERROR(INDEX(Products!$I:$I,MATCH(D726,Products!$A:$A,0)),"Unknown")</f>
        <v>SUP048</v>
      </c>
    </row>
    <row r="727" spans="1:28" x14ac:dyDescent="0.25">
      <c r="A727" t="s">
        <v>2184</v>
      </c>
      <c r="B727" s="20">
        <v>45483</v>
      </c>
      <c r="C727" t="s">
        <v>2185</v>
      </c>
      <c r="D727" t="s">
        <v>169</v>
      </c>
      <c r="E727" t="s">
        <v>1171</v>
      </c>
      <c r="F727" t="s">
        <v>159</v>
      </c>
      <c r="G727">
        <v>5</v>
      </c>
      <c r="H727" s="21">
        <v>4997.46</v>
      </c>
      <c r="I727">
        <v>10</v>
      </c>
      <c r="J727" s="21">
        <v>2498.73</v>
      </c>
      <c r="K727">
        <v>12</v>
      </c>
      <c r="L727" s="21">
        <v>2698.63</v>
      </c>
      <c r="M727" s="21">
        <v>25187.200000000001</v>
      </c>
      <c r="N727" s="21">
        <v>16854</v>
      </c>
      <c r="O727" s="21">
        <v>5634.57</v>
      </c>
      <c r="P727" t="s">
        <v>123</v>
      </c>
      <c r="Q727" t="s">
        <v>120</v>
      </c>
      <c r="R727" t="s">
        <v>151</v>
      </c>
      <c r="S727" t="s">
        <v>2186</v>
      </c>
      <c r="T727" t="s">
        <v>153</v>
      </c>
      <c r="U727" t="s">
        <v>154</v>
      </c>
      <c r="V727" t="str">
        <f>IFERROR(INDEX(Products!$C:$C,MATCH(D727,Products!$A:$A,0)),"Unknown")</f>
        <v>Women Sarees</v>
      </c>
      <c r="W727" t="str">
        <f>IFERROR(INDEX(Products!$E:$E,MATCH(D727,Products!$A:$A,0)),"Unknown")</f>
        <v>Max Fashion</v>
      </c>
      <c r="X727" t="str">
        <f>IFERROR(INDEX(Stores!$B:$B,MATCH(E727,Stores!$A:$A,0)),"Unknown")</f>
        <v>TrendMart Chennai Standard</v>
      </c>
      <c r="Y727" t="str">
        <f>IFERROR(INDEX(Stores!$E:$E,MATCH(E727,Stores!$A:$A,0)),"Unknown")</f>
        <v>South Zone 1</v>
      </c>
      <c r="Z727" t="str">
        <f>IFERROR(INDEX(Customers!$J:$J,MATCH(C727,Customers!$A:$A,0)),"Unknown")</f>
        <v>Gold</v>
      </c>
      <c r="AA727" t="str">
        <f t="shared" si="11"/>
        <v>2024-07</v>
      </c>
      <c r="AB727" t="str">
        <f>IFERROR(INDEX(Products!$I:$I,MATCH(D727,Products!$A:$A,0)),"Unknown")</f>
        <v>SUP084</v>
      </c>
    </row>
    <row r="728" spans="1:28" x14ac:dyDescent="0.25">
      <c r="A728" t="s">
        <v>2187</v>
      </c>
      <c r="B728" s="20">
        <v>45729</v>
      </c>
      <c r="C728" t="s">
        <v>1033</v>
      </c>
      <c r="D728" t="s">
        <v>595</v>
      </c>
      <c r="E728" t="s">
        <v>451</v>
      </c>
      <c r="F728" t="s">
        <v>532</v>
      </c>
      <c r="G728">
        <v>2</v>
      </c>
      <c r="H728" s="21">
        <v>861.81</v>
      </c>
      <c r="I728">
        <v>20</v>
      </c>
      <c r="J728" s="21">
        <v>344.72</v>
      </c>
      <c r="K728">
        <v>5</v>
      </c>
      <c r="L728" s="21">
        <v>68.94</v>
      </c>
      <c r="M728" s="21">
        <v>1447.84</v>
      </c>
      <c r="N728" s="21">
        <v>1180.96</v>
      </c>
      <c r="O728" s="21">
        <v>197.94</v>
      </c>
      <c r="P728" t="s">
        <v>121</v>
      </c>
      <c r="Q728" t="s">
        <v>122</v>
      </c>
      <c r="R728" t="s">
        <v>151</v>
      </c>
      <c r="S728" t="s">
        <v>2188</v>
      </c>
      <c r="T728" t="s">
        <v>153</v>
      </c>
      <c r="U728" t="s">
        <v>154</v>
      </c>
      <c r="V728" t="str">
        <f>IFERROR(INDEX(Products!$C:$C,MATCH(D728,Products!$A:$A,0)),"Unknown")</f>
        <v>Men Shirts</v>
      </c>
      <c r="W728" t="str">
        <f>IFERROR(INDEX(Products!$E:$E,MATCH(D728,Products!$A:$A,0)),"Unknown")</f>
        <v>Nalli Silks</v>
      </c>
      <c r="X728" t="str">
        <f>IFERROR(INDEX(Stores!$B:$B,MATCH(E728,Stores!$A:$A,0)),"Unknown")</f>
        <v>TrendMart Thoothukudi High Street</v>
      </c>
      <c r="Y728" t="str">
        <f>IFERROR(INDEX(Stores!$E:$E,MATCH(E728,Stores!$A:$A,0)),"Unknown")</f>
        <v>South Zone 1</v>
      </c>
      <c r="Z728" t="str">
        <f>IFERROR(INDEX(Customers!$J:$J,MATCH(C728,Customers!$A:$A,0)),"Unknown")</f>
        <v>Platinum</v>
      </c>
      <c r="AA728" t="str">
        <f t="shared" si="11"/>
        <v>2025-03</v>
      </c>
      <c r="AB728" t="str">
        <f>IFERROR(INDEX(Products!$I:$I,MATCH(D728,Products!$A:$A,0)),"Unknown")</f>
        <v>SUP055</v>
      </c>
    </row>
    <row r="729" spans="1:28" x14ac:dyDescent="0.25">
      <c r="A729" t="s">
        <v>2189</v>
      </c>
      <c r="B729" s="20">
        <v>45602</v>
      </c>
      <c r="C729" t="s">
        <v>289</v>
      </c>
      <c r="D729" t="s">
        <v>333</v>
      </c>
      <c r="E729" t="s">
        <v>226</v>
      </c>
      <c r="F729" t="s">
        <v>618</v>
      </c>
      <c r="G729">
        <v>1</v>
      </c>
      <c r="H729" s="21">
        <v>2388.33</v>
      </c>
      <c r="I729">
        <v>0</v>
      </c>
      <c r="J729" s="21">
        <v>0</v>
      </c>
      <c r="K729">
        <v>12</v>
      </c>
      <c r="L729" s="21">
        <v>286.60000000000002</v>
      </c>
      <c r="M729" s="21">
        <v>2674.93</v>
      </c>
      <c r="N729" s="21">
        <v>1767.32</v>
      </c>
      <c r="O729" s="21">
        <v>621.01</v>
      </c>
      <c r="P729" t="s">
        <v>126</v>
      </c>
      <c r="Q729" t="s">
        <v>120</v>
      </c>
      <c r="R729" t="s">
        <v>313</v>
      </c>
      <c r="S729" t="s">
        <v>2190</v>
      </c>
      <c r="T729" t="s">
        <v>153</v>
      </c>
      <c r="U729" t="s">
        <v>154</v>
      </c>
      <c r="V729" t="str">
        <f>IFERROR(INDEX(Products!$C:$C,MATCH(D729,Products!$A:$A,0)),"Unknown")</f>
        <v>Winter Wear</v>
      </c>
      <c r="W729" t="str">
        <f>IFERROR(INDEX(Products!$E:$E,MATCH(D729,Products!$A:$A,0)),"Unknown")</f>
        <v>GRT Jewellers</v>
      </c>
      <c r="X729" t="str">
        <f>IFERROR(INDEX(Stores!$B:$B,MATCH(E729,Stores!$A:$A,0)),"Unknown")</f>
        <v>TrendMart Kurnool Standard</v>
      </c>
      <c r="Y729" t="str">
        <f>IFERROR(INDEX(Stores!$E:$E,MATCH(E729,Stores!$A:$A,0)),"Unknown")</f>
        <v>South Zone 3</v>
      </c>
      <c r="Z729" t="str">
        <f>IFERROR(INDEX(Customers!$J:$J,MATCH(C729,Customers!$A:$A,0)),"Unknown")</f>
        <v>Silver</v>
      </c>
      <c r="AA729" t="str">
        <f t="shared" si="11"/>
        <v>2024-11</v>
      </c>
      <c r="AB729" t="str">
        <f>IFERROR(INDEX(Products!$I:$I,MATCH(D729,Products!$A:$A,0)),"Unknown")</f>
        <v>SUP052</v>
      </c>
    </row>
    <row r="730" spans="1:28" x14ac:dyDescent="0.25">
      <c r="A730" t="s">
        <v>2191</v>
      </c>
      <c r="B730" s="20">
        <v>45470</v>
      </c>
      <c r="C730" t="s">
        <v>1091</v>
      </c>
      <c r="D730" t="s">
        <v>531</v>
      </c>
      <c r="E730" t="s">
        <v>634</v>
      </c>
      <c r="F730" t="s">
        <v>275</v>
      </c>
      <c r="G730">
        <v>2</v>
      </c>
      <c r="H730" s="21">
        <v>2922.61</v>
      </c>
      <c r="I730">
        <v>25</v>
      </c>
      <c r="J730" s="21">
        <v>1461.31</v>
      </c>
      <c r="K730">
        <v>12</v>
      </c>
      <c r="L730" s="21">
        <v>526.07000000000005</v>
      </c>
      <c r="M730" s="21">
        <v>4909.9799999999996</v>
      </c>
      <c r="N730" s="21">
        <v>4068.02</v>
      </c>
      <c r="O730" s="21">
        <v>315.89</v>
      </c>
      <c r="P730" t="s">
        <v>124</v>
      </c>
      <c r="Q730" t="s">
        <v>122</v>
      </c>
      <c r="R730" t="s">
        <v>151</v>
      </c>
      <c r="S730" t="s">
        <v>2065</v>
      </c>
      <c r="T730" t="s">
        <v>153</v>
      </c>
      <c r="U730" t="s">
        <v>154</v>
      </c>
      <c r="V730" t="str">
        <f>IFERROR(INDEX(Products!$C:$C,MATCH(D730,Products!$A:$A,0)),"Unknown")</f>
        <v>Handbags</v>
      </c>
      <c r="W730" t="str">
        <f>IFERROR(INDEX(Products!$E:$E,MATCH(D730,Products!$A:$A,0)),"Unknown")</f>
        <v>GRT Jewellers</v>
      </c>
      <c r="X730" t="str">
        <f>IFERROR(INDEX(Stores!$B:$B,MATCH(E730,Stores!$A:$A,0)),"Unknown")</f>
        <v>TrendMart Thrissur High Street</v>
      </c>
      <c r="Y730" t="str">
        <f>IFERROR(INDEX(Stores!$E:$E,MATCH(E730,Stores!$A:$A,0)),"Unknown")</f>
        <v>South Zone 1</v>
      </c>
      <c r="Z730" t="str">
        <f>IFERROR(INDEX(Customers!$J:$J,MATCH(C730,Customers!$A:$A,0)),"Unknown")</f>
        <v>Platinum</v>
      </c>
      <c r="AA730" t="str">
        <f t="shared" si="11"/>
        <v>2024-06</v>
      </c>
      <c r="AB730" t="str">
        <f>IFERROR(INDEX(Products!$I:$I,MATCH(D730,Products!$A:$A,0)),"Unknown")</f>
        <v>SUP047</v>
      </c>
    </row>
    <row r="731" spans="1:28" x14ac:dyDescent="0.25">
      <c r="A731" t="s">
        <v>2192</v>
      </c>
      <c r="B731" s="20">
        <v>45613</v>
      </c>
      <c r="C731" t="s">
        <v>1828</v>
      </c>
      <c r="D731" t="s">
        <v>763</v>
      </c>
      <c r="E731" t="s">
        <v>82</v>
      </c>
      <c r="F731" t="s">
        <v>443</v>
      </c>
      <c r="G731">
        <v>3</v>
      </c>
      <c r="H731" s="21">
        <v>1245.6600000000001</v>
      </c>
      <c r="I731">
        <v>0</v>
      </c>
      <c r="J731" s="21">
        <v>0</v>
      </c>
      <c r="K731">
        <v>12</v>
      </c>
      <c r="L731" s="21">
        <v>448.44</v>
      </c>
      <c r="M731" s="21">
        <v>4185.42</v>
      </c>
      <c r="N731" s="21">
        <v>2446.38</v>
      </c>
      <c r="O731" s="21">
        <v>1290.5999999999999</v>
      </c>
      <c r="P731" t="s">
        <v>123</v>
      </c>
      <c r="Q731" t="s">
        <v>122</v>
      </c>
      <c r="R731" t="s">
        <v>151</v>
      </c>
      <c r="S731" t="s">
        <v>1733</v>
      </c>
      <c r="T731" t="s">
        <v>161</v>
      </c>
      <c r="U731" t="s">
        <v>154</v>
      </c>
      <c r="V731" t="str">
        <f>IFERROR(INDEX(Products!$C:$C,MATCH(D731,Products!$A:$A,0)),"Unknown")</f>
        <v>Watches</v>
      </c>
      <c r="W731" t="str">
        <f>IFERROR(INDEX(Products!$E:$E,MATCH(D731,Products!$A:$A,0)),"Unknown")</f>
        <v>Libas</v>
      </c>
      <c r="X731" t="str">
        <f>IFERROR(INDEX(Stores!$B:$B,MATCH(E731,Stores!$A:$A,0)),"Unknown")</f>
        <v>TrendMart Kochi High Street</v>
      </c>
      <c r="Y731" t="str">
        <f>IFERROR(INDEX(Stores!$E:$E,MATCH(E731,Stores!$A:$A,0)),"Unknown")</f>
        <v>South Zone 1</v>
      </c>
      <c r="Z731" t="str">
        <f>IFERROR(INDEX(Customers!$J:$J,MATCH(C731,Customers!$A:$A,0)),"Unknown")</f>
        <v>Platinum</v>
      </c>
      <c r="AA731" t="str">
        <f t="shared" si="11"/>
        <v>2024-11</v>
      </c>
      <c r="AB731" t="str">
        <f>IFERROR(INDEX(Products!$I:$I,MATCH(D731,Products!$A:$A,0)),"Unknown")</f>
        <v>SUP047</v>
      </c>
    </row>
    <row r="732" spans="1:28" x14ac:dyDescent="0.25">
      <c r="A732" t="s">
        <v>2193</v>
      </c>
      <c r="B732" s="20">
        <v>45443</v>
      </c>
      <c r="C732" t="s">
        <v>2194</v>
      </c>
      <c r="D732" t="s">
        <v>573</v>
      </c>
      <c r="E732" t="s">
        <v>752</v>
      </c>
      <c r="F732" t="s">
        <v>263</v>
      </c>
      <c r="G732">
        <v>1</v>
      </c>
      <c r="H732" s="21">
        <v>1015.48</v>
      </c>
      <c r="I732">
        <v>25</v>
      </c>
      <c r="J732" s="21">
        <v>253.87</v>
      </c>
      <c r="K732">
        <v>12</v>
      </c>
      <c r="L732" s="21">
        <v>91.39</v>
      </c>
      <c r="M732" s="21">
        <v>853</v>
      </c>
      <c r="N732" s="21">
        <v>720.53</v>
      </c>
      <c r="O732" s="21">
        <v>41.08</v>
      </c>
      <c r="P732" t="s">
        <v>123</v>
      </c>
      <c r="Q732" t="s">
        <v>120</v>
      </c>
      <c r="R732" t="s">
        <v>151</v>
      </c>
      <c r="S732" t="s">
        <v>1069</v>
      </c>
      <c r="T732" t="s">
        <v>153</v>
      </c>
      <c r="U732" t="s">
        <v>154</v>
      </c>
      <c r="V732" t="str">
        <f>IFERROR(INDEX(Products!$C:$C,MATCH(D732,Products!$A:$A,0)),"Unknown")</f>
        <v>Women Jeans</v>
      </c>
      <c r="W732" t="str">
        <f>IFERROR(INDEX(Products!$E:$E,MATCH(D732,Products!$A:$A,0)),"Unknown")</f>
        <v>Sonata</v>
      </c>
      <c r="X732" t="str">
        <f>IFERROR(INDEX(Stores!$B:$B,MATCH(E732,Stores!$A:$A,0)),"Unknown")</f>
        <v>TrendMart Dindigul High Street</v>
      </c>
      <c r="Y732" t="str">
        <f>IFERROR(INDEX(Stores!$E:$E,MATCH(E732,Stores!$A:$A,0)),"Unknown")</f>
        <v>South Zone 1</v>
      </c>
      <c r="Z732" t="str">
        <f>IFERROR(INDEX(Customers!$J:$J,MATCH(C732,Customers!$A:$A,0)),"Unknown")</f>
        <v>Silver</v>
      </c>
      <c r="AA732" t="str">
        <f t="shared" si="11"/>
        <v>2024-05</v>
      </c>
      <c r="AB732" t="str">
        <f>IFERROR(INDEX(Products!$I:$I,MATCH(D732,Products!$A:$A,0)),"Unknown")</f>
        <v>SUP017</v>
      </c>
    </row>
    <row r="733" spans="1:28" x14ac:dyDescent="0.25">
      <c r="A733" t="s">
        <v>2195</v>
      </c>
      <c r="B733" s="20">
        <v>45648</v>
      </c>
      <c r="C733" t="s">
        <v>1655</v>
      </c>
      <c r="D733" t="s">
        <v>1709</v>
      </c>
      <c r="E733" t="s">
        <v>268</v>
      </c>
      <c r="F733" t="s">
        <v>408</v>
      </c>
      <c r="G733">
        <v>1</v>
      </c>
      <c r="H733" s="21">
        <v>475.92</v>
      </c>
      <c r="I733">
        <v>25</v>
      </c>
      <c r="J733" s="21">
        <v>118.98</v>
      </c>
      <c r="K733">
        <v>5</v>
      </c>
      <c r="L733" s="21">
        <v>17.850000000000001</v>
      </c>
      <c r="M733" s="21">
        <v>374.79</v>
      </c>
      <c r="N733" s="21">
        <v>327.36</v>
      </c>
      <c r="O733" s="21">
        <v>29.58</v>
      </c>
      <c r="P733" t="s">
        <v>121</v>
      </c>
      <c r="Q733" t="s">
        <v>120</v>
      </c>
      <c r="R733" t="s">
        <v>151</v>
      </c>
      <c r="S733" t="s">
        <v>1728</v>
      </c>
      <c r="T733" t="s">
        <v>161</v>
      </c>
      <c r="U733" t="s">
        <v>154</v>
      </c>
      <c r="V733" t="str">
        <f>IFERROR(INDEX(Products!$C:$C,MATCH(D733,Products!$A:$A,0)),"Unknown")</f>
        <v>Kids Wear</v>
      </c>
      <c r="W733" t="str">
        <f>IFERROR(INDEX(Products!$E:$E,MATCH(D733,Products!$A:$A,0)),"Unknown")</f>
        <v>Aurelia</v>
      </c>
      <c r="X733" t="str">
        <f>IFERROR(INDEX(Stores!$B:$B,MATCH(E733,Stores!$A:$A,0)),"Unknown")</f>
        <v>TrendMart Kochi High Street</v>
      </c>
      <c r="Y733" t="str">
        <f>IFERROR(INDEX(Stores!$E:$E,MATCH(E733,Stores!$A:$A,0)),"Unknown")</f>
        <v>South Zone 1</v>
      </c>
      <c r="Z733" t="str">
        <f>IFERROR(INDEX(Customers!$J:$J,MATCH(C733,Customers!$A:$A,0)),"Unknown")</f>
        <v>Regular</v>
      </c>
      <c r="AA733" t="str">
        <f t="shared" si="11"/>
        <v>2024-12</v>
      </c>
      <c r="AB733" t="str">
        <f>IFERROR(INDEX(Products!$I:$I,MATCH(D733,Products!$A:$A,0)),"Unknown")</f>
        <v>SUP055</v>
      </c>
    </row>
    <row r="734" spans="1:28" x14ac:dyDescent="0.25">
      <c r="A734" t="s">
        <v>2196</v>
      </c>
      <c r="B734" s="20">
        <v>45398</v>
      </c>
      <c r="C734" t="s">
        <v>2197</v>
      </c>
      <c r="D734" t="s">
        <v>210</v>
      </c>
      <c r="E734" t="s">
        <v>456</v>
      </c>
      <c r="F734" t="s">
        <v>532</v>
      </c>
      <c r="G734">
        <v>2</v>
      </c>
      <c r="H734" s="21">
        <v>1700.33</v>
      </c>
      <c r="I734">
        <v>30</v>
      </c>
      <c r="J734" s="21">
        <v>1020.2</v>
      </c>
      <c r="K734">
        <v>12</v>
      </c>
      <c r="L734" s="21">
        <v>285.66000000000003</v>
      </c>
      <c r="M734" s="21">
        <v>2666.12</v>
      </c>
      <c r="N734" s="21">
        <v>2799.7</v>
      </c>
      <c r="O734" s="21">
        <v>-419.24</v>
      </c>
      <c r="P734" t="s">
        <v>121</v>
      </c>
      <c r="Q734" t="s">
        <v>122</v>
      </c>
      <c r="R734" t="s">
        <v>151</v>
      </c>
      <c r="S734" t="s">
        <v>899</v>
      </c>
      <c r="T734" t="s">
        <v>153</v>
      </c>
      <c r="U734" t="s">
        <v>184</v>
      </c>
      <c r="V734" t="str">
        <f>IFERROR(INDEX(Products!$C:$C,MATCH(D734,Products!$A:$A,0)),"Unknown")</f>
        <v>Women Dresses</v>
      </c>
      <c r="W734" t="str">
        <f>IFERROR(INDEX(Products!$E:$E,MATCH(D734,Products!$A:$A,0)),"Unknown")</f>
        <v>Nike</v>
      </c>
      <c r="X734" t="str">
        <f>IFERROR(INDEX(Stores!$B:$B,MATCH(E734,Stores!$A:$A,0)),"Unknown")</f>
        <v>TrendMart Salem Outlet</v>
      </c>
      <c r="Y734" t="str">
        <f>IFERROR(INDEX(Stores!$E:$E,MATCH(E734,Stores!$A:$A,0)),"Unknown")</f>
        <v>South Zone 1</v>
      </c>
      <c r="Z734" t="str">
        <f>IFERROR(INDEX(Customers!$J:$J,MATCH(C734,Customers!$A:$A,0)),"Unknown")</f>
        <v>Silver</v>
      </c>
      <c r="AA734" t="str">
        <f t="shared" si="11"/>
        <v>2024-04</v>
      </c>
      <c r="AB734" t="str">
        <f>IFERROR(INDEX(Products!$I:$I,MATCH(D734,Products!$A:$A,0)),"Unknown")</f>
        <v>SUP073</v>
      </c>
    </row>
    <row r="735" spans="1:28" x14ac:dyDescent="0.25">
      <c r="A735" t="s">
        <v>2198</v>
      </c>
      <c r="B735" s="20">
        <v>45545</v>
      </c>
      <c r="C735" t="s">
        <v>2199</v>
      </c>
      <c r="D735" t="s">
        <v>1101</v>
      </c>
      <c r="E735" t="s">
        <v>318</v>
      </c>
      <c r="F735" t="s">
        <v>335</v>
      </c>
      <c r="G735">
        <v>1</v>
      </c>
      <c r="H735" s="21">
        <v>836.99</v>
      </c>
      <c r="I735">
        <v>30</v>
      </c>
      <c r="J735" s="21">
        <v>251.1</v>
      </c>
      <c r="K735">
        <v>5</v>
      </c>
      <c r="L735" s="21">
        <v>29.29</v>
      </c>
      <c r="M735" s="21">
        <v>615.17999999999995</v>
      </c>
      <c r="N735" s="21">
        <v>565.45000000000005</v>
      </c>
      <c r="O735" s="21">
        <v>20.440000000000001</v>
      </c>
      <c r="P735" t="s">
        <v>123</v>
      </c>
      <c r="Q735" t="s">
        <v>122</v>
      </c>
      <c r="R735" t="s">
        <v>151</v>
      </c>
      <c r="S735" t="s">
        <v>287</v>
      </c>
      <c r="T735" t="s">
        <v>153</v>
      </c>
      <c r="U735" t="s">
        <v>154</v>
      </c>
      <c r="V735" t="str">
        <f>IFERROR(INDEX(Products!$C:$C,MATCH(D735,Products!$A:$A,0)),"Unknown")</f>
        <v>Kids Wear</v>
      </c>
      <c r="W735" t="str">
        <f>IFERROR(INDEX(Products!$E:$E,MATCH(D735,Products!$A:$A,0)),"Unknown")</f>
        <v>Woodland</v>
      </c>
      <c r="X735" t="str">
        <f>IFERROR(INDEX(Stores!$B:$B,MATCH(E735,Stores!$A:$A,0)),"Unknown")</f>
        <v>TrendMart Guntur Outlet</v>
      </c>
      <c r="Y735" t="str">
        <f>IFERROR(INDEX(Stores!$E:$E,MATCH(E735,Stores!$A:$A,0)),"Unknown")</f>
        <v>South Zone 3</v>
      </c>
      <c r="Z735" t="str">
        <f>IFERROR(INDEX(Customers!$J:$J,MATCH(C735,Customers!$A:$A,0)),"Unknown")</f>
        <v>Regular</v>
      </c>
      <c r="AA735" t="str">
        <f t="shared" si="11"/>
        <v>2024-09</v>
      </c>
      <c r="AB735" t="str">
        <f>IFERROR(INDEX(Products!$I:$I,MATCH(D735,Products!$A:$A,0)),"Unknown")</f>
        <v>SUP010</v>
      </c>
    </row>
    <row r="736" spans="1:28" x14ac:dyDescent="0.25">
      <c r="A736" t="s">
        <v>2200</v>
      </c>
      <c r="B736" s="20">
        <v>45424</v>
      </c>
      <c r="C736" t="s">
        <v>2201</v>
      </c>
      <c r="D736" t="s">
        <v>830</v>
      </c>
      <c r="E736" t="s">
        <v>1442</v>
      </c>
      <c r="F736" t="s">
        <v>253</v>
      </c>
      <c r="G736">
        <v>2</v>
      </c>
      <c r="H736" s="21">
        <v>871.84</v>
      </c>
      <c r="I736">
        <v>25</v>
      </c>
      <c r="J736" s="21">
        <v>435.92</v>
      </c>
      <c r="K736">
        <v>5</v>
      </c>
      <c r="L736" s="21">
        <v>65.39</v>
      </c>
      <c r="M736" s="21">
        <v>1373.15</v>
      </c>
      <c r="N736" s="21">
        <v>1140.4000000000001</v>
      </c>
      <c r="O736" s="21">
        <v>167.36</v>
      </c>
      <c r="P736" t="s">
        <v>124</v>
      </c>
      <c r="Q736" t="s">
        <v>122</v>
      </c>
      <c r="R736" t="s">
        <v>151</v>
      </c>
      <c r="S736" t="s">
        <v>2202</v>
      </c>
      <c r="T736" t="s">
        <v>161</v>
      </c>
      <c r="U736" t="s">
        <v>154</v>
      </c>
      <c r="V736" t="str">
        <f>IFERROR(INDEX(Products!$C:$C,MATCH(D736,Products!$A:$A,0)),"Unknown")</f>
        <v>Men Shirts</v>
      </c>
      <c r="W736" t="str">
        <f>IFERROR(INDEX(Products!$E:$E,MATCH(D736,Products!$A:$A,0)),"Unknown")</f>
        <v>AND</v>
      </c>
      <c r="X736" t="str">
        <f>IFERROR(INDEX(Stores!$B:$B,MATCH(E736,Stores!$A:$A,0)),"Unknown")</f>
        <v>TrendMart Vellore High Street</v>
      </c>
      <c r="Y736" t="str">
        <f>IFERROR(INDEX(Stores!$E:$E,MATCH(E736,Stores!$A:$A,0)),"Unknown")</f>
        <v>South Zone 1</v>
      </c>
      <c r="Z736" t="str">
        <f>IFERROR(INDEX(Customers!$J:$J,MATCH(C736,Customers!$A:$A,0)),"Unknown")</f>
        <v>Silver</v>
      </c>
      <c r="AA736" t="str">
        <f t="shared" si="11"/>
        <v>2024-05</v>
      </c>
      <c r="AB736" t="str">
        <f>IFERROR(INDEX(Products!$I:$I,MATCH(D736,Products!$A:$A,0)),"Unknown")</f>
        <v>SUP012</v>
      </c>
    </row>
    <row r="737" spans="1:28" x14ac:dyDescent="0.25">
      <c r="A737" t="s">
        <v>2203</v>
      </c>
      <c r="B737" s="20">
        <v>45451</v>
      </c>
      <c r="C737" t="s">
        <v>2204</v>
      </c>
      <c r="D737" t="s">
        <v>996</v>
      </c>
      <c r="E737" t="s">
        <v>360</v>
      </c>
      <c r="F737" t="s">
        <v>176</v>
      </c>
      <c r="G737">
        <v>2</v>
      </c>
      <c r="H737" s="21">
        <v>1980.27</v>
      </c>
      <c r="I737">
        <v>30</v>
      </c>
      <c r="J737" s="21">
        <v>1188.1600000000001</v>
      </c>
      <c r="K737">
        <v>12</v>
      </c>
      <c r="L737" s="21">
        <v>332.69</v>
      </c>
      <c r="M737" s="21">
        <v>3105.07</v>
      </c>
      <c r="N737" s="21">
        <v>2861.14</v>
      </c>
      <c r="O737" s="21">
        <v>-88.76</v>
      </c>
      <c r="P737" t="s">
        <v>121</v>
      </c>
      <c r="Q737" t="s">
        <v>120</v>
      </c>
      <c r="R737" t="s">
        <v>151</v>
      </c>
      <c r="S737" t="s">
        <v>2205</v>
      </c>
      <c r="T737" t="s">
        <v>161</v>
      </c>
      <c r="U737" t="s">
        <v>184</v>
      </c>
      <c r="V737" t="str">
        <f>IFERROR(INDEX(Products!$C:$C,MATCH(D737,Products!$A:$A,0)),"Unknown")</f>
        <v>Men Ethnic</v>
      </c>
      <c r="W737" t="str">
        <f>IFERROR(INDEX(Products!$E:$E,MATCH(D737,Products!$A:$A,0)),"Unknown")</f>
        <v>Liberty</v>
      </c>
      <c r="X737" t="str">
        <f>IFERROR(INDEX(Stores!$B:$B,MATCH(E737,Stores!$A:$A,0)),"Unknown")</f>
        <v>TrendMart Kochi Standard</v>
      </c>
      <c r="Y737" t="str">
        <f>IFERROR(INDEX(Stores!$E:$E,MATCH(E737,Stores!$A:$A,0)),"Unknown")</f>
        <v>South Zone 1</v>
      </c>
      <c r="Z737" t="str">
        <f>IFERROR(INDEX(Customers!$J:$J,MATCH(C737,Customers!$A:$A,0)),"Unknown")</f>
        <v>Silver</v>
      </c>
      <c r="AA737" t="str">
        <f t="shared" si="11"/>
        <v>2024-06</v>
      </c>
      <c r="AB737" t="str">
        <f>IFERROR(INDEX(Products!$I:$I,MATCH(D737,Products!$A:$A,0)),"Unknown")</f>
        <v>SUP046</v>
      </c>
    </row>
    <row r="738" spans="1:28" x14ac:dyDescent="0.25">
      <c r="A738" t="s">
        <v>2206</v>
      </c>
      <c r="B738" s="20">
        <v>45515</v>
      </c>
      <c r="C738" t="s">
        <v>2207</v>
      </c>
      <c r="D738" t="s">
        <v>827</v>
      </c>
      <c r="E738" t="s">
        <v>302</v>
      </c>
      <c r="F738" t="s">
        <v>550</v>
      </c>
      <c r="G738">
        <v>1</v>
      </c>
      <c r="H738" s="21">
        <v>882.29</v>
      </c>
      <c r="I738">
        <v>0</v>
      </c>
      <c r="J738" s="21">
        <v>0</v>
      </c>
      <c r="K738">
        <v>5</v>
      </c>
      <c r="L738" s="21">
        <v>44.11</v>
      </c>
      <c r="M738" s="21">
        <v>926.4</v>
      </c>
      <c r="N738" s="21">
        <v>559.25</v>
      </c>
      <c r="O738" s="21">
        <v>323.04000000000002</v>
      </c>
      <c r="P738" t="s">
        <v>124</v>
      </c>
      <c r="Q738" t="s">
        <v>122</v>
      </c>
      <c r="R738" t="s">
        <v>151</v>
      </c>
      <c r="S738" t="s">
        <v>2208</v>
      </c>
      <c r="T738" t="s">
        <v>161</v>
      </c>
      <c r="U738" t="s">
        <v>154</v>
      </c>
      <c r="V738" t="str">
        <f>IFERROR(INDEX(Products!$C:$C,MATCH(D738,Products!$A:$A,0)),"Unknown")</f>
        <v>Sportswear</v>
      </c>
      <c r="W738" t="str">
        <f>IFERROR(INDEX(Products!$E:$E,MATCH(D738,Products!$A:$A,0)),"Unknown")</f>
        <v>Max Fashion</v>
      </c>
      <c r="X738" t="str">
        <f>IFERROR(INDEX(Stores!$B:$B,MATCH(E738,Stores!$A:$A,0)),"Unknown")</f>
        <v>TrendMart Visakhapatnam Standard</v>
      </c>
      <c r="Y738" t="str">
        <f>IFERROR(INDEX(Stores!$E:$E,MATCH(E738,Stores!$A:$A,0)),"Unknown")</f>
        <v>South Zone 3</v>
      </c>
      <c r="Z738" t="str">
        <f>IFERROR(INDEX(Customers!$J:$J,MATCH(C738,Customers!$A:$A,0)),"Unknown")</f>
        <v>Silver</v>
      </c>
      <c r="AA738" t="str">
        <f t="shared" si="11"/>
        <v>2024-08</v>
      </c>
      <c r="AB738" t="str">
        <f>IFERROR(INDEX(Products!$I:$I,MATCH(D738,Products!$A:$A,0)),"Unknown")</f>
        <v>SUP043</v>
      </c>
    </row>
    <row r="739" spans="1:28" x14ac:dyDescent="0.25">
      <c r="A739" t="s">
        <v>2209</v>
      </c>
      <c r="B739" s="20">
        <v>45467</v>
      </c>
      <c r="C739" t="s">
        <v>1841</v>
      </c>
      <c r="D739" t="s">
        <v>251</v>
      </c>
      <c r="E739" t="s">
        <v>495</v>
      </c>
      <c r="F739" t="s">
        <v>232</v>
      </c>
      <c r="G739">
        <v>1</v>
      </c>
      <c r="H739" s="21">
        <v>784.51</v>
      </c>
      <c r="I739">
        <v>20</v>
      </c>
      <c r="J739" s="21">
        <v>156.9</v>
      </c>
      <c r="K739">
        <v>5</v>
      </c>
      <c r="L739" s="21">
        <v>31.38</v>
      </c>
      <c r="M739" s="21">
        <v>658.99</v>
      </c>
      <c r="N739" s="21">
        <v>534.80999999999995</v>
      </c>
      <c r="O739" s="21">
        <v>92.8</v>
      </c>
      <c r="P739" t="s">
        <v>124</v>
      </c>
      <c r="Q739" t="s">
        <v>122</v>
      </c>
      <c r="R739" t="s">
        <v>151</v>
      </c>
      <c r="S739" t="s">
        <v>1436</v>
      </c>
      <c r="T739" t="s">
        <v>153</v>
      </c>
      <c r="U739" t="s">
        <v>154</v>
      </c>
      <c r="V739" t="str">
        <f>IFERROR(INDEX(Products!$C:$C,MATCH(D739,Products!$A:$A,0)),"Unknown")</f>
        <v>Women Tops</v>
      </c>
      <c r="W739" t="str">
        <f>IFERROR(INDEX(Products!$E:$E,MATCH(D739,Products!$A:$A,0)),"Unknown")</f>
        <v>US Polo Assn</v>
      </c>
      <c r="X739" t="str">
        <f>IFERROR(INDEX(Stores!$B:$B,MATCH(E739,Stores!$A:$A,0)),"Unknown")</f>
        <v>TrendMart Visakhapatnam Flagship</v>
      </c>
      <c r="Y739" t="str">
        <f>IFERROR(INDEX(Stores!$E:$E,MATCH(E739,Stores!$A:$A,0)),"Unknown")</f>
        <v>South Zone 3</v>
      </c>
      <c r="Z739" t="str">
        <f>IFERROR(INDEX(Customers!$J:$J,MATCH(C739,Customers!$A:$A,0)),"Unknown")</f>
        <v>Silver</v>
      </c>
      <c r="AA739" t="str">
        <f t="shared" si="11"/>
        <v>2024-06</v>
      </c>
      <c r="AB739" t="str">
        <f>IFERROR(INDEX(Products!$I:$I,MATCH(D739,Products!$A:$A,0)),"Unknown")</f>
        <v>SUP039</v>
      </c>
    </row>
    <row r="740" spans="1:28" x14ac:dyDescent="0.25">
      <c r="A740" t="s">
        <v>2210</v>
      </c>
      <c r="B740" s="20">
        <v>45622</v>
      </c>
      <c r="C740" t="s">
        <v>2194</v>
      </c>
      <c r="D740" t="s">
        <v>926</v>
      </c>
      <c r="E740" t="s">
        <v>90</v>
      </c>
      <c r="F740" t="s">
        <v>532</v>
      </c>
      <c r="G740">
        <v>2</v>
      </c>
      <c r="H740" s="21">
        <v>1198.53</v>
      </c>
      <c r="I740">
        <v>25</v>
      </c>
      <c r="J740" s="21">
        <v>599.26</v>
      </c>
      <c r="K740">
        <v>12</v>
      </c>
      <c r="L740" s="21">
        <v>215.74</v>
      </c>
      <c r="M740" s="21">
        <v>2013.54</v>
      </c>
      <c r="N740" s="21">
        <v>1621.24</v>
      </c>
      <c r="O740" s="21">
        <v>176.56</v>
      </c>
      <c r="P740" t="s">
        <v>121</v>
      </c>
      <c r="Q740" t="s">
        <v>120</v>
      </c>
      <c r="R740" t="s">
        <v>151</v>
      </c>
      <c r="S740" t="s">
        <v>1353</v>
      </c>
      <c r="T740" t="s">
        <v>153</v>
      </c>
      <c r="U740" t="s">
        <v>154</v>
      </c>
      <c r="V740" t="str">
        <f>IFERROR(INDEX(Products!$C:$C,MATCH(D740,Products!$A:$A,0)),"Unknown")</f>
        <v>Women Dresses</v>
      </c>
      <c r="W740" t="str">
        <f>IFERROR(INDEX(Products!$E:$E,MATCH(D740,Products!$A:$A,0)),"Unknown")</f>
        <v>Fabindia</v>
      </c>
      <c r="X740" t="str">
        <f>IFERROR(INDEX(Stores!$B:$B,MATCH(E740,Stores!$A:$A,0)),"Unknown")</f>
        <v>TrendMart Thoothukudi Mall Kiosk</v>
      </c>
      <c r="Y740" t="str">
        <f>IFERROR(INDEX(Stores!$E:$E,MATCH(E740,Stores!$A:$A,0)),"Unknown")</f>
        <v>South Zone 1</v>
      </c>
      <c r="Z740" t="str">
        <f>IFERROR(INDEX(Customers!$J:$J,MATCH(C740,Customers!$A:$A,0)),"Unknown")</f>
        <v>Silver</v>
      </c>
      <c r="AA740" t="str">
        <f t="shared" si="11"/>
        <v>2024-11</v>
      </c>
      <c r="AB740" t="str">
        <f>IFERROR(INDEX(Products!$I:$I,MATCH(D740,Products!$A:$A,0)),"Unknown")</f>
        <v>SUP059</v>
      </c>
    </row>
    <row r="741" spans="1:28" x14ac:dyDescent="0.25">
      <c r="A741" t="s">
        <v>2211</v>
      </c>
      <c r="B741" s="20">
        <v>45710</v>
      </c>
      <c r="C741" t="s">
        <v>2212</v>
      </c>
      <c r="D741" t="s">
        <v>1130</v>
      </c>
      <c r="E741" t="s">
        <v>1017</v>
      </c>
      <c r="F741" t="s">
        <v>618</v>
      </c>
      <c r="G741">
        <v>1</v>
      </c>
      <c r="H741" s="21">
        <v>3610.42</v>
      </c>
      <c r="I741">
        <v>5</v>
      </c>
      <c r="J741" s="21">
        <v>180.52</v>
      </c>
      <c r="K741">
        <v>12</v>
      </c>
      <c r="L741" s="21">
        <v>411.59</v>
      </c>
      <c r="M741" s="21">
        <v>3841.49</v>
      </c>
      <c r="N741" s="21">
        <v>2732.31</v>
      </c>
      <c r="O741" s="21">
        <v>697.59</v>
      </c>
      <c r="P741" t="s">
        <v>121</v>
      </c>
      <c r="Q741" t="s">
        <v>120</v>
      </c>
      <c r="R741" t="s">
        <v>151</v>
      </c>
      <c r="S741" t="s">
        <v>2213</v>
      </c>
      <c r="T741" t="s">
        <v>161</v>
      </c>
      <c r="U741" t="s">
        <v>154</v>
      </c>
      <c r="V741" t="str">
        <f>IFERROR(INDEX(Products!$C:$C,MATCH(D741,Products!$A:$A,0)),"Unknown")</f>
        <v>Women Sarees</v>
      </c>
      <c r="W741" t="str">
        <f>IFERROR(INDEX(Products!$E:$E,MATCH(D741,Products!$A:$A,0)),"Unknown")</f>
        <v>Sparx</v>
      </c>
      <c r="X741" t="str">
        <f>IFERROR(INDEX(Stores!$B:$B,MATCH(E741,Stores!$A:$A,0)),"Unknown")</f>
        <v>TrendMart Mangaluru Standard</v>
      </c>
      <c r="Y741" t="str">
        <f>IFERROR(INDEX(Stores!$E:$E,MATCH(E741,Stores!$A:$A,0)),"Unknown")</f>
        <v>South Zone 2</v>
      </c>
      <c r="Z741" t="str">
        <f>IFERROR(INDEX(Customers!$J:$J,MATCH(C741,Customers!$A:$A,0)),"Unknown")</f>
        <v>Silver</v>
      </c>
      <c r="AA741" t="str">
        <f t="shared" si="11"/>
        <v>2025-02</v>
      </c>
      <c r="AB741" t="str">
        <f>IFERROR(INDEX(Products!$I:$I,MATCH(D741,Products!$A:$A,0)),"Unknown")</f>
        <v>SUP069</v>
      </c>
    </row>
    <row r="742" spans="1:28" x14ac:dyDescent="0.25">
      <c r="A742" t="s">
        <v>2214</v>
      </c>
      <c r="B742" s="20">
        <v>45408</v>
      </c>
      <c r="C742" t="s">
        <v>2215</v>
      </c>
      <c r="D742" t="s">
        <v>1101</v>
      </c>
      <c r="E742" t="s">
        <v>83</v>
      </c>
      <c r="F742" t="s">
        <v>377</v>
      </c>
      <c r="G742">
        <v>1</v>
      </c>
      <c r="H742" s="21">
        <v>855.74</v>
      </c>
      <c r="I742">
        <v>0</v>
      </c>
      <c r="J742" s="21">
        <v>0</v>
      </c>
      <c r="K742">
        <v>5</v>
      </c>
      <c r="L742" s="21">
        <v>42.79</v>
      </c>
      <c r="M742" s="21">
        <v>898.53</v>
      </c>
      <c r="N742" s="21">
        <v>565.45000000000005</v>
      </c>
      <c r="O742" s="21">
        <v>290.29000000000002</v>
      </c>
      <c r="P742" t="s">
        <v>125</v>
      </c>
      <c r="Q742" t="s">
        <v>120</v>
      </c>
      <c r="R742" t="s">
        <v>151</v>
      </c>
      <c r="S742" t="s">
        <v>2216</v>
      </c>
      <c r="T742" t="s">
        <v>153</v>
      </c>
      <c r="U742" t="s">
        <v>154</v>
      </c>
      <c r="V742" t="str">
        <f>IFERROR(INDEX(Products!$C:$C,MATCH(D742,Products!$A:$A,0)),"Unknown")</f>
        <v>Kids Wear</v>
      </c>
      <c r="W742" t="str">
        <f>IFERROR(INDEX(Products!$E:$E,MATCH(D742,Products!$A:$A,0)),"Unknown")</f>
        <v>Woodland</v>
      </c>
      <c r="X742" t="str">
        <f>IFERROR(INDEX(Stores!$B:$B,MATCH(E742,Stores!$A:$A,0)),"Unknown")</f>
        <v>TrendMart Vellore Standard</v>
      </c>
      <c r="Y742" t="str">
        <f>IFERROR(INDEX(Stores!$E:$E,MATCH(E742,Stores!$A:$A,0)),"Unknown")</f>
        <v>South Zone 1</v>
      </c>
      <c r="Z742" t="str">
        <f>IFERROR(INDEX(Customers!$J:$J,MATCH(C742,Customers!$A:$A,0)),"Unknown")</f>
        <v>Gold</v>
      </c>
      <c r="AA742" t="str">
        <f t="shared" si="11"/>
        <v>2024-04</v>
      </c>
      <c r="AB742" t="str">
        <f>IFERROR(INDEX(Products!$I:$I,MATCH(D742,Products!$A:$A,0)),"Unknown")</f>
        <v>SUP010</v>
      </c>
    </row>
    <row r="743" spans="1:28" x14ac:dyDescent="0.25">
      <c r="A743" t="s">
        <v>2217</v>
      </c>
      <c r="B743" s="20">
        <v>45576</v>
      </c>
      <c r="C743" t="s">
        <v>1621</v>
      </c>
      <c r="D743" t="s">
        <v>531</v>
      </c>
      <c r="E743" t="s">
        <v>810</v>
      </c>
      <c r="F743" t="s">
        <v>211</v>
      </c>
      <c r="G743">
        <v>1</v>
      </c>
      <c r="H743" s="21">
        <v>3119.34</v>
      </c>
      <c r="I743">
        <v>0</v>
      </c>
      <c r="J743" s="21">
        <v>0</v>
      </c>
      <c r="K743">
        <v>12</v>
      </c>
      <c r="L743" s="21">
        <v>374.32</v>
      </c>
      <c r="M743" s="21">
        <v>3493.66</v>
      </c>
      <c r="N743" s="21">
        <v>2034.01</v>
      </c>
      <c r="O743" s="21">
        <v>1085.33</v>
      </c>
      <c r="P743" t="s">
        <v>125</v>
      </c>
      <c r="Q743" t="s">
        <v>120</v>
      </c>
      <c r="R743" t="s">
        <v>313</v>
      </c>
      <c r="S743" t="s">
        <v>1319</v>
      </c>
      <c r="T743" t="s">
        <v>153</v>
      </c>
      <c r="U743" t="s">
        <v>154</v>
      </c>
      <c r="V743" t="str">
        <f>IFERROR(INDEX(Products!$C:$C,MATCH(D743,Products!$A:$A,0)),"Unknown")</f>
        <v>Handbags</v>
      </c>
      <c r="W743" t="str">
        <f>IFERROR(INDEX(Products!$E:$E,MATCH(D743,Products!$A:$A,0)),"Unknown")</f>
        <v>GRT Jewellers</v>
      </c>
      <c r="X743" t="str">
        <f>IFERROR(INDEX(Stores!$B:$B,MATCH(E743,Stores!$A:$A,0)),"Unknown")</f>
        <v>TrendMart Nizamabad Standard</v>
      </c>
      <c r="Y743" t="str">
        <f>IFERROR(INDEX(Stores!$E:$E,MATCH(E743,Stores!$A:$A,0)),"Unknown")</f>
        <v>South Zone 2</v>
      </c>
      <c r="Z743" t="str">
        <f>IFERROR(INDEX(Customers!$J:$J,MATCH(C743,Customers!$A:$A,0)),"Unknown")</f>
        <v>Gold</v>
      </c>
      <c r="AA743" t="str">
        <f t="shared" si="11"/>
        <v>2024-10</v>
      </c>
      <c r="AB743" t="str">
        <f>IFERROR(INDEX(Products!$I:$I,MATCH(D743,Products!$A:$A,0)),"Unknown")</f>
        <v>SUP047</v>
      </c>
    </row>
    <row r="744" spans="1:28" x14ac:dyDescent="0.25">
      <c r="A744" t="s">
        <v>2218</v>
      </c>
      <c r="B744" s="20">
        <v>45645</v>
      </c>
      <c r="C744" t="s">
        <v>1778</v>
      </c>
      <c r="D744" t="s">
        <v>1101</v>
      </c>
      <c r="E744" t="s">
        <v>158</v>
      </c>
      <c r="F744" t="s">
        <v>201</v>
      </c>
      <c r="G744">
        <v>2</v>
      </c>
      <c r="H744" s="21">
        <v>791.84</v>
      </c>
      <c r="I744">
        <v>0</v>
      </c>
      <c r="J744" s="21">
        <v>0</v>
      </c>
      <c r="K744">
        <v>5</v>
      </c>
      <c r="L744" s="21">
        <v>79.180000000000007</v>
      </c>
      <c r="M744" s="21">
        <v>1662.86</v>
      </c>
      <c r="N744" s="21">
        <v>1130.9000000000001</v>
      </c>
      <c r="O744" s="21">
        <v>452.78</v>
      </c>
      <c r="P744" t="s">
        <v>124</v>
      </c>
      <c r="Q744" t="s">
        <v>120</v>
      </c>
      <c r="R744" t="s">
        <v>151</v>
      </c>
      <c r="S744" t="s">
        <v>2219</v>
      </c>
      <c r="T744" t="s">
        <v>153</v>
      </c>
      <c r="U744" t="s">
        <v>154</v>
      </c>
      <c r="V744" t="str">
        <f>IFERROR(INDEX(Products!$C:$C,MATCH(D744,Products!$A:$A,0)),"Unknown")</f>
        <v>Kids Wear</v>
      </c>
      <c r="W744" t="str">
        <f>IFERROR(INDEX(Products!$E:$E,MATCH(D744,Products!$A:$A,0)),"Unknown")</f>
        <v>Woodland</v>
      </c>
      <c r="X744" t="str">
        <f>IFERROR(INDEX(Stores!$B:$B,MATCH(E744,Stores!$A:$A,0)),"Unknown")</f>
        <v>TrendMart Tirunelveli High Street</v>
      </c>
      <c r="Y744" t="str">
        <f>IFERROR(INDEX(Stores!$E:$E,MATCH(E744,Stores!$A:$A,0)),"Unknown")</f>
        <v>South Zone 1</v>
      </c>
      <c r="Z744" t="str">
        <f>IFERROR(INDEX(Customers!$J:$J,MATCH(C744,Customers!$A:$A,0)),"Unknown")</f>
        <v>Regular</v>
      </c>
      <c r="AA744" t="str">
        <f t="shared" si="11"/>
        <v>2024-12</v>
      </c>
      <c r="AB744" t="str">
        <f>IFERROR(INDEX(Products!$I:$I,MATCH(D744,Products!$A:$A,0)),"Unknown")</f>
        <v>SUP010</v>
      </c>
    </row>
    <row r="745" spans="1:28" x14ac:dyDescent="0.25">
      <c r="A745" t="s">
        <v>2220</v>
      </c>
      <c r="B745" s="20">
        <v>45737</v>
      </c>
      <c r="C745" t="s">
        <v>863</v>
      </c>
      <c r="D745" t="s">
        <v>763</v>
      </c>
      <c r="E745" t="s">
        <v>402</v>
      </c>
      <c r="F745" t="s">
        <v>344</v>
      </c>
      <c r="G745">
        <v>1</v>
      </c>
      <c r="H745" s="21">
        <v>1048.26</v>
      </c>
      <c r="I745">
        <v>30</v>
      </c>
      <c r="J745" s="21">
        <v>314.48</v>
      </c>
      <c r="K745">
        <v>12</v>
      </c>
      <c r="L745" s="21">
        <v>88.05</v>
      </c>
      <c r="M745" s="21">
        <v>821.83</v>
      </c>
      <c r="N745" s="21">
        <v>815.46</v>
      </c>
      <c r="O745" s="21">
        <v>-81.680000000000007</v>
      </c>
      <c r="P745" t="s">
        <v>125</v>
      </c>
      <c r="Q745" t="s">
        <v>120</v>
      </c>
      <c r="R745" t="s">
        <v>151</v>
      </c>
      <c r="S745" t="s">
        <v>1230</v>
      </c>
      <c r="T745" t="s">
        <v>153</v>
      </c>
      <c r="U745" t="s">
        <v>184</v>
      </c>
      <c r="V745" t="str">
        <f>IFERROR(INDEX(Products!$C:$C,MATCH(D745,Products!$A:$A,0)),"Unknown")</f>
        <v>Watches</v>
      </c>
      <c r="W745" t="str">
        <f>IFERROR(INDEX(Products!$E:$E,MATCH(D745,Products!$A:$A,0)),"Unknown")</f>
        <v>Libas</v>
      </c>
      <c r="X745" t="str">
        <f>IFERROR(INDEX(Stores!$B:$B,MATCH(E745,Stores!$A:$A,0)),"Unknown")</f>
        <v>TrendMart Kannur Standard</v>
      </c>
      <c r="Y745" t="str">
        <f>IFERROR(INDEX(Stores!$E:$E,MATCH(E745,Stores!$A:$A,0)),"Unknown")</f>
        <v>South Zone 1</v>
      </c>
      <c r="Z745" t="str">
        <f>IFERROR(INDEX(Customers!$J:$J,MATCH(C745,Customers!$A:$A,0)),"Unknown")</f>
        <v>Regular</v>
      </c>
      <c r="AA745" t="str">
        <f t="shared" si="11"/>
        <v>2025-03</v>
      </c>
      <c r="AB745" t="str">
        <f>IFERROR(INDEX(Products!$I:$I,MATCH(D745,Products!$A:$A,0)),"Unknown")</f>
        <v>SUP047</v>
      </c>
    </row>
    <row r="746" spans="1:28" x14ac:dyDescent="0.25">
      <c r="A746" t="s">
        <v>2221</v>
      </c>
      <c r="B746" s="20">
        <v>45389</v>
      </c>
      <c r="C746" t="s">
        <v>535</v>
      </c>
      <c r="D746" t="s">
        <v>1520</v>
      </c>
      <c r="E746" t="s">
        <v>84</v>
      </c>
      <c r="F746" t="s">
        <v>574</v>
      </c>
      <c r="G746">
        <v>5</v>
      </c>
      <c r="H746" s="21">
        <v>4488.2700000000004</v>
      </c>
      <c r="I746">
        <v>5</v>
      </c>
      <c r="J746" s="21">
        <v>1122.07</v>
      </c>
      <c r="K746">
        <v>12</v>
      </c>
      <c r="L746" s="21">
        <v>2558.31</v>
      </c>
      <c r="M746" s="21">
        <v>23877.59</v>
      </c>
      <c r="N746" s="21">
        <v>16182.85</v>
      </c>
      <c r="O746" s="21">
        <v>5136.43</v>
      </c>
      <c r="P746" t="s">
        <v>123</v>
      </c>
      <c r="Q746" t="s">
        <v>122</v>
      </c>
      <c r="R746" t="s">
        <v>151</v>
      </c>
      <c r="S746" t="s">
        <v>1706</v>
      </c>
      <c r="T746" t="s">
        <v>161</v>
      </c>
      <c r="U746" t="s">
        <v>154</v>
      </c>
      <c r="V746" t="str">
        <f>IFERROR(INDEX(Products!$C:$C,MATCH(D746,Products!$A:$A,0)),"Unknown")</f>
        <v>Women Sarees</v>
      </c>
      <c r="W746" t="str">
        <f>IFERROR(INDEX(Products!$E:$E,MATCH(D746,Products!$A:$A,0)),"Unknown")</f>
        <v>Pepe Jeans</v>
      </c>
      <c r="X746" t="str">
        <f>IFERROR(INDEX(Stores!$B:$B,MATCH(E746,Stores!$A:$A,0)),"Unknown")</f>
        <v>TrendMart Tirupati Standard</v>
      </c>
      <c r="Y746" t="str">
        <f>IFERROR(INDEX(Stores!$E:$E,MATCH(E746,Stores!$A:$A,0)),"Unknown")</f>
        <v>South Zone 3</v>
      </c>
      <c r="Z746" t="str">
        <f>IFERROR(INDEX(Customers!$J:$J,MATCH(C746,Customers!$A:$A,0)),"Unknown")</f>
        <v>Gold</v>
      </c>
      <c r="AA746" t="str">
        <f t="shared" si="11"/>
        <v>2024-04</v>
      </c>
      <c r="AB746" t="str">
        <f>IFERROR(INDEX(Products!$I:$I,MATCH(D746,Products!$A:$A,0)),"Unknown")</f>
        <v>SUP009</v>
      </c>
    </row>
    <row r="747" spans="1:28" x14ac:dyDescent="0.25">
      <c r="A747" t="s">
        <v>2222</v>
      </c>
      <c r="B747" s="20">
        <v>45473</v>
      </c>
      <c r="C747" t="s">
        <v>1410</v>
      </c>
      <c r="D747" t="s">
        <v>1224</v>
      </c>
      <c r="E747" t="s">
        <v>206</v>
      </c>
      <c r="F747" t="s">
        <v>286</v>
      </c>
      <c r="G747">
        <v>2</v>
      </c>
      <c r="H747" s="21">
        <v>1666.74</v>
      </c>
      <c r="I747">
        <v>10</v>
      </c>
      <c r="J747" s="21">
        <v>333.35</v>
      </c>
      <c r="K747">
        <v>12</v>
      </c>
      <c r="L747" s="21">
        <v>360.02</v>
      </c>
      <c r="M747" s="21">
        <v>3360.15</v>
      </c>
      <c r="N747" s="21">
        <v>2388.2800000000002</v>
      </c>
      <c r="O747" s="21">
        <v>611.85</v>
      </c>
      <c r="P747" t="s">
        <v>123</v>
      </c>
      <c r="Q747" t="s">
        <v>122</v>
      </c>
      <c r="R747" t="s">
        <v>151</v>
      </c>
      <c r="S747" t="s">
        <v>1297</v>
      </c>
      <c r="T747" t="s">
        <v>161</v>
      </c>
      <c r="U747" t="s">
        <v>154</v>
      </c>
      <c r="V747" t="str">
        <f>IFERROR(INDEX(Products!$C:$C,MATCH(D747,Products!$A:$A,0)),"Unknown")</f>
        <v>Men Jeans</v>
      </c>
      <c r="W747" t="str">
        <f>IFERROR(INDEX(Products!$E:$E,MATCH(D747,Products!$A:$A,0)),"Unknown")</f>
        <v>Killer Jeans</v>
      </c>
      <c r="X747" t="str">
        <f>IFERROR(INDEX(Stores!$B:$B,MATCH(E747,Stores!$A:$A,0)),"Unknown")</f>
        <v>TrendMart Nizamabad Outlet</v>
      </c>
      <c r="Y747" t="str">
        <f>IFERROR(INDEX(Stores!$E:$E,MATCH(E747,Stores!$A:$A,0)),"Unknown")</f>
        <v>South Zone 2</v>
      </c>
      <c r="Z747" t="str">
        <f>IFERROR(INDEX(Customers!$J:$J,MATCH(C747,Customers!$A:$A,0)),"Unknown")</f>
        <v>Gold</v>
      </c>
      <c r="AA747" t="str">
        <f t="shared" si="11"/>
        <v>2024-06</v>
      </c>
      <c r="AB747" t="str">
        <f>IFERROR(INDEX(Products!$I:$I,MATCH(D747,Products!$A:$A,0)),"Unknown")</f>
        <v>SUP084</v>
      </c>
    </row>
    <row r="748" spans="1:28" x14ac:dyDescent="0.25">
      <c r="A748" t="s">
        <v>2223</v>
      </c>
      <c r="B748" s="20">
        <v>45604</v>
      </c>
      <c r="C748" t="s">
        <v>2185</v>
      </c>
      <c r="D748" t="s">
        <v>1504</v>
      </c>
      <c r="E748" t="s">
        <v>280</v>
      </c>
      <c r="F748" t="s">
        <v>253</v>
      </c>
      <c r="G748">
        <v>2</v>
      </c>
      <c r="H748" s="21">
        <v>1659.3</v>
      </c>
      <c r="I748">
        <v>0</v>
      </c>
      <c r="J748" s="21">
        <v>0</v>
      </c>
      <c r="K748">
        <v>12</v>
      </c>
      <c r="L748" s="21">
        <v>398.23</v>
      </c>
      <c r="M748" s="21">
        <v>3716.83</v>
      </c>
      <c r="N748" s="21">
        <v>2289.1799999999998</v>
      </c>
      <c r="O748" s="21">
        <v>1029.42</v>
      </c>
      <c r="P748" t="s">
        <v>124</v>
      </c>
      <c r="Q748" t="s">
        <v>120</v>
      </c>
      <c r="R748" t="s">
        <v>151</v>
      </c>
      <c r="S748" t="s">
        <v>672</v>
      </c>
      <c r="T748" t="s">
        <v>153</v>
      </c>
      <c r="U748" t="s">
        <v>154</v>
      </c>
      <c r="V748" t="str">
        <f>IFERROR(INDEX(Products!$C:$C,MATCH(D748,Products!$A:$A,0)),"Unknown")</f>
        <v>Women Dresses</v>
      </c>
      <c r="W748" t="str">
        <f>IFERROR(INDEX(Products!$E:$E,MATCH(D748,Products!$A:$A,0)),"Unknown")</f>
        <v>Westside</v>
      </c>
      <c r="X748" t="str">
        <f>IFERROR(INDEX(Stores!$B:$B,MATCH(E748,Stores!$A:$A,0)),"Unknown")</f>
        <v>TrendMart Chennai Standard</v>
      </c>
      <c r="Y748" t="str">
        <f>IFERROR(INDEX(Stores!$E:$E,MATCH(E748,Stores!$A:$A,0)),"Unknown")</f>
        <v>South Zone 1</v>
      </c>
      <c r="Z748" t="str">
        <f>IFERROR(INDEX(Customers!$J:$J,MATCH(C748,Customers!$A:$A,0)),"Unknown")</f>
        <v>Gold</v>
      </c>
      <c r="AA748" t="str">
        <f t="shared" si="11"/>
        <v>2024-11</v>
      </c>
      <c r="AB748" t="str">
        <f>IFERROR(INDEX(Products!$I:$I,MATCH(D748,Products!$A:$A,0)),"Unknown")</f>
        <v>SUP010</v>
      </c>
    </row>
    <row r="749" spans="1:28" x14ac:dyDescent="0.25">
      <c r="A749" t="s">
        <v>2224</v>
      </c>
      <c r="B749" s="20">
        <v>45660</v>
      </c>
      <c r="C749" t="s">
        <v>2133</v>
      </c>
      <c r="D749" t="s">
        <v>861</v>
      </c>
      <c r="E749" t="s">
        <v>1962</v>
      </c>
      <c r="F749" t="s">
        <v>618</v>
      </c>
      <c r="G749">
        <v>2</v>
      </c>
      <c r="H749" s="21">
        <v>1659.32</v>
      </c>
      <c r="I749">
        <v>0</v>
      </c>
      <c r="J749" s="21">
        <v>0</v>
      </c>
      <c r="K749">
        <v>12</v>
      </c>
      <c r="L749" s="21">
        <v>398.24</v>
      </c>
      <c r="M749" s="21">
        <v>3716.88</v>
      </c>
      <c r="N749" s="21">
        <v>2279.62</v>
      </c>
      <c r="O749" s="21">
        <v>1039.02</v>
      </c>
      <c r="P749" t="s">
        <v>121</v>
      </c>
      <c r="Q749" t="s">
        <v>120</v>
      </c>
      <c r="R749" t="s">
        <v>313</v>
      </c>
      <c r="S749" t="s">
        <v>1451</v>
      </c>
      <c r="T749" t="s">
        <v>153</v>
      </c>
      <c r="U749" t="s">
        <v>154</v>
      </c>
      <c r="V749" t="str">
        <f>IFERROR(INDEX(Products!$C:$C,MATCH(D749,Products!$A:$A,0)),"Unknown")</f>
        <v>Women Jeans</v>
      </c>
      <c r="W749" t="str">
        <f>IFERROR(INDEX(Products!$E:$E,MATCH(D749,Products!$A:$A,0)),"Unknown")</f>
        <v>Spykar</v>
      </c>
      <c r="X749" t="str">
        <f>IFERROR(INDEX(Stores!$B:$B,MATCH(E749,Stores!$A:$A,0)),"Unknown")</f>
        <v>TrendMart Guntur High Street</v>
      </c>
      <c r="Y749" t="str">
        <f>IFERROR(INDEX(Stores!$E:$E,MATCH(E749,Stores!$A:$A,0)),"Unknown")</f>
        <v>South Zone 3</v>
      </c>
      <c r="Z749" t="str">
        <f>IFERROR(INDEX(Customers!$J:$J,MATCH(C749,Customers!$A:$A,0)),"Unknown")</f>
        <v>Silver</v>
      </c>
      <c r="AA749" t="str">
        <f t="shared" si="11"/>
        <v>2025-01</v>
      </c>
      <c r="AB749" t="str">
        <f>IFERROR(INDEX(Products!$I:$I,MATCH(D749,Products!$A:$A,0)),"Unknown")</f>
        <v>SUP088</v>
      </c>
    </row>
    <row r="750" spans="1:28" x14ac:dyDescent="0.25">
      <c r="A750" t="s">
        <v>2225</v>
      </c>
      <c r="B750" s="20">
        <v>45423</v>
      </c>
      <c r="C750" t="s">
        <v>2050</v>
      </c>
      <c r="D750" t="s">
        <v>1504</v>
      </c>
      <c r="E750" t="s">
        <v>607</v>
      </c>
      <c r="F750" t="s">
        <v>232</v>
      </c>
      <c r="G750">
        <v>5</v>
      </c>
      <c r="H750" s="21">
        <v>1736.24</v>
      </c>
      <c r="I750">
        <v>10</v>
      </c>
      <c r="J750" s="21">
        <v>868.12</v>
      </c>
      <c r="K750">
        <v>12</v>
      </c>
      <c r="L750" s="21">
        <v>937.57</v>
      </c>
      <c r="M750" s="21">
        <v>8750.65</v>
      </c>
      <c r="N750" s="21">
        <v>5722.95</v>
      </c>
      <c r="O750" s="21">
        <v>2090.13</v>
      </c>
      <c r="P750" t="s">
        <v>125</v>
      </c>
      <c r="Q750" t="s">
        <v>122</v>
      </c>
      <c r="R750" t="s">
        <v>151</v>
      </c>
      <c r="S750" t="s">
        <v>2226</v>
      </c>
      <c r="T750" t="s">
        <v>161</v>
      </c>
      <c r="U750" t="s">
        <v>154</v>
      </c>
      <c r="V750" t="str">
        <f>IFERROR(INDEX(Products!$C:$C,MATCH(D750,Products!$A:$A,0)),"Unknown")</f>
        <v>Women Dresses</v>
      </c>
      <c r="W750" t="str">
        <f>IFERROR(INDEX(Products!$E:$E,MATCH(D750,Products!$A:$A,0)),"Unknown")</f>
        <v>Westside</v>
      </c>
      <c r="X750" t="str">
        <f>IFERROR(INDEX(Stores!$B:$B,MATCH(E750,Stores!$A:$A,0)),"Unknown")</f>
        <v>TrendMart Thiruvananthapuram Standard</v>
      </c>
      <c r="Y750" t="str">
        <f>IFERROR(INDEX(Stores!$E:$E,MATCH(E750,Stores!$A:$A,0)),"Unknown")</f>
        <v>South Zone 1</v>
      </c>
      <c r="Z750" t="str">
        <f>IFERROR(INDEX(Customers!$J:$J,MATCH(C750,Customers!$A:$A,0)),"Unknown")</f>
        <v>Gold</v>
      </c>
      <c r="AA750" t="str">
        <f t="shared" si="11"/>
        <v>2024-05</v>
      </c>
      <c r="AB750" t="str">
        <f>IFERROR(INDEX(Products!$I:$I,MATCH(D750,Products!$A:$A,0)),"Unknown")</f>
        <v>SUP010</v>
      </c>
    </row>
    <row r="751" spans="1:28" x14ac:dyDescent="0.25">
      <c r="A751" t="s">
        <v>2227</v>
      </c>
      <c r="B751" s="20">
        <v>45399</v>
      </c>
      <c r="C751" t="s">
        <v>2228</v>
      </c>
      <c r="D751" t="s">
        <v>763</v>
      </c>
      <c r="E751" t="s">
        <v>241</v>
      </c>
      <c r="F751" t="s">
        <v>344</v>
      </c>
      <c r="G751">
        <v>1</v>
      </c>
      <c r="H751" s="21">
        <v>1085.1600000000001</v>
      </c>
      <c r="I751">
        <v>0</v>
      </c>
      <c r="J751" s="21">
        <v>0</v>
      </c>
      <c r="K751">
        <v>12</v>
      </c>
      <c r="L751" s="21">
        <v>130.22</v>
      </c>
      <c r="M751" s="21">
        <v>1215.3800000000001</v>
      </c>
      <c r="N751" s="21">
        <v>815.46</v>
      </c>
      <c r="O751" s="21">
        <v>269.7</v>
      </c>
      <c r="P751" t="s">
        <v>124</v>
      </c>
      <c r="Q751" t="s">
        <v>120</v>
      </c>
      <c r="R751" t="s">
        <v>151</v>
      </c>
      <c r="S751" t="s">
        <v>1477</v>
      </c>
      <c r="T751" t="s">
        <v>153</v>
      </c>
      <c r="U751" t="s">
        <v>154</v>
      </c>
      <c r="V751" t="str">
        <f>IFERROR(INDEX(Products!$C:$C,MATCH(D751,Products!$A:$A,0)),"Unknown")</f>
        <v>Watches</v>
      </c>
      <c r="W751" t="str">
        <f>IFERROR(INDEX(Products!$E:$E,MATCH(D751,Products!$A:$A,0)),"Unknown")</f>
        <v>Libas</v>
      </c>
      <c r="X751" t="str">
        <f>IFERROR(INDEX(Stores!$B:$B,MATCH(E751,Stores!$A:$A,0)),"Unknown")</f>
        <v>TrendMart Nizamabad Mall Kiosk</v>
      </c>
      <c r="Y751" t="str">
        <f>IFERROR(INDEX(Stores!$E:$E,MATCH(E751,Stores!$A:$A,0)),"Unknown")</f>
        <v>South Zone 2</v>
      </c>
      <c r="Z751" t="str">
        <f>IFERROR(INDEX(Customers!$J:$J,MATCH(C751,Customers!$A:$A,0)),"Unknown")</f>
        <v>Regular</v>
      </c>
      <c r="AA751" t="str">
        <f t="shared" si="11"/>
        <v>2024-04</v>
      </c>
      <c r="AB751" t="str">
        <f>IFERROR(INDEX(Products!$I:$I,MATCH(D751,Products!$A:$A,0)),"Unknown")</f>
        <v>SUP047</v>
      </c>
    </row>
    <row r="752" spans="1:28" x14ac:dyDescent="0.25">
      <c r="A752" t="s">
        <v>2229</v>
      </c>
      <c r="B752" s="20">
        <v>45602</v>
      </c>
      <c r="C752" t="s">
        <v>1331</v>
      </c>
      <c r="D752" t="s">
        <v>773</v>
      </c>
      <c r="E752" t="s">
        <v>84</v>
      </c>
      <c r="F752" t="s">
        <v>408</v>
      </c>
      <c r="G752">
        <v>1</v>
      </c>
      <c r="H752" s="21">
        <v>3549.25</v>
      </c>
      <c r="I752">
        <v>10</v>
      </c>
      <c r="J752" s="21">
        <v>354.93</v>
      </c>
      <c r="K752">
        <v>12</v>
      </c>
      <c r="L752" s="21">
        <v>383.32</v>
      </c>
      <c r="M752" s="21">
        <v>3577.64</v>
      </c>
      <c r="N752" s="21">
        <v>2710.05</v>
      </c>
      <c r="O752" s="21">
        <v>484.27</v>
      </c>
      <c r="P752" t="s">
        <v>124</v>
      </c>
      <c r="Q752" t="s">
        <v>122</v>
      </c>
      <c r="R752" t="s">
        <v>151</v>
      </c>
      <c r="S752" t="s">
        <v>512</v>
      </c>
      <c r="T752" t="s">
        <v>153</v>
      </c>
      <c r="U752" t="s">
        <v>154</v>
      </c>
      <c r="V752" t="str">
        <f>IFERROR(INDEX(Products!$C:$C,MATCH(D752,Products!$A:$A,0)),"Unknown")</f>
        <v>Women Sarees</v>
      </c>
      <c r="W752" t="str">
        <f>IFERROR(INDEX(Products!$E:$E,MATCH(D752,Products!$A:$A,0)),"Unknown")</f>
        <v>Bata</v>
      </c>
      <c r="X752" t="str">
        <f>IFERROR(INDEX(Stores!$B:$B,MATCH(E752,Stores!$A:$A,0)),"Unknown")</f>
        <v>TrendMart Tirupati Standard</v>
      </c>
      <c r="Y752" t="str">
        <f>IFERROR(INDEX(Stores!$E:$E,MATCH(E752,Stores!$A:$A,0)),"Unknown")</f>
        <v>South Zone 3</v>
      </c>
      <c r="Z752" t="str">
        <f>IFERROR(INDEX(Customers!$J:$J,MATCH(C752,Customers!$A:$A,0)),"Unknown")</f>
        <v>Regular</v>
      </c>
      <c r="AA752" t="str">
        <f t="shared" si="11"/>
        <v>2024-11</v>
      </c>
      <c r="AB752" t="str">
        <f>IFERROR(INDEX(Products!$I:$I,MATCH(D752,Products!$A:$A,0)),"Unknown")</f>
        <v>SUP086</v>
      </c>
    </row>
    <row r="753" spans="1:28" x14ac:dyDescent="0.25">
      <c r="A753" t="s">
        <v>2230</v>
      </c>
      <c r="B753" s="20">
        <v>45483</v>
      </c>
      <c r="C753" t="s">
        <v>2231</v>
      </c>
      <c r="D753" t="s">
        <v>531</v>
      </c>
      <c r="E753" t="s">
        <v>1074</v>
      </c>
      <c r="F753" t="s">
        <v>382</v>
      </c>
      <c r="G753">
        <v>1</v>
      </c>
      <c r="H753" s="21">
        <v>3134.77</v>
      </c>
      <c r="I753">
        <v>10</v>
      </c>
      <c r="J753" s="21">
        <v>313.48</v>
      </c>
      <c r="K753">
        <v>12</v>
      </c>
      <c r="L753" s="21">
        <v>338.55</v>
      </c>
      <c r="M753" s="21">
        <v>3159.84</v>
      </c>
      <c r="N753" s="21">
        <v>2034.01</v>
      </c>
      <c r="O753" s="21">
        <v>787.28</v>
      </c>
      <c r="P753" t="s">
        <v>123</v>
      </c>
      <c r="Q753" t="s">
        <v>120</v>
      </c>
      <c r="R753" t="s">
        <v>313</v>
      </c>
      <c r="S753" t="s">
        <v>2232</v>
      </c>
      <c r="T753" t="s">
        <v>153</v>
      </c>
      <c r="U753" t="s">
        <v>154</v>
      </c>
      <c r="V753" t="str">
        <f>IFERROR(INDEX(Products!$C:$C,MATCH(D753,Products!$A:$A,0)),"Unknown")</f>
        <v>Handbags</v>
      </c>
      <c r="W753" t="str">
        <f>IFERROR(INDEX(Products!$E:$E,MATCH(D753,Products!$A:$A,0)),"Unknown")</f>
        <v>GRT Jewellers</v>
      </c>
      <c r="X753" t="str">
        <f>IFERROR(INDEX(Stores!$B:$B,MATCH(E753,Stores!$A:$A,0)),"Unknown")</f>
        <v>TrendMart Hyderabad Standard</v>
      </c>
      <c r="Y753" t="str">
        <f>IFERROR(INDEX(Stores!$E:$E,MATCH(E753,Stores!$A:$A,0)),"Unknown")</f>
        <v>South Zone 2</v>
      </c>
      <c r="Z753" t="str">
        <f>IFERROR(INDEX(Customers!$J:$J,MATCH(C753,Customers!$A:$A,0)),"Unknown")</f>
        <v>Silver</v>
      </c>
      <c r="AA753" t="str">
        <f t="shared" si="11"/>
        <v>2024-07</v>
      </c>
      <c r="AB753" t="str">
        <f>IFERROR(INDEX(Products!$I:$I,MATCH(D753,Products!$A:$A,0)),"Unknown")</f>
        <v>SUP047</v>
      </c>
    </row>
    <row r="754" spans="1:28" x14ac:dyDescent="0.25">
      <c r="A754" t="s">
        <v>2233</v>
      </c>
      <c r="B754" s="20">
        <v>45386</v>
      </c>
      <c r="C754" t="s">
        <v>2133</v>
      </c>
      <c r="D754" t="s">
        <v>317</v>
      </c>
      <c r="E754" t="s">
        <v>506</v>
      </c>
      <c r="F754" t="s">
        <v>258</v>
      </c>
      <c r="G754">
        <v>3</v>
      </c>
      <c r="H754" s="21">
        <v>2033.67</v>
      </c>
      <c r="I754">
        <v>10</v>
      </c>
      <c r="J754" s="21">
        <v>610.1</v>
      </c>
      <c r="K754">
        <v>12</v>
      </c>
      <c r="L754" s="21">
        <v>658.91</v>
      </c>
      <c r="M754" s="21">
        <v>6149.82</v>
      </c>
      <c r="N754" s="21">
        <v>4385.1899999999996</v>
      </c>
      <c r="O754" s="21">
        <v>1105.72</v>
      </c>
      <c r="P754" t="s">
        <v>126</v>
      </c>
      <c r="Q754" t="s">
        <v>120</v>
      </c>
      <c r="R754" t="s">
        <v>151</v>
      </c>
      <c r="S754" t="s">
        <v>2234</v>
      </c>
      <c r="T754" t="s">
        <v>153</v>
      </c>
      <c r="U754" t="s">
        <v>154</v>
      </c>
      <c r="V754" t="str">
        <f>IFERROR(INDEX(Products!$C:$C,MATCH(D754,Products!$A:$A,0)),"Unknown")</f>
        <v>Handbags</v>
      </c>
      <c r="W754" t="str">
        <f>IFERROR(INDEX(Products!$E:$E,MATCH(D754,Products!$A:$A,0)),"Unknown")</f>
        <v>Titan</v>
      </c>
      <c r="X754" t="str">
        <f>IFERROR(INDEX(Stores!$B:$B,MATCH(E754,Stores!$A:$A,0)),"Unknown")</f>
        <v>TrendMart Nellore High Street</v>
      </c>
      <c r="Y754" t="str">
        <f>IFERROR(INDEX(Stores!$E:$E,MATCH(E754,Stores!$A:$A,0)),"Unknown")</f>
        <v>South Zone 3</v>
      </c>
      <c r="Z754" t="str">
        <f>IFERROR(INDEX(Customers!$J:$J,MATCH(C754,Customers!$A:$A,0)),"Unknown")</f>
        <v>Silver</v>
      </c>
      <c r="AA754" t="str">
        <f t="shared" si="11"/>
        <v>2024-04</v>
      </c>
      <c r="AB754" t="str">
        <f>IFERROR(INDEX(Products!$I:$I,MATCH(D754,Products!$A:$A,0)),"Unknown")</f>
        <v>SUP027</v>
      </c>
    </row>
    <row r="755" spans="1:28" x14ac:dyDescent="0.25">
      <c r="A755" t="s">
        <v>2235</v>
      </c>
      <c r="B755" s="20">
        <v>45547</v>
      </c>
      <c r="C755" t="s">
        <v>2236</v>
      </c>
      <c r="D755" t="s">
        <v>205</v>
      </c>
      <c r="E755" t="s">
        <v>451</v>
      </c>
      <c r="F755" t="s">
        <v>408</v>
      </c>
      <c r="G755">
        <v>2</v>
      </c>
      <c r="H755" s="21">
        <v>987.91</v>
      </c>
      <c r="I755">
        <v>15</v>
      </c>
      <c r="J755" s="21">
        <v>296.37</v>
      </c>
      <c r="K755">
        <v>5</v>
      </c>
      <c r="L755" s="21">
        <v>83.97</v>
      </c>
      <c r="M755" s="21">
        <v>1763.42</v>
      </c>
      <c r="N755" s="21">
        <v>1385.06</v>
      </c>
      <c r="O755" s="21">
        <v>294.39</v>
      </c>
      <c r="P755" t="s">
        <v>126</v>
      </c>
      <c r="Q755" t="s">
        <v>120</v>
      </c>
      <c r="R755" t="s">
        <v>151</v>
      </c>
      <c r="S755" t="s">
        <v>1508</v>
      </c>
      <c r="T755" t="s">
        <v>153</v>
      </c>
      <c r="U755" t="s">
        <v>154</v>
      </c>
      <c r="V755" t="str">
        <f>IFERROR(INDEX(Products!$C:$C,MATCH(D755,Products!$A:$A,0)),"Unknown")</f>
        <v>Women Jeans</v>
      </c>
      <c r="W755" t="str">
        <f>IFERROR(INDEX(Products!$E:$E,MATCH(D755,Products!$A:$A,0)),"Unknown")</f>
        <v>Sonata</v>
      </c>
      <c r="X755" t="str">
        <f>IFERROR(INDEX(Stores!$B:$B,MATCH(E755,Stores!$A:$A,0)),"Unknown")</f>
        <v>TrendMart Thoothukudi High Street</v>
      </c>
      <c r="Y755" t="str">
        <f>IFERROR(INDEX(Stores!$E:$E,MATCH(E755,Stores!$A:$A,0)),"Unknown")</f>
        <v>South Zone 1</v>
      </c>
      <c r="Z755" t="str">
        <f>IFERROR(INDEX(Customers!$J:$J,MATCH(C755,Customers!$A:$A,0)),"Unknown")</f>
        <v>Gold</v>
      </c>
      <c r="AA755" t="str">
        <f t="shared" si="11"/>
        <v>2024-09</v>
      </c>
      <c r="AB755" t="str">
        <f>IFERROR(INDEX(Products!$I:$I,MATCH(D755,Products!$A:$A,0)),"Unknown")</f>
        <v>SUP014</v>
      </c>
    </row>
    <row r="756" spans="1:28" x14ac:dyDescent="0.25">
      <c r="A756" t="s">
        <v>2237</v>
      </c>
      <c r="B756" s="20">
        <v>45615</v>
      </c>
      <c r="C756" t="s">
        <v>605</v>
      </c>
      <c r="D756" t="s">
        <v>1431</v>
      </c>
      <c r="E756" t="s">
        <v>490</v>
      </c>
      <c r="F756" t="s">
        <v>550</v>
      </c>
      <c r="G756">
        <v>3</v>
      </c>
      <c r="H756" s="21">
        <v>1360.86</v>
      </c>
      <c r="I756">
        <v>0</v>
      </c>
      <c r="J756" s="21">
        <v>0</v>
      </c>
      <c r="K756">
        <v>12</v>
      </c>
      <c r="L756" s="21">
        <v>489.91</v>
      </c>
      <c r="M756" s="21">
        <v>4572.49</v>
      </c>
      <c r="N756" s="21">
        <v>2849.91</v>
      </c>
      <c r="O756" s="21">
        <v>1232.67</v>
      </c>
      <c r="P756" t="s">
        <v>121</v>
      </c>
      <c r="Q756" t="s">
        <v>122</v>
      </c>
      <c r="R756" t="s">
        <v>151</v>
      </c>
      <c r="S756" t="s">
        <v>2238</v>
      </c>
      <c r="T756" t="s">
        <v>153</v>
      </c>
      <c r="U756" t="s">
        <v>154</v>
      </c>
      <c r="V756" t="str">
        <f>IFERROR(INDEX(Products!$C:$C,MATCH(D756,Products!$A:$A,0)),"Unknown")</f>
        <v>Wallets</v>
      </c>
      <c r="W756" t="str">
        <f>IFERROR(INDEX(Products!$E:$E,MATCH(D756,Products!$A:$A,0)),"Unknown")</f>
        <v>Van Heusen</v>
      </c>
      <c r="X756" t="str">
        <f>IFERROR(INDEX(Stores!$B:$B,MATCH(E756,Stores!$A:$A,0)),"Unknown")</f>
        <v>TrendMart Mangaluru Mall Kiosk</v>
      </c>
      <c r="Y756" t="str">
        <f>IFERROR(INDEX(Stores!$E:$E,MATCH(E756,Stores!$A:$A,0)),"Unknown")</f>
        <v>South Zone 2</v>
      </c>
      <c r="Z756" t="str">
        <f>IFERROR(INDEX(Customers!$J:$J,MATCH(C756,Customers!$A:$A,0)),"Unknown")</f>
        <v>Regular</v>
      </c>
      <c r="AA756" t="str">
        <f t="shared" si="11"/>
        <v>2024-11</v>
      </c>
      <c r="AB756" t="str">
        <f>IFERROR(INDEX(Products!$I:$I,MATCH(D756,Products!$A:$A,0)),"Unknown")</f>
        <v>SUP087</v>
      </c>
    </row>
    <row r="757" spans="1:28" x14ac:dyDescent="0.25">
      <c r="A757" t="s">
        <v>2239</v>
      </c>
      <c r="B757" s="20">
        <v>45564</v>
      </c>
      <c r="C757" t="s">
        <v>2240</v>
      </c>
      <c r="D757" t="s">
        <v>2241</v>
      </c>
      <c r="E757" t="s">
        <v>451</v>
      </c>
      <c r="F757" t="s">
        <v>201</v>
      </c>
      <c r="G757">
        <v>1</v>
      </c>
      <c r="H757" s="21">
        <v>1706.31</v>
      </c>
      <c r="I757">
        <v>10</v>
      </c>
      <c r="J757" s="21">
        <v>170.63</v>
      </c>
      <c r="K757">
        <v>12</v>
      </c>
      <c r="L757" s="21">
        <v>184.28</v>
      </c>
      <c r="M757" s="21">
        <v>1719.96</v>
      </c>
      <c r="N757" s="21">
        <v>996.24</v>
      </c>
      <c r="O757" s="21">
        <v>539.44000000000005</v>
      </c>
      <c r="P757" t="s">
        <v>121</v>
      </c>
      <c r="Q757" t="s">
        <v>120</v>
      </c>
      <c r="R757" t="s">
        <v>151</v>
      </c>
      <c r="S757" t="s">
        <v>1184</v>
      </c>
      <c r="T757" t="s">
        <v>161</v>
      </c>
      <c r="U757" t="s">
        <v>154</v>
      </c>
      <c r="V757" t="str">
        <f>IFERROR(INDEX(Products!$C:$C,MATCH(D757,Products!$A:$A,0)),"Unknown")</f>
        <v>Men Trousers</v>
      </c>
      <c r="W757" t="str">
        <f>IFERROR(INDEX(Products!$E:$E,MATCH(D757,Products!$A:$A,0)),"Unknown")</f>
        <v>GRT Jewellers</v>
      </c>
      <c r="X757" t="str">
        <f>IFERROR(INDEX(Stores!$B:$B,MATCH(E757,Stores!$A:$A,0)),"Unknown")</f>
        <v>TrendMart Thoothukudi High Street</v>
      </c>
      <c r="Y757" t="str">
        <f>IFERROR(INDEX(Stores!$E:$E,MATCH(E757,Stores!$A:$A,0)),"Unknown")</f>
        <v>South Zone 1</v>
      </c>
      <c r="Z757" t="str">
        <f>IFERROR(INDEX(Customers!$J:$J,MATCH(C757,Customers!$A:$A,0)),"Unknown")</f>
        <v>Platinum</v>
      </c>
      <c r="AA757" t="str">
        <f t="shared" si="11"/>
        <v>2024-09</v>
      </c>
      <c r="AB757" t="str">
        <f>IFERROR(INDEX(Products!$I:$I,MATCH(D757,Products!$A:$A,0)),"Unknown")</f>
        <v>SUP042</v>
      </c>
    </row>
    <row r="758" spans="1:28" x14ac:dyDescent="0.25">
      <c r="A758" t="s">
        <v>2242</v>
      </c>
      <c r="B758" s="20">
        <v>45498</v>
      </c>
      <c r="C758" t="s">
        <v>1507</v>
      </c>
      <c r="D758" t="s">
        <v>367</v>
      </c>
      <c r="E758" t="s">
        <v>617</v>
      </c>
      <c r="F758" t="s">
        <v>253</v>
      </c>
      <c r="G758">
        <v>3</v>
      </c>
      <c r="H758" s="21">
        <v>694.64</v>
      </c>
      <c r="I758">
        <v>0</v>
      </c>
      <c r="J758" s="21">
        <v>0</v>
      </c>
      <c r="K758">
        <v>3</v>
      </c>
      <c r="L758" s="21">
        <v>62.52</v>
      </c>
      <c r="M758" s="21">
        <v>2146.44</v>
      </c>
      <c r="N758" s="21">
        <v>1670.97</v>
      </c>
      <c r="O758" s="21">
        <v>412.95</v>
      </c>
      <c r="P758" t="s">
        <v>125</v>
      </c>
      <c r="Q758" t="s">
        <v>120</v>
      </c>
      <c r="R758" t="s">
        <v>151</v>
      </c>
      <c r="S758" t="s">
        <v>896</v>
      </c>
      <c r="T758" t="s">
        <v>153</v>
      </c>
      <c r="U758" t="s">
        <v>154</v>
      </c>
      <c r="V758" t="str">
        <f>IFERROR(INDEX(Products!$C:$C,MATCH(D758,Products!$A:$A,0)),"Unknown")</f>
        <v>Jewellery</v>
      </c>
      <c r="W758" t="str">
        <f>IFERROR(INDEX(Products!$E:$E,MATCH(D758,Products!$A:$A,0)),"Unknown")</f>
        <v>Aurelia</v>
      </c>
      <c r="X758" t="str">
        <f>IFERROR(INDEX(Stores!$B:$B,MATCH(E758,Stores!$A:$A,0)),"Unknown")</f>
        <v>TrendMart Mangaluru High Street</v>
      </c>
      <c r="Y758" t="str">
        <f>IFERROR(INDEX(Stores!$E:$E,MATCH(E758,Stores!$A:$A,0)),"Unknown")</f>
        <v>South Zone 2</v>
      </c>
      <c r="Z758" t="str">
        <f>IFERROR(INDEX(Customers!$J:$J,MATCH(C758,Customers!$A:$A,0)),"Unknown")</f>
        <v>Gold</v>
      </c>
      <c r="AA758" t="str">
        <f t="shared" si="11"/>
        <v>2024-07</v>
      </c>
      <c r="AB758" t="str">
        <f>IFERROR(INDEX(Products!$I:$I,MATCH(D758,Products!$A:$A,0)),"Unknown")</f>
        <v>SUP067</v>
      </c>
    </row>
    <row r="759" spans="1:28" x14ac:dyDescent="0.25">
      <c r="A759" t="s">
        <v>2243</v>
      </c>
      <c r="B759" s="20">
        <v>45589</v>
      </c>
      <c r="C759" t="s">
        <v>2244</v>
      </c>
      <c r="D759" t="s">
        <v>864</v>
      </c>
      <c r="E759" t="s">
        <v>402</v>
      </c>
      <c r="F759" t="s">
        <v>150</v>
      </c>
      <c r="G759">
        <v>3</v>
      </c>
      <c r="H759" s="21">
        <v>3132.36</v>
      </c>
      <c r="I759">
        <v>20</v>
      </c>
      <c r="J759" s="21">
        <v>1879.42</v>
      </c>
      <c r="K759">
        <v>3</v>
      </c>
      <c r="L759" s="21">
        <v>225.53</v>
      </c>
      <c r="M759" s="21">
        <v>7743.19</v>
      </c>
      <c r="N759" s="21">
        <v>5969.79</v>
      </c>
      <c r="O759" s="21">
        <v>1547.87</v>
      </c>
      <c r="P759" t="s">
        <v>125</v>
      </c>
      <c r="Q759" t="s">
        <v>120</v>
      </c>
      <c r="R759" t="s">
        <v>151</v>
      </c>
      <c r="S759" t="s">
        <v>1719</v>
      </c>
      <c r="T759" t="s">
        <v>153</v>
      </c>
      <c r="U759" t="s">
        <v>154</v>
      </c>
      <c r="V759" t="str">
        <f>IFERROR(INDEX(Products!$C:$C,MATCH(D759,Products!$A:$A,0)),"Unknown")</f>
        <v>Jewellery</v>
      </c>
      <c r="W759" t="str">
        <f>IFERROR(INDEX(Products!$E:$E,MATCH(D759,Products!$A:$A,0)),"Unknown")</f>
        <v>Wrangler</v>
      </c>
      <c r="X759" t="str">
        <f>IFERROR(INDEX(Stores!$B:$B,MATCH(E759,Stores!$A:$A,0)),"Unknown")</f>
        <v>TrendMart Kannur Standard</v>
      </c>
      <c r="Y759" t="str">
        <f>IFERROR(INDEX(Stores!$E:$E,MATCH(E759,Stores!$A:$A,0)),"Unknown")</f>
        <v>South Zone 1</v>
      </c>
      <c r="Z759" t="str">
        <f>IFERROR(INDEX(Customers!$J:$J,MATCH(C759,Customers!$A:$A,0)),"Unknown")</f>
        <v>Regular</v>
      </c>
      <c r="AA759" t="str">
        <f t="shared" si="11"/>
        <v>2024-10</v>
      </c>
      <c r="AB759" t="str">
        <f>IFERROR(INDEX(Products!$I:$I,MATCH(D759,Products!$A:$A,0)),"Unknown")</f>
        <v>SUP070</v>
      </c>
    </row>
    <row r="760" spans="1:28" x14ac:dyDescent="0.25">
      <c r="A760" t="s">
        <v>2245</v>
      </c>
      <c r="B760" s="20">
        <v>45704</v>
      </c>
      <c r="C760" t="s">
        <v>2246</v>
      </c>
      <c r="D760" t="s">
        <v>662</v>
      </c>
      <c r="E760" t="s">
        <v>607</v>
      </c>
      <c r="F760" t="s">
        <v>579</v>
      </c>
      <c r="G760">
        <v>5</v>
      </c>
      <c r="H760" s="21">
        <v>495.66</v>
      </c>
      <c r="I760">
        <v>15</v>
      </c>
      <c r="J760" s="21">
        <v>371.75</v>
      </c>
      <c r="K760">
        <v>5</v>
      </c>
      <c r="L760" s="21">
        <v>105.33</v>
      </c>
      <c r="M760" s="21">
        <v>2211.88</v>
      </c>
      <c r="N760" s="21">
        <v>1499.3</v>
      </c>
      <c r="O760" s="21">
        <v>607.25</v>
      </c>
      <c r="P760" t="s">
        <v>125</v>
      </c>
      <c r="Q760" t="s">
        <v>120</v>
      </c>
      <c r="R760" t="s">
        <v>313</v>
      </c>
      <c r="S760" t="s">
        <v>1516</v>
      </c>
      <c r="T760" t="s">
        <v>161</v>
      </c>
      <c r="U760" t="s">
        <v>154</v>
      </c>
      <c r="V760" t="str">
        <f>IFERROR(INDEX(Products!$C:$C,MATCH(D760,Products!$A:$A,0)),"Unknown")</f>
        <v>Men T-Shirts</v>
      </c>
      <c r="W760" t="str">
        <f>IFERROR(INDEX(Products!$E:$E,MATCH(D760,Products!$A:$A,0)),"Unknown")</f>
        <v>Global Desi</v>
      </c>
      <c r="X760" t="str">
        <f>IFERROR(INDEX(Stores!$B:$B,MATCH(E760,Stores!$A:$A,0)),"Unknown")</f>
        <v>TrendMart Thiruvananthapuram Standard</v>
      </c>
      <c r="Y760" t="str">
        <f>IFERROR(INDEX(Stores!$E:$E,MATCH(E760,Stores!$A:$A,0)),"Unknown")</f>
        <v>South Zone 1</v>
      </c>
      <c r="Z760" t="str">
        <f>IFERROR(INDEX(Customers!$J:$J,MATCH(C760,Customers!$A:$A,0)),"Unknown")</f>
        <v>Gold</v>
      </c>
      <c r="AA760" t="str">
        <f t="shared" si="11"/>
        <v>2025-02</v>
      </c>
      <c r="AB760" t="str">
        <f>IFERROR(INDEX(Products!$I:$I,MATCH(D760,Products!$A:$A,0)),"Unknown")</f>
        <v>SUP049</v>
      </c>
    </row>
    <row r="761" spans="1:28" x14ac:dyDescent="0.25">
      <c r="A761" t="s">
        <v>2247</v>
      </c>
      <c r="B761" s="20">
        <v>45593</v>
      </c>
      <c r="C761" t="s">
        <v>2248</v>
      </c>
      <c r="D761" t="s">
        <v>1055</v>
      </c>
      <c r="E761" t="s">
        <v>588</v>
      </c>
      <c r="F761" t="s">
        <v>159</v>
      </c>
      <c r="G761">
        <v>1</v>
      </c>
      <c r="H761" s="21">
        <v>1463.49</v>
      </c>
      <c r="I761">
        <v>10</v>
      </c>
      <c r="J761" s="21">
        <v>146.35</v>
      </c>
      <c r="K761">
        <v>12</v>
      </c>
      <c r="L761" s="21">
        <v>158.06</v>
      </c>
      <c r="M761" s="21">
        <v>1475.2</v>
      </c>
      <c r="N761" s="21">
        <v>1116.33</v>
      </c>
      <c r="O761" s="21">
        <v>200.81</v>
      </c>
      <c r="P761" t="s">
        <v>124</v>
      </c>
      <c r="Q761" t="s">
        <v>120</v>
      </c>
      <c r="R761" t="s">
        <v>151</v>
      </c>
      <c r="S761" t="s">
        <v>2249</v>
      </c>
      <c r="T761" t="s">
        <v>153</v>
      </c>
      <c r="U761" t="s">
        <v>154</v>
      </c>
      <c r="V761" t="str">
        <f>IFERROR(INDEX(Products!$C:$C,MATCH(D761,Products!$A:$A,0)),"Unknown")</f>
        <v>Wallets</v>
      </c>
      <c r="W761" t="str">
        <f>IFERROR(INDEX(Products!$E:$E,MATCH(D761,Products!$A:$A,0)),"Unknown")</f>
        <v>Nalli Silks</v>
      </c>
      <c r="X761" t="str">
        <f>IFERROR(INDEX(Stores!$B:$B,MATCH(E761,Stores!$A:$A,0)),"Unknown")</f>
        <v>TrendMart Nizamabad Standard</v>
      </c>
      <c r="Y761" t="str">
        <f>IFERROR(INDEX(Stores!$E:$E,MATCH(E761,Stores!$A:$A,0)),"Unknown")</f>
        <v>South Zone 2</v>
      </c>
      <c r="Z761" t="str">
        <f>IFERROR(INDEX(Customers!$J:$J,MATCH(C761,Customers!$A:$A,0)),"Unknown")</f>
        <v>Silver</v>
      </c>
      <c r="AA761" t="str">
        <f t="shared" si="11"/>
        <v>2024-10</v>
      </c>
      <c r="AB761" t="str">
        <f>IFERROR(INDEX(Products!$I:$I,MATCH(D761,Products!$A:$A,0)),"Unknown")</f>
        <v>SUP016</v>
      </c>
    </row>
    <row r="762" spans="1:28" x14ac:dyDescent="0.25">
      <c r="A762" t="s">
        <v>2250</v>
      </c>
      <c r="B762" s="20">
        <v>45449</v>
      </c>
      <c r="C762" t="s">
        <v>582</v>
      </c>
      <c r="D762" t="s">
        <v>1649</v>
      </c>
      <c r="E762" t="s">
        <v>1281</v>
      </c>
      <c r="F762" t="s">
        <v>308</v>
      </c>
      <c r="G762">
        <v>1</v>
      </c>
      <c r="H762" s="21">
        <v>1291.6099999999999</v>
      </c>
      <c r="I762">
        <v>30</v>
      </c>
      <c r="J762" s="21">
        <v>387.48</v>
      </c>
      <c r="K762">
        <v>12</v>
      </c>
      <c r="L762" s="21">
        <v>108.5</v>
      </c>
      <c r="M762" s="21">
        <v>1012.63</v>
      </c>
      <c r="N762" s="21">
        <v>879.48</v>
      </c>
      <c r="O762" s="21">
        <v>24.65</v>
      </c>
      <c r="P762" t="s">
        <v>126</v>
      </c>
      <c r="Q762" t="s">
        <v>122</v>
      </c>
      <c r="R762" t="s">
        <v>151</v>
      </c>
      <c r="S762" t="s">
        <v>2251</v>
      </c>
      <c r="T762" t="s">
        <v>153</v>
      </c>
      <c r="U762" t="s">
        <v>154</v>
      </c>
      <c r="V762" t="str">
        <f>IFERROR(INDEX(Products!$C:$C,MATCH(D762,Products!$A:$A,0)),"Unknown")</f>
        <v>Belts</v>
      </c>
      <c r="W762" t="str">
        <f>IFERROR(INDEX(Products!$E:$E,MATCH(D762,Products!$A:$A,0)),"Unknown")</f>
        <v>Bata</v>
      </c>
      <c r="X762" t="str">
        <f>IFERROR(INDEX(Stores!$B:$B,MATCH(E762,Stores!$A:$A,0)),"Unknown")</f>
        <v>TrendMart Visakhapatnam Standard</v>
      </c>
      <c r="Y762" t="str">
        <f>IFERROR(INDEX(Stores!$E:$E,MATCH(E762,Stores!$A:$A,0)),"Unknown")</f>
        <v>South Zone 3</v>
      </c>
      <c r="Z762" t="str">
        <f>IFERROR(INDEX(Customers!$J:$J,MATCH(C762,Customers!$A:$A,0)),"Unknown")</f>
        <v>Silver</v>
      </c>
      <c r="AA762" t="str">
        <f t="shared" si="11"/>
        <v>2024-06</v>
      </c>
      <c r="AB762" t="str">
        <f>IFERROR(INDEX(Products!$I:$I,MATCH(D762,Products!$A:$A,0)),"Unknown")</f>
        <v>SUP032</v>
      </c>
    </row>
    <row r="763" spans="1:28" x14ac:dyDescent="0.25">
      <c r="A763" t="s">
        <v>2252</v>
      </c>
      <c r="B763" s="20">
        <v>45618</v>
      </c>
      <c r="C763" t="s">
        <v>2253</v>
      </c>
      <c r="D763" t="s">
        <v>680</v>
      </c>
      <c r="E763" t="s">
        <v>83</v>
      </c>
      <c r="F763" t="s">
        <v>532</v>
      </c>
      <c r="G763">
        <v>2</v>
      </c>
      <c r="H763" s="21">
        <v>702.64</v>
      </c>
      <c r="I763">
        <v>0</v>
      </c>
      <c r="J763" s="21">
        <v>0</v>
      </c>
      <c r="K763">
        <v>5</v>
      </c>
      <c r="L763" s="21">
        <v>70.260000000000005</v>
      </c>
      <c r="M763" s="21">
        <v>1475.54</v>
      </c>
      <c r="N763" s="21">
        <v>807.42</v>
      </c>
      <c r="O763" s="21">
        <v>597.86</v>
      </c>
      <c r="P763" t="s">
        <v>126</v>
      </c>
      <c r="Q763" t="s">
        <v>122</v>
      </c>
      <c r="R763" t="s">
        <v>151</v>
      </c>
      <c r="S763" t="s">
        <v>2254</v>
      </c>
      <c r="T763" t="s">
        <v>153</v>
      </c>
      <c r="U763" t="s">
        <v>154</v>
      </c>
      <c r="V763" t="str">
        <f>IFERROR(INDEX(Products!$C:$C,MATCH(D763,Products!$A:$A,0)),"Unknown")</f>
        <v>Accessories</v>
      </c>
      <c r="W763" t="str">
        <f>IFERROR(INDEX(Products!$E:$E,MATCH(D763,Products!$A:$A,0)),"Unknown")</f>
        <v>Westside</v>
      </c>
      <c r="X763" t="str">
        <f>IFERROR(INDEX(Stores!$B:$B,MATCH(E763,Stores!$A:$A,0)),"Unknown")</f>
        <v>TrendMart Vellore Standard</v>
      </c>
      <c r="Y763" t="str">
        <f>IFERROR(INDEX(Stores!$E:$E,MATCH(E763,Stores!$A:$A,0)),"Unknown")</f>
        <v>South Zone 1</v>
      </c>
      <c r="Z763" t="str">
        <f>IFERROR(INDEX(Customers!$J:$J,MATCH(C763,Customers!$A:$A,0)),"Unknown")</f>
        <v>Regular</v>
      </c>
      <c r="AA763" t="str">
        <f t="shared" si="11"/>
        <v>2024-11</v>
      </c>
      <c r="AB763" t="str">
        <f>IFERROR(INDEX(Products!$I:$I,MATCH(D763,Products!$A:$A,0)),"Unknown")</f>
        <v>SUP064</v>
      </c>
    </row>
    <row r="764" spans="1:28" x14ac:dyDescent="0.25">
      <c r="A764" t="s">
        <v>2255</v>
      </c>
      <c r="B764" s="20">
        <v>45586</v>
      </c>
      <c r="C764" t="s">
        <v>946</v>
      </c>
      <c r="D764" t="s">
        <v>861</v>
      </c>
      <c r="E764" t="s">
        <v>396</v>
      </c>
      <c r="F764" t="s">
        <v>269</v>
      </c>
      <c r="G764">
        <v>2</v>
      </c>
      <c r="H764" s="21">
        <v>1731.06</v>
      </c>
      <c r="I764">
        <v>0</v>
      </c>
      <c r="J764" s="21">
        <v>0</v>
      </c>
      <c r="K764">
        <v>12</v>
      </c>
      <c r="L764" s="21">
        <v>415.45</v>
      </c>
      <c r="M764" s="21">
        <v>3877.57</v>
      </c>
      <c r="N764" s="21">
        <v>2279.62</v>
      </c>
      <c r="O764" s="21">
        <v>1182.5</v>
      </c>
      <c r="P764" t="s">
        <v>123</v>
      </c>
      <c r="Q764" t="s">
        <v>120</v>
      </c>
      <c r="R764" t="s">
        <v>151</v>
      </c>
      <c r="S764" t="s">
        <v>2256</v>
      </c>
      <c r="T764" t="s">
        <v>153</v>
      </c>
      <c r="U764" t="s">
        <v>154</v>
      </c>
      <c r="V764" t="str">
        <f>IFERROR(INDEX(Products!$C:$C,MATCH(D764,Products!$A:$A,0)),"Unknown")</f>
        <v>Women Jeans</v>
      </c>
      <c r="W764" t="str">
        <f>IFERROR(INDEX(Products!$E:$E,MATCH(D764,Products!$A:$A,0)),"Unknown")</f>
        <v>Spykar</v>
      </c>
      <c r="X764" t="str">
        <f>IFERROR(INDEX(Stores!$B:$B,MATCH(E764,Stores!$A:$A,0)),"Unknown")</f>
        <v>TrendMart Davanagere High Street</v>
      </c>
      <c r="Y764" t="str">
        <f>IFERROR(INDEX(Stores!$E:$E,MATCH(E764,Stores!$A:$A,0)),"Unknown")</f>
        <v>South Zone 2</v>
      </c>
      <c r="Z764" t="str">
        <f>IFERROR(INDEX(Customers!$J:$J,MATCH(C764,Customers!$A:$A,0)),"Unknown")</f>
        <v>Silver</v>
      </c>
      <c r="AA764" t="str">
        <f t="shared" si="11"/>
        <v>2024-10</v>
      </c>
      <c r="AB764" t="str">
        <f>IFERROR(INDEX(Products!$I:$I,MATCH(D764,Products!$A:$A,0)),"Unknown")</f>
        <v>SUP088</v>
      </c>
    </row>
    <row r="765" spans="1:28" x14ac:dyDescent="0.25">
      <c r="A765" t="s">
        <v>2257</v>
      </c>
      <c r="B765" s="20">
        <v>45383</v>
      </c>
      <c r="C765" t="s">
        <v>1116</v>
      </c>
      <c r="D765" t="s">
        <v>864</v>
      </c>
      <c r="E765" t="s">
        <v>429</v>
      </c>
      <c r="F765" t="s">
        <v>550</v>
      </c>
      <c r="G765">
        <v>3</v>
      </c>
      <c r="H765" s="21">
        <v>3084.94</v>
      </c>
      <c r="I765">
        <v>10</v>
      </c>
      <c r="J765" s="21">
        <v>925.48</v>
      </c>
      <c r="K765">
        <v>3</v>
      </c>
      <c r="L765" s="21">
        <v>249.88</v>
      </c>
      <c r="M765" s="21">
        <v>8579.2199999999993</v>
      </c>
      <c r="N765" s="21">
        <v>5969.79</v>
      </c>
      <c r="O765" s="21">
        <v>2359.5500000000002</v>
      </c>
      <c r="P765" t="s">
        <v>125</v>
      </c>
      <c r="Q765" t="s">
        <v>120</v>
      </c>
      <c r="R765" t="s">
        <v>151</v>
      </c>
      <c r="S765" t="s">
        <v>835</v>
      </c>
      <c r="T765" t="s">
        <v>153</v>
      </c>
      <c r="U765" t="s">
        <v>154</v>
      </c>
      <c r="V765" t="str">
        <f>IFERROR(INDEX(Products!$C:$C,MATCH(D765,Products!$A:$A,0)),"Unknown")</f>
        <v>Jewellery</v>
      </c>
      <c r="W765" t="str">
        <f>IFERROR(INDEX(Products!$E:$E,MATCH(D765,Products!$A:$A,0)),"Unknown")</f>
        <v>Wrangler</v>
      </c>
      <c r="X765" t="str">
        <f>IFERROR(INDEX(Stores!$B:$B,MATCH(E765,Stores!$A:$A,0)),"Unknown")</f>
        <v>TrendMart Tirunelveli Flagship</v>
      </c>
      <c r="Y765" t="str">
        <f>IFERROR(INDEX(Stores!$E:$E,MATCH(E765,Stores!$A:$A,0)),"Unknown")</f>
        <v>South Zone 1</v>
      </c>
      <c r="Z765" t="str">
        <f>IFERROR(INDEX(Customers!$J:$J,MATCH(C765,Customers!$A:$A,0)),"Unknown")</f>
        <v>Silver</v>
      </c>
      <c r="AA765" t="str">
        <f t="shared" si="11"/>
        <v>2024-04</v>
      </c>
      <c r="AB765" t="str">
        <f>IFERROR(INDEX(Products!$I:$I,MATCH(D765,Products!$A:$A,0)),"Unknown")</f>
        <v>SUP070</v>
      </c>
    </row>
    <row r="766" spans="1:28" x14ac:dyDescent="0.25">
      <c r="A766" t="s">
        <v>2258</v>
      </c>
      <c r="B766" s="20">
        <v>45561</v>
      </c>
      <c r="C766" t="s">
        <v>1245</v>
      </c>
      <c r="D766" t="s">
        <v>717</v>
      </c>
      <c r="E766" t="s">
        <v>334</v>
      </c>
      <c r="F766" t="s">
        <v>618</v>
      </c>
      <c r="G766">
        <v>4</v>
      </c>
      <c r="H766" s="21">
        <v>1646.33</v>
      </c>
      <c r="I766">
        <v>15</v>
      </c>
      <c r="J766" s="21">
        <v>987.8</v>
      </c>
      <c r="K766">
        <v>12</v>
      </c>
      <c r="L766" s="21">
        <v>671.7</v>
      </c>
      <c r="M766" s="21">
        <v>6269.22</v>
      </c>
      <c r="N766" s="21">
        <v>4533.08</v>
      </c>
      <c r="O766" s="21">
        <v>1064.44</v>
      </c>
      <c r="P766" t="s">
        <v>125</v>
      </c>
      <c r="Q766" t="s">
        <v>120</v>
      </c>
      <c r="R766" t="s">
        <v>151</v>
      </c>
      <c r="S766" t="s">
        <v>1842</v>
      </c>
      <c r="T766" t="s">
        <v>153</v>
      </c>
      <c r="U766" t="s">
        <v>154</v>
      </c>
      <c r="V766" t="str">
        <f>IFERROR(INDEX(Products!$C:$C,MATCH(D766,Products!$A:$A,0)),"Unknown")</f>
        <v>Women Dresses</v>
      </c>
      <c r="W766" t="str">
        <f>IFERROR(INDEX(Products!$E:$E,MATCH(D766,Products!$A:$A,0)),"Unknown")</f>
        <v>Pantaloons</v>
      </c>
      <c r="X766" t="str">
        <f>IFERROR(INDEX(Stores!$B:$B,MATCH(E766,Stores!$A:$A,0)),"Unknown")</f>
        <v>TrendMart Madurai High Street</v>
      </c>
      <c r="Y766" t="str">
        <f>IFERROR(INDEX(Stores!$E:$E,MATCH(E766,Stores!$A:$A,0)),"Unknown")</f>
        <v>South Zone 1</v>
      </c>
      <c r="Z766" t="str">
        <f>IFERROR(INDEX(Customers!$J:$J,MATCH(C766,Customers!$A:$A,0)),"Unknown")</f>
        <v>Regular</v>
      </c>
      <c r="AA766" t="str">
        <f t="shared" si="11"/>
        <v>2024-09</v>
      </c>
      <c r="AB766" t="str">
        <f>IFERROR(INDEX(Products!$I:$I,MATCH(D766,Products!$A:$A,0)),"Unknown")</f>
        <v>SUP046</v>
      </c>
    </row>
    <row r="767" spans="1:28" x14ac:dyDescent="0.25">
      <c r="A767" t="s">
        <v>2259</v>
      </c>
      <c r="B767" s="20">
        <v>45589</v>
      </c>
      <c r="C767" t="s">
        <v>716</v>
      </c>
      <c r="D767" t="s">
        <v>2006</v>
      </c>
      <c r="E767" t="s">
        <v>1426</v>
      </c>
      <c r="F767" t="s">
        <v>516</v>
      </c>
      <c r="G767">
        <v>3</v>
      </c>
      <c r="H767" s="21">
        <v>1560</v>
      </c>
      <c r="I767">
        <v>0</v>
      </c>
      <c r="J767" s="21">
        <v>0</v>
      </c>
      <c r="K767">
        <v>12</v>
      </c>
      <c r="L767" s="21">
        <v>561.6</v>
      </c>
      <c r="M767" s="21">
        <v>5241.6000000000004</v>
      </c>
      <c r="N767" s="21">
        <v>3135.57</v>
      </c>
      <c r="O767" s="21">
        <v>1544.43</v>
      </c>
      <c r="P767" t="s">
        <v>121</v>
      </c>
      <c r="Q767" t="s">
        <v>120</v>
      </c>
      <c r="R767" t="s">
        <v>151</v>
      </c>
      <c r="S767" t="s">
        <v>1706</v>
      </c>
      <c r="T767" t="s">
        <v>153</v>
      </c>
      <c r="U767" t="s">
        <v>154</v>
      </c>
      <c r="V767" t="str">
        <f>IFERROR(INDEX(Products!$C:$C,MATCH(D767,Products!$A:$A,0)),"Unknown")</f>
        <v>Winter Wear</v>
      </c>
      <c r="W767" t="str">
        <f>IFERROR(INDEX(Products!$E:$E,MATCH(D767,Products!$A:$A,0)),"Unknown")</f>
        <v>Fossil</v>
      </c>
      <c r="X767" t="str">
        <f>IFERROR(INDEX(Stores!$B:$B,MATCH(E767,Stores!$A:$A,0)),"Unknown")</f>
        <v>TrendMart Alappuzha Mall Kiosk</v>
      </c>
      <c r="Y767" t="str">
        <f>IFERROR(INDEX(Stores!$E:$E,MATCH(E767,Stores!$A:$A,0)),"Unknown")</f>
        <v>South Zone 1</v>
      </c>
      <c r="Z767" t="str">
        <f>IFERROR(INDEX(Customers!$J:$J,MATCH(C767,Customers!$A:$A,0)),"Unknown")</f>
        <v>Silver</v>
      </c>
      <c r="AA767" t="str">
        <f t="shared" si="11"/>
        <v>2024-10</v>
      </c>
      <c r="AB767" t="str">
        <f>IFERROR(INDEX(Products!$I:$I,MATCH(D767,Products!$A:$A,0)),"Unknown")</f>
        <v>SUP075</v>
      </c>
    </row>
    <row r="768" spans="1:28" x14ac:dyDescent="0.25">
      <c r="A768" t="s">
        <v>2260</v>
      </c>
      <c r="B768" s="20">
        <v>45557</v>
      </c>
      <c r="C768" t="s">
        <v>501</v>
      </c>
      <c r="D768" t="s">
        <v>1928</v>
      </c>
      <c r="E768" t="s">
        <v>296</v>
      </c>
      <c r="F768" t="s">
        <v>292</v>
      </c>
      <c r="G768">
        <v>1</v>
      </c>
      <c r="H768" s="21">
        <v>869.66</v>
      </c>
      <c r="I768">
        <v>10</v>
      </c>
      <c r="J768" s="21">
        <v>86.97</v>
      </c>
      <c r="K768">
        <v>5</v>
      </c>
      <c r="L768" s="21">
        <v>39.130000000000003</v>
      </c>
      <c r="M768" s="21">
        <v>821.82</v>
      </c>
      <c r="N768" s="21">
        <v>658.19</v>
      </c>
      <c r="O768" s="21">
        <v>124.5</v>
      </c>
      <c r="P768" t="s">
        <v>123</v>
      </c>
      <c r="Q768" t="s">
        <v>120</v>
      </c>
      <c r="R768" t="s">
        <v>151</v>
      </c>
      <c r="S768" t="s">
        <v>1089</v>
      </c>
      <c r="T768" t="s">
        <v>161</v>
      </c>
      <c r="U768" t="s">
        <v>154</v>
      </c>
      <c r="V768" t="str">
        <f>IFERROR(INDEX(Products!$C:$C,MATCH(D768,Products!$A:$A,0)),"Unknown")</f>
        <v>Men Jeans</v>
      </c>
      <c r="W768" t="str">
        <f>IFERROR(INDEX(Products!$E:$E,MATCH(D768,Products!$A:$A,0)),"Unknown")</f>
        <v>Skechers</v>
      </c>
      <c r="X768" t="str">
        <f>IFERROR(INDEX(Stores!$B:$B,MATCH(E768,Stores!$A:$A,0)),"Unknown")</f>
        <v>TrendMart Kurnool Outlet</v>
      </c>
      <c r="Y768" t="str">
        <f>IFERROR(INDEX(Stores!$E:$E,MATCH(E768,Stores!$A:$A,0)),"Unknown")</f>
        <v>South Zone 3</v>
      </c>
      <c r="Z768" t="str">
        <f>IFERROR(INDEX(Customers!$J:$J,MATCH(C768,Customers!$A:$A,0)),"Unknown")</f>
        <v>Regular</v>
      </c>
      <c r="AA768" t="str">
        <f t="shared" si="11"/>
        <v>2024-09</v>
      </c>
      <c r="AB768" t="str">
        <f>IFERROR(INDEX(Products!$I:$I,MATCH(D768,Products!$A:$A,0)),"Unknown")</f>
        <v>SUP015</v>
      </c>
    </row>
    <row r="769" spans="1:28" x14ac:dyDescent="0.25">
      <c r="A769" t="s">
        <v>2261</v>
      </c>
      <c r="B769" s="20">
        <v>45524</v>
      </c>
      <c r="C769" t="s">
        <v>1043</v>
      </c>
      <c r="D769" t="s">
        <v>531</v>
      </c>
      <c r="E769" t="s">
        <v>86</v>
      </c>
      <c r="F769" t="s">
        <v>462</v>
      </c>
      <c r="G769">
        <v>3</v>
      </c>
      <c r="H769" s="21">
        <v>2994.53</v>
      </c>
      <c r="I769">
        <v>5</v>
      </c>
      <c r="J769" s="21">
        <v>449.18</v>
      </c>
      <c r="K769">
        <v>12</v>
      </c>
      <c r="L769" s="21">
        <v>1024.1300000000001</v>
      </c>
      <c r="M769" s="21">
        <v>9558.5400000000009</v>
      </c>
      <c r="N769" s="21">
        <v>6102.03</v>
      </c>
      <c r="O769" s="21">
        <v>2432.38</v>
      </c>
      <c r="P769" t="s">
        <v>125</v>
      </c>
      <c r="Q769" t="s">
        <v>122</v>
      </c>
      <c r="R769" t="s">
        <v>313</v>
      </c>
      <c r="S769" t="s">
        <v>789</v>
      </c>
      <c r="T769" t="s">
        <v>153</v>
      </c>
      <c r="U769" t="s">
        <v>154</v>
      </c>
      <c r="V769" t="str">
        <f>IFERROR(INDEX(Products!$C:$C,MATCH(D769,Products!$A:$A,0)),"Unknown")</f>
        <v>Handbags</v>
      </c>
      <c r="W769" t="str">
        <f>IFERROR(INDEX(Products!$E:$E,MATCH(D769,Products!$A:$A,0)),"Unknown")</f>
        <v>GRT Jewellers</v>
      </c>
      <c r="X769" t="str">
        <f>IFERROR(INDEX(Stores!$B:$B,MATCH(E769,Stores!$A:$A,0)),"Unknown")</f>
        <v>TrendMart Warangal High Street</v>
      </c>
      <c r="Y769" t="str">
        <f>IFERROR(INDEX(Stores!$E:$E,MATCH(E769,Stores!$A:$A,0)),"Unknown")</f>
        <v>South Zone 2</v>
      </c>
      <c r="Z769" t="str">
        <f>IFERROR(INDEX(Customers!$J:$J,MATCH(C769,Customers!$A:$A,0)),"Unknown")</f>
        <v>Silver</v>
      </c>
      <c r="AA769" t="str">
        <f t="shared" si="11"/>
        <v>2024-08</v>
      </c>
      <c r="AB769" t="str">
        <f>IFERROR(INDEX(Products!$I:$I,MATCH(D769,Products!$A:$A,0)),"Unknown")</f>
        <v>SUP047</v>
      </c>
    </row>
    <row r="770" spans="1:28" x14ac:dyDescent="0.25">
      <c r="A770" t="s">
        <v>2262</v>
      </c>
      <c r="B770" s="20">
        <v>45683</v>
      </c>
      <c r="C770" t="s">
        <v>2263</v>
      </c>
      <c r="D770" t="s">
        <v>2264</v>
      </c>
      <c r="E770" t="s">
        <v>1442</v>
      </c>
      <c r="F770" t="s">
        <v>377</v>
      </c>
      <c r="G770">
        <v>3</v>
      </c>
      <c r="H770" s="21">
        <v>1088.1099999999999</v>
      </c>
      <c r="I770">
        <v>30</v>
      </c>
      <c r="J770" s="21">
        <v>979.3</v>
      </c>
      <c r="K770">
        <v>12</v>
      </c>
      <c r="L770" s="21">
        <v>274.2</v>
      </c>
      <c r="M770" s="21">
        <v>2559.23</v>
      </c>
      <c r="N770" s="21">
        <v>2261.19</v>
      </c>
      <c r="O770" s="21">
        <v>23.84</v>
      </c>
      <c r="P770" t="s">
        <v>124</v>
      </c>
      <c r="Q770" t="s">
        <v>122</v>
      </c>
      <c r="R770" t="s">
        <v>151</v>
      </c>
      <c r="S770" t="s">
        <v>2265</v>
      </c>
      <c r="T770" t="s">
        <v>161</v>
      </c>
      <c r="U770" t="s">
        <v>154</v>
      </c>
      <c r="V770" t="str">
        <f>IFERROR(INDEX(Products!$C:$C,MATCH(D770,Products!$A:$A,0)),"Unknown")</f>
        <v>Belts</v>
      </c>
      <c r="W770" t="str">
        <f>IFERROR(INDEX(Products!$E:$E,MATCH(D770,Products!$A:$A,0)),"Unknown")</f>
        <v>Liberty</v>
      </c>
      <c r="X770" t="str">
        <f>IFERROR(INDEX(Stores!$B:$B,MATCH(E770,Stores!$A:$A,0)),"Unknown")</f>
        <v>TrendMart Vellore High Street</v>
      </c>
      <c r="Y770" t="str">
        <f>IFERROR(INDEX(Stores!$E:$E,MATCH(E770,Stores!$A:$A,0)),"Unknown")</f>
        <v>South Zone 1</v>
      </c>
      <c r="Z770" t="str">
        <f>IFERROR(INDEX(Customers!$J:$J,MATCH(C770,Customers!$A:$A,0)),"Unknown")</f>
        <v>Silver</v>
      </c>
      <c r="AA770" t="str">
        <f t="shared" ref="AA770:AA833" si="12">TEXT(B770,"YYYY-MM")</f>
        <v>2025-01</v>
      </c>
      <c r="AB770" t="str">
        <f>IFERROR(INDEX(Products!$I:$I,MATCH(D770,Products!$A:$A,0)),"Unknown")</f>
        <v>SUP063</v>
      </c>
    </row>
    <row r="771" spans="1:28" x14ac:dyDescent="0.25">
      <c r="A771" t="s">
        <v>2266</v>
      </c>
      <c r="B771" s="20">
        <v>45621</v>
      </c>
      <c r="C771" t="s">
        <v>992</v>
      </c>
      <c r="D771" t="s">
        <v>220</v>
      </c>
      <c r="E771" t="s">
        <v>823</v>
      </c>
      <c r="F771" t="s">
        <v>344</v>
      </c>
      <c r="G771">
        <v>4</v>
      </c>
      <c r="H771" s="21">
        <v>5820.94</v>
      </c>
      <c r="I771">
        <v>0</v>
      </c>
      <c r="J771" s="21">
        <v>0</v>
      </c>
      <c r="K771">
        <v>12</v>
      </c>
      <c r="L771" s="21">
        <v>2794.05</v>
      </c>
      <c r="M771" s="21">
        <v>26077.81</v>
      </c>
      <c r="N771" s="21">
        <v>15883.44</v>
      </c>
      <c r="O771" s="21">
        <v>7400.32</v>
      </c>
      <c r="P771" t="s">
        <v>126</v>
      </c>
      <c r="Q771" t="s">
        <v>122</v>
      </c>
      <c r="R771" t="s">
        <v>151</v>
      </c>
      <c r="S771" t="s">
        <v>1499</v>
      </c>
      <c r="T771" t="s">
        <v>153</v>
      </c>
      <c r="U771" t="s">
        <v>154</v>
      </c>
      <c r="V771" t="str">
        <f>IFERROR(INDEX(Products!$C:$C,MATCH(D771,Products!$A:$A,0)),"Unknown")</f>
        <v>Watches</v>
      </c>
      <c r="W771" t="str">
        <f>IFERROR(INDEX(Products!$E:$E,MATCH(D771,Products!$A:$A,0)),"Unknown")</f>
        <v>Global Desi</v>
      </c>
      <c r="X771" t="str">
        <f>IFERROR(INDEX(Stores!$B:$B,MATCH(E771,Stores!$A:$A,0)),"Unknown")</f>
        <v>TrendMart Thoothukudi Mall Kiosk</v>
      </c>
      <c r="Y771" t="str">
        <f>IFERROR(INDEX(Stores!$E:$E,MATCH(E771,Stores!$A:$A,0)),"Unknown")</f>
        <v>South Zone 1</v>
      </c>
      <c r="Z771" t="str">
        <f>IFERROR(INDEX(Customers!$J:$J,MATCH(C771,Customers!$A:$A,0)),"Unknown")</f>
        <v>Regular</v>
      </c>
      <c r="AA771" t="str">
        <f t="shared" si="12"/>
        <v>2024-11</v>
      </c>
      <c r="AB771" t="str">
        <f>IFERROR(INDEX(Products!$I:$I,MATCH(D771,Products!$A:$A,0)),"Unknown")</f>
        <v>SUP055</v>
      </c>
    </row>
    <row r="772" spans="1:28" x14ac:dyDescent="0.25">
      <c r="A772" t="s">
        <v>2267</v>
      </c>
      <c r="B772" s="20">
        <v>45560</v>
      </c>
      <c r="C772" t="s">
        <v>2268</v>
      </c>
      <c r="D772" t="s">
        <v>1816</v>
      </c>
      <c r="E772" t="s">
        <v>84</v>
      </c>
      <c r="F772" t="s">
        <v>176</v>
      </c>
      <c r="G772">
        <v>4</v>
      </c>
      <c r="H772" s="21">
        <v>1262.9000000000001</v>
      </c>
      <c r="I772">
        <v>30</v>
      </c>
      <c r="J772" s="21">
        <v>1515.48</v>
      </c>
      <c r="K772">
        <v>12</v>
      </c>
      <c r="L772" s="21">
        <v>424.33</v>
      </c>
      <c r="M772" s="21">
        <v>3960.45</v>
      </c>
      <c r="N772" s="21">
        <v>3625.2</v>
      </c>
      <c r="O772" s="21">
        <v>-89.08</v>
      </c>
      <c r="P772" t="s">
        <v>125</v>
      </c>
      <c r="Q772" t="s">
        <v>120</v>
      </c>
      <c r="R772" t="s">
        <v>151</v>
      </c>
      <c r="S772" t="s">
        <v>2147</v>
      </c>
      <c r="T772" t="s">
        <v>153</v>
      </c>
      <c r="U772" t="s">
        <v>184</v>
      </c>
      <c r="V772" t="str">
        <f>IFERROR(INDEX(Products!$C:$C,MATCH(D772,Products!$A:$A,0)),"Unknown")</f>
        <v>Wallets</v>
      </c>
      <c r="W772" t="str">
        <f>IFERROR(INDEX(Products!$E:$E,MATCH(D772,Products!$A:$A,0)),"Unknown")</f>
        <v>Louis Philippe</v>
      </c>
      <c r="X772" t="str">
        <f>IFERROR(INDEX(Stores!$B:$B,MATCH(E772,Stores!$A:$A,0)),"Unknown")</f>
        <v>TrendMart Tirupati Standard</v>
      </c>
      <c r="Y772" t="str">
        <f>IFERROR(INDEX(Stores!$E:$E,MATCH(E772,Stores!$A:$A,0)),"Unknown")</f>
        <v>South Zone 3</v>
      </c>
      <c r="Z772" t="str">
        <f>IFERROR(INDEX(Customers!$J:$J,MATCH(C772,Customers!$A:$A,0)),"Unknown")</f>
        <v>Gold</v>
      </c>
      <c r="AA772" t="str">
        <f t="shared" si="12"/>
        <v>2024-09</v>
      </c>
      <c r="AB772" t="str">
        <f>IFERROR(INDEX(Products!$I:$I,MATCH(D772,Products!$A:$A,0)),"Unknown")</f>
        <v>SUP076</v>
      </c>
    </row>
    <row r="773" spans="1:28" x14ac:dyDescent="0.25">
      <c r="A773" t="s">
        <v>2269</v>
      </c>
      <c r="B773" s="20">
        <v>45607</v>
      </c>
      <c r="C773" t="s">
        <v>2270</v>
      </c>
      <c r="D773" t="s">
        <v>801</v>
      </c>
      <c r="E773" t="s">
        <v>477</v>
      </c>
      <c r="F773" t="s">
        <v>532</v>
      </c>
      <c r="G773">
        <v>2</v>
      </c>
      <c r="H773" s="21">
        <v>633.66</v>
      </c>
      <c r="I773">
        <v>30</v>
      </c>
      <c r="J773" s="21">
        <v>380.2</v>
      </c>
      <c r="K773">
        <v>5</v>
      </c>
      <c r="L773" s="21">
        <v>44.36</v>
      </c>
      <c r="M773" s="21">
        <v>931.48</v>
      </c>
      <c r="N773" s="21">
        <v>849.52</v>
      </c>
      <c r="O773" s="21">
        <v>37.6</v>
      </c>
      <c r="P773" t="s">
        <v>124</v>
      </c>
      <c r="Q773" t="s">
        <v>120</v>
      </c>
      <c r="R773" t="s">
        <v>151</v>
      </c>
      <c r="S773" t="s">
        <v>1508</v>
      </c>
      <c r="T773" t="s">
        <v>153</v>
      </c>
      <c r="U773" t="s">
        <v>154</v>
      </c>
      <c r="V773" t="str">
        <f>IFERROR(INDEX(Products!$C:$C,MATCH(D773,Products!$A:$A,0)),"Unknown")</f>
        <v>Kids Wear</v>
      </c>
      <c r="W773" t="str">
        <f>IFERROR(INDEX(Products!$E:$E,MATCH(D773,Products!$A:$A,0)),"Unknown")</f>
        <v>Being Human</v>
      </c>
      <c r="X773" t="str">
        <f>IFERROR(INDEX(Stores!$B:$B,MATCH(E773,Stores!$A:$A,0)),"Unknown")</f>
        <v>TrendMart Hubballi Standard</v>
      </c>
      <c r="Y773" t="str">
        <f>IFERROR(INDEX(Stores!$E:$E,MATCH(E773,Stores!$A:$A,0)),"Unknown")</f>
        <v>South Zone 2</v>
      </c>
      <c r="Z773" t="str">
        <f>IFERROR(INDEX(Customers!$J:$J,MATCH(C773,Customers!$A:$A,0)),"Unknown")</f>
        <v>Platinum</v>
      </c>
      <c r="AA773" t="str">
        <f t="shared" si="12"/>
        <v>2024-11</v>
      </c>
      <c r="AB773" t="str">
        <f>IFERROR(INDEX(Products!$I:$I,MATCH(D773,Products!$A:$A,0)),"Unknown")</f>
        <v>SUP063</v>
      </c>
    </row>
    <row r="774" spans="1:28" x14ac:dyDescent="0.25">
      <c r="A774" t="s">
        <v>2271</v>
      </c>
      <c r="B774" s="20">
        <v>45538</v>
      </c>
      <c r="C774" t="s">
        <v>930</v>
      </c>
      <c r="D774" t="s">
        <v>666</v>
      </c>
      <c r="E774" t="s">
        <v>99</v>
      </c>
      <c r="F774" t="s">
        <v>253</v>
      </c>
      <c r="G774">
        <v>1</v>
      </c>
      <c r="H774" s="21">
        <v>1279.44</v>
      </c>
      <c r="I774">
        <v>0</v>
      </c>
      <c r="J774" s="21">
        <v>0</v>
      </c>
      <c r="K774">
        <v>12</v>
      </c>
      <c r="L774" s="21">
        <v>153.53</v>
      </c>
      <c r="M774" s="21">
        <v>1432.97</v>
      </c>
      <c r="N774" s="21">
        <v>904.21</v>
      </c>
      <c r="O774" s="21">
        <v>375.23</v>
      </c>
      <c r="P774" t="s">
        <v>123</v>
      </c>
      <c r="Q774" t="s">
        <v>122</v>
      </c>
      <c r="R774" t="s">
        <v>151</v>
      </c>
      <c r="S774" t="s">
        <v>2272</v>
      </c>
      <c r="T774" t="s">
        <v>153</v>
      </c>
      <c r="U774" t="s">
        <v>154</v>
      </c>
      <c r="V774" t="str">
        <f>IFERROR(INDEX(Products!$C:$C,MATCH(D774,Products!$A:$A,0)),"Unknown")</f>
        <v>Wallets</v>
      </c>
      <c r="W774" t="str">
        <f>IFERROR(INDEX(Products!$E:$E,MATCH(D774,Products!$A:$A,0)),"Unknown")</f>
        <v>Louis Philippe</v>
      </c>
      <c r="X774" t="str">
        <f>IFERROR(INDEX(Stores!$B:$B,MATCH(E774,Stores!$A:$A,0)),"Unknown")</f>
        <v>TrendMart Hubballi Standard</v>
      </c>
      <c r="Y774" t="str">
        <f>IFERROR(INDEX(Stores!$E:$E,MATCH(E774,Stores!$A:$A,0)),"Unknown")</f>
        <v>South Zone 2</v>
      </c>
      <c r="Z774" t="str">
        <f>IFERROR(INDEX(Customers!$J:$J,MATCH(C774,Customers!$A:$A,0)),"Unknown")</f>
        <v>Silver</v>
      </c>
      <c r="AA774" t="str">
        <f t="shared" si="12"/>
        <v>2024-09</v>
      </c>
      <c r="AB774" t="str">
        <f>IFERROR(INDEX(Products!$I:$I,MATCH(D774,Products!$A:$A,0)),"Unknown")</f>
        <v>SUP039</v>
      </c>
    </row>
    <row r="775" spans="1:28" x14ac:dyDescent="0.25">
      <c r="A775" t="s">
        <v>2273</v>
      </c>
      <c r="B775" s="20">
        <v>45583</v>
      </c>
      <c r="C775" t="s">
        <v>284</v>
      </c>
      <c r="D775" t="s">
        <v>805</v>
      </c>
      <c r="E775" t="s">
        <v>810</v>
      </c>
      <c r="F775" t="s">
        <v>292</v>
      </c>
      <c r="G775">
        <v>3</v>
      </c>
      <c r="H775" s="21">
        <v>1069.68</v>
      </c>
      <c r="I775">
        <v>0</v>
      </c>
      <c r="J775" s="21">
        <v>0</v>
      </c>
      <c r="K775">
        <v>12</v>
      </c>
      <c r="L775" s="21">
        <v>385.08</v>
      </c>
      <c r="M775" s="21">
        <v>3594.12</v>
      </c>
      <c r="N775" s="21">
        <v>1751.58</v>
      </c>
      <c r="O775" s="21">
        <v>1457.46</v>
      </c>
      <c r="P775" t="s">
        <v>121</v>
      </c>
      <c r="Q775" t="s">
        <v>122</v>
      </c>
      <c r="R775" t="s">
        <v>151</v>
      </c>
      <c r="S775" t="s">
        <v>2274</v>
      </c>
      <c r="T775" t="s">
        <v>153</v>
      </c>
      <c r="U775" t="s">
        <v>154</v>
      </c>
      <c r="V775" t="str">
        <f>IFERROR(INDEX(Products!$C:$C,MATCH(D775,Products!$A:$A,0)),"Unknown")</f>
        <v>Accessories</v>
      </c>
      <c r="W775" t="str">
        <f>IFERROR(INDEX(Products!$E:$E,MATCH(D775,Products!$A:$A,0)),"Unknown")</f>
        <v>Being Human</v>
      </c>
      <c r="X775" t="str">
        <f>IFERROR(INDEX(Stores!$B:$B,MATCH(E775,Stores!$A:$A,0)),"Unknown")</f>
        <v>TrendMart Nizamabad Standard</v>
      </c>
      <c r="Y775" t="str">
        <f>IFERROR(INDEX(Stores!$E:$E,MATCH(E775,Stores!$A:$A,0)),"Unknown")</f>
        <v>South Zone 2</v>
      </c>
      <c r="Z775" t="str">
        <f>IFERROR(INDEX(Customers!$J:$J,MATCH(C775,Customers!$A:$A,0)),"Unknown")</f>
        <v>Regular</v>
      </c>
      <c r="AA775" t="str">
        <f t="shared" si="12"/>
        <v>2024-10</v>
      </c>
      <c r="AB775" t="str">
        <f>IFERROR(INDEX(Products!$I:$I,MATCH(D775,Products!$A:$A,0)),"Unknown")</f>
        <v>SUP069</v>
      </c>
    </row>
    <row r="776" spans="1:28" x14ac:dyDescent="0.25">
      <c r="A776" t="s">
        <v>2275</v>
      </c>
      <c r="B776" s="20">
        <v>45520</v>
      </c>
      <c r="C776" t="s">
        <v>2276</v>
      </c>
      <c r="D776" t="s">
        <v>386</v>
      </c>
      <c r="E776" t="s">
        <v>495</v>
      </c>
      <c r="F776" t="s">
        <v>532</v>
      </c>
      <c r="G776">
        <v>3</v>
      </c>
      <c r="H776" s="21">
        <v>1434.78</v>
      </c>
      <c r="I776">
        <v>10</v>
      </c>
      <c r="J776" s="21">
        <v>430.43</v>
      </c>
      <c r="K776">
        <v>12</v>
      </c>
      <c r="L776" s="21">
        <v>464.87</v>
      </c>
      <c r="M776" s="21">
        <v>4338.78</v>
      </c>
      <c r="N776" s="21">
        <v>3039.78</v>
      </c>
      <c r="O776" s="21">
        <v>834.13</v>
      </c>
      <c r="P776" t="s">
        <v>121</v>
      </c>
      <c r="Q776" t="s">
        <v>120</v>
      </c>
      <c r="R776" t="s">
        <v>313</v>
      </c>
      <c r="S776" t="s">
        <v>1235</v>
      </c>
      <c r="T776" t="s">
        <v>153</v>
      </c>
      <c r="U776" t="s">
        <v>154</v>
      </c>
      <c r="V776" t="str">
        <f>IFERROR(INDEX(Products!$C:$C,MATCH(D776,Products!$A:$A,0)),"Unknown")</f>
        <v>Winter Wear</v>
      </c>
      <c r="W776" t="str">
        <f>IFERROR(INDEX(Products!$E:$E,MATCH(D776,Products!$A:$A,0)),"Unknown")</f>
        <v>Blackberrys</v>
      </c>
      <c r="X776" t="str">
        <f>IFERROR(INDEX(Stores!$B:$B,MATCH(E776,Stores!$A:$A,0)),"Unknown")</f>
        <v>TrendMart Visakhapatnam Flagship</v>
      </c>
      <c r="Y776" t="str">
        <f>IFERROR(INDEX(Stores!$E:$E,MATCH(E776,Stores!$A:$A,0)),"Unknown")</f>
        <v>South Zone 3</v>
      </c>
      <c r="Z776" t="str">
        <f>IFERROR(INDEX(Customers!$J:$J,MATCH(C776,Customers!$A:$A,0)),"Unknown")</f>
        <v>Gold</v>
      </c>
      <c r="AA776" t="str">
        <f t="shared" si="12"/>
        <v>2024-08</v>
      </c>
      <c r="AB776" t="str">
        <f>IFERROR(INDEX(Products!$I:$I,MATCH(D776,Products!$A:$A,0)),"Unknown")</f>
        <v>SUP051</v>
      </c>
    </row>
    <row r="777" spans="1:28" x14ac:dyDescent="0.25">
      <c r="A777" t="s">
        <v>2277</v>
      </c>
      <c r="B777" s="20">
        <v>45451</v>
      </c>
      <c r="C777" t="s">
        <v>1676</v>
      </c>
      <c r="D777" t="s">
        <v>169</v>
      </c>
      <c r="E777" t="s">
        <v>1512</v>
      </c>
      <c r="F777" t="s">
        <v>532</v>
      </c>
      <c r="G777">
        <v>4</v>
      </c>
      <c r="H777" s="21">
        <v>5474.28</v>
      </c>
      <c r="I777">
        <v>5</v>
      </c>
      <c r="J777" s="21">
        <v>1094.8599999999999</v>
      </c>
      <c r="K777">
        <v>12</v>
      </c>
      <c r="L777" s="21">
        <v>2496.27</v>
      </c>
      <c r="M777" s="21">
        <v>23298.53</v>
      </c>
      <c r="N777" s="21">
        <v>13483.2</v>
      </c>
      <c r="O777" s="21">
        <v>7319.06</v>
      </c>
      <c r="P777" t="s">
        <v>125</v>
      </c>
      <c r="Q777" t="s">
        <v>120</v>
      </c>
      <c r="R777" t="s">
        <v>151</v>
      </c>
      <c r="S777" t="s">
        <v>1307</v>
      </c>
      <c r="T777" t="s">
        <v>161</v>
      </c>
      <c r="U777" t="s">
        <v>154</v>
      </c>
      <c r="V777" t="str">
        <f>IFERROR(INDEX(Products!$C:$C,MATCH(D777,Products!$A:$A,0)),"Unknown")</f>
        <v>Women Sarees</v>
      </c>
      <c r="W777" t="str">
        <f>IFERROR(INDEX(Products!$E:$E,MATCH(D777,Products!$A:$A,0)),"Unknown")</f>
        <v>Max Fashion</v>
      </c>
      <c r="X777" t="str">
        <f>IFERROR(INDEX(Stores!$B:$B,MATCH(E777,Stores!$A:$A,0)),"Unknown")</f>
        <v>TrendMart Erode Mall Kiosk</v>
      </c>
      <c r="Y777" t="str">
        <f>IFERROR(INDEX(Stores!$E:$E,MATCH(E777,Stores!$A:$A,0)),"Unknown")</f>
        <v>South Zone 1</v>
      </c>
      <c r="Z777" t="str">
        <f>IFERROR(INDEX(Customers!$J:$J,MATCH(C777,Customers!$A:$A,0)),"Unknown")</f>
        <v>Silver</v>
      </c>
      <c r="AA777" t="str">
        <f t="shared" si="12"/>
        <v>2024-06</v>
      </c>
      <c r="AB777" t="str">
        <f>IFERROR(INDEX(Products!$I:$I,MATCH(D777,Products!$A:$A,0)),"Unknown")</f>
        <v>SUP084</v>
      </c>
    </row>
    <row r="778" spans="1:28" x14ac:dyDescent="0.25">
      <c r="A778" t="s">
        <v>2278</v>
      </c>
      <c r="B778" s="20">
        <v>45731</v>
      </c>
      <c r="C778" t="s">
        <v>2279</v>
      </c>
      <c r="D778" t="s">
        <v>1292</v>
      </c>
      <c r="E778" t="s">
        <v>721</v>
      </c>
      <c r="F778" t="s">
        <v>292</v>
      </c>
      <c r="G778">
        <v>3</v>
      </c>
      <c r="H778" s="21">
        <v>613.08000000000004</v>
      </c>
      <c r="I778">
        <v>25</v>
      </c>
      <c r="J778" s="21">
        <v>459.81</v>
      </c>
      <c r="K778">
        <v>5</v>
      </c>
      <c r="L778" s="21">
        <v>68.97</v>
      </c>
      <c r="M778" s="21">
        <v>1448.4</v>
      </c>
      <c r="N778" s="21">
        <v>1046.25</v>
      </c>
      <c r="O778" s="21">
        <v>333.18</v>
      </c>
      <c r="P778" t="s">
        <v>123</v>
      </c>
      <c r="Q778" t="s">
        <v>120</v>
      </c>
      <c r="R778" t="s">
        <v>151</v>
      </c>
      <c r="S778" t="s">
        <v>682</v>
      </c>
      <c r="T778" t="s">
        <v>161</v>
      </c>
      <c r="U778" t="s">
        <v>154</v>
      </c>
      <c r="V778" t="str">
        <f>IFERROR(INDEX(Products!$C:$C,MATCH(D778,Products!$A:$A,0)),"Unknown")</f>
        <v>Men T-Shirts</v>
      </c>
      <c r="W778" t="str">
        <f>IFERROR(INDEX(Products!$E:$E,MATCH(D778,Products!$A:$A,0)),"Unknown")</f>
        <v>Metro Shoes</v>
      </c>
      <c r="X778" t="str">
        <f>IFERROR(INDEX(Stores!$B:$B,MATCH(E778,Stores!$A:$A,0)),"Unknown")</f>
        <v>TrendMart Kollam Flagship</v>
      </c>
      <c r="Y778" t="str">
        <f>IFERROR(INDEX(Stores!$E:$E,MATCH(E778,Stores!$A:$A,0)),"Unknown")</f>
        <v>South Zone 1</v>
      </c>
      <c r="Z778" t="str">
        <f>IFERROR(INDEX(Customers!$J:$J,MATCH(C778,Customers!$A:$A,0)),"Unknown")</f>
        <v>Silver</v>
      </c>
      <c r="AA778" t="str">
        <f t="shared" si="12"/>
        <v>2025-03</v>
      </c>
      <c r="AB778" t="str">
        <f>IFERROR(INDEX(Products!$I:$I,MATCH(D778,Products!$A:$A,0)),"Unknown")</f>
        <v>SUP024</v>
      </c>
    </row>
    <row r="779" spans="1:28" x14ac:dyDescent="0.25">
      <c r="A779" t="s">
        <v>2280</v>
      </c>
      <c r="B779" s="20">
        <v>45656</v>
      </c>
      <c r="C779" t="s">
        <v>324</v>
      </c>
      <c r="D779" t="s">
        <v>2281</v>
      </c>
      <c r="E779" t="s">
        <v>588</v>
      </c>
      <c r="F779" t="s">
        <v>176</v>
      </c>
      <c r="G779">
        <v>1</v>
      </c>
      <c r="H779" s="21">
        <v>613.29999999999995</v>
      </c>
      <c r="I779">
        <v>10</v>
      </c>
      <c r="J779" s="21">
        <v>61.33</v>
      </c>
      <c r="K779">
        <v>5</v>
      </c>
      <c r="L779" s="21">
        <v>27.6</v>
      </c>
      <c r="M779" s="21">
        <v>579.57000000000005</v>
      </c>
      <c r="N779" s="21">
        <v>373.27</v>
      </c>
      <c r="O779" s="21">
        <v>178.7</v>
      </c>
      <c r="P779" t="s">
        <v>121</v>
      </c>
      <c r="Q779" t="s">
        <v>120</v>
      </c>
      <c r="R779" t="s">
        <v>151</v>
      </c>
      <c r="S779" t="s">
        <v>555</v>
      </c>
      <c r="T779" t="s">
        <v>153</v>
      </c>
      <c r="U779" t="s">
        <v>154</v>
      </c>
      <c r="V779" t="str">
        <f>IFERROR(INDEX(Products!$C:$C,MATCH(D779,Products!$A:$A,0)),"Unknown")</f>
        <v>Men T-Shirts</v>
      </c>
      <c r="W779" t="str">
        <f>IFERROR(INDEX(Products!$E:$E,MATCH(D779,Products!$A:$A,0)),"Unknown")</f>
        <v>Indian Terrain</v>
      </c>
      <c r="X779" t="str">
        <f>IFERROR(INDEX(Stores!$B:$B,MATCH(E779,Stores!$A:$A,0)),"Unknown")</f>
        <v>TrendMart Nizamabad Standard</v>
      </c>
      <c r="Y779" t="str">
        <f>IFERROR(INDEX(Stores!$E:$E,MATCH(E779,Stores!$A:$A,0)),"Unknown")</f>
        <v>South Zone 2</v>
      </c>
      <c r="Z779" t="str">
        <f>IFERROR(INDEX(Customers!$J:$J,MATCH(C779,Customers!$A:$A,0)),"Unknown")</f>
        <v>Regular</v>
      </c>
      <c r="AA779" t="str">
        <f t="shared" si="12"/>
        <v>2024-12</v>
      </c>
      <c r="AB779" t="str">
        <f>IFERROR(INDEX(Products!$I:$I,MATCH(D779,Products!$A:$A,0)),"Unknown")</f>
        <v>SUP074</v>
      </c>
    </row>
    <row r="780" spans="1:28" x14ac:dyDescent="0.25">
      <c r="A780" t="s">
        <v>2282</v>
      </c>
      <c r="B780" s="20">
        <v>45567</v>
      </c>
      <c r="C780" t="s">
        <v>804</v>
      </c>
      <c r="D780" t="s">
        <v>1661</v>
      </c>
      <c r="E780" t="s">
        <v>1325</v>
      </c>
      <c r="F780" t="s">
        <v>189</v>
      </c>
      <c r="G780">
        <v>2</v>
      </c>
      <c r="H780" s="21">
        <v>870.03</v>
      </c>
      <c r="I780">
        <v>25</v>
      </c>
      <c r="J780" s="21">
        <v>435.01</v>
      </c>
      <c r="K780">
        <v>5</v>
      </c>
      <c r="L780" s="21">
        <v>65.25</v>
      </c>
      <c r="M780" s="21">
        <v>1370.3</v>
      </c>
      <c r="N780" s="21">
        <v>1322.68</v>
      </c>
      <c r="O780" s="21">
        <v>-17.63</v>
      </c>
      <c r="P780" t="s">
        <v>124</v>
      </c>
      <c r="Q780" t="s">
        <v>120</v>
      </c>
      <c r="R780" t="s">
        <v>151</v>
      </c>
      <c r="S780" t="s">
        <v>444</v>
      </c>
      <c r="T780" t="s">
        <v>153</v>
      </c>
      <c r="U780" t="s">
        <v>184</v>
      </c>
      <c r="V780" t="str">
        <f>IFERROR(INDEX(Products!$C:$C,MATCH(D780,Products!$A:$A,0)),"Unknown")</f>
        <v>Men Jeans</v>
      </c>
      <c r="W780" t="str">
        <f>IFERROR(INDEX(Products!$E:$E,MATCH(D780,Products!$A:$A,0)),"Unknown")</f>
        <v>Aurelia</v>
      </c>
      <c r="X780" t="str">
        <f>IFERROR(INDEX(Stores!$B:$B,MATCH(E780,Stores!$A:$A,0)),"Unknown")</f>
        <v>TrendMart Thrissur Standard</v>
      </c>
      <c r="Y780" t="str">
        <f>IFERROR(INDEX(Stores!$E:$E,MATCH(E780,Stores!$A:$A,0)),"Unknown")</f>
        <v>South Zone 1</v>
      </c>
      <c r="Z780" t="str">
        <f>IFERROR(INDEX(Customers!$J:$J,MATCH(C780,Customers!$A:$A,0)),"Unknown")</f>
        <v>Gold</v>
      </c>
      <c r="AA780" t="str">
        <f t="shared" si="12"/>
        <v>2024-10</v>
      </c>
      <c r="AB780" t="str">
        <f>IFERROR(INDEX(Products!$I:$I,MATCH(D780,Products!$A:$A,0)),"Unknown")</f>
        <v>SUP053</v>
      </c>
    </row>
    <row r="781" spans="1:28" x14ac:dyDescent="0.25">
      <c r="A781" t="s">
        <v>2283</v>
      </c>
      <c r="B781" s="20">
        <v>45612</v>
      </c>
      <c r="C781" t="s">
        <v>1274</v>
      </c>
      <c r="D781" t="s">
        <v>285</v>
      </c>
      <c r="E781" t="s">
        <v>999</v>
      </c>
      <c r="F781" t="s">
        <v>397</v>
      </c>
      <c r="G781">
        <v>3</v>
      </c>
      <c r="H781" s="21">
        <v>757.04</v>
      </c>
      <c r="I781">
        <v>25</v>
      </c>
      <c r="J781" s="21">
        <v>567.78</v>
      </c>
      <c r="K781">
        <v>5</v>
      </c>
      <c r="L781" s="21">
        <v>85.17</v>
      </c>
      <c r="M781" s="21">
        <v>1788.51</v>
      </c>
      <c r="N781" s="21">
        <v>1497.93</v>
      </c>
      <c r="O781" s="21">
        <v>205.41</v>
      </c>
      <c r="P781" t="s">
        <v>126</v>
      </c>
      <c r="Q781" t="s">
        <v>120</v>
      </c>
      <c r="R781" t="s">
        <v>151</v>
      </c>
      <c r="S781" t="s">
        <v>2251</v>
      </c>
      <c r="T781" t="s">
        <v>161</v>
      </c>
      <c r="U781" t="s">
        <v>154</v>
      </c>
      <c r="V781" t="str">
        <f>IFERROR(INDEX(Products!$C:$C,MATCH(D781,Products!$A:$A,0)),"Unknown")</f>
        <v>Kids Wear</v>
      </c>
      <c r="W781" t="str">
        <f>IFERROR(INDEX(Products!$E:$E,MATCH(D781,Products!$A:$A,0)),"Unknown")</f>
        <v>Global Desi</v>
      </c>
      <c r="X781" t="str">
        <f>IFERROR(INDEX(Stores!$B:$B,MATCH(E781,Stores!$A:$A,0)),"Unknown")</f>
        <v>TrendMart Tumakuru Standard</v>
      </c>
      <c r="Y781" t="str">
        <f>IFERROR(INDEX(Stores!$E:$E,MATCH(E781,Stores!$A:$A,0)),"Unknown")</f>
        <v>South Zone 2</v>
      </c>
      <c r="Z781" t="str">
        <f>IFERROR(INDEX(Customers!$J:$J,MATCH(C781,Customers!$A:$A,0)),"Unknown")</f>
        <v>Regular</v>
      </c>
      <c r="AA781" t="str">
        <f t="shared" si="12"/>
        <v>2024-11</v>
      </c>
      <c r="AB781" t="str">
        <f>IFERROR(INDEX(Products!$I:$I,MATCH(D781,Products!$A:$A,0)),"Unknown")</f>
        <v>SUP008</v>
      </c>
    </row>
    <row r="782" spans="1:28" x14ac:dyDescent="0.25">
      <c r="A782" t="s">
        <v>2284</v>
      </c>
      <c r="B782" s="20">
        <v>45430</v>
      </c>
      <c r="C782" t="s">
        <v>840</v>
      </c>
      <c r="D782" t="s">
        <v>433</v>
      </c>
      <c r="E782" t="s">
        <v>461</v>
      </c>
      <c r="F782" t="s">
        <v>221</v>
      </c>
      <c r="G782">
        <v>2</v>
      </c>
      <c r="H782" s="21">
        <v>975.64</v>
      </c>
      <c r="I782">
        <v>5</v>
      </c>
      <c r="J782" s="21">
        <v>97.56</v>
      </c>
      <c r="K782">
        <v>5</v>
      </c>
      <c r="L782" s="21">
        <v>92.69</v>
      </c>
      <c r="M782" s="21">
        <v>1946.41</v>
      </c>
      <c r="N782" s="21">
        <v>1146.18</v>
      </c>
      <c r="O782" s="21">
        <v>707.54</v>
      </c>
      <c r="P782" t="s">
        <v>121</v>
      </c>
      <c r="Q782" t="s">
        <v>120</v>
      </c>
      <c r="R782" t="s">
        <v>151</v>
      </c>
      <c r="S782" t="s">
        <v>2285</v>
      </c>
      <c r="T782" t="s">
        <v>161</v>
      </c>
      <c r="U782" t="s">
        <v>154</v>
      </c>
      <c r="V782" t="str">
        <f>IFERROR(INDEX(Products!$C:$C,MATCH(D782,Products!$A:$A,0)),"Unknown")</f>
        <v>Women Kurtis</v>
      </c>
      <c r="W782" t="str">
        <f>IFERROR(INDEX(Products!$E:$E,MATCH(D782,Products!$A:$A,0)),"Unknown")</f>
        <v>Nike</v>
      </c>
      <c r="X782" t="str">
        <f>IFERROR(INDEX(Stores!$B:$B,MATCH(E782,Stores!$A:$A,0)),"Unknown")</f>
        <v>TrendMart Visakhapatnam High Street</v>
      </c>
      <c r="Y782" t="str">
        <f>IFERROR(INDEX(Stores!$E:$E,MATCH(E782,Stores!$A:$A,0)),"Unknown")</f>
        <v>South Zone 3</v>
      </c>
      <c r="Z782" t="str">
        <f>IFERROR(INDEX(Customers!$J:$J,MATCH(C782,Customers!$A:$A,0)),"Unknown")</f>
        <v>Platinum</v>
      </c>
      <c r="AA782" t="str">
        <f t="shared" si="12"/>
        <v>2024-05</v>
      </c>
      <c r="AB782" t="str">
        <f>IFERROR(INDEX(Products!$I:$I,MATCH(D782,Products!$A:$A,0)),"Unknown")</f>
        <v>SUP012</v>
      </c>
    </row>
    <row r="783" spans="1:28" x14ac:dyDescent="0.25">
      <c r="A783" t="s">
        <v>2286</v>
      </c>
      <c r="B783" s="20">
        <v>45552</v>
      </c>
      <c r="C783" t="s">
        <v>1167</v>
      </c>
      <c r="D783" t="s">
        <v>654</v>
      </c>
      <c r="E783" t="s">
        <v>461</v>
      </c>
      <c r="F783" t="s">
        <v>443</v>
      </c>
      <c r="G783">
        <v>1</v>
      </c>
      <c r="H783" s="21">
        <v>1218.5</v>
      </c>
      <c r="I783">
        <v>15</v>
      </c>
      <c r="J783" s="21">
        <v>182.78</v>
      </c>
      <c r="K783">
        <v>12</v>
      </c>
      <c r="L783" s="21">
        <v>124.29</v>
      </c>
      <c r="M783" s="21">
        <v>1160.01</v>
      </c>
      <c r="N783" s="21">
        <v>865.42</v>
      </c>
      <c r="O783" s="21">
        <v>170.3</v>
      </c>
      <c r="P783" t="s">
        <v>121</v>
      </c>
      <c r="Q783" t="s">
        <v>122</v>
      </c>
      <c r="R783" t="s">
        <v>151</v>
      </c>
      <c r="S783" t="s">
        <v>1895</v>
      </c>
      <c r="T783" t="s">
        <v>153</v>
      </c>
      <c r="U783" t="s">
        <v>154</v>
      </c>
      <c r="V783" t="str">
        <f>IFERROR(INDEX(Products!$C:$C,MATCH(D783,Products!$A:$A,0)),"Unknown")</f>
        <v>Women Dresses</v>
      </c>
      <c r="W783" t="str">
        <f>IFERROR(INDEX(Products!$E:$E,MATCH(D783,Products!$A:$A,0)),"Unknown")</f>
        <v>Indian Terrain</v>
      </c>
      <c r="X783" t="str">
        <f>IFERROR(INDEX(Stores!$B:$B,MATCH(E783,Stores!$A:$A,0)),"Unknown")</f>
        <v>TrendMart Visakhapatnam High Street</v>
      </c>
      <c r="Y783" t="str">
        <f>IFERROR(INDEX(Stores!$E:$E,MATCH(E783,Stores!$A:$A,0)),"Unknown")</f>
        <v>South Zone 3</v>
      </c>
      <c r="Z783" t="str">
        <f>IFERROR(INDEX(Customers!$J:$J,MATCH(C783,Customers!$A:$A,0)),"Unknown")</f>
        <v>Regular</v>
      </c>
      <c r="AA783" t="str">
        <f t="shared" si="12"/>
        <v>2024-09</v>
      </c>
      <c r="AB783" t="str">
        <f>IFERROR(INDEX(Products!$I:$I,MATCH(D783,Products!$A:$A,0)),"Unknown")</f>
        <v>SUP049</v>
      </c>
    </row>
    <row r="784" spans="1:28" x14ac:dyDescent="0.25">
      <c r="A784" t="s">
        <v>2287</v>
      </c>
      <c r="B784" s="20">
        <v>45700</v>
      </c>
      <c r="C784" t="s">
        <v>1210</v>
      </c>
      <c r="D784" t="s">
        <v>1130</v>
      </c>
      <c r="E784" t="s">
        <v>1074</v>
      </c>
      <c r="F784" t="s">
        <v>281</v>
      </c>
      <c r="G784">
        <v>4</v>
      </c>
      <c r="H784" s="21">
        <v>3740.68</v>
      </c>
      <c r="I784">
        <v>30</v>
      </c>
      <c r="J784" s="21">
        <v>4488.82</v>
      </c>
      <c r="K784">
        <v>12</v>
      </c>
      <c r="L784" s="21">
        <v>1256.8699999999999</v>
      </c>
      <c r="M784" s="21">
        <v>11730.77</v>
      </c>
      <c r="N784" s="21">
        <v>10929.24</v>
      </c>
      <c r="O784" s="21">
        <v>-455.34</v>
      </c>
      <c r="P784" t="s">
        <v>124</v>
      </c>
      <c r="Q784" t="s">
        <v>120</v>
      </c>
      <c r="R784" t="s">
        <v>151</v>
      </c>
      <c r="S784" t="s">
        <v>2288</v>
      </c>
      <c r="T784" t="s">
        <v>153</v>
      </c>
      <c r="U784" t="s">
        <v>184</v>
      </c>
      <c r="V784" t="str">
        <f>IFERROR(INDEX(Products!$C:$C,MATCH(D784,Products!$A:$A,0)),"Unknown")</f>
        <v>Women Sarees</v>
      </c>
      <c r="W784" t="str">
        <f>IFERROR(INDEX(Products!$E:$E,MATCH(D784,Products!$A:$A,0)),"Unknown")</f>
        <v>Sparx</v>
      </c>
      <c r="X784" t="str">
        <f>IFERROR(INDEX(Stores!$B:$B,MATCH(E784,Stores!$A:$A,0)),"Unknown")</f>
        <v>TrendMart Hyderabad Standard</v>
      </c>
      <c r="Y784" t="str">
        <f>IFERROR(INDEX(Stores!$E:$E,MATCH(E784,Stores!$A:$A,0)),"Unknown")</f>
        <v>South Zone 2</v>
      </c>
      <c r="Z784" t="str">
        <f>IFERROR(INDEX(Customers!$J:$J,MATCH(C784,Customers!$A:$A,0)),"Unknown")</f>
        <v>Gold</v>
      </c>
      <c r="AA784" t="str">
        <f t="shared" si="12"/>
        <v>2025-02</v>
      </c>
      <c r="AB784" t="str">
        <f>IFERROR(INDEX(Products!$I:$I,MATCH(D784,Products!$A:$A,0)),"Unknown")</f>
        <v>SUP069</v>
      </c>
    </row>
    <row r="785" spans="1:28" x14ac:dyDescent="0.25">
      <c r="A785" t="s">
        <v>2289</v>
      </c>
      <c r="B785" s="20">
        <v>45582</v>
      </c>
      <c r="C785" t="s">
        <v>1554</v>
      </c>
      <c r="D785" t="s">
        <v>658</v>
      </c>
      <c r="E785" t="s">
        <v>914</v>
      </c>
      <c r="F785" t="s">
        <v>434</v>
      </c>
      <c r="G785">
        <v>1</v>
      </c>
      <c r="H785" s="21">
        <v>294.66000000000003</v>
      </c>
      <c r="I785">
        <v>25</v>
      </c>
      <c r="J785" s="21">
        <v>73.67</v>
      </c>
      <c r="K785">
        <v>5</v>
      </c>
      <c r="L785" s="21">
        <v>11.05</v>
      </c>
      <c r="M785" s="21">
        <v>232.04</v>
      </c>
      <c r="N785" s="21">
        <v>171.9</v>
      </c>
      <c r="O785" s="21">
        <v>49.09</v>
      </c>
      <c r="P785" t="s">
        <v>121</v>
      </c>
      <c r="Q785" t="s">
        <v>120</v>
      </c>
      <c r="R785" t="s">
        <v>151</v>
      </c>
      <c r="S785" t="s">
        <v>233</v>
      </c>
      <c r="T785" t="s">
        <v>153</v>
      </c>
      <c r="U785" t="s">
        <v>154</v>
      </c>
      <c r="V785" t="str">
        <f>IFERROR(INDEX(Products!$C:$C,MATCH(D785,Products!$A:$A,0)),"Unknown")</f>
        <v>Accessories</v>
      </c>
      <c r="W785" t="str">
        <f>IFERROR(INDEX(Products!$E:$E,MATCH(D785,Products!$A:$A,0)),"Unknown")</f>
        <v>Flying Machine</v>
      </c>
      <c r="X785" t="str">
        <f>IFERROR(INDEX(Stores!$B:$B,MATCH(E785,Stores!$A:$A,0)),"Unknown")</f>
        <v>TrendMart Thiruvananthapuram Outlet</v>
      </c>
      <c r="Y785" t="str">
        <f>IFERROR(INDEX(Stores!$E:$E,MATCH(E785,Stores!$A:$A,0)),"Unknown")</f>
        <v>South Zone 1</v>
      </c>
      <c r="Z785" t="str">
        <f>IFERROR(INDEX(Customers!$J:$J,MATCH(C785,Customers!$A:$A,0)),"Unknown")</f>
        <v>Gold</v>
      </c>
      <c r="AA785" t="str">
        <f t="shared" si="12"/>
        <v>2024-10</v>
      </c>
      <c r="AB785" t="str">
        <f>IFERROR(INDEX(Products!$I:$I,MATCH(D785,Products!$A:$A,0)),"Unknown")</f>
        <v>SUP002</v>
      </c>
    </row>
    <row r="786" spans="1:28" x14ac:dyDescent="0.25">
      <c r="A786" t="s">
        <v>2290</v>
      </c>
      <c r="B786" s="20">
        <v>45646</v>
      </c>
      <c r="C786" t="s">
        <v>1010</v>
      </c>
      <c r="D786" t="s">
        <v>734</v>
      </c>
      <c r="E786" t="s">
        <v>721</v>
      </c>
      <c r="F786" t="s">
        <v>434</v>
      </c>
      <c r="G786">
        <v>1</v>
      </c>
      <c r="H786" s="21">
        <v>350.59</v>
      </c>
      <c r="I786">
        <v>25</v>
      </c>
      <c r="J786" s="21">
        <v>87.65</v>
      </c>
      <c r="K786">
        <v>5</v>
      </c>
      <c r="L786" s="21">
        <v>13.15</v>
      </c>
      <c r="M786" s="21">
        <v>276.08999999999997</v>
      </c>
      <c r="N786" s="21">
        <v>213.39</v>
      </c>
      <c r="O786" s="21">
        <v>49.55</v>
      </c>
      <c r="P786" t="s">
        <v>126</v>
      </c>
      <c r="Q786" t="s">
        <v>120</v>
      </c>
      <c r="R786" t="s">
        <v>313</v>
      </c>
      <c r="S786" t="s">
        <v>1161</v>
      </c>
      <c r="T786" t="s">
        <v>153</v>
      </c>
      <c r="U786" t="s">
        <v>154</v>
      </c>
      <c r="V786" t="str">
        <f>IFERROR(INDEX(Products!$C:$C,MATCH(D786,Products!$A:$A,0)),"Unknown")</f>
        <v>Accessories</v>
      </c>
      <c r="W786" t="str">
        <f>IFERROR(INDEX(Products!$E:$E,MATCH(D786,Products!$A:$A,0)),"Unknown")</f>
        <v>Global Desi</v>
      </c>
      <c r="X786" t="str">
        <f>IFERROR(INDEX(Stores!$B:$B,MATCH(E786,Stores!$A:$A,0)),"Unknown")</f>
        <v>TrendMart Kollam Flagship</v>
      </c>
      <c r="Y786" t="str">
        <f>IFERROR(INDEX(Stores!$E:$E,MATCH(E786,Stores!$A:$A,0)),"Unknown")</f>
        <v>South Zone 1</v>
      </c>
      <c r="Z786" t="str">
        <f>IFERROR(INDEX(Customers!$J:$J,MATCH(C786,Customers!$A:$A,0)),"Unknown")</f>
        <v>Silver</v>
      </c>
      <c r="AA786" t="str">
        <f t="shared" si="12"/>
        <v>2024-12</v>
      </c>
      <c r="AB786" t="str">
        <f>IFERROR(INDEX(Products!$I:$I,MATCH(D786,Products!$A:$A,0)),"Unknown")</f>
        <v>SUP021</v>
      </c>
    </row>
    <row r="787" spans="1:28" x14ac:dyDescent="0.25">
      <c r="A787" t="s">
        <v>2291</v>
      </c>
      <c r="B787" s="20">
        <v>45405</v>
      </c>
      <c r="C787" t="s">
        <v>2292</v>
      </c>
      <c r="D787" t="s">
        <v>573</v>
      </c>
      <c r="E787" t="s">
        <v>927</v>
      </c>
      <c r="F787" t="s">
        <v>221</v>
      </c>
      <c r="G787">
        <v>1</v>
      </c>
      <c r="H787" s="21">
        <v>999.22</v>
      </c>
      <c r="I787">
        <v>10</v>
      </c>
      <c r="J787" s="21">
        <v>99.92</v>
      </c>
      <c r="K787">
        <v>5</v>
      </c>
      <c r="L787" s="21">
        <v>44.97</v>
      </c>
      <c r="M787" s="21">
        <v>944.27</v>
      </c>
      <c r="N787" s="21">
        <v>720.53</v>
      </c>
      <c r="O787" s="21">
        <v>178.77</v>
      </c>
      <c r="P787" t="s">
        <v>124</v>
      </c>
      <c r="Q787" t="s">
        <v>122</v>
      </c>
      <c r="R787" t="s">
        <v>151</v>
      </c>
      <c r="S787" t="s">
        <v>1217</v>
      </c>
      <c r="T787" t="s">
        <v>153</v>
      </c>
      <c r="U787" t="s">
        <v>154</v>
      </c>
      <c r="V787" t="str">
        <f>IFERROR(INDEX(Products!$C:$C,MATCH(D787,Products!$A:$A,0)),"Unknown")</f>
        <v>Women Jeans</v>
      </c>
      <c r="W787" t="str">
        <f>IFERROR(INDEX(Products!$E:$E,MATCH(D787,Products!$A:$A,0)),"Unknown")</f>
        <v>Sonata</v>
      </c>
      <c r="X787" t="str">
        <f>IFERROR(INDEX(Stores!$B:$B,MATCH(E787,Stores!$A:$A,0)),"Unknown")</f>
        <v>TrendMart Kochi Mall Kiosk</v>
      </c>
      <c r="Y787" t="str">
        <f>IFERROR(INDEX(Stores!$E:$E,MATCH(E787,Stores!$A:$A,0)),"Unknown")</f>
        <v>South Zone 1</v>
      </c>
      <c r="Z787" t="str">
        <f>IFERROR(INDEX(Customers!$J:$J,MATCH(C787,Customers!$A:$A,0)),"Unknown")</f>
        <v>Silver</v>
      </c>
      <c r="AA787" t="str">
        <f t="shared" si="12"/>
        <v>2024-04</v>
      </c>
      <c r="AB787" t="str">
        <f>IFERROR(INDEX(Products!$I:$I,MATCH(D787,Products!$A:$A,0)),"Unknown")</f>
        <v>SUP017</v>
      </c>
    </row>
    <row r="788" spans="1:28" x14ac:dyDescent="0.25">
      <c r="A788" t="s">
        <v>2293</v>
      </c>
      <c r="B788" s="20">
        <v>45579</v>
      </c>
      <c r="C788" t="s">
        <v>192</v>
      </c>
      <c r="D788" t="s">
        <v>2294</v>
      </c>
      <c r="E788" t="s">
        <v>99</v>
      </c>
      <c r="F788" t="s">
        <v>201</v>
      </c>
      <c r="G788">
        <v>1</v>
      </c>
      <c r="H788" s="21">
        <v>1505.95</v>
      </c>
      <c r="I788">
        <v>25</v>
      </c>
      <c r="J788" s="21">
        <v>376.49</v>
      </c>
      <c r="K788">
        <v>12</v>
      </c>
      <c r="L788" s="21">
        <v>135.54</v>
      </c>
      <c r="M788" s="21">
        <v>1265</v>
      </c>
      <c r="N788" s="21">
        <v>1007.65</v>
      </c>
      <c r="O788" s="21">
        <v>121.81</v>
      </c>
      <c r="P788" t="s">
        <v>121</v>
      </c>
      <c r="Q788" t="s">
        <v>120</v>
      </c>
      <c r="R788" t="s">
        <v>151</v>
      </c>
      <c r="S788" t="s">
        <v>708</v>
      </c>
      <c r="T788" t="s">
        <v>153</v>
      </c>
      <c r="U788" t="s">
        <v>154</v>
      </c>
      <c r="V788" t="str">
        <f>IFERROR(INDEX(Products!$C:$C,MATCH(D788,Products!$A:$A,0)),"Unknown")</f>
        <v>Men Jeans</v>
      </c>
      <c r="W788" t="str">
        <f>IFERROR(INDEX(Products!$E:$E,MATCH(D788,Products!$A:$A,0)),"Unknown")</f>
        <v>Westside</v>
      </c>
      <c r="X788" t="str">
        <f>IFERROR(INDEX(Stores!$B:$B,MATCH(E788,Stores!$A:$A,0)),"Unknown")</f>
        <v>TrendMart Hubballi Standard</v>
      </c>
      <c r="Y788" t="str">
        <f>IFERROR(INDEX(Stores!$E:$E,MATCH(E788,Stores!$A:$A,0)),"Unknown")</f>
        <v>South Zone 2</v>
      </c>
      <c r="Z788" t="str">
        <f>IFERROR(INDEX(Customers!$J:$J,MATCH(C788,Customers!$A:$A,0)),"Unknown")</f>
        <v>Silver</v>
      </c>
      <c r="AA788" t="str">
        <f t="shared" si="12"/>
        <v>2024-10</v>
      </c>
      <c r="AB788" t="str">
        <f>IFERROR(INDEX(Products!$I:$I,MATCH(D788,Products!$A:$A,0)),"Unknown")</f>
        <v>SUP009</v>
      </c>
    </row>
    <row r="789" spans="1:28" x14ac:dyDescent="0.25">
      <c r="A789" t="s">
        <v>2295</v>
      </c>
      <c r="B789" s="20">
        <v>45641</v>
      </c>
      <c r="C789" t="s">
        <v>797</v>
      </c>
      <c r="D789" t="s">
        <v>1877</v>
      </c>
      <c r="E789" t="s">
        <v>425</v>
      </c>
      <c r="F789" t="s">
        <v>286</v>
      </c>
      <c r="G789">
        <v>2</v>
      </c>
      <c r="H789" s="21">
        <v>1853.16</v>
      </c>
      <c r="I789">
        <v>0</v>
      </c>
      <c r="J789" s="21">
        <v>0</v>
      </c>
      <c r="K789">
        <v>12</v>
      </c>
      <c r="L789" s="21">
        <v>444.76</v>
      </c>
      <c r="M789" s="21">
        <v>4151.08</v>
      </c>
      <c r="N789" s="21">
        <v>2663.1</v>
      </c>
      <c r="O789" s="21">
        <v>1043.22</v>
      </c>
      <c r="P789" t="s">
        <v>125</v>
      </c>
      <c r="Q789" t="s">
        <v>120</v>
      </c>
      <c r="R789" t="s">
        <v>151</v>
      </c>
      <c r="S789" t="s">
        <v>2296</v>
      </c>
      <c r="T789" t="s">
        <v>161</v>
      </c>
      <c r="U789" t="s">
        <v>154</v>
      </c>
      <c r="V789" t="str">
        <f>IFERROR(INDEX(Products!$C:$C,MATCH(D789,Products!$A:$A,0)),"Unknown")</f>
        <v>Women Sarees</v>
      </c>
      <c r="W789" t="str">
        <f>IFERROR(INDEX(Products!$E:$E,MATCH(D789,Products!$A:$A,0)),"Unknown")</f>
        <v>Sonata</v>
      </c>
      <c r="X789" t="str">
        <f>IFERROR(INDEX(Stores!$B:$B,MATCH(E789,Stores!$A:$A,0)),"Unknown")</f>
        <v>TrendMart Kozhikode Outlet</v>
      </c>
      <c r="Y789" t="str">
        <f>IFERROR(INDEX(Stores!$E:$E,MATCH(E789,Stores!$A:$A,0)),"Unknown")</f>
        <v>South Zone 1</v>
      </c>
      <c r="Z789" t="str">
        <f>IFERROR(INDEX(Customers!$J:$J,MATCH(C789,Customers!$A:$A,0)),"Unknown")</f>
        <v>Platinum</v>
      </c>
      <c r="AA789" t="str">
        <f t="shared" si="12"/>
        <v>2024-12</v>
      </c>
      <c r="AB789" t="str">
        <f>IFERROR(INDEX(Products!$I:$I,MATCH(D789,Products!$A:$A,0)),"Unknown")</f>
        <v>SUP073</v>
      </c>
    </row>
    <row r="790" spans="1:28" x14ac:dyDescent="0.25">
      <c r="A790" t="s">
        <v>2297</v>
      </c>
      <c r="B790" s="20">
        <v>45477</v>
      </c>
      <c r="C790" t="s">
        <v>2298</v>
      </c>
      <c r="D790" t="s">
        <v>246</v>
      </c>
      <c r="E790" t="s">
        <v>99</v>
      </c>
      <c r="F790" t="s">
        <v>258</v>
      </c>
      <c r="G790">
        <v>3</v>
      </c>
      <c r="H790" s="21">
        <v>1216.7</v>
      </c>
      <c r="I790">
        <v>5</v>
      </c>
      <c r="J790" s="21">
        <v>182.5</v>
      </c>
      <c r="K790">
        <v>12</v>
      </c>
      <c r="L790" s="21">
        <v>416.11</v>
      </c>
      <c r="M790" s="21">
        <v>3883.71</v>
      </c>
      <c r="N790" s="21">
        <v>2596.44</v>
      </c>
      <c r="O790" s="21">
        <v>871.16</v>
      </c>
      <c r="P790" t="s">
        <v>121</v>
      </c>
      <c r="Q790" t="s">
        <v>122</v>
      </c>
      <c r="R790" t="s">
        <v>313</v>
      </c>
      <c r="S790" t="s">
        <v>2112</v>
      </c>
      <c r="T790" t="s">
        <v>153</v>
      </c>
      <c r="U790" t="s">
        <v>154</v>
      </c>
      <c r="V790" t="str">
        <f>IFERROR(INDEX(Products!$C:$C,MATCH(D790,Products!$A:$A,0)),"Unknown")</f>
        <v>Women Dresses</v>
      </c>
      <c r="W790" t="str">
        <f>IFERROR(INDEX(Products!$E:$E,MATCH(D790,Products!$A:$A,0)),"Unknown")</f>
        <v>Tanishq</v>
      </c>
      <c r="X790" t="str">
        <f>IFERROR(INDEX(Stores!$B:$B,MATCH(E790,Stores!$A:$A,0)),"Unknown")</f>
        <v>TrendMart Hubballi Standard</v>
      </c>
      <c r="Y790" t="str">
        <f>IFERROR(INDEX(Stores!$E:$E,MATCH(E790,Stores!$A:$A,0)),"Unknown")</f>
        <v>South Zone 2</v>
      </c>
      <c r="Z790" t="str">
        <f>IFERROR(INDEX(Customers!$J:$J,MATCH(C790,Customers!$A:$A,0)),"Unknown")</f>
        <v>Platinum</v>
      </c>
      <c r="AA790" t="str">
        <f t="shared" si="12"/>
        <v>2024-07</v>
      </c>
      <c r="AB790" t="str">
        <f>IFERROR(INDEX(Products!$I:$I,MATCH(D790,Products!$A:$A,0)),"Unknown")</f>
        <v>SUP002</v>
      </c>
    </row>
    <row r="791" spans="1:28" x14ac:dyDescent="0.25">
      <c r="A791" t="s">
        <v>2299</v>
      </c>
      <c r="B791" s="20">
        <v>45723</v>
      </c>
      <c r="C791" t="s">
        <v>2300</v>
      </c>
      <c r="D791" t="s">
        <v>524</v>
      </c>
      <c r="E791" t="s">
        <v>101</v>
      </c>
      <c r="F791" t="s">
        <v>253</v>
      </c>
      <c r="G791">
        <v>2</v>
      </c>
      <c r="H791" s="21">
        <v>755.59</v>
      </c>
      <c r="I791">
        <v>15</v>
      </c>
      <c r="J791" s="21">
        <v>226.68</v>
      </c>
      <c r="K791">
        <v>5</v>
      </c>
      <c r="L791" s="21">
        <v>64.22</v>
      </c>
      <c r="M791" s="21">
        <v>1348.72</v>
      </c>
      <c r="N791" s="21">
        <v>1095.3399999999999</v>
      </c>
      <c r="O791" s="21">
        <v>189.16</v>
      </c>
      <c r="P791" t="s">
        <v>123</v>
      </c>
      <c r="Q791" t="s">
        <v>122</v>
      </c>
      <c r="R791" t="s">
        <v>151</v>
      </c>
      <c r="S791" t="s">
        <v>1678</v>
      </c>
      <c r="T791" t="s">
        <v>153</v>
      </c>
      <c r="U791" t="s">
        <v>154</v>
      </c>
      <c r="V791" t="str">
        <f>IFERROR(INDEX(Products!$C:$C,MATCH(D791,Products!$A:$A,0)),"Unknown")</f>
        <v>Women Tops</v>
      </c>
      <c r="W791" t="str">
        <f>IFERROR(INDEX(Products!$E:$E,MATCH(D791,Products!$A:$A,0)),"Unknown")</f>
        <v>Indian Terrain</v>
      </c>
      <c r="X791" t="str">
        <f>IFERROR(INDEX(Stores!$B:$B,MATCH(E791,Stores!$A:$A,0)),"Unknown")</f>
        <v>TrendMart Kurnool Standard</v>
      </c>
      <c r="Y791" t="str">
        <f>IFERROR(INDEX(Stores!$E:$E,MATCH(E791,Stores!$A:$A,0)),"Unknown")</f>
        <v>South Zone 3</v>
      </c>
      <c r="Z791" t="str">
        <f>IFERROR(INDEX(Customers!$J:$J,MATCH(C791,Customers!$A:$A,0)),"Unknown")</f>
        <v>Regular</v>
      </c>
      <c r="AA791" t="str">
        <f t="shared" si="12"/>
        <v>2025-03</v>
      </c>
      <c r="AB791" t="str">
        <f>IFERROR(INDEX(Products!$I:$I,MATCH(D791,Products!$A:$A,0)),"Unknown")</f>
        <v>SUP062</v>
      </c>
    </row>
    <row r="792" spans="1:28" x14ac:dyDescent="0.25">
      <c r="A792" t="s">
        <v>2301</v>
      </c>
      <c r="B792" s="20">
        <v>45439</v>
      </c>
      <c r="C792" t="s">
        <v>1173</v>
      </c>
      <c r="D792" t="s">
        <v>595</v>
      </c>
      <c r="E792" t="s">
        <v>231</v>
      </c>
      <c r="F792" t="s">
        <v>516</v>
      </c>
      <c r="G792">
        <v>1</v>
      </c>
      <c r="H792" s="21">
        <v>878.2</v>
      </c>
      <c r="I792">
        <v>20</v>
      </c>
      <c r="J792" s="21">
        <v>175.64</v>
      </c>
      <c r="K792">
        <v>5</v>
      </c>
      <c r="L792" s="21">
        <v>35.130000000000003</v>
      </c>
      <c r="M792" s="21">
        <v>737.69</v>
      </c>
      <c r="N792" s="21">
        <v>590.48</v>
      </c>
      <c r="O792" s="21">
        <v>112.08</v>
      </c>
      <c r="P792" t="s">
        <v>125</v>
      </c>
      <c r="Q792" t="s">
        <v>120</v>
      </c>
      <c r="R792" t="s">
        <v>151</v>
      </c>
      <c r="S792" t="s">
        <v>2302</v>
      </c>
      <c r="T792" t="s">
        <v>153</v>
      </c>
      <c r="U792" t="s">
        <v>154</v>
      </c>
      <c r="V792" t="str">
        <f>IFERROR(INDEX(Products!$C:$C,MATCH(D792,Products!$A:$A,0)),"Unknown")</f>
        <v>Men Shirts</v>
      </c>
      <c r="W792" t="str">
        <f>IFERROR(INDEX(Products!$E:$E,MATCH(D792,Products!$A:$A,0)),"Unknown")</f>
        <v>Nalli Silks</v>
      </c>
      <c r="X792" t="str">
        <f>IFERROR(INDEX(Stores!$B:$B,MATCH(E792,Stores!$A:$A,0)),"Unknown")</f>
        <v>TrendMart Warangal Outlet</v>
      </c>
      <c r="Y792" t="str">
        <f>IFERROR(INDEX(Stores!$E:$E,MATCH(E792,Stores!$A:$A,0)),"Unknown")</f>
        <v>South Zone 2</v>
      </c>
      <c r="Z792" t="str">
        <f>IFERROR(INDEX(Customers!$J:$J,MATCH(C792,Customers!$A:$A,0)),"Unknown")</f>
        <v>Regular</v>
      </c>
      <c r="AA792" t="str">
        <f t="shared" si="12"/>
        <v>2024-05</v>
      </c>
      <c r="AB792" t="str">
        <f>IFERROR(INDEX(Products!$I:$I,MATCH(D792,Products!$A:$A,0)),"Unknown")</f>
        <v>SUP055</v>
      </c>
    </row>
    <row r="793" spans="1:28" x14ac:dyDescent="0.25">
      <c r="A793" t="s">
        <v>2303</v>
      </c>
      <c r="B793" s="20">
        <v>45637</v>
      </c>
      <c r="C793" t="s">
        <v>1091</v>
      </c>
      <c r="D793" t="s">
        <v>841</v>
      </c>
      <c r="E793" t="s">
        <v>1163</v>
      </c>
      <c r="F793" t="s">
        <v>618</v>
      </c>
      <c r="G793">
        <v>1</v>
      </c>
      <c r="H793" s="21">
        <v>1640.18</v>
      </c>
      <c r="I793">
        <v>0</v>
      </c>
      <c r="J793" s="21">
        <v>0</v>
      </c>
      <c r="K793">
        <v>12</v>
      </c>
      <c r="L793" s="21">
        <v>196.82</v>
      </c>
      <c r="M793" s="21">
        <v>1837</v>
      </c>
      <c r="N793" s="21">
        <v>1061.5</v>
      </c>
      <c r="O793" s="21">
        <v>578.67999999999995</v>
      </c>
      <c r="P793" t="s">
        <v>121</v>
      </c>
      <c r="Q793" t="s">
        <v>122</v>
      </c>
      <c r="R793" t="s">
        <v>151</v>
      </c>
      <c r="S793" t="s">
        <v>1235</v>
      </c>
      <c r="T793" t="s">
        <v>153</v>
      </c>
      <c r="U793" t="s">
        <v>154</v>
      </c>
      <c r="V793" t="str">
        <f>IFERROR(INDEX(Products!$C:$C,MATCH(D793,Products!$A:$A,0)),"Unknown")</f>
        <v>Men Jeans</v>
      </c>
      <c r="W793" t="str">
        <f>IFERROR(INDEX(Products!$E:$E,MATCH(D793,Products!$A:$A,0)),"Unknown")</f>
        <v>Killer Jeans</v>
      </c>
      <c r="X793" t="str">
        <f>IFERROR(INDEX(Stores!$B:$B,MATCH(E793,Stores!$A:$A,0)),"Unknown")</f>
        <v>TrendMart Alappuzha Outlet</v>
      </c>
      <c r="Y793" t="str">
        <f>IFERROR(INDEX(Stores!$E:$E,MATCH(E793,Stores!$A:$A,0)),"Unknown")</f>
        <v>South Zone 1</v>
      </c>
      <c r="Z793" t="str">
        <f>IFERROR(INDEX(Customers!$J:$J,MATCH(C793,Customers!$A:$A,0)),"Unknown")</f>
        <v>Platinum</v>
      </c>
      <c r="AA793" t="str">
        <f t="shared" si="12"/>
        <v>2024-12</v>
      </c>
      <c r="AB793" t="str">
        <f>IFERROR(INDEX(Products!$I:$I,MATCH(D793,Products!$A:$A,0)),"Unknown")</f>
        <v>SUP058</v>
      </c>
    </row>
    <row r="794" spans="1:28" x14ac:dyDescent="0.25">
      <c r="A794" t="s">
        <v>2304</v>
      </c>
      <c r="B794" s="20">
        <v>45551</v>
      </c>
      <c r="C794" t="s">
        <v>2305</v>
      </c>
      <c r="D794" t="s">
        <v>333</v>
      </c>
      <c r="E794" t="s">
        <v>1442</v>
      </c>
      <c r="F794" t="s">
        <v>382</v>
      </c>
      <c r="G794">
        <v>1</v>
      </c>
      <c r="H794" s="21">
        <v>2574.4699999999998</v>
      </c>
      <c r="I794">
        <v>10</v>
      </c>
      <c r="J794" s="21">
        <v>257.45</v>
      </c>
      <c r="K794">
        <v>12</v>
      </c>
      <c r="L794" s="21">
        <v>278.04000000000002</v>
      </c>
      <c r="M794" s="21">
        <v>2595.06</v>
      </c>
      <c r="N794" s="21">
        <v>1767.32</v>
      </c>
      <c r="O794" s="21">
        <v>549.70000000000005</v>
      </c>
      <c r="P794" t="s">
        <v>126</v>
      </c>
      <c r="Q794" t="s">
        <v>122</v>
      </c>
      <c r="R794" t="s">
        <v>151</v>
      </c>
      <c r="S794" t="s">
        <v>2306</v>
      </c>
      <c r="T794" t="s">
        <v>153</v>
      </c>
      <c r="U794" t="s">
        <v>154</v>
      </c>
      <c r="V794" t="str">
        <f>IFERROR(INDEX(Products!$C:$C,MATCH(D794,Products!$A:$A,0)),"Unknown")</f>
        <v>Winter Wear</v>
      </c>
      <c r="W794" t="str">
        <f>IFERROR(INDEX(Products!$E:$E,MATCH(D794,Products!$A:$A,0)),"Unknown")</f>
        <v>GRT Jewellers</v>
      </c>
      <c r="X794" t="str">
        <f>IFERROR(INDEX(Stores!$B:$B,MATCH(E794,Stores!$A:$A,0)),"Unknown")</f>
        <v>TrendMart Vellore High Street</v>
      </c>
      <c r="Y794" t="str">
        <f>IFERROR(INDEX(Stores!$E:$E,MATCH(E794,Stores!$A:$A,0)),"Unknown")</f>
        <v>South Zone 1</v>
      </c>
      <c r="Z794" t="str">
        <f>IFERROR(INDEX(Customers!$J:$J,MATCH(C794,Customers!$A:$A,0)),"Unknown")</f>
        <v>Silver</v>
      </c>
      <c r="AA794" t="str">
        <f t="shared" si="12"/>
        <v>2024-09</v>
      </c>
      <c r="AB794" t="str">
        <f>IFERROR(INDEX(Products!$I:$I,MATCH(D794,Products!$A:$A,0)),"Unknown")</f>
        <v>SUP052</v>
      </c>
    </row>
    <row r="795" spans="1:28" x14ac:dyDescent="0.25">
      <c r="A795" t="s">
        <v>2307</v>
      </c>
      <c r="B795" s="20">
        <v>45604</v>
      </c>
      <c r="C795" t="s">
        <v>952</v>
      </c>
      <c r="D795" t="s">
        <v>494</v>
      </c>
      <c r="E795" t="s">
        <v>1591</v>
      </c>
      <c r="F795" t="s">
        <v>269</v>
      </c>
      <c r="G795">
        <v>3</v>
      </c>
      <c r="H795" s="21">
        <v>1609.37</v>
      </c>
      <c r="I795">
        <v>0</v>
      </c>
      <c r="J795" s="21">
        <v>0</v>
      </c>
      <c r="K795">
        <v>12</v>
      </c>
      <c r="L795" s="21">
        <v>579.37</v>
      </c>
      <c r="M795" s="21">
        <v>5407.48</v>
      </c>
      <c r="N795" s="21">
        <v>3422.7</v>
      </c>
      <c r="O795" s="21">
        <v>1405.41</v>
      </c>
      <c r="P795" t="s">
        <v>125</v>
      </c>
      <c r="Q795" t="s">
        <v>120</v>
      </c>
      <c r="R795" t="s">
        <v>151</v>
      </c>
      <c r="S795" t="s">
        <v>2308</v>
      </c>
      <c r="T795" t="s">
        <v>153</v>
      </c>
      <c r="U795" t="s">
        <v>154</v>
      </c>
      <c r="V795" t="str">
        <f>IFERROR(INDEX(Products!$C:$C,MATCH(D795,Products!$A:$A,0)),"Unknown")</f>
        <v>Women Dresses</v>
      </c>
      <c r="W795" t="str">
        <f>IFERROR(INDEX(Products!$E:$E,MATCH(D795,Products!$A:$A,0)),"Unknown")</f>
        <v>Reebok</v>
      </c>
      <c r="X795" t="str">
        <f>IFERROR(INDEX(Stores!$B:$B,MATCH(E795,Stores!$A:$A,0)),"Unknown")</f>
        <v>TrendMart Guntur Standard</v>
      </c>
      <c r="Y795" t="str">
        <f>IFERROR(INDEX(Stores!$E:$E,MATCH(E795,Stores!$A:$A,0)),"Unknown")</f>
        <v>South Zone 3</v>
      </c>
      <c r="Z795" t="str">
        <f>IFERROR(INDEX(Customers!$J:$J,MATCH(C795,Customers!$A:$A,0)),"Unknown")</f>
        <v>Regular</v>
      </c>
      <c r="AA795" t="str">
        <f t="shared" si="12"/>
        <v>2024-11</v>
      </c>
      <c r="AB795" t="str">
        <f>IFERROR(INDEX(Products!$I:$I,MATCH(D795,Products!$A:$A,0)),"Unknown")</f>
        <v>SUP085</v>
      </c>
    </row>
    <row r="796" spans="1:28" x14ac:dyDescent="0.25">
      <c r="A796" t="s">
        <v>2309</v>
      </c>
      <c r="B796" s="20">
        <v>45528</v>
      </c>
      <c r="C796" t="s">
        <v>2310</v>
      </c>
      <c r="D796" t="s">
        <v>734</v>
      </c>
      <c r="E796" t="s">
        <v>1681</v>
      </c>
      <c r="F796" t="s">
        <v>344</v>
      </c>
      <c r="G796">
        <v>2</v>
      </c>
      <c r="H796" s="21">
        <v>384.09</v>
      </c>
      <c r="I796">
        <v>15</v>
      </c>
      <c r="J796" s="21">
        <v>115.23</v>
      </c>
      <c r="K796">
        <v>5</v>
      </c>
      <c r="L796" s="21">
        <v>32.65</v>
      </c>
      <c r="M796" s="21">
        <v>685.6</v>
      </c>
      <c r="N796" s="21">
        <v>426.78</v>
      </c>
      <c r="O796" s="21">
        <v>226.17</v>
      </c>
      <c r="P796" t="s">
        <v>125</v>
      </c>
      <c r="Q796" t="s">
        <v>120</v>
      </c>
      <c r="R796" t="s">
        <v>151</v>
      </c>
      <c r="S796" t="s">
        <v>2311</v>
      </c>
      <c r="T796" t="s">
        <v>161</v>
      </c>
      <c r="U796" t="s">
        <v>154</v>
      </c>
      <c r="V796" t="str">
        <f>IFERROR(INDEX(Products!$C:$C,MATCH(D796,Products!$A:$A,0)),"Unknown")</f>
        <v>Accessories</v>
      </c>
      <c r="W796" t="str">
        <f>IFERROR(INDEX(Products!$E:$E,MATCH(D796,Products!$A:$A,0)),"Unknown")</f>
        <v>Global Desi</v>
      </c>
      <c r="X796" t="str">
        <f>IFERROR(INDEX(Stores!$B:$B,MATCH(E796,Stores!$A:$A,0)),"Unknown")</f>
        <v>TrendMart Warangal Standard</v>
      </c>
      <c r="Y796" t="str">
        <f>IFERROR(INDEX(Stores!$E:$E,MATCH(E796,Stores!$A:$A,0)),"Unknown")</f>
        <v>South Zone 2</v>
      </c>
      <c r="Z796" t="str">
        <f>IFERROR(INDEX(Customers!$J:$J,MATCH(C796,Customers!$A:$A,0)),"Unknown")</f>
        <v>Platinum</v>
      </c>
      <c r="AA796" t="str">
        <f t="shared" si="12"/>
        <v>2024-08</v>
      </c>
      <c r="AB796" t="str">
        <f>IFERROR(INDEX(Products!$I:$I,MATCH(D796,Products!$A:$A,0)),"Unknown")</f>
        <v>SUP021</v>
      </c>
    </row>
    <row r="797" spans="1:28" x14ac:dyDescent="0.25">
      <c r="A797" t="s">
        <v>2312</v>
      </c>
      <c r="B797" s="20">
        <v>45598</v>
      </c>
      <c r="C797" t="s">
        <v>800</v>
      </c>
      <c r="D797" t="s">
        <v>339</v>
      </c>
      <c r="E797" t="s">
        <v>451</v>
      </c>
      <c r="F797" t="s">
        <v>516</v>
      </c>
      <c r="G797">
        <v>1</v>
      </c>
      <c r="H797" s="21">
        <v>869.39</v>
      </c>
      <c r="I797">
        <v>15</v>
      </c>
      <c r="J797" s="21">
        <v>130.41</v>
      </c>
      <c r="K797">
        <v>5</v>
      </c>
      <c r="L797" s="21">
        <v>36.950000000000003</v>
      </c>
      <c r="M797" s="21">
        <v>775.93</v>
      </c>
      <c r="N797" s="21">
        <v>568.53</v>
      </c>
      <c r="O797" s="21">
        <v>170.45</v>
      </c>
      <c r="P797" t="s">
        <v>126</v>
      </c>
      <c r="Q797" t="s">
        <v>120</v>
      </c>
      <c r="R797" t="s">
        <v>151</v>
      </c>
      <c r="S797" t="s">
        <v>1619</v>
      </c>
      <c r="T797" t="s">
        <v>161</v>
      </c>
      <c r="U797" t="s">
        <v>154</v>
      </c>
      <c r="V797" t="str">
        <f>IFERROR(INDEX(Products!$C:$C,MATCH(D797,Products!$A:$A,0)),"Unknown")</f>
        <v>Women Kurtis</v>
      </c>
      <c r="W797" t="str">
        <f>IFERROR(INDEX(Products!$E:$E,MATCH(D797,Products!$A:$A,0)),"Unknown")</f>
        <v>Allen Solly</v>
      </c>
      <c r="X797" t="str">
        <f>IFERROR(INDEX(Stores!$B:$B,MATCH(E797,Stores!$A:$A,0)),"Unknown")</f>
        <v>TrendMart Thoothukudi High Street</v>
      </c>
      <c r="Y797" t="str">
        <f>IFERROR(INDEX(Stores!$E:$E,MATCH(E797,Stores!$A:$A,0)),"Unknown")</f>
        <v>South Zone 1</v>
      </c>
      <c r="Z797" t="str">
        <f>IFERROR(INDEX(Customers!$J:$J,MATCH(C797,Customers!$A:$A,0)),"Unknown")</f>
        <v>Regular</v>
      </c>
      <c r="AA797" t="str">
        <f t="shared" si="12"/>
        <v>2024-11</v>
      </c>
      <c r="AB797" t="str">
        <f>IFERROR(INDEX(Products!$I:$I,MATCH(D797,Products!$A:$A,0)),"Unknown")</f>
        <v>SUP086</v>
      </c>
    </row>
    <row r="798" spans="1:28" x14ac:dyDescent="0.25">
      <c r="A798" t="s">
        <v>2313</v>
      </c>
      <c r="B798" s="20">
        <v>45525</v>
      </c>
      <c r="C798" t="s">
        <v>1754</v>
      </c>
      <c r="D798" t="s">
        <v>325</v>
      </c>
      <c r="E798" t="s">
        <v>318</v>
      </c>
      <c r="F798" t="s">
        <v>237</v>
      </c>
      <c r="G798">
        <v>2</v>
      </c>
      <c r="H798" s="21">
        <v>1135.72</v>
      </c>
      <c r="I798">
        <v>30</v>
      </c>
      <c r="J798" s="21">
        <v>681.43</v>
      </c>
      <c r="K798">
        <v>12</v>
      </c>
      <c r="L798" s="21">
        <v>190.8</v>
      </c>
      <c r="M798" s="21">
        <v>1780.81</v>
      </c>
      <c r="N798" s="21">
        <v>1518</v>
      </c>
      <c r="O798" s="21">
        <v>72.010000000000005</v>
      </c>
      <c r="P798" t="s">
        <v>123</v>
      </c>
      <c r="Q798" t="s">
        <v>122</v>
      </c>
      <c r="R798" t="s">
        <v>151</v>
      </c>
      <c r="S798" t="s">
        <v>1516</v>
      </c>
      <c r="T798" t="s">
        <v>153</v>
      </c>
      <c r="U798" t="s">
        <v>154</v>
      </c>
      <c r="V798" t="str">
        <f>IFERROR(INDEX(Products!$C:$C,MATCH(D798,Products!$A:$A,0)),"Unknown")</f>
        <v>Women Jeans</v>
      </c>
      <c r="W798" t="str">
        <f>IFERROR(INDEX(Products!$E:$E,MATCH(D798,Products!$A:$A,0)),"Unknown")</f>
        <v>Nalli Silks</v>
      </c>
      <c r="X798" t="str">
        <f>IFERROR(INDEX(Stores!$B:$B,MATCH(E798,Stores!$A:$A,0)),"Unknown")</f>
        <v>TrendMart Guntur Outlet</v>
      </c>
      <c r="Y798" t="str">
        <f>IFERROR(INDEX(Stores!$E:$E,MATCH(E798,Stores!$A:$A,0)),"Unknown")</f>
        <v>South Zone 3</v>
      </c>
      <c r="Z798" t="str">
        <f>IFERROR(INDEX(Customers!$J:$J,MATCH(C798,Customers!$A:$A,0)),"Unknown")</f>
        <v>Silver</v>
      </c>
      <c r="AA798" t="str">
        <f t="shared" si="12"/>
        <v>2024-08</v>
      </c>
      <c r="AB798" t="str">
        <f>IFERROR(INDEX(Products!$I:$I,MATCH(D798,Products!$A:$A,0)),"Unknown")</f>
        <v>SUP048</v>
      </c>
    </row>
    <row r="799" spans="1:28" x14ac:dyDescent="0.25">
      <c r="A799" t="s">
        <v>2314</v>
      </c>
      <c r="B799" s="20">
        <v>45452</v>
      </c>
      <c r="C799" t="s">
        <v>2315</v>
      </c>
      <c r="D799" t="s">
        <v>693</v>
      </c>
      <c r="E799" t="s">
        <v>451</v>
      </c>
      <c r="F799" t="s">
        <v>532</v>
      </c>
      <c r="G799">
        <v>2</v>
      </c>
      <c r="H799" s="21">
        <v>2964.71</v>
      </c>
      <c r="I799">
        <v>10</v>
      </c>
      <c r="J799" s="21">
        <v>592.94000000000005</v>
      </c>
      <c r="K799">
        <v>12</v>
      </c>
      <c r="L799" s="21">
        <v>640.38</v>
      </c>
      <c r="M799" s="21">
        <v>5976.86</v>
      </c>
      <c r="N799" s="21">
        <v>4396.4399999999996</v>
      </c>
      <c r="O799" s="21">
        <v>940.04</v>
      </c>
      <c r="P799" t="s">
        <v>121</v>
      </c>
      <c r="Q799" t="s">
        <v>120</v>
      </c>
      <c r="R799" t="s">
        <v>151</v>
      </c>
      <c r="S799" t="s">
        <v>2316</v>
      </c>
      <c r="T799" t="s">
        <v>161</v>
      </c>
      <c r="U799" t="s">
        <v>154</v>
      </c>
      <c r="V799" t="str">
        <f>IFERROR(INDEX(Products!$C:$C,MATCH(D799,Products!$A:$A,0)),"Unknown")</f>
        <v>Handbags</v>
      </c>
      <c r="W799" t="str">
        <f>IFERROR(INDEX(Products!$E:$E,MATCH(D799,Products!$A:$A,0)),"Unknown")</f>
        <v>Woodland</v>
      </c>
      <c r="X799" t="str">
        <f>IFERROR(INDEX(Stores!$B:$B,MATCH(E799,Stores!$A:$A,0)),"Unknown")</f>
        <v>TrendMart Thoothukudi High Street</v>
      </c>
      <c r="Y799" t="str">
        <f>IFERROR(INDEX(Stores!$E:$E,MATCH(E799,Stores!$A:$A,0)),"Unknown")</f>
        <v>South Zone 1</v>
      </c>
      <c r="Z799" t="str">
        <f>IFERROR(INDEX(Customers!$J:$J,MATCH(C799,Customers!$A:$A,0)),"Unknown")</f>
        <v>Regular</v>
      </c>
      <c r="AA799" t="str">
        <f t="shared" si="12"/>
        <v>2024-06</v>
      </c>
      <c r="AB799" t="str">
        <f>IFERROR(INDEX(Products!$I:$I,MATCH(D799,Products!$A:$A,0)),"Unknown")</f>
        <v>SUP090</v>
      </c>
    </row>
    <row r="800" spans="1:28" x14ac:dyDescent="0.25">
      <c r="A800" t="s">
        <v>2317</v>
      </c>
      <c r="B800" s="20">
        <v>45561</v>
      </c>
      <c r="C800" t="s">
        <v>1605</v>
      </c>
      <c r="D800" t="s">
        <v>717</v>
      </c>
      <c r="E800" t="s">
        <v>910</v>
      </c>
      <c r="F800" t="s">
        <v>303</v>
      </c>
      <c r="G800">
        <v>2</v>
      </c>
      <c r="H800" s="21">
        <v>1672.11</v>
      </c>
      <c r="I800">
        <v>25</v>
      </c>
      <c r="J800" s="21">
        <v>836.05</v>
      </c>
      <c r="K800">
        <v>12</v>
      </c>
      <c r="L800" s="21">
        <v>300.98</v>
      </c>
      <c r="M800" s="21">
        <v>2809.15</v>
      </c>
      <c r="N800" s="21">
        <v>2266.54</v>
      </c>
      <c r="O800" s="21">
        <v>241.63</v>
      </c>
      <c r="P800" t="s">
        <v>123</v>
      </c>
      <c r="Q800" t="s">
        <v>120</v>
      </c>
      <c r="R800" t="s">
        <v>151</v>
      </c>
      <c r="S800" t="s">
        <v>2318</v>
      </c>
      <c r="T800" t="s">
        <v>153</v>
      </c>
      <c r="U800" t="s">
        <v>154</v>
      </c>
      <c r="V800" t="str">
        <f>IFERROR(INDEX(Products!$C:$C,MATCH(D800,Products!$A:$A,0)),"Unknown")</f>
        <v>Women Dresses</v>
      </c>
      <c r="W800" t="str">
        <f>IFERROR(INDEX(Products!$E:$E,MATCH(D800,Products!$A:$A,0)),"Unknown")</f>
        <v>Pantaloons</v>
      </c>
      <c r="X800" t="str">
        <f>IFERROR(INDEX(Stores!$B:$B,MATCH(E800,Stores!$A:$A,0)),"Unknown")</f>
        <v>TrendMart Karimnagar Standard</v>
      </c>
      <c r="Y800" t="str">
        <f>IFERROR(INDEX(Stores!$E:$E,MATCH(E800,Stores!$A:$A,0)),"Unknown")</f>
        <v>South Zone 2</v>
      </c>
      <c r="Z800" t="str">
        <f>IFERROR(INDEX(Customers!$J:$J,MATCH(C800,Customers!$A:$A,0)),"Unknown")</f>
        <v>Gold</v>
      </c>
      <c r="AA800" t="str">
        <f t="shared" si="12"/>
        <v>2024-09</v>
      </c>
      <c r="AB800" t="str">
        <f>IFERROR(INDEX(Products!$I:$I,MATCH(D800,Products!$A:$A,0)),"Unknown")</f>
        <v>SUP046</v>
      </c>
    </row>
    <row r="801" spans="1:28" x14ac:dyDescent="0.25">
      <c r="A801" t="s">
        <v>2319</v>
      </c>
      <c r="B801" s="20">
        <v>45502</v>
      </c>
      <c r="C801" t="s">
        <v>2320</v>
      </c>
      <c r="D801" t="s">
        <v>545</v>
      </c>
      <c r="E801" t="s">
        <v>355</v>
      </c>
      <c r="F801" t="s">
        <v>532</v>
      </c>
      <c r="G801">
        <v>1</v>
      </c>
      <c r="H801" s="21">
        <v>1241.1400000000001</v>
      </c>
      <c r="I801">
        <v>10</v>
      </c>
      <c r="J801" s="21">
        <v>124.11</v>
      </c>
      <c r="K801">
        <v>12</v>
      </c>
      <c r="L801" s="21">
        <v>134.04</v>
      </c>
      <c r="M801" s="21">
        <v>1251.07</v>
      </c>
      <c r="N801" s="21">
        <v>834.96</v>
      </c>
      <c r="O801" s="21">
        <v>282.07</v>
      </c>
      <c r="P801" t="s">
        <v>125</v>
      </c>
      <c r="Q801" t="s">
        <v>122</v>
      </c>
      <c r="R801" t="s">
        <v>151</v>
      </c>
      <c r="S801" t="s">
        <v>2285</v>
      </c>
      <c r="T801" t="s">
        <v>153</v>
      </c>
      <c r="U801" t="s">
        <v>154</v>
      </c>
      <c r="V801" t="str">
        <f>IFERROR(INDEX(Products!$C:$C,MATCH(D801,Products!$A:$A,0)),"Unknown")</f>
        <v>Women Jeans</v>
      </c>
      <c r="W801" t="str">
        <f>IFERROR(INDEX(Products!$E:$E,MATCH(D801,Products!$A:$A,0)),"Unknown")</f>
        <v>US Polo Assn</v>
      </c>
      <c r="X801" t="str">
        <f>IFERROR(INDEX(Stores!$B:$B,MATCH(E801,Stores!$A:$A,0)),"Unknown")</f>
        <v>TrendMart Thiruvananthapuram High Street</v>
      </c>
      <c r="Y801" t="str">
        <f>IFERROR(INDEX(Stores!$E:$E,MATCH(E801,Stores!$A:$A,0)),"Unknown")</f>
        <v>South Zone 1</v>
      </c>
      <c r="Z801" t="str">
        <f>IFERROR(INDEX(Customers!$J:$J,MATCH(C801,Customers!$A:$A,0)),"Unknown")</f>
        <v>Platinum</v>
      </c>
      <c r="AA801" t="str">
        <f t="shared" si="12"/>
        <v>2024-07</v>
      </c>
      <c r="AB801" t="str">
        <f>IFERROR(INDEX(Products!$I:$I,MATCH(D801,Products!$A:$A,0)),"Unknown")</f>
        <v>SUP041</v>
      </c>
    </row>
    <row r="802" spans="1:28" x14ac:dyDescent="0.25">
      <c r="A802" t="s">
        <v>2321</v>
      </c>
      <c r="B802" s="20">
        <v>45511</v>
      </c>
      <c r="C802" t="s">
        <v>2322</v>
      </c>
      <c r="D802" t="s">
        <v>157</v>
      </c>
      <c r="E802" t="s">
        <v>613</v>
      </c>
      <c r="F802" t="s">
        <v>286</v>
      </c>
      <c r="G802">
        <v>4</v>
      </c>
      <c r="H802" s="21">
        <v>854.38</v>
      </c>
      <c r="I802">
        <v>10</v>
      </c>
      <c r="J802" s="21">
        <v>341.75</v>
      </c>
      <c r="K802">
        <v>5</v>
      </c>
      <c r="L802" s="21">
        <v>153.79</v>
      </c>
      <c r="M802" s="21">
        <v>3229.56</v>
      </c>
      <c r="N802" s="21">
        <v>1968.44</v>
      </c>
      <c r="O802" s="21">
        <v>1107.33</v>
      </c>
      <c r="P802" t="s">
        <v>126</v>
      </c>
      <c r="Q802" t="s">
        <v>120</v>
      </c>
      <c r="R802" t="s">
        <v>151</v>
      </c>
      <c r="S802" t="s">
        <v>2323</v>
      </c>
      <c r="T802" t="s">
        <v>153</v>
      </c>
      <c r="U802" t="s">
        <v>154</v>
      </c>
      <c r="V802" t="str">
        <f>IFERROR(INDEX(Products!$C:$C,MATCH(D802,Products!$A:$A,0)),"Unknown")</f>
        <v>Men T-Shirts</v>
      </c>
      <c r="W802" t="str">
        <f>IFERROR(INDEX(Products!$E:$E,MATCH(D802,Products!$A:$A,0)),"Unknown")</f>
        <v>Reebok</v>
      </c>
      <c r="X802" t="str">
        <f>IFERROR(INDEX(Stores!$B:$B,MATCH(E802,Stores!$A:$A,0)),"Unknown")</f>
        <v>TrendMart Kochi Mall Kiosk</v>
      </c>
      <c r="Y802" t="str">
        <f>IFERROR(INDEX(Stores!$E:$E,MATCH(E802,Stores!$A:$A,0)),"Unknown")</f>
        <v>South Zone 1</v>
      </c>
      <c r="Z802" t="str">
        <f>IFERROR(INDEX(Customers!$J:$J,MATCH(C802,Customers!$A:$A,0)),"Unknown")</f>
        <v>Gold</v>
      </c>
      <c r="AA802" t="str">
        <f t="shared" si="12"/>
        <v>2024-08</v>
      </c>
      <c r="AB802" t="str">
        <f>IFERROR(INDEX(Products!$I:$I,MATCH(D802,Products!$A:$A,0)),"Unknown")</f>
        <v>SUP073</v>
      </c>
    </row>
    <row r="803" spans="1:28" x14ac:dyDescent="0.25">
      <c r="A803" t="s">
        <v>2324</v>
      </c>
      <c r="B803" s="20">
        <v>45535</v>
      </c>
      <c r="C803" t="s">
        <v>2325</v>
      </c>
      <c r="D803" t="s">
        <v>662</v>
      </c>
      <c r="E803" t="s">
        <v>1442</v>
      </c>
      <c r="F803" t="s">
        <v>579</v>
      </c>
      <c r="G803">
        <v>3</v>
      </c>
      <c r="H803" s="21">
        <v>552.21</v>
      </c>
      <c r="I803">
        <v>10</v>
      </c>
      <c r="J803" s="21">
        <v>165.66</v>
      </c>
      <c r="K803">
        <v>5</v>
      </c>
      <c r="L803" s="21">
        <v>74.55</v>
      </c>
      <c r="M803" s="21">
        <v>1565.52</v>
      </c>
      <c r="N803" s="21">
        <v>899.58</v>
      </c>
      <c r="O803" s="21">
        <v>591.39</v>
      </c>
      <c r="P803" t="s">
        <v>121</v>
      </c>
      <c r="Q803" t="s">
        <v>120</v>
      </c>
      <c r="R803" t="s">
        <v>151</v>
      </c>
      <c r="S803" t="s">
        <v>2326</v>
      </c>
      <c r="T803" t="s">
        <v>161</v>
      </c>
      <c r="U803" t="s">
        <v>154</v>
      </c>
      <c r="V803" t="str">
        <f>IFERROR(INDEX(Products!$C:$C,MATCH(D803,Products!$A:$A,0)),"Unknown")</f>
        <v>Men T-Shirts</v>
      </c>
      <c r="W803" t="str">
        <f>IFERROR(INDEX(Products!$E:$E,MATCH(D803,Products!$A:$A,0)),"Unknown")</f>
        <v>Global Desi</v>
      </c>
      <c r="X803" t="str">
        <f>IFERROR(INDEX(Stores!$B:$B,MATCH(E803,Stores!$A:$A,0)),"Unknown")</f>
        <v>TrendMart Vellore High Street</v>
      </c>
      <c r="Y803" t="str">
        <f>IFERROR(INDEX(Stores!$E:$E,MATCH(E803,Stores!$A:$A,0)),"Unknown")</f>
        <v>South Zone 1</v>
      </c>
      <c r="Z803" t="str">
        <f>IFERROR(INDEX(Customers!$J:$J,MATCH(C803,Customers!$A:$A,0)),"Unknown")</f>
        <v>Platinum</v>
      </c>
      <c r="AA803" t="str">
        <f t="shared" si="12"/>
        <v>2024-08</v>
      </c>
      <c r="AB803" t="str">
        <f>IFERROR(INDEX(Products!$I:$I,MATCH(D803,Products!$A:$A,0)),"Unknown")</f>
        <v>SUP049</v>
      </c>
    </row>
    <row r="804" spans="1:28" x14ac:dyDescent="0.25">
      <c r="A804" t="s">
        <v>2327</v>
      </c>
      <c r="B804" s="20">
        <v>45613</v>
      </c>
      <c r="C804" t="s">
        <v>2328</v>
      </c>
      <c r="D804" t="s">
        <v>1668</v>
      </c>
      <c r="E804" t="s">
        <v>588</v>
      </c>
      <c r="F804" t="s">
        <v>258</v>
      </c>
      <c r="G804">
        <v>1</v>
      </c>
      <c r="H804" s="21">
        <v>1400.1</v>
      </c>
      <c r="I804">
        <v>25</v>
      </c>
      <c r="J804" s="21">
        <v>350.02</v>
      </c>
      <c r="K804">
        <v>12</v>
      </c>
      <c r="L804" s="21">
        <v>126.01</v>
      </c>
      <c r="M804" s="21">
        <v>1176.0899999999999</v>
      </c>
      <c r="N804" s="21">
        <v>893.37</v>
      </c>
      <c r="O804" s="21">
        <v>156.71</v>
      </c>
      <c r="P804" t="s">
        <v>121</v>
      </c>
      <c r="Q804" t="s">
        <v>120</v>
      </c>
      <c r="R804" t="s">
        <v>151</v>
      </c>
      <c r="S804" t="s">
        <v>1929</v>
      </c>
      <c r="T804" t="s">
        <v>161</v>
      </c>
      <c r="U804" t="s">
        <v>154</v>
      </c>
      <c r="V804" t="str">
        <f>IFERROR(INDEX(Products!$C:$C,MATCH(D804,Products!$A:$A,0)),"Unknown")</f>
        <v>Women Kurtis</v>
      </c>
      <c r="W804" t="str">
        <f>IFERROR(INDEX(Products!$E:$E,MATCH(D804,Products!$A:$A,0)),"Unknown")</f>
        <v>Liberty</v>
      </c>
      <c r="X804" t="str">
        <f>IFERROR(INDEX(Stores!$B:$B,MATCH(E804,Stores!$A:$A,0)),"Unknown")</f>
        <v>TrendMart Nizamabad Standard</v>
      </c>
      <c r="Y804" t="str">
        <f>IFERROR(INDEX(Stores!$E:$E,MATCH(E804,Stores!$A:$A,0)),"Unknown")</f>
        <v>South Zone 2</v>
      </c>
      <c r="Z804" t="str">
        <f>IFERROR(INDEX(Customers!$J:$J,MATCH(C804,Customers!$A:$A,0)),"Unknown")</f>
        <v>Silver</v>
      </c>
      <c r="AA804" t="str">
        <f t="shared" si="12"/>
        <v>2024-11</v>
      </c>
      <c r="AB804" t="str">
        <f>IFERROR(INDEX(Products!$I:$I,MATCH(D804,Products!$A:$A,0)),"Unknown")</f>
        <v>SUP022</v>
      </c>
    </row>
    <row r="805" spans="1:28" x14ac:dyDescent="0.25">
      <c r="A805" t="s">
        <v>2329</v>
      </c>
      <c r="B805" s="20">
        <v>45726</v>
      </c>
      <c r="C805" t="s">
        <v>2330</v>
      </c>
      <c r="D805" t="s">
        <v>565</v>
      </c>
      <c r="E805" t="s">
        <v>280</v>
      </c>
      <c r="F805" t="s">
        <v>189</v>
      </c>
      <c r="G805">
        <v>2</v>
      </c>
      <c r="H805" s="21">
        <v>1860.48</v>
      </c>
      <c r="I805">
        <v>10</v>
      </c>
      <c r="J805" s="21">
        <v>372.1</v>
      </c>
      <c r="K805">
        <v>12</v>
      </c>
      <c r="L805" s="21">
        <v>401.86</v>
      </c>
      <c r="M805" s="21">
        <v>3750.72</v>
      </c>
      <c r="N805" s="21">
        <v>2338.92</v>
      </c>
      <c r="O805" s="21">
        <v>1009.94</v>
      </c>
      <c r="P805" t="s">
        <v>125</v>
      </c>
      <c r="Q805" t="s">
        <v>120</v>
      </c>
      <c r="R805" t="s">
        <v>151</v>
      </c>
      <c r="S805" t="s">
        <v>270</v>
      </c>
      <c r="T805" t="s">
        <v>153</v>
      </c>
      <c r="U805" t="s">
        <v>154</v>
      </c>
      <c r="V805" t="str">
        <f>IFERROR(INDEX(Products!$C:$C,MATCH(D805,Products!$A:$A,0)),"Unknown")</f>
        <v>Winter Wear</v>
      </c>
      <c r="W805" t="str">
        <f>IFERROR(INDEX(Products!$E:$E,MATCH(D805,Products!$A:$A,0)),"Unknown")</f>
        <v>Numero Uno</v>
      </c>
      <c r="X805" t="str">
        <f>IFERROR(INDEX(Stores!$B:$B,MATCH(E805,Stores!$A:$A,0)),"Unknown")</f>
        <v>TrendMart Chennai Standard</v>
      </c>
      <c r="Y805" t="str">
        <f>IFERROR(INDEX(Stores!$E:$E,MATCH(E805,Stores!$A:$A,0)),"Unknown")</f>
        <v>South Zone 1</v>
      </c>
      <c r="Z805" t="str">
        <f>IFERROR(INDEX(Customers!$J:$J,MATCH(C805,Customers!$A:$A,0)),"Unknown")</f>
        <v>Gold</v>
      </c>
      <c r="AA805" t="str">
        <f t="shared" si="12"/>
        <v>2025-03</v>
      </c>
      <c r="AB805" t="str">
        <f>IFERROR(INDEX(Products!$I:$I,MATCH(D805,Products!$A:$A,0)),"Unknown")</f>
        <v>SUP026</v>
      </c>
    </row>
    <row r="806" spans="1:28" x14ac:dyDescent="0.25">
      <c r="A806" t="s">
        <v>2331</v>
      </c>
      <c r="B806" s="20">
        <v>45601</v>
      </c>
      <c r="C806" t="s">
        <v>311</v>
      </c>
      <c r="D806" t="s">
        <v>1224</v>
      </c>
      <c r="E806" t="s">
        <v>368</v>
      </c>
      <c r="F806" t="s">
        <v>221</v>
      </c>
      <c r="G806">
        <v>2</v>
      </c>
      <c r="H806" s="21">
        <v>1636.89</v>
      </c>
      <c r="I806">
        <v>10</v>
      </c>
      <c r="J806" s="21">
        <v>327.38</v>
      </c>
      <c r="K806">
        <v>12</v>
      </c>
      <c r="L806" s="21">
        <v>353.57</v>
      </c>
      <c r="M806" s="21">
        <v>3299.97</v>
      </c>
      <c r="N806" s="21">
        <v>2388.2800000000002</v>
      </c>
      <c r="O806" s="21">
        <v>558.12</v>
      </c>
      <c r="P806" t="s">
        <v>123</v>
      </c>
      <c r="Q806" t="s">
        <v>120</v>
      </c>
      <c r="R806" t="s">
        <v>151</v>
      </c>
      <c r="S806" t="s">
        <v>2332</v>
      </c>
      <c r="T806" t="s">
        <v>153</v>
      </c>
      <c r="U806" t="s">
        <v>154</v>
      </c>
      <c r="V806" t="str">
        <f>IFERROR(INDEX(Products!$C:$C,MATCH(D806,Products!$A:$A,0)),"Unknown")</f>
        <v>Men Jeans</v>
      </c>
      <c r="W806" t="str">
        <f>IFERROR(INDEX(Products!$E:$E,MATCH(D806,Products!$A:$A,0)),"Unknown")</f>
        <v>Killer Jeans</v>
      </c>
      <c r="X806" t="str">
        <f>IFERROR(INDEX(Stores!$B:$B,MATCH(E806,Stores!$A:$A,0)),"Unknown")</f>
        <v>TrendMart Alappuzha Outlet</v>
      </c>
      <c r="Y806" t="str">
        <f>IFERROR(INDEX(Stores!$E:$E,MATCH(E806,Stores!$A:$A,0)),"Unknown")</f>
        <v>South Zone 1</v>
      </c>
      <c r="Z806" t="str">
        <f>IFERROR(INDEX(Customers!$J:$J,MATCH(C806,Customers!$A:$A,0)),"Unknown")</f>
        <v>Gold</v>
      </c>
      <c r="AA806" t="str">
        <f t="shared" si="12"/>
        <v>2024-11</v>
      </c>
      <c r="AB806" t="str">
        <f>IFERROR(INDEX(Products!$I:$I,MATCH(D806,Products!$A:$A,0)),"Unknown")</f>
        <v>SUP084</v>
      </c>
    </row>
    <row r="807" spans="1:28" x14ac:dyDescent="0.25">
      <c r="A807" t="s">
        <v>2333</v>
      </c>
      <c r="B807" s="20">
        <v>45595</v>
      </c>
      <c r="C807" t="s">
        <v>1337</v>
      </c>
      <c r="D807" t="s">
        <v>685</v>
      </c>
      <c r="E807" t="s">
        <v>1681</v>
      </c>
      <c r="F807" t="s">
        <v>532</v>
      </c>
      <c r="G807">
        <v>1</v>
      </c>
      <c r="H807" s="21">
        <v>975.83</v>
      </c>
      <c r="I807">
        <v>15</v>
      </c>
      <c r="J807" s="21">
        <v>146.37</v>
      </c>
      <c r="K807">
        <v>5</v>
      </c>
      <c r="L807" s="21">
        <v>41.47</v>
      </c>
      <c r="M807" s="21">
        <v>870.93</v>
      </c>
      <c r="N807" s="21">
        <v>626.26</v>
      </c>
      <c r="O807" s="21">
        <v>203.2</v>
      </c>
      <c r="P807" t="s">
        <v>124</v>
      </c>
      <c r="Q807" t="s">
        <v>122</v>
      </c>
      <c r="R807" t="s">
        <v>151</v>
      </c>
      <c r="S807" t="s">
        <v>1089</v>
      </c>
      <c r="T807" t="s">
        <v>153</v>
      </c>
      <c r="U807" t="s">
        <v>154</v>
      </c>
      <c r="V807" t="str">
        <f>IFERROR(INDEX(Products!$C:$C,MATCH(D807,Products!$A:$A,0)),"Unknown")</f>
        <v>Sportswear</v>
      </c>
      <c r="W807" t="str">
        <f>IFERROR(INDEX(Products!$E:$E,MATCH(D807,Products!$A:$A,0)),"Unknown")</f>
        <v>Being Human</v>
      </c>
      <c r="X807" t="str">
        <f>IFERROR(INDEX(Stores!$B:$B,MATCH(E807,Stores!$A:$A,0)),"Unknown")</f>
        <v>TrendMart Warangal Standard</v>
      </c>
      <c r="Y807" t="str">
        <f>IFERROR(INDEX(Stores!$E:$E,MATCH(E807,Stores!$A:$A,0)),"Unknown")</f>
        <v>South Zone 2</v>
      </c>
      <c r="Z807" t="str">
        <f>IFERROR(INDEX(Customers!$J:$J,MATCH(C807,Customers!$A:$A,0)),"Unknown")</f>
        <v>Regular</v>
      </c>
      <c r="AA807" t="str">
        <f t="shared" si="12"/>
        <v>2024-10</v>
      </c>
      <c r="AB807" t="str">
        <f>IFERROR(INDEX(Products!$I:$I,MATCH(D807,Products!$A:$A,0)),"Unknown")</f>
        <v>SUP066</v>
      </c>
    </row>
    <row r="808" spans="1:28" x14ac:dyDescent="0.25">
      <c r="A808" t="s">
        <v>2334</v>
      </c>
      <c r="B808" s="20">
        <v>45747</v>
      </c>
      <c r="C808" t="s">
        <v>2335</v>
      </c>
      <c r="D808" t="s">
        <v>531</v>
      </c>
      <c r="E808" t="s">
        <v>617</v>
      </c>
      <c r="F808" t="s">
        <v>303</v>
      </c>
      <c r="G808">
        <v>2</v>
      </c>
      <c r="H808" s="21">
        <v>3085.11</v>
      </c>
      <c r="I808">
        <v>0</v>
      </c>
      <c r="J808" s="21">
        <v>0</v>
      </c>
      <c r="K808">
        <v>12</v>
      </c>
      <c r="L808" s="21">
        <v>740.43</v>
      </c>
      <c r="M808" s="21">
        <v>6910.65</v>
      </c>
      <c r="N808" s="21">
        <v>4068.02</v>
      </c>
      <c r="O808" s="21">
        <v>2102.1999999999998</v>
      </c>
      <c r="P808" t="s">
        <v>123</v>
      </c>
      <c r="Q808" t="s">
        <v>120</v>
      </c>
      <c r="R808" t="s">
        <v>151</v>
      </c>
      <c r="S808" t="s">
        <v>580</v>
      </c>
      <c r="T808" t="s">
        <v>153</v>
      </c>
      <c r="U808" t="s">
        <v>154</v>
      </c>
      <c r="V808" t="str">
        <f>IFERROR(INDEX(Products!$C:$C,MATCH(D808,Products!$A:$A,0)),"Unknown")</f>
        <v>Handbags</v>
      </c>
      <c r="W808" t="str">
        <f>IFERROR(INDEX(Products!$E:$E,MATCH(D808,Products!$A:$A,0)),"Unknown")</f>
        <v>GRT Jewellers</v>
      </c>
      <c r="X808" t="str">
        <f>IFERROR(INDEX(Stores!$B:$B,MATCH(E808,Stores!$A:$A,0)),"Unknown")</f>
        <v>TrendMart Mangaluru High Street</v>
      </c>
      <c r="Y808" t="str">
        <f>IFERROR(INDEX(Stores!$E:$E,MATCH(E808,Stores!$A:$A,0)),"Unknown")</f>
        <v>South Zone 2</v>
      </c>
      <c r="Z808" t="str">
        <f>IFERROR(INDEX(Customers!$J:$J,MATCH(C808,Customers!$A:$A,0)),"Unknown")</f>
        <v>Silver</v>
      </c>
      <c r="AA808" t="str">
        <f t="shared" si="12"/>
        <v>2025-03</v>
      </c>
      <c r="AB808" t="str">
        <f>IFERROR(INDEX(Products!$I:$I,MATCH(D808,Products!$A:$A,0)),"Unknown")</f>
        <v>SUP047</v>
      </c>
    </row>
    <row r="809" spans="1:28" x14ac:dyDescent="0.25">
      <c r="A809" t="s">
        <v>2336</v>
      </c>
      <c r="B809" s="20">
        <v>45530</v>
      </c>
      <c r="C809" t="s">
        <v>1739</v>
      </c>
      <c r="D809" t="s">
        <v>205</v>
      </c>
      <c r="E809" t="s">
        <v>721</v>
      </c>
      <c r="F809" t="s">
        <v>462</v>
      </c>
      <c r="G809">
        <v>1</v>
      </c>
      <c r="H809" s="21">
        <v>1011.65</v>
      </c>
      <c r="I809">
        <v>10</v>
      </c>
      <c r="J809" s="21">
        <v>101.17</v>
      </c>
      <c r="K809">
        <v>12</v>
      </c>
      <c r="L809" s="21">
        <v>109.26</v>
      </c>
      <c r="M809" s="21">
        <v>1019.74</v>
      </c>
      <c r="N809" s="21">
        <v>692.53</v>
      </c>
      <c r="O809" s="21">
        <v>217.95</v>
      </c>
      <c r="P809" t="s">
        <v>126</v>
      </c>
      <c r="Q809" t="s">
        <v>120</v>
      </c>
      <c r="R809" t="s">
        <v>151</v>
      </c>
      <c r="S809" t="s">
        <v>1179</v>
      </c>
      <c r="T809" t="s">
        <v>153</v>
      </c>
      <c r="U809" t="s">
        <v>154</v>
      </c>
      <c r="V809" t="str">
        <f>IFERROR(INDEX(Products!$C:$C,MATCH(D809,Products!$A:$A,0)),"Unknown")</f>
        <v>Women Jeans</v>
      </c>
      <c r="W809" t="str">
        <f>IFERROR(INDEX(Products!$E:$E,MATCH(D809,Products!$A:$A,0)),"Unknown")</f>
        <v>Sonata</v>
      </c>
      <c r="X809" t="str">
        <f>IFERROR(INDEX(Stores!$B:$B,MATCH(E809,Stores!$A:$A,0)),"Unknown")</f>
        <v>TrendMart Kollam Flagship</v>
      </c>
      <c r="Y809" t="str">
        <f>IFERROR(INDEX(Stores!$E:$E,MATCH(E809,Stores!$A:$A,0)),"Unknown")</f>
        <v>South Zone 1</v>
      </c>
      <c r="Z809" t="str">
        <f>IFERROR(INDEX(Customers!$J:$J,MATCH(C809,Customers!$A:$A,0)),"Unknown")</f>
        <v>Silver</v>
      </c>
      <c r="AA809" t="str">
        <f t="shared" si="12"/>
        <v>2024-08</v>
      </c>
      <c r="AB809" t="str">
        <f>IFERROR(INDEX(Products!$I:$I,MATCH(D809,Products!$A:$A,0)),"Unknown")</f>
        <v>SUP014</v>
      </c>
    </row>
    <row r="810" spans="1:28" x14ac:dyDescent="0.25">
      <c r="A810" t="s">
        <v>2337</v>
      </c>
      <c r="B810" s="20">
        <v>45494</v>
      </c>
      <c r="C810" t="s">
        <v>2338</v>
      </c>
      <c r="D810" t="s">
        <v>251</v>
      </c>
      <c r="E810" t="s">
        <v>541</v>
      </c>
      <c r="F810" t="s">
        <v>292</v>
      </c>
      <c r="G810">
        <v>2</v>
      </c>
      <c r="H810" s="21">
        <v>804.73</v>
      </c>
      <c r="I810">
        <v>15</v>
      </c>
      <c r="J810" s="21">
        <v>241.42</v>
      </c>
      <c r="K810">
        <v>5</v>
      </c>
      <c r="L810" s="21">
        <v>68.400000000000006</v>
      </c>
      <c r="M810" s="21">
        <v>1436.44</v>
      </c>
      <c r="N810" s="21">
        <v>1069.6199999999999</v>
      </c>
      <c r="O810" s="21">
        <v>298.42</v>
      </c>
      <c r="P810" t="s">
        <v>123</v>
      </c>
      <c r="Q810" t="s">
        <v>122</v>
      </c>
      <c r="R810" t="s">
        <v>313</v>
      </c>
      <c r="S810" t="s">
        <v>1839</v>
      </c>
      <c r="T810" t="s">
        <v>161</v>
      </c>
      <c r="U810" t="s">
        <v>154</v>
      </c>
      <c r="V810" t="str">
        <f>IFERROR(INDEX(Products!$C:$C,MATCH(D810,Products!$A:$A,0)),"Unknown")</f>
        <v>Women Tops</v>
      </c>
      <c r="W810" t="str">
        <f>IFERROR(INDEX(Products!$E:$E,MATCH(D810,Products!$A:$A,0)),"Unknown")</f>
        <v>US Polo Assn</v>
      </c>
      <c r="X810" t="str">
        <f>IFERROR(INDEX(Stores!$B:$B,MATCH(E810,Stores!$A:$A,0)),"Unknown")</f>
        <v>TrendMart Kochi Standard</v>
      </c>
      <c r="Y810" t="str">
        <f>IFERROR(INDEX(Stores!$E:$E,MATCH(E810,Stores!$A:$A,0)),"Unknown")</f>
        <v>South Zone 1</v>
      </c>
      <c r="Z810" t="str">
        <f>IFERROR(INDEX(Customers!$J:$J,MATCH(C810,Customers!$A:$A,0)),"Unknown")</f>
        <v>Silver</v>
      </c>
      <c r="AA810" t="str">
        <f t="shared" si="12"/>
        <v>2024-07</v>
      </c>
      <c r="AB810" t="str">
        <f>IFERROR(INDEX(Products!$I:$I,MATCH(D810,Products!$A:$A,0)),"Unknown")</f>
        <v>SUP039</v>
      </c>
    </row>
    <row r="811" spans="1:28" x14ac:dyDescent="0.25">
      <c r="A811" t="s">
        <v>2339</v>
      </c>
      <c r="B811" s="20">
        <v>45629</v>
      </c>
      <c r="C811" t="s">
        <v>2053</v>
      </c>
      <c r="D811" t="s">
        <v>381</v>
      </c>
      <c r="E811" t="s">
        <v>442</v>
      </c>
      <c r="F811" t="s">
        <v>170</v>
      </c>
      <c r="G811">
        <v>2</v>
      </c>
      <c r="H811" s="21">
        <v>798.03</v>
      </c>
      <c r="I811">
        <v>20</v>
      </c>
      <c r="J811" s="21">
        <v>319.20999999999998</v>
      </c>
      <c r="K811">
        <v>5</v>
      </c>
      <c r="L811" s="21">
        <v>63.84</v>
      </c>
      <c r="M811" s="21">
        <v>1340.69</v>
      </c>
      <c r="N811" s="21">
        <v>1027.68</v>
      </c>
      <c r="O811" s="21">
        <v>249.17</v>
      </c>
      <c r="P811" t="s">
        <v>125</v>
      </c>
      <c r="Q811" t="s">
        <v>120</v>
      </c>
      <c r="R811" t="s">
        <v>151</v>
      </c>
      <c r="S811" t="s">
        <v>950</v>
      </c>
      <c r="T811" t="s">
        <v>153</v>
      </c>
      <c r="U811" t="s">
        <v>154</v>
      </c>
      <c r="V811" t="str">
        <f>IFERROR(INDEX(Products!$C:$C,MATCH(D811,Products!$A:$A,0)),"Unknown")</f>
        <v>Wallets</v>
      </c>
      <c r="W811" t="str">
        <f>IFERROR(INDEX(Products!$E:$E,MATCH(D811,Products!$A:$A,0)),"Unknown")</f>
        <v>Tanishq</v>
      </c>
      <c r="X811" t="str">
        <f>IFERROR(INDEX(Stores!$B:$B,MATCH(E811,Stores!$A:$A,0)),"Unknown")</f>
        <v>TrendMart Bengaluru Standard</v>
      </c>
      <c r="Y811" t="str">
        <f>IFERROR(INDEX(Stores!$E:$E,MATCH(E811,Stores!$A:$A,0)),"Unknown")</f>
        <v>South Zone 2</v>
      </c>
      <c r="Z811" t="str">
        <f>IFERROR(INDEX(Customers!$J:$J,MATCH(C811,Customers!$A:$A,0)),"Unknown")</f>
        <v>Silver</v>
      </c>
      <c r="AA811" t="str">
        <f t="shared" si="12"/>
        <v>2024-12</v>
      </c>
      <c r="AB811" t="str">
        <f>IFERROR(INDEX(Products!$I:$I,MATCH(D811,Products!$A:$A,0)),"Unknown")</f>
        <v>SUP007</v>
      </c>
    </row>
    <row r="812" spans="1:28" x14ac:dyDescent="0.25">
      <c r="A812" t="s">
        <v>2340</v>
      </c>
      <c r="B812" s="20">
        <v>45411</v>
      </c>
      <c r="C812" t="s">
        <v>2341</v>
      </c>
      <c r="D812" t="s">
        <v>174</v>
      </c>
      <c r="E812" t="s">
        <v>451</v>
      </c>
      <c r="F812" t="s">
        <v>550</v>
      </c>
      <c r="G812">
        <v>2</v>
      </c>
      <c r="H812" s="21">
        <v>805.4</v>
      </c>
      <c r="I812">
        <v>10</v>
      </c>
      <c r="J812" s="21">
        <v>161.08000000000001</v>
      </c>
      <c r="K812">
        <v>5</v>
      </c>
      <c r="L812" s="21">
        <v>72.489999999999995</v>
      </c>
      <c r="M812" s="21">
        <v>1522.21</v>
      </c>
      <c r="N812" s="21">
        <v>1079.52</v>
      </c>
      <c r="O812" s="21">
        <v>370.2</v>
      </c>
      <c r="P812" t="s">
        <v>123</v>
      </c>
      <c r="Q812" t="s">
        <v>122</v>
      </c>
      <c r="R812" t="s">
        <v>151</v>
      </c>
      <c r="S812" t="s">
        <v>869</v>
      </c>
      <c r="T812" t="s">
        <v>153</v>
      </c>
      <c r="U812" t="s">
        <v>154</v>
      </c>
      <c r="V812" t="str">
        <f>IFERROR(INDEX(Products!$C:$C,MATCH(D812,Products!$A:$A,0)),"Unknown")</f>
        <v>Women Kurtis</v>
      </c>
      <c r="W812" t="str">
        <f>IFERROR(INDEX(Products!$E:$E,MATCH(D812,Products!$A:$A,0)),"Unknown")</f>
        <v>Reebok</v>
      </c>
      <c r="X812" t="str">
        <f>IFERROR(INDEX(Stores!$B:$B,MATCH(E812,Stores!$A:$A,0)),"Unknown")</f>
        <v>TrendMart Thoothukudi High Street</v>
      </c>
      <c r="Y812" t="str">
        <f>IFERROR(INDEX(Stores!$E:$E,MATCH(E812,Stores!$A:$A,0)),"Unknown")</f>
        <v>South Zone 1</v>
      </c>
      <c r="Z812" t="str">
        <f>IFERROR(INDEX(Customers!$J:$J,MATCH(C812,Customers!$A:$A,0)),"Unknown")</f>
        <v>Regular</v>
      </c>
      <c r="AA812" t="str">
        <f t="shared" si="12"/>
        <v>2024-04</v>
      </c>
      <c r="AB812" t="str">
        <f>IFERROR(INDEX(Products!$I:$I,MATCH(D812,Products!$A:$A,0)),"Unknown")</f>
        <v>SUP012</v>
      </c>
    </row>
    <row r="813" spans="1:28" x14ac:dyDescent="0.25">
      <c r="A813" t="s">
        <v>2342</v>
      </c>
      <c r="B813" s="20">
        <v>45451</v>
      </c>
      <c r="C813" t="s">
        <v>1694</v>
      </c>
      <c r="D813" t="s">
        <v>1649</v>
      </c>
      <c r="E813" t="s">
        <v>741</v>
      </c>
      <c r="F813" t="s">
        <v>516</v>
      </c>
      <c r="G813">
        <v>1</v>
      </c>
      <c r="H813" s="21">
        <v>1351.59</v>
      </c>
      <c r="I813">
        <v>10</v>
      </c>
      <c r="J813" s="21">
        <v>135.16</v>
      </c>
      <c r="K813">
        <v>12</v>
      </c>
      <c r="L813" s="21">
        <v>145.97</v>
      </c>
      <c r="M813" s="21">
        <v>1362.4</v>
      </c>
      <c r="N813" s="21">
        <v>879.48</v>
      </c>
      <c r="O813" s="21">
        <v>-569.95000000000005</v>
      </c>
      <c r="P813" t="s">
        <v>124</v>
      </c>
      <c r="Q813" t="s">
        <v>120</v>
      </c>
      <c r="R813" t="s">
        <v>151</v>
      </c>
      <c r="S813" t="s">
        <v>1378</v>
      </c>
      <c r="T813" t="s">
        <v>161</v>
      </c>
      <c r="U813" t="s">
        <v>184</v>
      </c>
      <c r="V813" t="str">
        <f>IFERROR(INDEX(Products!$C:$C,MATCH(D813,Products!$A:$A,0)),"Unknown")</f>
        <v>Belts</v>
      </c>
      <c r="W813" t="str">
        <f>IFERROR(INDEX(Products!$E:$E,MATCH(D813,Products!$A:$A,0)),"Unknown")</f>
        <v>Bata</v>
      </c>
      <c r="X813" t="str">
        <f>IFERROR(INDEX(Stores!$B:$B,MATCH(E813,Stores!$A:$A,0)),"Unknown")</f>
        <v>TrendMart Nellore Mall Kiosk</v>
      </c>
      <c r="Y813" t="str">
        <f>IFERROR(INDEX(Stores!$E:$E,MATCH(E813,Stores!$A:$A,0)),"Unknown")</f>
        <v>South Zone 3</v>
      </c>
      <c r="Z813" t="str">
        <f>IFERROR(INDEX(Customers!$J:$J,MATCH(C813,Customers!$A:$A,0)),"Unknown")</f>
        <v>Regular</v>
      </c>
      <c r="AA813" t="str">
        <f t="shared" si="12"/>
        <v>2024-06</v>
      </c>
      <c r="AB813" t="str">
        <f>IFERROR(INDEX(Products!$I:$I,MATCH(D813,Products!$A:$A,0)),"Unknown")</f>
        <v>SUP032</v>
      </c>
    </row>
    <row r="814" spans="1:28" x14ac:dyDescent="0.25">
      <c r="A814" t="s">
        <v>2343</v>
      </c>
      <c r="B814" s="20">
        <v>45608</v>
      </c>
      <c r="C814" t="s">
        <v>871</v>
      </c>
      <c r="D814" t="s">
        <v>587</v>
      </c>
      <c r="E814" t="s">
        <v>910</v>
      </c>
      <c r="F814" t="s">
        <v>242</v>
      </c>
      <c r="G814">
        <v>1</v>
      </c>
      <c r="H814" s="21">
        <v>3000.81</v>
      </c>
      <c r="I814">
        <v>5</v>
      </c>
      <c r="J814" s="21">
        <v>150.04</v>
      </c>
      <c r="K814">
        <v>12</v>
      </c>
      <c r="L814" s="21">
        <v>342.09</v>
      </c>
      <c r="M814" s="21">
        <v>3192.86</v>
      </c>
      <c r="N814" s="21">
        <v>2135.85</v>
      </c>
      <c r="O814" s="21">
        <v>714.92</v>
      </c>
      <c r="P814" t="s">
        <v>121</v>
      </c>
      <c r="Q814" t="s">
        <v>122</v>
      </c>
      <c r="R814" t="s">
        <v>151</v>
      </c>
      <c r="S814" t="s">
        <v>463</v>
      </c>
      <c r="T814" t="s">
        <v>153</v>
      </c>
      <c r="U814" t="s">
        <v>154</v>
      </c>
      <c r="V814" t="str">
        <f>IFERROR(INDEX(Products!$C:$C,MATCH(D814,Products!$A:$A,0)),"Unknown")</f>
        <v>Handbags</v>
      </c>
      <c r="W814" t="str">
        <f>IFERROR(INDEX(Products!$E:$E,MATCH(D814,Products!$A:$A,0)),"Unknown")</f>
        <v>Tanishq</v>
      </c>
      <c r="X814" t="str">
        <f>IFERROR(INDEX(Stores!$B:$B,MATCH(E814,Stores!$A:$A,0)),"Unknown")</f>
        <v>TrendMart Karimnagar Standard</v>
      </c>
      <c r="Y814" t="str">
        <f>IFERROR(INDEX(Stores!$E:$E,MATCH(E814,Stores!$A:$A,0)),"Unknown")</f>
        <v>South Zone 2</v>
      </c>
      <c r="Z814" t="str">
        <f>IFERROR(INDEX(Customers!$J:$J,MATCH(C814,Customers!$A:$A,0)),"Unknown")</f>
        <v>Regular</v>
      </c>
      <c r="AA814" t="str">
        <f t="shared" si="12"/>
        <v>2024-11</v>
      </c>
      <c r="AB814" t="str">
        <f>IFERROR(INDEX(Products!$I:$I,MATCH(D814,Products!$A:$A,0)),"Unknown")</f>
        <v>SUP029</v>
      </c>
    </row>
    <row r="815" spans="1:28" x14ac:dyDescent="0.25">
      <c r="A815" t="s">
        <v>2344</v>
      </c>
      <c r="B815" s="20">
        <v>45468</v>
      </c>
      <c r="C815" t="s">
        <v>1793</v>
      </c>
      <c r="D815" t="s">
        <v>489</v>
      </c>
      <c r="E815" t="s">
        <v>451</v>
      </c>
      <c r="F815" t="s">
        <v>195</v>
      </c>
      <c r="G815">
        <v>2</v>
      </c>
      <c r="H815" s="21">
        <v>1431.9</v>
      </c>
      <c r="I815">
        <v>5</v>
      </c>
      <c r="J815" s="21">
        <v>143.19</v>
      </c>
      <c r="K815">
        <v>12</v>
      </c>
      <c r="L815" s="21">
        <v>326.47000000000003</v>
      </c>
      <c r="M815" s="21">
        <v>3047.08</v>
      </c>
      <c r="N815" s="21">
        <v>2097.42</v>
      </c>
      <c r="O815" s="21">
        <v>623.19000000000005</v>
      </c>
      <c r="P815" t="s">
        <v>124</v>
      </c>
      <c r="Q815" t="s">
        <v>122</v>
      </c>
      <c r="R815" t="s">
        <v>151</v>
      </c>
      <c r="S815" t="s">
        <v>1381</v>
      </c>
      <c r="T815" t="s">
        <v>153</v>
      </c>
      <c r="U815" t="s">
        <v>154</v>
      </c>
      <c r="V815" t="str">
        <f>IFERROR(INDEX(Products!$C:$C,MATCH(D815,Products!$A:$A,0)),"Unknown")</f>
        <v>Women Jeans</v>
      </c>
      <c r="W815" t="str">
        <f>IFERROR(INDEX(Products!$E:$E,MATCH(D815,Products!$A:$A,0)),"Unknown")</f>
        <v>Woodland</v>
      </c>
      <c r="X815" t="str">
        <f>IFERROR(INDEX(Stores!$B:$B,MATCH(E815,Stores!$A:$A,0)),"Unknown")</f>
        <v>TrendMart Thoothukudi High Street</v>
      </c>
      <c r="Y815" t="str">
        <f>IFERROR(INDEX(Stores!$E:$E,MATCH(E815,Stores!$A:$A,0)),"Unknown")</f>
        <v>South Zone 1</v>
      </c>
      <c r="Z815" t="str">
        <f>IFERROR(INDEX(Customers!$J:$J,MATCH(C815,Customers!$A:$A,0)),"Unknown")</f>
        <v>Gold</v>
      </c>
      <c r="AA815" t="str">
        <f t="shared" si="12"/>
        <v>2024-06</v>
      </c>
      <c r="AB815" t="str">
        <f>IFERROR(INDEX(Products!$I:$I,MATCH(D815,Products!$A:$A,0)),"Unknown")</f>
        <v>SUP015</v>
      </c>
    </row>
    <row r="816" spans="1:28" x14ac:dyDescent="0.25">
      <c r="A816" t="s">
        <v>2345</v>
      </c>
      <c r="B816" s="20">
        <v>45646</v>
      </c>
      <c r="C816" t="s">
        <v>1136</v>
      </c>
      <c r="D816" t="s">
        <v>697</v>
      </c>
      <c r="E816" t="s">
        <v>588</v>
      </c>
      <c r="F816" t="s">
        <v>286</v>
      </c>
      <c r="G816">
        <v>1</v>
      </c>
      <c r="H816" s="21">
        <v>1028.52</v>
      </c>
      <c r="I816">
        <v>0</v>
      </c>
      <c r="J816" s="21">
        <v>0</v>
      </c>
      <c r="K816">
        <v>12</v>
      </c>
      <c r="L816" s="21">
        <v>123.42</v>
      </c>
      <c r="M816" s="21">
        <v>1151.94</v>
      </c>
      <c r="N816" s="21">
        <v>699.84</v>
      </c>
      <c r="O816" s="21">
        <v>328.68</v>
      </c>
      <c r="P816" t="s">
        <v>125</v>
      </c>
      <c r="Q816" t="s">
        <v>120</v>
      </c>
      <c r="R816" t="s">
        <v>151</v>
      </c>
      <c r="S816" t="s">
        <v>2346</v>
      </c>
      <c r="T816" t="s">
        <v>153</v>
      </c>
      <c r="U816" t="s">
        <v>154</v>
      </c>
      <c r="V816" t="str">
        <f>IFERROR(INDEX(Products!$C:$C,MATCH(D816,Products!$A:$A,0)),"Unknown")</f>
        <v>Women Tops</v>
      </c>
      <c r="W816" t="str">
        <f>IFERROR(INDEX(Products!$E:$E,MATCH(D816,Products!$A:$A,0)),"Unknown")</f>
        <v>Nalli Silks</v>
      </c>
      <c r="X816" t="str">
        <f>IFERROR(INDEX(Stores!$B:$B,MATCH(E816,Stores!$A:$A,0)),"Unknown")</f>
        <v>TrendMart Nizamabad Standard</v>
      </c>
      <c r="Y816" t="str">
        <f>IFERROR(INDEX(Stores!$E:$E,MATCH(E816,Stores!$A:$A,0)),"Unknown")</f>
        <v>South Zone 2</v>
      </c>
      <c r="Z816" t="str">
        <f>IFERROR(INDEX(Customers!$J:$J,MATCH(C816,Customers!$A:$A,0)),"Unknown")</f>
        <v>Platinum</v>
      </c>
      <c r="AA816" t="str">
        <f t="shared" si="12"/>
        <v>2024-12</v>
      </c>
      <c r="AB816" t="str">
        <f>IFERROR(INDEX(Products!$I:$I,MATCH(D816,Products!$A:$A,0)),"Unknown")</f>
        <v>SUP008</v>
      </c>
    </row>
    <row r="817" spans="1:28" x14ac:dyDescent="0.25">
      <c r="A817" t="s">
        <v>2347</v>
      </c>
      <c r="B817" s="20">
        <v>45708</v>
      </c>
      <c r="C817" t="s">
        <v>1937</v>
      </c>
      <c r="D817" t="s">
        <v>814</v>
      </c>
      <c r="E817" t="s">
        <v>200</v>
      </c>
      <c r="F817" t="s">
        <v>221</v>
      </c>
      <c r="G817">
        <v>2</v>
      </c>
      <c r="H817" s="21">
        <v>596.24</v>
      </c>
      <c r="I817">
        <v>0</v>
      </c>
      <c r="J817" s="21">
        <v>0</v>
      </c>
      <c r="K817">
        <v>5</v>
      </c>
      <c r="L817" s="21">
        <v>59.62</v>
      </c>
      <c r="M817" s="21">
        <v>1252.0999999999999</v>
      </c>
      <c r="N817" s="21">
        <v>729.22</v>
      </c>
      <c r="O817" s="21">
        <v>463.26</v>
      </c>
      <c r="P817" t="s">
        <v>124</v>
      </c>
      <c r="Q817" t="s">
        <v>120</v>
      </c>
      <c r="R817" t="s">
        <v>151</v>
      </c>
      <c r="S817" t="s">
        <v>2348</v>
      </c>
      <c r="T817" t="s">
        <v>153</v>
      </c>
      <c r="U817" t="s">
        <v>154</v>
      </c>
      <c r="V817" t="str">
        <f>IFERROR(INDEX(Products!$C:$C,MATCH(D817,Products!$A:$A,0)),"Unknown")</f>
        <v>Men T-Shirts</v>
      </c>
      <c r="W817" t="str">
        <f>IFERROR(INDEX(Products!$E:$E,MATCH(D817,Products!$A:$A,0)),"Unknown")</f>
        <v>Woodland</v>
      </c>
      <c r="X817" t="str">
        <f>IFERROR(INDEX(Stores!$B:$B,MATCH(E817,Stores!$A:$A,0)),"Unknown")</f>
        <v>TrendMart Kozhikode Standard</v>
      </c>
      <c r="Y817" t="str">
        <f>IFERROR(INDEX(Stores!$E:$E,MATCH(E817,Stores!$A:$A,0)),"Unknown")</f>
        <v>South Zone 1</v>
      </c>
      <c r="Z817" t="str">
        <f>IFERROR(INDEX(Customers!$J:$J,MATCH(C817,Customers!$A:$A,0)),"Unknown")</f>
        <v>Gold</v>
      </c>
      <c r="AA817" t="str">
        <f t="shared" si="12"/>
        <v>2025-02</v>
      </c>
      <c r="AB817" t="str">
        <f>IFERROR(INDEX(Products!$I:$I,MATCH(D817,Products!$A:$A,0)),"Unknown")</f>
        <v>SUP051</v>
      </c>
    </row>
    <row r="818" spans="1:28" x14ac:dyDescent="0.25">
      <c r="A818" t="s">
        <v>2349</v>
      </c>
      <c r="B818" s="20">
        <v>45591</v>
      </c>
      <c r="C818" t="s">
        <v>1100</v>
      </c>
      <c r="D818" t="s">
        <v>622</v>
      </c>
      <c r="E818" t="s">
        <v>442</v>
      </c>
      <c r="F818" t="s">
        <v>532</v>
      </c>
      <c r="G818">
        <v>3</v>
      </c>
      <c r="H818" s="21">
        <v>2767.42</v>
      </c>
      <c r="I818">
        <v>10</v>
      </c>
      <c r="J818" s="21">
        <v>830.23</v>
      </c>
      <c r="K818">
        <v>12</v>
      </c>
      <c r="L818" s="21">
        <v>896.64</v>
      </c>
      <c r="M818" s="21">
        <v>8368.67</v>
      </c>
      <c r="N818" s="21">
        <v>5559.42</v>
      </c>
      <c r="O818" s="21">
        <v>1912.61</v>
      </c>
      <c r="P818" t="s">
        <v>121</v>
      </c>
      <c r="Q818" t="s">
        <v>120</v>
      </c>
      <c r="R818" t="s">
        <v>151</v>
      </c>
      <c r="S818" t="s">
        <v>2350</v>
      </c>
      <c r="T818" t="s">
        <v>161</v>
      </c>
      <c r="U818" t="s">
        <v>154</v>
      </c>
      <c r="V818" t="str">
        <f>IFERROR(INDEX(Products!$C:$C,MATCH(D818,Products!$A:$A,0)),"Unknown")</f>
        <v>Women Sarees</v>
      </c>
      <c r="W818" t="str">
        <f>IFERROR(INDEX(Products!$E:$E,MATCH(D818,Products!$A:$A,0)),"Unknown")</f>
        <v>Sparx</v>
      </c>
      <c r="X818" t="str">
        <f>IFERROR(INDEX(Stores!$B:$B,MATCH(E818,Stores!$A:$A,0)),"Unknown")</f>
        <v>TrendMart Bengaluru Standard</v>
      </c>
      <c r="Y818" t="str">
        <f>IFERROR(INDEX(Stores!$E:$E,MATCH(E818,Stores!$A:$A,0)),"Unknown")</f>
        <v>South Zone 2</v>
      </c>
      <c r="Z818" t="str">
        <f>IFERROR(INDEX(Customers!$J:$J,MATCH(C818,Customers!$A:$A,0)),"Unknown")</f>
        <v>Gold</v>
      </c>
      <c r="AA818" t="str">
        <f t="shared" si="12"/>
        <v>2024-10</v>
      </c>
      <c r="AB818" t="str">
        <f>IFERROR(INDEX(Products!$I:$I,MATCH(D818,Products!$A:$A,0)),"Unknown")</f>
        <v>SUP080</v>
      </c>
    </row>
    <row r="819" spans="1:28" x14ac:dyDescent="0.25">
      <c r="A819" t="s">
        <v>2351</v>
      </c>
      <c r="B819" s="20">
        <v>45545</v>
      </c>
      <c r="C819" t="s">
        <v>1358</v>
      </c>
      <c r="D819" t="s">
        <v>1415</v>
      </c>
      <c r="E819" t="s">
        <v>1522</v>
      </c>
      <c r="F819" t="s">
        <v>596</v>
      </c>
      <c r="G819">
        <v>2</v>
      </c>
      <c r="H819" s="21">
        <v>1059.5999999999999</v>
      </c>
      <c r="I819">
        <v>5</v>
      </c>
      <c r="J819" s="21">
        <v>105.96</v>
      </c>
      <c r="K819">
        <v>12</v>
      </c>
      <c r="L819" s="21">
        <v>241.59</v>
      </c>
      <c r="M819" s="21">
        <v>2254.83</v>
      </c>
      <c r="N819" s="21">
        <v>1442.58</v>
      </c>
      <c r="O819" s="21">
        <v>570.66</v>
      </c>
      <c r="P819" t="s">
        <v>124</v>
      </c>
      <c r="Q819" t="s">
        <v>122</v>
      </c>
      <c r="R819" t="s">
        <v>151</v>
      </c>
      <c r="S819" t="s">
        <v>562</v>
      </c>
      <c r="T819" t="s">
        <v>153</v>
      </c>
      <c r="U819" t="s">
        <v>154</v>
      </c>
      <c r="V819" t="str">
        <f>IFERROR(INDEX(Products!$C:$C,MATCH(D819,Products!$A:$A,0)),"Unknown")</f>
        <v>Unknown</v>
      </c>
      <c r="W819" t="str">
        <f>IFERROR(INDEX(Products!$E:$E,MATCH(D819,Products!$A:$A,0)),"Unknown")</f>
        <v>Unknown</v>
      </c>
      <c r="X819" t="str">
        <f>IFERROR(INDEX(Stores!$B:$B,MATCH(E819,Stores!$A:$A,0)),"Unknown")</f>
        <v>TrendMart Guntur High Street</v>
      </c>
      <c r="Y819" t="str">
        <f>IFERROR(INDEX(Stores!$E:$E,MATCH(E819,Stores!$A:$A,0)),"Unknown")</f>
        <v>South Zone 3</v>
      </c>
      <c r="Z819" t="str">
        <f>IFERROR(INDEX(Customers!$J:$J,MATCH(C819,Customers!$A:$A,0)),"Unknown")</f>
        <v>Gold</v>
      </c>
      <c r="AA819" t="str">
        <f t="shared" si="12"/>
        <v>2024-09</v>
      </c>
      <c r="AB819" t="str">
        <f>IFERROR(INDEX(Products!$I:$I,MATCH(D819,Products!$A:$A,0)),"Unknown")</f>
        <v>Unknown</v>
      </c>
    </row>
    <row r="820" spans="1:28" x14ac:dyDescent="0.25">
      <c r="A820" t="s">
        <v>2352</v>
      </c>
      <c r="B820" s="20">
        <v>45637</v>
      </c>
      <c r="C820" t="s">
        <v>1471</v>
      </c>
      <c r="D820" t="s">
        <v>2353</v>
      </c>
      <c r="E820" t="s">
        <v>231</v>
      </c>
      <c r="F820" t="s">
        <v>462</v>
      </c>
      <c r="G820">
        <v>1</v>
      </c>
      <c r="H820" s="21">
        <v>745.43</v>
      </c>
      <c r="I820">
        <v>10</v>
      </c>
      <c r="J820" s="21">
        <v>74.540000000000006</v>
      </c>
      <c r="K820">
        <v>5</v>
      </c>
      <c r="L820" s="21">
        <v>33.54</v>
      </c>
      <c r="M820" s="21">
        <v>704.43</v>
      </c>
      <c r="N820" s="21">
        <v>504.05</v>
      </c>
      <c r="O820" s="21">
        <v>166.84</v>
      </c>
      <c r="P820" t="s">
        <v>124</v>
      </c>
      <c r="Q820" t="s">
        <v>120</v>
      </c>
      <c r="R820" t="s">
        <v>151</v>
      </c>
      <c r="S820" t="s">
        <v>1020</v>
      </c>
      <c r="T820" t="s">
        <v>153</v>
      </c>
      <c r="U820" t="s">
        <v>154</v>
      </c>
      <c r="V820" t="str">
        <f>IFERROR(INDEX(Products!$C:$C,MATCH(D820,Products!$A:$A,0)),"Unknown")</f>
        <v>Sportswear</v>
      </c>
      <c r="W820" t="str">
        <f>IFERROR(INDEX(Products!$E:$E,MATCH(D820,Products!$A:$A,0)),"Unknown")</f>
        <v>Mufti</v>
      </c>
      <c r="X820" t="str">
        <f>IFERROR(INDEX(Stores!$B:$B,MATCH(E820,Stores!$A:$A,0)),"Unknown")</f>
        <v>TrendMart Warangal Outlet</v>
      </c>
      <c r="Y820" t="str">
        <f>IFERROR(INDEX(Stores!$E:$E,MATCH(E820,Stores!$A:$A,0)),"Unknown")</f>
        <v>South Zone 2</v>
      </c>
      <c r="Z820" t="str">
        <f>IFERROR(INDEX(Customers!$J:$J,MATCH(C820,Customers!$A:$A,0)),"Unknown")</f>
        <v>Silver</v>
      </c>
      <c r="AA820" t="str">
        <f t="shared" si="12"/>
        <v>2024-12</v>
      </c>
      <c r="AB820" t="str">
        <f>IFERROR(INDEX(Products!$I:$I,MATCH(D820,Products!$A:$A,0)),"Unknown")</f>
        <v>SUP020</v>
      </c>
    </row>
    <row r="821" spans="1:28" x14ac:dyDescent="0.25">
      <c r="A821" t="s">
        <v>2354</v>
      </c>
      <c r="B821" s="20">
        <v>45487</v>
      </c>
      <c r="C821" t="s">
        <v>2355</v>
      </c>
      <c r="D821" t="s">
        <v>1219</v>
      </c>
      <c r="E821" t="s">
        <v>1023</v>
      </c>
      <c r="F821" t="s">
        <v>237</v>
      </c>
      <c r="G821">
        <v>4</v>
      </c>
      <c r="H821" s="21">
        <v>3192.41</v>
      </c>
      <c r="I821">
        <v>20</v>
      </c>
      <c r="J821" s="21">
        <v>2553.9299999999998</v>
      </c>
      <c r="K821">
        <v>12</v>
      </c>
      <c r="L821" s="21">
        <v>1225.8900000000001</v>
      </c>
      <c r="M821" s="21">
        <v>11441.6</v>
      </c>
      <c r="N821" s="21">
        <v>8158.8</v>
      </c>
      <c r="O821" s="21">
        <v>2056.91</v>
      </c>
      <c r="P821" t="s">
        <v>125</v>
      </c>
      <c r="Q821" t="s">
        <v>120</v>
      </c>
      <c r="R821" t="s">
        <v>151</v>
      </c>
      <c r="S821" t="s">
        <v>1047</v>
      </c>
      <c r="T821" t="s">
        <v>161</v>
      </c>
      <c r="U821" t="s">
        <v>154</v>
      </c>
      <c r="V821" t="str">
        <f>IFERROR(INDEX(Products!$C:$C,MATCH(D821,Products!$A:$A,0)),"Unknown")</f>
        <v>Watches</v>
      </c>
      <c r="W821" t="str">
        <f>IFERROR(INDEX(Products!$E:$E,MATCH(D821,Products!$A:$A,0)),"Unknown")</f>
        <v>Fossil</v>
      </c>
      <c r="X821" t="str">
        <f>IFERROR(INDEX(Stores!$B:$B,MATCH(E821,Stores!$A:$A,0)),"Unknown")</f>
        <v>TrendMart Kochi High Street</v>
      </c>
      <c r="Y821" t="str">
        <f>IFERROR(INDEX(Stores!$E:$E,MATCH(E821,Stores!$A:$A,0)),"Unknown")</f>
        <v>South Zone 1</v>
      </c>
      <c r="Z821" t="str">
        <f>IFERROR(INDEX(Customers!$J:$J,MATCH(C821,Customers!$A:$A,0)),"Unknown")</f>
        <v>Gold</v>
      </c>
      <c r="AA821" t="str">
        <f t="shared" si="12"/>
        <v>2024-07</v>
      </c>
      <c r="AB821" t="str">
        <f>IFERROR(INDEX(Products!$I:$I,MATCH(D821,Products!$A:$A,0)),"Unknown")</f>
        <v>SUP054</v>
      </c>
    </row>
    <row r="822" spans="1:28" x14ac:dyDescent="0.25">
      <c r="A822" t="s">
        <v>2356</v>
      </c>
      <c r="B822" s="20">
        <v>45515</v>
      </c>
      <c r="C822" t="s">
        <v>2357</v>
      </c>
      <c r="D822" t="s">
        <v>372</v>
      </c>
      <c r="E822" t="s">
        <v>1962</v>
      </c>
      <c r="F822" t="s">
        <v>269</v>
      </c>
      <c r="G822">
        <v>1</v>
      </c>
      <c r="H822" s="21">
        <v>663.19</v>
      </c>
      <c r="I822">
        <v>0</v>
      </c>
      <c r="J822" s="21">
        <v>0</v>
      </c>
      <c r="K822">
        <v>5</v>
      </c>
      <c r="L822" s="21">
        <v>33.159999999999997</v>
      </c>
      <c r="M822" s="21">
        <v>696.35</v>
      </c>
      <c r="N822" s="21">
        <v>413.39</v>
      </c>
      <c r="O822" s="21">
        <v>249.8</v>
      </c>
      <c r="P822" t="s">
        <v>123</v>
      </c>
      <c r="Q822" t="s">
        <v>120</v>
      </c>
      <c r="R822" t="s">
        <v>151</v>
      </c>
      <c r="S822" t="s">
        <v>2358</v>
      </c>
      <c r="T822" t="s">
        <v>161</v>
      </c>
      <c r="U822" t="s">
        <v>154</v>
      </c>
      <c r="V822" t="str">
        <f>IFERROR(INDEX(Products!$C:$C,MATCH(D822,Products!$A:$A,0)),"Unknown")</f>
        <v>Kids Wear</v>
      </c>
      <c r="W822" t="str">
        <f>IFERROR(INDEX(Products!$E:$E,MATCH(D822,Products!$A:$A,0)),"Unknown")</f>
        <v>Jack &amp; Jones</v>
      </c>
      <c r="X822" t="str">
        <f>IFERROR(INDEX(Stores!$B:$B,MATCH(E822,Stores!$A:$A,0)),"Unknown")</f>
        <v>TrendMart Guntur High Street</v>
      </c>
      <c r="Y822" t="str">
        <f>IFERROR(INDEX(Stores!$E:$E,MATCH(E822,Stores!$A:$A,0)),"Unknown")</f>
        <v>South Zone 3</v>
      </c>
      <c r="Z822" t="str">
        <f>IFERROR(INDEX(Customers!$J:$J,MATCH(C822,Customers!$A:$A,0)),"Unknown")</f>
        <v>Silver</v>
      </c>
      <c r="AA822" t="str">
        <f t="shared" si="12"/>
        <v>2024-08</v>
      </c>
      <c r="AB822" t="str">
        <f>IFERROR(INDEX(Products!$I:$I,MATCH(D822,Products!$A:$A,0)),"Unknown")</f>
        <v>SUP065</v>
      </c>
    </row>
    <row r="823" spans="1:28" x14ac:dyDescent="0.25">
      <c r="A823" t="s">
        <v>2359</v>
      </c>
      <c r="B823" s="20">
        <v>45576</v>
      </c>
      <c r="C823" t="s">
        <v>2360</v>
      </c>
      <c r="D823" t="s">
        <v>1350</v>
      </c>
      <c r="E823" t="s">
        <v>1681</v>
      </c>
      <c r="F823" t="s">
        <v>408</v>
      </c>
      <c r="G823">
        <v>1</v>
      </c>
      <c r="H823" s="21">
        <v>638.29</v>
      </c>
      <c r="I823">
        <v>30</v>
      </c>
      <c r="J823" s="21">
        <v>191.49</v>
      </c>
      <c r="K823">
        <v>5</v>
      </c>
      <c r="L823" s="21">
        <v>22.34</v>
      </c>
      <c r="M823" s="21">
        <v>469.14</v>
      </c>
      <c r="N823" s="21">
        <v>419.4</v>
      </c>
      <c r="O823" s="21">
        <v>27.4</v>
      </c>
      <c r="P823" t="s">
        <v>127</v>
      </c>
      <c r="Q823" t="s">
        <v>120</v>
      </c>
      <c r="R823" t="s">
        <v>151</v>
      </c>
      <c r="S823" t="s">
        <v>1351</v>
      </c>
      <c r="T823" t="s">
        <v>153</v>
      </c>
      <c r="U823" t="s">
        <v>154</v>
      </c>
      <c r="V823" t="str">
        <f>IFERROR(INDEX(Products!$C:$C,MATCH(D823,Products!$A:$A,0)),"Unknown")</f>
        <v>Women Tops</v>
      </c>
      <c r="W823" t="str">
        <f>IFERROR(INDEX(Products!$E:$E,MATCH(D823,Products!$A:$A,0)),"Unknown")</f>
        <v>Jack &amp; Jones</v>
      </c>
      <c r="X823" t="str">
        <f>IFERROR(INDEX(Stores!$B:$B,MATCH(E823,Stores!$A:$A,0)),"Unknown")</f>
        <v>TrendMart Warangal Standard</v>
      </c>
      <c r="Y823" t="str">
        <f>IFERROR(INDEX(Stores!$E:$E,MATCH(E823,Stores!$A:$A,0)),"Unknown")</f>
        <v>South Zone 2</v>
      </c>
      <c r="Z823" t="str">
        <f>IFERROR(INDEX(Customers!$J:$J,MATCH(C823,Customers!$A:$A,0)),"Unknown")</f>
        <v>Regular</v>
      </c>
      <c r="AA823" t="str">
        <f t="shared" si="12"/>
        <v>2024-10</v>
      </c>
      <c r="AB823" t="str">
        <f>IFERROR(INDEX(Products!$I:$I,MATCH(D823,Products!$A:$A,0)),"Unknown")</f>
        <v>SUP089</v>
      </c>
    </row>
    <row r="824" spans="1:28" x14ac:dyDescent="0.25">
      <c r="A824" t="s">
        <v>2361</v>
      </c>
      <c r="B824" s="20">
        <v>45536</v>
      </c>
      <c r="C824" t="s">
        <v>2362</v>
      </c>
      <c r="D824" t="s">
        <v>830</v>
      </c>
      <c r="E824" t="s">
        <v>1171</v>
      </c>
      <c r="F824" t="s">
        <v>159</v>
      </c>
      <c r="G824">
        <v>2</v>
      </c>
      <c r="H824" s="21">
        <v>877.24</v>
      </c>
      <c r="I824">
        <v>20</v>
      </c>
      <c r="J824" s="21">
        <v>350.9</v>
      </c>
      <c r="K824">
        <v>5</v>
      </c>
      <c r="L824" s="21">
        <v>70.180000000000007</v>
      </c>
      <c r="M824" s="21">
        <v>1473.76</v>
      </c>
      <c r="N824" s="21">
        <v>1140.4000000000001</v>
      </c>
      <c r="O824" s="21">
        <v>263.18</v>
      </c>
      <c r="P824" t="s">
        <v>124</v>
      </c>
      <c r="Q824" t="s">
        <v>120</v>
      </c>
      <c r="R824" t="s">
        <v>151</v>
      </c>
      <c r="S824" t="s">
        <v>1142</v>
      </c>
      <c r="T824" t="s">
        <v>161</v>
      </c>
      <c r="U824" t="s">
        <v>154</v>
      </c>
      <c r="V824" t="str">
        <f>IFERROR(INDEX(Products!$C:$C,MATCH(D824,Products!$A:$A,0)),"Unknown")</f>
        <v>Men Shirts</v>
      </c>
      <c r="W824" t="str">
        <f>IFERROR(INDEX(Products!$E:$E,MATCH(D824,Products!$A:$A,0)),"Unknown")</f>
        <v>AND</v>
      </c>
      <c r="X824" t="str">
        <f>IFERROR(INDEX(Stores!$B:$B,MATCH(E824,Stores!$A:$A,0)),"Unknown")</f>
        <v>TrendMart Chennai Standard</v>
      </c>
      <c r="Y824" t="str">
        <f>IFERROR(INDEX(Stores!$E:$E,MATCH(E824,Stores!$A:$A,0)),"Unknown")</f>
        <v>South Zone 1</v>
      </c>
      <c r="Z824" t="str">
        <f>IFERROR(INDEX(Customers!$J:$J,MATCH(C824,Customers!$A:$A,0)),"Unknown")</f>
        <v>Silver</v>
      </c>
      <c r="AA824" t="str">
        <f t="shared" si="12"/>
        <v>2024-09</v>
      </c>
      <c r="AB824" t="str">
        <f>IFERROR(INDEX(Products!$I:$I,MATCH(D824,Products!$A:$A,0)),"Unknown")</f>
        <v>SUP012</v>
      </c>
    </row>
    <row r="825" spans="1:28" x14ac:dyDescent="0.25">
      <c r="A825" t="s">
        <v>2363</v>
      </c>
      <c r="B825" s="20">
        <v>45590</v>
      </c>
      <c r="C825" t="s">
        <v>1418</v>
      </c>
      <c r="D825" t="s">
        <v>629</v>
      </c>
      <c r="E825" t="s">
        <v>82</v>
      </c>
      <c r="F825" t="s">
        <v>403</v>
      </c>
      <c r="G825">
        <v>1</v>
      </c>
      <c r="H825" s="21">
        <v>6724.75</v>
      </c>
      <c r="I825">
        <v>15</v>
      </c>
      <c r="J825" s="21">
        <v>1008.71</v>
      </c>
      <c r="K825">
        <v>3</v>
      </c>
      <c r="L825" s="21">
        <v>171.48</v>
      </c>
      <c r="M825" s="21">
        <v>5887.52</v>
      </c>
      <c r="N825" s="21">
        <v>4867.21</v>
      </c>
      <c r="O825" s="21">
        <v>848.83</v>
      </c>
      <c r="P825" t="s">
        <v>125</v>
      </c>
      <c r="Q825" t="s">
        <v>120</v>
      </c>
      <c r="R825" t="s">
        <v>151</v>
      </c>
      <c r="S825" t="s">
        <v>1975</v>
      </c>
      <c r="T825" t="s">
        <v>153</v>
      </c>
      <c r="U825" t="s">
        <v>154</v>
      </c>
      <c r="V825" t="str">
        <f>IFERROR(INDEX(Products!$C:$C,MATCH(D825,Products!$A:$A,0)),"Unknown")</f>
        <v>Jewellery</v>
      </c>
      <c r="W825" t="str">
        <f>IFERROR(INDEX(Products!$E:$E,MATCH(D825,Products!$A:$A,0)),"Unknown")</f>
        <v>Global Desi</v>
      </c>
      <c r="X825" t="str">
        <f>IFERROR(INDEX(Stores!$B:$B,MATCH(E825,Stores!$A:$A,0)),"Unknown")</f>
        <v>TrendMart Kochi High Street</v>
      </c>
      <c r="Y825" t="str">
        <f>IFERROR(INDEX(Stores!$E:$E,MATCH(E825,Stores!$A:$A,0)),"Unknown")</f>
        <v>South Zone 1</v>
      </c>
      <c r="Z825" t="str">
        <f>IFERROR(INDEX(Customers!$J:$J,MATCH(C825,Customers!$A:$A,0)),"Unknown")</f>
        <v>Regular</v>
      </c>
      <c r="AA825" t="str">
        <f t="shared" si="12"/>
        <v>2024-10</v>
      </c>
      <c r="AB825" t="str">
        <f>IFERROR(INDEX(Products!$I:$I,MATCH(D825,Products!$A:$A,0)),"Unknown")</f>
        <v>SUP066</v>
      </c>
    </row>
    <row r="826" spans="1:28" x14ac:dyDescent="0.25">
      <c r="A826" t="s">
        <v>2364</v>
      </c>
      <c r="B826" s="20">
        <v>45719</v>
      </c>
      <c r="C826" t="s">
        <v>2062</v>
      </c>
      <c r="D826" t="s">
        <v>174</v>
      </c>
      <c r="E826" t="s">
        <v>721</v>
      </c>
      <c r="F826" t="s">
        <v>189</v>
      </c>
      <c r="G826">
        <v>2</v>
      </c>
      <c r="H826" s="21">
        <v>860.9</v>
      </c>
      <c r="I826">
        <v>0</v>
      </c>
      <c r="J826" s="21">
        <v>0</v>
      </c>
      <c r="K826">
        <v>5</v>
      </c>
      <c r="L826" s="21">
        <v>86.09</v>
      </c>
      <c r="M826" s="21">
        <v>1807.89</v>
      </c>
      <c r="N826" s="21">
        <v>1079.52</v>
      </c>
      <c r="O826" s="21">
        <v>642.28</v>
      </c>
      <c r="P826" t="s">
        <v>123</v>
      </c>
      <c r="Q826" t="s">
        <v>120</v>
      </c>
      <c r="R826" t="s">
        <v>151</v>
      </c>
      <c r="S826" t="s">
        <v>1895</v>
      </c>
      <c r="T826" t="s">
        <v>153</v>
      </c>
      <c r="U826" t="s">
        <v>154</v>
      </c>
      <c r="V826" t="str">
        <f>IFERROR(INDEX(Products!$C:$C,MATCH(D826,Products!$A:$A,0)),"Unknown")</f>
        <v>Women Kurtis</v>
      </c>
      <c r="W826" t="str">
        <f>IFERROR(INDEX(Products!$E:$E,MATCH(D826,Products!$A:$A,0)),"Unknown")</f>
        <v>Reebok</v>
      </c>
      <c r="X826" t="str">
        <f>IFERROR(INDEX(Stores!$B:$B,MATCH(E826,Stores!$A:$A,0)),"Unknown")</f>
        <v>TrendMart Kollam Flagship</v>
      </c>
      <c r="Y826" t="str">
        <f>IFERROR(INDEX(Stores!$E:$E,MATCH(E826,Stores!$A:$A,0)),"Unknown")</f>
        <v>South Zone 1</v>
      </c>
      <c r="Z826" t="str">
        <f>IFERROR(INDEX(Customers!$J:$J,MATCH(C826,Customers!$A:$A,0)),"Unknown")</f>
        <v>Gold</v>
      </c>
      <c r="AA826" t="str">
        <f t="shared" si="12"/>
        <v>2025-03</v>
      </c>
      <c r="AB826" t="str">
        <f>IFERROR(INDEX(Products!$I:$I,MATCH(D826,Products!$A:$A,0)),"Unknown")</f>
        <v>SUP012</v>
      </c>
    </row>
    <row r="827" spans="1:28" x14ac:dyDescent="0.25">
      <c r="A827" t="s">
        <v>2365</v>
      </c>
      <c r="B827" s="20">
        <v>45536</v>
      </c>
      <c r="C827" t="s">
        <v>2366</v>
      </c>
      <c r="D827" t="s">
        <v>531</v>
      </c>
      <c r="E827" t="s">
        <v>721</v>
      </c>
      <c r="F827" t="s">
        <v>335</v>
      </c>
      <c r="G827">
        <v>3</v>
      </c>
      <c r="H827" s="21">
        <v>3399.2</v>
      </c>
      <c r="I827">
        <v>0</v>
      </c>
      <c r="J827" s="21">
        <v>0</v>
      </c>
      <c r="K827">
        <v>12</v>
      </c>
      <c r="L827" s="21">
        <v>1223.71</v>
      </c>
      <c r="M827" s="21">
        <v>11421.31</v>
      </c>
      <c r="N827" s="21">
        <v>6102.03</v>
      </c>
      <c r="O827" s="21">
        <v>4095.57</v>
      </c>
      <c r="P827" t="s">
        <v>126</v>
      </c>
      <c r="Q827" t="s">
        <v>120</v>
      </c>
      <c r="R827" t="s">
        <v>313</v>
      </c>
      <c r="S827" t="s">
        <v>2367</v>
      </c>
      <c r="T827" t="s">
        <v>161</v>
      </c>
      <c r="U827" t="s">
        <v>154</v>
      </c>
      <c r="V827" t="str">
        <f>IFERROR(INDEX(Products!$C:$C,MATCH(D827,Products!$A:$A,0)),"Unknown")</f>
        <v>Handbags</v>
      </c>
      <c r="W827" t="str">
        <f>IFERROR(INDEX(Products!$E:$E,MATCH(D827,Products!$A:$A,0)),"Unknown")</f>
        <v>GRT Jewellers</v>
      </c>
      <c r="X827" t="str">
        <f>IFERROR(INDEX(Stores!$B:$B,MATCH(E827,Stores!$A:$A,0)),"Unknown")</f>
        <v>TrendMart Kollam Flagship</v>
      </c>
      <c r="Y827" t="str">
        <f>IFERROR(INDEX(Stores!$E:$E,MATCH(E827,Stores!$A:$A,0)),"Unknown")</f>
        <v>South Zone 1</v>
      </c>
      <c r="Z827" t="str">
        <f>IFERROR(INDEX(Customers!$J:$J,MATCH(C827,Customers!$A:$A,0)),"Unknown")</f>
        <v>Gold</v>
      </c>
      <c r="AA827" t="str">
        <f t="shared" si="12"/>
        <v>2024-09</v>
      </c>
      <c r="AB827" t="str">
        <f>IFERROR(INDEX(Products!$I:$I,MATCH(D827,Products!$A:$A,0)),"Unknown")</f>
        <v>SUP047</v>
      </c>
    </row>
    <row r="828" spans="1:28" x14ac:dyDescent="0.25">
      <c r="A828" t="s">
        <v>2368</v>
      </c>
      <c r="B828" s="20">
        <v>45442</v>
      </c>
      <c r="C828" t="s">
        <v>1100</v>
      </c>
      <c r="D828" t="s">
        <v>949</v>
      </c>
      <c r="E828" t="s">
        <v>752</v>
      </c>
      <c r="F828" t="s">
        <v>189</v>
      </c>
      <c r="G828">
        <v>3</v>
      </c>
      <c r="H828" s="21">
        <v>1480.46</v>
      </c>
      <c r="I828">
        <v>10</v>
      </c>
      <c r="J828" s="21">
        <v>444.14</v>
      </c>
      <c r="K828">
        <v>12</v>
      </c>
      <c r="L828" s="21">
        <v>479.67</v>
      </c>
      <c r="M828" s="21">
        <v>4476.91</v>
      </c>
      <c r="N828" s="21">
        <v>2965.71</v>
      </c>
      <c r="O828" s="21">
        <v>1031.53</v>
      </c>
      <c r="P828" t="s">
        <v>125</v>
      </c>
      <c r="Q828" t="s">
        <v>120</v>
      </c>
      <c r="R828" t="s">
        <v>151</v>
      </c>
      <c r="S828" t="s">
        <v>2369</v>
      </c>
      <c r="T828" t="s">
        <v>153</v>
      </c>
      <c r="U828" t="s">
        <v>154</v>
      </c>
      <c r="V828" t="str">
        <f>IFERROR(INDEX(Products!$C:$C,MATCH(D828,Products!$A:$A,0)),"Unknown")</f>
        <v>Handbags</v>
      </c>
      <c r="W828" t="str">
        <f>IFERROR(INDEX(Products!$E:$E,MATCH(D828,Products!$A:$A,0)),"Unknown")</f>
        <v>Fastrack</v>
      </c>
      <c r="X828" t="str">
        <f>IFERROR(INDEX(Stores!$B:$B,MATCH(E828,Stores!$A:$A,0)),"Unknown")</f>
        <v>TrendMart Dindigul High Street</v>
      </c>
      <c r="Y828" t="str">
        <f>IFERROR(INDEX(Stores!$E:$E,MATCH(E828,Stores!$A:$A,0)),"Unknown")</f>
        <v>South Zone 1</v>
      </c>
      <c r="Z828" t="str">
        <f>IFERROR(INDEX(Customers!$J:$J,MATCH(C828,Customers!$A:$A,0)),"Unknown")</f>
        <v>Gold</v>
      </c>
      <c r="AA828" t="str">
        <f t="shared" si="12"/>
        <v>2024-05</v>
      </c>
      <c r="AB828" t="str">
        <f>IFERROR(INDEX(Products!$I:$I,MATCH(D828,Products!$A:$A,0)),"Unknown")</f>
        <v>SUP069</v>
      </c>
    </row>
    <row r="829" spans="1:28" x14ac:dyDescent="0.25">
      <c r="A829" t="s">
        <v>2370</v>
      </c>
      <c r="B829" s="20">
        <v>45536</v>
      </c>
      <c r="C829" t="s">
        <v>2371</v>
      </c>
      <c r="D829" t="s">
        <v>949</v>
      </c>
      <c r="E829" t="s">
        <v>1068</v>
      </c>
      <c r="F829" t="s">
        <v>170</v>
      </c>
      <c r="G829">
        <v>1</v>
      </c>
      <c r="H829" s="21">
        <v>1498.72</v>
      </c>
      <c r="I829">
        <v>25</v>
      </c>
      <c r="J829" s="21">
        <v>374.68</v>
      </c>
      <c r="K829">
        <v>12</v>
      </c>
      <c r="L829" s="21">
        <v>134.88</v>
      </c>
      <c r="M829" s="21">
        <v>1258.92</v>
      </c>
      <c r="N829" s="21">
        <v>988.57</v>
      </c>
      <c r="O829" s="21">
        <v>135.47</v>
      </c>
      <c r="P829" t="s">
        <v>124</v>
      </c>
      <c r="Q829" t="s">
        <v>122</v>
      </c>
      <c r="R829" t="s">
        <v>151</v>
      </c>
      <c r="S829" t="s">
        <v>816</v>
      </c>
      <c r="T829" t="s">
        <v>161</v>
      </c>
      <c r="U829" t="s">
        <v>154</v>
      </c>
      <c r="V829" t="str">
        <f>IFERROR(INDEX(Products!$C:$C,MATCH(D829,Products!$A:$A,0)),"Unknown")</f>
        <v>Handbags</v>
      </c>
      <c r="W829" t="str">
        <f>IFERROR(INDEX(Products!$E:$E,MATCH(D829,Products!$A:$A,0)),"Unknown")</f>
        <v>Fastrack</v>
      </c>
      <c r="X829" t="str">
        <f>IFERROR(INDEX(Stores!$B:$B,MATCH(E829,Stores!$A:$A,0)),"Unknown")</f>
        <v>TrendMart Tumakuru High Street</v>
      </c>
      <c r="Y829" t="str">
        <f>IFERROR(INDEX(Stores!$E:$E,MATCH(E829,Stores!$A:$A,0)),"Unknown")</f>
        <v>South Zone 2</v>
      </c>
      <c r="Z829" t="str">
        <f>IFERROR(INDEX(Customers!$J:$J,MATCH(C829,Customers!$A:$A,0)),"Unknown")</f>
        <v>Regular</v>
      </c>
      <c r="AA829" t="str">
        <f t="shared" si="12"/>
        <v>2024-09</v>
      </c>
      <c r="AB829" t="str">
        <f>IFERROR(INDEX(Products!$I:$I,MATCH(D829,Products!$A:$A,0)),"Unknown")</f>
        <v>SUP069</v>
      </c>
    </row>
    <row r="830" spans="1:28" x14ac:dyDescent="0.25">
      <c r="A830" t="s">
        <v>2372</v>
      </c>
      <c r="B830" s="20">
        <v>45618</v>
      </c>
      <c r="C830" t="s">
        <v>2373</v>
      </c>
      <c r="D830" t="s">
        <v>164</v>
      </c>
      <c r="E830" t="s">
        <v>226</v>
      </c>
      <c r="F830" t="s">
        <v>150</v>
      </c>
      <c r="G830">
        <v>3</v>
      </c>
      <c r="H830" s="21">
        <v>3902.21</v>
      </c>
      <c r="I830">
        <v>10</v>
      </c>
      <c r="J830" s="21">
        <v>1170.6600000000001</v>
      </c>
      <c r="K830">
        <v>12</v>
      </c>
      <c r="L830" s="21">
        <v>1264.32</v>
      </c>
      <c r="M830" s="21">
        <v>11800.29</v>
      </c>
      <c r="N830" s="21">
        <v>7900.68</v>
      </c>
      <c r="O830" s="21">
        <v>2635.29</v>
      </c>
      <c r="P830" t="s">
        <v>125</v>
      </c>
      <c r="Q830" t="s">
        <v>120</v>
      </c>
      <c r="R830" t="s">
        <v>151</v>
      </c>
      <c r="S830" t="s">
        <v>1806</v>
      </c>
      <c r="T830" t="s">
        <v>153</v>
      </c>
      <c r="U830" t="s">
        <v>154</v>
      </c>
      <c r="V830" t="str">
        <f>IFERROR(INDEX(Products!$C:$C,MATCH(D830,Products!$A:$A,0)),"Unknown")</f>
        <v>Women Sarees</v>
      </c>
      <c r="W830" t="str">
        <f>IFERROR(INDEX(Products!$E:$E,MATCH(D830,Products!$A:$A,0)),"Unknown")</f>
        <v>Westside</v>
      </c>
      <c r="X830" t="str">
        <f>IFERROR(INDEX(Stores!$B:$B,MATCH(E830,Stores!$A:$A,0)),"Unknown")</f>
        <v>TrendMart Kurnool Standard</v>
      </c>
      <c r="Y830" t="str">
        <f>IFERROR(INDEX(Stores!$E:$E,MATCH(E830,Stores!$A:$A,0)),"Unknown")</f>
        <v>South Zone 3</v>
      </c>
      <c r="Z830" t="str">
        <f>IFERROR(INDEX(Customers!$J:$J,MATCH(C830,Customers!$A:$A,0)),"Unknown")</f>
        <v>Regular</v>
      </c>
      <c r="AA830" t="str">
        <f t="shared" si="12"/>
        <v>2024-11</v>
      </c>
      <c r="AB830" t="str">
        <f>IFERROR(INDEX(Products!$I:$I,MATCH(D830,Products!$A:$A,0)),"Unknown")</f>
        <v>SUP069</v>
      </c>
    </row>
    <row r="831" spans="1:28" x14ac:dyDescent="0.25">
      <c r="A831" t="s">
        <v>2374</v>
      </c>
      <c r="B831" s="20">
        <v>45704</v>
      </c>
      <c r="C831" t="s">
        <v>2375</v>
      </c>
      <c r="D831" t="s">
        <v>317</v>
      </c>
      <c r="E831" t="s">
        <v>241</v>
      </c>
      <c r="F831" t="s">
        <v>189</v>
      </c>
      <c r="G831">
        <v>1</v>
      </c>
      <c r="H831" s="21">
        <v>2163.1</v>
      </c>
      <c r="I831">
        <v>30</v>
      </c>
      <c r="J831" s="21">
        <v>648.92999999999995</v>
      </c>
      <c r="K831">
        <v>12</v>
      </c>
      <c r="L831" s="21">
        <v>181.7</v>
      </c>
      <c r="M831" s="21">
        <v>1695.87</v>
      </c>
      <c r="N831" s="21">
        <v>1461.73</v>
      </c>
      <c r="O831" s="21">
        <v>52.44</v>
      </c>
      <c r="P831" t="s">
        <v>123</v>
      </c>
      <c r="Q831" t="s">
        <v>120</v>
      </c>
      <c r="R831" t="s">
        <v>151</v>
      </c>
      <c r="S831" t="s">
        <v>849</v>
      </c>
      <c r="T831" t="s">
        <v>161</v>
      </c>
      <c r="U831" t="s">
        <v>154</v>
      </c>
      <c r="V831" t="str">
        <f>IFERROR(INDEX(Products!$C:$C,MATCH(D831,Products!$A:$A,0)),"Unknown")</f>
        <v>Handbags</v>
      </c>
      <c r="W831" t="str">
        <f>IFERROR(INDEX(Products!$E:$E,MATCH(D831,Products!$A:$A,0)),"Unknown")</f>
        <v>Titan</v>
      </c>
      <c r="X831" t="str">
        <f>IFERROR(INDEX(Stores!$B:$B,MATCH(E831,Stores!$A:$A,0)),"Unknown")</f>
        <v>TrendMart Nizamabad Mall Kiosk</v>
      </c>
      <c r="Y831" t="str">
        <f>IFERROR(INDEX(Stores!$E:$E,MATCH(E831,Stores!$A:$A,0)),"Unknown")</f>
        <v>South Zone 2</v>
      </c>
      <c r="Z831" t="str">
        <f>IFERROR(INDEX(Customers!$J:$J,MATCH(C831,Customers!$A:$A,0)),"Unknown")</f>
        <v>Silver</v>
      </c>
      <c r="AA831" t="str">
        <f t="shared" si="12"/>
        <v>2025-02</v>
      </c>
      <c r="AB831" t="str">
        <f>IFERROR(INDEX(Products!$I:$I,MATCH(D831,Products!$A:$A,0)),"Unknown")</f>
        <v>SUP027</v>
      </c>
    </row>
    <row r="832" spans="1:28" x14ac:dyDescent="0.25">
      <c r="A832" t="s">
        <v>2376</v>
      </c>
      <c r="B832" s="20">
        <v>45512</v>
      </c>
      <c r="C832" t="s">
        <v>730</v>
      </c>
      <c r="D832" t="s">
        <v>273</v>
      </c>
      <c r="E832" t="s">
        <v>578</v>
      </c>
      <c r="F832" t="s">
        <v>253</v>
      </c>
      <c r="G832">
        <v>2</v>
      </c>
      <c r="H832" s="21">
        <v>1293.25</v>
      </c>
      <c r="I832">
        <v>5</v>
      </c>
      <c r="J832" s="21">
        <v>129.32</v>
      </c>
      <c r="K832">
        <v>12</v>
      </c>
      <c r="L832" s="21">
        <v>294.86</v>
      </c>
      <c r="M832" s="21">
        <v>2752.04</v>
      </c>
      <c r="N832" s="21">
        <v>1753.84</v>
      </c>
      <c r="O832" s="21">
        <v>703.34</v>
      </c>
      <c r="P832" t="s">
        <v>124</v>
      </c>
      <c r="Q832" t="s">
        <v>122</v>
      </c>
      <c r="R832" t="s">
        <v>151</v>
      </c>
      <c r="S832" t="s">
        <v>2377</v>
      </c>
      <c r="T832" t="s">
        <v>153</v>
      </c>
      <c r="U832" t="s">
        <v>154</v>
      </c>
      <c r="V832" t="str">
        <f>IFERROR(INDEX(Products!$C:$C,MATCH(D832,Products!$A:$A,0)),"Unknown")</f>
        <v>Women Kurtis</v>
      </c>
      <c r="W832" t="str">
        <f>IFERROR(INDEX(Products!$E:$E,MATCH(D832,Products!$A:$A,0)),"Unknown")</f>
        <v>Indian Terrain</v>
      </c>
      <c r="X832" t="str">
        <f>IFERROR(INDEX(Stores!$B:$B,MATCH(E832,Stores!$A:$A,0)),"Unknown")</f>
        <v>TrendMart Vellore Standard</v>
      </c>
      <c r="Y832" t="str">
        <f>IFERROR(INDEX(Stores!$E:$E,MATCH(E832,Stores!$A:$A,0)),"Unknown")</f>
        <v>South Zone 1</v>
      </c>
      <c r="Z832" t="str">
        <f>IFERROR(INDEX(Customers!$J:$J,MATCH(C832,Customers!$A:$A,0)),"Unknown")</f>
        <v>Gold</v>
      </c>
      <c r="AA832" t="str">
        <f t="shared" si="12"/>
        <v>2024-08</v>
      </c>
      <c r="AB832" t="str">
        <f>IFERROR(INDEX(Products!$I:$I,MATCH(D832,Products!$A:$A,0)),"Unknown")</f>
        <v>SUP006</v>
      </c>
    </row>
    <row r="833" spans="1:28" x14ac:dyDescent="0.25">
      <c r="A833" t="s">
        <v>2378</v>
      </c>
      <c r="B833" s="20">
        <v>45655</v>
      </c>
      <c r="C833" t="s">
        <v>1366</v>
      </c>
      <c r="D833" t="s">
        <v>2379</v>
      </c>
      <c r="E833" t="s">
        <v>216</v>
      </c>
      <c r="F833" t="s">
        <v>532</v>
      </c>
      <c r="G833">
        <v>3</v>
      </c>
      <c r="H833" s="21">
        <v>915.92</v>
      </c>
      <c r="I833">
        <v>5</v>
      </c>
      <c r="J833" s="21">
        <v>137.38999999999999</v>
      </c>
      <c r="K833">
        <v>5</v>
      </c>
      <c r="L833" s="21">
        <v>130.52000000000001</v>
      </c>
      <c r="M833" s="21">
        <v>2740.89</v>
      </c>
      <c r="N833" s="21">
        <v>1636.65</v>
      </c>
      <c r="O833" s="21">
        <v>973.72</v>
      </c>
      <c r="P833" t="s">
        <v>126</v>
      </c>
      <c r="Q833" t="s">
        <v>120</v>
      </c>
      <c r="R833" t="s">
        <v>313</v>
      </c>
      <c r="S833" t="s">
        <v>2380</v>
      </c>
      <c r="T833" t="s">
        <v>161</v>
      </c>
      <c r="U833" t="s">
        <v>154</v>
      </c>
      <c r="V833" t="str">
        <f>IFERROR(INDEX(Products!$C:$C,MATCH(D833,Products!$A:$A,0)),"Unknown")</f>
        <v>Wallets</v>
      </c>
      <c r="W833" t="str">
        <f>IFERROR(INDEX(Products!$E:$E,MATCH(D833,Products!$A:$A,0)),"Unknown")</f>
        <v>Pepe Jeans</v>
      </c>
      <c r="X833" t="str">
        <f>IFERROR(INDEX(Stores!$B:$B,MATCH(E833,Stores!$A:$A,0)),"Unknown")</f>
        <v>TrendMart Madurai Mall Kiosk</v>
      </c>
      <c r="Y833" t="str">
        <f>IFERROR(INDEX(Stores!$E:$E,MATCH(E833,Stores!$A:$A,0)),"Unknown")</f>
        <v>South Zone 1</v>
      </c>
      <c r="Z833" t="str">
        <f>IFERROR(INDEX(Customers!$J:$J,MATCH(C833,Customers!$A:$A,0)),"Unknown")</f>
        <v>Gold</v>
      </c>
      <c r="AA833" t="str">
        <f t="shared" si="12"/>
        <v>2024-12</v>
      </c>
      <c r="AB833" t="str">
        <f>IFERROR(INDEX(Products!$I:$I,MATCH(D833,Products!$A:$A,0)),"Unknown")</f>
        <v>SUP024</v>
      </c>
    </row>
    <row r="834" spans="1:28" x14ac:dyDescent="0.25">
      <c r="A834" t="s">
        <v>2381</v>
      </c>
      <c r="B834" s="20">
        <v>45498</v>
      </c>
      <c r="C834" t="s">
        <v>2268</v>
      </c>
      <c r="D834" t="s">
        <v>583</v>
      </c>
      <c r="E834" t="s">
        <v>391</v>
      </c>
      <c r="F834" t="s">
        <v>221</v>
      </c>
      <c r="G834">
        <v>5</v>
      </c>
      <c r="H834" s="21">
        <v>828.59</v>
      </c>
      <c r="I834">
        <v>20</v>
      </c>
      <c r="J834" s="21">
        <v>828.59</v>
      </c>
      <c r="K834">
        <v>5</v>
      </c>
      <c r="L834" s="21">
        <v>165.72</v>
      </c>
      <c r="M834" s="21">
        <v>3480.08</v>
      </c>
      <c r="N834" s="21">
        <v>3148.6</v>
      </c>
      <c r="O834" s="21">
        <v>165.76</v>
      </c>
      <c r="P834" t="s">
        <v>124</v>
      </c>
      <c r="Q834" t="s">
        <v>120</v>
      </c>
      <c r="R834" t="s">
        <v>151</v>
      </c>
      <c r="S834" t="s">
        <v>2149</v>
      </c>
      <c r="T834" t="s">
        <v>153</v>
      </c>
      <c r="U834" t="s">
        <v>154</v>
      </c>
      <c r="V834" t="str">
        <f>IFERROR(INDEX(Products!$C:$C,MATCH(D834,Products!$A:$A,0)),"Unknown")</f>
        <v>Women Tops</v>
      </c>
      <c r="W834" t="str">
        <f>IFERROR(INDEX(Products!$E:$E,MATCH(D834,Products!$A:$A,0)),"Unknown")</f>
        <v>Ramraj Cotton</v>
      </c>
      <c r="X834" t="str">
        <f>IFERROR(INDEX(Stores!$B:$B,MATCH(E834,Stores!$A:$A,0)),"Unknown")</f>
        <v>TrendMart Warangal High Street</v>
      </c>
      <c r="Y834" t="str">
        <f>IFERROR(INDEX(Stores!$E:$E,MATCH(E834,Stores!$A:$A,0)),"Unknown")</f>
        <v>South Zone 2</v>
      </c>
      <c r="Z834" t="str">
        <f>IFERROR(INDEX(Customers!$J:$J,MATCH(C834,Customers!$A:$A,0)),"Unknown")</f>
        <v>Gold</v>
      </c>
      <c r="AA834" t="str">
        <f t="shared" ref="AA834:AA897" si="13">TEXT(B834,"YYYY-MM")</f>
        <v>2024-07</v>
      </c>
      <c r="AB834" t="str">
        <f>IFERROR(INDEX(Products!$I:$I,MATCH(D834,Products!$A:$A,0)),"Unknown")</f>
        <v>SUP048</v>
      </c>
    </row>
    <row r="835" spans="1:28" x14ac:dyDescent="0.25">
      <c r="A835" t="s">
        <v>2382</v>
      </c>
      <c r="B835" s="20">
        <v>45476</v>
      </c>
      <c r="C835" t="s">
        <v>716</v>
      </c>
      <c r="D835" t="s">
        <v>210</v>
      </c>
      <c r="E835" t="s">
        <v>541</v>
      </c>
      <c r="F835" t="s">
        <v>182</v>
      </c>
      <c r="G835">
        <v>1</v>
      </c>
      <c r="H835" s="21">
        <v>1799.07</v>
      </c>
      <c r="I835">
        <v>15</v>
      </c>
      <c r="J835" s="21">
        <v>269.86</v>
      </c>
      <c r="K835">
        <v>12</v>
      </c>
      <c r="L835" s="21">
        <v>183.51</v>
      </c>
      <c r="M835" s="21">
        <v>1712.72</v>
      </c>
      <c r="N835" s="21">
        <v>1399.85</v>
      </c>
      <c r="O835" s="21">
        <v>129.36000000000001</v>
      </c>
      <c r="P835" t="s">
        <v>125</v>
      </c>
      <c r="Q835" t="s">
        <v>120</v>
      </c>
      <c r="R835" t="s">
        <v>151</v>
      </c>
      <c r="S835" t="s">
        <v>889</v>
      </c>
      <c r="T835" t="s">
        <v>153</v>
      </c>
      <c r="U835" t="s">
        <v>154</v>
      </c>
      <c r="V835" t="str">
        <f>IFERROR(INDEX(Products!$C:$C,MATCH(D835,Products!$A:$A,0)),"Unknown")</f>
        <v>Women Dresses</v>
      </c>
      <c r="W835" t="str">
        <f>IFERROR(INDEX(Products!$E:$E,MATCH(D835,Products!$A:$A,0)),"Unknown")</f>
        <v>Nike</v>
      </c>
      <c r="X835" t="str">
        <f>IFERROR(INDEX(Stores!$B:$B,MATCH(E835,Stores!$A:$A,0)),"Unknown")</f>
        <v>TrendMart Kochi Standard</v>
      </c>
      <c r="Y835" t="str">
        <f>IFERROR(INDEX(Stores!$E:$E,MATCH(E835,Stores!$A:$A,0)),"Unknown")</f>
        <v>South Zone 1</v>
      </c>
      <c r="Z835" t="str">
        <f>IFERROR(INDEX(Customers!$J:$J,MATCH(C835,Customers!$A:$A,0)),"Unknown")</f>
        <v>Silver</v>
      </c>
      <c r="AA835" t="str">
        <f t="shared" si="13"/>
        <v>2024-07</v>
      </c>
      <c r="AB835" t="str">
        <f>IFERROR(INDEX(Products!$I:$I,MATCH(D835,Products!$A:$A,0)),"Unknown")</f>
        <v>SUP073</v>
      </c>
    </row>
    <row r="836" spans="1:28" x14ac:dyDescent="0.25">
      <c r="A836" t="s">
        <v>2383</v>
      </c>
      <c r="B836" s="20">
        <v>45578</v>
      </c>
      <c r="C836" t="s">
        <v>730</v>
      </c>
      <c r="D836" t="s">
        <v>1504</v>
      </c>
      <c r="E836" t="s">
        <v>1163</v>
      </c>
      <c r="F836" t="s">
        <v>195</v>
      </c>
      <c r="G836">
        <v>2</v>
      </c>
      <c r="H836" s="21">
        <v>1815.79</v>
      </c>
      <c r="I836">
        <v>5</v>
      </c>
      <c r="J836" s="21">
        <v>181.58</v>
      </c>
      <c r="K836">
        <v>12</v>
      </c>
      <c r="L836" s="21">
        <v>414</v>
      </c>
      <c r="M836" s="21">
        <v>3864</v>
      </c>
      <c r="N836" s="21">
        <v>2289.1799999999998</v>
      </c>
      <c r="O836" s="21">
        <v>1160.82</v>
      </c>
      <c r="P836" t="s">
        <v>124</v>
      </c>
      <c r="Q836" t="s">
        <v>122</v>
      </c>
      <c r="R836" t="s">
        <v>151</v>
      </c>
      <c r="S836" t="s">
        <v>1310</v>
      </c>
      <c r="T836" t="s">
        <v>161</v>
      </c>
      <c r="U836" t="s">
        <v>154</v>
      </c>
      <c r="V836" t="str">
        <f>IFERROR(INDEX(Products!$C:$C,MATCH(D836,Products!$A:$A,0)),"Unknown")</f>
        <v>Women Dresses</v>
      </c>
      <c r="W836" t="str">
        <f>IFERROR(INDEX(Products!$E:$E,MATCH(D836,Products!$A:$A,0)),"Unknown")</f>
        <v>Westside</v>
      </c>
      <c r="X836" t="str">
        <f>IFERROR(INDEX(Stores!$B:$B,MATCH(E836,Stores!$A:$A,0)),"Unknown")</f>
        <v>TrendMart Alappuzha Outlet</v>
      </c>
      <c r="Y836" t="str">
        <f>IFERROR(INDEX(Stores!$E:$E,MATCH(E836,Stores!$A:$A,0)),"Unknown")</f>
        <v>South Zone 1</v>
      </c>
      <c r="Z836" t="str">
        <f>IFERROR(INDEX(Customers!$J:$J,MATCH(C836,Customers!$A:$A,0)),"Unknown")</f>
        <v>Gold</v>
      </c>
      <c r="AA836" t="str">
        <f t="shared" si="13"/>
        <v>2024-10</v>
      </c>
      <c r="AB836" t="str">
        <f>IFERROR(INDEX(Products!$I:$I,MATCH(D836,Products!$A:$A,0)),"Unknown")</f>
        <v>SUP010</v>
      </c>
    </row>
    <row r="837" spans="1:28" x14ac:dyDescent="0.25">
      <c r="A837" t="s">
        <v>2384</v>
      </c>
      <c r="B837" s="20">
        <v>45582</v>
      </c>
      <c r="C837" t="s">
        <v>1548</v>
      </c>
      <c r="D837" t="s">
        <v>858</v>
      </c>
      <c r="E837" t="s">
        <v>578</v>
      </c>
      <c r="F837" t="s">
        <v>221</v>
      </c>
      <c r="G837">
        <v>0</v>
      </c>
      <c r="H837" s="21">
        <v>667.21</v>
      </c>
      <c r="I837">
        <v>0</v>
      </c>
      <c r="J837" s="21">
        <v>0</v>
      </c>
      <c r="K837">
        <v>5</v>
      </c>
      <c r="L837" s="21">
        <v>0</v>
      </c>
      <c r="M837" s="21">
        <v>0</v>
      </c>
      <c r="N837" s="21">
        <v>0</v>
      </c>
      <c r="O837" s="21">
        <v>0</v>
      </c>
      <c r="P837" t="s">
        <v>123</v>
      </c>
      <c r="Q837" t="s">
        <v>120</v>
      </c>
      <c r="R837" t="s">
        <v>482</v>
      </c>
      <c r="S837" t="s">
        <v>2106</v>
      </c>
      <c r="T837" t="s">
        <v>153</v>
      </c>
      <c r="U837" t="s">
        <v>154</v>
      </c>
      <c r="V837" t="str">
        <f>IFERROR(INDEX(Products!$C:$C,MATCH(D837,Products!$A:$A,0)),"Unknown")</f>
        <v>Kids Wear</v>
      </c>
      <c r="W837" t="str">
        <f>IFERROR(INDEX(Products!$E:$E,MATCH(D837,Products!$A:$A,0)),"Unknown")</f>
        <v>Sonata</v>
      </c>
      <c r="X837" t="str">
        <f>IFERROR(INDEX(Stores!$B:$B,MATCH(E837,Stores!$A:$A,0)),"Unknown")</f>
        <v>TrendMart Vellore Standard</v>
      </c>
      <c r="Y837" t="str">
        <f>IFERROR(INDEX(Stores!$E:$E,MATCH(E837,Stores!$A:$A,0)),"Unknown")</f>
        <v>South Zone 1</v>
      </c>
      <c r="Z837" t="str">
        <f>IFERROR(INDEX(Customers!$J:$J,MATCH(C837,Customers!$A:$A,0)),"Unknown")</f>
        <v>Gold</v>
      </c>
      <c r="AA837" t="str">
        <f t="shared" si="13"/>
        <v>2024-10</v>
      </c>
      <c r="AB837" t="str">
        <f>IFERROR(INDEX(Products!$I:$I,MATCH(D837,Products!$A:$A,0)),"Unknown")</f>
        <v>SUP089</v>
      </c>
    </row>
    <row r="838" spans="1:28" x14ac:dyDescent="0.25">
      <c r="A838" t="s">
        <v>2385</v>
      </c>
      <c r="B838" s="20">
        <v>45585</v>
      </c>
      <c r="C838" t="s">
        <v>2386</v>
      </c>
      <c r="D838" t="s">
        <v>756</v>
      </c>
      <c r="E838" t="s">
        <v>910</v>
      </c>
      <c r="F838" t="s">
        <v>221</v>
      </c>
      <c r="G838">
        <v>1</v>
      </c>
      <c r="H838" s="21">
        <v>755.43</v>
      </c>
      <c r="I838">
        <v>10</v>
      </c>
      <c r="J838" s="21">
        <v>75.540000000000006</v>
      </c>
      <c r="K838">
        <v>5</v>
      </c>
      <c r="L838" s="21">
        <v>33.99</v>
      </c>
      <c r="M838" s="21">
        <v>713.88</v>
      </c>
      <c r="N838" s="21">
        <v>522.38</v>
      </c>
      <c r="O838" s="21">
        <v>157.51</v>
      </c>
      <c r="P838" t="s">
        <v>121</v>
      </c>
      <c r="Q838" t="s">
        <v>120</v>
      </c>
      <c r="R838" t="s">
        <v>151</v>
      </c>
      <c r="S838" t="s">
        <v>2387</v>
      </c>
      <c r="T838" t="s">
        <v>161</v>
      </c>
      <c r="U838" t="s">
        <v>154</v>
      </c>
      <c r="V838" t="str">
        <f>IFERROR(INDEX(Products!$C:$C,MATCH(D838,Products!$A:$A,0)),"Unknown")</f>
        <v>Women Tops</v>
      </c>
      <c r="W838" t="str">
        <f>IFERROR(INDEX(Products!$E:$E,MATCH(D838,Products!$A:$A,0)),"Unknown")</f>
        <v>Peter England</v>
      </c>
      <c r="X838" t="str">
        <f>IFERROR(INDEX(Stores!$B:$B,MATCH(E838,Stores!$A:$A,0)),"Unknown")</f>
        <v>TrendMart Karimnagar Standard</v>
      </c>
      <c r="Y838" t="str">
        <f>IFERROR(INDEX(Stores!$E:$E,MATCH(E838,Stores!$A:$A,0)),"Unknown")</f>
        <v>South Zone 2</v>
      </c>
      <c r="Z838" t="str">
        <f>IFERROR(INDEX(Customers!$J:$J,MATCH(C838,Customers!$A:$A,0)),"Unknown")</f>
        <v>Regular</v>
      </c>
      <c r="AA838" t="str">
        <f t="shared" si="13"/>
        <v>2024-10</v>
      </c>
      <c r="AB838" t="str">
        <f>IFERROR(INDEX(Products!$I:$I,MATCH(D838,Products!$A:$A,0)),"Unknown")</f>
        <v>SUP018</v>
      </c>
    </row>
    <row r="839" spans="1:28" x14ac:dyDescent="0.25">
      <c r="A839" t="s">
        <v>2388</v>
      </c>
      <c r="B839" s="20">
        <v>45471</v>
      </c>
      <c r="C839" t="s">
        <v>2389</v>
      </c>
      <c r="D839" t="s">
        <v>1312</v>
      </c>
      <c r="E839" t="s">
        <v>416</v>
      </c>
      <c r="F839" t="s">
        <v>275</v>
      </c>
      <c r="G839">
        <v>1</v>
      </c>
      <c r="H839" s="21">
        <v>1023.29</v>
      </c>
      <c r="I839">
        <v>0</v>
      </c>
      <c r="J839" s="21">
        <v>0</v>
      </c>
      <c r="K839">
        <v>12</v>
      </c>
      <c r="L839" s="21">
        <v>122.79</v>
      </c>
      <c r="M839" s="21">
        <v>1146.08</v>
      </c>
      <c r="N839" s="21">
        <v>767.11</v>
      </c>
      <c r="O839" s="21">
        <v>256.18</v>
      </c>
      <c r="P839" t="s">
        <v>125</v>
      </c>
      <c r="Q839" t="s">
        <v>120</v>
      </c>
      <c r="R839" t="s">
        <v>151</v>
      </c>
      <c r="S839" t="s">
        <v>872</v>
      </c>
      <c r="T839" t="s">
        <v>153</v>
      </c>
      <c r="U839" t="s">
        <v>154</v>
      </c>
      <c r="V839" t="str">
        <f>IFERROR(INDEX(Products!$C:$C,MATCH(D839,Products!$A:$A,0)),"Unknown")</f>
        <v>Women Kurtis</v>
      </c>
      <c r="W839" t="str">
        <f>IFERROR(INDEX(Products!$E:$E,MATCH(D839,Products!$A:$A,0)),"Unknown")</f>
        <v>Louis Philippe</v>
      </c>
      <c r="X839" t="str">
        <f>IFERROR(INDEX(Stores!$B:$B,MATCH(E839,Stores!$A:$A,0)),"Unknown")</f>
        <v>TrendMart Dindigul Standard</v>
      </c>
      <c r="Y839" t="str">
        <f>IFERROR(INDEX(Stores!$E:$E,MATCH(E839,Stores!$A:$A,0)),"Unknown")</f>
        <v>South Zone 1</v>
      </c>
      <c r="Z839" t="str">
        <f>IFERROR(INDEX(Customers!$J:$J,MATCH(C839,Customers!$A:$A,0)),"Unknown")</f>
        <v>Silver</v>
      </c>
      <c r="AA839" t="str">
        <f t="shared" si="13"/>
        <v>2024-06</v>
      </c>
      <c r="AB839" t="str">
        <f>IFERROR(INDEX(Products!$I:$I,MATCH(D839,Products!$A:$A,0)),"Unknown")</f>
        <v>SUP010</v>
      </c>
    </row>
    <row r="840" spans="1:28" x14ac:dyDescent="0.25">
      <c r="A840" t="s">
        <v>2390</v>
      </c>
      <c r="B840" s="20">
        <v>45474</v>
      </c>
      <c r="C840" t="s">
        <v>2391</v>
      </c>
      <c r="D840" t="s">
        <v>2392</v>
      </c>
      <c r="E840" t="s">
        <v>1325</v>
      </c>
      <c r="F840" t="s">
        <v>382</v>
      </c>
      <c r="G840">
        <v>1</v>
      </c>
      <c r="H840" s="21">
        <v>1075.55</v>
      </c>
      <c r="I840">
        <v>5</v>
      </c>
      <c r="J840" s="21">
        <v>53.78</v>
      </c>
      <c r="K840">
        <v>12</v>
      </c>
      <c r="L840" s="21">
        <v>122.61</v>
      </c>
      <c r="M840" s="21">
        <v>1144.3800000000001</v>
      </c>
      <c r="N840" s="21">
        <v>744</v>
      </c>
      <c r="O840" s="21">
        <v>277.77</v>
      </c>
      <c r="P840" t="s">
        <v>121</v>
      </c>
      <c r="Q840" t="s">
        <v>120</v>
      </c>
      <c r="R840" t="s">
        <v>151</v>
      </c>
      <c r="S840" t="s">
        <v>1243</v>
      </c>
      <c r="T840" t="s">
        <v>153</v>
      </c>
      <c r="U840" t="s">
        <v>154</v>
      </c>
      <c r="V840" t="str">
        <f>IFERROR(INDEX(Products!$C:$C,MATCH(D840,Products!$A:$A,0)),"Unknown")</f>
        <v>Women Kurtis</v>
      </c>
      <c r="W840" t="str">
        <f>IFERROR(INDEX(Products!$E:$E,MATCH(D840,Products!$A:$A,0)),"Unknown")</f>
        <v>Reebok</v>
      </c>
      <c r="X840" t="str">
        <f>IFERROR(INDEX(Stores!$B:$B,MATCH(E840,Stores!$A:$A,0)),"Unknown")</f>
        <v>TrendMart Thrissur Standard</v>
      </c>
      <c r="Y840" t="str">
        <f>IFERROR(INDEX(Stores!$E:$E,MATCH(E840,Stores!$A:$A,0)),"Unknown")</f>
        <v>South Zone 1</v>
      </c>
      <c r="Z840" t="str">
        <f>IFERROR(INDEX(Customers!$J:$J,MATCH(C840,Customers!$A:$A,0)),"Unknown")</f>
        <v>Silver</v>
      </c>
      <c r="AA840" t="str">
        <f t="shared" si="13"/>
        <v>2024-07</v>
      </c>
      <c r="AB840" t="str">
        <f>IFERROR(INDEX(Products!$I:$I,MATCH(D840,Products!$A:$A,0)),"Unknown")</f>
        <v>SUP029</v>
      </c>
    </row>
    <row r="841" spans="1:28" x14ac:dyDescent="0.25">
      <c r="A841" t="s">
        <v>2393</v>
      </c>
      <c r="B841" s="20">
        <v>45595</v>
      </c>
      <c r="C841" t="s">
        <v>1629</v>
      </c>
      <c r="D841" t="s">
        <v>756</v>
      </c>
      <c r="E841" t="s">
        <v>634</v>
      </c>
      <c r="F841" t="s">
        <v>275</v>
      </c>
      <c r="G841">
        <v>2</v>
      </c>
      <c r="H841" s="21">
        <v>767.26</v>
      </c>
      <c r="I841">
        <v>25</v>
      </c>
      <c r="J841" s="21">
        <v>383.63</v>
      </c>
      <c r="K841">
        <v>5</v>
      </c>
      <c r="L841" s="21">
        <v>57.54</v>
      </c>
      <c r="M841" s="21">
        <v>1208.43</v>
      </c>
      <c r="N841" s="21">
        <v>1044.76</v>
      </c>
      <c r="O841" s="21">
        <v>106.13</v>
      </c>
      <c r="P841" t="s">
        <v>123</v>
      </c>
      <c r="Q841" t="s">
        <v>120</v>
      </c>
      <c r="R841" t="s">
        <v>151</v>
      </c>
      <c r="S841" t="s">
        <v>1505</v>
      </c>
      <c r="T841" t="s">
        <v>153</v>
      </c>
      <c r="U841" t="s">
        <v>154</v>
      </c>
      <c r="V841" t="str">
        <f>IFERROR(INDEX(Products!$C:$C,MATCH(D841,Products!$A:$A,0)),"Unknown")</f>
        <v>Women Tops</v>
      </c>
      <c r="W841" t="str">
        <f>IFERROR(INDEX(Products!$E:$E,MATCH(D841,Products!$A:$A,0)),"Unknown")</f>
        <v>Peter England</v>
      </c>
      <c r="X841" t="str">
        <f>IFERROR(INDEX(Stores!$B:$B,MATCH(E841,Stores!$A:$A,0)),"Unknown")</f>
        <v>TrendMart Thrissur High Street</v>
      </c>
      <c r="Y841" t="str">
        <f>IFERROR(INDEX(Stores!$E:$E,MATCH(E841,Stores!$A:$A,0)),"Unknown")</f>
        <v>South Zone 1</v>
      </c>
      <c r="Z841" t="str">
        <f>IFERROR(INDEX(Customers!$J:$J,MATCH(C841,Customers!$A:$A,0)),"Unknown")</f>
        <v>Gold</v>
      </c>
      <c r="AA841" t="str">
        <f t="shared" si="13"/>
        <v>2024-10</v>
      </c>
      <c r="AB841" t="str">
        <f>IFERROR(INDEX(Products!$I:$I,MATCH(D841,Products!$A:$A,0)),"Unknown")</f>
        <v>SUP018</v>
      </c>
    </row>
    <row r="842" spans="1:28" x14ac:dyDescent="0.25">
      <c r="A842" t="s">
        <v>2394</v>
      </c>
      <c r="B842" s="20">
        <v>45549</v>
      </c>
      <c r="C842" t="s">
        <v>1159</v>
      </c>
      <c r="D842" t="s">
        <v>494</v>
      </c>
      <c r="E842" t="s">
        <v>906</v>
      </c>
      <c r="F842" t="s">
        <v>596</v>
      </c>
      <c r="G842">
        <v>2</v>
      </c>
      <c r="H842" s="21">
        <v>1890.53</v>
      </c>
      <c r="I842">
        <v>30</v>
      </c>
      <c r="J842" s="21">
        <v>1134.32</v>
      </c>
      <c r="K842">
        <v>12</v>
      </c>
      <c r="L842" s="21">
        <v>317.61</v>
      </c>
      <c r="M842" s="21">
        <v>2964.35</v>
      </c>
      <c r="N842" s="21">
        <v>2281.8000000000002</v>
      </c>
      <c r="O842" s="21">
        <v>364.94</v>
      </c>
      <c r="P842" t="s">
        <v>124</v>
      </c>
      <c r="Q842" t="s">
        <v>120</v>
      </c>
      <c r="R842" t="s">
        <v>151</v>
      </c>
      <c r="S842" t="s">
        <v>2395</v>
      </c>
      <c r="T842" t="s">
        <v>161</v>
      </c>
      <c r="U842" t="s">
        <v>154</v>
      </c>
      <c r="V842" t="str">
        <f>IFERROR(INDEX(Products!$C:$C,MATCH(D842,Products!$A:$A,0)),"Unknown")</f>
        <v>Women Dresses</v>
      </c>
      <c r="W842" t="str">
        <f>IFERROR(INDEX(Products!$E:$E,MATCH(D842,Products!$A:$A,0)),"Unknown")</f>
        <v>Reebok</v>
      </c>
      <c r="X842" t="str">
        <f>IFERROR(INDEX(Stores!$B:$B,MATCH(E842,Stores!$A:$A,0)),"Unknown")</f>
        <v>TrendMart Vijayawada Standard</v>
      </c>
      <c r="Y842" t="str">
        <f>IFERROR(INDEX(Stores!$E:$E,MATCH(E842,Stores!$A:$A,0)),"Unknown")</f>
        <v>South Zone 3</v>
      </c>
      <c r="Z842" t="str">
        <f>IFERROR(INDEX(Customers!$J:$J,MATCH(C842,Customers!$A:$A,0)),"Unknown")</f>
        <v>Silver</v>
      </c>
      <c r="AA842" t="str">
        <f t="shared" si="13"/>
        <v>2024-09</v>
      </c>
      <c r="AB842" t="str">
        <f>IFERROR(INDEX(Products!$I:$I,MATCH(D842,Products!$A:$A,0)),"Unknown")</f>
        <v>SUP085</v>
      </c>
    </row>
    <row r="843" spans="1:28" x14ac:dyDescent="0.25">
      <c r="A843" t="s">
        <v>2396</v>
      </c>
      <c r="B843" s="20">
        <v>45443</v>
      </c>
      <c r="C843" t="s">
        <v>739</v>
      </c>
      <c r="D843" t="s">
        <v>520</v>
      </c>
      <c r="E843" t="s">
        <v>302</v>
      </c>
      <c r="F843" t="s">
        <v>408</v>
      </c>
      <c r="G843">
        <v>3</v>
      </c>
      <c r="H843" s="21">
        <v>1375.56</v>
      </c>
      <c r="I843">
        <v>20</v>
      </c>
      <c r="J843" s="21">
        <v>825.34</v>
      </c>
      <c r="K843">
        <v>12</v>
      </c>
      <c r="L843" s="21">
        <v>396.16</v>
      </c>
      <c r="M843" s="21">
        <v>3697.5</v>
      </c>
      <c r="N843" s="21">
        <v>2709.9</v>
      </c>
      <c r="O843" s="21">
        <v>591.44000000000005</v>
      </c>
      <c r="P843" t="s">
        <v>124</v>
      </c>
      <c r="Q843" t="s">
        <v>122</v>
      </c>
      <c r="R843" t="s">
        <v>151</v>
      </c>
      <c r="S843" t="s">
        <v>2326</v>
      </c>
      <c r="T843" t="s">
        <v>153</v>
      </c>
      <c r="U843" t="s">
        <v>154</v>
      </c>
      <c r="V843" t="str">
        <f>IFERROR(INDEX(Products!$C:$C,MATCH(D843,Products!$A:$A,0)),"Unknown")</f>
        <v>Wallets</v>
      </c>
      <c r="W843" t="str">
        <f>IFERROR(INDEX(Products!$E:$E,MATCH(D843,Products!$A:$A,0)),"Unknown")</f>
        <v>Nike</v>
      </c>
      <c r="X843" t="str">
        <f>IFERROR(INDEX(Stores!$B:$B,MATCH(E843,Stores!$A:$A,0)),"Unknown")</f>
        <v>TrendMart Visakhapatnam Standard</v>
      </c>
      <c r="Y843" t="str">
        <f>IFERROR(INDEX(Stores!$E:$E,MATCH(E843,Stores!$A:$A,0)),"Unknown")</f>
        <v>South Zone 3</v>
      </c>
      <c r="Z843" t="str">
        <f>IFERROR(INDEX(Customers!$J:$J,MATCH(C843,Customers!$A:$A,0)),"Unknown")</f>
        <v>Silver</v>
      </c>
      <c r="AA843" t="str">
        <f t="shared" si="13"/>
        <v>2024-05</v>
      </c>
      <c r="AB843" t="str">
        <f>IFERROR(INDEX(Products!$I:$I,MATCH(D843,Products!$A:$A,0)),"Unknown")</f>
        <v>SUP027</v>
      </c>
    </row>
    <row r="844" spans="1:28" x14ac:dyDescent="0.25">
      <c r="A844" t="s">
        <v>2397</v>
      </c>
      <c r="B844" s="20">
        <v>45541</v>
      </c>
      <c r="C844" t="s">
        <v>1207</v>
      </c>
      <c r="D844" t="s">
        <v>926</v>
      </c>
      <c r="E844" t="s">
        <v>1187</v>
      </c>
      <c r="F844" t="s">
        <v>382</v>
      </c>
      <c r="G844">
        <v>2</v>
      </c>
      <c r="H844" s="21">
        <v>1215.44</v>
      </c>
      <c r="I844">
        <v>25</v>
      </c>
      <c r="J844" s="21">
        <v>607.72</v>
      </c>
      <c r="K844">
        <v>12</v>
      </c>
      <c r="L844" s="21">
        <v>218.78</v>
      </c>
      <c r="M844" s="21">
        <v>2041.94</v>
      </c>
      <c r="N844" s="21">
        <v>1621.24</v>
      </c>
      <c r="O844" s="21">
        <v>201.92</v>
      </c>
      <c r="P844" t="s">
        <v>124</v>
      </c>
      <c r="Q844" t="s">
        <v>122</v>
      </c>
      <c r="R844" t="s">
        <v>151</v>
      </c>
      <c r="S844" t="s">
        <v>2060</v>
      </c>
      <c r="T844" t="s">
        <v>153</v>
      </c>
      <c r="U844" t="s">
        <v>154</v>
      </c>
      <c r="V844" t="str">
        <f>IFERROR(INDEX(Products!$C:$C,MATCH(D844,Products!$A:$A,0)),"Unknown")</f>
        <v>Women Dresses</v>
      </c>
      <c r="W844" t="str">
        <f>IFERROR(INDEX(Products!$E:$E,MATCH(D844,Products!$A:$A,0)),"Unknown")</f>
        <v>Fabindia</v>
      </c>
      <c r="X844" t="str">
        <f>IFERROR(INDEX(Stores!$B:$B,MATCH(E844,Stores!$A:$A,0)),"Unknown")</f>
        <v>TrendMart Vijayawada Mall Kiosk</v>
      </c>
      <c r="Y844" t="str">
        <f>IFERROR(INDEX(Stores!$E:$E,MATCH(E844,Stores!$A:$A,0)),"Unknown")</f>
        <v>South Zone 3</v>
      </c>
      <c r="Z844" t="str">
        <f>IFERROR(INDEX(Customers!$J:$J,MATCH(C844,Customers!$A:$A,0)),"Unknown")</f>
        <v>Silver</v>
      </c>
      <c r="AA844" t="str">
        <f t="shared" si="13"/>
        <v>2024-09</v>
      </c>
      <c r="AB844" t="str">
        <f>IFERROR(INDEX(Products!$I:$I,MATCH(D844,Products!$A:$A,0)),"Unknown")</f>
        <v>SUP059</v>
      </c>
    </row>
    <row r="845" spans="1:28" x14ac:dyDescent="0.25">
      <c r="A845" t="s">
        <v>2398</v>
      </c>
      <c r="B845" s="20">
        <v>45719</v>
      </c>
      <c r="C845" t="s">
        <v>2399</v>
      </c>
      <c r="D845" t="s">
        <v>599</v>
      </c>
      <c r="E845" t="s">
        <v>927</v>
      </c>
      <c r="F845" t="s">
        <v>286</v>
      </c>
      <c r="G845">
        <v>3</v>
      </c>
      <c r="H845" s="21">
        <v>966.77</v>
      </c>
      <c r="I845">
        <v>5</v>
      </c>
      <c r="J845" s="21">
        <v>145.02000000000001</v>
      </c>
      <c r="K845">
        <v>5</v>
      </c>
      <c r="L845" s="21">
        <v>137.76</v>
      </c>
      <c r="M845" s="21">
        <v>2893.05</v>
      </c>
      <c r="N845" s="21">
        <v>1936.77</v>
      </c>
      <c r="O845" s="21">
        <v>818.52</v>
      </c>
      <c r="P845" t="s">
        <v>121</v>
      </c>
      <c r="Q845" t="s">
        <v>120</v>
      </c>
      <c r="R845" t="s">
        <v>151</v>
      </c>
      <c r="S845" t="s">
        <v>243</v>
      </c>
      <c r="T845" t="s">
        <v>153</v>
      </c>
      <c r="U845" t="s">
        <v>154</v>
      </c>
      <c r="V845" t="str">
        <f>IFERROR(INDEX(Products!$C:$C,MATCH(D845,Products!$A:$A,0)),"Unknown")</f>
        <v>Men Shirts</v>
      </c>
      <c r="W845" t="str">
        <f>IFERROR(INDEX(Products!$E:$E,MATCH(D845,Products!$A:$A,0)),"Unknown")</f>
        <v>Van Heusen</v>
      </c>
      <c r="X845" t="str">
        <f>IFERROR(INDEX(Stores!$B:$B,MATCH(E845,Stores!$A:$A,0)),"Unknown")</f>
        <v>TrendMart Kochi Mall Kiosk</v>
      </c>
      <c r="Y845" t="str">
        <f>IFERROR(INDEX(Stores!$E:$E,MATCH(E845,Stores!$A:$A,0)),"Unknown")</f>
        <v>South Zone 1</v>
      </c>
      <c r="Z845" t="str">
        <f>IFERROR(INDEX(Customers!$J:$J,MATCH(C845,Customers!$A:$A,0)),"Unknown")</f>
        <v>Gold</v>
      </c>
      <c r="AA845" t="str">
        <f t="shared" si="13"/>
        <v>2025-03</v>
      </c>
      <c r="AB845" t="str">
        <f>IFERROR(INDEX(Products!$I:$I,MATCH(D845,Products!$A:$A,0)),"Unknown")</f>
        <v>SUP084</v>
      </c>
    </row>
    <row r="846" spans="1:28" x14ac:dyDescent="0.25">
      <c r="A846" t="s">
        <v>2400</v>
      </c>
      <c r="B846" s="20">
        <v>45692</v>
      </c>
      <c r="C846" t="s">
        <v>2401</v>
      </c>
      <c r="D846" t="s">
        <v>2402</v>
      </c>
      <c r="E846" t="s">
        <v>1512</v>
      </c>
      <c r="F846" t="s">
        <v>159</v>
      </c>
      <c r="G846">
        <v>1</v>
      </c>
      <c r="H846" s="21">
        <v>2005.64</v>
      </c>
      <c r="I846">
        <v>10</v>
      </c>
      <c r="J846" s="21">
        <v>200.56</v>
      </c>
      <c r="K846">
        <v>12</v>
      </c>
      <c r="L846" s="21">
        <v>216.61</v>
      </c>
      <c r="M846" s="21">
        <v>2021.69</v>
      </c>
      <c r="N846" s="21">
        <v>1365.65</v>
      </c>
      <c r="O846" s="21">
        <v>439.43</v>
      </c>
      <c r="P846" t="s">
        <v>121</v>
      </c>
      <c r="Q846" t="s">
        <v>120</v>
      </c>
      <c r="R846" t="s">
        <v>151</v>
      </c>
      <c r="S846" t="s">
        <v>1289</v>
      </c>
      <c r="T846" t="s">
        <v>153</v>
      </c>
      <c r="U846" t="s">
        <v>154</v>
      </c>
      <c r="V846" t="str">
        <f>IFERROR(INDEX(Products!$C:$C,MATCH(D846,Products!$A:$A,0)),"Unknown")</f>
        <v>Handbags</v>
      </c>
      <c r="W846" t="str">
        <f>IFERROR(INDEX(Products!$E:$E,MATCH(D846,Products!$A:$A,0)),"Unknown")</f>
        <v>Allen Solly</v>
      </c>
      <c r="X846" t="str">
        <f>IFERROR(INDEX(Stores!$B:$B,MATCH(E846,Stores!$A:$A,0)),"Unknown")</f>
        <v>TrendMart Erode Mall Kiosk</v>
      </c>
      <c r="Y846" t="str">
        <f>IFERROR(INDEX(Stores!$E:$E,MATCH(E846,Stores!$A:$A,0)),"Unknown")</f>
        <v>South Zone 1</v>
      </c>
      <c r="Z846" t="str">
        <f>IFERROR(INDEX(Customers!$J:$J,MATCH(C846,Customers!$A:$A,0)),"Unknown")</f>
        <v>Regular</v>
      </c>
      <c r="AA846" t="str">
        <f t="shared" si="13"/>
        <v>2025-02</v>
      </c>
      <c r="AB846" t="str">
        <f>IFERROR(INDEX(Products!$I:$I,MATCH(D846,Products!$A:$A,0)),"Unknown")</f>
        <v>SUP043</v>
      </c>
    </row>
    <row r="847" spans="1:28" x14ac:dyDescent="0.25">
      <c r="A847" t="s">
        <v>2403</v>
      </c>
      <c r="B847" s="20">
        <v>45395</v>
      </c>
      <c r="C847" t="s">
        <v>1747</v>
      </c>
      <c r="D847" t="s">
        <v>926</v>
      </c>
      <c r="E847" t="s">
        <v>396</v>
      </c>
      <c r="F847" t="s">
        <v>159</v>
      </c>
      <c r="G847">
        <v>1</v>
      </c>
      <c r="H847" s="21">
        <v>1153.0899999999999</v>
      </c>
      <c r="I847">
        <v>5</v>
      </c>
      <c r="J847" s="21">
        <v>57.65</v>
      </c>
      <c r="K847">
        <v>12</v>
      </c>
      <c r="L847" s="21">
        <v>131.44999999999999</v>
      </c>
      <c r="M847" s="21">
        <v>1226.8900000000001</v>
      </c>
      <c r="N847" s="21">
        <v>810.62</v>
      </c>
      <c r="O847" s="21">
        <v>284.82</v>
      </c>
      <c r="P847" t="s">
        <v>121</v>
      </c>
      <c r="Q847" t="s">
        <v>120</v>
      </c>
      <c r="R847" t="s">
        <v>151</v>
      </c>
      <c r="S847" t="s">
        <v>2249</v>
      </c>
      <c r="T847" t="s">
        <v>161</v>
      </c>
      <c r="U847" t="s">
        <v>154</v>
      </c>
      <c r="V847" t="str">
        <f>IFERROR(INDEX(Products!$C:$C,MATCH(D847,Products!$A:$A,0)),"Unknown")</f>
        <v>Women Dresses</v>
      </c>
      <c r="W847" t="str">
        <f>IFERROR(INDEX(Products!$E:$E,MATCH(D847,Products!$A:$A,0)),"Unknown")</f>
        <v>Fabindia</v>
      </c>
      <c r="X847" t="str">
        <f>IFERROR(INDEX(Stores!$B:$B,MATCH(E847,Stores!$A:$A,0)),"Unknown")</f>
        <v>TrendMart Davanagere High Street</v>
      </c>
      <c r="Y847" t="str">
        <f>IFERROR(INDEX(Stores!$E:$E,MATCH(E847,Stores!$A:$A,0)),"Unknown")</f>
        <v>South Zone 2</v>
      </c>
      <c r="Z847" t="str">
        <f>IFERROR(INDEX(Customers!$J:$J,MATCH(C847,Customers!$A:$A,0)),"Unknown")</f>
        <v>Regular</v>
      </c>
      <c r="AA847" t="str">
        <f t="shared" si="13"/>
        <v>2024-04</v>
      </c>
      <c r="AB847" t="str">
        <f>IFERROR(INDEX(Products!$I:$I,MATCH(D847,Products!$A:$A,0)),"Unknown")</f>
        <v>SUP059</v>
      </c>
    </row>
    <row r="848" spans="1:28" x14ac:dyDescent="0.25">
      <c r="A848" t="s">
        <v>2404</v>
      </c>
      <c r="B848" s="20">
        <v>45481</v>
      </c>
      <c r="C848" t="s">
        <v>2405</v>
      </c>
      <c r="D848" t="s">
        <v>697</v>
      </c>
      <c r="E848" t="s">
        <v>810</v>
      </c>
      <c r="F848" t="s">
        <v>618</v>
      </c>
      <c r="G848">
        <v>3</v>
      </c>
      <c r="H848" s="21">
        <v>1097.9100000000001</v>
      </c>
      <c r="I848">
        <v>0</v>
      </c>
      <c r="J848" s="21">
        <v>0</v>
      </c>
      <c r="K848">
        <v>12</v>
      </c>
      <c r="L848" s="21">
        <v>395.25</v>
      </c>
      <c r="M848" s="21">
        <v>3688.98</v>
      </c>
      <c r="N848" s="21">
        <v>2099.52</v>
      </c>
      <c r="O848" s="21">
        <v>1194.21</v>
      </c>
      <c r="P848" t="s">
        <v>125</v>
      </c>
      <c r="Q848" t="s">
        <v>122</v>
      </c>
      <c r="R848" t="s">
        <v>151</v>
      </c>
      <c r="S848" t="s">
        <v>1485</v>
      </c>
      <c r="T848" t="s">
        <v>153</v>
      </c>
      <c r="U848" t="s">
        <v>154</v>
      </c>
      <c r="V848" t="str">
        <f>IFERROR(INDEX(Products!$C:$C,MATCH(D848,Products!$A:$A,0)),"Unknown")</f>
        <v>Women Tops</v>
      </c>
      <c r="W848" t="str">
        <f>IFERROR(INDEX(Products!$E:$E,MATCH(D848,Products!$A:$A,0)),"Unknown")</f>
        <v>Nalli Silks</v>
      </c>
      <c r="X848" t="str">
        <f>IFERROR(INDEX(Stores!$B:$B,MATCH(E848,Stores!$A:$A,0)),"Unknown")</f>
        <v>TrendMart Nizamabad Standard</v>
      </c>
      <c r="Y848" t="str">
        <f>IFERROR(INDEX(Stores!$E:$E,MATCH(E848,Stores!$A:$A,0)),"Unknown")</f>
        <v>South Zone 2</v>
      </c>
      <c r="Z848" t="str">
        <f>IFERROR(INDEX(Customers!$J:$J,MATCH(C848,Customers!$A:$A,0)),"Unknown")</f>
        <v>Platinum</v>
      </c>
      <c r="AA848" t="str">
        <f t="shared" si="13"/>
        <v>2024-07</v>
      </c>
      <c r="AB848" t="str">
        <f>IFERROR(INDEX(Products!$I:$I,MATCH(D848,Products!$A:$A,0)),"Unknown")</f>
        <v>SUP008</v>
      </c>
    </row>
    <row r="849" spans="1:28" x14ac:dyDescent="0.25">
      <c r="A849" t="s">
        <v>2406</v>
      </c>
      <c r="B849" s="20">
        <v>45520</v>
      </c>
      <c r="C849" t="s">
        <v>2407</v>
      </c>
      <c r="D849" t="s">
        <v>937</v>
      </c>
      <c r="E849" t="s">
        <v>639</v>
      </c>
      <c r="F849" t="s">
        <v>377</v>
      </c>
      <c r="G849">
        <v>4</v>
      </c>
      <c r="H849" s="21">
        <v>1237.83</v>
      </c>
      <c r="I849">
        <v>25</v>
      </c>
      <c r="J849" s="21">
        <v>1237.83</v>
      </c>
      <c r="K849">
        <v>12</v>
      </c>
      <c r="L849" s="21">
        <v>445.62</v>
      </c>
      <c r="M849" s="21">
        <v>4159.1099999999997</v>
      </c>
      <c r="N849" s="21">
        <v>3447.2</v>
      </c>
      <c r="O849" s="21">
        <v>266.29000000000002</v>
      </c>
      <c r="P849" t="s">
        <v>126</v>
      </c>
      <c r="Q849" t="s">
        <v>122</v>
      </c>
      <c r="R849" t="s">
        <v>151</v>
      </c>
      <c r="S849" t="s">
        <v>896</v>
      </c>
      <c r="T849" t="s">
        <v>153</v>
      </c>
      <c r="U849" t="s">
        <v>154</v>
      </c>
      <c r="V849" t="str">
        <f>IFERROR(INDEX(Products!$C:$C,MATCH(D849,Products!$A:$A,0)),"Unknown")</f>
        <v>Men Shirts</v>
      </c>
      <c r="W849" t="str">
        <f>IFERROR(INDEX(Products!$E:$E,MATCH(D849,Products!$A:$A,0)),"Unknown")</f>
        <v>Skechers</v>
      </c>
      <c r="X849" t="str">
        <f>IFERROR(INDEX(Stores!$B:$B,MATCH(E849,Stores!$A:$A,0)),"Unknown")</f>
        <v>TrendMart Kurnool Outlet</v>
      </c>
      <c r="Y849" t="str">
        <f>IFERROR(INDEX(Stores!$E:$E,MATCH(E849,Stores!$A:$A,0)),"Unknown")</f>
        <v>South Zone 3</v>
      </c>
      <c r="Z849" t="str">
        <f>IFERROR(INDEX(Customers!$J:$J,MATCH(C849,Customers!$A:$A,0)),"Unknown")</f>
        <v>Gold</v>
      </c>
      <c r="AA849" t="str">
        <f t="shared" si="13"/>
        <v>2024-08</v>
      </c>
      <c r="AB849" t="str">
        <f>IFERROR(INDEX(Products!$I:$I,MATCH(D849,Products!$A:$A,0)),"Unknown")</f>
        <v>SUP042</v>
      </c>
    </row>
    <row r="850" spans="1:28" x14ac:dyDescent="0.25">
      <c r="A850" t="s">
        <v>2408</v>
      </c>
      <c r="B850" s="20">
        <v>45444</v>
      </c>
      <c r="C850" t="s">
        <v>2409</v>
      </c>
      <c r="D850" t="s">
        <v>599</v>
      </c>
      <c r="E850" t="s">
        <v>1163</v>
      </c>
      <c r="F850" t="s">
        <v>335</v>
      </c>
      <c r="G850">
        <v>1</v>
      </c>
      <c r="H850" s="21">
        <v>1145.18</v>
      </c>
      <c r="I850">
        <v>25</v>
      </c>
      <c r="J850" s="21">
        <v>286.3</v>
      </c>
      <c r="K850">
        <v>12</v>
      </c>
      <c r="L850" s="21">
        <v>103.07</v>
      </c>
      <c r="M850" s="21">
        <v>961.95</v>
      </c>
      <c r="N850" s="21">
        <v>645.59</v>
      </c>
      <c r="O850" s="21">
        <v>213.29</v>
      </c>
      <c r="P850" t="s">
        <v>123</v>
      </c>
      <c r="Q850" t="s">
        <v>120</v>
      </c>
      <c r="R850" t="s">
        <v>151</v>
      </c>
      <c r="S850" t="s">
        <v>2410</v>
      </c>
      <c r="T850" t="s">
        <v>161</v>
      </c>
      <c r="U850" t="s">
        <v>154</v>
      </c>
      <c r="V850" t="str">
        <f>IFERROR(INDEX(Products!$C:$C,MATCH(D850,Products!$A:$A,0)),"Unknown")</f>
        <v>Men Shirts</v>
      </c>
      <c r="W850" t="str">
        <f>IFERROR(INDEX(Products!$E:$E,MATCH(D850,Products!$A:$A,0)),"Unknown")</f>
        <v>Van Heusen</v>
      </c>
      <c r="X850" t="str">
        <f>IFERROR(INDEX(Stores!$B:$B,MATCH(E850,Stores!$A:$A,0)),"Unknown")</f>
        <v>TrendMart Alappuzha Outlet</v>
      </c>
      <c r="Y850" t="str">
        <f>IFERROR(INDEX(Stores!$E:$E,MATCH(E850,Stores!$A:$A,0)),"Unknown")</f>
        <v>South Zone 1</v>
      </c>
      <c r="Z850" t="str">
        <f>IFERROR(INDEX(Customers!$J:$J,MATCH(C850,Customers!$A:$A,0)),"Unknown")</f>
        <v>Regular</v>
      </c>
      <c r="AA850" t="str">
        <f t="shared" si="13"/>
        <v>2024-06</v>
      </c>
      <c r="AB850" t="str">
        <f>IFERROR(INDEX(Products!$I:$I,MATCH(D850,Products!$A:$A,0)),"Unknown")</f>
        <v>SUP084</v>
      </c>
    </row>
    <row r="851" spans="1:28" x14ac:dyDescent="0.25">
      <c r="A851" t="s">
        <v>2411</v>
      </c>
      <c r="B851" s="20">
        <v>45486</v>
      </c>
      <c r="C851" t="s">
        <v>2412</v>
      </c>
      <c r="D851" t="s">
        <v>215</v>
      </c>
      <c r="E851" t="s">
        <v>93</v>
      </c>
      <c r="F851" t="s">
        <v>297</v>
      </c>
      <c r="G851">
        <v>2</v>
      </c>
      <c r="H851" s="21">
        <v>1227.56</v>
      </c>
      <c r="I851">
        <v>5</v>
      </c>
      <c r="J851" s="21">
        <v>122.76</v>
      </c>
      <c r="K851">
        <v>12</v>
      </c>
      <c r="L851" s="21">
        <v>279.88</v>
      </c>
      <c r="M851" s="21">
        <v>2612.2399999999998</v>
      </c>
      <c r="N851" s="21">
        <v>1656.88</v>
      </c>
      <c r="O851" s="21">
        <v>675.48</v>
      </c>
      <c r="P851" t="s">
        <v>125</v>
      </c>
      <c r="Q851" t="s">
        <v>120</v>
      </c>
      <c r="R851" t="s">
        <v>151</v>
      </c>
      <c r="S851" t="s">
        <v>988</v>
      </c>
      <c r="T851" t="s">
        <v>161</v>
      </c>
      <c r="U851" t="s">
        <v>154</v>
      </c>
      <c r="V851" t="str">
        <f>IFERROR(INDEX(Products!$C:$C,MATCH(D851,Products!$A:$A,0)),"Unknown")</f>
        <v>Men Jeans</v>
      </c>
      <c r="W851" t="str">
        <f>IFERROR(INDEX(Products!$E:$E,MATCH(D851,Products!$A:$A,0)),"Unknown")</f>
        <v>Metro Shoes</v>
      </c>
      <c r="X851" t="str">
        <f>IFERROR(INDEX(Stores!$B:$B,MATCH(E851,Stores!$A:$A,0)),"Unknown")</f>
        <v>TrendMart Thiruvananthapuram High Street</v>
      </c>
      <c r="Y851" t="str">
        <f>IFERROR(INDEX(Stores!$E:$E,MATCH(E851,Stores!$A:$A,0)),"Unknown")</f>
        <v>South Zone 1</v>
      </c>
      <c r="Z851" t="str">
        <f>IFERROR(INDEX(Customers!$J:$J,MATCH(C851,Customers!$A:$A,0)),"Unknown")</f>
        <v>Gold</v>
      </c>
      <c r="AA851" t="str">
        <f t="shared" si="13"/>
        <v>2024-07</v>
      </c>
      <c r="AB851" t="str">
        <f>IFERROR(INDEX(Products!$I:$I,MATCH(D851,Products!$A:$A,0)),"Unknown")</f>
        <v>SUP022</v>
      </c>
    </row>
    <row r="852" spans="1:28" x14ac:dyDescent="0.25">
      <c r="A852" t="s">
        <v>2413</v>
      </c>
      <c r="B852" s="20">
        <v>45480</v>
      </c>
      <c r="C852" t="s">
        <v>2050</v>
      </c>
      <c r="D852" t="s">
        <v>205</v>
      </c>
      <c r="E852" t="s">
        <v>1591</v>
      </c>
      <c r="F852" t="s">
        <v>579</v>
      </c>
      <c r="G852">
        <v>5</v>
      </c>
      <c r="H852" s="21">
        <v>1056.45</v>
      </c>
      <c r="I852">
        <v>0</v>
      </c>
      <c r="J852" s="21">
        <v>0</v>
      </c>
      <c r="K852">
        <v>12</v>
      </c>
      <c r="L852" s="21">
        <v>633.87</v>
      </c>
      <c r="M852" s="21">
        <v>5916.12</v>
      </c>
      <c r="N852" s="21">
        <v>3462.65</v>
      </c>
      <c r="O852" s="21">
        <v>1819.6</v>
      </c>
      <c r="P852" t="s">
        <v>121</v>
      </c>
      <c r="Q852" t="s">
        <v>122</v>
      </c>
      <c r="R852" t="s">
        <v>151</v>
      </c>
      <c r="S852" t="s">
        <v>2414</v>
      </c>
      <c r="T852" t="s">
        <v>161</v>
      </c>
      <c r="U852" t="s">
        <v>154</v>
      </c>
      <c r="V852" t="str">
        <f>IFERROR(INDEX(Products!$C:$C,MATCH(D852,Products!$A:$A,0)),"Unknown")</f>
        <v>Women Jeans</v>
      </c>
      <c r="W852" t="str">
        <f>IFERROR(INDEX(Products!$E:$E,MATCH(D852,Products!$A:$A,0)),"Unknown")</f>
        <v>Sonata</v>
      </c>
      <c r="X852" t="str">
        <f>IFERROR(INDEX(Stores!$B:$B,MATCH(E852,Stores!$A:$A,0)),"Unknown")</f>
        <v>TrendMart Guntur Standard</v>
      </c>
      <c r="Y852" t="str">
        <f>IFERROR(INDEX(Stores!$E:$E,MATCH(E852,Stores!$A:$A,0)),"Unknown")</f>
        <v>South Zone 3</v>
      </c>
      <c r="Z852" t="str">
        <f>IFERROR(INDEX(Customers!$J:$J,MATCH(C852,Customers!$A:$A,0)),"Unknown")</f>
        <v>Gold</v>
      </c>
      <c r="AA852" t="str">
        <f t="shared" si="13"/>
        <v>2024-07</v>
      </c>
      <c r="AB852" t="str">
        <f>IFERROR(INDEX(Products!$I:$I,MATCH(D852,Products!$A:$A,0)),"Unknown")</f>
        <v>SUP014</v>
      </c>
    </row>
    <row r="853" spans="1:28" x14ac:dyDescent="0.25">
      <c r="A853" t="s">
        <v>2415</v>
      </c>
      <c r="B853" s="20">
        <v>45388</v>
      </c>
      <c r="C853" t="s">
        <v>2416</v>
      </c>
      <c r="D853" t="s">
        <v>1407</v>
      </c>
      <c r="E853" t="s">
        <v>83</v>
      </c>
      <c r="F853" t="s">
        <v>377</v>
      </c>
      <c r="G853">
        <v>3</v>
      </c>
      <c r="H853" s="21">
        <v>1291.21</v>
      </c>
      <c r="I853">
        <v>10</v>
      </c>
      <c r="J853" s="21">
        <v>387.36</v>
      </c>
      <c r="K853">
        <v>12</v>
      </c>
      <c r="L853" s="21">
        <v>418.35</v>
      </c>
      <c r="M853" s="21">
        <v>3904.62</v>
      </c>
      <c r="N853" s="21">
        <v>2295.69</v>
      </c>
      <c r="O853" s="21">
        <v>1190.58</v>
      </c>
      <c r="P853" t="s">
        <v>121</v>
      </c>
      <c r="Q853" t="s">
        <v>120</v>
      </c>
      <c r="R853" t="s">
        <v>151</v>
      </c>
      <c r="S853" t="s">
        <v>1145</v>
      </c>
      <c r="T853" t="s">
        <v>161</v>
      </c>
      <c r="U853" t="s">
        <v>154</v>
      </c>
      <c r="V853" t="str">
        <f>IFERROR(INDEX(Products!$C:$C,MATCH(D853,Products!$A:$A,0)),"Unknown")</f>
        <v>Belts</v>
      </c>
      <c r="W853" t="str">
        <f>IFERROR(INDEX(Products!$E:$E,MATCH(D853,Products!$A:$A,0)),"Unknown")</f>
        <v>Pantaloons</v>
      </c>
      <c r="X853" t="str">
        <f>IFERROR(INDEX(Stores!$B:$B,MATCH(E853,Stores!$A:$A,0)),"Unknown")</f>
        <v>TrendMart Vellore Standard</v>
      </c>
      <c r="Y853" t="str">
        <f>IFERROR(INDEX(Stores!$E:$E,MATCH(E853,Stores!$A:$A,0)),"Unknown")</f>
        <v>South Zone 1</v>
      </c>
      <c r="Z853" t="str">
        <f>IFERROR(INDEX(Customers!$J:$J,MATCH(C853,Customers!$A:$A,0)),"Unknown")</f>
        <v>Regular</v>
      </c>
      <c r="AA853" t="str">
        <f t="shared" si="13"/>
        <v>2024-04</v>
      </c>
      <c r="AB853" t="str">
        <f>IFERROR(INDEX(Products!$I:$I,MATCH(D853,Products!$A:$A,0)),"Unknown")</f>
        <v>SUP030</v>
      </c>
    </row>
    <row r="854" spans="1:28" x14ac:dyDescent="0.25">
      <c r="A854" t="s">
        <v>2417</v>
      </c>
      <c r="B854" s="20">
        <v>45716</v>
      </c>
      <c r="C854" t="s">
        <v>1660</v>
      </c>
      <c r="D854" t="s">
        <v>1350</v>
      </c>
      <c r="E854" t="s">
        <v>302</v>
      </c>
      <c r="F854" t="s">
        <v>182</v>
      </c>
      <c r="G854">
        <v>1</v>
      </c>
      <c r="H854" s="21">
        <v>632.85</v>
      </c>
      <c r="I854">
        <v>15</v>
      </c>
      <c r="J854" s="21">
        <v>94.93</v>
      </c>
      <c r="K854">
        <v>5</v>
      </c>
      <c r="L854" s="21">
        <v>26.9</v>
      </c>
      <c r="M854" s="21">
        <v>564.82000000000005</v>
      </c>
      <c r="N854" s="21">
        <v>419.4</v>
      </c>
      <c r="O854" s="21">
        <v>118.52</v>
      </c>
      <c r="P854" t="s">
        <v>125</v>
      </c>
      <c r="Q854" t="s">
        <v>122</v>
      </c>
      <c r="R854" t="s">
        <v>151</v>
      </c>
      <c r="S854" t="s">
        <v>2418</v>
      </c>
      <c r="T854" t="s">
        <v>153</v>
      </c>
      <c r="U854" t="s">
        <v>154</v>
      </c>
      <c r="V854" t="str">
        <f>IFERROR(INDEX(Products!$C:$C,MATCH(D854,Products!$A:$A,0)),"Unknown")</f>
        <v>Women Tops</v>
      </c>
      <c r="W854" t="str">
        <f>IFERROR(INDEX(Products!$E:$E,MATCH(D854,Products!$A:$A,0)),"Unknown")</f>
        <v>Jack &amp; Jones</v>
      </c>
      <c r="X854" t="str">
        <f>IFERROR(INDEX(Stores!$B:$B,MATCH(E854,Stores!$A:$A,0)),"Unknown")</f>
        <v>TrendMart Visakhapatnam Standard</v>
      </c>
      <c r="Y854" t="str">
        <f>IFERROR(INDEX(Stores!$E:$E,MATCH(E854,Stores!$A:$A,0)),"Unknown")</f>
        <v>South Zone 3</v>
      </c>
      <c r="Z854" t="str">
        <f>IFERROR(INDEX(Customers!$J:$J,MATCH(C854,Customers!$A:$A,0)),"Unknown")</f>
        <v>Regular</v>
      </c>
      <c r="AA854" t="str">
        <f t="shared" si="13"/>
        <v>2025-02</v>
      </c>
      <c r="AB854" t="str">
        <f>IFERROR(INDEX(Products!$I:$I,MATCH(D854,Products!$A:$A,0)),"Unknown")</f>
        <v>SUP089</v>
      </c>
    </row>
    <row r="855" spans="1:28" x14ac:dyDescent="0.25">
      <c r="A855" t="s">
        <v>2419</v>
      </c>
      <c r="B855" s="20">
        <v>45436</v>
      </c>
      <c r="C855" t="s">
        <v>2420</v>
      </c>
      <c r="D855" t="s">
        <v>455</v>
      </c>
      <c r="E855" t="s">
        <v>85</v>
      </c>
      <c r="F855" t="s">
        <v>263</v>
      </c>
      <c r="G855">
        <v>3</v>
      </c>
      <c r="H855" s="21">
        <v>5339.59</v>
      </c>
      <c r="I855">
        <v>0</v>
      </c>
      <c r="J855" s="21">
        <v>0</v>
      </c>
      <c r="K855">
        <v>12</v>
      </c>
      <c r="L855" s="21">
        <v>1922.25</v>
      </c>
      <c r="M855" s="21">
        <v>17941.02</v>
      </c>
      <c r="N855" s="21">
        <v>11246.13</v>
      </c>
      <c r="O855" s="21">
        <v>4772.6400000000003</v>
      </c>
      <c r="P855" t="s">
        <v>123</v>
      </c>
      <c r="Q855" t="s">
        <v>122</v>
      </c>
      <c r="R855" t="s">
        <v>151</v>
      </c>
      <c r="S855" t="s">
        <v>1485</v>
      </c>
      <c r="T855" t="s">
        <v>153</v>
      </c>
      <c r="U855" t="s">
        <v>154</v>
      </c>
      <c r="V855" t="str">
        <f>IFERROR(INDEX(Products!$C:$C,MATCH(D855,Products!$A:$A,0)),"Unknown")</f>
        <v>Watches</v>
      </c>
      <c r="W855" t="str">
        <f>IFERROR(INDEX(Products!$E:$E,MATCH(D855,Products!$A:$A,0)),"Unknown")</f>
        <v>Bata</v>
      </c>
      <c r="X855" t="str">
        <f>IFERROR(INDEX(Stores!$B:$B,MATCH(E855,Stores!$A:$A,0)),"Unknown")</f>
        <v>TrendMart Kalaburagi Mall Kiosk</v>
      </c>
      <c r="Y855" t="str">
        <f>IFERROR(INDEX(Stores!$E:$E,MATCH(E855,Stores!$A:$A,0)),"Unknown")</f>
        <v>South Zone 2</v>
      </c>
      <c r="Z855" t="str">
        <f>IFERROR(INDEX(Customers!$J:$J,MATCH(C855,Customers!$A:$A,0)),"Unknown")</f>
        <v>Gold</v>
      </c>
      <c r="AA855" t="str">
        <f t="shared" si="13"/>
        <v>2024-05</v>
      </c>
      <c r="AB855" t="str">
        <f>IFERROR(INDEX(Products!$I:$I,MATCH(D855,Products!$A:$A,0)),"Unknown")</f>
        <v>SUP051</v>
      </c>
    </row>
    <row r="856" spans="1:28" x14ac:dyDescent="0.25">
      <c r="A856" t="s">
        <v>2421</v>
      </c>
      <c r="B856" s="20">
        <v>45701</v>
      </c>
      <c r="C856" t="s">
        <v>1758</v>
      </c>
      <c r="D856" t="s">
        <v>261</v>
      </c>
      <c r="E856" t="s">
        <v>470</v>
      </c>
      <c r="F856" t="s">
        <v>574</v>
      </c>
      <c r="G856">
        <v>1</v>
      </c>
      <c r="H856" s="21">
        <v>1286.51</v>
      </c>
      <c r="I856">
        <v>5</v>
      </c>
      <c r="J856" s="21">
        <v>64.33</v>
      </c>
      <c r="K856">
        <v>12</v>
      </c>
      <c r="L856" s="21">
        <v>146.66</v>
      </c>
      <c r="M856" s="21">
        <v>1368.84</v>
      </c>
      <c r="N856" s="21">
        <v>844.65</v>
      </c>
      <c r="O856" s="21">
        <v>377.53</v>
      </c>
      <c r="P856" t="s">
        <v>124</v>
      </c>
      <c r="Q856" t="s">
        <v>120</v>
      </c>
      <c r="R856" t="s">
        <v>151</v>
      </c>
      <c r="S856" t="s">
        <v>457</v>
      </c>
      <c r="T856" t="s">
        <v>153</v>
      </c>
      <c r="U856" t="s">
        <v>154</v>
      </c>
      <c r="V856" t="str">
        <f>IFERROR(INDEX(Products!$C:$C,MATCH(D856,Products!$A:$A,0)),"Unknown")</f>
        <v>Women Kurtis</v>
      </c>
      <c r="W856" t="str">
        <f>IFERROR(INDEX(Products!$E:$E,MATCH(D856,Products!$A:$A,0)),"Unknown")</f>
        <v>Woodland</v>
      </c>
      <c r="X856" t="str">
        <f>IFERROR(INDEX(Stores!$B:$B,MATCH(E856,Stores!$A:$A,0)),"Unknown")</f>
        <v>TrendMart Thiruvananthapuram High Street</v>
      </c>
      <c r="Y856" t="str">
        <f>IFERROR(INDEX(Stores!$E:$E,MATCH(E856,Stores!$A:$A,0)),"Unknown")</f>
        <v>South Zone 1</v>
      </c>
      <c r="Z856" t="str">
        <f>IFERROR(INDEX(Customers!$J:$J,MATCH(C856,Customers!$A:$A,0)),"Unknown")</f>
        <v>Silver</v>
      </c>
      <c r="AA856" t="str">
        <f t="shared" si="13"/>
        <v>2025-02</v>
      </c>
      <c r="AB856" t="str">
        <f>IFERROR(INDEX(Products!$I:$I,MATCH(D856,Products!$A:$A,0)),"Unknown")</f>
        <v>SUP071</v>
      </c>
    </row>
    <row r="857" spans="1:28" x14ac:dyDescent="0.25">
      <c r="A857" t="s">
        <v>2422</v>
      </c>
      <c r="B857" s="20">
        <v>45570</v>
      </c>
      <c r="C857" t="s">
        <v>1001</v>
      </c>
      <c r="D857" t="s">
        <v>905</v>
      </c>
      <c r="E857" t="s">
        <v>914</v>
      </c>
      <c r="F857" t="s">
        <v>403</v>
      </c>
      <c r="G857">
        <v>1</v>
      </c>
      <c r="H857" s="21">
        <v>617.36</v>
      </c>
      <c r="I857">
        <v>25</v>
      </c>
      <c r="J857" s="21">
        <v>154.34</v>
      </c>
      <c r="K857">
        <v>5</v>
      </c>
      <c r="L857" s="21">
        <v>23.15</v>
      </c>
      <c r="M857" s="21">
        <v>486.17</v>
      </c>
      <c r="N857" s="21">
        <v>371.12</v>
      </c>
      <c r="O857" s="21">
        <v>91.9</v>
      </c>
      <c r="P857" t="s">
        <v>121</v>
      </c>
      <c r="Q857" t="s">
        <v>120</v>
      </c>
      <c r="R857" t="s">
        <v>151</v>
      </c>
      <c r="S857" t="s">
        <v>2423</v>
      </c>
      <c r="T857" t="s">
        <v>161</v>
      </c>
      <c r="U857" t="s">
        <v>154</v>
      </c>
      <c r="V857" t="str">
        <f>IFERROR(INDEX(Products!$C:$C,MATCH(D857,Products!$A:$A,0)),"Unknown")</f>
        <v>Wallets</v>
      </c>
      <c r="W857" t="str">
        <f>IFERROR(INDEX(Products!$E:$E,MATCH(D857,Products!$A:$A,0)),"Unknown")</f>
        <v>Global Desi</v>
      </c>
      <c r="X857" t="str">
        <f>IFERROR(INDEX(Stores!$B:$B,MATCH(E857,Stores!$A:$A,0)),"Unknown")</f>
        <v>TrendMart Thiruvananthapuram Outlet</v>
      </c>
      <c r="Y857" t="str">
        <f>IFERROR(INDEX(Stores!$E:$E,MATCH(E857,Stores!$A:$A,0)),"Unknown")</f>
        <v>South Zone 1</v>
      </c>
      <c r="Z857" t="str">
        <f>IFERROR(INDEX(Customers!$J:$J,MATCH(C857,Customers!$A:$A,0)),"Unknown")</f>
        <v>Silver</v>
      </c>
      <c r="AA857" t="str">
        <f t="shared" si="13"/>
        <v>2024-10</v>
      </c>
      <c r="AB857" t="str">
        <f>IFERROR(INDEX(Products!$I:$I,MATCH(D857,Products!$A:$A,0)),"Unknown")</f>
        <v>SUP051</v>
      </c>
    </row>
    <row r="858" spans="1:28" x14ac:dyDescent="0.25">
      <c r="A858" t="s">
        <v>2424</v>
      </c>
      <c r="B858" s="20">
        <v>45695</v>
      </c>
      <c r="C858" t="s">
        <v>2029</v>
      </c>
      <c r="D858" t="s">
        <v>1504</v>
      </c>
      <c r="E858" t="s">
        <v>831</v>
      </c>
      <c r="F858" t="s">
        <v>532</v>
      </c>
      <c r="G858">
        <v>1</v>
      </c>
      <c r="H858" s="21">
        <v>1590.7</v>
      </c>
      <c r="I858">
        <v>5</v>
      </c>
      <c r="J858" s="21">
        <v>79.53</v>
      </c>
      <c r="K858">
        <v>12</v>
      </c>
      <c r="L858" s="21">
        <v>181.34</v>
      </c>
      <c r="M858" s="21">
        <v>1692.51</v>
      </c>
      <c r="N858" s="21">
        <v>1144.5899999999999</v>
      </c>
      <c r="O858" s="21">
        <v>366.58</v>
      </c>
      <c r="P858" t="s">
        <v>126</v>
      </c>
      <c r="Q858" t="s">
        <v>122</v>
      </c>
      <c r="R858" t="s">
        <v>151</v>
      </c>
      <c r="S858" t="s">
        <v>1122</v>
      </c>
      <c r="T858" t="s">
        <v>153</v>
      </c>
      <c r="U858" t="s">
        <v>154</v>
      </c>
      <c r="V858" t="str">
        <f>IFERROR(INDEX(Products!$C:$C,MATCH(D858,Products!$A:$A,0)),"Unknown")</f>
        <v>Women Dresses</v>
      </c>
      <c r="W858" t="str">
        <f>IFERROR(INDEX(Products!$E:$E,MATCH(D858,Products!$A:$A,0)),"Unknown")</f>
        <v>Westside</v>
      </c>
      <c r="X858" t="str">
        <f>IFERROR(INDEX(Stores!$B:$B,MATCH(E858,Stores!$A:$A,0)),"Unknown")</f>
        <v>TrendMart Vellore Standard</v>
      </c>
      <c r="Y858" t="str">
        <f>IFERROR(INDEX(Stores!$E:$E,MATCH(E858,Stores!$A:$A,0)),"Unknown")</f>
        <v>South Zone 1</v>
      </c>
      <c r="Z858" t="str">
        <f>IFERROR(INDEX(Customers!$J:$J,MATCH(C858,Customers!$A:$A,0)),"Unknown")</f>
        <v>Regular</v>
      </c>
      <c r="AA858" t="str">
        <f t="shared" si="13"/>
        <v>2025-02</v>
      </c>
      <c r="AB858" t="str">
        <f>IFERROR(INDEX(Products!$I:$I,MATCH(D858,Products!$A:$A,0)),"Unknown")</f>
        <v>SUP010</v>
      </c>
    </row>
    <row r="859" spans="1:28" x14ac:dyDescent="0.25">
      <c r="A859" t="s">
        <v>2425</v>
      </c>
      <c r="B859" s="20">
        <v>45745</v>
      </c>
      <c r="C859" t="s">
        <v>2426</v>
      </c>
      <c r="D859" t="s">
        <v>225</v>
      </c>
      <c r="E859" t="s">
        <v>815</v>
      </c>
      <c r="F859" t="s">
        <v>297</v>
      </c>
      <c r="G859">
        <v>2</v>
      </c>
      <c r="H859" s="21">
        <v>1916.67</v>
      </c>
      <c r="I859">
        <v>10</v>
      </c>
      <c r="J859" s="21">
        <v>383.33</v>
      </c>
      <c r="K859">
        <v>12</v>
      </c>
      <c r="L859" s="21">
        <v>414</v>
      </c>
      <c r="M859" s="21">
        <v>3864.01</v>
      </c>
      <c r="N859" s="21">
        <v>2814.66</v>
      </c>
      <c r="O859" s="21">
        <v>635.35</v>
      </c>
      <c r="P859" t="s">
        <v>125</v>
      </c>
      <c r="Q859" t="s">
        <v>120</v>
      </c>
      <c r="R859" t="s">
        <v>151</v>
      </c>
      <c r="S859" t="s">
        <v>2427</v>
      </c>
      <c r="T859" t="s">
        <v>161</v>
      </c>
      <c r="U859" t="s">
        <v>154</v>
      </c>
      <c r="V859" t="str">
        <f>IFERROR(INDEX(Products!$C:$C,MATCH(D859,Products!$A:$A,0)),"Unknown")</f>
        <v>Women Dresses</v>
      </c>
      <c r="W859" t="str">
        <f>IFERROR(INDEX(Products!$E:$E,MATCH(D859,Products!$A:$A,0)),"Unknown")</f>
        <v>Tanishq</v>
      </c>
      <c r="X859" t="str">
        <f>IFERROR(INDEX(Stores!$B:$B,MATCH(E859,Stores!$A:$A,0)),"Unknown")</f>
        <v>TrendMart Madurai Mall Kiosk</v>
      </c>
      <c r="Y859" t="str">
        <f>IFERROR(INDEX(Stores!$E:$E,MATCH(E859,Stores!$A:$A,0)),"Unknown")</f>
        <v>South Zone 1</v>
      </c>
      <c r="Z859" t="str">
        <f>IFERROR(INDEX(Customers!$J:$J,MATCH(C859,Customers!$A:$A,0)),"Unknown")</f>
        <v>Silver</v>
      </c>
      <c r="AA859" t="str">
        <f t="shared" si="13"/>
        <v>2025-03</v>
      </c>
      <c r="AB859" t="str">
        <f>IFERROR(INDEX(Products!$I:$I,MATCH(D859,Products!$A:$A,0)),"Unknown")</f>
        <v>SUP063</v>
      </c>
    </row>
    <row r="860" spans="1:28" x14ac:dyDescent="0.25">
      <c r="A860" t="s">
        <v>2428</v>
      </c>
      <c r="B860" s="20">
        <v>45638</v>
      </c>
      <c r="C860" t="s">
        <v>2426</v>
      </c>
      <c r="D860" t="s">
        <v>864</v>
      </c>
      <c r="E860" t="s">
        <v>368</v>
      </c>
      <c r="F860" t="s">
        <v>618</v>
      </c>
      <c r="G860">
        <v>2</v>
      </c>
      <c r="H860" s="21">
        <v>3018.22</v>
      </c>
      <c r="I860">
        <v>10</v>
      </c>
      <c r="J860" s="21">
        <v>603.64</v>
      </c>
      <c r="K860">
        <v>3</v>
      </c>
      <c r="L860" s="21">
        <v>162.97999999999999</v>
      </c>
      <c r="M860" s="21">
        <v>5595.78</v>
      </c>
      <c r="N860" s="21">
        <v>3979.86</v>
      </c>
      <c r="O860" s="21">
        <v>1452.94</v>
      </c>
      <c r="P860" t="s">
        <v>123</v>
      </c>
      <c r="Q860" t="s">
        <v>122</v>
      </c>
      <c r="R860" t="s">
        <v>151</v>
      </c>
      <c r="S860" t="s">
        <v>448</v>
      </c>
      <c r="T860" t="s">
        <v>153</v>
      </c>
      <c r="U860" t="s">
        <v>154</v>
      </c>
      <c r="V860" t="str">
        <f>IFERROR(INDEX(Products!$C:$C,MATCH(D860,Products!$A:$A,0)),"Unknown")</f>
        <v>Jewellery</v>
      </c>
      <c r="W860" t="str">
        <f>IFERROR(INDEX(Products!$E:$E,MATCH(D860,Products!$A:$A,0)),"Unknown")</f>
        <v>Wrangler</v>
      </c>
      <c r="X860" t="str">
        <f>IFERROR(INDEX(Stores!$B:$B,MATCH(E860,Stores!$A:$A,0)),"Unknown")</f>
        <v>TrendMart Alappuzha Outlet</v>
      </c>
      <c r="Y860" t="str">
        <f>IFERROR(INDEX(Stores!$E:$E,MATCH(E860,Stores!$A:$A,0)),"Unknown")</f>
        <v>South Zone 1</v>
      </c>
      <c r="Z860" t="str">
        <f>IFERROR(INDEX(Customers!$J:$J,MATCH(C860,Customers!$A:$A,0)),"Unknown")</f>
        <v>Silver</v>
      </c>
      <c r="AA860" t="str">
        <f t="shared" si="13"/>
        <v>2024-12</v>
      </c>
      <c r="AB860" t="str">
        <f>IFERROR(INDEX(Products!$I:$I,MATCH(D860,Products!$A:$A,0)),"Unknown")</f>
        <v>SUP070</v>
      </c>
    </row>
    <row r="861" spans="1:28" x14ac:dyDescent="0.25">
      <c r="A861" t="s">
        <v>2429</v>
      </c>
      <c r="B861" s="20">
        <v>45719</v>
      </c>
      <c r="C861" t="s">
        <v>1618</v>
      </c>
      <c r="D861" t="s">
        <v>1350</v>
      </c>
      <c r="E861" t="s">
        <v>86</v>
      </c>
      <c r="F861" t="s">
        <v>263</v>
      </c>
      <c r="G861">
        <v>1</v>
      </c>
      <c r="H861" s="21">
        <v>647.14</v>
      </c>
      <c r="I861">
        <v>15</v>
      </c>
      <c r="J861" s="21">
        <v>97.07</v>
      </c>
      <c r="K861">
        <v>5</v>
      </c>
      <c r="L861" s="21">
        <v>27.5</v>
      </c>
      <c r="M861" s="21">
        <v>577.57000000000005</v>
      </c>
      <c r="N861" s="21">
        <v>419.4</v>
      </c>
      <c r="O861" s="21">
        <v>130.66999999999999</v>
      </c>
      <c r="P861" t="s">
        <v>121</v>
      </c>
      <c r="Q861" t="s">
        <v>120</v>
      </c>
      <c r="R861" t="s">
        <v>151</v>
      </c>
      <c r="S861" t="s">
        <v>1839</v>
      </c>
      <c r="T861" t="s">
        <v>153</v>
      </c>
      <c r="U861" t="s">
        <v>154</v>
      </c>
      <c r="V861" t="str">
        <f>IFERROR(INDEX(Products!$C:$C,MATCH(D861,Products!$A:$A,0)),"Unknown")</f>
        <v>Women Tops</v>
      </c>
      <c r="W861" t="str">
        <f>IFERROR(INDEX(Products!$E:$E,MATCH(D861,Products!$A:$A,0)),"Unknown")</f>
        <v>Jack &amp; Jones</v>
      </c>
      <c r="X861" t="str">
        <f>IFERROR(INDEX(Stores!$B:$B,MATCH(E861,Stores!$A:$A,0)),"Unknown")</f>
        <v>TrendMart Warangal High Street</v>
      </c>
      <c r="Y861" t="str">
        <f>IFERROR(INDEX(Stores!$E:$E,MATCH(E861,Stores!$A:$A,0)),"Unknown")</f>
        <v>South Zone 2</v>
      </c>
      <c r="Z861" t="str">
        <f>IFERROR(INDEX(Customers!$J:$J,MATCH(C861,Customers!$A:$A,0)),"Unknown")</f>
        <v>Regular</v>
      </c>
      <c r="AA861" t="str">
        <f t="shared" si="13"/>
        <v>2025-03</v>
      </c>
      <c r="AB861" t="str">
        <f>IFERROR(INDEX(Products!$I:$I,MATCH(D861,Products!$A:$A,0)),"Unknown")</f>
        <v>SUP089</v>
      </c>
    </row>
    <row r="862" spans="1:28" x14ac:dyDescent="0.25">
      <c r="A862" t="s">
        <v>2430</v>
      </c>
      <c r="B862" s="20">
        <v>45746</v>
      </c>
      <c r="C862" t="s">
        <v>2099</v>
      </c>
      <c r="D862" t="s">
        <v>1219</v>
      </c>
      <c r="E862" t="s">
        <v>823</v>
      </c>
      <c r="F862" t="s">
        <v>377</v>
      </c>
      <c r="G862">
        <v>2</v>
      </c>
      <c r="H862" s="21">
        <v>3164.63</v>
      </c>
      <c r="I862">
        <v>5</v>
      </c>
      <c r="J862" s="21">
        <v>316.45999999999998</v>
      </c>
      <c r="K862">
        <v>12</v>
      </c>
      <c r="L862" s="21">
        <v>721.54</v>
      </c>
      <c r="M862" s="21">
        <v>6734.34</v>
      </c>
      <c r="N862" s="21">
        <v>4079.4</v>
      </c>
      <c r="O862" s="21">
        <v>1933.4</v>
      </c>
      <c r="P862" t="s">
        <v>121</v>
      </c>
      <c r="Q862" t="s">
        <v>122</v>
      </c>
      <c r="R862" t="s">
        <v>151</v>
      </c>
      <c r="S862" t="s">
        <v>1625</v>
      </c>
      <c r="T862" t="s">
        <v>161</v>
      </c>
      <c r="U862" t="s">
        <v>154</v>
      </c>
      <c r="V862" t="str">
        <f>IFERROR(INDEX(Products!$C:$C,MATCH(D862,Products!$A:$A,0)),"Unknown")</f>
        <v>Watches</v>
      </c>
      <c r="W862" t="str">
        <f>IFERROR(INDEX(Products!$E:$E,MATCH(D862,Products!$A:$A,0)),"Unknown")</f>
        <v>Fossil</v>
      </c>
      <c r="X862" t="str">
        <f>IFERROR(INDEX(Stores!$B:$B,MATCH(E862,Stores!$A:$A,0)),"Unknown")</f>
        <v>TrendMart Thoothukudi Mall Kiosk</v>
      </c>
      <c r="Y862" t="str">
        <f>IFERROR(INDEX(Stores!$E:$E,MATCH(E862,Stores!$A:$A,0)),"Unknown")</f>
        <v>South Zone 1</v>
      </c>
      <c r="Z862" t="str">
        <f>IFERROR(INDEX(Customers!$J:$J,MATCH(C862,Customers!$A:$A,0)),"Unknown")</f>
        <v>Gold</v>
      </c>
      <c r="AA862" t="str">
        <f t="shared" si="13"/>
        <v>2025-03</v>
      </c>
      <c r="AB862" t="str">
        <f>IFERROR(INDEX(Products!$I:$I,MATCH(D862,Products!$A:$A,0)),"Unknown")</f>
        <v>SUP054</v>
      </c>
    </row>
    <row r="863" spans="1:28" x14ac:dyDescent="0.25">
      <c r="A863" t="s">
        <v>2431</v>
      </c>
      <c r="B863" s="20">
        <v>45421</v>
      </c>
      <c r="C863" t="s">
        <v>840</v>
      </c>
      <c r="D863" t="s">
        <v>697</v>
      </c>
      <c r="E863" t="s">
        <v>1442</v>
      </c>
      <c r="F863" t="s">
        <v>308</v>
      </c>
      <c r="G863">
        <v>1</v>
      </c>
      <c r="H863" s="21">
        <v>1077.6400000000001</v>
      </c>
      <c r="I863">
        <v>10</v>
      </c>
      <c r="J863" s="21">
        <v>107.76</v>
      </c>
      <c r="K863">
        <v>12</v>
      </c>
      <c r="L863" s="21">
        <v>116.39</v>
      </c>
      <c r="M863" s="21">
        <v>1086.27</v>
      </c>
      <c r="N863" s="21">
        <v>699.84</v>
      </c>
      <c r="O863" s="21">
        <v>270.04000000000002</v>
      </c>
      <c r="P863" t="s">
        <v>121</v>
      </c>
      <c r="Q863" t="s">
        <v>122</v>
      </c>
      <c r="R863" t="s">
        <v>151</v>
      </c>
      <c r="S863" t="s">
        <v>1508</v>
      </c>
      <c r="T863" t="s">
        <v>153</v>
      </c>
      <c r="U863" t="s">
        <v>154</v>
      </c>
      <c r="V863" t="str">
        <f>IFERROR(INDEX(Products!$C:$C,MATCH(D863,Products!$A:$A,0)),"Unknown")</f>
        <v>Women Tops</v>
      </c>
      <c r="W863" t="str">
        <f>IFERROR(INDEX(Products!$E:$E,MATCH(D863,Products!$A:$A,0)),"Unknown")</f>
        <v>Nalli Silks</v>
      </c>
      <c r="X863" t="str">
        <f>IFERROR(INDEX(Stores!$B:$B,MATCH(E863,Stores!$A:$A,0)),"Unknown")</f>
        <v>TrendMart Vellore High Street</v>
      </c>
      <c r="Y863" t="str">
        <f>IFERROR(INDEX(Stores!$E:$E,MATCH(E863,Stores!$A:$A,0)),"Unknown")</f>
        <v>South Zone 1</v>
      </c>
      <c r="Z863" t="str">
        <f>IFERROR(INDEX(Customers!$J:$J,MATCH(C863,Customers!$A:$A,0)),"Unknown")</f>
        <v>Platinum</v>
      </c>
      <c r="AA863" t="str">
        <f t="shared" si="13"/>
        <v>2024-05</v>
      </c>
      <c r="AB863" t="str">
        <f>IFERROR(INDEX(Products!$I:$I,MATCH(D863,Products!$A:$A,0)),"Unknown")</f>
        <v>SUP008</v>
      </c>
    </row>
    <row r="864" spans="1:28" x14ac:dyDescent="0.25">
      <c r="A864" t="s">
        <v>2432</v>
      </c>
      <c r="B864" s="20">
        <v>45471</v>
      </c>
      <c r="C864" t="s">
        <v>2433</v>
      </c>
      <c r="D864" t="s">
        <v>1691</v>
      </c>
      <c r="E864" t="s">
        <v>94</v>
      </c>
      <c r="F864" t="s">
        <v>550</v>
      </c>
      <c r="G864">
        <v>0</v>
      </c>
      <c r="H864" s="21">
        <v>937.59</v>
      </c>
      <c r="I864">
        <v>10</v>
      </c>
      <c r="J864" s="21">
        <v>0</v>
      </c>
      <c r="K864">
        <v>5</v>
      </c>
      <c r="L864" s="21">
        <v>0</v>
      </c>
      <c r="M864" s="21">
        <v>0</v>
      </c>
      <c r="N864" s="21">
        <v>0</v>
      </c>
      <c r="O864" s="21">
        <v>0</v>
      </c>
      <c r="P864" t="s">
        <v>127</v>
      </c>
      <c r="Q864" t="s">
        <v>120</v>
      </c>
      <c r="R864" t="s">
        <v>482</v>
      </c>
      <c r="S864" t="s">
        <v>298</v>
      </c>
      <c r="T864" t="s">
        <v>153</v>
      </c>
      <c r="U864" t="s">
        <v>154</v>
      </c>
      <c r="V864" t="str">
        <f>IFERROR(INDEX(Products!$C:$C,MATCH(D864,Products!$A:$A,0)),"Unknown")</f>
        <v>Women Jeans</v>
      </c>
      <c r="W864" t="str">
        <f>IFERROR(INDEX(Products!$E:$E,MATCH(D864,Products!$A:$A,0)),"Unknown")</f>
        <v>Global Desi</v>
      </c>
      <c r="X864" t="str">
        <f>IFERROR(INDEX(Stores!$B:$B,MATCH(E864,Stores!$A:$A,0)),"Unknown")</f>
        <v>TrendMart Bengaluru Mall Kiosk</v>
      </c>
      <c r="Y864" t="str">
        <f>IFERROR(INDEX(Stores!$E:$E,MATCH(E864,Stores!$A:$A,0)),"Unknown")</f>
        <v>South Zone 2</v>
      </c>
      <c r="Z864" t="str">
        <f>IFERROR(INDEX(Customers!$J:$J,MATCH(C864,Customers!$A:$A,0)),"Unknown")</f>
        <v>Gold</v>
      </c>
      <c r="AA864" t="str">
        <f t="shared" si="13"/>
        <v>2024-06</v>
      </c>
      <c r="AB864" t="str">
        <f>IFERROR(INDEX(Products!$I:$I,MATCH(D864,Products!$A:$A,0)),"Unknown")</f>
        <v>SUP015</v>
      </c>
    </row>
    <row r="865" spans="1:28" x14ac:dyDescent="0.25">
      <c r="A865" t="s">
        <v>2434</v>
      </c>
      <c r="B865" s="20">
        <v>45448</v>
      </c>
      <c r="C865" t="s">
        <v>1844</v>
      </c>
      <c r="D865" t="s">
        <v>1216</v>
      </c>
      <c r="E865" t="s">
        <v>914</v>
      </c>
      <c r="F865" t="s">
        <v>297</v>
      </c>
      <c r="G865">
        <v>3</v>
      </c>
      <c r="H865" s="21">
        <v>2149.37</v>
      </c>
      <c r="I865">
        <v>30</v>
      </c>
      <c r="J865" s="21">
        <v>1934.43</v>
      </c>
      <c r="K865">
        <v>12</v>
      </c>
      <c r="L865" s="21">
        <v>541.64</v>
      </c>
      <c r="M865" s="21">
        <v>5055.32</v>
      </c>
      <c r="N865" s="21">
        <v>4296.03</v>
      </c>
      <c r="O865" s="21">
        <v>217.65</v>
      </c>
      <c r="P865" t="s">
        <v>124</v>
      </c>
      <c r="Q865" t="s">
        <v>122</v>
      </c>
      <c r="R865" t="s">
        <v>151</v>
      </c>
      <c r="S865" t="s">
        <v>2435</v>
      </c>
      <c r="T865" t="s">
        <v>153</v>
      </c>
      <c r="U865" t="s">
        <v>154</v>
      </c>
      <c r="V865" t="str">
        <f>IFERROR(INDEX(Products!$C:$C,MATCH(D865,Products!$A:$A,0)),"Unknown")</f>
        <v>Footwear</v>
      </c>
      <c r="W865" t="str">
        <f>IFERROR(INDEX(Products!$E:$E,MATCH(D865,Products!$A:$A,0)),"Unknown")</f>
        <v>Biba</v>
      </c>
      <c r="X865" t="str">
        <f>IFERROR(INDEX(Stores!$B:$B,MATCH(E865,Stores!$A:$A,0)),"Unknown")</f>
        <v>TrendMart Thiruvananthapuram Outlet</v>
      </c>
      <c r="Y865" t="str">
        <f>IFERROR(INDEX(Stores!$E:$E,MATCH(E865,Stores!$A:$A,0)),"Unknown")</f>
        <v>South Zone 1</v>
      </c>
      <c r="Z865" t="str">
        <f>IFERROR(INDEX(Customers!$J:$J,MATCH(C865,Customers!$A:$A,0)),"Unknown")</f>
        <v>Regular</v>
      </c>
      <c r="AA865" t="str">
        <f t="shared" si="13"/>
        <v>2024-06</v>
      </c>
      <c r="AB865" t="str">
        <f>IFERROR(INDEX(Products!$I:$I,MATCH(D865,Products!$A:$A,0)),"Unknown")</f>
        <v>SUP048</v>
      </c>
    </row>
    <row r="866" spans="1:28" x14ac:dyDescent="0.25">
      <c r="A866" t="s">
        <v>2436</v>
      </c>
      <c r="B866" s="20">
        <v>45576</v>
      </c>
      <c r="C866" t="s">
        <v>2437</v>
      </c>
      <c r="D866" t="s">
        <v>2281</v>
      </c>
      <c r="E866" t="s">
        <v>97</v>
      </c>
      <c r="F866" t="s">
        <v>281</v>
      </c>
      <c r="G866">
        <v>4</v>
      </c>
      <c r="H866" s="21">
        <v>622.1</v>
      </c>
      <c r="I866">
        <v>0</v>
      </c>
      <c r="J866" s="21">
        <v>0</v>
      </c>
      <c r="K866">
        <v>5</v>
      </c>
      <c r="L866" s="21">
        <v>124.42</v>
      </c>
      <c r="M866" s="21">
        <v>2612.8200000000002</v>
      </c>
      <c r="N866" s="21">
        <v>1493.08</v>
      </c>
      <c r="O866" s="21">
        <v>995.32</v>
      </c>
      <c r="P866" t="s">
        <v>123</v>
      </c>
      <c r="Q866" t="s">
        <v>122</v>
      </c>
      <c r="R866" t="s">
        <v>151</v>
      </c>
      <c r="S866" t="s">
        <v>1232</v>
      </c>
      <c r="T866" t="s">
        <v>153</v>
      </c>
      <c r="U866" t="s">
        <v>154</v>
      </c>
      <c r="V866" t="str">
        <f>IFERROR(INDEX(Products!$C:$C,MATCH(D866,Products!$A:$A,0)),"Unknown")</f>
        <v>Men T-Shirts</v>
      </c>
      <c r="W866" t="str">
        <f>IFERROR(INDEX(Products!$E:$E,MATCH(D866,Products!$A:$A,0)),"Unknown")</f>
        <v>Indian Terrain</v>
      </c>
      <c r="X866" t="str">
        <f>IFERROR(INDEX(Stores!$B:$B,MATCH(E866,Stores!$A:$A,0)),"Unknown")</f>
        <v>TrendMart Guntur Flagship</v>
      </c>
      <c r="Y866" t="str">
        <f>IFERROR(INDEX(Stores!$E:$E,MATCH(E866,Stores!$A:$A,0)),"Unknown")</f>
        <v>South Zone 3</v>
      </c>
      <c r="Z866" t="str">
        <f>IFERROR(INDEX(Customers!$J:$J,MATCH(C866,Customers!$A:$A,0)),"Unknown")</f>
        <v>Gold</v>
      </c>
      <c r="AA866" t="str">
        <f t="shared" si="13"/>
        <v>2024-10</v>
      </c>
      <c r="AB866" t="str">
        <f>IFERROR(INDEX(Products!$I:$I,MATCH(D866,Products!$A:$A,0)),"Unknown")</f>
        <v>SUP074</v>
      </c>
    </row>
    <row r="867" spans="1:28" x14ac:dyDescent="0.25">
      <c r="A867" t="s">
        <v>2438</v>
      </c>
      <c r="B867" s="20">
        <v>45548</v>
      </c>
      <c r="C867" t="s">
        <v>2439</v>
      </c>
      <c r="D867" t="s">
        <v>622</v>
      </c>
      <c r="E867" t="s">
        <v>1522</v>
      </c>
      <c r="F867" t="s">
        <v>201</v>
      </c>
      <c r="G867">
        <v>2</v>
      </c>
      <c r="H867" s="21">
        <v>2726.3</v>
      </c>
      <c r="I867">
        <v>10</v>
      </c>
      <c r="J867" s="21">
        <v>545.26</v>
      </c>
      <c r="K867">
        <v>12</v>
      </c>
      <c r="L867" s="21">
        <v>588.88</v>
      </c>
      <c r="M867" s="21">
        <v>5496.22</v>
      </c>
      <c r="N867" s="21">
        <v>3706.28</v>
      </c>
      <c r="O867" s="21">
        <v>1201.06</v>
      </c>
      <c r="P867" t="s">
        <v>124</v>
      </c>
      <c r="Q867" t="s">
        <v>122</v>
      </c>
      <c r="R867" t="s">
        <v>151</v>
      </c>
      <c r="S867" t="s">
        <v>1625</v>
      </c>
      <c r="T867" t="s">
        <v>153</v>
      </c>
      <c r="U867" t="s">
        <v>154</v>
      </c>
      <c r="V867" t="str">
        <f>IFERROR(INDEX(Products!$C:$C,MATCH(D867,Products!$A:$A,0)),"Unknown")</f>
        <v>Women Sarees</v>
      </c>
      <c r="W867" t="str">
        <f>IFERROR(INDEX(Products!$E:$E,MATCH(D867,Products!$A:$A,0)),"Unknown")</f>
        <v>Sparx</v>
      </c>
      <c r="X867" t="str">
        <f>IFERROR(INDEX(Stores!$B:$B,MATCH(E867,Stores!$A:$A,0)),"Unknown")</f>
        <v>TrendMart Guntur High Street</v>
      </c>
      <c r="Y867" t="str">
        <f>IFERROR(INDEX(Stores!$E:$E,MATCH(E867,Stores!$A:$A,0)),"Unknown")</f>
        <v>South Zone 3</v>
      </c>
      <c r="Z867" t="str">
        <f>IFERROR(INDEX(Customers!$J:$J,MATCH(C867,Customers!$A:$A,0)),"Unknown")</f>
        <v>Regular</v>
      </c>
      <c r="AA867" t="str">
        <f t="shared" si="13"/>
        <v>2024-09</v>
      </c>
      <c r="AB867" t="str">
        <f>IFERROR(INDEX(Products!$I:$I,MATCH(D867,Products!$A:$A,0)),"Unknown")</f>
        <v>SUP080</v>
      </c>
    </row>
    <row r="868" spans="1:28" x14ac:dyDescent="0.25">
      <c r="A868" t="s">
        <v>2440</v>
      </c>
      <c r="B868" s="20">
        <v>45528</v>
      </c>
      <c r="C868" t="s">
        <v>898</v>
      </c>
      <c r="D868" t="s">
        <v>531</v>
      </c>
      <c r="E868" t="s">
        <v>607</v>
      </c>
      <c r="F868" t="s">
        <v>150</v>
      </c>
      <c r="G868">
        <v>2</v>
      </c>
      <c r="H868" s="21">
        <v>3225.54</v>
      </c>
      <c r="I868">
        <v>5</v>
      </c>
      <c r="J868" s="21">
        <v>322.55</v>
      </c>
      <c r="K868">
        <v>12</v>
      </c>
      <c r="L868" s="21">
        <v>735.42</v>
      </c>
      <c r="M868" s="21">
        <v>6863.95</v>
      </c>
      <c r="N868" s="21">
        <v>4068.02</v>
      </c>
      <c r="O868" s="21">
        <v>2060.5100000000002</v>
      </c>
      <c r="P868" t="s">
        <v>123</v>
      </c>
      <c r="Q868" t="s">
        <v>122</v>
      </c>
      <c r="R868" t="s">
        <v>151</v>
      </c>
      <c r="S868" t="s">
        <v>2441</v>
      </c>
      <c r="T868" t="s">
        <v>161</v>
      </c>
      <c r="U868" t="s">
        <v>154</v>
      </c>
      <c r="V868" t="str">
        <f>IFERROR(INDEX(Products!$C:$C,MATCH(D868,Products!$A:$A,0)),"Unknown")</f>
        <v>Handbags</v>
      </c>
      <c r="W868" t="str">
        <f>IFERROR(INDEX(Products!$E:$E,MATCH(D868,Products!$A:$A,0)),"Unknown")</f>
        <v>GRT Jewellers</v>
      </c>
      <c r="X868" t="str">
        <f>IFERROR(INDEX(Stores!$B:$B,MATCH(E868,Stores!$A:$A,0)),"Unknown")</f>
        <v>TrendMart Thiruvananthapuram Standard</v>
      </c>
      <c r="Y868" t="str">
        <f>IFERROR(INDEX(Stores!$E:$E,MATCH(E868,Stores!$A:$A,0)),"Unknown")</f>
        <v>South Zone 1</v>
      </c>
      <c r="Z868" t="str">
        <f>IFERROR(INDEX(Customers!$J:$J,MATCH(C868,Customers!$A:$A,0)),"Unknown")</f>
        <v>Gold</v>
      </c>
      <c r="AA868" t="str">
        <f t="shared" si="13"/>
        <v>2024-08</v>
      </c>
      <c r="AB868" t="str">
        <f>IFERROR(INDEX(Products!$I:$I,MATCH(D868,Products!$A:$A,0)),"Unknown")</f>
        <v>SUP047</v>
      </c>
    </row>
    <row r="869" spans="1:28" x14ac:dyDescent="0.25">
      <c r="A869" t="s">
        <v>2442</v>
      </c>
      <c r="B869" s="20">
        <v>45642</v>
      </c>
      <c r="C869" t="s">
        <v>960</v>
      </c>
      <c r="D869" t="s">
        <v>1219</v>
      </c>
      <c r="E869" t="s">
        <v>1023</v>
      </c>
      <c r="F869" t="s">
        <v>292</v>
      </c>
      <c r="G869">
        <v>2</v>
      </c>
      <c r="H869" s="21">
        <v>2978.84</v>
      </c>
      <c r="I869">
        <v>0</v>
      </c>
      <c r="J869" s="21">
        <v>0</v>
      </c>
      <c r="K869">
        <v>12</v>
      </c>
      <c r="L869" s="21">
        <v>714.92</v>
      </c>
      <c r="M869" s="21">
        <v>6672.6</v>
      </c>
      <c r="N869" s="21">
        <v>4079.4</v>
      </c>
      <c r="O869" s="21">
        <v>1878.28</v>
      </c>
      <c r="P869" t="s">
        <v>125</v>
      </c>
      <c r="Q869" t="s">
        <v>120</v>
      </c>
      <c r="R869" t="s">
        <v>151</v>
      </c>
      <c r="S869" t="s">
        <v>276</v>
      </c>
      <c r="T869" t="s">
        <v>153</v>
      </c>
      <c r="U869" t="s">
        <v>154</v>
      </c>
      <c r="V869" t="str">
        <f>IFERROR(INDEX(Products!$C:$C,MATCH(D869,Products!$A:$A,0)),"Unknown")</f>
        <v>Watches</v>
      </c>
      <c r="W869" t="str">
        <f>IFERROR(INDEX(Products!$E:$E,MATCH(D869,Products!$A:$A,0)),"Unknown")</f>
        <v>Fossil</v>
      </c>
      <c r="X869" t="str">
        <f>IFERROR(INDEX(Stores!$B:$B,MATCH(E869,Stores!$A:$A,0)),"Unknown")</f>
        <v>TrendMart Kochi High Street</v>
      </c>
      <c r="Y869" t="str">
        <f>IFERROR(INDEX(Stores!$E:$E,MATCH(E869,Stores!$A:$A,0)),"Unknown")</f>
        <v>South Zone 1</v>
      </c>
      <c r="Z869" t="str">
        <f>IFERROR(INDEX(Customers!$J:$J,MATCH(C869,Customers!$A:$A,0)),"Unknown")</f>
        <v>Regular</v>
      </c>
      <c r="AA869" t="str">
        <f t="shared" si="13"/>
        <v>2024-12</v>
      </c>
      <c r="AB869" t="str">
        <f>IFERROR(INDEX(Products!$I:$I,MATCH(D869,Products!$A:$A,0)),"Unknown")</f>
        <v>SUP054</v>
      </c>
    </row>
    <row r="870" spans="1:28" x14ac:dyDescent="0.25">
      <c r="A870" t="s">
        <v>2443</v>
      </c>
      <c r="B870" s="20">
        <v>45605</v>
      </c>
      <c r="C870" t="s">
        <v>2444</v>
      </c>
      <c r="D870" t="s">
        <v>1036</v>
      </c>
      <c r="E870" t="s">
        <v>1962</v>
      </c>
      <c r="F870" t="s">
        <v>532</v>
      </c>
      <c r="G870">
        <v>4</v>
      </c>
      <c r="H870" s="21">
        <v>901.45</v>
      </c>
      <c r="I870">
        <v>20</v>
      </c>
      <c r="J870" s="21">
        <v>721.16</v>
      </c>
      <c r="K870">
        <v>5</v>
      </c>
      <c r="L870" s="21">
        <v>144.22999999999999</v>
      </c>
      <c r="M870" s="21">
        <v>3028.87</v>
      </c>
      <c r="N870" s="21">
        <v>2360.08</v>
      </c>
      <c r="O870" s="21">
        <v>524.55999999999995</v>
      </c>
      <c r="P870" t="s">
        <v>124</v>
      </c>
      <c r="Q870" t="s">
        <v>122</v>
      </c>
      <c r="R870" t="s">
        <v>151</v>
      </c>
      <c r="S870" t="s">
        <v>789</v>
      </c>
      <c r="T870" t="s">
        <v>161</v>
      </c>
      <c r="U870" t="s">
        <v>154</v>
      </c>
      <c r="V870" t="str">
        <f>IFERROR(INDEX(Products!$C:$C,MATCH(D870,Products!$A:$A,0)),"Unknown")</f>
        <v>Belts</v>
      </c>
      <c r="W870" t="str">
        <f>IFERROR(INDEX(Products!$E:$E,MATCH(D870,Products!$A:$A,0)),"Unknown")</f>
        <v>Skechers</v>
      </c>
      <c r="X870" t="str">
        <f>IFERROR(INDEX(Stores!$B:$B,MATCH(E870,Stores!$A:$A,0)),"Unknown")</f>
        <v>TrendMart Guntur High Street</v>
      </c>
      <c r="Y870" t="str">
        <f>IFERROR(INDEX(Stores!$E:$E,MATCH(E870,Stores!$A:$A,0)),"Unknown")</f>
        <v>South Zone 3</v>
      </c>
      <c r="Z870" t="str">
        <f>IFERROR(INDEX(Customers!$J:$J,MATCH(C870,Customers!$A:$A,0)),"Unknown")</f>
        <v>Regular</v>
      </c>
      <c r="AA870" t="str">
        <f t="shared" si="13"/>
        <v>2024-11</v>
      </c>
      <c r="AB870" t="str">
        <f>IFERROR(INDEX(Products!$I:$I,MATCH(D870,Products!$A:$A,0)),"Unknown")</f>
        <v>SUP085</v>
      </c>
    </row>
    <row r="871" spans="1:28" x14ac:dyDescent="0.25">
      <c r="A871" t="s">
        <v>2445</v>
      </c>
      <c r="B871" s="20">
        <v>45470</v>
      </c>
      <c r="C871" t="s">
        <v>2446</v>
      </c>
      <c r="D871" t="s">
        <v>1080</v>
      </c>
      <c r="E871" t="s">
        <v>194</v>
      </c>
      <c r="F871" t="s">
        <v>286</v>
      </c>
      <c r="G871">
        <v>2</v>
      </c>
      <c r="H871" s="21">
        <v>1456.69</v>
      </c>
      <c r="I871">
        <v>10</v>
      </c>
      <c r="J871" s="21">
        <v>291.33999999999997</v>
      </c>
      <c r="K871">
        <v>12</v>
      </c>
      <c r="L871" s="21">
        <v>314.64</v>
      </c>
      <c r="M871" s="21">
        <v>2936.68</v>
      </c>
      <c r="N871" s="21">
        <v>1828.7</v>
      </c>
      <c r="O871" s="21">
        <v>793.34</v>
      </c>
      <c r="P871" t="s">
        <v>125</v>
      </c>
      <c r="Q871" t="s">
        <v>120</v>
      </c>
      <c r="R871" t="s">
        <v>151</v>
      </c>
      <c r="S871" t="s">
        <v>322</v>
      </c>
      <c r="T871" t="s">
        <v>153</v>
      </c>
      <c r="U871" t="s">
        <v>154</v>
      </c>
      <c r="V871" t="str">
        <f>IFERROR(INDEX(Products!$C:$C,MATCH(D871,Products!$A:$A,0)),"Unknown")</f>
        <v>Winter Wear</v>
      </c>
      <c r="W871" t="str">
        <f>IFERROR(INDEX(Products!$E:$E,MATCH(D871,Products!$A:$A,0)),"Unknown")</f>
        <v>Max Fashion</v>
      </c>
      <c r="X871" t="str">
        <f>IFERROR(INDEX(Stores!$B:$B,MATCH(E871,Stores!$A:$A,0)),"Unknown")</f>
        <v>TrendMart Tirupati High Street</v>
      </c>
      <c r="Y871" t="str">
        <f>IFERROR(INDEX(Stores!$E:$E,MATCH(E871,Stores!$A:$A,0)),"Unknown")</f>
        <v>South Zone 3</v>
      </c>
      <c r="Z871" t="str">
        <f>IFERROR(INDEX(Customers!$J:$J,MATCH(C871,Customers!$A:$A,0)),"Unknown")</f>
        <v>Gold</v>
      </c>
      <c r="AA871" t="str">
        <f t="shared" si="13"/>
        <v>2024-06</v>
      </c>
      <c r="AB871" t="str">
        <f>IFERROR(INDEX(Products!$I:$I,MATCH(D871,Products!$A:$A,0)),"Unknown")</f>
        <v>SUP017</v>
      </c>
    </row>
    <row r="872" spans="1:28" x14ac:dyDescent="0.25">
      <c r="A872" t="s">
        <v>2447</v>
      </c>
      <c r="B872" s="20">
        <v>45626</v>
      </c>
      <c r="C872" t="s">
        <v>2448</v>
      </c>
      <c r="D872" t="s">
        <v>1292</v>
      </c>
      <c r="E872" t="s">
        <v>206</v>
      </c>
      <c r="F872" t="s">
        <v>232</v>
      </c>
      <c r="G872">
        <v>2</v>
      </c>
      <c r="H872" s="21">
        <v>531.66999999999996</v>
      </c>
      <c r="I872">
        <v>30</v>
      </c>
      <c r="J872" s="21">
        <v>319</v>
      </c>
      <c r="K872">
        <v>5</v>
      </c>
      <c r="L872" s="21">
        <v>37.22</v>
      </c>
      <c r="M872" s="21">
        <v>781.56</v>
      </c>
      <c r="N872" s="21">
        <v>697.5</v>
      </c>
      <c r="O872" s="21">
        <v>46.84</v>
      </c>
      <c r="P872" t="s">
        <v>125</v>
      </c>
      <c r="Q872" t="s">
        <v>120</v>
      </c>
      <c r="R872" t="s">
        <v>151</v>
      </c>
      <c r="S872" t="s">
        <v>2449</v>
      </c>
      <c r="T872" t="s">
        <v>161</v>
      </c>
      <c r="U872" t="s">
        <v>154</v>
      </c>
      <c r="V872" t="str">
        <f>IFERROR(INDEX(Products!$C:$C,MATCH(D872,Products!$A:$A,0)),"Unknown")</f>
        <v>Men T-Shirts</v>
      </c>
      <c r="W872" t="str">
        <f>IFERROR(INDEX(Products!$E:$E,MATCH(D872,Products!$A:$A,0)),"Unknown")</f>
        <v>Metro Shoes</v>
      </c>
      <c r="X872" t="str">
        <f>IFERROR(INDEX(Stores!$B:$B,MATCH(E872,Stores!$A:$A,0)),"Unknown")</f>
        <v>TrendMart Nizamabad Outlet</v>
      </c>
      <c r="Y872" t="str">
        <f>IFERROR(INDEX(Stores!$E:$E,MATCH(E872,Stores!$A:$A,0)),"Unknown")</f>
        <v>South Zone 2</v>
      </c>
      <c r="Z872" t="str">
        <f>IFERROR(INDEX(Customers!$J:$J,MATCH(C872,Customers!$A:$A,0)),"Unknown")</f>
        <v>Silver</v>
      </c>
      <c r="AA872" t="str">
        <f t="shared" si="13"/>
        <v>2024-11</v>
      </c>
      <c r="AB872" t="str">
        <f>IFERROR(INDEX(Products!$I:$I,MATCH(D872,Products!$A:$A,0)),"Unknown")</f>
        <v>SUP024</v>
      </c>
    </row>
    <row r="873" spans="1:28" x14ac:dyDescent="0.25">
      <c r="A873" t="s">
        <v>2450</v>
      </c>
      <c r="B873" s="20">
        <v>45583</v>
      </c>
      <c r="C873" t="s">
        <v>2451</v>
      </c>
      <c r="D873" t="s">
        <v>494</v>
      </c>
      <c r="E873" t="s">
        <v>578</v>
      </c>
      <c r="F873" t="s">
        <v>303</v>
      </c>
      <c r="G873">
        <v>3</v>
      </c>
      <c r="H873" s="21">
        <v>1697.29</v>
      </c>
      <c r="I873">
        <v>10</v>
      </c>
      <c r="J873" s="21">
        <v>509.19</v>
      </c>
      <c r="K873">
        <v>12</v>
      </c>
      <c r="L873" s="21">
        <v>549.91999999999996</v>
      </c>
      <c r="M873" s="21">
        <v>5132.6000000000004</v>
      </c>
      <c r="N873" s="21">
        <v>3422.7</v>
      </c>
      <c r="O873" s="21">
        <v>1159.98</v>
      </c>
      <c r="P873" t="s">
        <v>126</v>
      </c>
      <c r="Q873" t="s">
        <v>120</v>
      </c>
      <c r="R873" t="s">
        <v>151</v>
      </c>
      <c r="S873" t="s">
        <v>2414</v>
      </c>
      <c r="T873" t="s">
        <v>153</v>
      </c>
      <c r="U873" t="s">
        <v>154</v>
      </c>
      <c r="V873" t="str">
        <f>IFERROR(INDEX(Products!$C:$C,MATCH(D873,Products!$A:$A,0)),"Unknown")</f>
        <v>Women Dresses</v>
      </c>
      <c r="W873" t="str">
        <f>IFERROR(INDEX(Products!$E:$E,MATCH(D873,Products!$A:$A,0)),"Unknown")</f>
        <v>Reebok</v>
      </c>
      <c r="X873" t="str">
        <f>IFERROR(INDEX(Stores!$B:$B,MATCH(E873,Stores!$A:$A,0)),"Unknown")</f>
        <v>TrendMart Vellore Standard</v>
      </c>
      <c r="Y873" t="str">
        <f>IFERROR(INDEX(Stores!$E:$E,MATCH(E873,Stores!$A:$A,0)),"Unknown")</f>
        <v>South Zone 1</v>
      </c>
      <c r="Z873" t="str">
        <f>IFERROR(INDEX(Customers!$J:$J,MATCH(C873,Customers!$A:$A,0)),"Unknown")</f>
        <v>Silver</v>
      </c>
      <c r="AA873" t="str">
        <f t="shared" si="13"/>
        <v>2024-10</v>
      </c>
      <c r="AB873" t="str">
        <f>IFERROR(INDEX(Products!$I:$I,MATCH(D873,Products!$A:$A,0)),"Unknown")</f>
        <v>SUP085</v>
      </c>
    </row>
    <row r="874" spans="1:28" x14ac:dyDescent="0.25">
      <c r="A874" t="s">
        <v>2452</v>
      </c>
      <c r="B874" s="20">
        <v>45566</v>
      </c>
      <c r="C874" t="s">
        <v>2360</v>
      </c>
      <c r="D874" t="s">
        <v>1071</v>
      </c>
      <c r="E874" t="s">
        <v>318</v>
      </c>
      <c r="F874" t="s">
        <v>532</v>
      </c>
      <c r="G874">
        <v>1</v>
      </c>
      <c r="H874" s="21">
        <v>2065.0300000000002</v>
      </c>
      <c r="I874">
        <v>15</v>
      </c>
      <c r="J874" s="21">
        <v>309.75</v>
      </c>
      <c r="K874">
        <v>12</v>
      </c>
      <c r="L874" s="21">
        <v>210.63</v>
      </c>
      <c r="M874" s="21">
        <v>1965.91</v>
      </c>
      <c r="N874" s="21">
        <v>1542.23</v>
      </c>
      <c r="O874" s="21">
        <v>213.05</v>
      </c>
      <c r="P874" t="s">
        <v>124</v>
      </c>
      <c r="Q874" t="s">
        <v>122</v>
      </c>
      <c r="R874" t="s">
        <v>313</v>
      </c>
      <c r="S874" t="s">
        <v>2453</v>
      </c>
      <c r="T874" t="s">
        <v>153</v>
      </c>
      <c r="U874" t="s">
        <v>154</v>
      </c>
      <c r="V874" t="str">
        <f>IFERROR(INDEX(Products!$C:$C,MATCH(D874,Products!$A:$A,0)),"Unknown")</f>
        <v>Footwear</v>
      </c>
      <c r="W874" t="str">
        <f>IFERROR(INDEX(Products!$E:$E,MATCH(D874,Products!$A:$A,0)),"Unknown")</f>
        <v>Max Fashion</v>
      </c>
      <c r="X874" t="str">
        <f>IFERROR(INDEX(Stores!$B:$B,MATCH(E874,Stores!$A:$A,0)),"Unknown")</f>
        <v>TrendMart Guntur Outlet</v>
      </c>
      <c r="Y874" t="str">
        <f>IFERROR(INDEX(Stores!$E:$E,MATCH(E874,Stores!$A:$A,0)),"Unknown")</f>
        <v>South Zone 3</v>
      </c>
      <c r="Z874" t="str">
        <f>IFERROR(INDEX(Customers!$J:$J,MATCH(C874,Customers!$A:$A,0)),"Unknown")</f>
        <v>Regular</v>
      </c>
      <c r="AA874" t="str">
        <f t="shared" si="13"/>
        <v>2024-10</v>
      </c>
      <c r="AB874" t="str">
        <f>IFERROR(INDEX(Products!$I:$I,MATCH(D874,Products!$A:$A,0)),"Unknown")</f>
        <v>SUP039</v>
      </c>
    </row>
    <row r="875" spans="1:28" x14ac:dyDescent="0.25">
      <c r="A875" t="s">
        <v>2454</v>
      </c>
      <c r="B875" s="20">
        <v>45511</v>
      </c>
      <c r="C875" t="s">
        <v>2455</v>
      </c>
      <c r="D875" t="s">
        <v>359</v>
      </c>
      <c r="E875" t="s">
        <v>810</v>
      </c>
      <c r="F875" t="s">
        <v>618</v>
      </c>
      <c r="G875">
        <v>0</v>
      </c>
      <c r="H875" s="21">
        <v>2340.5700000000002</v>
      </c>
      <c r="I875">
        <v>30</v>
      </c>
      <c r="J875" s="21">
        <v>0</v>
      </c>
      <c r="K875">
        <v>12</v>
      </c>
      <c r="L875" s="21">
        <v>0</v>
      </c>
      <c r="M875" s="21">
        <v>0</v>
      </c>
      <c r="N875" s="21">
        <v>0</v>
      </c>
      <c r="O875" s="21">
        <v>0</v>
      </c>
      <c r="P875" t="s">
        <v>121</v>
      </c>
      <c r="Q875" t="s">
        <v>122</v>
      </c>
      <c r="R875" t="s">
        <v>482</v>
      </c>
      <c r="S875" t="s">
        <v>1643</v>
      </c>
      <c r="T875" t="s">
        <v>153</v>
      </c>
      <c r="U875" t="s">
        <v>154</v>
      </c>
      <c r="V875" t="str">
        <f>IFERROR(INDEX(Products!$C:$C,MATCH(D875,Products!$A:$A,0)),"Unknown")</f>
        <v>Men Ethnic</v>
      </c>
      <c r="W875" t="str">
        <f>IFERROR(INDEX(Products!$E:$E,MATCH(D875,Products!$A:$A,0)),"Unknown")</f>
        <v>US Polo Assn</v>
      </c>
      <c r="X875" t="str">
        <f>IFERROR(INDEX(Stores!$B:$B,MATCH(E875,Stores!$A:$A,0)),"Unknown")</f>
        <v>TrendMart Nizamabad Standard</v>
      </c>
      <c r="Y875" t="str">
        <f>IFERROR(INDEX(Stores!$E:$E,MATCH(E875,Stores!$A:$A,0)),"Unknown")</f>
        <v>South Zone 2</v>
      </c>
      <c r="Z875" t="str">
        <f>IFERROR(INDEX(Customers!$J:$J,MATCH(C875,Customers!$A:$A,0)),"Unknown")</f>
        <v>Silver</v>
      </c>
      <c r="AA875" t="str">
        <f t="shared" si="13"/>
        <v>2024-08</v>
      </c>
      <c r="AB875" t="str">
        <f>IFERROR(INDEX(Products!$I:$I,MATCH(D875,Products!$A:$A,0)),"Unknown")</f>
        <v>SUP036</v>
      </c>
    </row>
    <row r="876" spans="1:28" x14ac:dyDescent="0.25">
      <c r="A876" t="s">
        <v>2456</v>
      </c>
      <c r="B876" s="20">
        <v>45595</v>
      </c>
      <c r="C876" t="s">
        <v>1481</v>
      </c>
      <c r="D876" t="s">
        <v>996</v>
      </c>
      <c r="E876" t="s">
        <v>280</v>
      </c>
      <c r="F876" t="s">
        <v>397</v>
      </c>
      <c r="G876">
        <v>3</v>
      </c>
      <c r="H876" s="21">
        <v>1845.51</v>
      </c>
      <c r="I876">
        <v>25</v>
      </c>
      <c r="J876" s="21">
        <v>1384.13</v>
      </c>
      <c r="K876">
        <v>12</v>
      </c>
      <c r="L876" s="21">
        <v>498.29</v>
      </c>
      <c r="M876" s="21">
        <v>4650.6899999999996</v>
      </c>
      <c r="N876" s="21">
        <v>4291.71</v>
      </c>
      <c r="O876" s="21">
        <v>-139.31</v>
      </c>
      <c r="P876" t="s">
        <v>124</v>
      </c>
      <c r="Q876" t="s">
        <v>120</v>
      </c>
      <c r="R876" t="s">
        <v>151</v>
      </c>
      <c r="S876" t="s">
        <v>486</v>
      </c>
      <c r="T876" t="s">
        <v>153</v>
      </c>
      <c r="U876" t="s">
        <v>184</v>
      </c>
      <c r="V876" t="str">
        <f>IFERROR(INDEX(Products!$C:$C,MATCH(D876,Products!$A:$A,0)),"Unknown")</f>
        <v>Men Ethnic</v>
      </c>
      <c r="W876" t="str">
        <f>IFERROR(INDEX(Products!$E:$E,MATCH(D876,Products!$A:$A,0)),"Unknown")</f>
        <v>Liberty</v>
      </c>
      <c r="X876" t="str">
        <f>IFERROR(INDEX(Stores!$B:$B,MATCH(E876,Stores!$A:$A,0)),"Unknown")</f>
        <v>TrendMart Chennai Standard</v>
      </c>
      <c r="Y876" t="str">
        <f>IFERROR(INDEX(Stores!$E:$E,MATCH(E876,Stores!$A:$A,0)),"Unknown")</f>
        <v>South Zone 1</v>
      </c>
      <c r="Z876" t="str">
        <f>IFERROR(INDEX(Customers!$J:$J,MATCH(C876,Customers!$A:$A,0)),"Unknown")</f>
        <v>Silver</v>
      </c>
      <c r="AA876" t="str">
        <f t="shared" si="13"/>
        <v>2024-10</v>
      </c>
      <c r="AB876" t="str">
        <f>IFERROR(INDEX(Products!$I:$I,MATCH(D876,Products!$A:$A,0)),"Unknown")</f>
        <v>SUP046</v>
      </c>
    </row>
    <row r="877" spans="1:28" x14ac:dyDescent="0.25">
      <c r="A877" t="s">
        <v>2457</v>
      </c>
      <c r="B877" s="20">
        <v>45383</v>
      </c>
      <c r="C877" t="s">
        <v>2458</v>
      </c>
      <c r="D877" t="s">
        <v>819</v>
      </c>
      <c r="E877" t="s">
        <v>387</v>
      </c>
      <c r="F877" t="s">
        <v>170</v>
      </c>
      <c r="G877">
        <v>3</v>
      </c>
      <c r="H877" s="21">
        <v>1838</v>
      </c>
      <c r="I877">
        <v>10</v>
      </c>
      <c r="J877" s="21">
        <v>551.4</v>
      </c>
      <c r="K877">
        <v>12</v>
      </c>
      <c r="L877" s="21">
        <v>595.51</v>
      </c>
      <c r="M877" s="21">
        <v>5558.11</v>
      </c>
      <c r="N877" s="21">
        <v>3730.08</v>
      </c>
      <c r="O877" s="21">
        <v>1232.52</v>
      </c>
      <c r="P877" t="s">
        <v>123</v>
      </c>
      <c r="Q877" t="s">
        <v>120</v>
      </c>
      <c r="R877" t="s">
        <v>151</v>
      </c>
      <c r="S877" t="s">
        <v>879</v>
      </c>
      <c r="T877" t="s">
        <v>153</v>
      </c>
      <c r="U877" t="s">
        <v>154</v>
      </c>
      <c r="V877" t="str">
        <f>IFERROR(INDEX(Products!$C:$C,MATCH(D877,Products!$A:$A,0)),"Unknown")</f>
        <v>Footwear</v>
      </c>
      <c r="W877" t="str">
        <f>IFERROR(INDEX(Products!$E:$E,MATCH(D877,Products!$A:$A,0)),"Unknown")</f>
        <v>Tanishq</v>
      </c>
      <c r="X877" t="str">
        <f>IFERROR(INDEX(Stores!$B:$B,MATCH(E877,Stores!$A:$A,0)),"Unknown")</f>
        <v>TrendMart Kannur Outlet</v>
      </c>
      <c r="Y877" t="str">
        <f>IFERROR(INDEX(Stores!$E:$E,MATCH(E877,Stores!$A:$A,0)),"Unknown")</f>
        <v>South Zone 1</v>
      </c>
      <c r="Z877" t="str">
        <f>IFERROR(INDEX(Customers!$J:$J,MATCH(C877,Customers!$A:$A,0)),"Unknown")</f>
        <v>Silver</v>
      </c>
      <c r="AA877" t="str">
        <f t="shared" si="13"/>
        <v>2024-04</v>
      </c>
      <c r="AB877" t="str">
        <f>IFERROR(INDEX(Products!$I:$I,MATCH(D877,Products!$A:$A,0)),"Unknown")</f>
        <v>SUP082</v>
      </c>
    </row>
    <row r="878" spans="1:28" x14ac:dyDescent="0.25">
      <c r="A878" t="s">
        <v>2459</v>
      </c>
      <c r="B878" s="20">
        <v>45480</v>
      </c>
      <c r="C878" t="s">
        <v>1119</v>
      </c>
      <c r="D878" t="s">
        <v>583</v>
      </c>
      <c r="E878" t="s">
        <v>511</v>
      </c>
      <c r="F878" t="s">
        <v>281</v>
      </c>
      <c r="G878">
        <v>1</v>
      </c>
      <c r="H878" s="21">
        <v>962.82</v>
      </c>
      <c r="I878">
        <v>0</v>
      </c>
      <c r="J878" s="21">
        <v>0</v>
      </c>
      <c r="K878">
        <v>5</v>
      </c>
      <c r="L878" s="21">
        <v>48.14</v>
      </c>
      <c r="M878" s="21">
        <v>1010.96</v>
      </c>
      <c r="N878" s="21">
        <v>629.72</v>
      </c>
      <c r="O878" s="21">
        <v>333.1</v>
      </c>
      <c r="P878" t="s">
        <v>124</v>
      </c>
      <c r="Q878" t="s">
        <v>120</v>
      </c>
      <c r="R878" t="s">
        <v>151</v>
      </c>
      <c r="S878" t="s">
        <v>499</v>
      </c>
      <c r="T878" t="s">
        <v>161</v>
      </c>
      <c r="U878" t="s">
        <v>154</v>
      </c>
      <c r="V878" t="str">
        <f>IFERROR(INDEX(Products!$C:$C,MATCH(D878,Products!$A:$A,0)),"Unknown")</f>
        <v>Women Tops</v>
      </c>
      <c r="W878" t="str">
        <f>IFERROR(INDEX(Products!$E:$E,MATCH(D878,Products!$A:$A,0)),"Unknown")</f>
        <v>Ramraj Cotton</v>
      </c>
      <c r="X878" t="str">
        <f>IFERROR(INDEX(Stores!$B:$B,MATCH(E878,Stores!$A:$A,0)),"Unknown")</f>
        <v>TrendMart Khammam Standard</v>
      </c>
      <c r="Y878" t="str">
        <f>IFERROR(INDEX(Stores!$E:$E,MATCH(E878,Stores!$A:$A,0)),"Unknown")</f>
        <v>South Zone 2</v>
      </c>
      <c r="Z878" t="str">
        <f>IFERROR(INDEX(Customers!$J:$J,MATCH(C878,Customers!$A:$A,0)),"Unknown")</f>
        <v>Silver</v>
      </c>
      <c r="AA878" t="str">
        <f t="shared" si="13"/>
        <v>2024-07</v>
      </c>
      <c r="AB878" t="str">
        <f>IFERROR(INDEX(Products!$I:$I,MATCH(D878,Products!$A:$A,0)),"Unknown")</f>
        <v>SUP048</v>
      </c>
    </row>
    <row r="879" spans="1:28" x14ac:dyDescent="0.25">
      <c r="A879" t="s">
        <v>2460</v>
      </c>
      <c r="B879" s="20">
        <v>45398</v>
      </c>
      <c r="C879" t="s">
        <v>1181</v>
      </c>
      <c r="D879" t="s">
        <v>854</v>
      </c>
      <c r="E879" t="s">
        <v>90</v>
      </c>
      <c r="F879" t="s">
        <v>165</v>
      </c>
      <c r="G879">
        <v>4</v>
      </c>
      <c r="H879" s="21">
        <v>1143.21</v>
      </c>
      <c r="I879">
        <v>10</v>
      </c>
      <c r="J879" s="21">
        <v>457.28</v>
      </c>
      <c r="K879">
        <v>3</v>
      </c>
      <c r="L879" s="21">
        <v>123.47</v>
      </c>
      <c r="M879" s="21">
        <v>4239.03</v>
      </c>
      <c r="N879" s="21">
        <v>3816.16</v>
      </c>
      <c r="O879" s="21">
        <v>299.39999999999998</v>
      </c>
      <c r="P879" t="s">
        <v>121</v>
      </c>
      <c r="Q879" t="s">
        <v>122</v>
      </c>
      <c r="R879" t="s">
        <v>151</v>
      </c>
      <c r="S879" t="s">
        <v>2461</v>
      </c>
      <c r="T879" t="s">
        <v>153</v>
      </c>
      <c r="U879" t="s">
        <v>154</v>
      </c>
      <c r="V879" t="str">
        <f>IFERROR(INDEX(Products!$C:$C,MATCH(D879,Products!$A:$A,0)),"Unknown")</f>
        <v>Jewellery</v>
      </c>
      <c r="W879" t="str">
        <f>IFERROR(INDEX(Products!$E:$E,MATCH(D879,Products!$A:$A,0)),"Unknown")</f>
        <v>W for Woman</v>
      </c>
      <c r="X879" t="str">
        <f>IFERROR(INDEX(Stores!$B:$B,MATCH(E879,Stores!$A:$A,0)),"Unknown")</f>
        <v>TrendMart Thoothukudi Mall Kiosk</v>
      </c>
      <c r="Y879" t="str">
        <f>IFERROR(INDEX(Stores!$E:$E,MATCH(E879,Stores!$A:$A,0)),"Unknown")</f>
        <v>South Zone 1</v>
      </c>
      <c r="Z879" t="str">
        <f>IFERROR(INDEX(Customers!$J:$J,MATCH(C879,Customers!$A:$A,0)),"Unknown")</f>
        <v>Gold</v>
      </c>
      <c r="AA879" t="str">
        <f t="shared" si="13"/>
        <v>2024-04</v>
      </c>
      <c r="AB879" t="str">
        <f>IFERROR(INDEX(Products!$I:$I,MATCH(D879,Products!$A:$A,0)),"Unknown")</f>
        <v>SUP006</v>
      </c>
    </row>
    <row r="880" spans="1:28" x14ac:dyDescent="0.25">
      <c r="A880" t="s">
        <v>2462</v>
      </c>
      <c r="B880" s="20">
        <v>45447</v>
      </c>
      <c r="C880" t="s">
        <v>2463</v>
      </c>
      <c r="D880" t="s">
        <v>827</v>
      </c>
      <c r="E880" t="s">
        <v>515</v>
      </c>
      <c r="F880" t="s">
        <v>176</v>
      </c>
      <c r="G880">
        <v>2</v>
      </c>
      <c r="H880" s="21">
        <v>759.22</v>
      </c>
      <c r="I880">
        <v>30</v>
      </c>
      <c r="J880" s="21">
        <v>455.53</v>
      </c>
      <c r="K880">
        <v>5</v>
      </c>
      <c r="L880" s="21">
        <v>53.15</v>
      </c>
      <c r="M880" s="21">
        <v>1116.06</v>
      </c>
      <c r="N880" s="21">
        <v>1118.5</v>
      </c>
      <c r="O880" s="21">
        <v>-55.59</v>
      </c>
      <c r="P880" t="s">
        <v>125</v>
      </c>
      <c r="Q880" t="s">
        <v>122</v>
      </c>
      <c r="R880" t="s">
        <v>151</v>
      </c>
      <c r="S880" t="s">
        <v>1112</v>
      </c>
      <c r="T880" t="s">
        <v>153</v>
      </c>
      <c r="U880" t="s">
        <v>184</v>
      </c>
      <c r="V880" t="str">
        <f>IFERROR(INDEX(Products!$C:$C,MATCH(D880,Products!$A:$A,0)),"Unknown")</f>
        <v>Sportswear</v>
      </c>
      <c r="W880" t="str">
        <f>IFERROR(INDEX(Products!$E:$E,MATCH(D880,Products!$A:$A,0)),"Unknown")</f>
        <v>Max Fashion</v>
      </c>
      <c r="X880" t="str">
        <f>IFERROR(INDEX(Stores!$B:$B,MATCH(E880,Stores!$A:$A,0)),"Unknown")</f>
        <v>TrendMart Kochi High Street</v>
      </c>
      <c r="Y880" t="str">
        <f>IFERROR(INDEX(Stores!$E:$E,MATCH(E880,Stores!$A:$A,0)),"Unknown")</f>
        <v>South Zone 1</v>
      </c>
      <c r="Z880" t="str">
        <f>IFERROR(INDEX(Customers!$J:$J,MATCH(C880,Customers!$A:$A,0)),"Unknown")</f>
        <v>Regular</v>
      </c>
      <c r="AA880" t="str">
        <f t="shared" si="13"/>
        <v>2024-06</v>
      </c>
      <c r="AB880" t="str">
        <f>IFERROR(INDEX(Products!$I:$I,MATCH(D880,Products!$A:$A,0)),"Unknown")</f>
        <v>SUP043</v>
      </c>
    </row>
    <row r="881" spans="1:28" x14ac:dyDescent="0.25">
      <c r="A881" t="s">
        <v>2464</v>
      </c>
      <c r="B881" s="20">
        <v>45547</v>
      </c>
      <c r="C881" t="s">
        <v>2081</v>
      </c>
      <c r="D881" t="s">
        <v>424</v>
      </c>
      <c r="E881" t="s">
        <v>1074</v>
      </c>
      <c r="F881" t="s">
        <v>443</v>
      </c>
      <c r="G881">
        <v>2</v>
      </c>
      <c r="H881" s="21">
        <v>330.27</v>
      </c>
      <c r="I881">
        <v>5</v>
      </c>
      <c r="J881" s="21">
        <v>33.03</v>
      </c>
      <c r="K881">
        <v>5</v>
      </c>
      <c r="L881" s="21">
        <v>31.38</v>
      </c>
      <c r="M881" s="21">
        <v>658.89</v>
      </c>
      <c r="N881" s="21">
        <v>508.3</v>
      </c>
      <c r="O881" s="21">
        <v>119.21</v>
      </c>
      <c r="P881" t="s">
        <v>125</v>
      </c>
      <c r="Q881" t="s">
        <v>120</v>
      </c>
      <c r="R881" t="s">
        <v>151</v>
      </c>
      <c r="S881" t="s">
        <v>2151</v>
      </c>
      <c r="T881" t="s">
        <v>153</v>
      </c>
      <c r="U881" t="s">
        <v>154</v>
      </c>
      <c r="V881" t="str">
        <f>IFERROR(INDEX(Products!$C:$C,MATCH(D881,Products!$A:$A,0)),"Unknown")</f>
        <v>Belts</v>
      </c>
      <c r="W881" t="str">
        <f>IFERROR(INDEX(Products!$E:$E,MATCH(D881,Products!$A:$A,0)),"Unknown")</f>
        <v>Raymond</v>
      </c>
      <c r="X881" t="str">
        <f>IFERROR(INDEX(Stores!$B:$B,MATCH(E881,Stores!$A:$A,0)),"Unknown")</f>
        <v>TrendMart Hyderabad Standard</v>
      </c>
      <c r="Y881" t="str">
        <f>IFERROR(INDEX(Stores!$E:$E,MATCH(E881,Stores!$A:$A,0)),"Unknown")</f>
        <v>South Zone 2</v>
      </c>
      <c r="Z881" t="str">
        <f>IFERROR(INDEX(Customers!$J:$J,MATCH(C881,Customers!$A:$A,0)),"Unknown")</f>
        <v>Regular</v>
      </c>
      <c r="AA881" t="str">
        <f t="shared" si="13"/>
        <v>2024-09</v>
      </c>
      <c r="AB881" t="str">
        <f>IFERROR(INDEX(Products!$I:$I,MATCH(D881,Products!$A:$A,0)),"Unknown")</f>
        <v>SUP002</v>
      </c>
    </row>
    <row r="882" spans="1:28" x14ac:dyDescent="0.25">
      <c r="A882" t="s">
        <v>2465</v>
      </c>
      <c r="B882" s="20">
        <v>45566</v>
      </c>
      <c r="C882" t="s">
        <v>2466</v>
      </c>
      <c r="D882" t="s">
        <v>1328</v>
      </c>
      <c r="E882" t="s">
        <v>99</v>
      </c>
      <c r="F882" t="s">
        <v>269</v>
      </c>
      <c r="G882">
        <v>1</v>
      </c>
      <c r="H882" s="21">
        <v>1732.6</v>
      </c>
      <c r="I882">
        <v>30</v>
      </c>
      <c r="J882" s="21">
        <v>519.78</v>
      </c>
      <c r="K882">
        <v>12</v>
      </c>
      <c r="L882" s="21">
        <v>145.54</v>
      </c>
      <c r="M882" s="21">
        <v>1358.36</v>
      </c>
      <c r="N882" s="21">
        <v>1092.43</v>
      </c>
      <c r="O882" s="21">
        <v>120.39</v>
      </c>
      <c r="P882" t="s">
        <v>121</v>
      </c>
      <c r="Q882" t="s">
        <v>120</v>
      </c>
      <c r="R882" t="s">
        <v>151</v>
      </c>
      <c r="S882" t="s">
        <v>2467</v>
      </c>
      <c r="T882" t="s">
        <v>153</v>
      </c>
      <c r="U882" t="s">
        <v>154</v>
      </c>
      <c r="V882" t="str">
        <f>IFERROR(INDEX(Products!$C:$C,MATCH(D882,Products!$A:$A,0)),"Unknown")</f>
        <v>Winter Wear</v>
      </c>
      <c r="W882" t="str">
        <f>IFERROR(INDEX(Products!$E:$E,MATCH(D882,Products!$A:$A,0)),"Unknown")</f>
        <v>Fastrack</v>
      </c>
      <c r="X882" t="str">
        <f>IFERROR(INDEX(Stores!$B:$B,MATCH(E882,Stores!$A:$A,0)),"Unknown")</f>
        <v>TrendMart Hubballi Standard</v>
      </c>
      <c r="Y882" t="str">
        <f>IFERROR(INDEX(Stores!$E:$E,MATCH(E882,Stores!$A:$A,0)),"Unknown")</f>
        <v>South Zone 2</v>
      </c>
      <c r="Z882" t="str">
        <f>IFERROR(INDEX(Customers!$J:$J,MATCH(C882,Customers!$A:$A,0)),"Unknown")</f>
        <v>Regular</v>
      </c>
      <c r="AA882" t="str">
        <f t="shared" si="13"/>
        <v>2024-10</v>
      </c>
      <c r="AB882" t="str">
        <f>IFERROR(INDEX(Products!$I:$I,MATCH(D882,Products!$A:$A,0)),"Unknown")</f>
        <v>SUP033</v>
      </c>
    </row>
    <row r="883" spans="1:28" x14ac:dyDescent="0.25">
      <c r="A883" t="s">
        <v>2468</v>
      </c>
      <c r="B883" s="20">
        <v>45419</v>
      </c>
      <c r="C883" t="s">
        <v>2078</v>
      </c>
      <c r="D883" t="s">
        <v>424</v>
      </c>
      <c r="E883" t="s">
        <v>823</v>
      </c>
      <c r="F883" t="s">
        <v>403</v>
      </c>
      <c r="G883">
        <v>3</v>
      </c>
      <c r="H883" s="21">
        <v>317.38</v>
      </c>
      <c r="I883">
        <v>0</v>
      </c>
      <c r="J883" s="21">
        <v>0</v>
      </c>
      <c r="K883">
        <v>5</v>
      </c>
      <c r="L883" s="21">
        <v>47.61</v>
      </c>
      <c r="M883" s="21">
        <v>999.75</v>
      </c>
      <c r="N883" s="21">
        <v>762.45</v>
      </c>
      <c r="O883" s="21">
        <v>189.69</v>
      </c>
      <c r="P883" t="s">
        <v>124</v>
      </c>
      <c r="Q883" t="s">
        <v>120</v>
      </c>
      <c r="R883" t="s">
        <v>151</v>
      </c>
      <c r="S883" t="s">
        <v>950</v>
      </c>
      <c r="T883" t="s">
        <v>153</v>
      </c>
      <c r="U883" t="s">
        <v>154</v>
      </c>
      <c r="V883" t="str">
        <f>IFERROR(INDEX(Products!$C:$C,MATCH(D883,Products!$A:$A,0)),"Unknown")</f>
        <v>Belts</v>
      </c>
      <c r="W883" t="str">
        <f>IFERROR(INDEX(Products!$E:$E,MATCH(D883,Products!$A:$A,0)),"Unknown")</f>
        <v>Raymond</v>
      </c>
      <c r="X883" t="str">
        <f>IFERROR(INDEX(Stores!$B:$B,MATCH(E883,Stores!$A:$A,0)),"Unknown")</f>
        <v>TrendMart Thoothukudi Mall Kiosk</v>
      </c>
      <c r="Y883" t="str">
        <f>IFERROR(INDEX(Stores!$E:$E,MATCH(E883,Stores!$A:$A,0)),"Unknown")</f>
        <v>South Zone 1</v>
      </c>
      <c r="Z883" t="str">
        <f>IFERROR(INDEX(Customers!$J:$J,MATCH(C883,Customers!$A:$A,0)),"Unknown")</f>
        <v>Gold</v>
      </c>
      <c r="AA883" t="str">
        <f t="shared" si="13"/>
        <v>2024-05</v>
      </c>
      <c r="AB883" t="str">
        <f>IFERROR(INDEX(Products!$I:$I,MATCH(D883,Products!$A:$A,0)),"Unknown")</f>
        <v>SUP002</v>
      </c>
    </row>
    <row r="884" spans="1:28" x14ac:dyDescent="0.25">
      <c r="A884" t="s">
        <v>2469</v>
      </c>
      <c r="B884" s="20">
        <v>45404</v>
      </c>
      <c r="C884" t="s">
        <v>1747</v>
      </c>
      <c r="D884" t="s">
        <v>531</v>
      </c>
      <c r="E884" t="s">
        <v>1442</v>
      </c>
      <c r="F884" t="s">
        <v>221</v>
      </c>
      <c r="G884">
        <v>1</v>
      </c>
      <c r="H884" s="21">
        <v>3161.2</v>
      </c>
      <c r="I884">
        <v>15</v>
      </c>
      <c r="J884" s="21">
        <v>474.18</v>
      </c>
      <c r="K884">
        <v>12</v>
      </c>
      <c r="L884" s="21">
        <v>322.44</v>
      </c>
      <c r="M884" s="21">
        <v>3009.46</v>
      </c>
      <c r="N884" s="21">
        <v>2034.01</v>
      </c>
      <c r="O884" s="21">
        <v>653.01</v>
      </c>
      <c r="P884" t="s">
        <v>124</v>
      </c>
      <c r="Q884" t="s">
        <v>122</v>
      </c>
      <c r="R884" t="s">
        <v>313</v>
      </c>
      <c r="S884" t="s">
        <v>2103</v>
      </c>
      <c r="T884" t="s">
        <v>153</v>
      </c>
      <c r="U884" t="s">
        <v>154</v>
      </c>
      <c r="V884" t="str">
        <f>IFERROR(INDEX(Products!$C:$C,MATCH(D884,Products!$A:$A,0)),"Unknown")</f>
        <v>Handbags</v>
      </c>
      <c r="W884" t="str">
        <f>IFERROR(INDEX(Products!$E:$E,MATCH(D884,Products!$A:$A,0)),"Unknown")</f>
        <v>GRT Jewellers</v>
      </c>
      <c r="X884" t="str">
        <f>IFERROR(INDEX(Stores!$B:$B,MATCH(E884,Stores!$A:$A,0)),"Unknown")</f>
        <v>TrendMart Vellore High Street</v>
      </c>
      <c r="Y884" t="str">
        <f>IFERROR(INDEX(Stores!$E:$E,MATCH(E884,Stores!$A:$A,0)),"Unknown")</f>
        <v>South Zone 1</v>
      </c>
      <c r="Z884" t="str">
        <f>IFERROR(INDEX(Customers!$J:$J,MATCH(C884,Customers!$A:$A,0)),"Unknown")</f>
        <v>Regular</v>
      </c>
      <c r="AA884" t="str">
        <f t="shared" si="13"/>
        <v>2024-04</v>
      </c>
      <c r="AB884" t="str">
        <f>IFERROR(INDEX(Products!$I:$I,MATCH(D884,Products!$A:$A,0)),"Unknown")</f>
        <v>SUP047</v>
      </c>
    </row>
    <row r="885" spans="1:28" x14ac:dyDescent="0.25">
      <c r="A885" t="s">
        <v>2470</v>
      </c>
      <c r="B885" s="20">
        <v>45571</v>
      </c>
      <c r="C885" t="s">
        <v>2471</v>
      </c>
      <c r="D885" t="s">
        <v>654</v>
      </c>
      <c r="E885" t="s">
        <v>613</v>
      </c>
      <c r="F885" t="s">
        <v>189</v>
      </c>
      <c r="G885">
        <v>1</v>
      </c>
      <c r="H885" s="21">
        <v>1219.29</v>
      </c>
      <c r="I885">
        <v>0</v>
      </c>
      <c r="J885" s="21">
        <v>0</v>
      </c>
      <c r="K885">
        <v>12</v>
      </c>
      <c r="L885" s="21">
        <v>146.31</v>
      </c>
      <c r="M885" s="21">
        <v>1365.6</v>
      </c>
      <c r="N885" s="21">
        <v>865.42</v>
      </c>
      <c r="O885" s="21">
        <v>353.87</v>
      </c>
      <c r="P885" t="s">
        <v>123</v>
      </c>
      <c r="Q885" t="s">
        <v>120</v>
      </c>
      <c r="R885" t="s">
        <v>151</v>
      </c>
      <c r="S885" t="s">
        <v>2472</v>
      </c>
      <c r="T885" t="s">
        <v>161</v>
      </c>
      <c r="U885" t="s">
        <v>154</v>
      </c>
      <c r="V885" t="str">
        <f>IFERROR(INDEX(Products!$C:$C,MATCH(D885,Products!$A:$A,0)),"Unknown")</f>
        <v>Women Dresses</v>
      </c>
      <c r="W885" t="str">
        <f>IFERROR(INDEX(Products!$E:$E,MATCH(D885,Products!$A:$A,0)),"Unknown")</f>
        <v>Indian Terrain</v>
      </c>
      <c r="X885" t="str">
        <f>IFERROR(INDEX(Stores!$B:$B,MATCH(E885,Stores!$A:$A,0)),"Unknown")</f>
        <v>TrendMart Kochi Mall Kiosk</v>
      </c>
      <c r="Y885" t="str">
        <f>IFERROR(INDEX(Stores!$E:$E,MATCH(E885,Stores!$A:$A,0)),"Unknown")</f>
        <v>South Zone 1</v>
      </c>
      <c r="Z885" t="str">
        <f>IFERROR(INDEX(Customers!$J:$J,MATCH(C885,Customers!$A:$A,0)),"Unknown")</f>
        <v>Regular</v>
      </c>
      <c r="AA885" t="str">
        <f t="shared" si="13"/>
        <v>2024-10</v>
      </c>
      <c r="AB885" t="str">
        <f>IFERROR(INDEX(Products!$I:$I,MATCH(D885,Products!$A:$A,0)),"Unknown")</f>
        <v>SUP049</v>
      </c>
    </row>
    <row r="886" spans="1:28" x14ac:dyDescent="0.25">
      <c r="A886" t="s">
        <v>2473</v>
      </c>
      <c r="B886" s="20">
        <v>45483</v>
      </c>
      <c r="C886" t="s">
        <v>219</v>
      </c>
      <c r="D886" t="s">
        <v>622</v>
      </c>
      <c r="E886" t="s">
        <v>934</v>
      </c>
      <c r="F886" t="s">
        <v>201</v>
      </c>
      <c r="G886">
        <v>3</v>
      </c>
      <c r="H886" s="21">
        <v>2566.7399999999998</v>
      </c>
      <c r="I886">
        <v>25</v>
      </c>
      <c r="J886" s="21">
        <v>1925.06</v>
      </c>
      <c r="K886">
        <v>12</v>
      </c>
      <c r="L886" s="21">
        <v>693.02</v>
      </c>
      <c r="M886" s="21">
        <v>6468.18</v>
      </c>
      <c r="N886" s="21">
        <v>5559.42</v>
      </c>
      <c r="O886" s="21">
        <v>215.74</v>
      </c>
      <c r="P886" t="s">
        <v>126</v>
      </c>
      <c r="Q886" t="s">
        <v>122</v>
      </c>
      <c r="R886" t="s">
        <v>151</v>
      </c>
      <c r="S886" t="s">
        <v>2474</v>
      </c>
      <c r="T886" t="s">
        <v>153</v>
      </c>
      <c r="U886" t="s">
        <v>154</v>
      </c>
      <c r="V886" t="str">
        <f>IFERROR(INDEX(Products!$C:$C,MATCH(D886,Products!$A:$A,0)),"Unknown")</f>
        <v>Women Sarees</v>
      </c>
      <c r="W886" t="str">
        <f>IFERROR(INDEX(Products!$E:$E,MATCH(D886,Products!$A:$A,0)),"Unknown")</f>
        <v>Sparx</v>
      </c>
      <c r="X886" t="str">
        <f>IFERROR(INDEX(Stores!$B:$B,MATCH(E886,Stores!$A:$A,0)),"Unknown")</f>
        <v>TrendMart Bengaluru High Street</v>
      </c>
      <c r="Y886" t="str">
        <f>IFERROR(INDEX(Stores!$E:$E,MATCH(E886,Stores!$A:$A,0)),"Unknown")</f>
        <v>South Zone 2</v>
      </c>
      <c r="Z886" t="str">
        <f>IFERROR(INDEX(Customers!$J:$J,MATCH(C886,Customers!$A:$A,0)),"Unknown")</f>
        <v>Silver</v>
      </c>
      <c r="AA886" t="str">
        <f t="shared" si="13"/>
        <v>2024-07</v>
      </c>
      <c r="AB886" t="str">
        <f>IFERROR(INDEX(Products!$I:$I,MATCH(D886,Products!$A:$A,0)),"Unknown")</f>
        <v>SUP080</v>
      </c>
    </row>
    <row r="887" spans="1:28" x14ac:dyDescent="0.25">
      <c r="A887" t="s">
        <v>2475</v>
      </c>
      <c r="B887" s="20">
        <v>45418</v>
      </c>
      <c r="C887" t="s">
        <v>441</v>
      </c>
      <c r="D887" t="s">
        <v>1928</v>
      </c>
      <c r="E887" t="s">
        <v>262</v>
      </c>
      <c r="F887" t="s">
        <v>382</v>
      </c>
      <c r="G887">
        <v>2</v>
      </c>
      <c r="H887" s="21">
        <v>829.74</v>
      </c>
      <c r="I887">
        <v>10</v>
      </c>
      <c r="J887" s="21">
        <v>165.95</v>
      </c>
      <c r="K887">
        <v>5</v>
      </c>
      <c r="L887" s="21">
        <v>74.680000000000007</v>
      </c>
      <c r="M887" s="21">
        <v>1568.21</v>
      </c>
      <c r="N887" s="21">
        <v>1316.38</v>
      </c>
      <c r="O887" s="21">
        <v>177.15</v>
      </c>
      <c r="P887" t="s">
        <v>123</v>
      </c>
      <c r="Q887" t="s">
        <v>122</v>
      </c>
      <c r="R887" t="s">
        <v>151</v>
      </c>
      <c r="S887" t="s">
        <v>1020</v>
      </c>
      <c r="T887" t="s">
        <v>153</v>
      </c>
      <c r="U887" t="s">
        <v>154</v>
      </c>
      <c r="V887" t="str">
        <f>IFERROR(INDEX(Products!$C:$C,MATCH(D887,Products!$A:$A,0)),"Unknown")</f>
        <v>Men Jeans</v>
      </c>
      <c r="W887" t="str">
        <f>IFERROR(INDEX(Products!$E:$E,MATCH(D887,Products!$A:$A,0)),"Unknown")</f>
        <v>Skechers</v>
      </c>
      <c r="X887" t="str">
        <f>IFERROR(INDEX(Stores!$B:$B,MATCH(E887,Stores!$A:$A,0)),"Unknown")</f>
        <v>TrendMart Thoothukudi Outlet</v>
      </c>
      <c r="Y887" t="str">
        <f>IFERROR(INDEX(Stores!$E:$E,MATCH(E887,Stores!$A:$A,0)),"Unknown")</f>
        <v>South Zone 1</v>
      </c>
      <c r="Z887" t="str">
        <f>IFERROR(INDEX(Customers!$J:$J,MATCH(C887,Customers!$A:$A,0)),"Unknown")</f>
        <v>Gold</v>
      </c>
      <c r="AA887" t="str">
        <f t="shared" si="13"/>
        <v>2024-05</v>
      </c>
      <c r="AB887" t="str">
        <f>IFERROR(INDEX(Products!$I:$I,MATCH(D887,Products!$A:$A,0)),"Unknown")</f>
        <v>SUP015</v>
      </c>
    </row>
    <row r="888" spans="1:28" x14ac:dyDescent="0.25">
      <c r="A888" t="s">
        <v>2476</v>
      </c>
      <c r="B888" s="20">
        <v>45411</v>
      </c>
      <c r="C888" t="s">
        <v>332</v>
      </c>
      <c r="D888" t="s">
        <v>830</v>
      </c>
      <c r="E888" t="s">
        <v>81</v>
      </c>
      <c r="F888" t="s">
        <v>618</v>
      </c>
      <c r="G888">
        <v>1</v>
      </c>
      <c r="H888" s="21">
        <v>821.92</v>
      </c>
      <c r="I888">
        <v>10</v>
      </c>
      <c r="J888" s="21">
        <v>82.19</v>
      </c>
      <c r="K888">
        <v>5</v>
      </c>
      <c r="L888" s="21">
        <v>36.99</v>
      </c>
      <c r="M888" s="21">
        <v>776.72</v>
      </c>
      <c r="N888" s="21">
        <v>570.20000000000005</v>
      </c>
      <c r="O888" s="21">
        <v>169.53</v>
      </c>
      <c r="P888" t="s">
        <v>121</v>
      </c>
      <c r="Q888" t="s">
        <v>120</v>
      </c>
      <c r="R888" t="s">
        <v>151</v>
      </c>
      <c r="S888" t="s">
        <v>2477</v>
      </c>
      <c r="T888" t="s">
        <v>153</v>
      </c>
      <c r="U888" t="s">
        <v>154</v>
      </c>
      <c r="V888" t="str">
        <f>IFERROR(INDEX(Products!$C:$C,MATCH(D888,Products!$A:$A,0)),"Unknown")</f>
        <v>Men Shirts</v>
      </c>
      <c r="W888" t="str">
        <f>IFERROR(INDEX(Products!$E:$E,MATCH(D888,Products!$A:$A,0)),"Unknown")</f>
        <v>AND</v>
      </c>
      <c r="X888" t="str">
        <f>IFERROR(INDEX(Stores!$B:$B,MATCH(E888,Stores!$A:$A,0)),"Unknown")</f>
        <v>TrendMart Vijayawada High Street</v>
      </c>
      <c r="Y888" t="str">
        <f>IFERROR(INDEX(Stores!$E:$E,MATCH(E888,Stores!$A:$A,0)),"Unknown")</f>
        <v>South Zone 3</v>
      </c>
      <c r="Z888" t="str">
        <f>IFERROR(INDEX(Customers!$J:$J,MATCH(C888,Customers!$A:$A,0)),"Unknown")</f>
        <v>Platinum</v>
      </c>
      <c r="AA888" t="str">
        <f t="shared" si="13"/>
        <v>2024-04</v>
      </c>
      <c r="AB888" t="str">
        <f>IFERROR(INDEX(Products!$I:$I,MATCH(D888,Products!$A:$A,0)),"Unknown")</f>
        <v>SUP012</v>
      </c>
    </row>
    <row r="889" spans="1:28" x14ac:dyDescent="0.25">
      <c r="A889" t="s">
        <v>2478</v>
      </c>
      <c r="B889" s="20">
        <v>45395</v>
      </c>
      <c r="C889" t="s">
        <v>1610</v>
      </c>
      <c r="D889" t="s">
        <v>670</v>
      </c>
      <c r="E889" t="s">
        <v>216</v>
      </c>
      <c r="F889" t="s">
        <v>2479</v>
      </c>
      <c r="G889">
        <v>2</v>
      </c>
      <c r="H889" s="21">
        <v>1985.7</v>
      </c>
      <c r="I889">
        <v>10</v>
      </c>
      <c r="J889" s="21">
        <v>397.14</v>
      </c>
      <c r="K889">
        <v>12</v>
      </c>
      <c r="L889" s="21">
        <v>428.91</v>
      </c>
      <c r="M889" s="21">
        <v>4003.17</v>
      </c>
      <c r="N889" s="21">
        <v>2756.76</v>
      </c>
      <c r="O889" s="21">
        <v>817.5</v>
      </c>
      <c r="P889" t="s">
        <v>121</v>
      </c>
      <c r="Q889" t="s">
        <v>120</v>
      </c>
      <c r="R889" t="s">
        <v>151</v>
      </c>
      <c r="S889" t="s">
        <v>2480</v>
      </c>
      <c r="T889" t="s">
        <v>161</v>
      </c>
      <c r="U889" t="s">
        <v>154</v>
      </c>
      <c r="V889" t="str">
        <f>IFERROR(INDEX(Products!$C:$C,MATCH(D889,Products!$A:$A,0)),"Unknown")</f>
        <v>Women Sarees</v>
      </c>
      <c r="W889" t="str">
        <f>IFERROR(INDEX(Products!$E:$E,MATCH(D889,Products!$A:$A,0)),"Unknown")</f>
        <v>Reebok</v>
      </c>
      <c r="X889" t="str">
        <f>IFERROR(INDEX(Stores!$B:$B,MATCH(E889,Stores!$A:$A,0)),"Unknown")</f>
        <v>TrendMart Madurai Mall Kiosk</v>
      </c>
      <c r="Y889" t="str">
        <f>IFERROR(INDEX(Stores!$E:$E,MATCH(E889,Stores!$A:$A,0)),"Unknown")</f>
        <v>South Zone 1</v>
      </c>
      <c r="Z889" t="str">
        <f>IFERROR(INDEX(Customers!$J:$J,MATCH(C889,Customers!$A:$A,0)),"Unknown")</f>
        <v>Gold</v>
      </c>
      <c r="AA889" t="str">
        <f t="shared" si="13"/>
        <v>2024-04</v>
      </c>
      <c r="AB889" t="str">
        <f>IFERROR(INDEX(Products!$I:$I,MATCH(D889,Products!$A:$A,0)),"Unknown")</f>
        <v>SUP073</v>
      </c>
    </row>
    <row r="890" spans="1:28" x14ac:dyDescent="0.25">
      <c r="A890" t="s">
        <v>2481</v>
      </c>
      <c r="B890" s="20">
        <v>45614</v>
      </c>
      <c r="C890" t="s">
        <v>289</v>
      </c>
      <c r="D890" t="s">
        <v>1016</v>
      </c>
      <c r="E890" t="s">
        <v>681</v>
      </c>
      <c r="F890" t="s">
        <v>408</v>
      </c>
      <c r="G890">
        <v>2</v>
      </c>
      <c r="H890" s="21">
        <v>5184.71</v>
      </c>
      <c r="I890">
        <v>10</v>
      </c>
      <c r="J890" s="21">
        <v>1036.94</v>
      </c>
      <c r="K890">
        <v>12</v>
      </c>
      <c r="L890" s="21">
        <v>1119.9000000000001</v>
      </c>
      <c r="M890" s="21">
        <v>10452.379999999999</v>
      </c>
      <c r="N890" s="21">
        <v>7324.74</v>
      </c>
      <c r="O890" s="21">
        <v>2007.74</v>
      </c>
      <c r="P890" t="s">
        <v>125</v>
      </c>
      <c r="Q890" t="s">
        <v>120</v>
      </c>
      <c r="R890" t="s">
        <v>151</v>
      </c>
      <c r="S890" t="s">
        <v>2348</v>
      </c>
      <c r="T890" t="s">
        <v>153</v>
      </c>
      <c r="U890" t="s">
        <v>154</v>
      </c>
      <c r="V890" t="str">
        <f>IFERROR(INDEX(Products!$C:$C,MATCH(D890,Products!$A:$A,0)),"Unknown")</f>
        <v>Watches</v>
      </c>
      <c r="W890" t="str">
        <f>IFERROR(INDEX(Products!$E:$E,MATCH(D890,Products!$A:$A,0)),"Unknown")</f>
        <v>Pantaloons</v>
      </c>
      <c r="X890" t="str">
        <f>IFERROR(INDEX(Stores!$B:$B,MATCH(E890,Stores!$A:$A,0)),"Unknown")</f>
        <v>TrendMart Shivamogga Mall Kiosk</v>
      </c>
      <c r="Y890" t="str">
        <f>IFERROR(INDEX(Stores!$E:$E,MATCH(E890,Stores!$A:$A,0)),"Unknown")</f>
        <v>South Zone 2</v>
      </c>
      <c r="Z890" t="str">
        <f>IFERROR(INDEX(Customers!$J:$J,MATCH(C890,Customers!$A:$A,0)),"Unknown")</f>
        <v>Silver</v>
      </c>
      <c r="AA890" t="str">
        <f t="shared" si="13"/>
        <v>2024-11</v>
      </c>
      <c r="AB890" t="str">
        <f>IFERROR(INDEX(Products!$I:$I,MATCH(D890,Products!$A:$A,0)),"Unknown")</f>
        <v>SUP007</v>
      </c>
    </row>
    <row r="891" spans="1:28" x14ac:dyDescent="0.25">
      <c r="A891" t="s">
        <v>2482</v>
      </c>
      <c r="B891" s="20">
        <v>45550</v>
      </c>
      <c r="C891" t="s">
        <v>2483</v>
      </c>
      <c r="D891" t="s">
        <v>814</v>
      </c>
      <c r="E891" t="s">
        <v>1591</v>
      </c>
      <c r="F891" t="s">
        <v>242</v>
      </c>
      <c r="G891">
        <v>1</v>
      </c>
      <c r="H891" s="21">
        <v>608.34</v>
      </c>
      <c r="I891">
        <v>0</v>
      </c>
      <c r="J891" s="21">
        <v>0</v>
      </c>
      <c r="K891">
        <v>5</v>
      </c>
      <c r="L891" s="21">
        <v>30.42</v>
      </c>
      <c r="M891" s="21">
        <v>638.76</v>
      </c>
      <c r="N891" s="21">
        <v>364.61</v>
      </c>
      <c r="O891" s="21">
        <v>243.73</v>
      </c>
      <c r="P891" t="s">
        <v>125</v>
      </c>
      <c r="Q891" t="s">
        <v>120</v>
      </c>
      <c r="R891" t="s">
        <v>151</v>
      </c>
      <c r="S891" t="s">
        <v>802</v>
      </c>
      <c r="T891" t="s">
        <v>161</v>
      </c>
      <c r="U891" t="s">
        <v>154</v>
      </c>
      <c r="V891" t="str">
        <f>IFERROR(INDEX(Products!$C:$C,MATCH(D891,Products!$A:$A,0)),"Unknown")</f>
        <v>Men T-Shirts</v>
      </c>
      <c r="W891" t="str">
        <f>IFERROR(INDEX(Products!$E:$E,MATCH(D891,Products!$A:$A,0)),"Unknown")</f>
        <v>Woodland</v>
      </c>
      <c r="X891" t="str">
        <f>IFERROR(INDEX(Stores!$B:$B,MATCH(E891,Stores!$A:$A,0)),"Unknown")</f>
        <v>TrendMart Guntur Standard</v>
      </c>
      <c r="Y891" t="str">
        <f>IFERROR(INDEX(Stores!$E:$E,MATCH(E891,Stores!$A:$A,0)),"Unknown")</f>
        <v>South Zone 3</v>
      </c>
      <c r="Z891" t="str">
        <f>IFERROR(INDEX(Customers!$J:$J,MATCH(C891,Customers!$A:$A,0)),"Unknown")</f>
        <v>Silver</v>
      </c>
      <c r="AA891" t="str">
        <f t="shared" si="13"/>
        <v>2024-09</v>
      </c>
      <c r="AB891" t="str">
        <f>IFERROR(INDEX(Products!$I:$I,MATCH(D891,Products!$A:$A,0)),"Unknown")</f>
        <v>SUP051</v>
      </c>
    </row>
    <row r="892" spans="1:28" x14ac:dyDescent="0.25">
      <c r="A892" t="s">
        <v>2484</v>
      </c>
      <c r="B892" s="20">
        <v>45703</v>
      </c>
      <c r="C892" t="s">
        <v>1295</v>
      </c>
      <c r="D892" t="s">
        <v>257</v>
      </c>
      <c r="E892" t="s">
        <v>630</v>
      </c>
      <c r="F892" t="s">
        <v>532</v>
      </c>
      <c r="G892">
        <v>1</v>
      </c>
      <c r="H892" s="21">
        <v>1037.4000000000001</v>
      </c>
      <c r="I892">
        <v>25</v>
      </c>
      <c r="J892" s="21">
        <v>259.35000000000002</v>
      </c>
      <c r="K892">
        <v>12</v>
      </c>
      <c r="L892" s="21">
        <v>93.37</v>
      </c>
      <c r="M892" s="21">
        <v>871.42</v>
      </c>
      <c r="N892" s="21">
        <v>721.22</v>
      </c>
      <c r="O892" s="21">
        <v>56.83</v>
      </c>
      <c r="P892" t="s">
        <v>121</v>
      </c>
      <c r="Q892" t="s">
        <v>120</v>
      </c>
      <c r="R892" t="s">
        <v>151</v>
      </c>
      <c r="S892" t="s">
        <v>1771</v>
      </c>
      <c r="T892" t="s">
        <v>161</v>
      </c>
      <c r="U892" t="s">
        <v>154</v>
      </c>
      <c r="V892" t="str">
        <f>IFERROR(INDEX(Products!$C:$C,MATCH(D892,Products!$A:$A,0)),"Unknown")</f>
        <v>Men Shirts</v>
      </c>
      <c r="W892" t="str">
        <f>IFERROR(INDEX(Products!$E:$E,MATCH(D892,Products!$A:$A,0)),"Unknown")</f>
        <v>Indian Terrain</v>
      </c>
      <c r="X892" t="str">
        <f>IFERROR(INDEX(Stores!$B:$B,MATCH(E892,Stores!$A:$A,0)),"Unknown")</f>
        <v>TrendMart Guntur Standard</v>
      </c>
      <c r="Y892" t="str">
        <f>IFERROR(INDEX(Stores!$E:$E,MATCH(E892,Stores!$A:$A,0)),"Unknown")</f>
        <v>South Zone 3</v>
      </c>
      <c r="Z892" t="str">
        <f>IFERROR(INDEX(Customers!$J:$J,MATCH(C892,Customers!$A:$A,0)),"Unknown")</f>
        <v>Regular</v>
      </c>
      <c r="AA892" t="str">
        <f t="shared" si="13"/>
        <v>2025-02</v>
      </c>
      <c r="AB892" t="str">
        <f>IFERROR(INDEX(Products!$I:$I,MATCH(D892,Products!$A:$A,0)),"Unknown")</f>
        <v>SUP080</v>
      </c>
    </row>
    <row r="893" spans="1:28" x14ac:dyDescent="0.25">
      <c r="A893" t="s">
        <v>2485</v>
      </c>
      <c r="B893" s="20">
        <v>45712</v>
      </c>
      <c r="C893" t="s">
        <v>1315</v>
      </c>
      <c r="D893" t="s">
        <v>1101</v>
      </c>
      <c r="E893" t="s">
        <v>402</v>
      </c>
      <c r="F893" t="s">
        <v>596</v>
      </c>
      <c r="G893">
        <v>2</v>
      </c>
      <c r="H893" s="21">
        <v>805.11</v>
      </c>
      <c r="I893">
        <v>25</v>
      </c>
      <c r="J893" s="21">
        <v>402.56</v>
      </c>
      <c r="K893">
        <v>5</v>
      </c>
      <c r="L893" s="21">
        <v>60.38</v>
      </c>
      <c r="M893" s="21">
        <v>1268.04</v>
      </c>
      <c r="N893" s="21">
        <v>1130.9000000000001</v>
      </c>
      <c r="O893" s="21">
        <v>76.760000000000005</v>
      </c>
      <c r="P893" t="s">
        <v>121</v>
      </c>
      <c r="Q893" t="s">
        <v>120</v>
      </c>
      <c r="R893" t="s">
        <v>151</v>
      </c>
      <c r="S893" t="s">
        <v>1460</v>
      </c>
      <c r="T893" t="s">
        <v>153</v>
      </c>
      <c r="U893" t="s">
        <v>154</v>
      </c>
      <c r="V893" t="str">
        <f>IFERROR(INDEX(Products!$C:$C,MATCH(D893,Products!$A:$A,0)),"Unknown")</f>
        <v>Kids Wear</v>
      </c>
      <c r="W893" t="str">
        <f>IFERROR(INDEX(Products!$E:$E,MATCH(D893,Products!$A:$A,0)),"Unknown")</f>
        <v>Woodland</v>
      </c>
      <c r="X893" t="str">
        <f>IFERROR(INDEX(Stores!$B:$B,MATCH(E893,Stores!$A:$A,0)),"Unknown")</f>
        <v>TrendMart Kannur Standard</v>
      </c>
      <c r="Y893" t="str">
        <f>IFERROR(INDEX(Stores!$E:$E,MATCH(E893,Stores!$A:$A,0)),"Unknown")</f>
        <v>South Zone 1</v>
      </c>
      <c r="Z893" t="str">
        <f>IFERROR(INDEX(Customers!$J:$J,MATCH(C893,Customers!$A:$A,0)),"Unknown")</f>
        <v>Platinum</v>
      </c>
      <c r="AA893" t="str">
        <f t="shared" si="13"/>
        <v>2025-02</v>
      </c>
      <c r="AB893" t="str">
        <f>IFERROR(INDEX(Products!$I:$I,MATCH(D893,Products!$A:$A,0)),"Unknown")</f>
        <v>SUP010</v>
      </c>
    </row>
    <row r="894" spans="1:28" x14ac:dyDescent="0.25">
      <c r="A894" t="s">
        <v>2486</v>
      </c>
      <c r="B894" s="20">
        <v>45571</v>
      </c>
      <c r="C894" t="s">
        <v>2487</v>
      </c>
      <c r="D894" t="s">
        <v>1649</v>
      </c>
      <c r="E894" t="s">
        <v>1171</v>
      </c>
      <c r="F894" t="s">
        <v>532</v>
      </c>
      <c r="G894">
        <v>2</v>
      </c>
      <c r="H894" s="21">
        <v>1474.95</v>
      </c>
      <c r="I894">
        <v>10</v>
      </c>
      <c r="J894" s="21">
        <v>294.99</v>
      </c>
      <c r="K894">
        <v>12</v>
      </c>
      <c r="L894" s="21">
        <v>318.58999999999997</v>
      </c>
      <c r="M894" s="21">
        <v>2973.5</v>
      </c>
      <c r="N894" s="21">
        <v>1758.96</v>
      </c>
      <c r="O894" s="21">
        <v>895.95</v>
      </c>
      <c r="P894" t="s">
        <v>124</v>
      </c>
      <c r="Q894" t="s">
        <v>122</v>
      </c>
      <c r="R894" t="s">
        <v>151</v>
      </c>
      <c r="S894" t="s">
        <v>1436</v>
      </c>
      <c r="T894" t="s">
        <v>161</v>
      </c>
      <c r="U894" t="s">
        <v>154</v>
      </c>
      <c r="V894" t="str">
        <f>IFERROR(INDEX(Products!$C:$C,MATCH(D894,Products!$A:$A,0)),"Unknown")</f>
        <v>Belts</v>
      </c>
      <c r="W894" t="str">
        <f>IFERROR(INDEX(Products!$E:$E,MATCH(D894,Products!$A:$A,0)),"Unknown")</f>
        <v>Bata</v>
      </c>
      <c r="X894" t="str">
        <f>IFERROR(INDEX(Stores!$B:$B,MATCH(E894,Stores!$A:$A,0)),"Unknown")</f>
        <v>TrendMart Chennai Standard</v>
      </c>
      <c r="Y894" t="str">
        <f>IFERROR(INDEX(Stores!$E:$E,MATCH(E894,Stores!$A:$A,0)),"Unknown")</f>
        <v>South Zone 1</v>
      </c>
      <c r="Z894" t="str">
        <f>IFERROR(INDEX(Customers!$J:$J,MATCH(C894,Customers!$A:$A,0)),"Unknown")</f>
        <v>Gold</v>
      </c>
      <c r="AA894" t="str">
        <f t="shared" si="13"/>
        <v>2024-10</v>
      </c>
      <c r="AB894" t="str">
        <f>IFERROR(INDEX(Products!$I:$I,MATCH(D894,Products!$A:$A,0)),"Unknown")</f>
        <v>SUP032</v>
      </c>
    </row>
    <row r="895" spans="1:28" x14ac:dyDescent="0.25">
      <c r="A895" t="s">
        <v>2488</v>
      </c>
      <c r="B895" s="20">
        <v>45603</v>
      </c>
      <c r="C895" t="s">
        <v>1715</v>
      </c>
      <c r="D895" t="s">
        <v>1063</v>
      </c>
      <c r="E895" t="s">
        <v>226</v>
      </c>
      <c r="F895" t="s">
        <v>221</v>
      </c>
      <c r="G895">
        <v>1</v>
      </c>
      <c r="H895" s="21">
        <v>935.66</v>
      </c>
      <c r="I895">
        <v>30</v>
      </c>
      <c r="J895" s="21">
        <v>280.7</v>
      </c>
      <c r="K895">
        <v>5</v>
      </c>
      <c r="L895" s="21">
        <v>32.75</v>
      </c>
      <c r="M895" s="21">
        <v>687.71</v>
      </c>
      <c r="N895" s="21">
        <v>576.97</v>
      </c>
      <c r="O895" s="21">
        <v>77.989999999999995</v>
      </c>
      <c r="P895" t="s">
        <v>124</v>
      </c>
      <c r="Q895" t="s">
        <v>122</v>
      </c>
      <c r="R895" t="s">
        <v>151</v>
      </c>
      <c r="S895" t="s">
        <v>2306</v>
      </c>
      <c r="T895" t="s">
        <v>153</v>
      </c>
      <c r="U895" t="s">
        <v>154</v>
      </c>
      <c r="V895" t="str">
        <f>IFERROR(INDEX(Products!$C:$C,MATCH(D895,Products!$A:$A,0)),"Unknown")</f>
        <v>Accessories</v>
      </c>
      <c r="W895" t="str">
        <f>IFERROR(INDEX(Products!$E:$E,MATCH(D895,Products!$A:$A,0)),"Unknown")</f>
        <v>Pepe Jeans</v>
      </c>
      <c r="X895" t="str">
        <f>IFERROR(INDEX(Stores!$B:$B,MATCH(E895,Stores!$A:$A,0)),"Unknown")</f>
        <v>TrendMart Kurnool Standard</v>
      </c>
      <c r="Y895" t="str">
        <f>IFERROR(INDEX(Stores!$E:$E,MATCH(E895,Stores!$A:$A,0)),"Unknown")</f>
        <v>South Zone 3</v>
      </c>
      <c r="Z895" t="str">
        <f>IFERROR(INDEX(Customers!$J:$J,MATCH(C895,Customers!$A:$A,0)),"Unknown")</f>
        <v>Regular</v>
      </c>
      <c r="AA895" t="str">
        <f t="shared" si="13"/>
        <v>2024-11</v>
      </c>
      <c r="AB895" t="str">
        <f>IFERROR(INDEX(Products!$I:$I,MATCH(D895,Products!$A:$A,0)),"Unknown")</f>
        <v>SUP056</v>
      </c>
    </row>
    <row r="896" spans="1:28" x14ac:dyDescent="0.25">
      <c r="A896" t="s">
        <v>2489</v>
      </c>
      <c r="B896" s="20">
        <v>45420</v>
      </c>
      <c r="C896" t="s">
        <v>1395</v>
      </c>
      <c r="D896" t="s">
        <v>573</v>
      </c>
      <c r="E896" t="s">
        <v>506</v>
      </c>
      <c r="F896" t="s">
        <v>258</v>
      </c>
      <c r="G896">
        <v>1</v>
      </c>
      <c r="H896" s="21">
        <v>1032.82</v>
      </c>
      <c r="I896">
        <v>10</v>
      </c>
      <c r="J896" s="21">
        <v>103.28</v>
      </c>
      <c r="K896">
        <v>12</v>
      </c>
      <c r="L896" s="21">
        <v>111.54</v>
      </c>
      <c r="M896" s="21">
        <v>1041.08</v>
      </c>
      <c r="N896" s="21">
        <v>720.53</v>
      </c>
      <c r="O896" s="21">
        <v>209.01</v>
      </c>
      <c r="P896" t="s">
        <v>121</v>
      </c>
      <c r="Q896" t="s">
        <v>120</v>
      </c>
      <c r="R896" t="s">
        <v>151</v>
      </c>
      <c r="S896" t="s">
        <v>1326</v>
      </c>
      <c r="T896" t="s">
        <v>153</v>
      </c>
      <c r="U896" t="s">
        <v>154</v>
      </c>
      <c r="V896" t="str">
        <f>IFERROR(INDEX(Products!$C:$C,MATCH(D896,Products!$A:$A,0)),"Unknown")</f>
        <v>Women Jeans</v>
      </c>
      <c r="W896" t="str">
        <f>IFERROR(INDEX(Products!$E:$E,MATCH(D896,Products!$A:$A,0)),"Unknown")</f>
        <v>Sonata</v>
      </c>
      <c r="X896" t="str">
        <f>IFERROR(INDEX(Stores!$B:$B,MATCH(E896,Stores!$A:$A,0)),"Unknown")</f>
        <v>TrendMart Nellore High Street</v>
      </c>
      <c r="Y896" t="str">
        <f>IFERROR(INDEX(Stores!$E:$E,MATCH(E896,Stores!$A:$A,0)),"Unknown")</f>
        <v>South Zone 3</v>
      </c>
      <c r="Z896" t="str">
        <f>IFERROR(INDEX(Customers!$J:$J,MATCH(C896,Customers!$A:$A,0)),"Unknown")</f>
        <v>Gold</v>
      </c>
      <c r="AA896" t="str">
        <f t="shared" si="13"/>
        <v>2024-05</v>
      </c>
      <c r="AB896" t="str">
        <f>IFERROR(INDEX(Products!$I:$I,MATCH(D896,Products!$A:$A,0)),"Unknown")</f>
        <v>SUP017</v>
      </c>
    </row>
    <row r="897" spans="1:28" x14ac:dyDescent="0.25">
      <c r="A897" t="s">
        <v>2490</v>
      </c>
      <c r="B897" s="20">
        <v>45671</v>
      </c>
      <c r="C897" t="s">
        <v>2491</v>
      </c>
      <c r="D897" t="s">
        <v>1088</v>
      </c>
      <c r="E897" t="s">
        <v>89</v>
      </c>
      <c r="F897" t="s">
        <v>232</v>
      </c>
      <c r="G897">
        <v>2</v>
      </c>
      <c r="H897" s="21">
        <v>873.83</v>
      </c>
      <c r="I897">
        <v>10</v>
      </c>
      <c r="J897" s="21">
        <v>174.77</v>
      </c>
      <c r="K897">
        <v>5</v>
      </c>
      <c r="L897" s="21">
        <v>78.64</v>
      </c>
      <c r="M897" s="21">
        <v>1651.53</v>
      </c>
      <c r="N897" s="21">
        <v>1198.56</v>
      </c>
      <c r="O897" s="21">
        <v>374.33</v>
      </c>
      <c r="P897" t="s">
        <v>123</v>
      </c>
      <c r="Q897" t="s">
        <v>120</v>
      </c>
      <c r="R897" t="s">
        <v>151</v>
      </c>
      <c r="S897" t="s">
        <v>2492</v>
      </c>
      <c r="T897" t="s">
        <v>153</v>
      </c>
      <c r="U897" t="s">
        <v>154</v>
      </c>
      <c r="V897" t="str">
        <f>IFERROR(INDEX(Products!$C:$C,MATCH(D897,Products!$A:$A,0)),"Unknown")</f>
        <v>Women Kurtis</v>
      </c>
      <c r="W897" t="str">
        <f>IFERROR(INDEX(Products!$E:$E,MATCH(D897,Products!$A:$A,0)),"Unknown")</f>
        <v>Metro Shoes</v>
      </c>
      <c r="X897" t="str">
        <f>IFERROR(INDEX(Stores!$B:$B,MATCH(E897,Stores!$A:$A,0)),"Unknown")</f>
        <v>TrendMart Kochi Standard</v>
      </c>
      <c r="Y897" t="str">
        <f>IFERROR(INDEX(Stores!$E:$E,MATCH(E897,Stores!$A:$A,0)),"Unknown")</f>
        <v>South Zone 1</v>
      </c>
      <c r="Z897" t="str">
        <f>IFERROR(INDEX(Customers!$J:$J,MATCH(C897,Customers!$A:$A,0)),"Unknown")</f>
        <v>Regular</v>
      </c>
      <c r="AA897" t="str">
        <f t="shared" si="13"/>
        <v>2025-01</v>
      </c>
      <c r="AB897" t="str">
        <f>IFERROR(INDEX(Products!$I:$I,MATCH(D897,Products!$A:$A,0)),"Unknown")</f>
        <v>SUP045</v>
      </c>
    </row>
    <row r="898" spans="1:28" x14ac:dyDescent="0.25">
      <c r="A898" t="s">
        <v>2493</v>
      </c>
      <c r="B898" s="20">
        <v>45561</v>
      </c>
      <c r="C898" t="s">
        <v>1562</v>
      </c>
      <c r="D898" t="s">
        <v>447</v>
      </c>
      <c r="E898" t="s">
        <v>252</v>
      </c>
      <c r="F898" t="s">
        <v>281</v>
      </c>
      <c r="G898">
        <v>1</v>
      </c>
      <c r="H898" s="21">
        <v>1335.03</v>
      </c>
      <c r="I898">
        <v>0</v>
      </c>
      <c r="J898" s="21">
        <v>0</v>
      </c>
      <c r="K898">
        <v>12</v>
      </c>
      <c r="L898" s="21">
        <v>160.19999999999999</v>
      </c>
      <c r="M898" s="21">
        <v>1495.23</v>
      </c>
      <c r="N898" s="21">
        <v>1073.45</v>
      </c>
      <c r="O898" s="21">
        <v>261.58</v>
      </c>
      <c r="P898" t="s">
        <v>121</v>
      </c>
      <c r="Q898" t="s">
        <v>120</v>
      </c>
      <c r="R898" t="s">
        <v>151</v>
      </c>
      <c r="S898" t="s">
        <v>1179</v>
      </c>
      <c r="T898" t="s">
        <v>153</v>
      </c>
      <c r="U898" t="s">
        <v>154</v>
      </c>
      <c r="V898" t="str">
        <f>IFERROR(INDEX(Products!$C:$C,MATCH(D898,Products!$A:$A,0)),"Unknown")</f>
        <v>Women Jeans</v>
      </c>
      <c r="W898" t="str">
        <f>IFERROR(INDEX(Products!$E:$E,MATCH(D898,Products!$A:$A,0)),"Unknown")</f>
        <v>Biba</v>
      </c>
      <c r="X898" t="str">
        <f>IFERROR(INDEX(Stores!$B:$B,MATCH(E898,Stores!$A:$A,0)),"Unknown")</f>
        <v>TrendMart Nellore Standard</v>
      </c>
      <c r="Y898" t="str">
        <f>IFERROR(INDEX(Stores!$E:$E,MATCH(E898,Stores!$A:$A,0)),"Unknown")</f>
        <v>South Zone 3</v>
      </c>
      <c r="Z898" t="str">
        <f>IFERROR(INDEX(Customers!$J:$J,MATCH(C898,Customers!$A:$A,0)),"Unknown")</f>
        <v>Regular</v>
      </c>
      <c r="AA898" t="str">
        <f t="shared" ref="AA898:AA961" si="14">TEXT(B898,"YYYY-MM")</f>
        <v>2024-09</v>
      </c>
      <c r="AB898" t="str">
        <f>IFERROR(INDEX(Products!$I:$I,MATCH(D898,Products!$A:$A,0)),"Unknown")</f>
        <v>SUP069</v>
      </c>
    </row>
    <row r="899" spans="1:28" x14ac:dyDescent="0.25">
      <c r="A899" t="s">
        <v>2494</v>
      </c>
      <c r="B899" s="20">
        <v>45478</v>
      </c>
      <c r="C899" t="s">
        <v>2495</v>
      </c>
      <c r="D899" t="s">
        <v>215</v>
      </c>
      <c r="E899" t="s">
        <v>1023</v>
      </c>
      <c r="F899" t="s">
        <v>275</v>
      </c>
      <c r="G899">
        <v>2</v>
      </c>
      <c r="H899" s="21">
        <v>1052.1300000000001</v>
      </c>
      <c r="I899">
        <v>5</v>
      </c>
      <c r="J899" s="21">
        <v>105.21</v>
      </c>
      <c r="K899">
        <v>12</v>
      </c>
      <c r="L899" s="21">
        <v>239.89</v>
      </c>
      <c r="M899" s="21">
        <v>2238.94</v>
      </c>
      <c r="N899" s="21">
        <v>1656.88</v>
      </c>
      <c r="O899" s="21">
        <v>342.17</v>
      </c>
      <c r="P899" t="s">
        <v>125</v>
      </c>
      <c r="Q899" t="s">
        <v>120</v>
      </c>
      <c r="R899" t="s">
        <v>151</v>
      </c>
      <c r="S899" t="s">
        <v>1565</v>
      </c>
      <c r="T899" t="s">
        <v>153</v>
      </c>
      <c r="U899" t="s">
        <v>154</v>
      </c>
      <c r="V899" t="str">
        <f>IFERROR(INDEX(Products!$C:$C,MATCH(D899,Products!$A:$A,0)),"Unknown")</f>
        <v>Men Jeans</v>
      </c>
      <c r="W899" t="str">
        <f>IFERROR(INDEX(Products!$E:$E,MATCH(D899,Products!$A:$A,0)),"Unknown")</f>
        <v>Metro Shoes</v>
      </c>
      <c r="X899" t="str">
        <f>IFERROR(INDEX(Stores!$B:$B,MATCH(E899,Stores!$A:$A,0)),"Unknown")</f>
        <v>TrendMart Kochi High Street</v>
      </c>
      <c r="Y899" t="str">
        <f>IFERROR(INDEX(Stores!$E:$E,MATCH(E899,Stores!$A:$A,0)),"Unknown")</f>
        <v>South Zone 1</v>
      </c>
      <c r="Z899" t="str">
        <f>IFERROR(INDEX(Customers!$J:$J,MATCH(C899,Customers!$A:$A,0)),"Unknown")</f>
        <v>Silver</v>
      </c>
      <c r="AA899" t="str">
        <f t="shared" si="14"/>
        <v>2024-07</v>
      </c>
      <c r="AB899" t="str">
        <f>IFERROR(INDEX(Products!$I:$I,MATCH(D899,Products!$A:$A,0)),"Unknown")</f>
        <v>SUP022</v>
      </c>
    </row>
    <row r="900" spans="1:28" x14ac:dyDescent="0.25">
      <c r="A900" t="s">
        <v>2496</v>
      </c>
      <c r="B900" s="20">
        <v>45464</v>
      </c>
      <c r="C900" t="s">
        <v>2497</v>
      </c>
      <c r="D900" t="s">
        <v>225</v>
      </c>
      <c r="E900" t="s">
        <v>231</v>
      </c>
      <c r="F900" t="s">
        <v>286</v>
      </c>
      <c r="G900">
        <v>4</v>
      </c>
      <c r="H900" s="21">
        <v>1698.98</v>
      </c>
      <c r="I900">
        <v>20</v>
      </c>
      <c r="J900" s="21">
        <v>1359.18</v>
      </c>
      <c r="K900">
        <v>12</v>
      </c>
      <c r="L900" s="21">
        <v>652.41</v>
      </c>
      <c r="M900" s="21">
        <v>6089.15</v>
      </c>
      <c r="N900" s="21">
        <v>5629.32</v>
      </c>
      <c r="O900" s="21">
        <v>-192.58</v>
      </c>
      <c r="P900" t="s">
        <v>126</v>
      </c>
      <c r="Q900" t="s">
        <v>122</v>
      </c>
      <c r="R900" t="s">
        <v>151</v>
      </c>
      <c r="S900" t="s">
        <v>1014</v>
      </c>
      <c r="T900" t="s">
        <v>153</v>
      </c>
      <c r="U900" t="s">
        <v>184</v>
      </c>
      <c r="V900" t="str">
        <f>IFERROR(INDEX(Products!$C:$C,MATCH(D900,Products!$A:$A,0)),"Unknown")</f>
        <v>Women Dresses</v>
      </c>
      <c r="W900" t="str">
        <f>IFERROR(INDEX(Products!$E:$E,MATCH(D900,Products!$A:$A,0)),"Unknown")</f>
        <v>Tanishq</v>
      </c>
      <c r="X900" t="str">
        <f>IFERROR(INDEX(Stores!$B:$B,MATCH(E900,Stores!$A:$A,0)),"Unknown")</f>
        <v>TrendMart Warangal Outlet</v>
      </c>
      <c r="Y900" t="str">
        <f>IFERROR(INDEX(Stores!$E:$E,MATCH(E900,Stores!$A:$A,0)),"Unknown")</f>
        <v>South Zone 2</v>
      </c>
      <c r="Z900" t="str">
        <f>IFERROR(INDEX(Customers!$J:$J,MATCH(C900,Customers!$A:$A,0)),"Unknown")</f>
        <v>Platinum</v>
      </c>
      <c r="AA900" t="str">
        <f t="shared" si="14"/>
        <v>2024-06</v>
      </c>
      <c r="AB900" t="str">
        <f>IFERROR(INDEX(Products!$I:$I,MATCH(D900,Products!$A:$A,0)),"Unknown")</f>
        <v>SUP063</v>
      </c>
    </row>
    <row r="901" spans="1:28" x14ac:dyDescent="0.25">
      <c r="A901" t="s">
        <v>2498</v>
      </c>
      <c r="B901" s="20">
        <v>45606</v>
      </c>
      <c r="C901" t="s">
        <v>1739</v>
      </c>
      <c r="D901" t="s">
        <v>1590</v>
      </c>
      <c r="E901" t="s">
        <v>96</v>
      </c>
      <c r="F901" t="s">
        <v>176</v>
      </c>
      <c r="G901">
        <v>2</v>
      </c>
      <c r="H901" s="21">
        <v>527.84</v>
      </c>
      <c r="I901">
        <v>30</v>
      </c>
      <c r="J901" s="21">
        <v>316.7</v>
      </c>
      <c r="K901">
        <v>5</v>
      </c>
      <c r="L901" s="21">
        <v>36.950000000000003</v>
      </c>
      <c r="M901" s="21">
        <v>775.93</v>
      </c>
      <c r="N901" s="21">
        <v>674.18</v>
      </c>
      <c r="O901" s="21">
        <v>64.8</v>
      </c>
      <c r="P901" t="s">
        <v>125</v>
      </c>
      <c r="Q901" t="s">
        <v>120</v>
      </c>
      <c r="R901" t="s">
        <v>151</v>
      </c>
      <c r="S901" t="s">
        <v>1342</v>
      </c>
      <c r="T901" t="s">
        <v>161</v>
      </c>
      <c r="U901" t="s">
        <v>154</v>
      </c>
      <c r="V901" t="str">
        <f>IFERROR(INDEX(Products!$C:$C,MATCH(D901,Products!$A:$A,0)),"Unknown")</f>
        <v>Kids Wear</v>
      </c>
      <c r="W901" t="str">
        <f>IFERROR(INDEX(Products!$E:$E,MATCH(D901,Products!$A:$A,0)),"Unknown")</f>
        <v>Peter England</v>
      </c>
      <c r="X901" t="str">
        <f>IFERROR(INDEX(Stores!$B:$B,MATCH(E901,Stores!$A:$A,0)),"Unknown")</f>
        <v>TrendMart Shivamogga Outlet</v>
      </c>
      <c r="Y901" t="str">
        <f>IFERROR(INDEX(Stores!$E:$E,MATCH(E901,Stores!$A:$A,0)),"Unknown")</f>
        <v>South Zone 2</v>
      </c>
      <c r="Z901" t="str">
        <f>IFERROR(INDEX(Customers!$J:$J,MATCH(C901,Customers!$A:$A,0)),"Unknown")</f>
        <v>Silver</v>
      </c>
      <c r="AA901" t="str">
        <f t="shared" si="14"/>
        <v>2024-11</v>
      </c>
      <c r="AB901" t="str">
        <f>IFERROR(INDEX(Products!$I:$I,MATCH(D901,Products!$A:$A,0)),"Unknown")</f>
        <v>SUP065</v>
      </c>
    </row>
    <row r="902" spans="1:28" x14ac:dyDescent="0.25">
      <c r="A902" t="s">
        <v>2499</v>
      </c>
      <c r="B902" s="20">
        <v>45532</v>
      </c>
      <c r="C902" t="s">
        <v>1046</v>
      </c>
      <c r="D902" t="s">
        <v>531</v>
      </c>
      <c r="E902" t="s">
        <v>934</v>
      </c>
      <c r="F902" t="s">
        <v>382</v>
      </c>
      <c r="G902">
        <v>2</v>
      </c>
      <c r="H902" s="21">
        <v>3223.4</v>
      </c>
      <c r="I902">
        <v>30</v>
      </c>
      <c r="J902" s="21">
        <v>1934.04</v>
      </c>
      <c r="K902">
        <v>12</v>
      </c>
      <c r="L902" s="21">
        <v>541.53</v>
      </c>
      <c r="M902" s="21">
        <v>5054.29</v>
      </c>
      <c r="N902" s="21">
        <v>4068.02</v>
      </c>
      <c r="O902" s="21">
        <v>444.74</v>
      </c>
      <c r="P902" t="s">
        <v>126</v>
      </c>
      <c r="Q902" t="s">
        <v>122</v>
      </c>
      <c r="R902" t="s">
        <v>313</v>
      </c>
      <c r="S902" t="s">
        <v>1014</v>
      </c>
      <c r="T902" t="s">
        <v>153</v>
      </c>
      <c r="U902" t="s">
        <v>154</v>
      </c>
      <c r="V902" t="str">
        <f>IFERROR(INDEX(Products!$C:$C,MATCH(D902,Products!$A:$A,0)),"Unknown")</f>
        <v>Handbags</v>
      </c>
      <c r="W902" t="str">
        <f>IFERROR(INDEX(Products!$E:$E,MATCH(D902,Products!$A:$A,0)),"Unknown")</f>
        <v>GRT Jewellers</v>
      </c>
      <c r="X902" t="str">
        <f>IFERROR(INDEX(Stores!$B:$B,MATCH(E902,Stores!$A:$A,0)),"Unknown")</f>
        <v>TrendMart Bengaluru High Street</v>
      </c>
      <c r="Y902" t="str">
        <f>IFERROR(INDEX(Stores!$E:$E,MATCH(E902,Stores!$A:$A,0)),"Unknown")</f>
        <v>South Zone 2</v>
      </c>
      <c r="Z902" t="str">
        <f>IFERROR(INDEX(Customers!$J:$J,MATCH(C902,Customers!$A:$A,0)),"Unknown")</f>
        <v>Silver</v>
      </c>
      <c r="AA902" t="str">
        <f t="shared" si="14"/>
        <v>2024-08</v>
      </c>
      <c r="AB902" t="str">
        <f>IFERROR(INDEX(Products!$I:$I,MATCH(D902,Products!$A:$A,0)),"Unknown")</f>
        <v>SUP047</v>
      </c>
    </row>
    <row r="903" spans="1:28" x14ac:dyDescent="0.25">
      <c r="A903" t="s">
        <v>2500</v>
      </c>
      <c r="B903" s="20">
        <v>45690</v>
      </c>
      <c r="C903" t="s">
        <v>2501</v>
      </c>
      <c r="D903" t="s">
        <v>251</v>
      </c>
      <c r="E903" t="s">
        <v>241</v>
      </c>
      <c r="F903" t="s">
        <v>618</v>
      </c>
      <c r="G903">
        <v>2</v>
      </c>
      <c r="H903" s="21">
        <v>767.6</v>
      </c>
      <c r="I903">
        <v>20</v>
      </c>
      <c r="J903" s="21">
        <v>307.04000000000002</v>
      </c>
      <c r="K903">
        <v>5</v>
      </c>
      <c r="L903" s="21">
        <v>61.41</v>
      </c>
      <c r="M903" s="21">
        <v>1289.57</v>
      </c>
      <c r="N903" s="21">
        <v>1069.6199999999999</v>
      </c>
      <c r="O903" s="21">
        <v>158.54</v>
      </c>
      <c r="P903" t="s">
        <v>123</v>
      </c>
      <c r="Q903" t="s">
        <v>120</v>
      </c>
      <c r="R903" t="s">
        <v>151</v>
      </c>
      <c r="S903" t="s">
        <v>2502</v>
      </c>
      <c r="T903" t="s">
        <v>161</v>
      </c>
      <c r="U903" t="s">
        <v>154</v>
      </c>
      <c r="V903" t="str">
        <f>IFERROR(INDEX(Products!$C:$C,MATCH(D903,Products!$A:$A,0)),"Unknown")</f>
        <v>Women Tops</v>
      </c>
      <c r="W903" t="str">
        <f>IFERROR(INDEX(Products!$E:$E,MATCH(D903,Products!$A:$A,0)),"Unknown")</f>
        <v>US Polo Assn</v>
      </c>
      <c r="X903" t="str">
        <f>IFERROR(INDEX(Stores!$B:$B,MATCH(E903,Stores!$A:$A,0)),"Unknown")</f>
        <v>TrendMart Nizamabad Mall Kiosk</v>
      </c>
      <c r="Y903" t="str">
        <f>IFERROR(INDEX(Stores!$E:$E,MATCH(E903,Stores!$A:$A,0)),"Unknown")</f>
        <v>South Zone 2</v>
      </c>
      <c r="Z903" t="str">
        <f>IFERROR(INDEX(Customers!$J:$J,MATCH(C903,Customers!$A:$A,0)),"Unknown")</f>
        <v>Silver</v>
      </c>
      <c r="AA903" t="str">
        <f t="shared" si="14"/>
        <v>2025-02</v>
      </c>
      <c r="AB903" t="str">
        <f>IFERROR(INDEX(Products!$I:$I,MATCH(D903,Products!$A:$A,0)),"Unknown")</f>
        <v>SUP039</v>
      </c>
    </row>
    <row r="904" spans="1:28" x14ac:dyDescent="0.25">
      <c r="A904" t="s">
        <v>2503</v>
      </c>
      <c r="B904" s="20">
        <v>45623</v>
      </c>
      <c r="C904" t="s">
        <v>1341</v>
      </c>
      <c r="D904" t="s">
        <v>220</v>
      </c>
      <c r="E904" t="s">
        <v>387</v>
      </c>
      <c r="F904" t="s">
        <v>150</v>
      </c>
      <c r="G904">
        <v>1</v>
      </c>
      <c r="H904" s="21">
        <v>5368.66</v>
      </c>
      <c r="I904">
        <v>20</v>
      </c>
      <c r="J904" s="21">
        <v>1073.73</v>
      </c>
      <c r="K904">
        <v>12</v>
      </c>
      <c r="L904" s="21">
        <v>515.39</v>
      </c>
      <c r="M904" s="21">
        <v>4810.32</v>
      </c>
      <c r="N904" s="21">
        <v>3970.86</v>
      </c>
      <c r="O904" s="21">
        <v>324.07</v>
      </c>
      <c r="P904" t="s">
        <v>123</v>
      </c>
      <c r="Q904" t="s">
        <v>122</v>
      </c>
      <c r="R904" t="s">
        <v>151</v>
      </c>
      <c r="S904" t="s">
        <v>2504</v>
      </c>
      <c r="T904" t="s">
        <v>153</v>
      </c>
      <c r="U904" t="s">
        <v>154</v>
      </c>
      <c r="V904" t="str">
        <f>IFERROR(INDEX(Products!$C:$C,MATCH(D904,Products!$A:$A,0)),"Unknown")</f>
        <v>Watches</v>
      </c>
      <c r="W904" t="str">
        <f>IFERROR(INDEX(Products!$E:$E,MATCH(D904,Products!$A:$A,0)),"Unknown")</f>
        <v>Global Desi</v>
      </c>
      <c r="X904" t="str">
        <f>IFERROR(INDEX(Stores!$B:$B,MATCH(E904,Stores!$A:$A,0)),"Unknown")</f>
        <v>TrendMart Kannur Outlet</v>
      </c>
      <c r="Y904" t="str">
        <f>IFERROR(INDEX(Stores!$E:$E,MATCH(E904,Stores!$A:$A,0)),"Unknown")</f>
        <v>South Zone 1</v>
      </c>
      <c r="Z904" t="str">
        <f>IFERROR(INDEX(Customers!$J:$J,MATCH(C904,Customers!$A:$A,0)),"Unknown")</f>
        <v>Silver</v>
      </c>
      <c r="AA904" t="str">
        <f t="shared" si="14"/>
        <v>2024-11</v>
      </c>
      <c r="AB904" t="str">
        <f>IFERROR(INDEX(Products!$I:$I,MATCH(D904,Products!$A:$A,0)),"Unknown")</f>
        <v>SUP055</v>
      </c>
    </row>
    <row r="905" spans="1:28" x14ac:dyDescent="0.25">
      <c r="A905" t="s">
        <v>2505</v>
      </c>
      <c r="B905" s="20">
        <v>45609</v>
      </c>
      <c r="C905" t="s">
        <v>2131</v>
      </c>
      <c r="D905" t="s">
        <v>285</v>
      </c>
      <c r="E905" t="s">
        <v>387</v>
      </c>
      <c r="F905" t="s">
        <v>292</v>
      </c>
      <c r="G905">
        <v>3</v>
      </c>
      <c r="H905" s="21">
        <v>682.27</v>
      </c>
      <c r="I905">
        <v>30</v>
      </c>
      <c r="J905" s="21">
        <v>614.04</v>
      </c>
      <c r="K905">
        <v>5</v>
      </c>
      <c r="L905" s="21">
        <v>71.64</v>
      </c>
      <c r="M905" s="21">
        <v>1504.41</v>
      </c>
      <c r="N905" s="21">
        <v>1497.93</v>
      </c>
      <c r="O905" s="21">
        <v>-65.16</v>
      </c>
      <c r="P905" t="s">
        <v>121</v>
      </c>
      <c r="Q905" t="s">
        <v>120</v>
      </c>
      <c r="R905" t="s">
        <v>151</v>
      </c>
      <c r="S905" t="s">
        <v>589</v>
      </c>
      <c r="T905" t="s">
        <v>153</v>
      </c>
      <c r="U905" t="s">
        <v>184</v>
      </c>
      <c r="V905" t="str">
        <f>IFERROR(INDEX(Products!$C:$C,MATCH(D905,Products!$A:$A,0)),"Unknown")</f>
        <v>Kids Wear</v>
      </c>
      <c r="W905" t="str">
        <f>IFERROR(INDEX(Products!$E:$E,MATCH(D905,Products!$A:$A,0)),"Unknown")</f>
        <v>Global Desi</v>
      </c>
      <c r="X905" t="str">
        <f>IFERROR(INDEX(Stores!$B:$B,MATCH(E905,Stores!$A:$A,0)),"Unknown")</f>
        <v>TrendMart Kannur Outlet</v>
      </c>
      <c r="Y905" t="str">
        <f>IFERROR(INDEX(Stores!$E:$E,MATCH(E905,Stores!$A:$A,0)),"Unknown")</f>
        <v>South Zone 1</v>
      </c>
      <c r="Z905" t="str">
        <f>IFERROR(INDEX(Customers!$J:$J,MATCH(C905,Customers!$A:$A,0)),"Unknown")</f>
        <v>Gold</v>
      </c>
      <c r="AA905" t="str">
        <f t="shared" si="14"/>
        <v>2024-11</v>
      </c>
      <c r="AB905" t="str">
        <f>IFERROR(INDEX(Products!$I:$I,MATCH(D905,Products!$A:$A,0)),"Unknown")</f>
        <v>SUP008</v>
      </c>
    </row>
    <row r="906" spans="1:28" x14ac:dyDescent="0.25">
      <c r="A906" t="s">
        <v>2506</v>
      </c>
      <c r="B906" s="20">
        <v>45518</v>
      </c>
      <c r="C906" t="s">
        <v>2507</v>
      </c>
      <c r="D906" t="s">
        <v>680</v>
      </c>
      <c r="E906" t="s">
        <v>1017</v>
      </c>
      <c r="F906" t="s">
        <v>532</v>
      </c>
      <c r="G906">
        <v>1</v>
      </c>
      <c r="H906" s="21">
        <v>650.04999999999995</v>
      </c>
      <c r="I906">
        <v>0</v>
      </c>
      <c r="J906" s="21">
        <v>0</v>
      </c>
      <c r="K906">
        <v>5</v>
      </c>
      <c r="L906" s="21">
        <v>32.5</v>
      </c>
      <c r="M906" s="21">
        <v>682.55</v>
      </c>
      <c r="N906" s="21">
        <v>403.71</v>
      </c>
      <c r="O906" s="21">
        <v>246.34</v>
      </c>
      <c r="P906" t="s">
        <v>121</v>
      </c>
      <c r="Q906" t="s">
        <v>122</v>
      </c>
      <c r="R906" t="s">
        <v>151</v>
      </c>
      <c r="S906" t="s">
        <v>471</v>
      </c>
      <c r="T906" t="s">
        <v>153</v>
      </c>
      <c r="U906" t="s">
        <v>154</v>
      </c>
      <c r="V906" t="str">
        <f>IFERROR(INDEX(Products!$C:$C,MATCH(D906,Products!$A:$A,0)),"Unknown")</f>
        <v>Accessories</v>
      </c>
      <c r="W906" t="str">
        <f>IFERROR(INDEX(Products!$E:$E,MATCH(D906,Products!$A:$A,0)),"Unknown")</f>
        <v>Westside</v>
      </c>
      <c r="X906" t="str">
        <f>IFERROR(INDEX(Stores!$B:$B,MATCH(E906,Stores!$A:$A,0)),"Unknown")</f>
        <v>TrendMart Mangaluru Standard</v>
      </c>
      <c r="Y906" t="str">
        <f>IFERROR(INDEX(Stores!$E:$E,MATCH(E906,Stores!$A:$A,0)),"Unknown")</f>
        <v>South Zone 2</v>
      </c>
      <c r="Z906" t="str">
        <f>IFERROR(INDEX(Customers!$J:$J,MATCH(C906,Customers!$A:$A,0)),"Unknown")</f>
        <v>Silver</v>
      </c>
      <c r="AA906" t="str">
        <f t="shared" si="14"/>
        <v>2024-08</v>
      </c>
      <c r="AB906" t="str">
        <f>IFERROR(INDEX(Products!$I:$I,MATCH(D906,Products!$A:$A,0)),"Unknown")</f>
        <v>SUP064</v>
      </c>
    </row>
    <row r="907" spans="1:28" x14ac:dyDescent="0.25">
      <c r="A907" t="s">
        <v>2508</v>
      </c>
      <c r="B907" s="20">
        <v>45713</v>
      </c>
      <c r="C907" t="s">
        <v>1556</v>
      </c>
      <c r="D907" t="s">
        <v>905</v>
      </c>
      <c r="E907" t="s">
        <v>1281</v>
      </c>
      <c r="F907" t="s">
        <v>596</v>
      </c>
      <c r="G907">
        <v>4</v>
      </c>
      <c r="H907" s="21">
        <v>561.65</v>
      </c>
      <c r="I907">
        <v>30</v>
      </c>
      <c r="J907" s="21">
        <v>673.98</v>
      </c>
      <c r="K907">
        <v>5</v>
      </c>
      <c r="L907" s="21">
        <v>78.63</v>
      </c>
      <c r="M907" s="21">
        <v>1651.25</v>
      </c>
      <c r="N907" s="21">
        <v>1484.48</v>
      </c>
      <c r="O907" s="21">
        <v>88.14</v>
      </c>
      <c r="P907" t="s">
        <v>121</v>
      </c>
      <c r="Q907" t="s">
        <v>120</v>
      </c>
      <c r="R907" t="s">
        <v>151</v>
      </c>
      <c r="S907" t="s">
        <v>802</v>
      </c>
      <c r="T907" t="s">
        <v>153</v>
      </c>
      <c r="U907" t="s">
        <v>154</v>
      </c>
      <c r="V907" t="str">
        <f>IFERROR(INDEX(Products!$C:$C,MATCH(D907,Products!$A:$A,0)),"Unknown")</f>
        <v>Wallets</v>
      </c>
      <c r="W907" t="str">
        <f>IFERROR(INDEX(Products!$E:$E,MATCH(D907,Products!$A:$A,0)),"Unknown")</f>
        <v>Global Desi</v>
      </c>
      <c r="X907" t="str">
        <f>IFERROR(INDEX(Stores!$B:$B,MATCH(E907,Stores!$A:$A,0)),"Unknown")</f>
        <v>TrendMart Visakhapatnam Standard</v>
      </c>
      <c r="Y907" t="str">
        <f>IFERROR(INDEX(Stores!$E:$E,MATCH(E907,Stores!$A:$A,0)),"Unknown")</f>
        <v>South Zone 3</v>
      </c>
      <c r="Z907" t="str">
        <f>IFERROR(INDEX(Customers!$J:$J,MATCH(C907,Customers!$A:$A,0)),"Unknown")</f>
        <v>Silver</v>
      </c>
      <c r="AA907" t="str">
        <f t="shared" si="14"/>
        <v>2025-02</v>
      </c>
      <c r="AB907" t="str">
        <f>IFERROR(INDEX(Products!$I:$I,MATCH(D907,Products!$A:$A,0)),"Unknown")</f>
        <v>SUP051</v>
      </c>
    </row>
    <row r="908" spans="1:28" x14ac:dyDescent="0.25">
      <c r="A908" t="s">
        <v>2509</v>
      </c>
      <c r="B908" s="20">
        <v>45594</v>
      </c>
      <c r="C908" t="s">
        <v>2510</v>
      </c>
      <c r="D908" t="s">
        <v>407</v>
      </c>
      <c r="E908" t="s">
        <v>745</v>
      </c>
      <c r="F908" t="s">
        <v>443</v>
      </c>
      <c r="G908">
        <v>2</v>
      </c>
      <c r="H908" s="21">
        <v>1235.1400000000001</v>
      </c>
      <c r="I908">
        <v>25</v>
      </c>
      <c r="J908" s="21">
        <v>617.57000000000005</v>
      </c>
      <c r="K908">
        <v>12</v>
      </c>
      <c r="L908" s="21">
        <v>222.33</v>
      </c>
      <c r="M908" s="21">
        <v>2075.04</v>
      </c>
      <c r="N908" s="21">
        <v>1605.28</v>
      </c>
      <c r="O908" s="21">
        <v>247.43</v>
      </c>
      <c r="P908" t="s">
        <v>121</v>
      </c>
      <c r="Q908" t="s">
        <v>120</v>
      </c>
      <c r="R908" t="s">
        <v>151</v>
      </c>
      <c r="S908" t="s">
        <v>233</v>
      </c>
      <c r="T908" t="s">
        <v>153</v>
      </c>
      <c r="U908" t="s">
        <v>154</v>
      </c>
      <c r="V908" t="str">
        <f>IFERROR(INDEX(Products!$C:$C,MATCH(D908,Products!$A:$A,0)),"Unknown")</f>
        <v>Winter Wear</v>
      </c>
      <c r="W908" t="str">
        <f>IFERROR(INDEX(Products!$E:$E,MATCH(D908,Products!$A:$A,0)),"Unknown")</f>
        <v>Metro Shoes</v>
      </c>
      <c r="X908" t="str">
        <f>IFERROR(INDEX(Stores!$B:$B,MATCH(E908,Stores!$A:$A,0)),"Unknown")</f>
        <v>TrendMart Thiruvananthapuram Outlet</v>
      </c>
      <c r="Y908" t="str">
        <f>IFERROR(INDEX(Stores!$E:$E,MATCH(E908,Stores!$A:$A,0)),"Unknown")</f>
        <v>South Zone 1</v>
      </c>
      <c r="Z908" t="str">
        <f>IFERROR(INDEX(Customers!$J:$J,MATCH(C908,Customers!$A:$A,0)),"Unknown")</f>
        <v>Silver</v>
      </c>
      <c r="AA908" t="str">
        <f t="shared" si="14"/>
        <v>2024-10</v>
      </c>
      <c r="AB908" t="str">
        <f>IFERROR(INDEX(Products!$I:$I,MATCH(D908,Products!$A:$A,0)),"Unknown")</f>
        <v>SUP067</v>
      </c>
    </row>
    <row r="909" spans="1:28" x14ac:dyDescent="0.25">
      <c r="A909" t="s">
        <v>2511</v>
      </c>
      <c r="B909" s="20">
        <v>45385</v>
      </c>
      <c r="C909" t="s">
        <v>1033</v>
      </c>
      <c r="D909" t="s">
        <v>1668</v>
      </c>
      <c r="E909" t="s">
        <v>95</v>
      </c>
      <c r="F909" t="s">
        <v>462</v>
      </c>
      <c r="G909">
        <v>2</v>
      </c>
      <c r="H909" s="21">
        <v>1311.3</v>
      </c>
      <c r="I909">
        <v>30</v>
      </c>
      <c r="J909" s="21">
        <v>786.78</v>
      </c>
      <c r="K909">
        <v>12</v>
      </c>
      <c r="L909" s="21">
        <v>220.3</v>
      </c>
      <c r="M909" s="21">
        <v>2056.12</v>
      </c>
      <c r="N909" s="21">
        <v>1786.74</v>
      </c>
      <c r="O909" s="21">
        <v>49.08</v>
      </c>
      <c r="P909" t="s">
        <v>123</v>
      </c>
      <c r="Q909" t="s">
        <v>120</v>
      </c>
      <c r="R909" t="s">
        <v>151</v>
      </c>
      <c r="S909" t="s">
        <v>2512</v>
      </c>
      <c r="T909" t="s">
        <v>153</v>
      </c>
      <c r="U909" t="s">
        <v>154</v>
      </c>
      <c r="V909" t="str">
        <f>IFERROR(INDEX(Products!$C:$C,MATCH(D909,Products!$A:$A,0)),"Unknown")</f>
        <v>Women Kurtis</v>
      </c>
      <c r="W909" t="str">
        <f>IFERROR(INDEX(Products!$E:$E,MATCH(D909,Products!$A:$A,0)),"Unknown")</f>
        <v>Liberty</v>
      </c>
      <c r="X909" t="str">
        <f>IFERROR(INDEX(Stores!$B:$B,MATCH(E909,Stores!$A:$A,0)),"Unknown")</f>
        <v>TrendMart Thrissur Standard</v>
      </c>
      <c r="Y909" t="str">
        <f>IFERROR(INDEX(Stores!$E:$E,MATCH(E909,Stores!$A:$A,0)),"Unknown")</f>
        <v>South Zone 1</v>
      </c>
      <c r="Z909" t="str">
        <f>IFERROR(INDEX(Customers!$J:$J,MATCH(C909,Customers!$A:$A,0)),"Unknown")</f>
        <v>Platinum</v>
      </c>
      <c r="AA909" t="str">
        <f t="shared" si="14"/>
        <v>2024-04</v>
      </c>
      <c r="AB909" t="str">
        <f>IFERROR(INDEX(Products!$I:$I,MATCH(D909,Products!$A:$A,0)),"Unknown")</f>
        <v>SUP022</v>
      </c>
    </row>
    <row r="910" spans="1:28" x14ac:dyDescent="0.25">
      <c r="A910" t="s">
        <v>2513</v>
      </c>
      <c r="B910" s="20">
        <v>45595</v>
      </c>
      <c r="C910" t="s">
        <v>1861</v>
      </c>
      <c r="D910" t="s">
        <v>1080</v>
      </c>
      <c r="E910" t="s">
        <v>1681</v>
      </c>
      <c r="F910" t="s">
        <v>532</v>
      </c>
      <c r="G910">
        <v>1</v>
      </c>
      <c r="H910" s="21">
        <v>1419.19</v>
      </c>
      <c r="I910">
        <v>25</v>
      </c>
      <c r="J910" s="21">
        <v>354.8</v>
      </c>
      <c r="K910">
        <v>12</v>
      </c>
      <c r="L910" s="21">
        <v>127.73</v>
      </c>
      <c r="M910" s="21">
        <v>1192.1199999999999</v>
      </c>
      <c r="N910" s="21">
        <v>914.35</v>
      </c>
      <c r="O910" s="21">
        <v>150.04</v>
      </c>
      <c r="P910" t="s">
        <v>121</v>
      </c>
      <c r="Q910" t="s">
        <v>120</v>
      </c>
      <c r="R910" t="s">
        <v>151</v>
      </c>
      <c r="S910" t="s">
        <v>1011</v>
      </c>
      <c r="T910" t="s">
        <v>153</v>
      </c>
      <c r="U910" t="s">
        <v>154</v>
      </c>
      <c r="V910" t="str">
        <f>IFERROR(INDEX(Products!$C:$C,MATCH(D910,Products!$A:$A,0)),"Unknown")</f>
        <v>Winter Wear</v>
      </c>
      <c r="W910" t="str">
        <f>IFERROR(INDEX(Products!$E:$E,MATCH(D910,Products!$A:$A,0)),"Unknown")</f>
        <v>Max Fashion</v>
      </c>
      <c r="X910" t="str">
        <f>IFERROR(INDEX(Stores!$B:$B,MATCH(E910,Stores!$A:$A,0)),"Unknown")</f>
        <v>TrendMart Warangal Standard</v>
      </c>
      <c r="Y910" t="str">
        <f>IFERROR(INDEX(Stores!$E:$E,MATCH(E910,Stores!$A:$A,0)),"Unknown")</f>
        <v>South Zone 2</v>
      </c>
      <c r="Z910" t="str">
        <f>IFERROR(INDEX(Customers!$J:$J,MATCH(C910,Customers!$A:$A,0)),"Unknown")</f>
        <v>Platinum</v>
      </c>
      <c r="AA910" t="str">
        <f t="shared" si="14"/>
        <v>2024-10</v>
      </c>
      <c r="AB910" t="str">
        <f>IFERROR(INDEX(Products!$I:$I,MATCH(D910,Products!$A:$A,0)),"Unknown")</f>
        <v>SUP017</v>
      </c>
    </row>
    <row r="911" spans="1:28" x14ac:dyDescent="0.25">
      <c r="A911" t="s">
        <v>2514</v>
      </c>
      <c r="B911" s="20">
        <v>45520</v>
      </c>
      <c r="C911" t="s">
        <v>385</v>
      </c>
      <c r="D911" t="s">
        <v>756</v>
      </c>
      <c r="E911" t="s">
        <v>823</v>
      </c>
      <c r="F911" t="s">
        <v>532</v>
      </c>
      <c r="G911">
        <v>2</v>
      </c>
      <c r="H911" s="21">
        <v>725.28</v>
      </c>
      <c r="I911">
        <v>0</v>
      </c>
      <c r="J911" s="21">
        <v>0</v>
      </c>
      <c r="K911">
        <v>5</v>
      </c>
      <c r="L911" s="21">
        <v>72.53</v>
      </c>
      <c r="M911" s="21">
        <v>1523.09</v>
      </c>
      <c r="N911" s="21">
        <v>1044.76</v>
      </c>
      <c r="O911" s="21">
        <v>405.8</v>
      </c>
      <c r="P911" t="s">
        <v>124</v>
      </c>
      <c r="Q911" t="s">
        <v>120</v>
      </c>
      <c r="R911" t="s">
        <v>151</v>
      </c>
      <c r="S911" t="s">
        <v>816</v>
      </c>
      <c r="T911" t="s">
        <v>153</v>
      </c>
      <c r="U911" t="s">
        <v>154</v>
      </c>
      <c r="V911" t="str">
        <f>IFERROR(INDEX(Products!$C:$C,MATCH(D911,Products!$A:$A,0)),"Unknown")</f>
        <v>Women Tops</v>
      </c>
      <c r="W911" t="str">
        <f>IFERROR(INDEX(Products!$E:$E,MATCH(D911,Products!$A:$A,0)),"Unknown")</f>
        <v>Peter England</v>
      </c>
      <c r="X911" t="str">
        <f>IFERROR(INDEX(Stores!$B:$B,MATCH(E911,Stores!$A:$A,0)),"Unknown")</f>
        <v>TrendMart Thoothukudi Mall Kiosk</v>
      </c>
      <c r="Y911" t="str">
        <f>IFERROR(INDEX(Stores!$E:$E,MATCH(E911,Stores!$A:$A,0)),"Unknown")</f>
        <v>South Zone 1</v>
      </c>
      <c r="Z911" t="str">
        <f>IFERROR(INDEX(Customers!$J:$J,MATCH(C911,Customers!$A:$A,0)),"Unknown")</f>
        <v>Platinum</v>
      </c>
      <c r="AA911" t="str">
        <f t="shared" si="14"/>
        <v>2024-08</v>
      </c>
      <c r="AB911" t="str">
        <f>IFERROR(INDEX(Products!$I:$I,MATCH(D911,Products!$A:$A,0)),"Unknown")</f>
        <v>SUP018</v>
      </c>
    </row>
    <row r="912" spans="1:28" x14ac:dyDescent="0.25">
      <c r="A912" t="s">
        <v>2515</v>
      </c>
      <c r="B912" s="20">
        <v>45413</v>
      </c>
      <c r="C912" t="s">
        <v>316</v>
      </c>
      <c r="D912" t="s">
        <v>1104</v>
      </c>
      <c r="E912" t="s">
        <v>90</v>
      </c>
      <c r="F912" t="s">
        <v>269</v>
      </c>
      <c r="G912">
        <v>3</v>
      </c>
      <c r="H912" s="21">
        <v>3619.58</v>
      </c>
      <c r="I912">
        <v>30</v>
      </c>
      <c r="J912" s="21">
        <v>3257.62</v>
      </c>
      <c r="K912">
        <v>12</v>
      </c>
      <c r="L912" s="21">
        <v>912.13</v>
      </c>
      <c r="M912" s="21">
        <v>8513.25</v>
      </c>
      <c r="N912" s="21">
        <v>7122.09</v>
      </c>
      <c r="O912" s="21">
        <v>479.03</v>
      </c>
      <c r="P912" t="s">
        <v>124</v>
      </c>
      <c r="Q912" t="s">
        <v>120</v>
      </c>
      <c r="R912" t="s">
        <v>151</v>
      </c>
      <c r="S912" t="s">
        <v>2516</v>
      </c>
      <c r="T912" t="s">
        <v>153</v>
      </c>
      <c r="U912" t="s">
        <v>154</v>
      </c>
      <c r="V912" t="str">
        <f>IFERROR(INDEX(Products!$C:$C,MATCH(D912,Products!$A:$A,0)),"Unknown")</f>
        <v>Handbags</v>
      </c>
      <c r="W912" t="str">
        <f>IFERROR(INDEX(Products!$E:$E,MATCH(D912,Products!$A:$A,0)),"Unknown")</f>
        <v>Nalli Silks</v>
      </c>
      <c r="X912" t="str">
        <f>IFERROR(INDEX(Stores!$B:$B,MATCH(E912,Stores!$A:$A,0)),"Unknown")</f>
        <v>TrendMart Thoothukudi Mall Kiosk</v>
      </c>
      <c r="Y912" t="str">
        <f>IFERROR(INDEX(Stores!$E:$E,MATCH(E912,Stores!$A:$A,0)),"Unknown")</f>
        <v>South Zone 1</v>
      </c>
      <c r="Z912" t="str">
        <f>IFERROR(INDEX(Customers!$J:$J,MATCH(C912,Customers!$A:$A,0)),"Unknown")</f>
        <v>Regular</v>
      </c>
      <c r="AA912" t="str">
        <f t="shared" si="14"/>
        <v>2024-05</v>
      </c>
      <c r="AB912" t="str">
        <f>IFERROR(INDEX(Products!$I:$I,MATCH(D912,Products!$A:$A,0)),"Unknown")</f>
        <v>SUP070</v>
      </c>
    </row>
    <row r="913" spans="1:28" x14ac:dyDescent="0.25">
      <c r="A913" t="s">
        <v>2517</v>
      </c>
      <c r="B913" s="20">
        <v>45558</v>
      </c>
      <c r="C913" t="s">
        <v>1602</v>
      </c>
      <c r="D913" t="s">
        <v>531</v>
      </c>
      <c r="E913" t="s">
        <v>425</v>
      </c>
      <c r="F913" t="s">
        <v>443</v>
      </c>
      <c r="G913">
        <v>1</v>
      </c>
      <c r="H913" s="21">
        <v>3200.53</v>
      </c>
      <c r="I913">
        <v>25</v>
      </c>
      <c r="J913" s="21">
        <v>800.13</v>
      </c>
      <c r="K913">
        <v>12</v>
      </c>
      <c r="L913" s="21">
        <v>288.05</v>
      </c>
      <c r="M913" s="21">
        <v>2688.45</v>
      </c>
      <c r="N913" s="21">
        <v>2034.01</v>
      </c>
      <c r="O913" s="21">
        <v>366.39</v>
      </c>
      <c r="P913" t="s">
        <v>121</v>
      </c>
      <c r="Q913" t="s">
        <v>122</v>
      </c>
      <c r="R913" t="s">
        <v>313</v>
      </c>
      <c r="S913" t="s">
        <v>1775</v>
      </c>
      <c r="T913" t="s">
        <v>153</v>
      </c>
      <c r="U913" t="s">
        <v>154</v>
      </c>
      <c r="V913" t="str">
        <f>IFERROR(INDEX(Products!$C:$C,MATCH(D913,Products!$A:$A,0)),"Unknown")</f>
        <v>Handbags</v>
      </c>
      <c r="W913" t="str">
        <f>IFERROR(INDEX(Products!$E:$E,MATCH(D913,Products!$A:$A,0)),"Unknown")</f>
        <v>GRT Jewellers</v>
      </c>
      <c r="X913" t="str">
        <f>IFERROR(INDEX(Stores!$B:$B,MATCH(E913,Stores!$A:$A,0)),"Unknown")</f>
        <v>TrendMart Kozhikode Outlet</v>
      </c>
      <c r="Y913" t="str">
        <f>IFERROR(INDEX(Stores!$E:$E,MATCH(E913,Stores!$A:$A,0)),"Unknown")</f>
        <v>South Zone 1</v>
      </c>
      <c r="Z913" t="str">
        <f>IFERROR(INDEX(Customers!$J:$J,MATCH(C913,Customers!$A:$A,0)),"Unknown")</f>
        <v>Regular</v>
      </c>
      <c r="AA913" t="str">
        <f t="shared" si="14"/>
        <v>2024-09</v>
      </c>
      <c r="AB913" t="str">
        <f>IFERROR(INDEX(Products!$I:$I,MATCH(D913,Products!$A:$A,0)),"Unknown")</f>
        <v>SUP047</v>
      </c>
    </row>
    <row r="914" spans="1:28" x14ac:dyDescent="0.25">
      <c r="A914" t="s">
        <v>2518</v>
      </c>
      <c r="B914" s="20">
        <v>45570</v>
      </c>
      <c r="C914" t="s">
        <v>611</v>
      </c>
      <c r="D914" t="s">
        <v>875</v>
      </c>
      <c r="E914" t="s">
        <v>87</v>
      </c>
      <c r="F914" t="s">
        <v>434</v>
      </c>
      <c r="G914">
        <v>3</v>
      </c>
      <c r="H914" s="21">
        <v>2878.77</v>
      </c>
      <c r="I914">
        <v>10</v>
      </c>
      <c r="J914" s="21">
        <v>863.63</v>
      </c>
      <c r="K914">
        <v>12</v>
      </c>
      <c r="L914" s="21">
        <v>932.72</v>
      </c>
      <c r="M914" s="21">
        <v>8705.4</v>
      </c>
      <c r="N914" s="21">
        <v>6614.88</v>
      </c>
      <c r="O914" s="21">
        <v>1157.8</v>
      </c>
      <c r="P914" t="s">
        <v>127</v>
      </c>
      <c r="Q914" t="s">
        <v>122</v>
      </c>
      <c r="R914" t="s">
        <v>151</v>
      </c>
      <c r="S914" t="s">
        <v>2519</v>
      </c>
      <c r="T914" t="s">
        <v>161</v>
      </c>
      <c r="U914" t="s">
        <v>154</v>
      </c>
      <c r="V914" t="str">
        <f>IFERROR(INDEX(Products!$C:$C,MATCH(D914,Products!$A:$A,0)),"Unknown")</f>
        <v>Footwear</v>
      </c>
      <c r="W914" t="str">
        <f>IFERROR(INDEX(Products!$E:$E,MATCH(D914,Products!$A:$A,0)),"Unknown")</f>
        <v>Indian Terrain</v>
      </c>
      <c r="X914" t="str">
        <f>IFERROR(INDEX(Stores!$B:$B,MATCH(E914,Stores!$A:$A,0)),"Unknown")</f>
        <v>TrendMart Thiruvananthapuram Standard</v>
      </c>
      <c r="Y914" t="str">
        <f>IFERROR(INDEX(Stores!$E:$E,MATCH(E914,Stores!$A:$A,0)),"Unknown")</f>
        <v>South Zone 1</v>
      </c>
      <c r="Z914" t="str">
        <f>IFERROR(INDEX(Customers!$J:$J,MATCH(C914,Customers!$A:$A,0)),"Unknown")</f>
        <v>Regular</v>
      </c>
      <c r="AA914" t="str">
        <f t="shared" si="14"/>
        <v>2024-10</v>
      </c>
      <c r="AB914" t="str">
        <f>IFERROR(INDEX(Products!$I:$I,MATCH(D914,Products!$A:$A,0)),"Unknown")</f>
        <v>SUP090</v>
      </c>
    </row>
    <row r="915" spans="1:28" x14ac:dyDescent="0.25">
      <c r="A915" t="s">
        <v>2520</v>
      </c>
      <c r="B915" s="20">
        <v>45573</v>
      </c>
      <c r="C915" t="s">
        <v>209</v>
      </c>
      <c r="D915" t="s">
        <v>481</v>
      </c>
      <c r="E915" t="s">
        <v>355</v>
      </c>
      <c r="F915" t="s">
        <v>532</v>
      </c>
      <c r="G915">
        <v>2</v>
      </c>
      <c r="H915" s="21">
        <v>919.15</v>
      </c>
      <c r="I915">
        <v>15</v>
      </c>
      <c r="J915" s="21">
        <v>275.75</v>
      </c>
      <c r="K915">
        <v>5</v>
      </c>
      <c r="L915" s="21">
        <v>78.13</v>
      </c>
      <c r="M915" s="21">
        <v>1640.68</v>
      </c>
      <c r="N915" s="21">
        <v>1396.16</v>
      </c>
      <c r="O915" s="21">
        <v>166.39</v>
      </c>
      <c r="P915" t="s">
        <v>124</v>
      </c>
      <c r="Q915" t="s">
        <v>122</v>
      </c>
      <c r="R915" t="s">
        <v>151</v>
      </c>
      <c r="S915" t="s">
        <v>655</v>
      </c>
      <c r="T915" t="s">
        <v>153</v>
      </c>
      <c r="U915" t="s">
        <v>154</v>
      </c>
      <c r="V915" t="str">
        <f>IFERROR(INDEX(Products!$C:$C,MATCH(D915,Products!$A:$A,0)),"Unknown")</f>
        <v>Women Dresses</v>
      </c>
      <c r="W915" t="str">
        <f>IFERROR(INDEX(Products!$E:$E,MATCH(D915,Products!$A:$A,0)),"Unknown")</f>
        <v>Jack &amp; Jones</v>
      </c>
      <c r="X915" t="str">
        <f>IFERROR(INDEX(Stores!$B:$B,MATCH(E915,Stores!$A:$A,0)),"Unknown")</f>
        <v>TrendMart Thiruvananthapuram High Street</v>
      </c>
      <c r="Y915" t="str">
        <f>IFERROR(INDEX(Stores!$E:$E,MATCH(E915,Stores!$A:$A,0)),"Unknown")</f>
        <v>South Zone 1</v>
      </c>
      <c r="Z915" t="str">
        <f>IFERROR(INDEX(Customers!$J:$J,MATCH(C915,Customers!$A:$A,0)),"Unknown")</f>
        <v>Silver</v>
      </c>
      <c r="AA915" t="str">
        <f t="shared" si="14"/>
        <v>2024-10</v>
      </c>
      <c r="AB915" t="str">
        <f>IFERROR(INDEX(Products!$I:$I,MATCH(D915,Products!$A:$A,0)),"Unknown")</f>
        <v>SUP069</v>
      </c>
    </row>
    <row r="916" spans="1:28" x14ac:dyDescent="0.25">
      <c r="A916" t="s">
        <v>2521</v>
      </c>
      <c r="B916" s="20">
        <v>45529</v>
      </c>
      <c r="C916" t="s">
        <v>2522</v>
      </c>
      <c r="D916" t="s">
        <v>905</v>
      </c>
      <c r="E916" t="s">
        <v>216</v>
      </c>
      <c r="F916" t="s">
        <v>159</v>
      </c>
      <c r="G916">
        <v>2</v>
      </c>
      <c r="H916" s="21">
        <v>608.01</v>
      </c>
      <c r="I916">
        <v>5</v>
      </c>
      <c r="J916" s="21">
        <v>60.8</v>
      </c>
      <c r="K916">
        <v>5</v>
      </c>
      <c r="L916" s="21">
        <v>57.76</v>
      </c>
      <c r="M916" s="21">
        <v>1212.98</v>
      </c>
      <c r="N916" s="21">
        <v>742.24</v>
      </c>
      <c r="O916" s="21">
        <v>412.98</v>
      </c>
      <c r="P916" t="s">
        <v>125</v>
      </c>
      <c r="Q916" t="s">
        <v>122</v>
      </c>
      <c r="R916" t="s">
        <v>151</v>
      </c>
      <c r="S916" t="s">
        <v>345</v>
      </c>
      <c r="T916" t="s">
        <v>161</v>
      </c>
      <c r="U916" t="s">
        <v>154</v>
      </c>
      <c r="V916" t="str">
        <f>IFERROR(INDEX(Products!$C:$C,MATCH(D916,Products!$A:$A,0)),"Unknown")</f>
        <v>Wallets</v>
      </c>
      <c r="W916" t="str">
        <f>IFERROR(INDEX(Products!$E:$E,MATCH(D916,Products!$A:$A,0)),"Unknown")</f>
        <v>Global Desi</v>
      </c>
      <c r="X916" t="str">
        <f>IFERROR(INDEX(Stores!$B:$B,MATCH(E916,Stores!$A:$A,0)),"Unknown")</f>
        <v>TrendMart Madurai Mall Kiosk</v>
      </c>
      <c r="Y916" t="str">
        <f>IFERROR(INDEX(Stores!$E:$E,MATCH(E916,Stores!$A:$A,0)),"Unknown")</f>
        <v>South Zone 1</v>
      </c>
      <c r="Z916" t="str">
        <f>IFERROR(INDEX(Customers!$J:$J,MATCH(C916,Customers!$A:$A,0)),"Unknown")</f>
        <v>Platinum</v>
      </c>
      <c r="AA916" t="str">
        <f t="shared" si="14"/>
        <v>2024-08</v>
      </c>
      <c r="AB916" t="str">
        <f>IFERROR(INDEX(Products!$I:$I,MATCH(D916,Products!$A:$A,0)),"Unknown")</f>
        <v>SUP051</v>
      </c>
    </row>
    <row r="917" spans="1:28" x14ac:dyDescent="0.25">
      <c r="A917" t="s">
        <v>2523</v>
      </c>
      <c r="B917" s="20">
        <v>45561</v>
      </c>
      <c r="C917" t="s">
        <v>797</v>
      </c>
      <c r="D917" t="s">
        <v>1092</v>
      </c>
      <c r="E917" t="s">
        <v>429</v>
      </c>
      <c r="F917" t="s">
        <v>403</v>
      </c>
      <c r="G917">
        <v>3</v>
      </c>
      <c r="H917" s="21">
        <v>3711.71</v>
      </c>
      <c r="I917">
        <v>5</v>
      </c>
      <c r="J917" s="21">
        <v>556.76</v>
      </c>
      <c r="K917">
        <v>12</v>
      </c>
      <c r="L917" s="21">
        <v>1269.4000000000001</v>
      </c>
      <c r="M917" s="21">
        <v>11847.77</v>
      </c>
      <c r="N917" s="21">
        <v>7401.66</v>
      </c>
      <c r="O917" s="21">
        <v>3176.71</v>
      </c>
      <c r="P917" t="s">
        <v>125</v>
      </c>
      <c r="Q917" t="s">
        <v>120</v>
      </c>
      <c r="R917" t="s">
        <v>151</v>
      </c>
      <c r="S917" t="s">
        <v>2524</v>
      </c>
      <c r="T917" t="s">
        <v>153</v>
      </c>
      <c r="U917" t="s">
        <v>154</v>
      </c>
      <c r="V917" t="str">
        <f>IFERROR(INDEX(Products!$C:$C,MATCH(D917,Products!$A:$A,0)),"Unknown")</f>
        <v>Footwear</v>
      </c>
      <c r="W917" t="str">
        <f>IFERROR(INDEX(Products!$E:$E,MATCH(D917,Products!$A:$A,0)),"Unknown")</f>
        <v>Reebok</v>
      </c>
      <c r="X917" t="str">
        <f>IFERROR(INDEX(Stores!$B:$B,MATCH(E917,Stores!$A:$A,0)),"Unknown")</f>
        <v>TrendMart Tirunelveli Flagship</v>
      </c>
      <c r="Y917" t="str">
        <f>IFERROR(INDEX(Stores!$E:$E,MATCH(E917,Stores!$A:$A,0)),"Unknown")</f>
        <v>South Zone 1</v>
      </c>
      <c r="Z917" t="str">
        <f>IFERROR(INDEX(Customers!$J:$J,MATCH(C917,Customers!$A:$A,0)),"Unknown")</f>
        <v>Platinum</v>
      </c>
      <c r="AA917" t="str">
        <f t="shared" si="14"/>
        <v>2024-09</v>
      </c>
      <c r="AB917" t="str">
        <f>IFERROR(INDEX(Products!$I:$I,MATCH(D917,Products!$A:$A,0)),"Unknown")</f>
        <v>SUP056</v>
      </c>
    </row>
    <row r="918" spans="1:28" x14ac:dyDescent="0.25">
      <c r="A918" t="s">
        <v>2525</v>
      </c>
      <c r="B918" s="20">
        <v>45463</v>
      </c>
      <c r="C918" t="s">
        <v>229</v>
      </c>
      <c r="D918" t="s">
        <v>1088</v>
      </c>
      <c r="E918" t="s">
        <v>613</v>
      </c>
      <c r="F918" t="s">
        <v>165</v>
      </c>
      <c r="G918">
        <v>1</v>
      </c>
      <c r="H918" s="21">
        <v>870.74</v>
      </c>
      <c r="I918">
        <v>0</v>
      </c>
      <c r="J918" s="21">
        <v>0</v>
      </c>
      <c r="K918">
        <v>5</v>
      </c>
      <c r="L918" s="21">
        <v>43.54</v>
      </c>
      <c r="M918" s="21">
        <v>914.28</v>
      </c>
      <c r="N918" s="21">
        <v>599.28</v>
      </c>
      <c r="O918" s="21">
        <v>271.45999999999998</v>
      </c>
      <c r="P918" t="s">
        <v>124</v>
      </c>
      <c r="Q918" t="s">
        <v>122</v>
      </c>
      <c r="R918" t="s">
        <v>151</v>
      </c>
      <c r="S918" t="s">
        <v>988</v>
      </c>
      <c r="T918" t="s">
        <v>153</v>
      </c>
      <c r="U918" t="s">
        <v>154</v>
      </c>
      <c r="V918" t="str">
        <f>IFERROR(INDEX(Products!$C:$C,MATCH(D918,Products!$A:$A,0)),"Unknown")</f>
        <v>Women Kurtis</v>
      </c>
      <c r="W918" t="str">
        <f>IFERROR(INDEX(Products!$E:$E,MATCH(D918,Products!$A:$A,0)),"Unknown")</f>
        <v>Metro Shoes</v>
      </c>
      <c r="X918" t="str">
        <f>IFERROR(INDEX(Stores!$B:$B,MATCH(E918,Stores!$A:$A,0)),"Unknown")</f>
        <v>TrendMart Kochi Mall Kiosk</v>
      </c>
      <c r="Y918" t="str">
        <f>IFERROR(INDEX(Stores!$E:$E,MATCH(E918,Stores!$A:$A,0)),"Unknown")</f>
        <v>South Zone 1</v>
      </c>
      <c r="Z918" t="str">
        <f>IFERROR(INDEX(Customers!$J:$J,MATCH(C918,Customers!$A:$A,0)),"Unknown")</f>
        <v>Silver</v>
      </c>
      <c r="AA918" t="str">
        <f t="shared" si="14"/>
        <v>2024-06</v>
      </c>
      <c r="AB918" t="str">
        <f>IFERROR(INDEX(Products!$I:$I,MATCH(D918,Products!$A:$A,0)),"Unknown")</f>
        <v>SUP045</v>
      </c>
    </row>
    <row r="919" spans="1:28" x14ac:dyDescent="0.25">
      <c r="A919" t="s">
        <v>2526</v>
      </c>
      <c r="B919" s="20">
        <v>45417</v>
      </c>
      <c r="C919" t="s">
        <v>1484</v>
      </c>
      <c r="D919" t="s">
        <v>481</v>
      </c>
      <c r="E919" t="s">
        <v>1023</v>
      </c>
      <c r="F919" t="s">
        <v>596</v>
      </c>
      <c r="G919">
        <v>2</v>
      </c>
      <c r="H919" s="21">
        <v>907.12</v>
      </c>
      <c r="I919">
        <v>25</v>
      </c>
      <c r="J919" s="21">
        <v>453.56</v>
      </c>
      <c r="K919">
        <v>5</v>
      </c>
      <c r="L919" s="21">
        <v>68.03</v>
      </c>
      <c r="M919" s="21">
        <v>1428.71</v>
      </c>
      <c r="N919" s="21">
        <v>1396.16</v>
      </c>
      <c r="O919" s="21">
        <v>-35.479999999999997</v>
      </c>
      <c r="P919" t="s">
        <v>121</v>
      </c>
      <c r="Q919" t="s">
        <v>120</v>
      </c>
      <c r="R919" t="s">
        <v>151</v>
      </c>
      <c r="S919" t="s">
        <v>2527</v>
      </c>
      <c r="T919" t="s">
        <v>161</v>
      </c>
      <c r="U919" t="s">
        <v>184</v>
      </c>
      <c r="V919" t="str">
        <f>IFERROR(INDEX(Products!$C:$C,MATCH(D919,Products!$A:$A,0)),"Unknown")</f>
        <v>Women Dresses</v>
      </c>
      <c r="W919" t="str">
        <f>IFERROR(INDEX(Products!$E:$E,MATCH(D919,Products!$A:$A,0)),"Unknown")</f>
        <v>Jack &amp; Jones</v>
      </c>
      <c r="X919" t="str">
        <f>IFERROR(INDEX(Stores!$B:$B,MATCH(E919,Stores!$A:$A,0)),"Unknown")</f>
        <v>TrendMart Kochi High Street</v>
      </c>
      <c r="Y919" t="str">
        <f>IFERROR(INDEX(Stores!$E:$E,MATCH(E919,Stores!$A:$A,0)),"Unknown")</f>
        <v>South Zone 1</v>
      </c>
      <c r="Z919" t="str">
        <f>IFERROR(INDEX(Customers!$J:$J,MATCH(C919,Customers!$A:$A,0)),"Unknown")</f>
        <v>Silver</v>
      </c>
      <c r="AA919" t="str">
        <f t="shared" si="14"/>
        <v>2024-05</v>
      </c>
      <c r="AB919" t="str">
        <f>IFERROR(INDEX(Products!$I:$I,MATCH(D919,Products!$A:$A,0)),"Unknown")</f>
        <v>SUP069</v>
      </c>
    </row>
    <row r="920" spans="1:28" x14ac:dyDescent="0.25">
      <c r="A920" t="s">
        <v>2528</v>
      </c>
      <c r="B920" s="20">
        <v>45387</v>
      </c>
      <c r="C920" t="s">
        <v>2529</v>
      </c>
      <c r="D920" t="s">
        <v>650</v>
      </c>
      <c r="E920" t="s">
        <v>613</v>
      </c>
      <c r="F920" t="s">
        <v>242</v>
      </c>
      <c r="G920">
        <v>1</v>
      </c>
      <c r="H920" s="21">
        <v>1877.81</v>
      </c>
      <c r="I920">
        <v>10</v>
      </c>
      <c r="J920" s="21">
        <v>187.78</v>
      </c>
      <c r="K920">
        <v>12</v>
      </c>
      <c r="L920" s="21">
        <v>202.8</v>
      </c>
      <c r="M920" s="21">
        <v>1892.83</v>
      </c>
      <c r="N920" s="21">
        <v>1409.12</v>
      </c>
      <c r="O920" s="21">
        <v>280.91000000000003</v>
      </c>
      <c r="P920" t="s">
        <v>123</v>
      </c>
      <c r="Q920" t="s">
        <v>120</v>
      </c>
      <c r="R920" t="s">
        <v>151</v>
      </c>
      <c r="S920" t="s">
        <v>1439</v>
      </c>
      <c r="T920" t="s">
        <v>153</v>
      </c>
      <c r="U920" t="s">
        <v>154</v>
      </c>
      <c r="V920" t="str">
        <f>IFERROR(INDEX(Products!$C:$C,MATCH(D920,Products!$A:$A,0)),"Unknown")</f>
        <v>Winter Wear</v>
      </c>
      <c r="W920" t="str">
        <f>IFERROR(INDEX(Products!$E:$E,MATCH(D920,Products!$A:$A,0)),"Unknown")</f>
        <v>Mufti</v>
      </c>
      <c r="X920" t="str">
        <f>IFERROR(INDEX(Stores!$B:$B,MATCH(E920,Stores!$A:$A,0)),"Unknown")</f>
        <v>TrendMart Kochi Mall Kiosk</v>
      </c>
      <c r="Y920" t="str">
        <f>IFERROR(INDEX(Stores!$E:$E,MATCH(E920,Stores!$A:$A,0)),"Unknown")</f>
        <v>South Zone 1</v>
      </c>
      <c r="Z920" t="str">
        <f>IFERROR(INDEX(Customers!$J:$J,MATCH(C920,Customers!$A:$A,0)),"Unknown")</f>
        <v>Regular</v>
      </c>
      <c r="AA920" t="str">
        <f t="shared" si="14"/>
        <v>2024-04</v>
      </c>
      <c r="AB920" t="str">
        <f>IFERROR(INDEX(Products!$I:$I,MATCH(D920,Products!$A:$A,0)),"Unknown")</f>
        <v>SUP078</v>
      </c>
    </row>
    <row r="921" spans="1:28" x14ac:dyDescent="0.25">
      <c r="A921" t="s">
        <v>2530</v>
      </c>
      <c r="B921" s="20">
        <v>45580</v>
      </c>
      <c r="C921" t="s">
        <v>1255</v>
      </c>
      <c r="D921" t="s">
        <v>359</v>
      </c>
      <c r="E921" t="s">
        <v>1108</v>
      </c>
      <c r="F921" t="s">
        <v>516</v>
      </c>
      <c r="G921">
        <v>2</v>
      </c>
      <c r="H921" s="21">
        <v>2428.52</v>
      </c>
      <c r="I921">
        <v>0</v>
      </c>
      <c r="J921" s="21">
        <v>0</v>
      </c>
      <c r="K921">
        <v>12</v>
      </c>
      <c r="L921" s="21">
        <v>582.84</v>
      </c>
      <c r="M921" s="21">
        <v>5439.88</v>
      </c>
      <c r="N921" s="21">
        <v>3608.74</v>
      </c>
      <c r="O921" s="21">
        <v>1248.3</v>
      </c>
      <c r="P921" t="s">
        <v>123</v>
      </c>
      <c r="Q921" t="s">
        <v>122</v>
      </c>
      <c r="R921" t="s">
        <v>151</v>
      </c>
      <c r="S921" t="s">
        <v>2531</v>
      </c>
      <c r="T921" t="s">
        <v>153</v>
      </c>
      <c r="U921" t="s">
        <v>154</v>
      </c>
      <c r="V921" t="str">
        <f>IFERROR(INDEX(Products!$C:$C,MATCH(D921,Products!$A:$A,0)),"Unknown")</f>
        <v>Men Ethnic</v>
      </c>
      <c r="W921" t="str">
        <f>IFERROR(INDEX(Products!$E:$E,MATCH(D921,Products!$A:$A,0)),"Unknown")</f>
        <v>US Polo Assn</v>
      </c>
      <c r="X921" t="str">
        <f>IFERROR(INDEX(Stores!$B:$B,MATCH(E921,Stores!$A:$A,0)),"Unknown")</f>
        <v>TrendMart Karimnagar Standard</v>
      </c>
      <c r="Y921" t="str">
        <f>IFERROR(INDEX(Stores!$E:$E,MATCH(E921,Stores!$A:$A,0)),"Unknown")</f>
        <v>South Zone 2</v>
      </c>
      <c r="Z921" t="str">
        <f>IFERROR(INDEX(Customers!$J:$J,MATCH(C921,Customers!$A:$A,0)),"Unknown")</f>
        <v>Regular</v>
      </c>
      <c r="AA921" t="str">
        <f t="shared" si="14"/>
        <v>2024-10</v>
      </c>
      <c r="AB921" t="str">
        <f>IFERROR(INDEX(Products!$I:$I,MATCH(D921,Products!$A:$A,0)),"Unknown")</f>
        <v>SUP036</v>
      </c>
    </row>
    <row r="922" spans="1:28" x14ac:dyDescent="0.25">
      <c r="A922" t="s">
        <v>2532</v>
      </c>
      <c r="B922" s="20">
        <v>45652</v>
      </c>
      <c r="C922" t="s">
        <v>354</v>
      </c>
      <c r="D922" t="s">
        <v>888</v>
      </c>
      <c r="E922" t="s">
        <v>639</v>
      </c>
      <c r="F922" t="s">
        <v>579</v>
      </c>
      <c r="G922">
        <v>1</v>
      </c>
      <c r="H922" s="21">
        <v>6243.3</v>
      </c>
      <c r="I922">
        <v>10</v>
      </c>
      <c r="J922" s="21">
        <v>624.33000000000004</v>
      </c>
      <c r="K922">
        <v>3</v>
      </c>
      <c r="L922" s="21">
        <v>168.57</v>
      </c>
      <c r="M922" s="21">
        <v>5787.54</v>
      </c>
      <c r="N922" s="21">
        <v>4762.76</v>
      </c>
      <c r="O922" s="21">
        <v>856.21</v>
      </c>
      <c r="P922" t="s">
        <v>124</v>
      </c>
      <c r="Q922" t="s">
        <v>122</v>
      </c>
      <c r="R922" t="s">
        <v>151</v>
      </c>
      <c r="S922" t="s">
        <v>1359</v>
      </c>
      <c r="T922" t="s">
        <v>153</v>
      </c>
      <c r="U922" t="s">
        <v>154</v>
      </c>
      <c r="V922" t="str">
        <f>IFERROR(INDEX(Products!$C:$C,MATCH(D922,Products!$A:$A,0)),"Unknown")</f>
        <v>Jewellery</v>
      </c>
      <c r="W922" t="str">
        <f>IFERROR(INDEX(Products!$E:$E,MATCH(D922,Products!$A:$A,0)),"Unknown")</f>
        <v>Aurelia</v>
      </c>
      <c r="X922" t="str">
        <f>IFERROR(INDEX(Stores!$B:$B,MATCH(E922,Stores!$A:$A,0)),"Unknown")</f>
        <v>TrendMart Kurnool Outlet</v>
      </c>
      <c r="Y922" t="str">
        <f>IFERROR(INDEX(Stores!$E:$E,MATCH(E922,Stores!$A:$A,0)),"Unknown")</f>
        <v>South Zone 3</v>
      </c>
      <c r="Z922" t="str">
        <f>IFERROR(INDEX(Customers!$J:$J,MATCH(C922,Customers!$A:$A,0)),"Unknown")</f>
        <v>Platinum</v>
      </c>
      <c r="AA922" t="str">
        <f t="shared" si="14"/>
        <v>2024-12</v>
      </c>
      <c r="AB922" t="str">
        <f>IFERROR(INDEX(Products!$I:$I,MATCH(D922,Products!$A:$A,0)),"Unknown")</f>
        <v>SUP038</v>
      </c>
    </row>
    <row r="923" spans="1:28" x14ac:dyDescent="0.25">
      <c r="A923" t="s">
        <v>2533</v>
      </c>
      <c r="B923" s="20">
        <v>45690</v>
      </c>
      <c r="C923" t="s">
        <v>2534</v>
      </c>
      <c r="D923" t="s">
        <v>819</v>
      </c>
      <c r="E923" t="s">
        <v>296</v>
      </c>
      <c r="F923" t="s">
        <v>532</v>
      </c>
      <c r="G923">
        <v>3</v>
      </c>
      <c r="H923" s="21">
        <v>1889.23</v>
      </c>
      <c r="I923">
        <v>0</v>
      </c>
      <c r="J923" s="21">
        <v>0</v>
      </c>
      <c r="K923">
        <v>12</v>
      </c>
      <c r="L923" s="21">
        <v>680.12</v>
      </c>
      <c r="M923" s="21">
        <v>6347.81</v>
      </c>
      <c r="N923" s="21">
        <v>3730.08</v>
      </c>
      <c r="O923" s="21">
        <v>1937.61</v>
      </c>
      <c r="P923" t="s">
        <v>125</v>
      </c>
      <c r="Q923" t="s">
        <v>122</v>
      </c>
      <c r="R923" t="s">
        <v>151</v>
      </c>
      <c r="S923" t="s">
        <v>2348</v>
      </c>
      <c r="T923" t="s">
        <v>161</v>
      </c>
      <c r="U923" t="s">
        <v>154</v>
      </c>
      <c r="V923" t="str">
        <f>IFERROR(INDEX(Products!$C:$C,MATCH(D923,Products!$A:$A,0)),"Unknown")</f>
        <v>Footwear</v>
      </c>
      <c r="W923" t="str">
        <f>IFERROR(INDEX(Products!$E:$E,MATCH(D923,Products!$A:$A,0)),"Unknown")</f>
        <v>Tanishq</v>
      </c>
      <c r="X923" t="str">
        <f>IFERROR(INDEX(Stores!$B:$B,MATCH(E923,Stores!$A:$A,0)),"Unknown")</f>
        <v>TrendMart Kurnool Outlet</v>
      </c>
      <c r="Y923" t="str">
        <f>IFERROR(INDEX(Stores!$E:$E,MATCH(E923,Stores!$A:$A,0)),"Unknown")</f>
        <v>South Zone 3</v>
      </c>
      <c r="Z923" t="str">
        <f>IFERROR(INDEX(Customers!$J:$J,MATCH(C923,Customers!$A:$A,0)),"Unknown")</f>
        <v>Gold</v>
      </c>
      <c r="AA923" t="str">
        <f t="shared" si="14"/>
        <v>2025-02</v>
      </c>
      <c r="AB923" t="str">
        <f>IFERROR(INDEX(Products!$I:$I,MATCH(D923,Products!$A:$A,0)),"Unknown")</f>
        <v>SUP082</v>
      </c>
    </row>
    <row r="924" spans="1:28" x14ac:dyDescent="0.25">
      <c r="A924" t="s">
        <v>2535</v>
      </c>
      <c r="B924" s="20">
        <v>45610</v>
      </c>
      <c r="C924" t="s">
        <v>168</v>
      </c>
      <c r="D924" t="s">
        <v>583</v>
      </c>
      <c r="E924" t="s">
        <v>1141</v>
      </c>
      <c r="F924" t="s">
        <v>443</v>
      </c>
      <c r="G924">
        <v>1</v>
      </c>
      <c r="H924" s="21">
        <v>851.62</v>
      </c>
      <c r="I924">
        <v>10</v>
      </c>
      <c r="J924" s="21">
        <v>85.16</v>
      </c>
      <c r="K924">
        <v>5</v>
      </c>
      <c r="L924" s="21">
        <v>38.32</v>
      </c>
      <c r="M924" s="21">
        <v>804.78</v>
      </c>
      <c r="N924" s="21">
        <v>629.72</v>
      </c>
      <c r="O924" s="21">
        <v>136.74</v>
      </c>
      <c r="P924" t="s">
        <v>125</v>
      </c>
      <c r="Q924" t="s">
        <v>122</v>
      </c>
      <c r="R924" t="s">
        <v>151</v>
      </c>
      <c r="S924" t="s">
        <v>705</v>
      </c>
      <c r="T924" t="s">
        <v>153</v>
      </c>
      <c r="U924" t="s">
        <v>154</v>
      </c>
      <c r="V924" t="str">
        <f>IFERROR(INDEX(Products!$C:$C,MATCH(D924,Products!$A:$A,0)),"Unknown")</f>
        <v>Women Tops</v>
      </c>
      <c r="W924" t="str">
        <f>IFERROR(INDEX(Products!$E:$E,MATCH(D924,Products!$A:$A,0)),"Unknown")</f>
        <v>Ramraj Cotton</v>
      </c>
      <c r="X924" t="str">
        <f>IFERROR(INDEX(Stores!$B:$B,MATCH(E924,Stores!$A:$A,0)),"Unknown")</f>
        <v>TrendMart Kochi Standard</v>
      </c>
      <c r="Y924" t="str">
        <f>IFERROR(INDEX(Stores!$E:$E,MATCH(E924,Stores!$A:$A,0)),"Unknown")</f>
        <v>South Zone 1</v>
      </c>
      <c r="Z924" t="str">
        <f>IFERROR(INDEX(Customers!$J:$J,MATCH(C924,Customers!$A:$A,0)),"Unknown")</f>
        <v>Regular</v>
      </c>
      <c r="AA924" t="str">
        <f t="shared" si="14"/>
        <v>2024-11</v>
      </c>
      <c r="AB924" t="str">
        <f>IFERROR(INDEX(Products!$I:$I,MATCH(D924,Products!$A:$A,0)),"Unknown")</f>
        <v>SUP048</v>
      </c>
    </row>
    <row r="925" spans="1:28" x14ac:dyDescent="0.25">
      <c r="A925" t="s">
        <v>2536</v>
      </c>
      <c r="B925" s="20">
        <v>45585</v>
      </c>
      <c r="C925" t="s">
        <v>2537</v>
      </c>
      <c r="D925" t="s">
        <v>792</v>
      </c>
      <c r="E925" t="s">
        <v>391</v>
      </c>
      <c r="F925" t="s">
        <v>408</v>
      </c>
      <c r="G925">
        <v>2</v>
      </c>
      <c r="H925" s="21">
        <v>1171.48</v>
      </c>
      <c r="I925">
        <v>15</v>
      </c>
      <c r="J925" s="21">
        <v>351.44</v>
      </c>
      <c r="K925">
        <v>12</v>
      </c>
      <c r="L925" s="21">
        <v>238.98</v>
      </c>
      <c r="M925" s="21">
        <v>2230.5</v>
      </c>
      <c r="N925" s="21">
        <v>1474.7</v>
      </c>
      <c r="O925" s="21">
        <v>516.82000000000005</v>
      </c>
      <c r="P925" t="s">
        <v>124</v>
      </c>
      <c r="Q925" t="s">
        <v>120</v>
      </c>
      <c r="R925" t="s">
        <v>151</v>
      </c>
      <c r="S925" t="s">
        <v>207</v>
      </c>
      <c r="T925" t="s">
        <v>161</v>
      </c>
      <c r="U925" t="s">
        <v>154</v>
      </c>
      <c r="V925" t="str">
        <f>IFERROR(INDEX(Products!$C:$C,MATCH(D925,Products!$A:$A,0)),"Unknown")</f>
        <v>Belts</v>
      </c>
      <c r="W925" t="str">
        <f>IFERROR(INDEX(Products!$E:$E,MATCH(D925,Products!$A:$A,0)),"Unknown")</f>
        <v>Wrangler</v>
      </c>
      <c r="X925" t="str">
        <f>IFERROR(INDEX(Stores!$B:$B,MATCH(E925,Stores!$A:$A,0)),"Unknown")</f>
        <v>TrendMart Warangal High Street</v>
      </c>
      <c r="Y925" t="str">
        <f>IFERROR(INDEX(Stores!$E:$E,MATCH(E925,Stores!$A:$A,0)),"Unknown")</f>
        <v>South Zone 2</v>
      </c>
      <c r="Z925" t="str">
        <f>IFERROR(INDEX(Customers!$J:$J,MATCH(C925,Customers!$A:$A,0)),"Unknown")</f>
        <v>Gold</v>
      </c>
      <c r="AA925" t="str">
        <f t="shared" si="14"/>
        <v>2024-10</v>
      </c>
      <c r="AB925" t="str">
        <f>IFERROR(INDEX(Products!$I:$I,MATCH(D925,Products!$A:$A,0)),"Unknown")</f>
        <v>SUP004</v>
      </c>
    </row>
    <row r="926" spans="1:28" x14ac:dyDescent="0.25">
      <c r="A926" t="s">
        <v>2538</v>
      </c>
      <c r="B926" s="20">
        <v>45633</v>
      </c>
      <c r="C926" t="s">
        <v>1341</v>
      </c>
      <c r="D926" t="s">
        <v>996</v>
      </c>
      <c r="E926" t="s">
        <v>511</v>
      </c>
      <c r="F926" t="s">
        <v>618</v>
      </c>
      <c r="G926">
        <v>2</v>
      </c>
      <c r="H926" s="21">
        <v>1975.7</v>
      </c>
      <c r="I926">
        <v>0</v>
      </c>
      <c r="J926" s="21">
        <v>0</v>
      </c>
      <c r="K926">
        <v>12</v>
      </c>
      <c r="L926" s="21">
        <v>474.17</v>
      </c>
      <c r="M926" s="21">
        <v>4425.57</v>
      </c>
      <c r="N926" s="21">
        <v>2861.14</v>
      </c>
      <c r="O926" s="21">
        <v>1090.26</v>
      </c>
      <c r="P926" t="s">
        <v>123</v>
      </c>
      <c r="Q926" t="s">
        <v>120</v>
      </c>
      <c r="R926" t="s">
        <v>151</v>
      </c>
      <c r="S926" t="s">
        <v>2539</v>
      </c>
      <c r="T926" t="s">
        <v>161</v>
      </c>
      <c r="U926" t="s">
        <v>154</v>
      </c>
      <c r="V926" t="str">
        <f>IFERROR(INDEX(Products!$C:$C,MATCH(D926,Products!$A:$A,0)),"Unknown")</f>
        <v>Men Ethnic</v>
      </c>
      <c r="W926" t="str">
        <f>IFERROR(INDEX(Products!$E:$E,MATCH(D926,Products!$A:$A,0)),"Unknown")</f>
        <v>Liberty</v>
      </c>
      <c r="X926" t="str">
        <f>IFERROR(INDEX(Stores!$B:$B,MATCH(E926,Stores!$A:$A,0)),"Unknown")</f>
        <v>TrendMart Khammam Standard</v>
      </c>
      <c r="Y926" t="str">
        <f>IFERROR(INDEX(Stores!$E:$E,MATCH(E926,Stores!$A:$A,0)),"Unknown")</f>
        <v>South Zone 2</v>
      </c>
      <c r="Z926" t="str">
        <f>IFERROR(INDEX(Customers!$J:$J,MATCH(C926,Customers!$A:$A,0)),"Unknown")</f>
        <v>Silver</v>
      </c>
      <c r="AA926" t="str">
        <f t="shared" si="14"/>
        <v>2024-12</v>
      </c>
      <c r="AB926" t="str">
        <f>IFERROR(INDEX(Products!$I:$I,MATCH(D926,Products!$A:$A,0)),"Unknown")</f>
        <v>SUP046</v>
      </c>
    </row>
    <row r="927" spans="1:28" x14ac:dyDescent="0.25">
      <c r="A927" t="s">
        <v>2540</v>
      </c>
      <c r="B927" s="20">
        <v>45640</v>
      </c>
      <c r="C927" t="s">
        <v>1610</v>
      </c>
      <c r="D927" t="s">
        <v>531</v>
      </c>
      <c r="E927" t="s">
        <v>1187</v>
      </c>
      <c r="F927" t="s">
        <v>150</v>
      </c>
      <c r="G927">
        <v>3</v>
      </c>
      <c r="H927" s="21">
        <v>3376.84</v>
      </c>
      <c r="I927">
        <v>30</v>
      </c>
      <c r="J927" s="21">
        <v>3039.16</v>
      </c>
      <c r="K927">
        <v>12</v>
      </c>
      <c r="L927" s="21">
        <v>850.96</v>
      </c>
      <c r="M927" s="21">
        <v>7942.32</v>
      </c>
      <c r="N927" s="21">
        <v>6102.03</v>
      </c>
      <c r="O927" s="21">
        <v>989.33</v>
      </c>
      <c r="P927" t="s">
        <v>124</v>
      </c>
      <c r="Q927" t="s">
        <v>120</v>
      </c>
      <c r="R927" t="s">
        <v>313</v>
      </c>
      <c r="S927" t="s">
        <v>807</v>
      </c>
      <c r="T927" t="s">
        <v>161</v>
      </c>
      <c r="U927" t="s">
        <v>154</v>
      </c>
      <c r="V927" t="str">
        <f>IFERROR(INDEX(Products!$C:$C,MATCH(D927,Products!$A:$A,0)),"Unknown")</f>
        <v>Handbags</v>
      </c>
      <c r="W927" t="str">
        <f>IFERROR(INDEX(Products!$E:$E,MATCH(D927,Products!$A:$A,0)),"Unknown")</f>
        <v>GRT Jewellers</v>
      </c>
      <c r="X927" t="str">
        <f>IFERROR(INDEX(Stores!$B:$B,MATCH(E927,Stores!$A:$A,0)),"Unknown")</f>
        <v>TrendMart Vijayawada Mall Kiosk</v>
      </c>
      <c r="Y927" t="str">
        <f>IFERROR(INDEX(Stores!$E:$E,MATCH(E927,Stores!$A:$A,0)),"Unknown")</f>
        <v>South Zone 3</v>
      </c>
      <c r="Z927" t="str">
        <f>IFERROR(INDEX(Customers!$J:$J,MATCH(C927,Customers!$A:$A,0)),"Unknown")</f>
        <v>Gold</v>
      </c>
      <c r="AA927" t="str">
        <f t="shared" si="14"/>
        <v>2024-12</v>
      </c>
      <c r="AB927" t="str">
        <f>IFERROR(INDEX(Products!$I:$I,MATCH(D927,Products!$A:$A,0)),"Unknown")</f>
        <v>SUP047</v>
      </c>
    </row>
    <row r="928" spans="1:28" x14ac:dyDescent="0.25">
      <c r="A928" t="s">
        <v>2541</v>
      </c>
      <c r="B928" s="20">
        <v>45482</v>
      </c>
      <c r="C928" t="s">
        <v>2542</v>
      </c>
      <c r="D928" t="s">
        <v>583</v>
      </c>
      <c r="E928" t="s">
        <v>90</v>
      </c>
      <c r="F928" t="s">
        <v>579</v>
      </c>
      <c r="G928">
        <v>1</v>
      </c>
      <c r="H928" s="21">
        <v>856.73</v>
      </c>
      <c r="I928">
        <v>25</v>
      </c>
      <c r="J928" s="21">
        <v>214.18</v>
      </c>
      <c r="K928">
        <v>5</v>
      </c>
      <c r="L928" s="21">
        <v>32.130000000000003</v>
      </c>
      <c r="M928" s="21">
        <v>674.68</v>
      </c>
      <c r="N928" s="21">
        <v>629.72</v>
      </c>
      <c r="O928" s="21">
        <v>12.83</v>
      </c>
      <c r="P928" t="s">
        <v>121</v>
      </c>
      <c r="Q928" t="s">
        <v>120</v>
      </c>
      <c r="R928" t="s">
        <v>151</v>
      </c>
      <c r="S928" t="s">
        <v>2097</v>
      </c>
      <c r="T928" t="s">
        <v>153</v>
      </c>
      <c r="U928" t="s">
        <v>154</v>
      </c>
      <c r="V928" t="str">
        <f>IFERROR(INDEX(Products!$C:$C,MATCH(D928,Products!$A:$A,0)),"Unknown")</f>
        <v>Women Tops</v>
      </c>
      <c r="W928" t="str">
        <f>IFERROR(INDEX(Products!$E:$E,MATCH(D928,Products!$A:$A,0)),"Unknown")</f>
        <v>Ramraj Cotton</v>
      </c>
      <c r="X928" t="str">
        <f>IFERROR(INDEX(Stores!$B:$B,MATCH(E928,Stores!$A:$A,0)),"Unknown")</f>
        <v>TrendMart Thoothukudi Mall Kiosk</v>
      </c>
      <c r="Y928" t="str">
        <f>IFERROR(INDEX(Stores!$E:$E,MATCH(E928,Stores!$A:$A,0)),"Unknown")</f>
        <v>South Zone 1</v>
      </c>
      <c r="Z928" t="str">
        <f>IFERROR(INDEX(Customers!$J:$J,MATCH(C928,Customers!$A:$A,0)),"Unknown")</f>
        <v>Silver</v>
      </c>
      <c r="AA928" t="str">
        <f t="shared" si="14"/>
        <v>2024-07</v>
      </c>
      <c r="AB928" t="str">
        <f>IFERROR(INDEX(Products!$I:$I,MATCH(D928,Products!$A:$A,0)),"Unknown")</f>
        <v>SUP048</v>
      </c>
    </row>
    <row r="929" spans="1:28" x14ac:dyDescent="0.25">
      <c r="A929" t="s">
        <v>2543</v>
      </c>
      <c r="B929" s="20">
        <v>45651</v>
      </c>
      <c r="C929" t="s">
        <v>881</v>
      </c>
      <c r="D929" t="s">
        <v>756</v>
      </c>
      <c r="E929" t="s">
        <v>588</v>
      </c>
      <c r="F929" t="s">
        <v>382</v>
      </c>
      <c r="G929">
        <v>2</v>
      </c>
      <c r="H929" s="21">
        <v>742.6</v>
      </c>
      <c r="I929">
        <v>30</v>
      </c>
      <c r="J929" s="21">
        <v>445.56</v>
      </c>
      <c r="K929">
        <v>5</v>
      </c>
      <c r="L929" s="21">
        <v>51.98</v>
      </c>
      <c r="M929" s="21">
        <v>1091.6199999999999</v>
      </c>
      <c r="N929" s="21">
        <v>1044.76</v>
      </c>
      <c r="O929" s="21">
        <v>-5.12</v>
      </c>
      <c r="P929" t="s">
        <v>124</v>
      </c>
      <c r="Q929" t="s">
        <v>120</v>
      </c>
      <c r="R929" t="s">
        <v>151</v>
      </c>
      <c r="S929" t="s">
        <v>1518</v>
      </c>
      <c r="T929" t="s">
        <v>153</v>
      </c>
      <c r="U929" t="s">
        <v>184</v>
      </c>
      <c r="V929" t="str">
        <f>IFERROR(INDEX(Products!$C:$C,MATCH(D929,Products!$A:$A,0)),"Unknown")</f>
        <v>Women Tops</v>
      </c>
      <c r="W929" t="str">
        <f>IFERROR(INDEX(Products!$E:$E,MATCH(D929,Products!$A:$A,0)),"Unknown")</f>
        <v>Peter England</v>
      </c>
      <c r="X929" t="str">
        <f>IFERROR(INDEX(Stores!$B:$B,MATCH(E929,Stores!$A:$A,0)),"Unknown")</f>
        <v>TrendMart Nizamabad Standard</v>
      </c>
      <c r="Y929" t="str">
        <f>IFERROR(INDEX(Stores!$E:$E,MATCH(E929,Stores!$A:$A,0)),"Unknown")</f>
        <v>South Zone 2</v>
      </c>
      <c r="Z929" t="str">
        <f>IFERROR(INDEX(Customers!$J:$J,MATCH(C929,Customers!$A:$A,0)),"Unknown")</f>
        <v>Silver</v>
      </c>
      <c r="AA929" t="str">
        <f t="shared" si="14"/>
        <v>2024-12</v>
      </c>
      <c r="AB929" t="str">
        <f>IFERROR(INDEX(Products!$I:$I,MATCH(D929,Products!$A:$A,0)),"Unknown")</f>
        <v>SUP018</v>
      </c>
    </row>
    <row r="930" spans="1:28" x14ac:dyDescent="0.25">
      <c r="A930" t="s">
        <v>2544</v>
      </c>
      <c r="B930" s="20">
        <v>45676</v>
      </c>
      <c r="C930" t="s">
        <v>2315</v>
      </c>
      <c r="D930" t="s">
        <v>1616</v>
      </c>
      <c r="E930" t="s">
        <v>442</v>
      </c>
      <c r="F930" t="s">
        <v>335</v>
      </c>
      <c r="G930">
        <v>1</v>
      </c>
      <c r="H930" s="21">
        <v>5089.33</v>
      </c>
      <c r="I930">
        <v>10</v>
      </c>
      <c r="J930" s="21">
        <v>508.93</v>
      </c>
      <c r="K930">
        <v>12</v>
      </c>
      <c r="L930" s="21">
        <v>549.65</v>
      </c>
      <c r="M930" s="21">
        <v>5130.05</v>
      </c>
      <c r="N930" s="21">
        <v>3023.13</v>
      </c>
      <c r="O930" s="21">
        <v>1557.27</v>
      </c>
      <c r="P930" t="s">
        <v>127</v>
      </c>
      <c r="Q930" t="s">
        <v>122</v>
      </c>
      <c r="R930" t="s">
        <v>151</v>
      </c>
      <c r="S930" t="s">
        <v>708</v>
      </c>
      <c r="T930" t="s">
        <v>161</v>
      </c>
      <c r="U930" t="s">
        <v>154</v>
      </c>
      <c r="V930" t="str">
        <f>IFERROR(INDEX(Products!$C:$C,MATCH(D930,Products!$A:$A,0)),"Unknown")</f>
        <v>Women Sarees</v>
      </c>
      <c r="W930" t="str">
        <f>IFERROR(INDEX(Products!$E:$E,MATCH(D930,Products!$A:$A,0)),"Unknown")</f>
        <v>Max Fashion</v>
      </c>
      <c r="X930" t="str">
        <f>IFERROR(INDEX(Stores!$B:$B,MATCH(E930,Stores!$A:$A,0)),"Unknown")</f>
        <v>TrendMart Bengaluru Standard</v>
      </c>
      <c r="Y930" t="str">
        <f>IFERROR(INDEX(Stores!$E:$E,MATCH(E930,Stores!$A:$A,0)),"Unknown")</f>
        <v>South Zone 2</v>
      </c>
      <c r="Z930" t="str">
        <f>IFERROR(INDEX(Customers!$J:$J,MATCH(C930,Customers!$A:$A,0)),"Unknown")</f>
        <v>Regular</v>
      </c>
      <c r="AA930" t="str">
        <f t="shared" si="14"/>
        <v>2025-01</v>
      </c>
      <c r="AB930" t="str">
        <f>IFERROR(INDEX(Products!$I:$I,MATCH(D930,Products!$A:$A,0)),"Unknown")</f>
        <v>SUP047</v>
      </c>
    </row>
    <row r="931" spans="1:28" x14ac:dyDescent="0.25">
      <c r="A931" t="s">
        <v>2545</v>
      </c>
      <c r="B931" s="20">
        <v>45560</v>
      </c>
      <c r="C931" t="s">
        <v>2546</v>
      </c>
      <c r="D931" t="s">
        <v>174</v>
      </c>
      <c r="E931" t="s">
        <v>89</v>
      </c>
      <c r="F931" t="s">
        <v>403</v>
      </c>
      <c r="G931">
        <v>1</v>
      </c>
      <c r="H931" s="21">
        <v>814.43</v>
      </c>
      <c r="I931">
        <v>30</v>
      </c>
      <c r="J931" s="21">
        <v>244.33</v>
      </c>
      <c r="K931">
        <v>5</v>
      </c>
      <c r="L931" s="21">
        <v>28.5</v>
      </c>
      <c r="M931" s="21">
        <v>598.6</v>
      </c>
      <c r="N931" s="21">
        <v>539.76</v>
      </c>
      <c r="O931" s="21">
        <v>30.34</v>
      </c>
      <c r="P931" t="s">
        <v>123</v>
      </c>
      <c r="Q931" t="s">
        <v>120</v>
      </c>
      <c r="R931" t="s">
        <v>151</v>
      </c>
      <c r="S931" t="s">
        <v>2285</v>
      </c>
      <c r="T931" t="s">
        <v>153</v>
      </c>
      <c r="U931" t="s">
        <v>154</v>
      </c>
      <c r="V931" t="str">
        <f>IFERROR(INDEX(Products!$C:$C,MATCH(D931,Products!$A:$A,0)),"Unknown")</f>
        <v>Women Kurtis</v>
      </c>
      <c r="W931" t="str">
        <f>IFERROR(INDEX(Products!$E:$E,MATCH(D931,Products!$A:$A,0)),"Unknown")</f>
        <v>Reebok</v>
      </c>
      <c r="X931" t="str">
        <f>IFERROR(INDEX(Stores!$B:$B,MATCH(E931,Stores!$A:$A,0)),"Unknown")</f>
        <v>TrendMart Kochi Standard</v>
      </c>
      <c r="Y931" t="str">
        <f>IFERROR(INDEX(Stores!$E:$E,MATCH(E931,Stores!$A:$A,0)),"Unknown")</f>
        <v>South Zone 1</v>
      </c>
      <c r="Z931" t="str">
        <f>IFERROR(INDEX(Customers!$J:$J,MATCH(C931,Customers!$A:$A,0)),"Unknown")</f>
        <v>Silver</v>
      </c>
      <c r="AA931" t="str">
        <f t="shared" si="14"/>
        <v>2024-09</v>
      </c>
      <c r="AB931" t="str">
        <f>IFERROR(INDEX(Products!$I:$I,MATCH(D931,Products!$A:$A,0)),"Unknown")</f>
        <v>SUP012</v>
      </c>
    </row>
    <row r="932" spans="1:28" x14ac:dyDescent="0.25">
      <c r="A932" t="s">
        <v>2547</v>
      </c>
      <c r="B932" s="20">
        <v>45385</v>
      </c>
      <c r="C932" t="s">
        <v>809</v>
      </c>
      <c r="D932" t="s">
        <v>583</v>
      </c>
      <c r="E932" t="s">
        <v>343</v>
      </c>
      <c r="F932" t="s">
        <v>408</v>
      </c>
      <c r="G932">
        <v>1</v>
      </c>
      <c r="H932" s="21">
        <v>896.09</v>
      </c>
      <c r="I932">
        <v>25</v>
      </c>
      <c r="J932" s="21">
        <v>224.02</v>
      </c>
      <c r="K932">
        <v>5</v>
      </c>
      <c r="L932" s="21">
        <v>33.6</v>
      </c>
      <c r="M932" s="21">
        <v>705.67</v>
      </c>
      <c r="N932" s="21">
        <v>629.72</v>
      </c>
      <c r="O932" s="21">
        <v>42.35</v>
      </c>
      <c r="P932" t="s">
        <v>125</v>
      </c>
      <c r="Q932" t="s">
        <v>120</v>
      </c>
      <c r="R932" t="s">
        <v>151</v>
      </c>
      <c r="S932" t="s">
        <v>1339</v>
      </c>
      <c r="T932" t="s">
        <v>153</v>
      </c>
      <c r="U932" t="s">
        <v>154</v>
      </c>
      <c r="V932" t="str">
        <f>IFERROR(INDEX(Products!$C:$C,MATCH(D932,Products!$A:$A,0)),"Unknown")</f>
        <v>Women Tops</v>
      </c>
      <c r="W932" t="str">
        <f>IFERROR(INDEX(Products!$E:$E,MATCH(D932,Products!$A:$A,0)),"Unknown")</f>
        <v>Ramraj Cotton</v>
      </c>
      <c r="X932" t="str">
        <f>IFERROR(INDEX(Stores!$B:$B,MATCH(E932,Stores!$A:$A,0)),"Unknown")</f>
        <v>TrendMart Tumakuru Outlet</v>
      </c>
      <c r="Y932" t="str">
        <f>IFERROR(INDEX(Stores!$E:$E,MATCH(E932,Stores!$A:$A,0)),"Unknown")</f>
        <v>South Zone 2</v>
      </c>
      <c r="Z932" t="str">
        <f>IFERROR(INDEX(Customers!$J:$J,MATCH(C932,Customers!$A:$A,0)),"Unknown")</f>
        <v>Regular</v>
      </c>
      <c r="AA932" t="str">
        <f t="shared" si="14"/>
        <v>2024-04</v>
      </c>
      <c r="AB932" t="str">
        <f>IFERROR(INDEX(Products!$I:$I,MATCH(D932,Products!$A:$A,0)),"Unknown")</f>
        <v>SUP048</v>
      </c>
    </row>
    <row r="933" spans="1:28" x14ac:dyDescent="0.25">
      <c r="A933" t="s">
        <v>2548</v>
      </c>
      <c r="B933" s="20">
        <v>45540</v>
      </c>
      <c r="C933" t="s">
        <v>2371</v>
      </c>
      <c r="D933" t="s">
        <v>342</v>
      </c>
      <c r="E933" t="s">
        <v>639</v>
      </c>
      <c r="F933" t="s">
        <v>242</v>
      </c>
      <c r="G933">
        <v>2</v>
      </c>
      <c r="H933" s="21">
        <v>4514.8999999999996</v>
      </c>
      <c r="I933">
        <v>0</v>
      </c>
      <c r="J933" s="21">
        <v>0</v>
      </c>
      <c r="K933">
        <v>12</v>
      </c>
      <c r="L933" s="21">
        <v>1083.58</v>
      </c>
      <c r="M933" s="21">
        <v>10113.379999999999</v>
      </c>
      <c r="N933" s="21">
        <v>7301.1</v>
      </c>
      <c r="O933" s="21">
        <v>1728.7</v>
      </c>
      <c r="P933" t="s">
        <v>124</v>
      </c>
      <c r="Q933" t="s">
        <v>120</v>
      </c>
      <c r="R933" t="s">
        <v>151</v>
      </c>
      <c r="S933" t="s">
        <v>1716</v>
      </c>
      <c r="T933" t="s">
        <v>153</v>
      </c>
      <c r="U933" t="s">
        <v>154</v>
      </c>
      <c r="V933" t="str">
        <f>IFERROR(INDEX(Products!$C:$C,MATCH(D933,Products!$A:$A,0)),"Unknown")</f>
        <v>Watches</v>
      </c>
      <c r="W933" t="str">
        <f>IFERROR(INDEX(Products!$E:$E,MATCH(D933,Products!$A:$A,0)),"Unknown")</f>
        <v>Pepe Jeans</v>
      </c>
      <c r="X933" t="str">
        <f>IFERROR(INDEX(Stores!$B:$B,MATCH(E933,Stores!$A:$A,0)),"Unknown")</f>
        <v>TrendMart Kurnool Outlet</v>
      </c>
      <c r="Y933" t="str">
        <f>IFERROR(INDEX(Stores!$E:$E,MATCH(E933,Stores!$A:$A,0)),"Unknown")</f>
        <v>South Zone 3</v>
      </c>
      <c r="Z933" t="str">
        <f>IFERROR(INDEX(Customers!$J:$J,MATCH(C933,Customers!$A:$A,0)),"Unknown")</f>
        <v>Regular</v>
      </c>
      <c r="AA933" t="str">
        <f t="shared" si="14"/>
        <v>2024-09</v>
      </c>
      <c r="AB933" t="str">
        <f>IFERROR(INDEX(Products!$I:$I,MATCH(D933,Products!$A:$A,0)),"Unknown")</f>
        <v>SUP052</v>
      </c>
    </row>
    <row r="934" spans="1:28" x14ac:dyDescent="0.25">
      <c r="A934" t="s">
        <v>2549</v>
      </c>
      <c r="B934" s="20">
        <v>45496</v>
      </c>
      <c r="C934" t="s">
        <v>2550</v>
      </c>
      <c r="D934" t="s">
        <v>329</v>
      </c>
      <c r="E934" t="s">
        <v>537</v>
      </c>
      <c r="F934" t="s">
        <v>297</v>
      </c>
      <c r="G934">
        <v>3</v>
      </c>
      <c r="H934" s="21">
        <v>631.32000000000005</v>
      </c>
      <c r="I934">
        <v>5</v>
      </c>
      <c r="J934" s="21">
        <v>94.7</v>
      </c>
      <c r="K934">
        <v>5</v>
      </c>
      <c r="L934" s="21">
        <v>89.96</v>
      </c>
      <c r="M934" s="21">
        <v>1889.22</v>
      </c>
      <c r="N934" s="21">
        <v>1257.8399999999999</v>
      </c>
      <c r="O934" s="21">
        <v>541.41999999999996</v>
      </c>
      <c r="P934" t="s">
        <v>121</v>
      </c>
      <c r="Q934" t="s">
        <v>120</v>
      </c>
      <c r="R934" t="s">
        <v>151</v>
      </c>
      <c r="S934" t="s">
        <v>1995</v>
      </c>
      <c r="T934" t="s">
        <v>153</v>
      </c>
      <c r="U934" t="s">
        <v>154</v>
      </c>
      <c r="V934" t="str">
        <f>IFERROR(INDEX(Products!$C:$C,MATCH(D934,Products!$A:$A,0)),"Unknown")</f>
        <v>Men T-Shirts</v>
      </c>
      <c r="W934" t="str">
        <f>IFERROR(INDEX(Products!$E:$E,MATCH(D934,Products!$A:$A,0)),"Unknown")</f>
        <v>Peter England</v>
      </c>
      <c r="X934" t="str">
        <f>IFERROR(INDEX(Stores!$B:$B,MATCH(E934,Stores!$A:$A,0)),"Unknown")</f>
        <v>TrendMart Thrissur High Street</v>
      </c>
      <c r="Y934" t="str">
        <f>IFERROR(INDEX(Stores!$E:$E,MATCH(E934,Stores!$A:$A,0)),"Unknown")</f>
        <v>South Zone 1</v>
      </c>
      <c r="Z934" t="str">
        <f>IFERROR(INDEX(Customers!$J:$J,MATCH(C934,Customers!$A:$A,0)),"Unknown")</f>
        <v>Regular</v>
      </c>
      <c r="AA934" t="str">
        <f t="shared" si="14"/>
        <v>2024-07</v>
      </c>
      <c r="AB934" t="str">
        <f>IFERROR(INDEX(Products!$I:$I,MATCH(D934,Products!$A:$A,0)),"Unknown")</f>
        <v>SUP071</v>
      </c>
    </row>
    <row r="935" spans="1:28" x14ac:dyDescent="0.25">
      <c r="A935" t="s">
        <v>2551</v>
      </c>
      <c r="B935" s="20">
        <v>45592</v>
      </c>
      <c r="C935" t="s">
        <v>332</v>
      </c>
      <c r="D935" t="s">
        <v>931</v>
      </c>
      <c r="E935" t="s">
        <v>914</v>
      </c>
      <c r="F935" t="s">
        <v>516</v>
      </c>
      <c r="G935">
        <v>2</v>
      </c>
      <c r="H935" s="21">
        <v>1696.86</v>
      </c>
      <c r="I935">
        <v>25</v>
      </c>
      <c r="J935" s="21">
        <v>848.43</v>
      </c>
      <c r="K935">
        <v>12</v>
      </c>
      <c r="L935" s="21">
        <v>305.43</v>
      </c>
      <c r="M935" s="21">
        <v>2850.72</v>
      </c>
      <c r="N935" s="21">
        <v>2041.8</v>
      </c>
      <c r="O935" s="21">
        <v>503.49</v>
      </c>
      <c r="P935" t="s">
        <v>124</v>
      </c>
      <c r="Q935" t="s">
        <v>120</v>
      </c>
      <c r="R935" t="s">
        <v>151</v>
      </c>
      <c r="S935" t="s">
        <v>777</v>
      </c>
      <c r="T935" t="s">
        <v>161</v>
      </c>
      <c r="U935" t="s">
        <v>154</v>
      </c>
      <c r="V935" t="str">
        <f>IFERROR(INDEX(Products!$C:$C,MATCH(D935,Products!$A:$A,0)),"Unknown")</f>
        <v>Women Sarees</v>
      </c>
      <c r="W935" t="str">
        <f>IFERROR(INDEX(Products!$E:$E,MATCH(D935,Products!$A:$A,0)),"Unknown")</f>
        <v>Jack &amp; Jones</v>
      </c>
      <c r="X935" t="str">
        <f>IFERROR(INDEX(Stores!$B:$B,MATCH(E935,Stores!$A:$A,0)),"Unknown")</f>
        <v>TrendMart Thiruvananthapuram Outlet</v>
      </c>
      <c r="Y935" t="str">
        <f>IFERROR(INDEX(Stores!$E:$E,MATCH(E935,Stores!$A:$A,0)),"Unknown")</f>
        <v>South Zone 1</v>
      </c>
      <c r="Z935" t="str">
        <f>IFERROR(INDEX(Customers!$J:$J,MATCH(C935,Customers!$A:$A,0)),"Unknown")</f>
        <v>Platinum</v>
      </c>
      <c r="AA935" t="str">
        <f t="shared" si="14"/>
        <v>2024-10</v>
      </c>
      <c r="AB935" t="str">
        <f>IFERROR(INDEX(Products!$I:$I,MATCH(D935,Products!$A:$A,0)),"Unknown")</f>
        <v>SUP058</v>
      </c>
    </row>
    <row r="936" spans="1:28" x14ac:dyDescent="0.25">
      <c r="A936" t="s">
        <v>2552</v>
      </c>
      <c r="B936" s="20">
        <v>45564</v>
      </c>
      <c r="C936" t="s">
        <v>1793</v>
      </c>
      <c r="D936" t="s">
        <v>2553</v>
      </c>
      <c r="E936" t="s">
        <v>391</v>
      </c>
      <c r="F936" t="s">
        <v>344</v>
      </c>
      <c r="G936">
        <v>2</v>
      </c>
      <c r="H936" s="21">
        <v>3770.58</v>
      </c>
      <c r="I936">
        <v>20</v>
      </c>
      <c r="J936" s="21">
        <v>1508.23</v>
      </c>
      <c r="K936">
        <v>12</v>
      </c>
      <c r="L936" s="21">
        <v>723.95</v>
      </c>
      <c r="M936" s="21">
        <v>6756.88</v>
      </c>
      <c r="N936" s="21">
        <v>5261.68</v>
      </c>
      <c r="O936" s="21">
        <v>771.25</v>
      </c>
      <c r="P936" t="s">
        <v>124</v>
      </c>
      <c r="Q936" t="s">
        <v>120</v>
      </c>
      <c r="R936" t="s">
        <v>151</v>
      </c>
      <c r="S936" t="s">
        <v>2554</v>
      </c>
      <c r="T936" t="s">
        <v>161</v>
      </c>
      <c r="U936" t="s">
        <v>154</v>
      </c>
      <c r="V936" t="str">
        <f>IFERROR(INDEX(Products!$C:$C,MATCH(D936,Products!$A:$A,0)),"Unknown")</f>
        <v>Watches</v>
      </c>
      <c r="W936" t="str">
        <f>IFERROR(INDEX(Products!$E:$E,MATCH(D936,Products!$A:$A,0)),"Unknown")</f>
        <v>Reebok</v>
      </c>
      <c r="X936" t="str">
        <f>IFERROR(INDEX(Stores!$B:$B,MATCH(E936,Stores!$A:$A,0)),"Unknown")</f>
        <v>TrendMart Warangal High Street</v>
      </c>
      <c r="Y936" t="str">
        <f>IFERROR(INDEX(Stores!$E:$E,MATCH(E936,Stores!$A:$A,0)),"Unknown")</f>
        <v>South Zone 2</v>
      </c>
      <c r="Z936" t="str">
        <f>IFERROR(INDEX(Customers!$J:$J,MATCH(C936,Customers!$A:$A,0)),"Unknown")</f>
        <v>Gold</v>
      </c>
      <c r="AA936" t="str">
        <f t="shared" si="14"/>
        <v>2024-09</v>
      </c>
      <c r="AB936" t="str">
        <f>IFERROR(INDEX(Products!$I:$I,MATCH(D936,Products!$A:$A,0)),"Unknown")</f>
        <v>SUP039</v>
      </c>
    </row>
    <row r="937" spans="1:28" x14ac:dyDescent="0.25">
      <c r="A937" t="s">
        <v>2555</v>
      </c>
      <c r="B937" s="20">
        <v>45559</v>
      </c>
      <c r="C937" t="s">
        <v>1410</v>
      </c>
      <c r="D937" t="s">
        <v>174</v>
      </c>
      <c r="E937" t="s">
        <v>1512</v>
      </c>
      <c r="F937" t="s">
        <v>408</v>
      </c>
      <c r="G937">
        <v>1</v>
      </c>
      <c r="H937" s="21">
        <v>847.03</v>
      </c>
      <c r="I937">
        <v>10</v>
      </c>
      <c r="J937" s="21">
        <v>84.7</v>
      </c>
      <c r="K937">
        <v>5</v>
      </c>
      <c r="L937" s="21">
        <v>38.119999999999997</v>
      </c>
      <c r="M937" s="21">
        <v>800.45</v>
      </c>
      <c r="N937" s="21">
        <v>539.76</v>
      </c>
      <c r="O937" s="21">
        <v>222.57</v>
      </c>
      <c r="P937" t="s">
        <v>121</v>
      </c>
      <c r="Q937" t="s">
        <v>122</v>
      </c>
      <c r="R937" t="s">
        <v>151</v>
      </c>
      <c r="S937" t="s">
        <v>2427</v>
      </c>
      <c r="T937" t="s">
        <v>153</v>
      </c>
      <c r="U937" t="s">
        <v>154</v>
      </c>
      <c r="V937" t="str">
        <f>IFERROR(INDEX(Products!$C:$C,MATCH(D937,Products!$A:$A,0)),"Unknown")</f>
        <v>Women Kurtis</v>
      </c>
      <c r="W937" t="str">
        <f>IFERROR(INDEX(Products!$E:$E,MATCH(D937,Products!$A:$A,0)),"Unknown")</f>
        <v>Reebok</v>
      </c>
      <c r="X937" t="str">
        <f>IFERROR(INDEX(Stores!$B:$B,MATCH(E937,Stores!$A:$A,0)),"Unknown")</f>
        <v>TrendMart Erode Mall Kiosk</v>
      </c>
      <c r="Y937" t="str">
        <f>IFERROR(INDEX(Stores!$E:$E,MATCH(E937,Stores!$A:$A,0)),"Unknown")</f>
        <v>South Zone 1</v>
      </c>
      <c r="Z937" t="str">
        <f>IFERROR(INDEX(Customers!$J:$J,MATCH(C937,Customers!$A:$A,0)),"Unknown")</f>
        <v>Gold</v>
      </c>
      <c r="AA937" t="str">
        <f t="shared" si="14"/>
        <v>2024-09</v>
      </c>
      <c r="AB937" t="str">
        <f>IFERROR(INDEX(Products!$I:$I,MATCH(D937,Products!$A:$A,0)),"Unknown")</f>
        <v>SUP012</v>
      </c>
    </row>
    <row r="938" spans="1:28" x14ac:dyDescent="0.25">
      <c r="A938" t="s">
        <v>2556</v>
      </c>
      <c r="B938" s="20">
        <v>45691</v>
      </c>
      <c r="C938" t="s">
        <v>2557</v>
      </c>
      <c r="D938" t="s">
        <v>246</v>
      </c>
      <c r="E938" t="s">
        <v>613</v>
      </c>
      <c r="F938" t="s">
        <v>258</v>
      </c>
      <c r="G938">
        <v>1</v>
      </c>
      <c r="H938" s="21">
        <v>1264.0899999999999</v>
      </c>
      <c r="I938">
        <v>25</v>
      </c>
      <c r="J938" s="21">
        <v>316.02</v>
      </c>
      <c r="K938">
        <v>12</v>
      </c>
      <c r="L938" s="21">
        <v>113.77</v>
      </c>
      <c r="M938" s="21">
        <v>1061.8399999999999</v>
      </c>
      <c r="N938" s="21">
        <v>865.48</v>
      </c>
      <c r="O938" s="21">
        <v>82.59</v>
      </c>
      <c r="P938" t="s">
        <v>125</v>
      </c>
      <c r="Q938" t="s">
        <v>120</v>
      </c>
      <c r="R938" t="s">
        <v>151</v>
      </c>
      <c r="S938" t="s">
        <v>1999</v>
      </c>
      <c r="T938" t="s">
        <v>153</v>
      </c>
      <c r="U938" t="s">
        <v>154</v>
      </c>
      <c r="V938" t="str">
        <f>IFERROR(INDEX(Products!$C:$C,MATCH(D938,Products!$A:$A,0)),"Unknown")</f>
        <v>Women Dresses</v>
      </c>
      <c r="W938" t="str">
        <f>IFERROR(INDEX(Products!$E:$E,MATCH(D938,Products!$A:$A,0)),"Unknown")</f>
        <v>Tanishq</v>
      </c>
      <c r="X938" t="str">
        <f>IFERROR(INDEX(Stores!$B:$B,MATCH(E938,Stores!$A:$A,0)),"Unknown")</f>
        <v>TrendMart Kochi Mall Kiosk</v>
      </c>
      <c r="Y938" t="str">
        <f>IFERROR(INDEX(Stores!$E:$E,MATCH(E938,Stores!$A:$A,0)),"Unknown")</f>
        <v>South Zone 1</v>
      </c>
      <c r="Z938" t="str">
        <f>IFERROR(INDEX(Customers!$J:$J,MATCH(C938,Customers!$A:$A,0)),"Unknown")</f>
        <v>Silver</v>
      </c>
      <c r="AA938" t="str">
        <f t="shared" si="14"/>
        <v>2025-02</v>
      </c>
      <c r="AB938" t="str">
        <f>IFERROR(INDEX(Products!$I:$I,MATCH(D938,Products!$A:$A,0)),"Unknown")</f>
        <v>SUP002</v>
      </c>
    </row>
    <row r="939" spans="1:28" x14ac:dyDescent="0.25">
      <c r="A939" t="s">
        <v>2558</v>
      </c>
      <c r="B939" s="20">
        <v>45707</v>
      </c>
      <c r="C939" t="s">
        <v>2559</v>
      </c>
      <c r="D939" t="s">
        <v>1026</v>
      </c>
      <c r="E939" t="s">
        <v>810</v>
      </c>
      <c r="F939" t="s">
        <v>292</v>
      </c>
      <c r="G939">
        <v>2</v>
      </c>
      <c r="H939" s="21">
        <v>1425.68</v>
      </c>
      <c r="I939">
        <v>0</v>
      </c>
      <c r="J939" s="21">
        <v>0</v>
      </c>
      <c r="K939">
        <v>12</v>
      </c>
      <c r="L939" s="21">
        <v>342.16</v>
      </c>
      <c r="M939" s="21">
        <v>3193.52</v>
      </c>
      <c r="N939" s="21">
        <v>1924.34</v>
      </c>
      <c r="O939" s="21">
        <v>927.02</v>
      </c>
      <c r="P939" t="s">
        <v>121</v>
      </c>
      <c r="Q939" t="s">
        <v>120</v>
      </c>
      <c r="R939" t="s">
        <v>151</v>
      </c>
      <c r="S939" t="s">
        <v>526</v>
      </c>
      <c r="T939" t="s">
        <v>153</v>
      </c>
      <c r="U939" t="s">
        <v>154</v>
      </c>
      <c r="V939" t="str">
        <f>IFERROR(INDEX(Products!$C:$C,MATCH(D939,Products!$A:$A,0)),"Unknown")</f>
        <v>Women Sarees</v>
      </c>
      <c r="W939" t="str">
        <f>IFERROR(INDEX(Products!$E:$E,MATCH(D939,Products!$A:$A,0)),"Unknown")</f>
        <v>Spykar</v>
      </c>
      <c r="X939" t="str">
        <f>IFERROR(INDEX(Stores!$B:$B,MATCH(E939,Stores!$A:$A,0)),"Unknown")</f>
        <v>TrendMart Nizamabad Standard</v>
      </c>
      <c r="Y939" t="str">
        <f>IFERROR(INDEX(Stores!$E:$E,MATCH(E939,Stores!$A:$A,0)),"Unknown")</f>
        <v>South Zone 2</v>
      </c>
      <c r="Z939" t="str">
        <f>IFERROR(INDEX(Customers!$J:$J,MATCH(C939,Customers!$A:$A,0)),"Unknown")</f>
        <v>Silver</v>
      </c>
      <c r="AA939" t="str">
        <f t="shared" si="14"/>
        <v>2025-02</v>
      </c>
      <c r="AB939" t="str">
        <f>IFERROR(INDEX(Products!$I:$I,MATCH(D939,Products!$A:$A,0)),"Unknown")</f>
        <v>SUP001</v>
      </c>
    </row>
    <row r="940" spans="1:28" x14ac:dyDescent="0.25">
      <c r="A940" t="s">
        <v>2560</v>
      </c>
      <c r="B940" s="20">
        <v>45605</v>
      </c>
      <c r="C940" t="s">
        <v>2561</v>
      </c>
      <c r="D940" t="s">
        <v>748</v>
      </c>
      <c r="E940" t="s">
        <v>360</v>
      </c>
      <c r="F940" t="s">
        <v>232</v>
      </c>
      <c r="G940">
        <v>1</v>
      </c>
      <c r="H940" s="21">
        <v>1148.6400000000001</v>
      </c>
      <c r="I940">
        <v>0</v>
      </c>
      <c r="J940" s="21">
        <v>0</v>
      </c>
      <c r="K940">
        <v>12</v>
      </c>
      <c r="L940" s="21">
        <v>137.84</v>
      </c>
      <c r="M940" s="21">
        <v>1286.48</v>
      </c>
      <c r="N940" s="21">
        <v>841.85</v>
      </c>
      <c r="O940" s="21">
        <v>306.79000000000002</v>
      </c>
      <c r="P940" t="s">
        <v>125</v>
      </c>
      <c r="Q940" t="s">
        <v>122</v>
      </c>
      <c r="R940" t="s">
        <v>151</v>
      </c>
      <c r="S940" t="s">
        <v>2562</v>
      </c>
      <c r="T940" t="s">
        <v>161</v>
      </c>
      <c r="U940" t="s">
        <v>154</v>
      </c>
      <c r="V940" t="str">
        <f>IFERROR(INDEX(Products!$C:$C,MATCH(D940,Products!$A:$A,0)),"Unknown")</f>
        <v>Women Dresses</v>
      </c>
      <c r="W940" t="str">
        <f>IFERROR(INDEX(Products!$E:$E,MATCH(D940,Products!$A:$A,0)),"Unknown")</f>
        <v>Kalyan Silks</v>
      </c>
      <c r="X940" t="str">
        <f>IFERROR(INDEX(Stores!$B:$B,MATCH(E940,Stores!$A:$A,0)),"Unknown")</f>
        <v>TrendMart Kochi Standard</v>
      </c>
      <c r="Y940" t="str">
        <f>IFERROR(INDEX(Stores!$E:$E,MATCH(E940,Stores!$A:$A,0)),"Unknown")</f>
        <v>South Zone 1</v>
      </c>
      <c r="Z940" t="str">
        <f>IFERROR(INDEX(Customers!$J:$J,MATCH(C940,Customers!$A:$A,0)),"Unknown")</f>
        <v>Platinum</v>
      </c>
      <c r="AA940" t="str">
        <f t="shared" si="14"/>
        <v>2024-11</v>
      </c>
      <c r="AB940" t="str">
        <f>IFERROR(INDEX(Products!$I:$I,MATCH(D940,Products!$A:$A,0)),"Unknown")</f>
        <v>SUP036</v>
      </c>
    </row>
    <row r="941" spans="1:28" x14ac:dyDescent="0.25">
      <c r="A941" t="s">
        <v>2563</v>
      </c>
      <c r="B941" s="20">
        <v>45398</v>
      </c>
      <c r="C941" t="s">
        <v>1251</v>
      </c>
      <c r="D941" t="s">
        <v>629</v>
      </c>
      <c r="E941" t="s">
        <v>84</v>
      </c>
      <c r="F941" t="s">
        <v>269</v>
      </c>
      <c r="G941">
        <v>4</v>
      </c>
      <c r="H941" s="21">
        <v>6572.37</v>
      </c>
      <c r="I941">
        <v>0</v>
      </c>
      <c r="J941" s="21">
        <v>0</v>
      </c>
      <c r="K941">
        <v>3</v>
      </c>
      <c r="L941" s="21">
        <v>788.68</v>
      </c>
      <c r="M941" s="21">
        <v>27078.16</v>
      </c>
      <c r="N941" s="21">
        <v>19468.84</v>
      </c>
      <c r="O941" s="21">
        <v>6820.64</v>
      </c>
      <c r="P941" t="s">
        <v>125</v>
      </c>
      <c r="Q941" t="s">
        <v>120</v>
      </c>
      <c r="R941" t="s">
        <v>151</v>
      </c>
      <c r="S941" t="s">
        <v>2022</v>
      </c>
      <c r="T941" t="s">
        <v>153</v>
      </c>
      <c r="U941" t="s">
        <v>154</v>
      </c>
      <c r="V941" t="str">
        <f>IFERROR(INDEX(Products!$C:$C,MATCH(D941,Products!$A:$A,0)),"Unknown")</f>
        <v>Jewellery</v>
      </c>
      <c r="W941" t="str">
        <f>IFERROR(INDEX(Products!$E:$E,MATCH(D941,Products!$A:$A,0)),"Unknown")</f>
        <v>Global Desi</v>
      </c>
      <c r="X941" t="str">
        <f>IFERROR(INDEX(Stores!$B:$B,MATCH(E941,Stores!$A:$A,0)),"Unknown")</f>
        <v>TrendMart Tirupati Standard</v>
      </c>
      <c r="Y941" t="str">
        <f>IFERROR(INDEX(Stores!$E:$E,MATCH(E941,Stores!$A:$A,0)),"Unknown")</f>
        <v>South Zone 3</v>
      </c>
      <c r="Z941" t="str">
        <f>IFERROR(INDEX(Customers!$J:$J,MATCH(C941,Customers!$A:$A,0)),"Unknown")</f>
        <v>Regular</v>
      </c>
      <c r="AA941" t="str">
        <f t="shared" si="14"/>
        <v>2024-04</v>
      </c>
      <c r="AB941" t="str">
        <f>IFERROR(INDEX(Products!$I:$I,MATCH(D941,Products!$A:$A,0)),"Unknown")</f>
        <v>SUP066</v>
      </c>
    </row>
    <row r="942" spans="1:28" x14ac:dyDescent="0.25">
      <c r="A942" t="s">
        <v>2564</v>
      </c>
      <c r="B942" s="20">
        <v>45408</v>
      </c>
      <c r="C942" t="s">
        <v>1834</v>
      </c>
      <c r="D942" t="s">
        <v>359</v>
      </c>
      <c r="E942" t="s">
        <v>1017</v>
      </c>
      <c r="F942" t="s">
        <v>195</v>
      </c>
      <c r="G942">
        <v>2</v>
      </c>
      <c r="H942" s="21">
        <v>2447.14</v>
      </c>
      <c r="I942">
        <v>15</v>
      </c>
      <c r="J942" s="21">
        <v>734.14</v>
      </c>
      <c r="K942">
        <v>12</v>
      </c>
      <c r="L942" s="21">
        <v>499.22</v>
      </c>
      <c r="M942" s="21">
        <v>4659.3599999999997</v>
      </c>
      <c r="N942" s="21">
        <v>3608.74</v>
      </c>
      <c r="O942" s="21">
        <v>551.4</v>
      </c>
      <c r="P942" t="s">
        <v>124</v>
      </c>
      <c r="Q942" t="s">
        <v>120</v>
      </c>
      <c r="R942" t="s">
        <v>151</v>
      </c>
      <c r="S942" t="s">
        <v>2565</v>
      </c>
      <c r="T942" t="s">
        <v>153</v>
      </c>
      <c r="U942" t="s">
        <v>154</v>
      </c>
      <c r="V942" t="str">
        <f>IFERROR(INDEX(Products!$C:$C,MATCH(D942,Products!$A:$A,0)),"Unknown")</f>
        <v>Men Ethnic</v>
      </c>
      <c r="W942" t="str">
        <f>IFERROR(INDEX(Products!$E:$E,MATCH(D942,Products!$A:$A,0)),"Unknown")</f>
        <v>US Polo Assn</v>
      </c>
      <c r="X942" t="str">
        <f>IFERROR(INDEX(Stores!$B:$B,MATCH(E942,Stores!$A:$A,0)),"Unknown")</f>
        <v>TrendMart Mangaluru Standard</v>
      </c>
      <c r="Y942" t="str">
        <f>IFERROR(INDEX(Stores!$E:$E,MATCH(E942,Stores!$A:$A,0)),"Unknown")</f>
        <v>South Zone 2</v>
      </c>
      <c r="Z942" t="str">
        <f>IFERROR(INDEX(Customers!$J:$J,MATCH(C942,Customers!$A:$A,0)),"Unknown")</f>
        <v>Silver</v>
      </c>
      <c r="AA942" t="str">
        <f t="shared" si="14"/>
        <v>2024-04</v>
      </c>
      <c r="AB942" t="str">
        <f>IFERROR(INDEX(Products!$I:$I,MATCH(D942,Products!$A:$A,0)),"Unknown")</f>
        <v>SUP036</v>
      </c>
    </row>
    <row r="943" spans="1:28" x14ac:dyDescent="0.25">
      <c r="A943" t="s">
        <v>2566</v>
      </c>
      <c r="B943" s="20">
        <v>45507</v>
      </c>
      <c r="C943" t="s">
        <v>710</v>
      </c>
      <c r="D943" t="s">
        <v>531</v>
      </c>
      <c r="E943" t="s">
        <v>1825</v>
      </c>
      <c r="F943" t="s">
        <v>237</v>
      </c>
      <c r="G943">
        <v>3</v>
      </c>
      <c r="H943" s="21">
        <v>3079.4</v>
      </c>
      <c r="I943">
        <v>10</v>
      </c>
      <c r="J943" s="21">
        <v>923.82</v>
      </c>
      <c r="K943">
        <v>12</v>
      </c>
      <c r="L943" s="21">
        <v>997.73</v>
      </c>
      <c r="M943" s="21">
        <v>9312.11</v>
      </c>
      <c r="N943" s="21">
        <v>6102.03</v>
      </c>
      <c r="O943" s="21">
        <v>2212.35</v>
      </c>
      <c r="P943" t="s">
        <v>125</v>
      </c>
      <c r="Q943" t="s">
        <v>120</v>
      </c>
      <c r="R943" t="s">
        <v>313</v>
      </c>
      <c r="S943" t="s">
        <v>2567</v>
      </c>
      <c r="T943" t="s">
        <v>161</v>
      </c>
      <c r="U943" t="s">
        <v>154</v>
      </c>
      <c r="V943" t="str">
        <f>IFERROR(INDEX(Products!$C:$C,MATCH(D943,Products!$A:$A,0)),"Unknown")</f>
        <v>Handbags</v>
      </c>
      <c r="W943" t="str">
        <f>IFERROR(INDEX(Products!$E:$E,MATCH(D943,Products!$A:$A,0)),"Unknown")</f>
        <v>GRT Jewellers</v>
      </c>
      <c r="X943" t="str">
        <f>IFERROR(INDEX(Stores!$B:$B,MATCH(E943,Stores!$A:$A,0)),"Unknown")</f>
        <v>TrendMart Vijayawada Outlet</v>
      </c>
      <c r="Y943" t="str">
        <f>IFERROR(INDEX(Stores!$E:$E,MATCH(E943,Stores!$A:$A,0)),"Unknown")</f>
        <v>South Zone 3</v>
      </c>
      <c r="Z943" t="str">
        <f>IFERROR(INDEX(Customers!$J:$J,MATCH(C943,Customers!$A:$A,0)),"Unknown")</f>
        <v>Gold</v>
      </c>
      <c r="AA943" t="str">
        <f t="shared" si="14"/>
        <v>2024-08</v>
      </c>
      <c r="AB943" t="str">
        <f>IFERROR(INDEX(Products!$I:$I,MATCH(D943,Products!$A:$A,0)),"Unknown")</f>
        <v>SUP047</v>
      </c>
    </row>
    <row r="944" spans="1:28" x14ac:dyDescent="0.25">
      <c r="A944" t="s">
        <v>2568</v>
      </c>
      <c r="B944" s="20">
        <v>45527</v>
      </c>
      <c r="C944" t="s">
        <v>1883</v>
      </c>
      <c r="D944" t="s">
        <v>1321</v>
      </c>
      <c r="E944" t="s">
        <v>495</v>
      </c>
      <c r="F944" t="s">
        <v>335</v>
      </c>
      <c r="G944">
        <v>2</v>
      </c>
      <c r="H944" s="21">
        <v>2496.73</v>
      </c>
      <c r="I944">
        <v>30</v>
      </c>
      <c r="J944" s="21">
        <v>1498.04</v>
      </c>
      <c r="K944">
        <v>12</v>
      </c>
      <c r="L944" s="21">
        <v>419.45</v>
      </c>
      <c r="M944" s="21">
        <v>3914.87</v>
      </c>
      <c r="N944" s="21">
        <v>3459.44</v>
      </c>
      <c r="O944" s="21">
        <v>35.979999999999997</v>
      </c>
      <c r="P944" t="s">
        <v>127</v>
      </c>
      <c r="Q944" t="s">
        <v>120</v>
      </c>
      <c r="R944" t="s">
        <v>151</v>
      </c>
      <c r="S944" t="s">
        <v>1424</v>
      </c>
      <c r="T944" t="s">
        <v>153</v>
      </c>
      <c r="U944" t="s">
        <v>154</v>
      </c>
      <c r="V944" t="str">
        <f>IFERROR(INDEX(Products!$C:$C,MATCH(D944,Products!$A:$A,0)),"Unknown")</f>
        <v>Men Ethnic</v>
      </c>
      <c r="W944" t="str">
        <f>IFERROR(INDEX(Products!$E:$E,MATCH(D944,Products!$A:$A,0)),"Unknown")</f>
        <v>Nalli Silks</v>
      </c>
      <c r="X944" t="str">
        <f>IFERROR(INDEX(Stores!$B:$B,MATCH(E944,Stores!$A:$A,0)),"Unknown")</f>
        <v>TrendMart Visakhapatnam Flagship</v>
      </c>
      <c r="Y944" t="str">
        <f>IFERROR(INDEX(Stores!$E:$E,MATCH(E944,Stores!$A:$A,0)),"Unknown")</f>
        <v>South Zone 3</v>
      </c>
      <c r="Z944" t="str">
        <f>IFERROR(INDEX(Customers!$J:$J,MATCH(C944,Customers!$A:$A,0)),"Unknown")</f>
        <v>Gold</v>
      </c>
      <c r="AA944" t="str">
        <f t="shared" si="14"/>
        <v>2024-08</v>
      </c>
      <c r="AB944" t="str">
        <f>IFERROR(INDEX(Products!$I:$I,MATCH(D944,Products!$A:$A,0)),"Unknown")</f>
        <v>SUP018</v>
      </c>
    </row>
    <row r="945" spans="1:28" x14ac:dyDescent="0.25">
      <c r="A945" t="s">
        <v>2569</v>
      </c>
      <c r="B945" s="20">
        <v>45409</v>
      </c>
      <c r="C945" t="s">
        <v>840</v>
      </c>
      <c r="D945" t="s">
        <v>587</v>
      </c>
      <c r="E945" t="s">
        <v>1426</v>
      </c>
      <c r="F945" t="s">
        <v>574</v>
      </c>
      <c r="G945">
        <v>2</v>
      </c>
      <c r="H945" s="21">
        <v>3584.83</v>
      </c>
      <c r="I945">
        <v>10</v>
      </c>
      <c r="J945" s="21">
        <v>716.97</v>
      </c>
      <c r="K945">
        <v>12</v>
      </c>
      <c r="L945" s="21">
        <v>774.32</v>
      </c>
      <c r="M945" s="21">
        <v>7227.01</v>
      </c>
      <c r="N945" s="21">
        <v>4271.7</v>
      </c>
      <c r="O945" s="21">
        <v>2180.9899999999998</v>
      </c>
      <c r="P945" t="s">
        <v>121</v>
      </c>
      <c r="Q945" t="s">
        <v>120</v>
      </c>
      <c r="R945" t="s">
        <v>151</v>
      </c>
      <c r="S945" t="s">
        <v>1743</v>
      </c>
      <c r="T945" t="s">
        <v>161</v>
      </c>
      <c r="U945" t="s">
        <v>154</v>
      </c>
      <c r="V945" t="str">
        <f>IFERROR(INDEX(Products!$C:$C,MATCH(D945,Products!$A:$A,0)),"Unknown")</f>
        <v>Handbags</v>
      </c>
      <c r="W945" t="str">
        <f>IFERROR(INDEX(Products!$E:$E,MATCH(D945,Products!$A:$A,0)),"Unknown")</f>
        <v>Tanishq</v>
      </c>
      <c r="X945" t="str">
        <f>IFERROR(INDEX(Stores!$B:$B,MATCH(E945,Stores!$A:$A,0)),"Unknown")</f>
        <v>TrendMart Alappuzha Mall Kiosk</v>
      </c>
      <c r="Y945" t="str">
        <f>IFERROR(INDEX(Stores!$E:$E,MATCH(E945,Stores!$A:$A,0)),"Unknown")</f>
        <v>South Zone 1</v>
      </c>
      <c r="Z945" t="str">
        <f>IFERROR(INDEX(Customers!$J:$J,MATCH(C945,Customers!$A:$A,0)),"Unknown")</f>
        <v>Platinum</v>
      </c>
      <c r="AA945" t="str">
        <f t="shared" si="14"/>
        <v>2024-04</v>
      </c>
      <c r="AB945" t="str">
        <f>IFERROR(INDEX(Products!$I:$I,MATCH(D945,Products!$A:$A,0)),"Unknown")</f>
        <v>SUP029</v>
      </c>
    </row>
    <row r="946" spans="1:28" x14ac:dyDescent="0.25">
      <c r="A946" t="s">
        <v>2570</v>
      </c>
      <c r="B946" s="20">
        <v>45602</v>
      </c>
      <c r="C946" t="s">
        <v>1400</v>
      </c>
      <c r="D946" t="s">
        <v>662</v>
      </c>
      <c r="E946" t="s">
        <v>363</v>
      </c>
      <c r="F946" t="s">
        <v>176</v>
      </c>
      <c r="G946">
        <v>3</v>
      </c>
      <c r="H946" s="21">
        <v>524.96</v>
      </c>
      <c r="I946">
        <v>20</v>
      </c>
      <c r="J946" s="21">
        <v>314.98</v>
      </c>
      <c r="K946">
        <v>5</v>
      </c>
      <c r="L946" s="21">
        <v>62.99</v>
      </c>
      <c r="M946" s="21">
        <v>1322.89</v>
      </c>
      <c r="N946" s="21">
        <v>899.58</v>
      </c>
      <c r="O946" s="21">
        <v>360.32</v>
      </c>
      <c r="P946" t="s">
        <v>123</v>
      </c>
      <c r="Q946" t="s">
        <v>122</v>
      </c>
      <c r="R946" t="s">
        <v>151</v>
      </c>
      <c r="S946" t="s">
        <v>2326</v>
      </c>
      <c r="T946" t="s">
        <v>153</v>
      </c>
      <c r="U946" t="s">
        <v>154</v>
      </c>
      <c r="V946" t="str">
        <f>IFERROR(INDEX(Products!$C:$C,MATCH(D946,Products!$A:$A,0)),"Unknown")</f>
        <v>Men T-Shirts</v>
      </c>
      <c r="W946" t="str">
        <f>IFERROR(INDEX(Products!$E:$E,MATCH(D946,Products!$A:$A,0)),"Unknown")</f>
        <v>Global Desi</v>
      </c>
      <c r="X946" t="str">
        <f>IFERROR(INDEX(Stores!$B:$B,MATCH(E946,Stores!$A:$A,0)),"Unknown")</f>
        <v>TrendMart Thiruvananthapuram High Street</v>
      </c>
      <c r="Y946" t="str">
        <f>IFERROR(INDEX(Stores!$E:$E,MATCH(E946,Stores!$A:$A,0)),"Unknown")</f>
        <v>South Zone 1</v>
      </c>
      <c r="Z946" t="str">
        <f>IFERROR(INDEX(Customers!$J:$J,MATCH(C946,Customers!$A:$A,0)),"Unknown")</f>
        <v>Regular</v>
      </c>
      <c r="AA946" t="str">
        <f t="shared" si="14"/>
        <v>2024-11</v>
      </c>
      <c r="AB946" t="str">
        <f>IFERROR(INDEX(Products!$I:$I,MATCH(D946,Products!$A:$A,0)),"Unknown")</f>
        <v>SUP049</v>
      </c>
    </row>
    <row r="947" spans="1:28" x14ac:dyDescent="0.25">
      <c r="A947" t="s">
        <v>2571</v>
      </c>
      <c r="B947" s="20">
        <v>45586</v>
      </c>
      <c r="C947" t="s">
        <v>1700</v>
      </c>
      <c r="D947" t="s">
        <v>481</v>
      </c>
      <c r="E947" t="s">
        <v>188</v>
      </c>
      <c r="F947" t="s">
        <v>516</v>
      </c>
      <c r="G947">
        <v>2</v>
      </c>
      <c r="H947" s="21">
        <v>867.98</v>
      </c>
      <c r="I947">
        <v>0</v>
      </c>
      <c r="J947" s="21">
        <v>0</v>
      </c>
      <c r="K947">
        <v>5</v>
      </c>
      <c r="L947" s="21">
        <v>86.8</v>
      </c>
      <c r="M947" s="21">
        <v>1822.76</v>
      </c>
      <c r="N947" s="21">
        <v>1396.16</v>
      </c>
      <c r="O947" s="21">
        <v>339.8</v>
      </c>
      <c r="P947" t="s">
        <v>127</v>
      </c>
      <c r="Q947" t="s">
        <v>120</v>
      </c>
      <c r="R947" t="s">
        <v>151</v>
      </c>
      <c r="S947" t="s">
        <v>512</v>
      </c>
      <c r="T947" t="s">
        <v>153</v>
      </c>
      <c r="U947" t="s">
        <v>154</v>
      </c>
      <c r="V947" t="str">
        <f>IFERROR(INDEX(Products!$C:$C,MATCH(D947,Products!$A:$A,0)),"Unknown")</f>
        <v>Women Dresses</v>
      </c>
      <c r="W947" t="str">
        <f>IFERROR(INDEX(Products!$E:$E,MATCH(D947,Products!$A:$A,0)),"Unknown")</f>
        <v>Jack &amp; Jones</v>
      </c>
      <c r="X947" t="str">
        <f>IFERROR(INDEX(Stores!$B:$B,MATCH(E947,Stores!$A:$A,0)),"Unknown")</f>
        <v>TrendMart Vijayawada Standard</v>
      </c>
      <c r="Y947" t="str">
        <f>IFERROR(INDEX(Stores!$E:$E,MATCH(E947,Stores!$A:$A,0)),"Unknown")</f>
        <v>South Zone 3</v>
      </c>
      <c r="Z947" t="str">
        <f>IFERROR(INDEX(Customers!$J:$J,MATCH(C947,Customers!$A:$A,0)),"Unknown")</f>
        <v>Silver</v>
      </c>
      <c r="AA947" t="str">
        <f t="shared" si="14"/>
        <v>2024-10</v>
      </c>
      <c r="AB947" t="str">
        <f>IFERROR(INDEX(Products!$I:$I,MATCH(D947,Products!$A:$A,0)),"Unknown")</f>
        <v>SUP069</v>
      </c>
    </row>
    <row r="948" spans="1:28" x14ac:dyDescent="0.25">
      <c r="A948" t="s">
        <v>2572</v>
      </c>
      <c r="B948" s="20">
        <v>45390</v>
      </c>
      <c r="C948" t="s">
        <v>1660</v>
      </c>
      <c r="D948" t="s">
        <v>569</v>
      </c>
      <c r="E948" t="s">
        <v>1442</v>
      </c>
      <c r="F948" t="s">
        <v>516</v>
      </c>
      <c r="G948">
        <v>1</v>
      </c>
      <c r="H948" s="21">
        <v>2229.6999999999998</v>
      </c>
      <c r="I948">
        <v>15</v>
      </c>
      <c r="J948" s="21">
        <v>334.45</v>
      </c>
      <c r="K948">
        <v>12</v>
      </c>
      <c r="L948" s="21">
        <v>227.43</v>
      </c>
      <c r="M948" s="21">
        <v>2122.6799999999998</v>
      </c>
      <c r="N948" s="21">
        <v>1594</v>
      </c>
      <c r="O948" s="21">
        <v>301.25</v>
      </c>
      <c r="P948" t="s">
        <v>123</v>
      </c>
      <c r="Q948" t="s">
        <v>122</v>
      </c>
      <c r="R948" t="s">
        <v>151</v>
      </c>
      <c r="S948" t="s">
        <v>2573</v>
      </c>
      <c r="T948" t="s">
        <v>153</v>
      </c>
      <c r="U948" t="s">
        <v>154</v>
      </c>
      <c r="V948" t="str">
        <f>IFERROR(INDEX(Products!$C:$C,MATCH(D948,Products!$A:$A,0)),"Unknown")</f>
        <v>Men Ethnic</v>
      </c>
      <c r="W948" t="str">
        <f>IFERROR(INDEX(Products!$E:$E,MATCH(D948,Products!$A:$A,0)),"Unknown")</f>
        <v>Fastrack</v>
      </c>
      <c r="X948" t="str">
        <f>IFERROR(INDEX(Stores!$B:$B,MATCH(E948,Stores!$A:$A,0)),"Unknown")</f>
        <v>TrendMart Vellore High Street</v>
      </c>
      <c r="Y948" t="str">
        <f>IFERROR(INDEX(Stores!$E:$E,MATCH(E948,Stores!$A:$A,0)),"Unknown")</f>
        <v>South Zone 1</v>
      </c>
      <c r="Z948" t="str">
        <f>IFERROR(INDEX(Customers!$J:$J,MATCH(C948,Customers!$A:$A,0)),"Unknown")</f>
        <v>Regular</v>
      </c>
      <c r="AA948" t="str">
        <f t="shared" si="14"/>
        <v>2024-04</v>
      </c>
      <c r="AB948" t="str">
        <f>IFERROR(INDEX(Products!$I:$I,MATCH(D948,Products!$A:$A,0)),"Unknown")</f>
        <v>SUP014</v>
      </c>
    </row>
    <row r="949" spans="1:28" x14ac:dyDescent="0.25">
      <c r="A949" t="s">
        <v>2574</v>
      </c>
      <c r="B949" s="20">
        <v>45676</v>
      </c>
      <c r="C949" t="s">
        <v>354</v>
      </c>
      <c r="D949" t="s">
        <v>157</v>
      </c>
      <c r="E949" t="s">
        <v>721</v>
      </c>
      <c r="F949" t="s">
        <v>382</v>
      </c>
      <c r="G949">
        <v>3</v>
      </c>
      <c r="H949" s="21">
        <v>824.66</v>
      </c>
      <c r="I949">
        <v>0</v>
      </c>
      <c r="J949" s="21">
        <v>0</v>
      </c>
      <c r="K949">
        <v>5</v>
      </c>
      <c r="L949" s="21">
        <v>123.7</v>
      </c>
      <c r="M949" s="21">
        <v>2597.6799999999998</v>
      </c>
      <c r="N949" s="21">
        <v>1476.33</v>
      </c>
      <c r="O949" s="21">
        <v>997.65</v>
      </c>
      <c r="P949" t="s">
        <v>121</v>
      </c>
      <c r="Q949" t="s">
        <v>122</v>
      </c>
      <c r="R949" t="s">
        <v>151</v>
      </c>
      <c r="S949" t="s">
        <v>2575</v>
      </c>
      <c r="T949" t="s">
        <v>161</v>
      </c>
      <c r="U949" t="s">
        <v>154</v>
      </c>
      <c r="V949" t="str">
        <f>IFERROR(INDEX(Products!$C:$C,MATCH(D949,Products!$A:$A,0)),"Unknown")</f>
        <v>Men T-Shirts</v>
      </c>
      <c r="W949" t="str">
        <f>IFERROR(INDEX(Products!$E:$E,MATCH(D949,Products!$A:$A,0)),"Unknown")</f>
        <v>Reebok</v>
      </c>
      <c r="X949" t="str">
        <f>IFERROR(INDEX(Stores!$B:$B,MATCH(E949,Stores!$A:$A,0)),"Unknown")</f>
        <v>TrendMart Kollam Flagship</v>
      </c>
      <c r="Y949" t="str">
        <f>IFERROR(INDEX(Stores!$E:$E,MATCH(E949,Stores!$A:$A,0)),"Unknown")</f>
        <v>South Zone 1</v>
      </c>
      <c r="Z949" t="str">
        <f>IFERROR(INDEX(Customers!$J:$J,MATCH(C949,Customers!$A:$A,0)),"Unknown")</f>
        <v>Platinum</v>
      </c>
      <c r="AA949" t="str">
        <f t="shared" si="14"/>
        <v>2025-01</v>
      </c>
      <c r="AB949" t="str">
        <f>IFERROR(INDEX(Products!$I:$I,MATCH(D949,Products!$A:$A,0)),"Unknown")</f>
        <v>SUP073</v>
      </c>
    </row>
    <row r="950" spans="1:28" x14ac:dyDescent="0.25">
      <c r="A950" t="s">
        <v>2576</v>
      </c>
      <c r="B950" s="20">
        <v>45677</v>
      </c>
      <c r="C950" t="s">
        <v>730</v>
      </c>
      <c r="D950" t="s">
        <v>1256</v>
      </c>
      <c r="E950" t="s">
        <v>1017</v>
      </c>
      <c r="F950" t="s">
        <v>292</v>
      </c>
      <c r="G950">
        <v>2</v>
      </c>
      <c r="H950" s="21">
        <v>856.56</v>
      </c>
      <c r="I950">
        <v>5</v>
      </c>
      <c r="J950" s="21">
        <v>85.66</v>
      </c>
      <c r="K950">
        <v>5</v>
      </c>
      <c r="L950" s="21">
        <v>81.37</v>
      </c>
      <c r="M950" s="21">
        <v>1708.83</v>
      </c>
      <c r="N950" s="21">
        <v>1274.54</v>
      </c>
      <c r="O950" s="21">
        <v>352.92</v>
      </c>
      <c r="P950" t="s">
        <v>121</v>
      </c>
      <c r="Q950" t="s">
        <v>120</v>
      </c>
      <c r="R950" t="s">
        <v>151</v>
      </c>
      <c r="S950" t="s">
        <v>1230</v>
      </c>
      <c r="T950" t="s">
        <v>153</v>
      </c>
      <c r="U950" t="s">
        <v>154</v>
      </c>
      <c r="V950" t="str">
        <f>IFERROR(INDEX(Products!$C:$C,MATCH(D950,Products!$A:$A,0)),"Unknown")</f>
        <v>Women Jeans</v>
      </c>
      <c r="W950" t="str">
        <f>IFERROR(INDEX(Products!$E:$E,MATCH(D950,Products!$A:$A,0)),"Unknown")</f>
        <v>Biba</v>
      </c>
      <c r="X950" t="str">
        <f>IFERROR(INDEX(Stores!$B:$B,MATCH(E950,Stores!$A:$A,0)),"Unknown")</f>
        <v>TrendMart Mangaluru Standard</v>
      </c>
      <c r="Y950" t="str">
        <f>IFERROR(INDEX(Stores!$E:$E,MATCH(E950,Stores!$A:$A,0)),"Unknown")</f>
        <v>South Zone 2</v>
      </c>
      <c r="Z950" t="str">
        <f>IFERROR(INDEX(Customers!$J:$J,MATCH(C950,Customers!$A:$A,0)),"Unknown")</f>
        <v>Gold</v>
      </c>
      <c r="AA950" t="str">
        <f t="shared" si="14"/>
        <v>2025-01</v>
      </c>
      <c r="AB950" t="str">
        <f>IFERROR(INDEX(Products!$I:$I,MATCH(D950,Products!$A:$A,0)),"Unknown")</f>
        <v>SUP040</v>
      </c>
    </row>
    <row r="951" spans="1:28" x14ac:dyDescent="0.25">
      <c r="A951" t="s">
        <v>2577</v>
      </c>
      <c r="B951" s="20">
        <v>45580</v>
      </c>
      <c r="C951" t="s">
        <v>2204</v>
      </c>
      <c r="D951" t="s">
        <v>554</v>
      </c>
      <c r="E951" t="s">
        <v>98</v>
      </c>
      <c r="F951" t="s">
        <v>159</v>
      </c>
      <c r="G951">
        <v>3</v>
      </c>
      <c r="H951" s="21">
        <v>860.55</v>
      </c>
      <c r="I951">
        <v>5</v>
      </c>
      <c r="J951" s="21">
        <v>129.08000000000001</v>
      </c>
      <c r="K951">
        <v>5</v>
      </c>
      <c r="L951" s="21">
        <v>122.63</v>
      </c>
      <c r="M951" s="21">
        <v>2575.1999999999998</v>
      </c>
      <c r="N951" s="21">
        <v>1941.9</v>
      </c>
      <c r="O951" s="21">
        <v>510.67</v>
      </c>
      <c r="P951" t="s">
        <v>126</v>
      </c>
      <c r="Q951" t="s">
        <v>120</v>
      </c>
      <c r="R951" t="s">
        <v>151</v>
      </c>
      <c r="S951" t="s">
        <v>2578</v>
      </c>
      <c r="T951" t="s">
        <v>153</v>
      </c>
      <c r="U951" t="s">
        <v>154</v>
      </c>
      <c r="V951" t="str">
        <f>IFERROR(INDEX(Products!$C:$C,MATCH(D951,Products!$A:$A,0)),"Unknown")</f>
        <v>Women Kurtis</v>
      </c>
      <c r="W951" t="str">
        <f>IFERROR(INDEX(Products!$E:$E,MATCH(D951,Products!$A:$A,0)),"Unknown")</f>
        <v>Fossil</v>
      </c>
      <c r="X951" t="str">
        <f>IFERROR(INDEX(Stores!$B:$B,MATCH(E951,Stores!$A:$A,0)),"Unknown")</f>
        <v>TrendMart Bengaluru Flagship</v>
      </c>
      <c r="Y951" t="str">
        <f>IFERROR(INDEX(Stores!$E:$E,MATCH(E951,Stores!$A:$A,0)),"Unknown")</f>
        <v>South Zone 2</v>
      </c>
      <c r="Z951" t="str">
        <f>IFERROR(INDEX(Customers!$J:$J,MATCH(C951,Customers!$A:$A,0)),"Unknown")</f>
        <v>Silver</v>
      </c>
      <c r="AA951" t="str">
        <f t="shared" si="14"/>
        <v>2024-10</v>
      </c>
      <c r="AB951" t="str">
        <f>IFERROR(INDEX(Products!$I:$I,MATCH(D951,Products!$A:$A,0)),"Unknown")</f>
        <v>SUP018</v>
      </c>
    </row>
    <row r="952" spans="1:28" x14ac:dyDescent="0.25">
      <c r="A952" t="s">
        <v>2579</v>
      </c>
      <c r="B952" s="20">
        <v>45630</v>
      </c>
      <c r="C952" t="s">
        <v>1580</v>
      </c>
      <c r="D952" t="s">
        <v>819</v>
      </c>
      <c r="E952" t="s">
        <v>206</v>
      </c>
      <c r="F952" t="s">
        <v>242</v>
      </c>
      <c r="G952">
        <v>4</v>
      </c>
      <c r="H952" s="21">
        <v>1841.64</v>
      </c>
      <c r="I952">
        <v>10</v>
      </c>
      <c r="J952" s="21">
        <v>736.66</v>
      </c>
      <c r="K952">
        <v>12</v>
      </c>
      <c r="L952" s="21">
        <v>795.59</v>
      </c>
      <c r="M952" s="21">
        <v>7425.49</v>
      </c>
      <c r="N952" s="21">
        <v>4973.4399999999996</v>
      </c>
      <c r="O952" s="21">
        <v>1656.46</v>
      </c>
      <c r="P952" t="s">
        <v>124</v>
      </c>
      <c r="Q952" t="s">
        <v>120</v>
      </c>
      <c r="R952" t="s">
        <v>151</v>
      </c>
      <c r="S952" t="s">
        <v>1485</v>
      </c>
      <c r="T952" t="s">
        <v>153</v>
      </c>
      <c r="U952" t="s">
        <v>154</v>
      </c>
      <c r="V952" t="str">
        <f>IFERROR(INDEX(Products!$C:$C,MATCH(D952,Products!$A:$A,0)),"Unknown")</f>
        <v>Footwear</v>
      </c>
      <c r="W952" t="str">
        <f>IFERROR(INDEX(Products!$E:$E,MATCH(D952,Products!$A:$A,0)),"Unknown")</f>
        <v>Tanishq</v>
      </c>
      <c r="X952" t="str">
        <f>IFERROR(INDEX(Stores!$B:$B,MATCH(E952,Stores!$A:$A,0)),"Unknown")</f>
        <v>TrendMart Nizamabad Outlet</v>
      </c>
      <c r="Y952" t="str">
        <f>IFERROR(INDEX(Stores!$E:$E,MATCH(E952,Stores!$A:$A,0)),"Unknown")</f>
        <v>South Zone 2</v>
      </c>
      <c r="Z952" t="str">
        <f>IFERROR(INDEX(Customers!$J:$J,MATCH(C952,Customers!$A:$A,0)),"Unknown")</f>
        <v>Regular</v>
      </c>
      <c r="AA952" t="str">
        <f t="shared" si="14"/>
        <v>2024-12</v>
      </c>
      <c r="AB952" t="str">
        <f>IFERROR(INDEX(Products!$I:$I,MATCH(D952,Products!$A:$A,0)),"Unknown")</f>
        <v>SUP082</v>
      </c>
    </row>
    <row r="953" spans="1:28" x14ac:dyDescent="0.25">
      <c r="A953" t="s">
        <v>2580</v>
      </c>
      <c r="B953" s="20">
        <v>45635</v>
      </c>
      <c r="C953" t="s">
        <v>665</v>
      </c>
      <c r="D953" t="s">
        <v>1026</v>
      </c>
      <c r="E953" t="s">
        <v>906</v>
      </c>
      <c r="F953" t="s">
        <v>618</v>
      </c>
      <c r="G953">
        <v>2</v>
      </c>
      <c r="H953" s="21">
        <v>1389.18</v>
      </c>
      <c r="I953">
        <v>30</v>
      </c>
      <c r="J953" s="21">
        <v>833.51</v>
      </c>
      <c r="K953">
        <v>12</v>
      </c>
      <c r="L953" s="21">
        <v>233.38</v>
      </c>
      <c r="M953" s="21">
        <v>2178.23</v>
      </c>
      <c r="N953" s="21">
        <v>1924.34</v>
      </c>
      <c r="O953" s="21">
        <v>20.51</v>
      </c>
      <c r="P953" t="s">
        <v>125</v>
      </c>
      <c r="Q953" t="s">
        <v>120</v>
      </c>
      <c r="R953" t="s">
        <v>151</v>
      </c>
      <c r="S953" t="s">
        <v>2581</v>
      </c>
      <c r="T953" t="s">
        <v>153</v>
      </c>
      <c r="U953" t="s">
        <v>154</v>
      </c>
      <c r="V953" t="str">
        <f>IFERROR(INDEX(Products!$C:$C,MATCH(D953,Products!$A:$A,0)),"Unknown")</f>
        <v>Women Sarees</v>
      </c>
      <c r="W953" t="str">
        <f>IFERROR(INDEX(Products!$E:$E,MATCH(D953,Products!$A:$A,0)),"Unknown")</f>
        <v>Spykar</v>
      </c>
      <c r="X953" t="str">
        <f>IFERROR(INDEX(Stores!$B:$B,MATCH(E953,Stores!$A:$A,0)),"Unknown")</f>
        <v>TrendMart Vijayawada Standard</v>
      </c>
      <c r="Y953" t="str">
        <f>IFERROR(INDEX(Stores!$E:$E,MATCH(E953,Stores!$A:$A,0)),"Unknown")</f>
        <v>South Zone 3</v>
      </c>
      <c r="Z953" t="str">
        <f>IFERROR(INDEX(Customers!$J:$J,MATCH(C953,Customers!$A:$A,0)),"Unknown")</f>
        <v>Gold</v>
      </c>
      <c r="AA953" t="str">
        <f t="shared" si="14"/>
        <v>2024-12</v>
      </c>
      <c r="AB953" t="str">
        <f>IFERROR(INDEX(Products!$I:$I,MATCH(D953,Products!$A:$A,0)),"Unknown")</f>
        <v>SUP001</v>
      </c>
    </row>
    <row r="954" spans="1:28" x14ac:dyDescent="0.25">
      <c r="A954" t="s">
        <v>2582</v>
      </c>
      <c r="B954" s="20">
        <v>45746</v>
      </c>
      <c r="C954" t="s">
        <v>2583</v>
      </c>
      <c r="D954" t="s">
        <v>1186</v>
      </c>
      <c r="E954" t="s">
        <v>194</v>
      </c>
      <c r="F954" t="s">
        <v>263</v>
      </c>
      <c r="G954">
        <v>2</v>
      </c>
      <c r="H954" s="21">
        <v>1167.32</v>
      </c>
      <c r="I954">
        <v>10</v>
      </c>
      <c r="J954" s="21">
        <v>233.46</v>
      </c>
      <c r="K954">
        <v>12</v>
      </c>
      <c r="L954" s="21">
        <v>252.14</v>
      </c>
      <c r="M954" s="21">
        <v>2353.3200000000002</v>
      </c>
      <c r="N954" s="21">
        <v>1630.9</v>
      </c>
      <c r="O954" s="21">
        <v>470.28</v>
      </c>
      <c r="P954" t="s">
        <v>125</v>
      </c>
      <c r="Q954" t="s">
        <v>120</v>
      </c>
      <c r="R954" t="s">
        <v>151</v>
      </c>
      <c r="S954" t="s">
        <v>2584</v>
      </c>
      <c r="T954" t="s">
        <v>161</v>
      </c>
      <c r="U954" t="s">
        <v>154</v>
      </c>
      <c r="V954" t="str">
        <f>IFERROR(INDEX(Products!$C:$C,MATCH(D954,Products!$A:$A,0)),"Unknown")</f>
        <v>Wallets</v>
      </c>
      <c r="W954" t="str">
        <f>IFERROR(INDEX(Products!$E:$E,MATCH(D954,Products!$A:$A,0)),"Unknown")</f>
        <v>Levi's</v>
      </c>
      <c r="X954" t="str">
        <f>IFERROR(INDEX(Stores!$B:$B,MATCH(E954,Stores!$A:$A,0)),"Unknown")</f>
        <v>TrendMart Tirupati High Street</v>
      </c>
      <c r="Y954" t="str">
        <f>IFERROR(INDEX(Stores!$E:$E,MATCH(E954,Stores!$A:$A,0)),"Unknown")</f>
        <v>South Zone 3</v>
      </c>
      <c r="Z954" t="str">
        <f>IFERROR(INDEX(Customers!$J:$J,MATCH(C954,Customers!$A:$A,0)),"Unknown")</f>
        <v>Silver</v>
      </c>
      <c r="AA954" t="str">
        <f t="shared" si="14"/>
        <v>2025-03</v>
      </c>
      <c r="AB954" t="str">
        <f>IFERROR(INDEX(Products!$I:$I,MATCH(D954,Products!$A:$A,0)),"Unknown")</f>
        <v>SUP045</v>
      </c>
    </row>
    <row r="955" spans="1:28" x14ac:dyDescent="0.25">
      <c r="A955" t="s">
        <v>2585</v>
      </c>
      <c r="B955" s="20">
        <v>45741</v>
      </c>
      <c r="C955" t="s">
        <v>2586</v>
      </c>
      <c r="D955" t="s">
        <v>1321</v>
      </c>
      <c r="E955" t="s">
        <v>296</v>
      </c>
      <c r="F955" t="s">
        <v>281</v>
      </c>
      <c r="G955">
        <v>2</v>
      </c>
      <c r="H955" s="21">
        <v>2315.11</v>
      </c>
      <c r="I955">
        <v>0</v>
      </c>
      <c r="J955" s="21">
        <v>0</v>
      </c>
      <c r="K955">
        <v>12</v>
      </c>
      <c r="L955" s="21">
        <v>555.63</v>
      </c>
      <c r="M955" s="21">
        <v>5185.8500000000004</v>
      </c>
      <c r="N955" s="21">
        <v>3459.44</v>
      </c>
      <c r="O955" s="21">
        <v>1170.78</v>
      </c>
      <c r="P955" t="s">
        <v>121</v>
      </c>
      <c r="Q955" t="s">
        <v>120</v>
      </c>
      <c r="R955" t="s">
        <v>151</v>
      </c>
      <c r="S955" t="s">
        <v>2092</v>
      </c>
      <c r="T955" t="s">
        <v>153</v>
      </c>
      <c r="U955" t="s">
        <v>154</v>
      </c>
      <c r="V955" t="str">
        <f>IFERROR(INDEX(Products!$C:$C,MATCH(D955,Products!$A:$A,0)),"Unknown")</f>
        <v>Men Ethnic</v>
      </c>
      <c r="W955" t="str">
        <f>IFERROR(INDEX(Products!$E:$E,MATCH(D955,Products!$A:$A,0)),"Unknown")</f>
        <v>Nalli Silks</v>
      </c>
      <c r="X955" t="str">
        <f>IFERROR(INDEX(Stores!$B:$B,MATCH(E955,Stores!$A:$A,0)),"Unknown")</f>
        <v>TrendMart Kurnool Outlet</v>
      </c>
      <c r="Y955" t="str">
        <f>IFERROR(INDEX(Stores!$E:$E,MATCH(E955,Stores!$A:$A,0)),"Unknown")</f>
        <v>South Zone 3</v>
      </c>
      <c r="Z955" t="str">
        <f>IFERROR(INDEX(Customers!$J:$J,MATCH(C955,Customers!$A:$A,0)),"Unknown")</f>
        <v>Regular</v>
      </c>
      <c r="AA955" t="str">
        <f t="shared" si="14"/>
        <v>2025-03</v>
      </c>
      <c r="AB955" t="str">
        <f>IFERROR(INDEX(Products!$I:$I,MATCH(D955,Products!$A:$A,0)),"Unknown")</f>
        <v>SUP018</v>
      </c>
    </row>
    <row r="956" spans="1:28" x14ac:dyDescent="0.25">
      <c r="A956" t="s">
        <v>2587</v>
      </c>
      <c r="B956" s="20">
        <v>45399</v>
      </c>
      <c r="C956" t="s">
        <v>2207</v>
      </c>
      <c r="D956" t="s">
        <v>662</v>
      </c>
      <c r="E956" t="s">
        <v>525</v>
      </c>
      <c r="F956" t="s">
        <v>308</v>
      </c>
      <c r="G956">
        <v>4</v>
      </c>
      <c r="H956" s="21">
        <v>539.91999999999996</v>
      </c>
      <c r="I956">
        <v>30</v>
      </c>
      <c r="J956" s="21">
        <v>647.9</v>
      </c>
      <c r="K956">
        <v>5</v>
      </c>
      <c r="L956" s="21">
        <v>75.59</v>
      </c>
      <c r="M956" s="21">
        <v>1587.37</v>
      </c>
      <c r="N956" s="21">
        <v>1199.44</v>
      </c>
      <c r="O956" s="21">
        <v>312.33999999999997</v>
      </c>
      <c r="P956" t="s">
        <v>121</v>
      </c>
      <c r="Q956" t="s">
        <v>120</v>
      </c>
      <c r="R956" t="s">
        <v>151</v>
      </c>
      <c r="S956" t="s">
        <v>2027</v>
      </c>
      <c r="T956" t="s">
        <v>153</v>
      </c>
      <c r="U956" t="s">
        <v>154</v>
      </c>
      <c r="V956" t="str">
        <f>IFERROR(INDEX(Products!$C:$C,MATCH(D956,Products!$A:$A,0)),"Unknown")</f>
        <v>Men T-Shirts</v>
      </c>
      <c r="W956" t="str">
        <f>IFERROR(INDEX(Products!$E:$E,MATCH(D956,Products!$A:$A,0)),"Unknown")</f>
        <v>Global Desi</v>
      </c>
      <c r="X956" t="str">
        <f>IFERROR(INDEX(Stores!$B:$B,MATCH(E956,Stores!$A:$A,0)),"Unknown")</f>
        <v>TrendMart Kollam Standard</v>
      </c>
      <c r="Y956" t="str">
        <f>IFERROR(INDEX(Stores!$E:$E,MATCH(E956,Stores!$A:$A,0)),"Unknown")</f>
        <v>South Zone 1</v>
      </c>
      <c r="Z956" t="str">
        <f>IFERROR(INDEX(Customers!$J:$J,MATCH(C956,Customers!$A:$A,0)),"Unknown")</f>
        <v>Silver</v>
      </c>
      <c r="AA956" t="str">
        <f t="shared" si="14"/>
        <v>2024-04</v>
      </c>
      <c r="AB956" t="str">
        <f>IFERROR(INDEX(Products!$I:$I,MATCH(D956,Products!$A:$A,0)),"Unknown")</f>
        <v>SUP049</v>
      </c>
    </row>
    <row r="957" spans="1:28" x14ac:dyDescent="0.25">
      <c r="A957" t="s">
        <v>2588</v>
      </c>
      <c r="B957" s="20">
        <v>45708</v>
      </c>
      <c r="C957" t="s">
        <v>1418</v>
      </c>
      <c r="D957" t="s">
        <v>1036</v>
      </c>
      <c r="E957" t="s">
        <v>823</v>
      </c>
      <c r="F957" t="s">
        <v>516</v>
      </c>
      <c r="G957">
        <v>1</v>
      </c>
      <c r="H957" s="21">
        <v>874.18</v>
      </c>
      <c r="I957">
        <v>10</v>
      </c>
      <c r="J957" s="21">
        <v>87.42</v>
      </c>
      <c r="K957">
        <v>5</v>
      </c>
      <c r="L957" s="21">
        <v>39.340000000000003</v>
      </c>
      <c r="M957" s="21">
        <v>826.1</v>
      </c>
      <c r="N957" s="21">
        <v>590.02</v>
      </c>
      <c r="O957" s="21">
        <v>196.74</v>
      </c>
      <c r="P957" t="s">
        <v>123</v>
      </c>
      <c r="Q957" t="s">
        <v>120</v>
      </c>
      <c r="R957" t="s">
        <v>151</v>
      </c>
      <c r="S957" t="s">
        <v>2226</v>
      </c>
      <c r="T957" t="s">
        <v>153</v>
      </c>
      <c r="U957" t="s">
        <v>154</v>
      </c>
      <c r="V957" t="str">
        <f>IFERROR(INDEX(Products!$C:$C,MATCH(D957,Products!$A:$A,0)),"Unknown")</f>
        <v>Belts</v>
      </c>
      <c r="W957" t="str">
        <f>IFERROR(INDEX(Products!$E:$E,MATCH(D957,Products!$A:$A,0)),"Unknown")</f>
        <v>Skechers</v>
      </c>
      <c r="X957" t="str">
        <f>IFERROR(INDEX(Stores!$B:$B,MATCH(E957,Stores!$A:$A,0)),"Unknown")</f>
        <v>TrendMart Thoothukudi Mall Kiosk</v>
      </c>
      <c r="Y957" t="str">
        <f>IFERROR(INDEX(Stores!$E:$E,MATCH(E957,Stores!$A:$A,0)),"Unknown")</f>
        <v>South Zone 1</v>
      </c>
      <c r="Z957" t="str">
        <f>IFERROR(INDEX(Customers!$J:$J,MATCH(C957,Customers!$A:$A,0)),"Unknown")</f>
        <v>Regular</v>
      </c>
      <c r="AA957" t="str">
        <f t="shared" si="14"/>
        <v>2025-02</v>
      </c>
      <c r="AB957" t="str">
        <f>IFERROR(INDEX(Products!$I:$I,MATCH(D957,Products!$A:$A,0)),"Unknown")</f>
        <v>SUP085</v>
      </c>
    </row>
    <row r="958" spans="1:28" x14ac:dyDescent="0.25">
      <c r="A958" t="s">
        <v>2589</v>
      </c>
      <c r="B958" s="20">
        <v>45403</v>
      </c>
      <c r="C958" t="s">
        <v>1793</v>
      </c>
      <c r="D958" t="s">
        <v>689</v>
      </c>
      <c r="E958" t="s">
        <v>98</v>
      </c>
      <c r="F958" t="s">
        <v>462</v>
      </c>
      <c r="G958">
        <v>3</v>
      </c>
      <c r="H958" s="21">
        <v>855.12</v>
      </c>
      <c r="I958">
        <v>25</v>
      </c>
      <c r="J958" s="21">
        <v>641.34</v>
      </c>
      <c r="K958">
        <v>5</v>
      </c>
      <c r="L958" s="21">
        <v>96.2</v>
      </c>
      <c r="M958" s="21">
        <v>2020.22</v>
      </c>
      <c r="N958" s="21">
        <v>1774.14</v>
      </c>
      <c r="O958" s="21">
        <v>149.88</v>
      </c>
      <c r="P958" t="s">
        <v>123</v>
      </c>
      <c r="Q958" t="s">
        <v>120</v>
      </c>
      <c r="R958" t="s">
        <v>151</v>
      </c>
      <c r="S958" t="s">
        <v>1443</v>
      </c>
      <c r="T958" t="s">
        <v>161</v>
      </c>
      <c r="U958" t="s">
        <v>154</v>
      </c>
      <c r="V958" t="str">
        <f>IFERROR(INDEX(Products!$C:$C,MATCH(D958,Products!$A:$A,0)),"Unknown")</f>
        <v>Kids Wear</v>
      </c>
      <c r="W958" t="str">
        <f>IFERROR(INDEX(Products!$E:$E,MATCH(D958,Products!$A:$A,0)),"Unknown")</f>
        <v>Libas</v>
      </c>
      <c r="X958" t="str">
        <f>IFERROR(INDEX(Stores!$B:$B,MATCH(E958,Stores!$A:$A,0)),"Unknown")</f>
        <v>TrendMart Bengaluru Flagship</v>
      </c>
      <c r="Y958" t="str">
        <f>IFERROR(INDEX(Stores!$E:$E,MATCH(E958,Stores!$A:$A,0)),"Unknown")</f>
        <v>South Zone 2</v>
      </c>
      <c r="Z958" t="str">
        <f>IFERROR(INDEX(Customers!$J:$J,MATCH(C958,Customers!$A:$A,0)),"Unknown")</f>
        <v>Gold</v>
      </c>
      <c r="AA958" t="str">
        <f t="shared" si="14"/>
        <v>2024-04</v>
      </c>
      <c r="AB958" t="str">
        <f>IFERROR(INDEX(Products!$I:$I,MATCH(D958,Products!$A:$A,0)),"Unknown")</f>
        <v>SUP031</v>
      </c>
    </row>
    <row r="959" spans="1:28" x14ac:dyDescent="0.25">
      <c r="A959" t="s">
        <v>2590</v>
      </c>
      <c r="B959" s="20">
        <v>45568</v>
      </c>
      <c r="C959" t="s">
        <v>1067</v>
      </c>
      <c r="D959" t="s">
        <v>827</v>
      </c>
      <c r="E959" t="s">
        <v>93</v>
      </c>
      <c r="F959" t="s">
        <v>221</v>
      </c>
      <c r="G959">
        <v>4</v>
      </c>
      <c r="H959" s="21">
        <v>822.74</v>
      </c>
      <c r="I959">
        <v>30</v>
      </c>
      <c r="J959" s="21">
        <v>987.29</v>
      </c>
      <c r="K959">
        <v>5</v>
      </c>
      <c r="L959" s="21">
        <v>115.18</v>
      </c>
      <c r="M959" s="21">
        <v>2418.85</v>
      </c>
      <c r="N959" s="21">
        <v>2237</v>
      </c>
      <c r="O959" s="21">
        <v>66.67</v>
      </c>
      <c r="P959" t="s">
        <v>121</v>
      </c>
      <c r="Q959" t="s">
        <v>120</v>
      </c>
      <c r="R959" t="s">
        <v>151</v>
      </c>
      <c r="S959" t="s">
        <v>626</v>
      </c>
      <c r="T959" t="s">
        <v>153</v>
      </c>
      <c r="U959" t="s">
        <v>154</v>
      </c>
      <c r="V959" t="str">
        <f>IFERROR(INDEX(Products!$C:$C,MATCH(D959,Products!$A:$A,0)),"Unknown")</f>
        <v>Sportswear</v>
      </c>
      <c r="W959" t="str">
        <f>IFERROR(INDEX(Products!$E:$E,MATCH(D959,Products!$A:$A,0)),"Unknown")</f>
        <v>Max Fashion</v>
      </c>
      <c r="X959" t="str">
        <f>IFERROR(INDEX(Stores!$B:$B,MATCH(E959,Stores!$A:$A,0)),"Unknown")</f>
        <v>TrendMart Thiruvananthapuram High Street</v>
      </c>
      <c r="Y959" t="str">
        <f>IFERROR(INDEX(Stores!$E:$E,MATCH(E959,Stores!$A:$A,0)),"Unknown")</f>
        <v>South Zone 1</v>
      </c>
      <c r="Z959" t="str">
        <f>IFERROR(INDEX(Customers!$J:$J,MATCH(C959,Customers!$A:$A,0)),"Unknown")</f>
        <v>Gold</v>
      </c>
      <c r="AA959" t="str">
        <f t="shared" si="14"/>
        <v>2024-10</v>
      </c>
      <c r="AB959" t="str">
        <f>IFERROR(INDEX(Products!$I:$I,MATCH(D959,Products!$A:$A,0)),"Unknown")</f>
        <v>SUP043</v>
      </c>
    </row>
    <row r="960" spans="1:28" x14ac:dyDescent="0.25">
      <c r="A960" t="s">
        <v>2591</v>
      </c>
      <c r="B960" s="20">
        <v>45535</v>
      </c>
      <c r="C960" t="s">
        <v>1919</v>
      </c>
      <c r="D960" t="s">
        <v>376</v>
      </c>
      <c r="E960" t="s">
        <v>241</v>
      </c>
      <c r="F960" t="s">
        <v>303</v>
      </c>
      <c r="G960">
        <v>3</v>
      </c>
      <c r="H960" s="21">
        <v>1529.12</v>
      </c>
      <c r="I960">
        <v>20</v>
      </c>
      <c r="J960" s="21">
        <v>917.47</v>
      </c>
      <c r="K960">
        <v>12</v>
      </c>
      <c r="L960" s="21">
        <v>440.39</v>
      </c>
      <c r="M960" s="21">
        <v>4110.28</v>
      </c>
      <c r="N960" s="21">
        <v>3075.72</v>
      </c>
      <c r="O960" s="21">
        <v>594.16999999999996</v>
      </c>
      <c r="P960" t="s">
        <v>124</v>
      </c>
      <c r="Q960" t="s">
        <v>122</v>
      </c>
      <c r="R960" t="s">
        <v>151</v>
      </c>
      <c r="S960" t="s">
        <v>1225</v>
      </c>
      <c r="T960" t="s">
        <v>161</v>
      </c>
      <c r="U960" t="s">
        <v>154</v>
      </c>
      <c r="V960" t="str">
        <f>IFERROR(INDEX(Products!$C:$C,MATCH(D960,Products!$A:$A,0)),"Unknown")</f>
        <v>Women Jeans</v>
      </c>
      <c r="W960" t="str">
        <f>IFERROR(INDEX(Products!$E:$E,MATCH(D960,Products!$A:$A,0)),"Unknown")</f>
        <v>Pothys</v>
      </c>
      <c r="X960" t="str">
        <f>IFERROR(INDEX(Stores!$B:$B,MATCH(E960,Stores!$A:$A,0)),"Unknown")</f>
        <v>TrendMart Nizamabad Mall Kiosk</v>
      </c>
      <c r="Y960" t="str">
        <f>IFERROR(INDEX(Stores!$E:$E,MATCH(E960,Stores!$A:$A,0)),"Unknown")</f>
        <v>South Zone 2</v>
      </c>
      <c r="Z960" t="str">
        <f>IFERROR(INDEX(Customers!$J:$J,MATCH(C960,Customers!$A:$A,0)),"Unknown")</f>
        <v>Silver</v>
      </c>
      <c r="AA960" t="str">
        <f t="shared" si="14"/>
        <v>2024-08</v>
      </c>
      <c r="AB960" t="str">
        <f>IFERROR(INDEX(Products!$I:$I,MATCH(D960,Products!$A:$A,0)),"Unknown")</f>
        <v>SUP015</v>
      </c>
    </row>
    <row r="961" spans="1:28" x14ac:dyDescent="0.25">
      <c r="A961" t="s">
        <v>2592</v>
      </c>
      <c r="B961" s="20">
        <v>45384</v>
      </c>
      <c r="C961" t="s">
        <v>2029</v>
      </c>
      <c r="D961" t="s">
        <v>524</v>
      </c>
      <c r="E961" t="s">
        <v>368</v>
      </c>
      <c r="F961" t="s">
        <v>170</v>
      </c>
      <c r="G961">
        <v>1</v>
      </c>
      <c r="H961" s="21">
        <v>697.58</v>
      </c>
      <c r="I961">
        <v>25</v>
      </c>
      <c r="J961" s="21">
        <v>174.4</v>
      </c>
      <c r="K961">
        <v>5</v>
      </c>
      <c r="L961" s="21">
        <v>26.16</v>
      </c>
      <c r="M961" s="21">
        <v>549.34</v>
      </c>
      <c r="N961" s="21">
        <v>547.66999999999996</v>
      </c>
      <c r="O961" s="21">
        <v>-24.49</v>
      </c>
      <c r="P961" t="s">
        <v>126</v>
      </c>
      <c r="Q961" t="s">
        <v>120</v>
      </c>
      <c r="R961" t="s">
        <v>313</v>
      </c>
      <c r="S961" t="s">
        <v>1391</v>
      </c>
      <c r="T961" t="s">
        <v>153</v>
      </c>
      <c r="U961" t="s">
        <v>184</v>
      </c>
      <c r="V961" t="str">
        <f>IFERROR(INDEX(Products!$C:$C,MATCH(D961,Products!$A:$A,0)),"Unknown")</f>
        <v>Women Tops</v>
      </c>
      <c r="W961" t="str">
        <f>IFERROR(INDEX(Products!$E:$E,MATCH(D961,Products!$A:$A,0)),"Unknown")</f>
        <v>Indian Terrain</v>
      </c>
      <c r="X961" t="str">
        <f>IFERROR(INDEX(Stores!$B:$B,MATCH(E961,Stores!$A:$A,0)),"Unknown")</f>
        <v>TrendMart Alappuzha Outlet</v>
      </c>
      <c r="Y961" t="str">
        <f>IFERROR(INDEX(Stores!$E:$E,MATCH(E961,Stores!$A:$A,0)),"Unknown")</f>
        <v>South Zone 1</v>
      </c>
      <c r="Z961" t="str">
        <f>IFERROR(INDEX(Customers!$J:$J,MATCH(C961,Customers!$A:$A,0)),"Unknown")</f>
        <v>Regular</v>
      </c>
      <c r="AA961" t="str">
        <f t="shared" si="14"/>
        <v>2024-04</v>
      </c>
      <c r="AB961" t="str">
        <f>IFERROR(INDEX(Products!$I:$I,MATCH(D961,Products!$A:$A,0)),"Unknown")</f>
        <v>SUP062</v>
      </c>
    </row>
    <row r="962" spans="1:28" x14ac:dyDescent="0.25">
      <c r="A962" t="s">
        <v>2593</v>
      </c>
      <c r="B962" s="20">
        <v>45625</v>
      </c>
      <c r="C962" t="s">
        <v>1094</v>
      </c>
      <c r="D962" t="s">
        <v>697</v>
      </c>
      <c r="E962" t="s">
        <v>1962</v>
      </c>
      <c r="F962" t="s">
        <v>308</v>
      </c>
      <c r="G962">
        <v>2</v>
      </c>
      <c r="H962" s="21">
        <v>1093.4100000000001</v>
      </c>
      <c r="I962">
        <v>10</v>
      </c>
      <c r="J962" s="21">
        <v>218.68</v>
      </c>
      <c r="K962">
        <v>12</v>
      </c>
      <c r="L962" s="21">
        <v>236.18</v>
      </c>
      <c r="M962" s="21">
        <v>2204.3200000000002</v>
      </c>
      <c r="N962" s="21">
        <v>1399.68</v>
      </c>
      <c r="O962" s="21">
        <v>568.46</v>
      </c>
      <c r="P962" t="s">
        <v>125</v>
      </c>
      <c r="Q962" t="s">
        <v>122</v>
      </c>
      <c r="R962" t="s">
        <v>151</v>
      </c>
      <c r="S962" t="s">
        <v>1275</v>
      </c>
      <c r="T962" t="s">
        <v>153</v>
      </c>
      <c r="U962" t="s">
        <v>154</v>
      </c>
      <c r="V962" t="str">
        <f>IFERROR(INDEX(Products!$C:$C,MATCH(D962,Products!$A:$A,0)),"Unknown")</f>
        <v>Women Tops</v>
      </c>
      <c r="W962" t="str">
        <f>IFERROR(INDEX(Products!$E:$E,MATCH(D962,Products!$A:$A,0)),"Unknown")</f>
        <v>Nalli Silks</v>
      </c>
      <c r="X962" t="str">
        <f>IFERROR(INDEX(Stores!$B:$B,MATCH(E962,Stores!$A:$A,0)),"Unknown")</f>
        <v>TrendMart Guntur High Street</v>
      </c>
      <c r="Y962" t="str">
        <f>IFERROR(INDEX(Stores!$E:$E,MATCH(E962,Stores!$A:$A,0)),"Unknown")</f>
        <v>South Zone 3</v>
      </c>
      <c r="Z962" t="str">
        <f>IFERROR(INDEX(Customers!$J:$J,MATCH(C962,Customers!$A:$A,0)),"Unknown")</f>
        <v>Silver</v>
      </c>
      <c r="AA962" t="str">
        <f t="shared" ref="AA962:AA1025" si="15">TEXT(B962,"YYYY-MM")</f>
        <v>2024-11</v>
      </c>
      <c r="AB962" t="str">
        <f>IFERROR(INDEX(Products!$I:$I,MATCH(D962,Products!$A:$A,0)),"Unknown")</f>
        <v>SUP008</v>
      </c>
    </row>
    <row r="963" spans="1:28" x14ac:dyDescent="0.25">
      <c r="A963" t="s">
        <v>2594</v>
      </c>
      <c r="B963" s="20">
        <v>45598</v>
      </c>
      <c r="C963" t="s">
        <v>2595</v>
      </c>
      <c r="D963" t="s">
        <v>1312</v>
      </c>
      <c r="E963" t="s">
        <v>1512</v>
      </c>
      <c r="F963" t="s">
        <v>275</v>
      </c>
      <c r="G963">
        <v>1</v>
      </c>
      <c r="H963" s="21">
        <v>1000.46</v>
      </c>
      <c r="I963">
        <v>10</v>
      </c>
      <c r="J963" s="21">
        <v>100.05</v>
      </c>
      <c r="K963">
        <v>12</v>
      </c>
      <c r="L963" s="21">
        <v>108.05</v>
      </c>
      <c r="M963" s="21">
        <v>1008.46</v>
      </c>
      <c r="N963" s="21">
        <v>767.11</v>
      </c>
      <c r="O963" s="21">
        <v>133.30000000000001</v>
      </c>
      <c r="P963" t="s">
        <v>124</v>
      </c>
      <c r="Q963" t="s">
        <v>120</v>
      </c>
      <c r="R963" t="s">
        <v>151</v>
      </c>
      <c r="S963" t="s">
        <v>845</v>
      </c>
      <c r="T963" t="s">
        <v>161</v>
      </c>
      <c r="U963" t="s">
        <v>154</v>
      </c>
      <c r="V963" t="str">
        <f>IFERROR(INDEX(Products!$C:$C,MATCH(D963,Products!$A:$A,0)),"Unknown")</f>
        <v>Women Kurtis</v>
      </c>
      <c r="W963" t="str">
        <f>IFERROR(INDEX(Products!$E:$E,MATCH(D963,Products!$A:$A,0)),"Unknown")</f>
        <v>Louis Philippe</v>
      </c>
      <c r="X963" t="str">
        <f>IFERROR(INDEX(Stores!$B:$B,MATCH(E963,Stores!$A:$A,0)),"Unknown")</f>
        <v>TrendMart Erode Mall Kiosk</v>
      </c>
      <c r="Y963" t="str">
        <f>IFERROR(INDEX(Stores!$E:$E,MATCH(E963,Stores!$A:$A,0)),"Unknown")</f>
        <v>South Zone 1</v>
      </c>
      <c r="Z963" t="str">
        <f>IFERROR(INDEX(Customers!$J:$J,MATCH(C963,Customers!$A:$A,0)),"Unknown")</f>
        <v>Gold</v>
      </c>
      <c r="AA963" t="str">
        <f t="shared" si="15"/>
        <v>2024-11</v>
      </c>
      <c r="AB963" t="str">
        <f>IFERROR(INDEX(Products!$I:$I,MATCH(D963,Products!$A:$A,0)),"Unknown")</f>
        <v>SUP010</v>
      </c>
    </row>
    <row r="964" spans="1:28" x14ac:dyDescent="0.25">
      <c r="A964" t="s">
        <v>2596</v>
      </c>
      <c r="B964" s="20">
        <v>45617</v>
      </c>
      <c r="C964" t="s">
        <v>1097</v>
      </c>
      <c r="D964" t="s">
        <v>2597</v>
      </c>
      <c r="E964" t="s">
        <v>84</v>
      </c>
      <c r="F964" t="s">
        <v>195</v>
      </c>
      <c r="G964">
        <v>2</v>
      </c>
      <c r="H964" s="21">
        <v>800.48</v>
      </c>
      <c r="I964">
        <v>10</v>
      </c>
      <c r="J964" s="21">
        <v>160.1</v>
      </c>
      <c r="K964">
        <v>5</v>
      </c>
      <c r="L964" s="21">
        <v>72.040000000000006</v>
      </c>
      <c r="M964" s="21">
        <v>1512.9</v>
      </c>
      <c r="N964" s="21">
        <v>1151.44</v>
      </c>
      <c r="O964" s="21">
        <v>289.42</v>
      </c>
      <c r="P964" t="s">
        <v>124</v>
      </c>
      <c r="Q964" t="s">
        <v>120</v>
      </c>
      <c r="R964" t="s">
        <v>313</v>
      </c>
      <c r="S964" t="s">
        <v>849</v>
      </c>
      <c r="T964" t="s">
        <v>153</v>
      </c>
      <c r="U964" t="s">
        <v>154</v>
      </c>
      <c r="V964" t="str">
        <f>IFERROR(INDEX(Products!$C:$C,MATCH(D964,Products!$A:$A,0)),"Unknown")</f>
        <v>Men Trousers</v>
      </c>
      <c r="W964" t="str">
        <f>IFERROR(INDEX(Products!$E:$E,MATCH(D964,Products!$A:$A,0)),"Unknown")</f>
        <v>Peter England</v>
      </c>
      <c r="X964" t="str">
        <f>IFERROR(INDEX(Stores!$B:$B,MATCH(E964,Stores!$A:$A,0)),"Unknown")</f>
        <v>TrendMart Tirupati Standard</v>
      </c>
      <c r="Y964" t="str">
        <f>IFERROR(INDEX(Stores!$E:$E,MATCH(E964,Stores!$A:$A,0)),"Unknown")</f>
        <v>South Zone 3</v>
      </c>
      <c r="Z964" t="str">
        <f>IFERROR(INDEX(Customers!$J:$J,MATCH(C964,Customers!$A:$A,0)),"Unknown")</f>
        <v>Regular</v>
      </c>
      <c r="AA964" t="str">
        <f t="shared" si="15"/>
        <v>2024-11</v>
      </c>
      <c r="AB964" t="str">
        <f>IFERROR(INDEX(Products!$I:$I,MATCH(D964,Products!$A:$A,0)),"Unknown")</f>
        <v>SUP008</v>
      </c>
    </row>
    <row r="965" spans="1:28" x14ac:dyDescent="0.25">
      <c r="A965" t="s">
        <v>2598</v>
      </c>
      <c r="B965" s="20">
        <v>45500</v>
      </c>
      <c r="C965" t="s">
        <v>2599</v>
      </c>
      <c r="D965" t="s">
        <v>376</v>
      </c>
      <c r="E965" t="s">
        <v>521</v>
      </c>
      <c r="F965" t="s">
        <v>303</v>
      </c>
      <c r="G965">
        <v>2</v>
      </c>
      <c r="H965" s="21">
        <v>1428.9</v>
      </c>
      <c r="I965">
        <v>20</v>
      </c>
      <c r="J965" s="21">
        <v>571.55999999999995</v>
      </c>
      <c r="K965">
        <v>12</v>
      </c>
      <c r="L965" s="21">
        <v>274.35000000000002</v>
      </c>
      <c r="M965" s="21">
        <v>2560.59</v>
      </c>
      <c r="N965" s="21">
        <v>2050.48</v>
      </c>
      <c r="O965" s="21">
        <v>235.76</v>
      </c>
      <c r="P965" t="s">
        <v>127</v>
      </c>
      <c r="Q965" t="s">
        <v>120</v>
      </c>
      <c r="R965" t="s">
        <v>151</v>
      </c>
      <c r="S965" t="s">
        <v>1363</v>
      </c>
      <c r="T965" t="s">
        <v>161</v>
      </c>
      <c r="U965" t="s">
        <v>154</v>
      </c>
      <c r="V965" t="str">
        <f>IFERROR(INDEX(Products!$C:$C,MATCH(D965,Products!$A:$A,0)),"Unknown")</f>
        <v>Women Jeans</v>
      </c>
      <c r="W965" t="str">
        <f>IFERROR(INDEX(Products!$E:$E,MATCH(D965,Products!$A:$A,0)),"Unknown")</f>
        <v>Pothys</v>
      </c>
      <c r="X965" t="str">
        <f>IFERROR(INDEX(Stores!$B:$B,MATCH(E965,Stores!$A:$A,0)),"Unknown")</f>
        <v>TrendMart Tirupati Standard</v>
      </c>
      <c r="Y965" t="str">
        <f>IFERROR(INDEX(Stores!$E:$E,MATCH(E965,Stores!$A:$A,0)),"Unknown")</f>
        <v>South Zone 3</v>
      </c>
      <c r="Z965" t="str">
        <f>IFERROR(INDEX(Customers!$J:$J,MATCH(C965,Customers!$A:$A,0)),"Unknown")</f>
        <v>Regular</v>
      </c>
      <c r="AA965" t="str">
        <f t="shared" si="15"/>
        <v>2024-07</v>
      </c>
      <c r="AB965" t="str">
        <f>IFERROR(INDEX(Products!$I:$I,MATCH(D965,Products!$A:$A,0)),"Unknown")</f>
        <v>SUP015</v>
      </c>
    </row>
    <row r="966" spans="1:28" x14ac:dyDescent="0.25">
      <c r="A966" t="s">
        <v>2600</v>
      </c>
      <c r="B966" s="20">
        <v>45541</v>
      </c>
      <c r="C966" t="s">
        <v>2268</v>
      </c>
      <c r="D966" t="s">
        <v>325</v>
      </c>
      <c r="E966" t="s">
        <v>351</v>
      </c>
      <c r="F966" t="s">
        <v>297</v>
      </c>
      <c r="G966">
        <v>2</v>
      </c>
      <c r="H966" s="21">
        <v>1041.98</v>
      </c>
      <c r="I966">
        <v>25</v>
      </c>
      <c r="J966" s="21">
        <v>520.99</v>
      </c>
      <c r="K966">
        <v>12</v>
      </c>
      <c r="L966" s="21">
        <v>187.56</v>
      </c>
      <c r="M966" s="21">
        <v>1750.53</v>
      </c>
      <c r="N966" s="21">
        <v>1518</v>
      </c>
      <c r="O966" s="21">
        <v>44.97</v>
      </c>
      <c r="P966" t="s">
        <v>124</v>
      </c>
      <c r="Q966" t="s">
        <v>120</v>
      </c>
      <c r="R966" t="s">
        <v>151</v>
      </c>
      <c r="S966" t="s">
        <v>635</v>
      </c>
      <c r="T966" t="s">
        <v>153</v>
      </c>
      <c r="U966" t="s">
        <v>154</v>
      </c>
      <c r="V966" t="str">
        <f>IFERROR(INDEX(Products!$C:$C,MATCH(D966,Products!$A:$A,0)),"Unknown")</f>
        <v>Women Jeans</v>
      </c>
      <c r="W966" t="str">
        <f>IFERROR(INDEX(Products!$E:$E,MATCH(D966,Products!$A:$A,0)),"Unknown")</f>
        <v>Nalli Silks</v>
      </c>
      <c r="X966" t="str">
        <f>IFERROR(INDEX(Stores!$B:$B,MATCH(E966,Stores!$A:$A,0)),"Unknown")</f>
        <v>TrendMart Kozhikode High Street</v>
      </c>
      <c r="Y966" t="str">
        <f>IFERROR(INDEX(Stores!$E:$E,MATCH(E966,Stores!$A:$A,0)),"Unknown")</f>
        <v>South Zone 1</v>
      </c>
      <c r="Z966" t="str">
        <f>IFERROR(INDEX(Customers!$J:$J,MATCH(C966,Customers!$A:$A,0)),"Unknown")</f>
        <v>Gold</v>
      </c>
      <c r="AA966" t="str">
        <f t="shared" si="15"/>
        <v>2024-09</v>
      </c>
      <c r="AB966" t="str">
        <f>IFERROR(INDEX(Products!$I:$I,MATCH(D966,Products!$A:$A,0)),"Unknown")</f>
        <v>SUP048</v>
      </c>
    </row>
    <row r="967" spans="1:28" x14ac:dyDescent="0.25">
      <c r="A967" t="s">
        <v>2601</v>
      </c>
      <c r="B967" s="20">
        <v>45597</v>
      </c>
      <c r="C967" t="s">
        <v>2602</v>
      </c>
      <c r="D967" t="s">
        <v>573</v>
      </c>
      <c r="E967" t="s">
        <v>798</v>
      </c>
      <c r="F967" t="s">
        <v>176</v>
      </c>
      <c r="G967">
        <v>3</v>
      </c>
      <c r="H967" s="21">
        <v>1049.42</v>
      </c>
      <c r="I967">
        <v>25</v>
      </c>
      <c r="J967" s="21">
        <v>787.07</v>
      </c>
      <c r="K967">
        <v>12</v>
      </c>
      <c r="L967" s="21">
        <v>283.33999999999997</v>
      </c>
      <c r="M967" s="21">
        <v>2644.53</v>
      </c>
      <c r="N967" s="21">
        <v>2161.59</v>
      </c>
      <c r="O967" s="21">
        <v>199.6</v>
      </c>
      <c r="P967" t="s">
        <v>124</v>
      </c>
      <c r="Q967" t="s">
        <v>120</v>
      </c>
      <c r="R967" t="s">
        <v>151</v>
      </c>
      <c r="S967" t="s">
        <v>2603</v>
      </c>
      <c r="T967" t="s">
        <v>153</v>
      </c>
      <c r="U967" t="s">
        <v>154</v>
      </c>
      <c r="V967" t="str">
        <f>IFERROR(INDEX(Products!$C:$C,MATCH(D967,Products!$A:$A,0)),"Unknown")</f>
        <v>Women Jeans</v>
      </c>
      <c r="W967" t="str">
        <f>IFERROR(INDEX(Products!$E:$E,MATCH(D967,Products!$A:$A,0)),"Unknown")</f>
        <v>Sonata</v>
      </c>
      <c r="X967" t="str">
        <f>IFERROR(INDEX(Stores!$B:$B,MATCH(E967,Stores!$A:$A,0)),"Unknown")</f>
        <v>TrendMart Guntur Standard</v>
      </c>
      <c r="Y967" t="str">
        <f>IFERROR(INDEX(Stores!$E:$E,MATCH(E967,Stores!$A:$A,0)),"Unknown")</f>
        <v>South Zone 3</v>
      </c>
      <c r="Z967" t="str">
        <f>IFERROR(INDEX(Customers!$J:$J,MATCH(C967,Customers!$A:$A,0)),"Unknown")</f>
        <v>Platinum</v>
      </c>
      <c r="AA967" t="str">
        <f t="shared" si="15"/>
        <v>2024-11</v>
      </c>
      <c r="AB967" t="str">
        <f>IFERROR(INDEX(Products!$I:$I,MATCH(D967,Products!$A:$A,0)),"Unknown")</f>
        <v>SUP017</v>
      </c>
    </row>
    <row r="968" spans="1:28" x14ac:dyDescent="0.25">
      <c r="A968" t="s">
        <v>2604</v>
      </c>
      <c r="B968" s="20">
        <v>45704</v>
      </c>
      <c r="C968" t="s">
        <v>2605</v>
      </c>
      <c r="D968" t="s">
        <v>1016</v>
      </c>
      <c r="E968" t="s">
        <v>1281</v>
      </c>
      <c r="F968" t="s">
        <v>308</v>
      </c>
      <c r="G968">
        <v>2</v>
      </c>
      <c r="H968" s="21">
        <v>6002.38</v>
      </c>
      <c r="I968">
        <v>0</v>
      </c>
      <c r="J968" s="21">
        <v>0</v>
      </c>
      <c r="K968">
        <v>12</v>
      </c>
      <c r="L968" s="21">
        <v>1440.57</v>
      </c>
      <c r="M968" s="21">
        <v>13445.33</v>
      </c>
      <c r="N968" s="21">
        <v>7324.74</v>
      </c>
      <c r="O968" s="21">
        <v>4680.0200000000004</v>
      </c>
      <c r="P968" t="s">
        <v>123</v>
      </c>
      <c r="Q968" t="s">
        <v>122</v>
      </c>
      <c r="R968" t="s">
        <v>151</v>
      </c>
      <c r="S968" t="s">
        <v>2606</v>
      </c>
      <c r="T968" t="s">
        <v>161</v>
      </c>
      <c r="U968" t="s">
        <v>154</v>
      </c>
      <c r="V968" t="str">
        <f>IFERROR(INDEX(Products!$C:$C,MATCH(D968,Products!$A:$A,0)),"Unknown")</f>
        <v>Watches</v>
      </c>
      <c r="W968" t="str">
        <f>IFERROR(INDEX(Products!$E:$E,MATCH(D968,Products!$A:$A,0)),"Unknown")</f>
        <v>Pantaloons</v>
      </c>
      <c r="X968" t="str">
        <f>IFERROR(INDEX(Stores!$B:$B,MATCH(E968,Stores!$A:$A,0)),"Unknown")</f>
        <v>TrendMart Visakhapatnam Standard</v>
      </c>
      <c r="Y968" t="str">
        <f>IFERROR(INDEX(Stores!$E:$E,MATCH(E968,Stores!$A:$A,0)),"Unknown")</f>
        <v>South Zone 3</v>
      </c>
      <c r="Z968" t="str">
        <f>IFERROR(INDEX(Customers!$J:$J,MATCH(C968,Customers!$A:$A,0)),"Unknown")</f>
        <v>Gold</v>
      </c>
      <c r="AA968" t="str">
        <f t="shared" si="15"/>
        <v>2025-02</v>
      </c>
      <c r="AB968" t="str">
        <f>IFERROR(INDEX(Products!$I:$I,MATCH(D968,Products!$A:$A,0)),"Unknown")</f>
        <v>SUP007</v>
      </c>
    </row>
    <row r="969" spans="1:28" x14ac:dyDescent="0.25">
      <c r="A969" t="s">
        <v>2607</v>
      </c>
      <c r="B969" s="20">
        <v>45387</v>
      </c>
      <c r="C969" t="s">
        <v>2608</v>
      </c>
      <c r="D969" t="s">
        <v>1687</v>
      </c>
      <c r="E969" t="s">
        <v>1281</v>
      </c>
      <c r="F969" t="s">
        <v>237</v>
      </c>
      <c r="G969">
        <v>1</v>
      </c>
      <c r="H969" s="21">
        <v>867.99</v>
      </c>
      <c r="I969">
        <v>30</v>
      </c>
      <c r="J969" s="21">
        <v>260.39999999999998</v>
      </c>
      <c r="K969">
        <v>5</v>
      </c>
      <c r="L969" s="21">
        <v>30.38</v>
      </c>
      <c r="M969" s="21">
        <v>637.97</v>
      </c>
      <c r="N969" s="21">
        <v>481.3</v>
      </c>
      <c r="O969" s="21">
        <v>126.29</v>
      </c>
      <c r="P969" t="s">
        <v>123</v>
      </c>
      <c r="Q969" t="s">
        <v>120</v>
      </c>
      <c r="R969" t="s">
        <v>151</v>
      </c>
      <c r="S969" t="s">
        <v>1381</v>
      </c>
      <c r="T969" t="s">
        <v>153</v>
      </c>
      <c r="U969" t="s">
        <v>154</v>
      </c>
      <c r="V969" t="str">
        <f>IFERROR(INDEX(Products!$C:$C,MATCH(D969,Products!$A:$A,0)),"Unknown")</f>
        <v>Accessories</v>
      </c>
      <c r="W969" t="str">
        <f>IFERROR(INDEX(Products!$E:$E,MATCH(D969,Products!$A:$A,0)),"Unknown")</f>
        <v>Unknown</v>
      </c>
      <c r="X969" t="str">
        <f>IFERROR(INDEX(Stores!$B:$B,MATCH(E969,Stores!$A:$A,0)),"Unknown")</f>
        <v>TrendMart Visakhapatnam Standard</v>
      </c>
      <c r="Y969" t="str">
        <f>IFERROR(INDEX(Stores!$E:$E,MATCH(E969,Stores!$A:$A,0)),"Unknown")</f>
        <v>South Zone 3</v>
      </c>
      <c r="Z969" t="str">
        <f>IFERROR(INDEX(Customers!$J:$J,MATCH(C969,Customers!$A:$A,0)),"Unknown")</f>
        <v>Gold</v>
      </c>
      <c r="AA969" t="str">
        <f t="shared" si="15"/>
        <v>2024-04</v>
      </c>
      <c r="AB969" t="str">
        <f>IFERROR(INDEX(Products!$I:$I,MATCH(D969,Products!$A:$A,0)),"Unknown")</f>
        <v>SUP023</v>
      </c>
    </row>
    <row r="970" spans="1:28" x14ac:dyDescent="0.25">
      <c r="A970" t="s">
        <v>2609</v>
      </c>
      <c r="B970" s="20">
        <v>45399</v>
      </c>
      <c r="C970" t="s">
        <v>2610</v>
      </c>
      <c r="D970" t="s">
        <v>1816</v>
      </c>
      <c r="E970" t="s">
        <v>87</v>
      </c>
      <c r="F970" t="s">
        <v>201</v>
      </c>
      <c r="G970">
        <v>2</v>
      </c>
      <c r="H970" s="21">
        <v>1280.99</v>
      </c>
      <c r="I970">
        <v>25</v>
      </c>
      <c r="J970" s="21">
        <v>640.5</v>
      </c>
      <c r="K970">
        <v>12</v>
      </c>
      <c r="L970" s="21">
        <v>230.58</v>
      </c>
      <c r="M970" s="21">
        <v>2152.06</v>
      </c>
      <c r="N970" s="21">
        <v>1812.6</v>
      </c>
      <c r="O970" s="21">
        <v>108.88</v>
      </c>
      <c r="P970" t="s">
        <v>125</v>
      </c>
      <c r="Q970" t="s">
        <v>122</v>
      </c>
      <c r="R970" t="s">
        <v>151</v>
      </c>
      <c r="S970" t="s">
        <v>702</v>
      </c>
      <c r="T970" t="s">
        <v>153</v>
      </c>
      <c r="U970" t="s">
        <v>154</v>
      </c>
      <c r="V970" t="str">
        <f>IFERROR(INDEX(Products!$C:$C,MATCH(D970,Products!$A:$A,0)),"Unknown")</f>
        <v>Wallets</v>
      </c>
      <c r="W970" t="str">
        <f>IFERROR(INDEX(Products!$E:$E,MATCH(D970,Products!$A:$A,0)),"Unknown")</f>
        <v>Louis Philippe</v>
      </c>
      <c r="X970" t="str">
        <f>IFERROR(INDEX(Stores!$B:$B,MATCH(E970,Stores!$A:$A,0)),"Unknown")</f>
        <v>TrendMart Thiruvananthapuram Standard</v>
      </c>
      <c r="Y970" t="str">
        <f>IFERROR(INDEX(Stores!$E:$E,MATCH(E970,Stores!$A:$A,0)),"Unknown")</f>
        <v>South Zone 1</v>
      </c>
      <c r="Z970" t="str">
        <f>IFERROR(INDEX(Customers!$J:$J,MATCH(C970,Customers!$A:$A,0)),"Unknown")</f>
        <v>Regular</v>
      </c>
      <c r="AA970" t="str">
        <f t="shared" si="15"/>
        <v>2024-04</v>
      </c>
      <c r="AB970" t="str">
        <f>IFERROR(INDEX(Products!$I:$I,MATCH(D970,Products!$A:$A,0)),"Unknown")</f>
        <v>SUP076</v>
      </c>
    </row>
    <row r="971" spans="1:28" x14ac:dyDescent="0.25">
      <c r="A971" t="s">
        <v>2611</v>
      </c>
      <c r="B971" s="20">
        <v>45595</v>
      </c>
      <c r="C971" t="s">
        <v>1008</v>
      </c>
      <c r="D971" t="s">
        <v>670</v>
      </c>
      <c r="E971" t="s">
        <v>613</v>
      </c>
      <c r="F971" t="s">
        <v>281</v>
      </c>
      <c r="G971">
        <v>1</v>
      </c>
      <c r="H971" s="21">
        <v>1993.14</v>
      </c>
      <c r="I971">
        <v>10</v>
      </c>
      <c r="J971" s="21">
        <v>199.31</v>
      </c>
      <c r="K971">
        <v>12</v>
      </c>
      <c r="L971" s="21">
        <v>215.26</v>
      </c>
      <c r="M971" s="21">
        <v>2009.09</v>
      </c>
      <c r="N971" s="21">
        <v>1378.38</v>
      </c>
      <c r="O971" s="21">
        <v>415.45</v>
      </c>
      <c r="P971" t="s">
        <v>123</v>
      </c>
      <c r="Q971" t="s">
        <v>120</v>
      </c>
      <c r="R971" t="s">
        <v>151</v>
      </c>
      <c r="S971" t="s">
        <v>2612</v>
      </c>
      <c r="T971" t="s">
        <v>153</v>
      </c>
      <c r="U971" t="s">
        <v>154</v>
      </c>
      <c r="V971" t="str">
        <f>IFERROR(INDEX(Products!$C:$C,MATCH(D971,Products!$A:$A,0)),"Unknown")</f>
        <v>Women Sarees</v>
      </c>
      <c r="W971" t="str">
        <f>IFERROR(INDEX(Products!$E:$E,MATCH(D971,Products!$A:$A,0)),"Unknown")</f>
        <v>Reebok</v>
      </c>
      <c r="X971" t="str">
        <f>IFERROR(INDEX(Stores!$B:$B,MATCH(E971,Stores!$A:$A,0)),"Unknown")</f>
        <v>TrendMart Kochi Mall Kiosk</v>
      </c>
      <c r="Y971" t="str">
        <f>IFERROR(INDEX(Stores!$E:$E,MATCH(E971,Stores!$A:$A,0)),"Unknown")</f>
        <v>South Zone 1</v>
      </c>
      <c r="Z971" t="str">
        <f>IFERROR(INDEX(Customers!$J:$J,MATCH(C971,Customers!$A:$A,0)),"Unknown")</f>
        <v>Regular</v>
      </c>
      <c r="AA971" t="str">
        <f t="shared" si="15"/>
        <v>2024-10</v>
      </c>
      <c r="AB971" t="str">
        <f>IFERROR(INDEX(Products!$I:$I,MATCH(D971,Products!$A:$A,0)),"Unknown")</f>
        <v>SUP073</v>
      </c>
    </row>
    <row r="972" spans="1:28" x14ac:dyDescent="0.25">
      <c r="A972" t="s">
        <v>2613</v>
      </c>
      <c r="B972" s="20">
        <v>45560</v>
      </c>
      <c r="C972" t="s">
        <v>2614</v>
      </c>
      <c r="D972" t="s">
        <v>210</v>
      </c>
      <c r="E972" t="s">
        <v>745</v>
      </c>
      <c r="F972" t="s">
        <v>165</v>
      </c>
      <c r="G972">
        <v>4</v>
      </c>
      <c r="H972" s="21">
        <v>1760.47</v>
      </c>
      <c r="I972">
        <v>15</v>
      </c>
      <c r="J972" s="21">
        <v>1056.28</v>
      </c>
      <c r="K972">
        <v>12</v>
      </c>
      <c r="L972" s="21">
        <v>718.27</v>
      </c>
      <c r="M972" s="21">
        <v>6703.87</v>
      </c>
      <c r="N972" s="21">
        <v>5599.4</v>
      </c>
      <c r="O972" s="21">
        <v>386.2</v>
      </c>
      <c r="P972" t="s">
        <v>126</v>
      </c>
      <c r="Q972" t="s">
        <v>122</v>
      </c>
      <c r="R972" t="s">
        <v>151</v>
      </c>
      <c r="S972" t="s">
        <v>2308</v>
      </c>
      <c r="T972" t="s">
        <v>153</v>
      </c>
      <c r="U972" t="s">
        <v>154</v>
      </c>
      <c r="V972" t="str">
        <f>IFERROR(INDEX(Products!$C:$C,MATCH(D972,Products!$A:$A,0)),"Unknown")</f>
        <v>Women Dresses</v>
      </c>
      <c r="W972" t="str">
        <f>IFERROR(INDEX(Products!$E:$E,MATCH(D972,Products!$A:$A,0)),"Unknown")</f>
        <v>Nike</v>
      </c>
      <c r="X972" t="str">
        <f>IFERROR(INDEX(Stores!$B:$B,MATCH(E972,Stores!$A:$A,0)),"Unknown")</f>
        <v>TrendMart Thiruvananthapuram Outlet</v>
      </c>
      <c r="Y972" t="str">
        <f>IFERROR(INDEX(Stores!$E:$E,MATCH(E972,Stores!$A:$A,0)),"Unknown")</f>
        <v>South Zone 1</v>
      </c>
      <c r="Z972" t="str">
        <f>IFERROR(INDEX(Customers!$J:$J,MATCH(C972,Customers!$A:$A,0)),"Unknown")</f>
        <v>Silver</v>
      </c>
      <c r="AA972" t="str">
        <f t="shared" si="15"/>
        <v>2024-09</v>
      </c>
      <c r="AB972" t="str">
        <f>IFERROR(INDEX(Products!$I:$I,MATCH(D972,Products!$A:$A,0)),"Unknown")</f>
        <v>SUP073</v>
      </c>
    </row>
    <row r="973" spans="1:28" x14ac:dyDescent="0.25">
      <c r="A973" t="s">
        <v>2615</v>
      </c>
      <c r="B973" s="20">
        <v>45623</v>
      </c>
      <c r="C973" t="s">
        <v>1196</v>
      </c>
      <c r="D973" t="s">
        <v>763</v>
      </c>
      <c r="E973" t="s">
        <v>291</v>
      </c>
      <c r="F973" t="s">
        <v>269</v>
      </c>
      <c r="G973">
        <v>1</v>
      </c>
      <c r="H973" s="21">
        <v>1076.99</v>
      </c>
      <c r="I973">
        <v>10</v>
      </c>
      <c r="J973" s="21">
        <v>107.7</v>
      </c>
      <c r="K973">
        <v>12</v>
      </c>
      <c r="L973" s="21">
        <v>116.31</v>
      </c>
      <c r="M973" s="21">
        <v>1085.5999999999999</v>
      </c>
      <c r="N973" s="21">
        <v>815.46</v>
      </c>
      <c r="O973" s="21">
        <v>153.83000000000001</v>
      </c>
      <c r="P973" t="s">
        <v>123</v>
      </c>
      <c r="Q973" t="s">
        <v>120</v>
      </c>
      <c r="R973" t="s">
        <v>151</v>
      </c>
      <c r="S973" t="s">
        <v>1222</v>
      </c>
      <c r="T973" t="s">
        <v>153</v>
      </c>
      <c r="U973" t="s">
        <v>154</v>
      </c>
      <c r="V973" t="str">
        <f>IFERROR(INDEX(Products!$C:$C,MATCH(D973,Products!$A:$A,0)),"Unknown")</f>
        <v>Watches</v>
      </c>
      <c r="W973" t="str">
        <f>IFERROR(INDEX(Products!$E:$E,MATCH(D973,Products!$A:$A,0)),"Unknown")</f>
        <v>Libas</v>
      </c>
      <c r="X973" t="str">
        <f>IFERROR(INDEX(Stores!$B:$B,MATCH(E973,Stores!$A:$A,0)),"Unknown")</f>
        <v>TrendMart Khammam Standard</v>
      </c>
      <c r="Y973" t="str">
        <f>IFERROR(INDEX(Stores!$E:$E,MATCH(E973,Stores!$A:$A,0)),"Unknown")</f>
        <v>South Zone 2</v>
      </c>
      <c r="Z973" t="str">
        <f>IFERROR(INDEX(Customers!$J:$J,MATCH(C973,Customers!$A:$A,0)),"Unknown")</f>
        <v>Silver</v>
      </c>
      <c r="AA973" t="str">
        <f t="shared" si="15"/>
        <v>2024-11</v>
      </c>
      <c r="AB973" t="str">
        <f>IFERROR(INDEX(Products!$I:$I,MATCH(D973,Products!$A:$A,0)),"Unknown")</f>
        <v>SUP047</v>
      </c>
    </row>
    <row r="974" spans="1:28" x14ac:dyDescent="0.25">
      <c r="A974" t="s">
        <v>2616</v>
      </c>
      <c r="B974" s="20">
        <v>45642</v>
      </c>
      <c r="C974" t="s">
        <v>2244</v>
      </c>
      <c r="D974" t="s">
        <v>1216</v>
      </c>
      <c r="E974" t="s">
        <v>537</v>
      </c>
      <c r="F974" t="s">
        <v>596</v>
      </c>
      <c r="G974">
        <v>2</v>
      </c>
      <c r="H974" s="21">
        <v>2030.13</v>
      </c>
      <c r="I974">
        <v>10</v>
      </c>
      <c r="J974" s="21">
        <v>406.03</v>
      </c>
      <c r="K974">
        <v>12</v>
      </c>
      <c r="L974" s="21">
        <v>438.51</v>
      </c>
      <c r="M974" s="21">
        <v>4092.74</v>
      </c>
      <c r="N974" s="21">
        <v>2864.02</v>
      </c>
      <c r="O974" s="21">
        <v>790.21</v>
      </c>
      <c r="P974" t="s">
        <v>124</v>
      </c>
      <c r="Q974" t="s">
        <v>120</v>
      </c>
      <c r="R974" t="s">
        <v>151</v>
      </c>
      <c r="S974" t="s">
        <v>907</v>
      </c>
      <c r="T974" t="s">
        <v>153</v>
      </c>
      <c r="U974" t="s">
        <v>154</v>
      </c>
      <c r="V974" t="str">
        <f>IFERROR(INDEX(Products!$C:$C,MATCH(D974,Products!$A:$A,0)),"Unknown")</f>
        <v>Footwear</v>
      </c>
      <c r="W974" t="str">
        <f>IFERROR(INDEX(Products!$E:$E,MATCH(D974,Products!$A:$A,0)),"Unknown")</f>
        <v>Biba</v>
      </c>
      <c r="X974" t="str">
        <f>IFERROR(INDEX(Stores!$B:$B,MATCH(E974,Stores!$A:$A,0)),"Unknown")</f>
        <v>TrendMart Thrissur High Street</v>
      </c>
      <c r="Y974" t="str">
        <f>IFERROR(INDEX(Stores!$E:$E,MATCH(E974,Stores!$A:$A,0)),"Unknown")</f>
        <v>South Zone 1</v>
      </c>
      <c r="Z974" t="str">
        <f>IFERROR(INDEX(Customers!$J:$J,MATCH(C974,Customers!$A:$A,0)),"Unknown")</f>
        <v>Regular</v>
      </c>
      <c r="AA974" t="str">
        <f t="shared" si="15"/>
        <v>2024-12</v>
      </c>
      <c r="AB974" t="str">
        <f>IFERROR(INDEX(Products!$I:$I,MATCH(D974,Products!$A:$A,0)),"Unknown")</f>
        <v>SUP048</v>
      </c>
    </row>
    <row r="975" spans="1:28" x14ac:dyDescent="0.25">
      <c r="A975" t="s">
        <v>2617</v>
      </c>
      <c r="B975" s="20">
        <v>45484</v>
      </c>
      <c r="C975" t="s">
        <v>561</v>
      </c>
      <c r="D975" t="s">
        <v>2618</v>
      </c>
      <c r="E975" t="s">
        <v>188</v>
      </c>
      <c r="F975" t="s">
        <v>397</v>
      </c>
      <c r="G975">
        <v>1</v>
      </c>
      <c r="H975" s="21">
        <v>1197.1500000000001</v>
      </c>
      <c r="I975">
        <v>15</v>
      </c>
      <c r="J975" s="21">
        <v>179.57</v>
      </c>
      <c r="K975">
        <v>12</v>
      </c>
      <c r="L975" s="21">
        <v>122.11</v>
      </c>
      <c r="M975" s="21">
        <v>1139.69</v>
      </c>
      <c r="N975" s="21">
        <v>795.4</v>
      </c>
      <c r="O975" s="21">
        <v>222.18</v>
      </c>
      <c r="P975" t="s">
        <v>124</v>
      </c>
      <c r="Q975" t="s">
        <v>120</v>
      </c>
      <c r="R975" t="s">
        <v>151</v>
      </c>
      <c r="S975" t="s">
        <v>2619</v>
      </c>
      <c r="T975" t="s">
        <v>153</v>
      </c>
      <c r="U975" t="s">
        <v>154</v>
      </c>
      <c r="V975" t="str">
        <f>IFERROR(INDEX(Products!$C:$C,MATCH(D975,Products!$A:$A,0)),"Unknown")</f>
        <v>Men Trousers</v>
      </c>
      <c r="W975" t="str">
        <f>IFERROR(INDEX(Products!$E:$E,MATCH(D975,Products!$A:$A,0)),"Unknown")</f>
        <v>Titan</v>
      </c>
      <c r="X975" t="str">
        <f>IFERROR(INDEX(Stores!$B:$B,MATCH(E975,Stores!$A:$A,0)),"Unknown")</f>
        <v>TrendMart Vijayawada Standard</v>
      </c>
      <c r="Y975" t="str">
        <f>IFERROR(INDEX(Stores!$E:$E,MATCH(E975,Stores!$A:$A,0)),"Unknown")</f>
        <v>South Zone 3</v>
      </c>
      <c r="Z975" t="str">
        <f>IFERROR(INDEX(Customers!$J:$J,MATCH(C975,Customers!$A:$A,0)),"Unknown")</f>
        <v>Silver</v>
      </c>
      <c r="AA975" t="str">
        <f t="shared" si="15"/>
        <v>2024-07</v>
      </c>
      <c r="AB975" t="str">
        <f>IFERROR(INDEX(Products!$I:$I,MATCH(D975,Products!$A:$A,0)),"Unknown")</f>
        <v>SUP074</v>
      </c>
    </row>
    <row r="976" spans="1:28" x14ac:dyDescent="0.25">
      <c r="A976" t="s">
        <v>2620</v>
      </c>
      <c r="B976" s="20">
        <v>45422</v>
      </c>
      <c r="C976" t="s">
        <v>1778</v>
      </c>
      <c r="D976" t="s">
        <v>666</v>
      </c>
      <c r="E976" t="s">
        <v>360</v>
      </c>
      <c r="F976" t="s">
        <v>335</v>
      </c>
      <c r="G976">
        <v>3</v>
      </c>
      <c r="H976" s="21">
        <v>1286.6099999999999</v>
      </c>
      <c r="I976">
        <v>15</v>
      </c>
      <c r="J976" s="21">
        <v>578.97</v>
      </c>
      <c r="K976">
        <v>12</v>
      </c>
      <c r="L976" s="21">
        <v>393.7</v>
      </c>
      <c r="M976" s="21">
        <v>3674.56</v>
      </c>
      <c r="N976" s="21">
        <v>2712.63</v>
      </c>
      <c r="O976" s="21">
        <v>568.23</v>
      </c>
      <c r="P976" t="s">
        <v>123</v>
      </c>
      <c r="Q976" t="s">
        <v>120</v>
      </c>
      <c r="R976" t="s">
        <v>151</v>
      </c>
      <c r="S976" t="s">
        <v>2621</v>
      </c>
      <c r="T976" t="s">
        <v>153</v>
      </c>
      <c r="U976" t="s">
        <v>154</v>
      </c>
      <c r="V976" t="str">
        <f>IFERROR(INDEX(Products!$C:$C,MATCH(D976,Products!$A:$A,0)),"Unknown")</f>
        <v>Wallets</v>
      </c>
      <c r="W976" t="str">
        <f>IFERROR(INDEX(Products!$E:$E,MATCH(D976,Products!$A:$A,0)),"Unknown")</f>
        <v>Louis Philippe</v>
      </c>
      <c r="X976" t="str">
        <f>IFERROR(INDEX(Stores!$B:$B,MATCH(E976,Stores!$A:$A,0)),"Unknown")</f>
        <v>TrendMart Kochi Standard</v>
      </c>
      <c r="Y976" t="str">
        <f>IFERROR(INDEX(Stores!$E:$E,MATCH(E976,Stores!$A:$A,0)),"Unknown")</f>
        <v>South Zone 1</v>
      </c>
      <c r="Z976" t="str">
        <f>IFERROR(INDEX(Customers!$J:$J,MATCH(C976,Customers!$A:$A,0)),"Unknown")</f>
        <v>Regular</v>
      </c>
      <c r="AA976" t="str">
        <f t="shared" si="15"/>
        <v>2024-05</v>
      </c>
      <c r="AB976" t="str">
        <f>IFERROR(INDEX(Products!$I:$I,MATCH(D976,Products!$A:$A,0)),"Unknown")</f>
        <v>SUP039</v>
      </c>
    </row>
    <row r="977" spans="1:28" x14ac:dyDescent="0.25">
      <c r="A977" t="s">
        <v>2622</v>
      </c>
      <c r="B977" s="20">
        <v>45566</v>
      </c>
      <c r="C977" t="s">
        <v>1580</v>
      </c>
      <c r="D977" t="s">
        <v>740</v>
      </c>
      <c r="E977" t="s">
        <v>1108</v>
      </c>
      <c r="F977" t="s">
        <v>258</v>
      </c>
      <c r="G977">
        <v>1</v>
      </c>
      <c r="H977" s="21">
        <v>2320.31</v>
      </c>
      <c r="I977">
        <v>30</v>
      </c>
      <c r="J977" s="21">
        <v>696.09</v>
      </c>
      <c r="K977">
        <v>12</v>
      </c>
      <c r="L977" s="21">
        <v>194.91</v>
      </c>
      <c r="M977" s="21">
        <v>1819.13</v>
      </c>
      <c r="N977" s="21">
        <v>1551.42</v>
      </c>
      <c r="O977" s="21">
        <v>72.8</v>
      </c>
      <c r="P977" t="s">
        <v>126</v>
      </c>
      <c r="Q977" t="s">
        <v>120</v>
      </c>
      <c r="R977" t="s">
        <v>151</v>
      </c>
      <c r="S977" t="s">
        <v>2578</v>
      </c>
      <c r="T977" t="s">
        <v>153</v>
      </c>
      <c r="U977" t="s">
        <v>154</v>
      </c>
      <c r="V977" t="str">
        <f>IFERROR(INDEX(Products!$C:$C,MATCH(D977,Products!$A:$A,0)),"Unknown")</f>
        <v>Men Ethnic</v>
      </c>
      <c r="W977" t="str">
        <f>IFERROR(INDEX(Products!$E:$E,MATCH(D977,Products!$A:$A,0)),"Unknown")</f>
        <v>Max Fashion</v>
      </c>
      <c r="X977" t="str">
        <f>IFERROR(INDEX(Stores!$B:$B,MATCH(E977,Stores!$A:$A,0)),"Unknown")</f>
        <v>TrendMart Karimnagar Standard</v>
      </c>
      <c r="Y977" t="str">
        <f>IFERROR(INDEX(Stores!$E:$E,MATCH(E977,Stores!$A:$A,0)),"Unknown")</f>
        <v>South Zone 2</v>
      </c>
      <c r="Z977" t="str">
        <f>IFERROR(INDEX(Customers!$J:$J,MATCH(C977,Customers!$A:$A,0)),"Unknown")</f>
        <v>Regular</v>
      </c>
      <c r="AA977" t="str">
        <f t="shared" si="15"/>
        <v>2024-10</v>
      </c>
      <c r="AB977" t="str">
        <f>IFERROR(INDEX(Products!$I:$I,MATCH(D977,Products!$A:$A,0)),"Unknown")</f>
        <v>SUP001</v>
      </c>
    </row>
    <row r="978" spans="1:28" x14ac:dyDescent="0.25">
      <c r="A978" t="s">
        <v>2623</v>
      </c>
      <c r="B978" s="20">
        <v>45586</v>
      </c>
      <c r="C978" t="s">
        <v>1613</v>
      </c>
      <c r="D978" t="s">
        <v>1219</v>
      </c>
      <c r="E978" t="s">
        <v>175</v>
      </c>
      <c r="F978" t="s">
        <v>377</v>
      </c>
      <c r="G978">
        <v>4</v>
      </c>
      <c r="H978" s="21">
        <v>3049.16</v>
      </c>
      <c r="I978">
        <v>25</v>
      </c>
      <c r="J978" s="21">
        <v>3049.16</v>
      </c>
      <c r="K978">
        <v>12</v>
      </c>
      <c r="L978" s="21">
        <v>1097.7</v>
      </c>
      <c r="M978" s="21">
        <v>10245.18</v>
      </c>
      <c r="N978" s="21">
        <v>8158.8</v>
      </c>
      <c r="O978" s="21">
        <v>988.68</v>
      </c>
      <c r="P978" t="s">
        <v>127</v>
      </c>
      <c r="Q978" t="s">
        <v>122</v>
      </c>
      <c r="R978" t="s">
        <v>151</v>
      </c>
      <c r="S978" t="s">
        <v>2624</v>
      </c>
      <c r="T978" t="s">
        <v>153</v>
      </c>
      <c r="U978" t="s">
        <v>154</v>
      </c>
      <c r="V978" t="str">
        <f>IFERROR(INDEX(Products!$C:$C,MATCH(D978,Products!$A:$A,0)),"Unknown")</f>
        <v>Watches</v>
      </c>
      <c r="W978" t="str">
        <f>IFERROR(INDEX(Products!$E:$E,MATCH(D978,Products!$A:$A,0)),"Unknown")</f>
        <v>Fossil</v>
      </c>
      <c r="X978" t="str">
        <f>IFERROR(INDEX(Stores!$B:$B,MATCH(E978,Stores!$A:$A,0)),"Unknown")</f>
        <v>TrendMart Thoothukudi Flagship</v>
      </c>
      <c r="Y978" t="str">
        <f>IFERROR(INDEX(Stores!$E:$E,MATCH(E978,Stores!$A:$A,0)),"Unknown")</f>
        <v>South Zone 1</v>
      </c>
      <c r="Z978" t="str">
        <f>IFERROR(INDEX(Customers!$J:$J,MATCH(C978,Customers!$A:$A,0)),"Unknown")</f>
        <v>Regular</v>
      </c>
      <c r="AA978" t="str">
        <f t="shared" si="15"/>
        <v>2024-10</v>
      </c>
      <c r="AB978" t="str">
        <f>IFERROR(INDEX(Products!$I:$I,MATCH(D978,Products!$A:$A,0)),"Unknown")</f>
        <v>SUP054</v>
      </c>
    </row>
    <row r="979" spans="1:28" x14ac:dyDescent="0.25">
      <c r="A979" t="s">
        <v>2625</v>
      </c>
      <c r="B979" s="20">
        <v>45590</v>
      </c>
      <c r="C979" t="s">
        <v>2426</v>
      </c>
      <c r="D979" t="s">
        <v>424</v>
      </c>
      <c r="E979" t="s">
        <v>910</v>
      </c>
      <c r="F979" t="s">
        <v>516</v>
      </c>
      <c r="G979">
        <v>3</v>
      </c>
      <c r="H979" s="21">
        <v>341.89</v>
      </c>
      <c r="I979">
        <v>5</v>
      </c>
      <c r="J979" s="21">
        <v>51.28</v>
      </c>
      <c r="K979">
        <v>5</v>
      </c>
      <c r="L979" s="21">
        <v>48.72</v>
      </c>
      <c r="M979" s="21">
        <v>1023.11</v>
      </c>
      <c r="N979" s="21">
        <v>762.45</v>
      </c>
      <c r="O979" s="21">
        <v>211.94</v>
      </c>
      <c r="P979" t="s">
        <v>125</v>
      </c>
      <c r="Q979" t="s">
        <v>122</v>
      </c>
      <c r="R979" t="s">
        <v>151</v>
      </c>
      <c r="S979" t="s">
        <v>770</v>
      </c>
      <c r="T979" t="s">
        <v>153</v>
      </c>
      <c r="U979" t="s">
        <v>154</v>
      </c>
      <c r="V979" t="str">
        <f>IFERROR(INDEX(Products!$C:$C,MATCH(D979,Products!$A:$A,0)),"Unknown")</f>
        <v>Belts</v>
      </c>
      <c r="W979" t="str">
        <f>IFERROR(INDEX(Products!$E:$E,MATCH(D979,Products!$A:$A,0)),"Unknown")</f>
        <v>Raymond</v>
      </c>
      <c r="X979" t="str">
        <f>IFERROR(INDEX(Stores!$B:$B,MATCH(E979,Stores!$A:$A,0)),"Unknown")</f>
        <v>TrendMart Karimnagar Standard</v>
      </c>
      <c r="Y979" t="str">
        <f>IFERROR(INDEX(Stores!$E:$E,MATCH(E979,Stores!$A:$A,0)),"Unknown")</f>
        <v>South Zone 2</v>
      </c>
      <c r="Z979" t="str">
        <f>IFERROR(INDEX(Customers!$J:$J,MATCH(C979,Customers!$A:$A,0)),"Unknown")</f>
        <v>Silver</v>
      </c>
      <c r="AA979" t="str">
        <f t="shared" si="15"/>
        <v>2024-10</v>
      </c>
      <c r="AB979" t="str">
        <f>IFERROR(INDEX(Products!$I:$I,MATCH(D979,Products!$A:$A,0)),"Unknown")</f>
        <v>SUP002</v>
      </c>
    </row>
    <row r="980" spans="1:28" x14ac:dyDescent="0.25">
      <c r="A980" t="s">
        <v>2626</v>
      </c>
      <c r="B980" s="20">
        <v>45602</v>
      </c>
      <c r="C980" t="s">
        <v>2627</v>
      </c>
      <c r="D980" t="s">
        <v>187</v>
      </c>
      <c r="E980" t="s">
        <v>810</v>
      </c>
      <c r="F980" t="s">
        <v>532</v>
      </c>
      <c r="G980">
        <v>4</v>
      </c>
      <c r="H980" s="21">
        <v>1501.32</v>
      </c>
      <c r="I980">
        <v>20</v>
      </c>
      <c r="J980" s="21">
        <v>1201.06</v>
      </c>
      <c r="K980">
        <v>12</v>
      </c>
      <c r="L980" s="21">
        <v>576.51</v>
      </c>
      <c r="M980" s="21">
        <v>5380.73</v>
      </c>
      <c r="N980" s="21">
        <v>4594.6400000000003</v>
      </c>
      <c r="O980" s="21">
        <v>209.58</v>
      </c>
      <c r="P980" t="s">
        <v>125</v>
      </c>
      <c r="Q980" t="s">
        <v>122</v>
      </c>
      <c r="R980" t="s">
        <v>151</v>
      </c>
      <c r="S980" t="s">
        <v>404</v>
      </c>
      <c r="T980" t="s">
        <v>153</v>
      </c>
      <c r="U980" t="s">
        <v>154</v>
      </c>
      <c r="V980" t="str">
        <f>IFERROR(INDEX(Products!$C:$C,MATCH(D980,Products!$A:$A,0)),"Unknown")</f>
        <v>Sportswear</v>
      </c>
      <c r="W980" t="str">
        <f>IFERROR(INDEX(Products!$E:$E,MATCH(D980,Products!$A:$A,0)),"Unknown")</f>
        <v>US Polo Assn</v>
      </c>
      <c r="X980" t="str">
        <f>IFERROR(INDEX(Stores!$B:$B,MATCH(E980,Stores!$A:$A,0)),"Unknown")</f>
        <v>TrendMart Nizamabad Standard</v>
      </c>
      <c r="Y980" t="str">
        <f>IFERROR(INDEX(Stores!$E:$E,MATCH(E980,Stores!$A:$A,0)),"Unknown")</f>
        <v>South Zone 2</v>
      </c>
      <c r="Z980" t="str">
        <f>IFERROR(INDEX(Customers!$J:$J,MATCH(C980,Customers!$A:$A,0)),"Unknown")</f>
        <v>Silver</v>
      </c>
      <c r="AA980" t="str">
        <f t="shared" si="15"/>
        <v>2024-11</v>
      </c>
      <c r="AB980" t="str">
        <f>IFERROR(INDEX(Products!$I:$I,MATCH(D980,Products!$A:$A,0)),"Unknown")</f>
        <v>SUP043</v>
      </c>
    </row>
    <row r="981" spans="1:28" x14ac:dyDescent="0.25">
      <c r="A981" t="s">
        <v>2628</v>
      </c>
      <c r="B981" s="20">
        <v>45429</v>
      </c>
      <c r="C981" t="s">
        <v>891</v>
      </c>
      <c r="D981" t="s">
        <v>164</v>
      </c>
      <c r="E981" t="s">
        <v>158</v>
      </c>
      <c r="F981" t="s">
        <v>344</v>
      </c>
      <c r="G981">
        <v>2</v>
      </c>
      <c r="H981" s="21">
        <v>3793.69</v>
      </c>
      <c r="I981">
        <v>10</v>
      </c>
      <c r="J981" s="21">
        <v>758.74</v>
      </c>
      <c r="K981">
        <v>12</v>
      </c>
      <c r="L981" s="21">
        <v>819.44</v>
      </c>
      <c r="M981" s="21">
        <v>7648.08</v>
      </c>
      <c r="N981" s="21">
        <v>5267.12</v>
      </c>
      <c r="O981" s="21">
        <v>1561.52</v>
      </c>
      <c r="P981" t="s">
        <v>121</v>
      </c>
      <c r="Q981" t="s">
        <v>122</v>
      </c>
      <c r="R981" t="s">
        <v>151</v>
      </c>
      <c r="S981" t="s">
        <v>2629</v>
      </c>
      <c r="T981" t="s">
        <v>153</v>
      </c>
      <c r="U981" t="s">
        <v>154</v>
      </c>
      <c r="V981" t="str">
        <f>IFERROR(INDEX(Products!$C:$C,MATCH(D981,Products!$A:$A,0)),"Unknown")</f>
        <v>Women Sarees</v>
      </c>
      <c r="W981" t="str">
        <f>IFERROR(INDEX(Products!$E:$E,MATCH(D981,Products!$A:$A,0)),"Unknown")</f>
        <v>Westside</v>
      </c>
      <c r="X981" t="str">
        <f>IFERROR(INDEX(Stores!$B:$B,MATCH(E981,Stores!$A:$A,0)),"Unknown")</f>
        <v>TrendMart Tirunelveli High Street</v>
      </c>
      <c r="Y981" t="str">
        <f>IFERROR(INDEX(Stores!$E:$E,MATCH(E981,Stores!$A:$A,0)),"Unknown")</f>
        <v>South Zone 1</v>
      </c>
      <c r="Z981" t="str">
        <f>IFERROR(INDEX(Customers!$J:$J,MATCH(C981,Customers!$A:$A,0)),"Unknown")</f>
        <v>Regular</v>
      </c>
      <c r="AA981" t="str">
        <f t="shared" si="15"/>
        <v>2024-05</v>
      </c>
      <c r="AB981" t="str">
        <f>IFERROR(INDEX(Products!$I:$I,MATCH(D981,Products!$A:$A,0)),"Unknown")</f>
        <v>SUP069</v>
      </c>
    </row>
    <row r="982" spans="1:28" x14ac:dyDescent="0.25">
      <c r="A982" t="s">
        <v>2630</v>
      </c>
      <c r="B982" s="20">
        <v>45536</v>
      </c>
      <c r="C982" t="s">
        <v>2631</v>
      </c>
      <c r="D982" t="s">
        <v>536</v>
      </c>
      <c r="E982" t="s">
        <v>1522</v>
      </c>
      <c r="F982" t="s">
        <v>297</v>
      </c>
      <c r="G982">
        <v>0</v>
      </c>
      <c r="H982" s="21">
        <v>657.92</v>
      </c>
      <c r="I982">
        <v>30</v>
      </c>
      <c r="J982" s="21">
        <v>0</v>
      </c>
      <c r="K982">
        <v>5</v>
      </c>
      <c r="L982" s="21">
        <v>0</v>
      </c>
      <c r="M982" s="21">
        <v>0</v>
      </c>
      <c r="N982" s="21">
        <v>0</v>
      </c>
      <c r="O982" s="21">
        <v>0</v>
      </c>
      <c r="P982" t="s">
        <v>125</v>
      </c>
      <c r="Q982" t="s">
        <v>120</v>
      </c>
      <c r="R982" t="s">
        <v>482</v>
      </c>
      <c r="S982" t="s">
        <v>1664</v>
      </c>
      <c r="T982" t="s">
        <v>161</v>
      </c>
      <c r="U982" t="s">
        <v>154</v>
      </c>
      <c r="V982" t="str">
        <f>IFERROR(INDEX(Products!$C:$C,MATCH(D982,Products!$A:$A,0)),"Unknown")</f>
        <v>Wallets</v>
      </c>
      <c r="W982" t="str">
        <f>IFERROR(INDEX(Products!$E:$E,MATCH(D982,Products!$A:$A,0)),"Unknown")</f>
        <v>Aurelia</v>
      </c>
      <c r="X982" t="str">
        <f>IFERROR(INDEX(Stores!$B:$B,MATCH(E982,Stores!$A:$A,0)),"Unknown")</f>
        <v>TrendMart Guntur High Street</v>
      </c>
      <c r="Y982" t="str">
        <f>IFERROR(INDEX(Stores!$E:$E,MATCH(E982,Stores!$A:$A,0)),"Unknown")</f>
        <v>South Zone 3</v>
      </c>
      <c r="Z982" t="str">
        <f>IFERROR(INDEX(Customers!$J:$J,MATCH(C982,Customers!$A:$A,0)),"Unknown")</f>
        <v>Gold</v>
      </c>
      <c r="AA982" t="str">
        <f t="shared" si="15"/>
        <v>2024-09</v>
      </c>
      <c r="AB982" t="str">
        <f>IFERROR(INDEX(Products!$I:$I,MATCH(D982,Products!$A:$A,0)),"Unknown")</f>
        <v>SUP084</v>
      </c>
    </row>
    <row r="983" spans="1:28" x14ac:dyDescent="0.25">
      <c r="A983" t="s">
        <v>2632</v>
      </c>
      <c r="B983" s="20">
        <v>45588</v>
      </c>
      <c r="C983" t="s">
        <v>1998</v>
      </c>
      <c r="D983" t="s">
        <v>2633</v>
      </c>
      <c r="E983" t="s">
        <v>721</v>
      </c>
      <c r="F983" t="s">
        <v>579</v>
      </c>
      <c r="G983">
        <v>2</v>
      </c>
      <c r="H983" s="21">
        <v>1010.55</v>
      </c>
      <c r="I983">
        <v>20</v>
      </c>
      <c r="J983" s="21">
        <v>404.22</v>
      </c>
      <c r="K983">
        <v>12</v>
      </c>
      <c r="L983" s="21">
        <v>194.03</v>
      </c>
      <c r="M983" s="21">
        <v>1810.91</v>
      </c>
      <c r="N983" s="21">
        <v>1348.58</v>
      </c>
      <c r="O983" s="21">
        <v>268.3</v>
      </c>
      <c r="P983" t="s">
        <v>121</v>
      </c>
      <c r="Q983" t="s">
        <v>120</v>
      </c>
      <c r="R983" t="s">
        <v>151</v>
      </c>
      <c r="S983" t="s">
        <v>1875</v>
      </c>
      <c r="T983" t="s">
        <v>153</v>
      </c>
      <c r="U983" t="s">
        <v>154</v>
      </c>
      <c r="V983" t="str">
        <f>IFERROR(INDEX(Products!$C:$C,MATCH(D983,Products!$A:$A,0)),"Unknown")</f>
        <v>Men Trousers</v>
      </c>
      <c r="W983" t="str">
        <f>IFERROR(INDEX(Products!$E:$E,MATCH(D983,Products!$A:$A,0)),"Unknown")</f>
        <v>Aurelia</v>
      </c>
      <c r="X983" t="str">
        <f>IFERROR(INDEX(Stores!$B:$B,MATCH(E983,Stores!$A:$A,0)),"Unknown")</f>
        <v>TrendMart Kollam Flagship</v>
      </c>
      <c r="Y983" t="str">
        <f>IFERROR(INDEX(Stores!$E:$E,MATCH(E983,Stores!$A:$A,0)),"Unknown")</f>
        <v>South Zone 1</v>
      </c>
      <c r="Z983" t="str">
        <f>IFERROR(INDEX(Customers!$J:$J,MATCH(C983,Customers!$A:$A,0)),"Unknown")</f>
        <v>Gold</v>
      </c>
      <c r="AA983" t="str">
        <f t="shared" si="15"/>
        <v>2024-10</v>
      </c>
      <c r="AB983" t="str">
        <f>IFERROR(INDEX(Products!$I:$I,MATCH(D983,Products!$A:$A,0)),"Unknown")</f>
        <v>SUP031</v>
      </c>
    </row>
    <row r="984" spans="1:28" x14ac:dyDescent="0.25">
      <c r="A984" t="s">
        <v>2634</v>
      </c>
      <c r="B984" s="20">
        <v>45537</v>
      </c>
      <c r="C984" t="s">
        <v>586</v>
      </c>
      <c r="D984" t="s">
        <v>447</v>
      </c>
      <c r="E984" t="s">
        <v>1068</v>
      </c>
      <c r="F984" t="s">
        <v>382</v>
      </c>
      <c r="G984">
        <v>2</v>
      </c>
      <c r="H984" s="21">
        <v>1371.69</v>
      </c>
      <c r="I984">
        <v>10</v>
      </c>
      <c r="J984" s="21">
        <v>274.33999999999997</v>
      </c>
      <c r="K984">
        <v>12</v>
      </c>
      <c r="L984" s="21">
        <v>296.27999999999997</v>
      </c>
      <c r="M984" s="21">
        <v>2765.32</v>
      </c>
      <c r="N984" s="21">
        <v>2146.9</v>
      </c>
      <c r="O984" s="21">
        <v>322.14</v>
      </c>
      <c r="P984" t="s">
        <v>123</v>
      </c>
      <c r="Q984" t="s">
        <v>120</v>
      </c>
      <c r="R984" t="s">
        <v>151</v>
      </c>
      <c r="S984" t="s">
        <v>2126</v>
      </c>
      <c r="T984" t="s">
        <v>153</v>
      </c>
      <c r="U984" t="s">
        <v>154</v>
      </c>
      <c r="V984" t="str">
        <f>IFERROR(INDEX(Products!$C:$C,MATCH(D984,Products!$A:$A,0)),"Unknown")</f>
        <v>Women Jeans</v>
      </c>
      <c r="W984" t="str">
        <f>IFERROR(INDEX(Products!$E:$E,MATCH(D984,Products!$A:$A,0)),"Unknown")</f>
        <v>Biba</v>
      </c>
      <c r="X984" t="str">
        <f>IFERROR(INDEX(Stores!$B:$B,MATCH(E984,Stores!$A:$A,0)),"Unknown")</f>
        <v>TrendMart Tumakuru High Street</v>
      </c>
      <c r="Y984" t="str">
        <f>IFERROR(INDEX(Stores!$E:$E,MATCH(E984,Stores!$A:$A,0)),"Unknown")</f>
        <v>South Zone 2</v>
      </c>
      <c r="Z984" t="str">
        <f>IFERROR(INDEX(Customers!$J:$J,MATCH(C984,Customers!$A:$A,0)),"Unknown")</f>
        <v>Gold</v>
      </c>
      <c r="AA984" t="str">
        <f t="shared" si="15"/>
        <v>2024-09</v>
      </c>
      <c r="AB984" t="str">
        <f>IFERROR(INDEX(Products!$I:$I,MATCH(D984,Products!$A:$A,0)),"Unknown")</f>
        <v>SUP069</v>
      </c>
    </row>
    <row r="985" spans="1:28" x14ac:dyDescent="0.25">
      <c r="A985" t="s">
        <v>2635</v>
      </c>
      <c r="B985" s="20">
        <v>45419</v>
      </c>
      <c r="C985" t="s">
        <v>847</v>
      </c>
      <c r="D985" t="s">
        <v>792</v>
      </c>
      <c r="E985" t="s">
        <v>268</v>
      </c>
      <c r="F985" t="s">
        <v>263</v>
      </c>
      <c r="G985">
        <v>1</v>
      </c>
      <c r="H985" s="21">
        <v>1167.02</v>
      </c>
      <c r="I985">
        <v>0</v>
      </c>
      <c r="J985" s="21">
        <v>0</v>
      </c>
      <c r="K985">
        <v>12</v>
      </c>
      <c r="L985" s="21">
        <v>140.04</v>
      </c>
      <c r="M985" s="21">
        <v>1307.06</v>
      </c>
      <c r="N985" s="21">
        <v>737.35</v>
      </c>
      <c r="O985" s="21">
        <v>429.67</v>
      </c>
      <c r="P985" t="s">
        <v>124</v>
      </c>
      <c r="Q985" t="s">
        <v>122</v>
      </c>
      <c r="R985" t="s">
        <v>151</v>
      </c>
      <c r="S985" t="s">
        <v>1508</v>
      </c>
      <c r="T985" t="s">
        <v>153</v>
      </c>
      <c r="U985" t="s">
        <v>154</v>
      </c>
      <c r="V985" t="str">
        <f>IFERROR(INDEX(Products!$C:$C,MATCH(D985,Products!$A:$A,0)),"Unknown")</f>
        <v>Belts</v>
      </c>
      <c r="W985" t="str">
        <f>IFERROR(INDEX(Products!$E:$E,MATCH(D985,Products!$A:$A,0)),"Unknown")</f>
        <v>Wrangler</v>
      </c>
      <c r="X985" t="str">
        <f>IFERROR(INDEX(Stores!$B:$B,MATCH(E985,Stores!$A:$A,0)),"Unknown")</f>
        <v>TrendMart Kochi High Street</v>
      </c>
      <c r="Y985" t="str">
        <f>IFERROR(INDEX(Stores!$E:$E,MATCH(E985,Stores!$A:$A,0)),"Unknown")</f>
        <v>South Zone 1</v>
      </c>
      <c r="Z985" t="str">
        <f>IFERROR(INDEX(Customers!$J:$J,MATCH(C985,Customers!$A:$A,0)),"Unknown")</f>
        <v>Silver</v>
      </c>
      <c r="AA985" t="str">
        <f t="shared" si="15"/>
        <v>2024-05</v>
      </c>
      <c r="AB985" t="str">
        <f>IFERROR(INDEX(Products!$I:$I,MATCH(D985,Products!$A:$A,0)),"Unknown")</f>
        <v>SUP004</v>
      </c>
    </row>
    <row r="986" spans="1:28" x14ac:dyDescent="0.25">
      <c r="A986" t="s">
        <v>2636</v>
      </c>
      <c r="B986" s="20">
        <v>45591</v>
      </c>
      <c r="C986" t="s">
        <v>1398</v>
      </c>
      <c r="D986" t="s">
        <v>905</v>
      </c>
      <c r="E986" t="s">
        <v>1512</v>
      </c>
      <c r="F986" t="s">
        <v>269</v>
      </c>
      <c r="G986">
        <v>1</v>
      </c>
      <c r="H986" s="21">
        <v>658.54</v>
      </c>
      <c r="I986">
        <v>10</v>
      </c>
      <c r="J986" s="21">
        <v>65.849999999999994</v>
      </c>
      <c r="K986">
        <v>5</v>
      </c>
      <c r="L986" s="21">
        <v>29.63</v>
      </c>
      <c r="M986" s="21">
        <v>622.32000000000005</v>
      </c>
      <c r="N986" s="21">
        <v>371.12</v>
      </c>
      <c r="O986" s="21">
        <v>221.57</v>
      </c>
      <c r="P986" t="s">
        <v>121</v>
      </c>
      <c r="Q986" t="s">
        <v>120</v>
      </c>
      <c r="R986" t="s">
        <v>151</v>
      </c>
      <c r="S986" t="s">
        <v>1220</v>
      </c>
      <c r="T986" t="s">
        <v>161</v>
      </c>
      <c r="U986" t="s">
        <v>154</v>
      </c>
      <c r="V986" t="str">
        <f>IFERROR(INDEX(Products!$C:$C,MATCH(D986,Products!$A:$A,0)),"Unknown")</f>
        <v>Wallets</v>
      </c>
      <c r="W986" t="str">
        <f>IFERROR(INDEX(Products!$E:$E,MATCH(D986,Products!$A:$A,0)),"Unknown")</f>
        <v>Global Desi</v>
      </c>
      <c r="X986" t="str">
        <f>IFERROR(INDEX(Stores!$B:$B,MATCH(E986,Stores!$A:$A,0)),"Unknown")</f>
        <v>TrendMart Erode Mall Kiosk</v>
      </c>
      <c r="Y986" t="str">
        <f>IFERROR(INDEX(Stores!$E:$E,MATCH(E986,Stores!$A:$A,0)),"Unknown")</f>
        <v>South Zone 1</v>
      </c>
      <c r="Z986" t="str">
        <f>IFERROR(INDEX(Customers!$J:$J,MATCH(C986,Customers!$A:$A,0)),"Unknown")</f>
        <v>Silver</v>
      </c>
      <c r="AA986" t="str">
        <f t="shared" si="15"/>
        <v>2024-10</v>
      </c>
      <c r="AB986" t="str">
        <f>IFERROR(INDEX(Products!$I:$I,MATCH(D986,Products!$A:$A,0)),"Unknown")</f>
        <v>SUP051</v>
      </c>
    </row>
    <row r="987" spans="1:28" x14ac:dyDescent="0.25">
      <c r="A987" t="s">
        <v>2637</v>
      </c>
      <c r="B987" s="20">
        <v>45720</v>
      </c>
      <c r="C987" t="s">
        <v>1990</v>
      </c>
      <c r="D987" t="s">
        <v>433</v>
      </c>
      <c r="E987" t="s">
        <v>96</v>
      </c>
      <c r="F987" t="s">
        <v>258</v>
      </c>
      <c r="G987">
        <v>1</v>
      </c>
      <c r="H987" s="21">
        <v>849.28</v>
      </c>
      <c r="I987">
        <v>15</v>
      </c>
      <c r="J987" s="21">
        <v>127.39</v>
      </c>
      <c r="K987">
        <v>5</v>
      </c>
      <c r="L987" s="21">
        <v>36.090000000000003</v>
      </c>
      <c r="M987" s="21">
        <v>757.98</v>
      </c>
      <c r="N987" s="21">
        <v>573.09</v>
      </c>
      <c r="O987" s="21">
        <v>148.80000000000001</v>
      </c>
      <c r="P987" t="s">
        <v>124</v>
      </c>
      <c r="Q987" t="s">
        <v>122</v>
      </c>
      <c r="R987" t="s">
        <v>151</v>
      </c>
      <c r="S987" t="s">
        <v>207</v>
      </c>
      <c r="T987" t="s">
        <v>153</v>
      </c>
      <c r="U987" t="s">
        <v>154</v>
      </c>
      <c r="V987" t="str">
        <f>IFERROR(INDEX(Products!$C:$C,MATCH(D987,Products!$A:$A,0)),"Unknown")</f>
        <v>Women Kurtis</v>
      </c>
      <c r="W987" t="str">
        <f>IFERROR(INDEX(Products!$E:$E,MATCH(D987,Products!$A:$A,0)),"Unknown")</f>
        <v>Nike</v>
      </c>
      <c r="X987" t="str">
        <f>IFERROR(INDEX(Stores!$B:$B,MATCH(E987,Stores!$A:$A,0)),"Unknown")</f>
        <v>TrendMart Shivamogga Outlet</v>
      </c>
      <c r="Y987" t="str">
        <f>IFERROR(INDEX(Stores!$E:$E,MATCH(E987,Stores!$A:$A,0)),"Unknown")</f>
        <v>South Zone 2</v>
      </c>
      <c r="Z987" t="str">
        <f>IFERROR(INDEX(Customers!$J:$J,MATCH(C987,Customers!$A:$A,0)),"Unknown")</f>
        <v>Silver</v>
      </c>
      <c r="AA987" t="str">
        <f t="shared" si="15"/>
        <v>2025-03</v>
      </c>
      <c r="AB987" t="str">
        <f>IFERROR(INDEX(Products!$I:$I,MATCH(D987,Products!$A:$A,0)),"Unknown")</f>
        <v>SUP012</v>
      </c>
    </row>
    <row r="988" spans="1:28" x14ac:dyDescent="0.25">
      <c r="A988" t="s">
        <v>2638</v>
      </c>
      <c r="B988" s="20">
        <v>45595</v>
      </c>
      <c r="C988" t="s">
        <v>2639</v>
      </c>
      <c r="D988" t="s">
        <v>455</v>
      </c>
      <c r="E988" t="s">
        <v>351</v>
      </c>
      <c r="F988" t="s">
        <v>434</v>
      </c>
      <c r="G988">
        <v>2</v>
      </c>
      <c r="H988" s="21">
        <v>5224.8599999999997</v>
      </c>
      <c r="I988">
        <v>30</v>
      </c>
      <c r="J988" s="21">
        <v>3134.92</v>
      </c>
      <c r="K988">
        <v>12</v>
      </c>
      <c r="L988" s="21">
        <v>877.78</v>
      </c>
      <c r="M988" s="21">
        <v>8192.58</v>
      </c>
      <c r="N988" s="21">
        <v>7497.42</v>
      </c>
      <c r="O988" s="21">
        <v>-182.62</v>
      </c>
      <c r="P988" t="s">
        <v>123</v>
      </c>
      <c r="Q988" t="s">
        <v>120</v>
      </c>
      <c r="R988" t="s">
        <v>151</v>
      </c>
      <c r="S988" t="s">
        <v>1374</v>
      </c>
      <c r="T988" t="s">
        <v>153</v>
      </c>
      <c r="U988" t="s">
        <v>184</v>
      </c>
      <c r="V988" t="str">
        <f>IFERROR(INDEX(Products!$C:$C,MATCH(D988,Products!$A:$A,0)),"Unknown")</f>
        <v>Watches</v>
      </c>
      <c r="W988" t="str">
        <f>IFERROR(INDEX(Products!$E:$E,MATCH(D988,Products!$A:$A,0)),"Unknown")</f>
        <v>Bata</v>
      </c>
      <c r="X988" t="str">
        <f>IFERROR(INDEX(Stores!$B:$B,MATCH(E988,Stores!$A:$A,0)),"Unknown")</f>
        <v>TrendMart Kozhikode High Street</v>
      </c>
      <c r="Y988" t="str">
        <f>IFERROR(INDEX(Stores!$E:$E,MATCH(E988,Stores!$A:$A,0)),"Unknown")</f>
        <v>South Zone 1</v>
      </c>
      <c r="Z988" t="str">
        <f>IFERROR(INDEX(Customers!$J:$J,MATCH(C988,Customers!$A:$A,0)),"Unknown")</f>
        <v>Regular</v>
      </c>
      <c r="AA988" t="str">
        <f t="shared" si="15"/>
        <v>2024-10</v>
      </c>
      <c r="AB988" t="str">
        <f>IFERROR(INDEX(Products!$I:$I,MATCH(D988,Products!$A:$A,0)),"Unknown")</f>
        <v>SUP051</v>
      </c>
    </row>
    <row r="989" spans="1:28" x14ac:dyDescent="0.25">
      <c r="A989" t="s">
        <v>2640</v>
      </c>
      <c r="B989" s="20">
        <v>45404</v>
      </c>
      <c r="C989" t="s">
        <v>2335</v>
      </c>
      <c r="D989" t="s">
        <v>2641</v>
      </c>
      <c r="E989" t="s">
        <v>745</v>
      </c>
      <c r="F989" t="s">
        <v>150</v>
      </c>
      <c r="G989">
        <v>1</v>
      </c>
      <c r="H989" s="21">
        <v>613.44000000000005</v>
      </c>
      <c r="I989">
        <v>15</v>
      </c>
      <c r="J989" s="21">
        <v>92.02</v>
      </c>
      <c r="K989">
        <v>5</v>
      </c>
      <c r="L989" s="21">
        <v>26.07</v>
      </c>
      <c r="M989" s="21">
        <v>547.49</v>
      </c>
      <c r="N989" s="21">
        <v>500.08</v>
      </c>
      <c r="O989" s="21">
        <v>21.34</v>
      </c>
      <c r="P989" t="s">
        <v>126</v>
      </c>
      <c r="Q989" t="s">
        <v>122</v>
      </c>
      <c r="R989" t="s">
        <v>151</v>
      </c>
      <c r="S989" t="s">
        <v>2642</v>
      </c>
      <c r="T989" t="s">
        <v>153</v>
      </c>
      <c r="U989" t="s">
        <v>154</v>
      </c>
      <c r="V989" t="str">
        <f>IFERROR(INDEX(Products!$C:$C,MATCH(D989,Products!$A:$A,0)),"Unknown")</f>
        <v>Men Trousers</v>
      </c>
      <c r="W989" t="str">
        <f>IFERROR(INDEX(Products!$E:$E,MATCH(D989,Products!$A:$A,0)),"Unknown")</f>
        <v>Numero Uno</v>
      </c>
      <c r="X989" t="str">
        <f>IFERROR(INDEX(Stores!$B:$B,MATCH(E989,Stores!$A:$A,0)),"Unknown")</f>
        <v>TrendMart Thiruvananthapuram Outlet</v>
      </c>
      <c r="Y989" t="str">
        <f>IFERROR(INDEX(Stores!$E:$E,MATCH(E989,Stores!$A:$A,0)),"Unknown")</f>
        <v>South Zone 1</v>
      </c>
      <c r="Z989" t="str">
        <f>IFERROR(INDEX(Customers!$J:$J,MATCH(C989,Customers!$A:$A,0)),"Unknown")</f>
        <v>Silver</v>
      </c>
      <c r="AA989" t="str">
        <f t="shared" si="15"/>
        <v>2024-04</v>
      </c>
      <c r="AB989" t="str">
        <f>IFERROR(INDEX(Products!$I:$I,MATCH(D989,Products!$A:$A,0)),"Unknown")</f>
        <v>SUP072</v>
      </c>
    </row>
    <row r="990" spans="1:28" x14ac:dyDescent="0.25">
      <c r="A990" t="s">
        <v>2643</v>
      </c>
      <c r="B990" s="20">
        <v>45625</v>
      </c>
      <c r="C990" t="s">
        <v>2644</v>
      </c>
      <c r="D990" t="s">
        <v>1055</v>
      </c>
      <c r="E990" t="s">
        <v>334</v>
      </c>
      <c r="F990" t="s">
        <v>150</v>
      </c>
      <c r="G990">
        <v>2</v>
      </c>
      <c r="H990" s="21">
        <v>1495.69</v>
      </c>
      <c r="I990">
        <v>15</v>
      </c>
      <c r="J990" s="21">
        <v>448.71</v>
      </c>
      <c r="K990">
        <v>12</v>
      </c>
      <c r="L990" s="21">
        <v>305.12</v>
      </c>
      <c r="M990" s="21">
        <v>2847.79</v>
      </c>
      <c r="N990" s="21">
        <v>2232.66</v>
      </c>
      <c r="O990" s="21">
        <v>310.01</v>
      </c>
      <c r="P990" t="s">
        <v>125</v>
      </c>
      <c r="Q990" t="s">
        <v>120</v>
      </c>
      <c r="R990" t="s">
        <v>151</v>
      </c>
      <c r="S990" t="s">
        <v>1020</v>
      </c>
      <c r="T990" t="s">
        <v>153</v>
      </c>
      <c r="U990" t="s">
        <v>154</v>
      </c>
      <c r="V990" t="str">
        <f>IFERROR(INDEX(Products!$C:$C,MATCH(D990,Products!$A:$A,0)),"Unknown")</f>
        <v>Wallets</v>
      </c>
      <c r="W990" t="str">
        <f>IFERROR(INDEX(Products!$E:$E,MATCH(D990,Products!$A:$A,0)),"Unknown")</f>
        <v>Nalli Silks</v>
      </c>
      <c r="X990" t="str">
        <f>IFERROR(INDEX(Stores!$B:$B,MATCH(E990,Stores!$A:$A,0)),"Unknown")</f>
        <v>TrendMart Madurai High Street</v>
      </c>
      <c r="Y990" t="str">
        <f>IFERROR(INDEX(Stores!$E:$E,MATCH(E990,Stores!$A:$A,0)),"Unknown")</f>
        <v>South Zone 1</v>
      </c>
      <c r="Z990" t="str">
        <f>IFERROR(INDEX(Customers!$J:$J,MATCH(C990,Customers!$A:$A,0)),"Unknown")</f>
        <v>Silver</v>
      </c>
      <c r="AA990" t="str">
        <f t="shared" si="15"/>
        <v>2024-11</v>
      </c>
      <c r="AB990" t="str">
        <f>IFERROR(INDEX(Products!$I:$I,MATCH(D990,Products!$A:$A,0)),"Unknown")</f>
        <v>SUP016</v>
      </c>
    </row>
    <row r="991" spans="1:28" x14ac:dyDescent="0.25">
      <c r="A991" t="s">
        <v>2645</v>
      </c>
      <c r="B991" s="20">
        <v>45702</v>
      </c>
      <c r="C991" t="s">
        <v>1144</v>
      </c>
      <c r="D991" t="s">
        <v>792</v>
      </c>
      <c r="E991" t="s">
        <v>351</v>
      </c>
      <c r="F991" t="s">
        <v>275</v>
      </c>
      <c r="G991">
        <v>2</v>
      </c>
      <c r="H991" s="21">
        <v>1080.9000000000001</v>
      </c>
      <c r="I991">
        <v>0</v>
      </c>
      <c r="J991" s="21">
        <v>0</v>
      </c>
      <c r="K991">
        <v>12</v>
      </c>
      <c r="L991" s="21">
        <v>259.42</v>
      </c>
      <c r="M991" s="21">
        <v>2421.2199999999998</v>
      </c>
      <c r="N991" s="21">
        <v>1474.7</v>
      </c>
      <c r="O991" s="21">
        <v>687.1</v>
      </c>
      <c r="P991" t="s">
        <v>121</v>
      </c>
      <c r="Q991" t="s">
        <v>120</v>
      </c>
      <c r="R991" t="s">
        <v>151</v>
      </c>
      <c r="S991" t="s">
        <v>322</v>
      </c>
      <c r="T991" t="s">
        <v>153</v>
      </c>
      <c r="U991" t="s">
        <v>154</v>
      </c>
      <c r="V991" t="str">
        <f>IFERROR(INDEX(Products!$C:$C,MATCH(D991,Products!$A:$A,0)),"Unknown")</f>
        <v>Belts</v>
      </c>
      <c r="W991" t="str">
        <f>IFERROR(INDEX(Products!$E:$E,MATCH(D991,Products!$A:$A,0)),"Unknown")</f>
        <v>Wrangler</v>
      </c>
      <c r="X991" t="str">
        <f>IFERROR(INDEX(Stores!$B:$B,MATCH(E991,Stores!$A:$A,0)),"Unknown")</f>
        <v>TrendMart Kozhikode High Street</v>
      </c>
      <c r="Y991" t="str">
        <f>IFERROR(INDEX(Stores!$E:$E,MATCH(E991,Stores!$A:$A,0)),"Unknown")</f>
        <v>South Zone 1</v>
      </c>
      <c r="Z991" t="str">
        <f>IFERROR(INDEX(Customers!$J:$J,MATCH(C991,Customers!$A:$A,0)),"Unknown")</f>
        <v>Gold</v>
      </c>
      <c r="AA991" t="str">
        <f t="shared" si="15"/>
        <v>2025-02</v>
      </c>
      <c r="AB991" t="str">
        <f>IFERROR(INDEX(Products!$I:$I,MATCH(D991,Products!$A:$A,0)),"Unknown")</f>
        <v>SUP004</v>
      </c>
    </row>
    <row r="992" spans="1:28" x14ac:dyDescent="0.25">
      <c r="A992" t="s">
        <v>2646</v>
      </c>
      <c r="B992" s="20">
        <v>45571</v>
      </c>
      <c r="C992" t="s">
        <v>1607</v>
      </c>
      <c r="D992" t="s">
        <v>748</v>
      </c>
      <c r="E992" t="s">
        <v>82</v>
      </c>
      <c r="F992" t="s">
        <v>532</v>
      </c>
      <c r="G992">
        <v>4</v>
      </c>
      <c r="H992" s="21">
        <v>1144.32</v>
      </c>
      <c r="I992">
        <v>20</v>
      </c>
      <c r="J992" s="21">
        <v>915.46</v>
      </c>
      <c r="K992">
        <v>12</v>
      </c>
      <c r="L992" s="21">
        <v>439.42</v>
      </c>
      <c r="M992" s="21">
        <v>4101.24</v>
      </c>
      <c r="N992" s="21">
        <v>3367.4</v>
      </c>
      <c r="O992" s="21">
        <v>294.42</v>
      </c>
      <c r="P992" t="s">
        <v>121</v>
      </c>
      <c r="Q992" t="s">
        <v>120</v>
      </c>
      <c r="R992" t="s">
        <v>151</v>
      </c>
      <c r="S992" t="s">
        <v>1137</v>
      </c>
      <c r="T992" t="s">
        <v>161</v>
      </c>
      <c r="U992" t="s">
        <v>154</v>
      </c>
      <c r="V992" t="str">
        <f>IFERROR(INDEX(Products!$C:$C,MATCH(D992,Products!$A:$A,0)),"Unknown")</f>
        <v>Women Dresses</v>
      </c>
      <c r="W992" t="str">
        <f>IFERROR(INDEX(Products!$E:$E,MATCH(D992,Products!$A:$A,0)),"Unknown")</f>
        <v>Kalyan Silks</v>
      </c>
      <c r="X992" t="str">
        <f>IFERROR(INDEX(Stores!$B:$B,MATCH(E992,Stores!$A:$A,0)),"Unknown")</f>
        <v>TrendMart Kochi High Street</v>
      </c>
      <c r="Y992" t="str">
        <f>IFERROR(INDEX(Stores!$E:$E,MATCH(E992,Stores!$A:$A,0)),"Unknown")</f>
        <v>South Zone 1</v>
      </c>
      <c r="Z992" t="str">
        <f>IFERROR(INDEX(Customers!$J:$J,MATCH(C992,Customers!$A:$A,0)),"Unknown")</f>
        <v>Regular</v>
      </c>
      <c r="AA992" t="str">
        <f t="shared" si="15"/>
        <v>2024-10</v>
      </c>
      <c r="AB992" t="str">
        <f>IFERROR(INDEX(Products!$I:$I,MATCH(D992,Products!$A:$A,0)),"Unknown")</f>
        <v>SUP036</v>
      </c>
    </row>
    <row r="993" spans="1:28" x14ac:dyDescent="0.25">
      <c r="A993" t="s">
        <v>2647</v>
      </c>
      <c r="B993" s="20">
        <v>45450</v>
      </c>
      <c r="C993" t="s">
        <v>1181</v>
      </c>
      <c r="D993" t="s">
        <v>1350</v>
      </c>
      <c r="E993" t="s">
        <v>506</v>
      </c>
      <c r="F993" t="s">
        <v>159</v>
      </c>
      <c r="G993">
        <v>3</v>
      </c>
      <c r="H993" s="21">
        <v>626.99</v>
      </c>
      <c r="I993">
        <v>30</v>
      </c>
      <c r="J993" s="21">
        <v>564.29</v>
      </c>
      <c r="K993">
        <v>5</v>
      </c>
      <c r="L993" s="21">
        <v>65.83</v>
      </c>
      <c r="M993" s="21">
        <v>1382.51</v>
      </c>
      <c r="N993" s="21">
        <v>1258.2</v>
      </c>
      <c r="O993" s="21">
        <v>58.48</v>
      </c>
      <c r="P993" t="s">
        <v>121</v>
      </c>
      <c r="Q993" t="s">
        <v>120</v>
      </c>
      <c r="R993" t="s">
        <v>151</v>
      </c>
      <c r="S993" t="s">
        <v>1014</v>
      </c>
      <c r="T993" t="s">
        <v>153</v>
      </c>
      <c r="U993" t="s">
        <v>154</v>
      </c>
      <c r="V993" t="str">
        <f>IFERROR(INDEX(Products!$C:$C,MATCH(D993,Products!$A:$A,0)),"Unknown")</f>
        <v>Women Tops</v>
      </c>
      <c r="W993" t="str">
        <f>IFERROR(INDEX(Products!$E:$E,MATCH(D993,Products!$A:$A,0)),"Unknown")</f>
        <v>Jack &amp; Jones</v>
      </c>
      <c r="X993" t="str">
        <f>IFERROR(INDEX(Stores!$B:$B,MATCH(E993,Stores!$A:$A,0)),"Unknown")</f>
        <v>TrendMart Nellore High Street</v>
      </c>
      <c r="Y993" t="str">
        <f>IFERROR(INDEX(Stores!$E:$E,MATCH(E993,Stores!$A:$A,0)),"Unknown")</f>
        <v>South Zone 3</v>
      </c>
      <c r="Z993" t="str">
        <f>IFERROR(INDEX(Customers!$J:$J,MATCH(C993,Customers!$A:$A,0)),"Unknown")</f>
        <v>Gold</v>
      </c>
      <c r="AA993" t="str">
        <f t="shared" si="15"/>
        <v>2024-06</v>
      </c>
      <c r="AB993" t="str">
        <f>IFERROR(INDEX(Products!$I:$I,MATCH(D993,Products!$A:$A,0)),"Unknown")</f>
        <v>SUP089</v>
      </c>
    </row>
    <row r="994" spans="1:28" x14ac:dyDescent="0.25">
      <c r="A994" t="s">
        <v>2648</v>
      </c>
      <c r="B994" s="20">
        <v>45632</v>
      </c>
      <c r="C994" t="s">
        <v>1086</v>
      </c>
      <c r="D994" t="s">
        <v>1178</v>
      </c>
      <c r="E994" t="s">
        <v>1017</v>
      </c>
      <c r="F994" t="s">
        <v>579</v>
      </c>
      <c r="G994">
        <v>4</v>
      </c>
      <c r="H994" s="21">
        <v>1768.37</v>
      </c>
      <c r="I994">
        <v>15</v>
      </c>
      <c r="J994" s="21">
        <v>1061.02</v>
      </c>
      <c r="K994">
        <v>12</v>
      </c>
      <c r="L994" s="21">
        <v>721.5</v>
      </c>
      <c r="M994" s="21">
        <v>6733.96</v>
      </c>
      <c r="N994" s="21">
        <v>4580.84</v>
      </c>
      <c r="O994" s="21">
        <v>1431.62</v>
      </c>
      <c r="P994" t="s">
        <v>121</v>
      </c>
      <c r="Q994" t="s">
        <v>122</v>
      </c>
      <c r="R994" t="s">
        <v>151</v>
      </c>
      <c r="S994" t="s">
        <v>2149</v>
      </c>
      <c r="T994" t="s">
        <v>153</v>
      </c>
      <c r="U994" t="s">
        <v>154</v>
      </c>
      <c r="V994" t="str">
        <f>IFERROR(INDEX(Products!$C:$C,MATCH(D994,Products!$A:$A,0)),"Unknown")</f>
        <v>Footwear</v>
      </c>
      <c r="W994" t="str">
        <f>IFERROR(INDEX(Products!$E:$E,MATCH(D994,Products!$A:$A,0)),"Unknown")</f>
        <v>Sparx</v>
      </c>
      <c r="X994" t="str">
        <f>IFERROR(INDEX(Stores!$B:$B,MATCH(E994,Stores!$A:$A,0)),"Unknown")</f>
        <v>TrendMart Mangaluru Standard</v>
      </c>
      <c r="Y994" t="str">
        <f>IFERROR(INDEX(Stores!$E:$E,MATCH(E994,Stores!$A:$A,0)),"Unknown")</f>
        <v>South Zone 2</v>
      </c>
      <c r="Z994" t="str">
        <f>IFERROR(INDEX(Customers!$J:$J,MATCH(C994,Customers!$A:$A,0)),"Unknown")</f>
        <v>Gold</v>
      </c>
      <c r="AA994" t="str">
        <f t="shared" si="15"/>
        <v>2024-12</v>
      </c>
      <c r="AB994" t="str">
        <f>IFERROR(INDEX(Products!$I:$I,MATCH(D994,Products!$A:$A,0)),"Unknown")</f>
        <v>SUP063</v>
      </c>
    </row>
    <row r="995" spans="1:28" x14ac:dyDescent="0.25">
      <c r="A995" t="s">
        <v>2649</v>
      </c>
      <c r="B995" s="20">
        <v>45722</v>
      </c>
      <c r="C995" t="s">
        <v>2650</v>
      </c>
      <c r="D995" t="s">
        <v>481</v>
      </c>
      <c r="E995" t="s">
        <v>368</v>
      </c>
      <c r="F995" t="s">
        <v>532</v>
      </c>
      <c r="G995">
        <v>4</v>
      </c>
      <c r="H995" s="21">
        <v>915.91</v>
      </c>
      <c r="I995">
        <v>5</v>
      </c>
      <c r="J995" s="21">
        <v>183.18</v>
      </c>
      <c r="K995">
        <v>5</v>
      </c>
      <c r="L995" s="21">
        <v>174.02</v>
      </c>
      <c r="M995" s="21">
        <v>3654.48</v>
      </c>
      <c r="N995" s="21">
        <v>2792.32</v>
      </c>
      <c r="O995" s="21">
        <v>688.14</v>
      </c>
      <c r="P995" t="s">
        <v>125</v>
      </c>
      <c r="Q995" t="s">
        <v>122</v>
      </c>
      <c r="R995" t="s">
        <v>151</v>
      </c>
      <c r="S995" t="s">
        <v>2651</v>
      </c>
      <c r="T995" t="s">
        <v>153</v>
      </c>
      <c r="U995" t="s">
        <v>154</v>
      </c>
      <c r="V995" t="str">
        <f>IFERROR(INDEX(Products!$C:$C,MATCH(D995,Products!$A:$A,0)),"Unknown")</f>
        <v>Women Dresses</v>
      </c>
      <c r="W995" t="str">
        <f>IFERROR(INDEX(Products!$E:$E,MATCH(D995,Products!$A:$A,0)),"Unknown")</f>
        <v>Jack &amp; Jones</v>
      </c>
      <c r="X995" t="str">
        <f>IFERROR(INDEX(Stores!$B:$B,MATCH(E995,Stores!$A:$A,0)),"Unknown")</f>
        <v>TrendMart Alappuzha Outlet</v>
      </c>
      <c r="Y995" t="str">
        <f>IFERROR(INDEX(Stores!$E:$E,MATCH(E995,Stores!$A:$A,0)),"Unknown")</f>
        <v>South Zone 1</v>
      </c>
      <c r="Z995" t="str">
        <f>IFERROR(INDEX(Customers!$J:$J,MATCH(C995,Customers!$A:$A,0)),"Unknown")</f>
        <v>Platinum</v>
      </c>
      <c r="AA995" t="str">
        <f t="shared" si="15"/>
        <v>2025-03</v>
      </c>
      <c r="AB995" t="str">
        <f>IFERROR(INDEX(Products!$I:$I,MATCH(D995,Products!$A:$A,0)),"Unknown")</f>
        <v>SUP069</v>
      </c>
    </row>
    <row r="996" spans="1:28" x14ac:dyDescent="0.25">
      <c r="A996" t="s">
        <v>2652</v>
      </c>
      <c r="B996" s="20">
        <v>45506</v>
      </c>
      <c r="C996" t="s">
        <v>1022</v>
      </c>
      <c r="D996" t="s">
        <v>629</v>
      </c>
      <c r="E996" t="s">
        <v>511</v>
      </c>
      <c r="F996" t="s">
        <v>403</v>
      </c>
      <c r="G996">
        <v>2</v>
      </c>
      <c r="H996" s="21">
        <v>6736.03</v>
      </c>
      <c r="I996">
        <v>10</v>
      </c>
      <c r="J996" s="21">
        <v>1347.21</v>
      </c>
      <c r="K996">
        <v>3</v>
      </c>
      <c r="L996" s="21">
        <v>363.75</v>
      </c>
      <c r="M996" s="21">
        <v>12488.6</v>
      </c>
      <c r="N996" s="21">
        <v>9734.42</v>
      </c>
      <c r="O996" s="21">
        <v>2390.4299999999998</v>
      </c>
      <c r="P996" t="s">
        <v>121</v>
      </c>
      <c r="Q996" t="s">
        <v>120</v>
      </c>
      <c r="R996" t="s">
        <v>151</v>
      </c>
      <c r="S996" t="s">
        <v>635</v>
      </c>
      <c r="T996" t="s">
        <v>153</v>
      </c>
      <c r="U996" t="s">
        <v>154</v>
      </c>
      <c r="V996" t="str">
        <f>IFERROR(INDEX(Products!$C:$C,MATCH(D996,Products!$A:$A,0)),"Unknown")</f>
        <v>Jewellery</v>
      </c>
      <c r="W996" t="str">
        <f>IFERROR(INDEX(Products!$E:$E,MATCH(D996,Products!$A:$A,0)),"Unknown")</f>
        <v>Global Desi</v>
      </c>
      <c r="X996" t="str">
        <f>IFERROR(INDEX(Stores!$B:$B,MATCH(E996,Stores!$A:$A,0)),"Unknown")</f>
        <v>TrendMart Khammam Standard</v>
      </c>
      <c r="Y996" t="str">
        <f>IFERROR(INDEX(Stores!$E:$E,MATCH(E996,Stores!$A:$A,0)),"Unknown")</f>
        <v>South Zone 2</v>
      </c>
      <c r="Z996" t="str">
        <f>IFERROR(INDEX(Customers!$J:$J,MATCH(C996,Customers!$A:$A,0)),"Unknown")</f>
        <v>Gold</v>
      </c>
      <c r="AA996" t="str">
        <f t="shared" si="15"/>
        <v>2024-08</v>
      </c>
      <c r="AB996" t="str">
        <f>IFERROR(INDEX(Products!$I:$I,MATCH(D996,Products!$A:$A,0)),"Unknown")</f>
        <v>SUP066</v>
      </c>
    </row>
    <row r="997" spans="1:28" x14ac:dyDescent="0.25">
      <c r="A997" t="s">
        <v>2653</v>
      </c>
      <c r="B997" s="20">
        <v>45710</v>
      </c>
      <c r="C997" t="s">
        <v>1959</v>
      </c>
      <c r="D997" t="s">
        <v>558</v>
      </c>
      <c r="E997" t="s">
        <v>89</v>
      </c>
      <c r="F997" t="s">
        <v>211</v>
      </c>
      <c r="G997">
        <v>3</v>
      </c>
      <c r="H997" s="21">
        <v>684.98</v>
      </c>
      <c r="I997">
        <v>15</v>
      </c>
      <c r="J997" s="21">
        <v>308.24</v>
      </c>
      <c r="K997">
        <v>5</v>
      </c>
      <c r="L997" s="21">
        <v>87.33</v>
      </c>
      <c r="M997" s="21">
        <v>1834.03</v>
      </c>
      <c r="N997" s="21">
        <v>1371.48</v>
      </c>
      <c r="O997" s="21">
        <v>375.22</v>
      </c>
      <c r="P997" t="s">
        <v>124</v>
      </c>
      <c r="Q997" t="s">
        <v>120</v>
      </c>
      <c r="R997" t="s">
        <v>313</v>
      </c>
      <c r="S997" t="s">
        <v>735</v>
      </c>
      <c r="T997" t="s">
        <v>161</v>
      </c>
      <c r="U997" t="s">
        <v>154</v>
      </c>
      <c r="V997" t="str">
        <f>IFERROR(INDEX(Products!$C:$C,MATCH(D997,Products!$A:$A,0)),"Unknown")</f>
        <v>Women Tops</v>
      </c>
      <c r="W997" t="str">
        <f>IFERROR(INDEX(Products!$E:$E,MATCH(D997,Products!$A:$A,0)),"Unknown")</f>
        <v>Aurelia</v>
      </c>
      <c r="X997" t="str">
        <f>IFERROR(INDEX(Stores!$B:$B,MATCH(E997,Stores!$A:$A,0)),"Unknown")</f>
        <v>TrendMart Kochi Standard</v>
      </c>
      <c r="Y997" t="str">
        <f>IFERROR(INDEX(Stores!$E:$E,MATCH(E997,Stores!$A:$A,0)),"Unknown")</f>
        <v>South Zone 1</v>
      </c>
      <c r="Z997" t="str">
        <f>IFERROR(INDEX(Customers!$J:$J,MATCH(C997,Customers!$A:$A,0)),"Unknown")</f>
        <v>Silver</v>
      </c>
      <c r="AA997" t="str">
        <f t="shared" si="15"/>
        <v>2025-02</v>
      </c>
      <c r="AB997" t="str">
        <f>IFERROR(INDEX(Products!$I:$I,MATCH(D997,Products!$A:$A,0)),"Unknown")</f>
        <v>SUP055</v>
      </c>
    </row>
    <row r="998" spans="1:28" x14ac:dyDescent="0.25">
      <c r="A998" t="s">
        <v>2654</v>
      </c>
      <c r="B998" s="20">
        <v>45623</v>
      </c>
      <c r="C998" t="s">
        <v>2110</v>
      </c>
      <c r="D998" t="s">
        <v>1691</v>
      </c>
      <c r="E998" t="s">
        <v>495</v>
      </c>
      <c r="F998" t="s">
        <v>189</v>
      </c>
      <c r="G998">
        <v>1</v>
      </c>
      <c r="H998" s="21">
        <v>954.76</v>
      </c>
      <c r="I998">
        <v>0</v>
      </c>
      <c r="J998" s="21">
        <v>0</v>
      </c>
      <c r="K998">
        <v>5</v>
      </c>
      <c r="L998" s="21">
        <v>47.74</v>
      </c>
      <c r="M998" s="21">
        <v>1002.5</v>
      </c>
      <c r="N998" s="21">
        <v>700.93</v>
      </c>
      <c r="O998" s="21">
        <v>253.83</v>
      </c>
      <c r="P998" t="s">
        <v>125</v>
      </c>
      <c r="Q998" t="s">
        <v>120</v>
      </c>
      <c r="R998" t="s">
        <v>151</v>
      </c>
      <c r="S998" t="s">
        <v>2655</v>
      </c>
      <c r="T998" t="s">
        <v>153</v>
      </c>
      <c r="U998" t="s">
        <v>154</v>
      </c>
      <c r="V998" t="str">
        <f>IFERROR(INDEX(Products!$C:$C,MATCH(D998,Products!$A:$A,0)),"Unknown")</f>
        <v>Women Jeans</v>
      </c>
      <c r="W998" t="str">
        <f>IFERROR(INDEX(Products!$E:$E,MATCH(D998,Products!$A:$A,0)),"Unknown")</f>
        <v>Global Desi</v>
      </c>
      <c r="X998" t="str">
        <f>IFERROR(INDEX(Stores!$B:$B,MATCH(E998,Stores!$A:$A,0)),"Unknown")</f>
        <v>TrendMart Visakhapatnam Flagship</v>
      </c>
      <c r="Y998" t="str">
        <f>IFERROR(INDEX(Stores!$E:$E,MATCH(E998,Stores!$A:$A,0)),"Unknown")</f>
        <v>South Zone 3</v>
      </c>
      <c r="Z998" t="str">
        <f>IFERROR(INDEX(Customers!$J:$J,MATCH(C998,Customers!$A:$A,0)),"Unknown")</f>
        <v>Regular</v>
      </c>
      <c r="AA998" t="str">
        <f t="shared" si="15"/>
        <v>2024-11</v>
      </c>
      <c r="AB998" t="str">
        <f>IFERROR(INDEX(Products!$I:$I,MATCH(D998,Products!$A:$A,0)),"Unknown")</f>
        <v>SUP015</v>
      </c>
    </row>
    <row r="999" spans="1:28" x14ac:dyDescent="0.25">
      <c r="A999" t="s">
        <v>2656</v>
      </c>
      <c r="B999" s="20">
        <v>45607</v>
      </c>
      <c r="C999" t="s">
        <v>2657</v>
      </c>
      <c r="D999" t="s">
        <v>1338</v>
      </c>
      <c r="E999" t="s">
        <v>815</v>
      </c>
      <c r="F999" t="s">
        <v>462</v>
      </c>
      <c r="G999">
        <v>1</v>
      </c>
      <c r="H999" s="21">
        <v>2059.5300000000002</v>
      </c>
      <c r="I999">
        <v>0</v>
      </c>
      <c r="J999" s="21">
        <v>0</v>
      </c>
      <c r="K999">
        <v>12</v>
      </c>
      <c r="L999" s="21">
        <v>247.14</v>
      </c>
      <c r="M999" s="21">
        <v>2306.67</v>
      </c>
      <c r="N999" s="21">
        <v>1579.46</v>
      </c>
      <c r="O999" s="21">
        <v>480.07</v>
      </c>
      <c r="P999" t="s">
        <v>124</v>
      </c>
      <c r="Q999" t="s">
        <v>120</v>
      </c>
      <c r="R999" t="s">
        <v>151</v>
      </c>
      <c r="S999" t="s">
        <v>2658</v>
      </c>
      <c r="T999" t="s">
        <v>153</v>
      </c>
      <c r="U999" t="s">
        <v>154</v>
      </c>
      <c r="V999" t="str">
        <f>IFERROR(INDEX(Products!$C:$C,MATCH(D999,Products!$A:$A,0)),"Unknown")</f>
        <v>Handbags</v>
      </c>
      <c r="W999" t="str">
        <f>IFERROR(INDEX(Products!$E:$E,MATCH(D999,Products!$A:$A,0)),"Unknown")</f>
        <v>Spykar</v>
      </c>
      <c r="X999" t="str">
        <f>IFERROR(INDEX(Stores!$B:$B,MATCH(E999,Stores!$A:$A,0)),"Unknown")</f>
        <v>TrendMart Madurai Mall Kiosk</v>
      </c>
      <c r="Y999" t="str">
        <f>IFERROR(INDEX(Stores!$E:$E,MATCH(E999,Stores!$A:$A,0)),"Unknown")</f>
        <v>South Zone 1</v>
      </c>
      <c r="Z999" t="str">
        <f>IFERROR(INDEX(Customers!$J:$J,MATCH(C999,Customers!$A:$A,0)),"Unknown")</f>
        <v>Silver</v>
      </c>
      <c r="AA999" t="str">
        <f t="shared" si="15"/>
        <v>2024-11</v>
      </c>
      <c r="AB999" t="str">
        <f>IFERROR(INDEX(Products!$I:$I,MATCH(D999,Products!$A:$A,0)),"Unknown")</f>
        <v>SUP079</v>
      </c>
    </row>
    <row r="1000" spans="1:28" x14ac:dyDescent="0.25">
      <c r="A1000" t="s">
        <v>2659</v>
      </c>
      <c r="B1000" s="20">
        <v>45588</v>
      </c>
      <c r="C1000" t="s">
        <v>1967</v>
      </c>
      <c r="D1000" t="s">
        <v>1661</v>
      </c>
      <c r="E1000" t="s">
        <v>95</v>
      </c>
      <c r="F1000" t="s">
        <v>253</v>
      </c>
      <c r="G1000">
        <v>3</v>
      </c>
      <c r="H1000" s="21">
        <v>831.88</v>
      </c>
      <c r="I1000">
        <v>10</v>
      </c>
      <c r="J1000" s="21">
        <v>249.56</v>
      </c>
      <c r="K1000">
        <v>5</v>
      </c>
      <c r="L1000" s="21">
        <v>112.3</v>
      </c>
      <c r="M1000" s="21">
        <v>2358.38</v>
      </c>
      <c r="N1000" s="21">
        <v>1984.02</v>
      </c>
      <c r="O1000" s="21">
        <v>262.06</v>
      </c>
      <c r="P1000" t="s">
        <v>126</v>
      </c>
      <c r="Q1000" t="s">
        <v>120</v>
      </c>
      <c r="R1000" t="s">
        <v>151</v>
      </c>
      <c r="S1000" t="s">
        <v>2660</v>
      </c>
      <c r="T1000" t="s">
        <v>153</v>
      </c>
      <c r="U1000" t="s">
        <v>154</v>
      </c>
      <c r="V1000" t="str">
        <f>IFERROR(INDEX(Products!$C:$C,MATCH(D1000,Products!$A:$A,0)),"Unknown")</f>
        <v>Men Jeans</v>
      </c>
      <c r="W1000" t="str">
        <f>IFERROR(INDEX(Products!$E:$E,MATCH(D1000,Products!$A:$A,0)),"Unknown")</f>
        <v>Aurelia</v>
      </c>
      <c r="X1000" t="str">
        <f>IFERROR(INDEX(Stores!$B:$B,MATCH(E1000,Stores!$A:$A,0)),"Unknown")</f>
        <v>TrendMart Thrissur Standard</v>
      </c>
      <c r="Y1000" t="str">
        <f>IFERROR(INDEX(Stores!$E:$E,MATCH(E1000,Stores!$A:$A,0)),"Unknown")</f>
        <v>South Zone 1</v>
      </c>
      <c r="Z1000" t="str">
        <f>IFERROR(INDEX(Customers!$J:$J,MATCH(C1000,Customers!$A:$A,0)),"Unknown")</f>
        <v>Gold</v>
      </c>
      <c r="AA1000" t="str">
        <f t="shared" si="15"/>
        <v>2024-10</v>
      </c>
      <c r="AB1000" t="str">
        <f>IFERROR(INDEX(Products!$I:$I,MATCH(D1000,Products!$A:$A,0)),"Unknown")</f>
        <v>SUP053</v>
      </c>
    </row>
    <row r="1001" spans="1:28" x14ac:dyDescent="0.25">
      <c r="A1001" t="s">
        <v>2661</v>
      </c>
      <c r="B1001" s="20">
        <v>45642</v>
      </c>
      <c r="C1001" t="s">
        <v>2662</v>
      </c>
      <c r="D1001" t="s">
        <v>433</v>
      </c>
      <c r="E1001" t="s">
        <v>667</v>
      </c>
      <c r="F1001" t="s">
        <v>532</v>
      </c>
      <c r="G1001">
        <v>1</v>
      </c>
      <c r="H1001" s="21">
        <v>816.31</v>
      </c>
      <c r="I1001">
        <v>0</v>
      </c>
      <c r="J1001" s="21">
        <v>0</v>
      </c>
      <c r="K1001">
        <v>5</v>
      </c>
      <c r="L1001" s="21">
        <v>40.82</v>
      </c>
      <c r="M1001" s="21">
        <v>857.13</v>
      </c>
      <c r="N1001" s="21">
        <v>573.09</v>
      </c>
      <c r="O1001" s="21">
        <v>243.22</v>
      </c>
      <c r="P1001" t="s">
        <v>121</v>
      </c>
      <c r="Q1001" t="s">
        <v>120</v>
      </c>
      <c r="R1001" t="s">
        <v>151</v>
      </c>
      <c r="S1001" t="s">
        <v>1656</v>
      </c>
      <c r="T1001" t="s">
        <v>153</v>
      </c>
      <c r="U1001" t="s">
        <v>154</v>
      </c>
      <c r="V1001" t="str">
        <f>IFERROR(INDEX(Products!$C:$C,MATCH(D1001,Products!$A:$A,0)),"Unknown")</f>
        <v>Women Kurtis</v>
      </c>
      <c r="W1001" t="str">
        <f>IFERROR(INDEX(Products!$E:$E,MATCH(D1001,Products!$A:$A,0)),"Unknown")</f>
        <v>Nike</v>
      </c>
      <c r="X1001" t="str">
        <f>IFERROR(INDEX(Stores!$B:$B,MATCH(E1001,Stores!$A:$A,0)),"Unknown")</f>
        <v>TrendMart Hyderabad High Street</v>
      </c>
      <c r="Y1001" t="str">
        <f>IFERROR(INDEX(Stores!$E:$E,MATCH(E1001,Stores!$A:$A,0)),"Unknown")</f>
        <v>South Zone 2</v>
      </c>
      <c r="Z1001" t="str">
        <f>IFERROR(INDEX(Customers!$J:$J,MATCH(C1001,Customers!$A:$A,0)),"Unknown")</f>
        <v>Regular</v>
      </c>
      <c r="AA1001" t="str">
        <f t="shared" si="15"/>
        <v>2024-12</v>
      </c>
      <c r="AB1001" t="str">
        <f>IFERROR(INDEX(Products!$I:$I,MATCH(D1001,Products!$A:$A,0)),"Unknown")</f>
        <v>SUP012</v>
      </c>
    </row>
    <row r="1002" spans="1:28" x14ac:dyDescent="0.25">
      <c r="A1002" t="s">
        <v>2663</v>
      </c>
      <c r="B1002" s="20">
        <v>45386</v>
      </c>
      <c r="C1002" t="s">
        <v>2067</v>
      </c>
      <c r="D1002" t="s">
        <v>2664</v>
      </c>
      <c r="E1002" t="s">
        <v>630</v>
      </c>
      <c r="F1002" t="s">
        <v>159</v>
      </c>
      <c r="G1002">
        <v>1</v>
      </c>
      <c r="H1002" s="21">
        <v>1516.16</v>
      </c>
      <c r="I1002">
        <v>30</v>
      </c>
      <c r="J1002" s="21">
        <v>454.85</v>
      </c>
      <c r="K1002">
        <v>12</v>
      </c>
      <c r="L1002" s="21">
        <v>127.36</v>
      </c>
      <c r="M1002" s="21">
        <v>1188.67</v>
      </c>
      <c r="N1002" s="21">
        <v>971.87</v>
      </c>
      <c r="O1002" s="21">
        <v>89.44</v>
      </c>
      <c r="P1002" t="s">
        <v>123</v>
      </c>
      <c r="Q1002" t="s">
        <v>120</v>
      </c>
      <c r="R1002" t="s">
        <v>151</v>
      </c>
      <c r="S1002" t="s">
        <v>1835</v>
      </c>
      <c r="T1002" t="s">
        <v>153</v>
      </c>
      <c r="U1002" t="s">
        <v>154</v>
      </c>
      <c r="V1002" t="str">
        <f>IFERROR(INDEX(Products!$C:$C,MATCH(D1002,Products!$A:$A,0)),"Unknown")</f>
        <v>Men Ethnic</v>
      </c>
      <c r="W1002" t="str">
        <f>IFERROR(INDEX(Products!$E:$E,MATCH(D1002,Products!$A:$A,0)),"Unknown")</f>
        <v>Max Fashion</v>
      </c>
      <c r="X1002" t="str">
        <f>IFERROR(INDEX(Stores!$B:$B,MATCH(E1002,Stores!$A:$A,0)),"Unknown")</f>
        <v>TrendMart Guntur Standard</v>
      </c>
      <c r="Y1002" t="str">
        <f>IFERROR(INDEX(Stores!$E:$E,MATCH(E1002,Stores!$A:$A,0)),"Unknown")</f>
        <v>South Zone 3</v>
      </c>
      <c r="Z1002" t="str">
        <f>IFERROR(INDEX(Customers!$J:$J,MATCH(C1002,Customers!$A:$A,0)),"Unknown")</f>
        <v>Silver</v>
      </c>
      <c r="AA1002" t="str">
        <f t="shared" si="15"/>
        <v>2024-04</v>
      </c>
      <c r="AB1002" t="str">
        <f>IFERROR(INDEX(Products!$I:$I,MATCH(D1002,Products!$A:$A,0)),"Unknown")</f>
        <v>SUP081</v>
      </c>
    </row>
    <row r="1003" spans="1:28" x14ac:dyDescent="0.25">
      <c r="A1003" t="s">
        <v>2665</v>
      </c>
      <c r="B1003" s="20">
        <v>45590</v>
      </c>
      <c r="C1003" t="s">
        <v>173</v>
      </c>
      <c r="D1003" t="s">
        <v>748</v>
      </c>
      <c r="E1003" t="s">
        <v>363</v>
      </c>
      <c r="F1003" t="s">
        <v>532</v>
      </c>
      <c r="G1003">
        <v>1</v>
      </c>
      <c r="H1003" s="21">
        <v>1211.8</v>
      </c>
      <c r="I1003">
        <v>20</v>
      </c>
      <c r="J1003" s="21">
        <v>242.36</v>
      </c>
      <c r="K1003">
        <v>12</v>
      </c>
      <c r="L1003" s="21">
        <v>116.33</v>
      </c>
      <c r="M1003" s="21">
        <v>1085.77</v>
      </c>
      <c r="N1003" s="21">
        <v>841.85</v>
      </c>
      <c r="O1003" s="21">
        <v>127.59</v>
      </c>
      <c r="P1003" t="s">
        <v>121</v>
      </c>
      <c r="Q1003" t="s">
        <v>120</v>
      </c>
      <c r="R1003" t="s">
        <v>151</v>
      </c>
      <c r="S1003" t="s">
        <v>728</v>
      </c>
      <c r="T1003" t="s">
        <v>153</v>
      </c>
      <c r="U1003" t="s">
        <v>154</v>
      </c>
      <c r="V1003" t="str">
        <f>IFERROR(INDEX(Products!$C:$C,MATCH(D1003,Products!$A:$A,0)),"Unknown")</f>
        <v>Women Dresses</v>
      </c>
      <c r="W1003" t="str">
        <f>IFERROR(INDEX(Products!$E:$E,MATCH(D1003,Products!$A:$A,0)),"Unknown")</f>
        <v>Kalyan Silks</v>
      </c>
      <c r="X1003" t="str">
        <f>IFERROR(INDEX(Stores!$B:$B,MATCH(E1003,Stores!$A:$A,0)),"Unknown")</f>
        <v>TrendMart Thiruvananthapuram High Street</v>
      </c>
      <c r="Y1003" t="str">
        <f>IFERROR(INDEX(Stores!$E:$E,MATCH(E1003,Stores!$A:$A,0)),"Unknown")</f>
        <v>South Zone 1</v>
      </c>
      <c r="Z1003" t="str">
        <f>IFERROR(INDEX(Customers!$J:$J,MATCH(C1003,Customers!$A:$A,0)),"Unknown")</f>
        <v>Regular</v>
      </c>
      <c r="AA1003" t="str">
        <f t="shared" si="15"/>
        <v>2024-10</v>
      </c>
      <c r="AB1003" t="str">
        <f>IFERROR(INDEX(Products!$I:$I,MATCH(D1003,Products!$A:$A,0)),"Unknown")</f>
        <v>SUP036</v>
      </c>
    </row>
    <row r="1004" spans="1:28" x14ac:dyDescent="0.25">
      <c r="A1004" t="s">
        <v>2666</v>
      </c>
      <c r="B1004" s="20">
        <v>45600</v>
      </c>
      <c r="C1004" t="s">
        <v>2667</v>
      </c>
      <c r="D1004" t="s">
        <v>225</v>
      </c>
      <c r="E1004" t="s">
        <v>588</v>
      </c>
      <c r="F1004" t="s">
        <v>195</v>
      </c>
      <c r="G1004">
        <v>1</v>
      </c>
      <c r="H1004" s="21">
        <v>1777.15</v>
      </c>
      <c r="I1004">
        <v>10</v>
      </c>
      <c r="J1004" s="21">
        <v>177.72</v>
      </c>
      <c r="K1004">
        <v>12</v>
      </c>
      <c r="L1004" s="21">
        <v>191.93</v>
      </c>
      <c r="M1004" s="21">
        <v>1791.36</v>
      </c>
      <c r="N1004" s="21">
        <v>1407.33</v>
      </c>
      <c r="O1004" s="21">
        <v>192.1</v>
      </c>
      <c r="P1004" t="s">
        <v>125</v>
      </c>
      <c r="Q1004" t="s">
        <v>120</v>
      </c>
      <c r="R1004" t="s">
        <v>151</v>
      </c>
      <c r="S1004" t="s">
        <v>2527</v>
      </c>
      <c r="T1004" t="s">
        <v>153</v>
      </c>
      <c r="U1004" t="s">
        <v>154</v>
      </c>
      <c r="V1004" t="str">
        <f>IFERROR(INDEX(Products!$C:$C,MATCH(D1004,Products!$A:$A,0)),"Unknown")</f>
        <v>Women Dresses</v>
      </c>
      <c r="W1004" t="str">
        <f>IFERROR(INDEX(Products!$E:$E,MATCH(D1004,Products!$A:$A,0)),"Unknown")</f>
        <v>Tanishq</v>
      </c>
      <c r="X1004" t="str">
        <f>IFERROR(INDEX(Stores!$B:$B,MATCH(E1004,Stores!$A:$A,0)),"Unknown")</f>
        <v>TrendMart Nizamabad Standard</v>
      </c>
      <c r="Y1004" t="str">
        <f>IFERROR(INDEX(Stores!$E:$E,MATCH(E1004,Stores!$A:$A,0)),"Unknown")</f>
        <v>South Zone 2</v>
      </c>
      <c r="Z1004" t="str">
        <f>IFERROR(INDEX(Customers!$J:$J,MATCH(C1004,Customers!$A:$A,0)),"Unknown")</f>
        <v>Regular</v>
      </c>
      <c r="AA1004" t="str">
        <f t="shared" si="15"/>
        <v>2024-11</v>
      </c>
      <c r="AB1004" t="str">
        <f>IFERROR(INDEX(Products!$I:$I,MATCH(D1004,Products!$A:$A,0)),"Unknown")</f>
        <v>SUP063</v>
      </c>
    </row>
    <row r="1005" spans="1:28" x14ac:dyDescent="0.25">
      <c r="A1005" t="s">
        <v>2668</v>
      </c>
      <c r="B1005" s="20">
        <v>45724</v>
      </c>
      <c r="C1005" t="s">
        <v>1819</v>
      </c>
      <c r="D1005" t="s">
        <v>1111</v>
      </c>
      <c r="E1005" t="s">
        <v>360</v>
      </c>
      <c r="F1005" t="s">
        <v>292</v>
      </c>
      <c r="G1005">
        <v>2</v>
      </c>
      <c r="H1005" s="21">
        <v>2399.5500000000002</v>
      </c>
      <c r="I1005">
        <v>20</v>
      </c>
      <c r="J1005" s="21">
        <v>959.82</v>
      </c>
      <c r="K1005">
        <v>12</v>
      </c>
      <c r="L1005" s="21">
        <v>460.71</v>
      </c>
      <c r="M1005" s="21">
        <v>4299.99</v>
      </c>
      <c r="N1005" s="21">
        <v>3353.84</v>
      </c>
      <c r="O1005" s="21">
        <v>485.44</v>
      </c>
      <c r="P1005" t="s">
        <v>121</v>
      </c>
      <c r="Q1005" t="s">
        <v>122</v>
      </c>
      <c r="R1005" t="s">
        <v>151</v>
      </c>
      <c r="S1005" t="s">
        <v>426</v>
      </c>
      <c r="T1005" t="s">
        <v>161</v>
      </c>
      <c r="U1005" t="s">
        <v>154</v>
      </c>
      <c r="V1005" t="str">
        <f>IFERROR(INDEX(Products!$C:$C,MATCH(D1005,Products!$A:$A,0)),"Unknown")</f>
        <v>Men Ethnic</v>
      </c>
      <c r="W1005" t="str">
        <f>IFERROR(INDEX(Products!$E:$E,MATCH(D1005,Products!$A:$A,0)),"Unknown")</f>
        <v>Raymond</v>
      </c>
      <c r="X1005" t="str">
        <f>IFERROR(INDEX(Stores!$B:$B,MATCH(E1005,Stores!$A:$A,0)),"Unknown")</f>
        <v>TrendMart Kochi Standard</v>
      </c>
      <c r="Y1005" t="str">
        <f>IFERROR(INDEX(Stores!$E:$E,MATCH(E1005,Stores!$A:$A,0)),"Unknown")</f>
        <v>South Zone 1</v>
      </c>
      <c r="Z1005" t="str">
        <f>IFERROR(INDEX(Customers!$J:$J,MATCH(C1005,Customers!$A:$A,0)),"Unknown")</f>
        <v>Regular</v>
      </c>
      <c r="AA1005" t="str">
        <f t="shared" si="15"/>
        <v>2025-03</v>
      </c>
      <c r="AB1005" t="str">
        <f>IFERROR(INDEX(Products!$I:$I,MATCH(D1005,Products!$A:$A,0)),"Unknown")</f>
        <v>SUP018</v>
      </c>
    </row>
    <row r="1006" spans="1:28" x14ac:dyDescent="0.25">
      <c r="A1006" t="s">
        <v>2669</v>
      </c>
      <c r="B1006" s="20">
        <v>45653</v>
      </c>
      <c r="C1006" t="s">
        <v>1301</v>
      </c>
      <c r="D1006" t="s">
        <v>174</v>
      </c>
      <c r="E1006" t="s">
        <v>927</v>
      </c>
      <c r="F1006" t="s">
        <v>292</v>
      </c>
      <c r="G1006">
        <v>2</v>
      </c>
      <c r="H1006" s="21">
        <v>829.85</v>
      </c>
      <c r="I1006">
        <v>25</v>
      </c>
      <c r="J1006" s="21">
        <v>414.93</v>
      </c>
      <c r="K1006">
        <v>5</v>
      </c>
      <c r="L1006" s="21">
        <v>62.24</v>
      </c>
      <c r="M1006" s="21">
        <v>1307.01</v>
      </c>
      <c r="N1006" s="21">
        <v>1079.52</v>
      </c>
      <c r="O1006" s="21">
        <v>165.25</v>
      </c>
      <c r="P1006" t="s">
        <v>124</v>
      </c>
      <c r="Q1006" t="s">
        <v>120</v>
      </c>
      <c r="R1006" t="s">
        <v>151</v>
      </c>
      <c r="S1006" t="s">
        <v>566</v>
      </c>
      <c r="T1006" t="s">
        <v>153</v>
      </c>
      <c r="U1006" t="s">
        <v>154</v>
      </c>
      <c r="V1006" t="str">
        <f>IFERROR(INDEX(Products!$C:$C,MATCH(D1006,Products!$A:$A,0)),"Unknown")</f>
        <v>Women Kurtis</v>
      </c>
      <c r="W1006" t="str">
        <f>IFERROR(INDEX(Products!$E:$E,MATCH(D1006,Products!$A:$A,0)),"Unknown")</f>
        <v>Reebok</v>
      </c>
      <c r="X1006" t="str">
        <f>IFERROR(INDEX(Stores!$B:$B,MATCH(E1006,Stores!$A:$A,0)),"Unknown")</f>
        <v>TrendMart Kochi Mall Kiosk</v>
      </c>
      <c r="Y1006" t="str">
        <f>IFERROR(INDEX(Stores!$E:$E,MATCH(E1006,Stores!$A:$A,0)),"Unknown")</f>
        <v>South Zone 1</v>
      </c>
      <c r="Z1006" t="str">
        <f>IFERROR(INDEX(Customers!$J:$J,MATCH(C1006,Customers!$A:$A,0)),"Unknown")</f>
        <v>Regular</v>
      </c>
      <c r="AA1006" t="str">
        <f t="shared" si="15"/>
        <v>2024-12</v>
      </c>
      <c r="AB1006" t="str">
        <f>IFERROR(INDEX(Products!$I:$I,MATCH(D1006,Products!$A:$A,0)),"Unknown")</f>
        <v>SUP012</v>
      </c>
    </row>
    <row r="1007" spans="1:28" x14ac:dyDescent="0.25">
      <c r="A1007" t="s">
        <v>2670</v>
      </c>
      <c r="B1007" s="20">
        <v>45624</v>
      </c>
      <c r="C1007" t="s">
        <v>2671</v>
      </c>
      <c r="D1007" t="s">
        <v>1088</v>
      </c>
      <c r="E1007" t="s">
        <v>741</v>
      </c>
      <c r="F1007" t="s">
        <v>618</v>
      </c>
      <c r="G1007">
        <v>1</v>
      </c>
      <c r="H1007" s="21">
        <v>894.08</v>
      </c>
      <c r="I1007">
        <v>20</v>
      </c>
      <c r="J1007" s="21">
        <v>178.82</v>
      </c>
      <c r="K1007">
        <v>5</v>
      </c>
      <c r="L1007" s="21">
        <v>35.76</v>
      </c>
      <c r="M1007" s="21">
        <v>751.02</v>
      </c>
      <c r="N1007" s="21">
        <v>599.28</v>
      </c>
      <c r="O1007" s="21">
        <v>115.98</v>
      </c>
      <c r="P1007" t="s">
        <v>121</v>
      </c>
      <c r="Q1007" t="s">
        <v>120</v>
      </c>
      <c r="R1007" t="s">
        <v>151</v>
      </c>
      <c r="S1007" t="s">
        <v>1804</v>
      </c>
      <c r="T1007" t="s">
        <v>153</v>
      </c>
      <c r="U1007" t="s">
        <v>154</v>
      </c>
      <c r="V1007" t="str">
        <f>IFERROR(INDEX(Products!$C:$C,MATCH(D1007,Products!$A:$A,0)),"Unknown")</f>
        <v>Women Kurtis</v>
      </c>
      <c r="W1007" t="str">
        <f>IFERROR(INDEX(Products!$E:$E,MATCH(D1007,Products!$A:$A,0)),"Unknown")</f>
        <v>Metro Shoes</v>
      </c>
      <c r="X1007" t="str">
        <f>IFERROR(INDEX(Stores!$B:$B,MATCH(E1007,Stores!$A:$A,0)),"Unknown")</f>
        <v>TrendMart Nellore Mall Kiosk</v>
      </c>
      <c r="Y1007" t="str">
        <f>IFERROR(INDEX(Stores!$E:$E,MATCH(E1007,Stores!$A:$A,0)),"Unknown")</f>
        <v>South Zone 3</v>
      </c>
      <c r="Z1007" t="str">
        <f>IFERROR(INDEX(Customers!$J:$J,MATCH(C1007,Customers!$A:$A,0)),"Unknown")</f>
        <v>Platinum</v>
      </c>
      <c r="AA1007" t="str">
        <f t="shared" si="15"/>
        <v>2024-11</v>
      </c>
      <c r="AB1007" t="str">
        <f>IFERROR(INDEX(Products!$I:$I,MATCH(D1007,Products!$A:$A,0)),"Unknown")</f>
        <v>SUP045</v>
      </c>
    </row>
    <row r="1008" spans="1:28" x14ac:dyDescent="0.25">
      <c r="A1008" t="s">
        <v>2672</v>
      </c>
      <c r="B1008" s="20">
        <v>45560</v>
      </c>
      <c r="C1008" t="s">
        <v>2673</v>
      </c>
      <c r="D1008" t="s">
        <v>180</v>
      </c>
      <c r="E1008" t="s">
        <v>88</v>
      </c>
      <c r="F1008" t="s">
        <v>176</v>
      </c>
      <c r="G1008">
        <v>2</v>
      </c>
      <c r="H1008" s="21">
        <v>3360.39</v>
      </c>
      <c r="I1008">
        <v>0</v>
      </c>
      <c r="J1008" s="21">
        <v>0</v>
      </c>
      <c r="K1008">
        <v>12</v>
      </c>
      <c r="L1008" s="21">
        <v>806.49</v>
      </c>
      <c r="M1008" s="21">
        <v>7527.27</v>
      </c>
      <c r="N1008" s="21">
        <v>4849.24</v>
      </c>
      <c r="O1008" s="21">
        <v>1871.54</v>
      </c>
      <c r="P1008" t="s">
        <v>121</v>
      </c>
      <c r="Q1008" t="s">
        <v>120</v>
      </c>
      <c r="R1008" t="s">
        <v>151</v>
      </c>
      <c r="S1008" t="s">
        <v>737</v>
      </c>
      <c r="T1008" t="s">
        <v>153</v>
      </c>
      <c r="U1008" t="s">
        <v>154</v>
      </c>
      <c r="V1008" t="str">
        <f>IFERROR(INDEX(Products!$C:$C,MATCH(D1008,Products!$A:$A,0)),"Unknown")</f>
        <v>Footwear</v>
      </c>
      <c r="W1008" t="str">
        <f>IFERROR(INDEX(Products!$E:$E,MATCH(D1008,Products!$A:$A,0)),"Unknown")</f>
        <v>US Polo Assn</v>
      </c>
      <c r="X1008" t="str">
        <f>IFERROR(INDEX(Stores!$B:$B,MATCH(E1008,Stores!$A:$A,0)),"Unknown")</f>
        <v>TrendMart Kozhikode Mall Kiosk</v>
      </c>
      <c r="Y1008" t="str">
        <f>IFERROR(INDEX(Stores!$E:$E,MATCH(E1008,Stores!$A:$A,0)),"Unknown")</f>
        <v>South Zone 1</v>
      </c>
      <c r="Z1008" t="str">
        <f>IFERROR(INDEX(Customers!$J:$J,MATCH(C1008,Customers!$A:$A,0)),"Unknown")</f>
        <v>Gold</v>
      </c>
      <c r="AA1008" t="str">
        <f t="shared" si="15"/>
        <v>2024-09</v>
      </c>
      <c r="AB1008" t="str">
        <f>IFERROR(INDEX(Products!$I:$I,MATCH(D1008,Products!$A:$A,0)),"Unknown")</f>
        <v>SUP084</v>
      </c>
    </row>
    <row r="1009" spans="1:28" x14ac:dyDescent="0.25">
      <c r="A1009" t="s">
        <v>2674</v>
      </c>
      <c r="B1009" s="20">
        <v>45434</v>
      </c>
      <c r="C1009" t="s">
        <v>1819</v>
      </c>
      <c r="D1009" t="s">
        <v>751</v>
      </c>
      <c r="E1009" t="s">
        <v>671</v>
      </c>
      <c r="F1009" t="s">
        <v>237</v>
      </c>
      <c r="G1009">
        <v>2</v>
      </c>
      <c r="H1009" s="21">
        <v>1295.56</v>
      </c>
      <c r="I1009">
        <v>5</v>
      </c>
      <c r="J1009" s="21">
        <v>129.56</v>
      </c>
      <c r="K1009">
        <v>12</v>
      </c>
      <c r="L1009" s="21">
        <v>295.39</v>
      </c>
      <c r="M1009" s="21">
        <v>2756.95</v>
      </c>
      <c r="N1009" s="21">
        <v>1878.26</v>
      </c>
      <c r="O1009" s="21">
        <v>583.29999999999995</v>
      </c>
      <c r="P1009" t="s">
        <v>125</v>
      </c>
      <c r="Q1009" t="s">
        <v>120</v>
      </c>
      <c r="R1009" t="s">
        <v>151</v>
      </c>
      <c r="S1009" t="s">
        <v>483</v>
      </c>
      <c r="T1009" t="s">
        <v>153</v>
      </c>
      <c r="U1009" t="s">
        <v>154</v>
      </c>
      <c r="V1009" t="str">
        <f>IFERROR(INDEX(Products!$C:$C,MATCH(D1009,Products!$A:$A,0)),"Unknown")</f>
        <v>Wallets</v>
      </c>
      <c r="W1009" t="str">
        <f>IFERROR(INDEX(Products!$E:$E,MATCH(D1009,Products!$A:$A,0)),"Unknown")</f>
        <v>Numero Uno</v>
      </c>
      <c r="X1009" t="str">
        <f>IFERROR(INDEX(Stores!$B:$B,MATCH(E1009,Stores!$A:$A,0)),"Unknown")</f>
        <v>TrendMart Hyderabad Mall Kiosk</v>
      </c>
      <c r="Y1009" t="str">
        <f>IFERROR(INDEX(Stores!$E:$E,MATCH(E1009,Stores!$A:$A,0)),"Unknown")</f>
        <v>South Zone 2</v>
      </c>
      <c r="Z1009" t="str">
        <f>IFERROR(INDEX(Customers!$J:$J,MATCH(C1009,Customers!$A:$A,0)),"Unknown")</f>
        <v>Regular</v>
      </c>
      <c r="AA1009" t="str">
        <f t="shared" si="15"/>
        <v>2024-05</v>
      </c>
      <c r="AB1009" t="str">
        <f>IFERROR(INDEX(Products!$I:$I,MATCH(D1009,Products!$A:$A,0)),"Unknown")</f>
        <v>SUP029</v>
      </c>
    </row>
    <row r="1010" spans="1:28" x14ac:dyDescent="0.25">
      <c r="A1010" t="s">
        <v>2675</v>
      </c>
      <c r="B1010" s="20">
        <v>45580</v>
      </c>
      <c r="C1010" t="s">
        <v>1124</v>
      </c>
      <c r="D1010" t="s">
        <v>875</v>
      </c>
      <c r="E1010" t="s">
        <v>402</v>
      </c>
      <c r="F1010" t="s">
        <v>189</v>
      </c>
      <c r="G1010">
        <v>1</v>
      </c>
      <c r="H1010" s="21">
        <v>2805.48</v>
      </c>
      <c r="I1010">
        <v>10</v>
      </c>
      <c r="J1010" s="21">
        <v>280.55</v>
      </c>
      <c r="K1010">
        <v>12</v>
      </c>
      <c r="L1010" s="21">
        <v>302.99</v>
      </c>
      <c r="M1010" s="21">
        <v>2827.92</v>
      </c>
      <c r="N1010" s="21">
        <v>2204.96</v>
      </c>
      <c r="O1010" s="21">
        <v>319.97000000000003</v>
      </c>
      <c r="P1010" t="s">
        <v>125</v>
      </c>
      <c r="Q1010" t="s">
        <v>120</v>
      </c>
      <c r="R1010" t="s">
        <v>151</v>
      </c>
      <c r="S1010" t="s">
        <v>1125</v>
      </c>
      <c r="T1010" t="s">
        <v>153</v>
      </c>
      <c r="U1010" t="s">
        <v>154</v>
      </c>
      <c r="V1010" t="str">
        <f>IFERROR(INDEX(Products!$C:$C,MATCH(D1010,Products!$A:$A,0)),"Unknown")</f>
        <v>Footwear</v>
      </c>
      <c r="W1010" t="str">
        <f>IFERROR(INDEX(Products!$E:$E,MATCH(D1010,Products!$A:$A,0)),"Unknown")</f>
        <v>Indian Terrain</v>
      </c>
      <c r="X1010" t="str">
        <f>IFERROR(INDEX(Stores!$B:$B,MATCH(E1010,Stores!$A:$A,0)),"Unknown")</f>
        <v>TrendMart Kannur Standard</v>
      </c>
      <c r="Y1010" t="str">
        <f>IFERROR(INDEX(Stores!$E:$E,MATCH(E1010,Stores!$A:$A,0)),"Unknown")</f>
        <v>South Zone 1</v>
      </c>
      <c r="Z1010" t="str">
        <f>IFERROR(INDEX(Customers!$J:$J,MATCH(C1010,Customers!$A:$A,0)),"Unknown")</f>
        <v>Gold</v>
      </c>
      <c r="AA1010" t="str">
        <f t="shared" si="15"/>
        <v>2024-10</v>
      </c>
      <c r="AB1010" t="str">
        <f>IFERROR(INDEX(Products!$I:$I,MATCH(D1010,Products!$A:$A,0)),"Unknown")</f>
        <v>SUP090</v>
      </c>
    </row>
    <row r="1011" spans="1:28" x14ac:dyDescent="0.25">
      <c r="A1011" t="s">
        <v>2676</v>
      </c>
      <c r="B1011" s="20">
        <v>45553</v>
      </c>
      <c r="C1011" t="s">
        <v>2677</v>
      </c>
      <c r="D1011" t="s">
        <v>1095</v>
      </c>
      <c r="E1011" t="s">
        <v>226</v>
      </c>
      <c r="F1011" t="s">
        <v>403</v>
      </c>
      <c r="G1011">
        <v>1</v>
      </c>
      <c r="H1011" s="21">
        <v>1169.8399999999999</v>
      </c>
      <c r="I1011">
        <v>5</v>
      </c>
      <c r="J1011" s="21">
        <v>58.49</v>
      </c>
      <c r="K1011">
        <v>12</v>
      </c>
      <c r="L1011" s="21">
        <v>133.36000000000001</v>
      </c>
      <c r="M1011" s="21">
        <v>1244.71</v>
      </c>
      <c r="N1011" s="21">
        <v>769.63</v>
      </c>
      <c r="O1011" s="21">
        <v>341.72</v>
      </c>
      <c r="P1011" t="s">
        <v>125</v>
      </c>
      <c r="Q1011" t="s">
        <v>120</v>
      </c>
      <c r="R1011" t="s">
        <v>151</v>
      </c>
      <c r="S1011" t="s">
        <v>2027</v>
      </c>
      <c r="T1011" t="s">
        <v>153</v>
      </c>
      <c r="U1011" t="s">
        <v>154</v>
      </c>
      <c r="V1011" t="str">
        <f>IFERROR(INDEX(Products!$C:$C,MATCH(D1011,Products!$A:$A,0)),"Unknown")</f>
        <v>Women Dresses</v>
      </c>
      <c r="W1011" t="str">
        <f>IFERROR(INDEX(Products!$E:$E,MATCH(D1011,Products!$A:$A,0)),"Unknown")</f>
        <v>Ramraj Cotton</v>
      </c>
      <c r="X1011" t="str">
        <f>IFERROR(INDEX(Stores!$B:$B,MATCH(E1011,Stores!$A:$A,0)),"Unknown")</f>
        <v>TrendMart Kurnool Standard</v>
      </c>
      <c r="Y1011" t="str">
        <f>IFERROR(INDEX(Stores!$E:$E,MATCH(E1011,Stores!$A:$A,0)),"Unknown")</f>
        <v>South Zone 3</v>
      </c>
      <c r="Z1011" t="str">
        <f>IFERROR(INDEX(Customers!$J:$J,MATCH(C1011,Customers!$A:$A,0)),"Unknown")</f>
        <v>Silver</v>
      </c>
      <c r="AA1011" t="str">
        <f t="shared" si="15"/>
        <v>2024-09</v>
      </c>
      <c r="AB1011" t="str">
        <f>IFERROR(INDEX(Products!$I:$I,MATCH(D1011,Products!$A:$A,0)),"Unknown")</f>
        <v>SUP054</v>
      </c>
    </row>
    <row r="1012" spans="1:28" x14ac:dyDescent="0.25">
      <c r="A1012" t="s">
        <v>2678</v>
      </c>
      <c r="B1012" s="20">
        <v>45646</v>
      </c>
      <c r="C1012" t="s">
        <v>1091</v>
      </c>
      <c r="D1012" t="s">
        <v>861</v>
      </c>
      <c r="E1012" t="s">
        <v>200</v>
      </c>
      <c r="F1012" t="s">
        <v>211</v>
      </c>
      <c r="G1012">
        <v>3</v>
      </c>
      <c r="H1012" s="21">
        <v>1626.04</v>
      </c>
      <c r="I1012">
        <v>0</v>
      </c>
      <c r="J1012" s="21">
        <v>0</v>
      </c>
      <c r="K1012">
        <v>12</v>
      </c>
      <c r="L1012" s="21">
        <v>585.37</v>
      </c>
      <c r="M1012" s="21">
        <v>5463.49</v>
      </c>
      <c r="N1012" s="21">
        <v>3419.43</v>
      </c>
      <c r="O1012" s="21">
        <v>1458.69</v>
      </c>
      <c r="P1012" t="s">
        <v>123</v>
      </c>
      <c r="Q1012" t="s">
        <v>120</v>
      </c>
      <c r="R1012" t="s">
        <v>151</v>
      </c>
      <c r="S1012" t="s">
        <v>499</v>
      </c>
      <c r="T1012" t="s">
        <v>153</v>
      </c>
      <c r="U1012" t="s">
        <v>154</v>
      </c>
      <c r="V1012" t="str">
        <f>IFERROR(INDEX(Products!$C:$C,MATCH(D1012,Products!$A:$A,0)),"Unknown")</f>
        <v>Women Jeans</v>
      </c>
      <c r="W1012" t="str">
        <f>IFERROR(INDEX(Products!$E:$E,MATCH(D1012,Products!$A:$A,0)),"Unknown")</f>
        <v>Spykar</v>
      </c>
      <c r="X1012" t="str">
        <f>IFERROR(INDEX(Stores!$B:$B,MATCH(E1012,Stores!$A:$A,0)),"Unknown")</f>
        <v>TrendMart Kozhikode Standard</v>
      </c>
      <c r="Y1012" t="str">
        <f>IFERROR(INDEX(Stores!$E:$E,MATCH(E1012,Stores!$A:$A,0)),"Unknown")</f>
        <v>South Zone 1</v>
      </c>
      <c r="Z1012" t="str">
        <f>IFERROR(INDEX(Customers!$J:$J,MATCH(C1012,Customers!$A:$A,0)),"Unknown")</f>
        <v>Platinum</v>
      </c>
      <c r="AA1012" t="str">
        <f t="shared" si="15"/>
        <v>2024-12</v>
      </c>
      <c r="AB1012" t="str">
        <f>IFERROR(INDEX(Products!$I:$I,MATCH(D1012,Products!$A:$A,0)),"Unknown")</f>
        <v>SUP088</v>
      </c>
    </row>
    <row r="1013" spans="1:28" x14ac:dyDescent="0.25">
      <c r="A1013" t="s">
        <v>2679</v>
      </c>
      <c r="B1013" s="20">
        <v>45741</v>
      </c>
      <c r="C1013" t="s">
        <v>2680</v>
      </c>
      <c r="D1013" t="s">
        <v>1026</v>
      </c>
      <c r="E1013" t="s">
        <v>848</v>
      </c>
      <c r="F1013" t="s">
        <v>221</v>
      </c>
      <c r="G1013">
        <v>3</v>
      </c>
      <c r="H1013" s="21">
        <v>1320.23</v>
      </c>
      <c r="I1013">
        <v>10</v>
      </c>
      <c r="J1013" s="21">
        <v>396.07</v>
      </c>
      <c r="K1013">
        <v>12</v>
      </c>
      <c r="L1013" s="21">
        <v>427.75</v>
      </c>
      <c r="M1013" s="21">
        <v>3992.37</v>
      </c>
      <c r="N1013" s="21">
        <v>2886.51</v>
      </c>
      <c r="O1013" s="21">
        <v>678.11</v>
      </c>
      <c r="P1013" t="s">
        <v>127</v>
      </c>
      <c r="Q1013" t="s">
        <v>122</v>
      </c>
      <c r="R1013" t="s">
        <v>151</v>
      </c>
      <c r="S1013" t="s">
        <v>2681</v>
      </c>
      <c r="T1013" t="s">
        <v>153</v>
      </c>
      <c r="U1013" t="s">
        <v>154</v>
      </c>
      <c r="V1013" t="str">
        <f>IFERROR(INDEX(Products!$C:$C,MATCH(D1013,Products!$A:$A,0)),"Unknown")</f>
        <v>Women Sarees</v>
      </c>
      <c r="W1013" t="str">
        <f>IFERROR(INDEX(Products!$E:$E,MATCH(D1013,Products!$A:$A,0)),"Unknown")</f>
        <v>Spykar</v>
      </c>
      <c r="X1013" t="str">
        <f>IFERROR(INDEX(Stores!$B:$B,MATCH(E1013,Stores!$A:$A,0)),"Unknown")</f>
        <v>TrendMart Shivamogga Standard</v>
      </c>
      <c r="Y1013" t="str">
        <f>IFERROR(INDEX(Stores!$E:$E,MATCH(E1013,Stores!$A:$A,0)),"Unknown")</f>
        <v>South Zone 2</v>
      </c>
      <c r="Z1013" t="str">
        <f>IFERROR(INDEX(Customers!$J:$J,MATCH(C1013,Customers!$A:$A,0)),"Unknown")</f>
        <v>Silver</v>
      </c>
      <c r="AA1013" t="str">
        <f t="shared" si="15"/>
        <v>2025-03</v>
      </c>
      <c r="AB1013" t="str">
        <f>IFERROR(INDEX(Products!$I:$I,MATCH(D1013,Products!$A:$A,0)),"Unknown")</f>
        <v>SUP001</v>
      </c>
    </row>
    <row r="1014" spans="1:28" x14ac:dyDescent="0.25">
      <c r="A1014" t="s">
        <v>2682</v>
      </c>
      <c r="B1014" s="20">
        <v>45409</v>
      </c>
      <c r="C1014" t="s">
        <v>2683</v>
      </c>
      <c r="D1014" t="s">
        <v>386</v>
      </c>
      <c r="E1014" t="s">
        <v>416</v>
      </c>
      <c r="F1014" t="s">
        <v>434</v>
      </c>
      <c r="G1014">
        <v>1</v>
      </c>
      <c r="H1014" s="21">
        <v>1422.67</v>
      </c>
      <c r="I1014">
        <v>10</v>
      </c>
      <c r="J1014" s="21">
        <v>142.27000000000001</v>
      </c>
      <c r="K1014">
        <v>12</v>
      </c>
      <c r="L1014" s="21">
        <v>153.65</v>
      </c>
      <c r="M1014" s="21">
        <v>1434.05</v>
      </c>
      <c r="N1014" s="21">
        <v>1013.26</v>
      </c>
      <c r="O1014" s="21">
        <v>267.14</v>
      </c>
      <c r="P1014" t="s">
        <v>121</v>
      </c>
      <c r="Q1014" t="s">
        <v>122</v>
      </c>
      <c r="R1014" t="s">
        <v>151</v>
      </c>
      <c r="S1014" t="s">
        <v>1363</v>
      </c>
      <c r="T1014" t="s">
        <v>161</v>
      </c>
      <c r="U1014" t="s">
        <v>154</v>
      </c>
      <c r="V1014" t="str">
        <f>IFERROR(INDEX(Products!$C:$C,MATCH(D1014,Products!$A:$A,0)),"Unknown")</f>
        <v>Winter Wear</v>
      </c>
      <c r="W1014" t="str">
        <f>IFERROR(INDEX(Products!$E:$E,MATCH(D1014,Products!$A:$A,0)),"Unknown")</f>
        <v>Blackberrys</v>
      </c>
      <c r="X1014" t="str">
        <f>IFERROR(INDEX(Stores!$B:$B,MATCH(E1014,Stores!$A:$A,0)),"Unknown")</f>
        <v>TrendMart Dindigul Standard</v>
      </c>
      <c r="Y1014" t="str">
        <f>IFERROR(INDEX(Stores!$E:$E,MATCH(E1014,Stores!$A:$A,0)),"Unknown")</f>
        <v>South Zone 1</v>
      </c>
      <c r="Z1014" t="str">
        <f>IFERROR(INDEX(Customers!$J:$J,MATCH(C1014,Customers!$A:$A,0)),"Unknown")</f>
        <v>Silver</v>
      </c>
      <c r="AA1014" t="str">
        <f t="shared" si="15"/>
        <v>2024-04</v>
      </c>
      <c r="AB1014" t="str">
        <f>IFERROR(INDEX(Products!$I:$I,MATCH(D1014,Products!$A:$A,0)),"Unknown")</f>
        <v>SUP051</v>
      </c>
    </row>
    <row r="1015" spans="1:28" x14ac:dyDescent="0.25">
      <c r="A1015" t="s">
        <v>2684</v>
      </c>
      <c r="B1015" s="20">
        <v>45630</v>
      </c>
      <c r="C1015" t="s">
        <v>1680</v>
      </c>
      <c r="D1015" t="s">
        <v>1504</v>
      </c>
      <c r="E1015" t="s">
        <v>360</v>
      </c>
      <c r="F1015" t="s">
        <v>403</v>
      </c>
      <c r="G1015">
        <v>2</v>
      </c>
      <c r="H1015" s="21">
        <v>1677.94</v>
      </c>
      <c r="I1015">
        <v>5</v>
      </c>
      <c r="J1015" s="21">
        <v>167.79</v>
      </c>
      <c r="K1015">
        <v>12</v>
      </c>
      <c r="L1015" s="21">
        <v>382.57</v>
      </c>
      <c r="M1015" s="21">
        <v>3570.66</v>
      </c>
      <c r="N1015" s="21">
        <v>2289.1799999999998</v>
      </c>
      <c r="O1015" s="21">
        <v>898.91</v>
      </c>
      <c r="P1015" t="s">
        <v>123</v>
      </c>
      <c r="Q1015" t="s">
        <v>122</v>
      </c>
      <c r="R1015" t="s">
        <v>151</v>
      </c>
      <c r="S1015" t="s">
        <v>282</v>
      </c>
      <c r="T1015" t="s">
        <v>153</v>
      </c>
      <c r="U1015" t="s">
        <v>154</v>
      </c>
      <c r="V1015" t="str">
        <f>IFERROR(INDEX(Products!$C:$C,MATCH(D1015,Products!$A:$A,0)),"Unknown")</f>
        <v>Women Dresses</v>
      </c>
      <c r="W1015" t="str">
        <f>IFERROR(INDEX(Products!$E:$E,MATCH(D1015,Products!$A:$A,0)),"Unknown")</f>
        <v>Westside</v>
      </c>
      <c r="X1015" t="str">
        <f>IFERROR(INDEX(Stores!$B:$B,MATCH(E1015,Stores!$A:$A,0)),"Unknown")</f>
        <v>TrendMart Kochi Standard</v>
      </c>
      <c r="Y1015" t="str">
        <f>IFERROR(INDEX(Stores!$E:$E,MATCH(E1015,Stores!$A:$A,0)),"Unknown")</f>
        <v>South Zone 1</v>
      </c>
      <c r="Z1015" t="str">
        <f>IFERROR(INDEX(Customers!$J:$J,MATCH(C1015,Customers!$A:$A,0)),"Unknown")</f>
        <v>Regular</v>
      </c>
      <c r="AA1015" t="str">
        <f t="shared" si="15"/>
        <v>2024-12</v>
      </c>
      <c r="AB1015" t="str">
        <f>IFERROR(INDEX(Products!$I:$I,MATCH(D1015,Products!$A:$A,0)),"Unknown")</f>
        <v>SUP010</v>
      </c>
    </row>
    <row r="1016" spans="1:28" x14ac:dyDescent="0.25">
      <c r="A1016" t="s">
        <v>2685</v>
      </c>
      <c r="B1016" s="20">
        <v>45631</v>
      </c>
      <c r="C1016" t="s">
        <v>2686</v>
      </c>
      <c r="D1016" t="s">
        <v>1543</v>
      </c>
      <c r="E1016" t="s">
        <v>1108</v>
      </c>
      <c r="F1016" t="s">
        <v>275</v>
      </c>
      <c r="G1016">
        <v>2</v>
      </c>
      <c r="H1016" s="21">
        <v>2254.12</v>
      </c>
      <c r="I1016">
        <v>15</v>
      </c>
      <c r="J1016" s="21">
        <v>676.24</v>
      </c>
      <c r="K1016">
        <v>12</v>
      </c>
      <c r="L1016" s="21">
        <v>459.84</v>
      </c>
      <c r="M1016" s="21">
        <v>4291.84</v>
      </c>
      <c r="N1016" s="21">
        <v>3160.04</v>
      </c>
      <c r="O1016" s="21">
        <v>671.96</v>
      </c>
      <c r="P1016" t="s">
        <v>124</v>
      </c>
      <c r="Q1016" t="s">
        <v>122</v>
      </c>
      <c r="R1016" t="s">
        <v>151</v>
      </c>
      <c r="S1016" t="s">
        <v>1157</v>
      </c>
      <c r="T1016" t="s">
        <v>153</v>
      </c>
      <c r="U1016" t="s">
        <v>154</v>
      </c>
      <c r="V1016" t="str">
        <f>IFERROR(INDEX(Products!$C:$C,MATCH(D1016,Products!$A:$A,0)),"Unknown")</f>
        <v>Men Ethnic</v>
      </c>
      <c r="W1016" t="str">
        <f>IFERROR(INDEX(Products!$E:$E,MATCH(D1016,Products!$A:$A,0)),"Unknown")</f>
        <v>Woodland</v>
      </c>
      <c r="X1016" t="str">
        <f>IFERROR(INDEX(Stores!$B:$B,MATCH(E1016,Stores!$A:$A,0)),"Unknown")</f>
        <v>TrendMart Karimnagar Standard</v>
      </c>
      <c r="Y1016" t="str">
        <f>IFERROR(INDEX(Stores!$E:$E,MATCH(E1016,Stores!$A:$A,0)),"Unknown")</f>
        <v>South Zone 2</v>
      </c>
      <c r="Z1016" t="str">
        <f>IFERROR(INDEX(Customers!$J:$J,MATCH(C1016,Customers!$A:$A,0)),"Unknown")</f>
        <v>Regular</v>
      </c>
      <c r="AA1016" t="str">
        <f t="shared" si="15"/>
        <v>2024-12</v>
      </c>
      <c r="AB1016" t="str">
        <f>IFERROR(INDEX(Products!$I:$I,MATCH(D1016,Products!$A:$A,0)),"Unknown")</f>
        <v>SUP079</v>
      </c>
    </row>
    <row r="1017" spans="1:28" x14ac:dyDescent="0.25">
      <c r="A1017" t="s">
        <v>2687</v>
      </c>
      <c r="B1017" s="20">
        <v>45640</v>
      </c>
      <c r="C1017" t="s">
        <v>2466</v>
      </c>
      <c r="D1017" t="s">
        <v>792</v>
      </c>
      <c r="E1017" t="s">
        <v>86</v>
      </c>
      <c r="F1017" t="s">
        <v>443</v>
      </c>
      <c r="G1017">
        <v>2</v>
      </c>
      <c r="H1017" s="21">
        <v>1314.89</v>
      </c>
      <c r="I1017">
        <v>10</v>
      </c>
      <c r="J1017" s="21">
        <v>262.98</v>
      </c>
      <c r="K1017">
        <v>12</v>
      </c>
      <c r="L1017" s="21">
        <v>284.02</v>
      </c>
      <c r="M1017" s="21">
        <v>2650.82</v>
      </c>
      <c r="N1017" s="21">
        <v>1474.7</v>
      </c>
      <c r="O1017" s="21">
        <v>892.1</v>
      </c>
      <c r="P1017" t="s">
        <v>121</v>
      </c>
      <c r="Q1017" t="s">
        <v>120</v>
      </c>
      <c r="R1017" t="s">
        <v>151</v>
      </c>
      <c r="S1017" t="s">
        <v>2688</v>
      </c>
      <c r="T1017" t="s">
        <v>161</v>
      </c>
      <c r="U1017" t="s">
        <v>154</v>
      </c>
      <c r="V1017" t="str">
        <f>IFERROR(INDEX(Products!$C:$C,MATCH(D1017,Products!$A:$A,0)),"Unknown")</f>
        <v>Belts</v>
      </c>
      <c r="W1017" t="str">
        <f>IFERROR(INDEX(Products!$E:$E,MATCH(D1017,Products!$A:$A,0)),"Unknown")</f>
        <v>Wrangler</v>
      </c>
      <c r="X1017" t="str">
        <f>IFERROR(INDEX(Stores!$B:$B,MATCH(E1017,Stores!$A:$A,0)),"Unknown")</f>
        <v>TrendMart Warangal High Street</v>
      </c>
      <c r="Y1017" t="str">
        <f>IFERROR(INDEX(Stores!$E:$E,MATCH(E1017,Stores!$A:$A,0)),"Unknown")</f>
        <v>South Zone 2</v>
      </c>
      <c r="Z1017" t="str">
        <f>IFERROR(INDEX(Customers!$J:$J,MATCH(C1017,Customers!$A:$A,0)),"Unknown")</f>
        <v>Regular</v>
      </c>
      <c r="AA1017" t="str">
        <f t="shared" si="15"/>
        <v>2024-12</v>
      </c>
      <c r="AB1017" t="str">
        <f>IFERROR(INDEX(Products!$I:$I,MATCH(D1017,Products!$A:$A,0)),"Unknown")</f>
        <v>SUP004</v>
      </c>
    </row>
    <row r="1018" spans="1:28" x14ac:dyDescent="0.25">
      <c r="A1018" t="s">
        <v>2689</v>
      </c>
      <c r="B1018" s="20">
        <v>45603</v>
      </c>
      <c r="C1018" t="s">
        <v>1959</v>
      </c>
      <c r="D1018" t="s">
        <v>2006</v>
      </c>
      <c r="E1018" t="s">
        <v>83</v>
      </c>
      <c r="F1018" t="s">
        <v>269</v>
      </c>
      <c r="G1018">
        <v>2</v>
      </c>
      <c r="H1018" s="21">
        <v>1541.26</v>
      </c>
      <c r="I1018">
        <v>0</v>
      </c>
      <c r="J1018" s="21">
        <v>0</v>
      </c>
      <c r="K1018">
        <v>12</v>
      </c>
      <c r="L1018" s="21">
        <v>369.9</v>
      </c>
      <c r="M1018" s="21">
        <v>3452.42</v>
      </c>
      <c r="N1018" s="21">
        <v>2090.38</v>
      </c>
      <c r="O1018" s="21">
        <v>992.14</v>
      </c>
      <c r="P1018" t="s">
        <v>125</v>
      </c>
      <c r="Q1018" t="s">
        <v>120</v>
      </c>
      <c r="R1018" t="s">
        <v>151</v>
      </c>
      <c r="S1018" t="s">
        <v>1839</v>
      </c>
      <c r="T1018" t="s">
        <v>153</v>
      </c>
      <c r="U1018" t="s">
        <v>154</v>
      </c>
      <c r="V1018" t="str">
        <f>IFERROR(INDEX(Products!$C:$C,MATCH(D1018,Products!$A:$A,0)),"Unknown")</f>
        <v>Winter Wear</v>
      </c>
      <c r="W1018" t="str">
        <f>IFERROR(INDEX(Products!$E:$E,MATCH(D1018,Products!$A:$A,0)),"Unknown")</f>
        <v>Fossil</v>
      </c>
      <c r="X1018" t="str">
        <f>IFERROR(INDEX(Stores!$B:$B,MATCH(E1018,Stores!$A:$A,0)),"Unknown")</f>
        <v>TrendMart Vellore Standard</v>
      </c>
      <c r="Y1018" t="str">
        <f>IFERROR(INDEX(Stores!$E:$E,MATCH(E1018,Stores!$A:$A,0)),"Unknown")</f>
        <v>South Zone 1</v>
      </c>
      <c r="Z1018" t="str">
        <f>IFERROR(INDEX(Customers!$J:$J,MATCH(C1018,Customers!$A:$A,0)),"Unknown")</f>
        <v>Silver</v>
      </c>
      <c r="AA1018" t="str">
        <f t="shared" si="15"/>
        <v>2024-11</v>
      </c>
      <c r="AB1018" t="str">
        <f>IFERROR(INDEX(Products!$I:$I,MATCH(D1018,Products!$A:$A,0)),"Unknown")</f>
        <v>SUP075</v>
      </c>
    </row>
    <row r="1019" spans="1:28" x14ac:dyDescent="0.25">
      <c r="A1019" t="s">
        <v>2690</v>
      </c>
      <c r="B1019" s="20">
        <v>45422</v>
      </c>
      <c r="C1019" t="s">
        <v>1318</v>
      </c>
      <c r="D1019" t="s">
        <v>646</v>
      </c>
      <c r="E1019" t="s">
        <v>334</v>
      </c>
      <c r="F1019" t="s">
        <v>170</v>
      </c>
      <c r="G1019">
        <v>1</v>
      </c>
      <c r="H1019" s="21">
        <v>828.77</v>
      </c>
      <c r="I1019">
        <v>10</v>
      </c>
      <c r="J1019" s="21">
        <v>82.88</v>
      </c>
      <c r="K1019">
        <v>5</v>
      </c>
      <c r="L1019" s="21">
        <v>37.29</v>
      </c>
      <c r="M1019" s="21">
        <v>783.18</v>
      </c>
      <c r="N1019" s="21">
        <v>512.11</v>
      </c>
      <c r="O1019" s="21">
        <v>233.78</v>
      </c>
      <c r="P1019" t="s">
        <v>123</v>
      </c>
      <c r="Q1019" t="s">
        <v>122</v>
      </c>
      <c r="R1019" t="s">
        <v>151</v>
      </c>
      <c r="S1019" t="s">
        <v>2435</v>
      </c>
      <c r="T1019" t="s">
        <v>153</v>
      </c>
      <c r="U1019" t="s">
        <v>154</v>
      </c>
      <c r="V1019" t="str">
        <f>IFERROR(INDEX(Products!$C:$C,MATCH(D1019,Products!$A:$A,0)),"Unknown")</f>
        <v>Sportswear</v>
      </c>
      <c r="W1019" t="str">
        <f>IFERROR(INDEX(Products!$E:$E,MATCH(D1019,Products!$A:$A,0)),"Unknown")</f>
        <v>Fabindia</v>
      </c>
      <c r="X1019" t="str">
        <f>IFERROR(INDEX(Stores!$B:$B,MATCH(E1019,Stores!$A:$A,0)),"Unknown")</f>
        <v>TrendMart Madurai High Street</v>
      </c>
      <c r="Y1019" t="str">
        <f>IFERROR(INDEX(Stores!$E:$E,MATCH(E1019,Stores!$A:$A,0)),"Unknown")</f>
        <v>South Zone 1</v>
      </c>
      <c r="Z1019" t="str">
        <f>IFERROR(INDEX(Customers!$J:$J,MATCH(C1019,Customers!$A:$A,0)),"Unknown")</f>
        <v>Regular</v>
      </c>
      <c r="AA1019" t="str">
        <f t="shared" si="15"/>
        <v>2024-05</v>
      </c>
      <c r="AB1019" t="str">
        <f>IFERROR(INDEX(Products!$I:$I,MATCH(D1019,Products!$A:$A,0)),"Unknown")</f>
        <v>SUP087</v>
      </c>
    </row>
    <row r="1020" spans="1:28" x14ac:dyDescent="0.25">
      <c r="A1020" t="s">
        <v>2691</v>
      </c>
      <c r="B1020" s="20">
        <v>45577</v>
      </c>
      <c r="C1020" t="s">
        <v>2692</v>
      </c>
      <c r="D1020" t="s">
        <v>1204</v>
      </c>
      <c r="E1020" t="s">
        <v>247</v>
      </c>
      <c r="F1020" t="s">
        <v>182</v>
      </c>
      <c r="G1020">
        <v>2</v>
      </c>
      <c r="H1020" s="21">
        <v>825.67</v>
      </c>
      <c r="I1020">
        <v>0</v>
      </c>
      <c r="J1020" s="21">
        <v>0</v>
      </c>
      <c r="K1020">
        <v>5</v>
      </c>
      <c r="L1020" s="21">
        <v>82.57</v>
      </c>
      <c r="M1020" s="21">
        <v>1733.91</v>
      </c>
      <c r="N1020" s="21">
        <v>829</v>
      </c>
      <c r="O1020" s="21">
        <v>822.34</v>
      </c>
      <c r="P1020" t="s">
        <v>123</v>
      </c>
      <c r="Q1020" t="s">
        <v>120</v>
      </c>
      <c r="R1020" t="s">
        <v>151</v>
      </c>
      <c r="S1020" t="s">
        <v>2103</v>
      </c>
      <c r="T1020" t="s">
        <v>161</v>
      </c>
      <c r="U1020" t="s">
        <v>154</v>
      </c>
      <c r="V1020" t="str">
        <f>IFERROR(INDEX(Products!$C:$C,MATCH(D1020,Products!$A:$A,0)),"Unknown")</f>
        <v>Accessories</v>
      </c>
      <c r="W1020" t="str">
        <f>IFERROR(INDEX(Products!$E:$E,MATCH(D1020,Products!$A:$A,0)),"Unknown")</f>
        <v>Pepe Jeans</v>
      </c>
      <c r="X1020" t="str">
        <f>IFERROR(INDEX(Stores!$B:$B,MATCH(E1020,Stores!$A:$A,0)),"Unknown")</f>
        <v>TrendMart Tirupati Outlet</v>
      </c>
      <c r="Y1020" t="str">
        <f>IFERROR(INDEX(Stores!$E:$E,MATCH(E1020,Stores!$A:$A,0)),"Unknown")</f>
        <v>South Zone 3</v>
      </c>
      <c r="Z1020" t="str">
        <f>IFERROR(INDEX(Customers!$J:$J,MATCH(C1020,Customers!$A:$A,0)),"Unknown")</f>
        <v>Regular</v>
      </c>
      <c r="AA1020" t="str">
        <f t="shared" si="15"/>
        <v>2024-10</v>
      </c>
      <c r="AB1020" t="str">
        <f>IFERROR(INDEX(Products!$I:$I,MATCH(D1020,Products!$A:$A,0)),"Unknown")</f>
        <v>SUP008</v>
      </c>
    </row>
    <row r="1021" spans="1:28" x14ac:dyDescent="0.25">
      <c r="A1021" t="s">
        <v>2693</v>
      </c>
      <c r="B1021" s="20">
        <v>45636</v>
      </c>
      <c r="C1021" t="s">
        <v>316</v>
      </c>
      <c r="D1021" t="s">
        <v>187</v>
      </c>
      <c r="E1021" t="s">
        <v>456</v>
      </c>
      <c r="F1021" t="s">
        <v>281</v>
      </c>
      <c r="G1021">
        <v>2</v>
      </c>
      <c r="H1021" s="21">
        <v>1396.57</v>
      </c>
      <c r="I1021">
        <v>0</v>
      </c>
      <c r="J1021" s="21">
        <v>0</v>
      </c>
      <c r="K1021">
        <v>12</v>
      </c>
      <c r="L1021" s="21">
        <v>335.18</v>
      </c>
      <c r="M1021" s="21">
        <v>3128.32</v>
      </c>
      <c r="N1021" s="21">
        <v>2297.3200000000002</v>
      </c>
      <c r="O1021" s="21">
        <v>495.82</v>
      </c>
      <c r="P1021" t="s">
        <v>121</v>
      </c>
      <c r="Q1021" t="s">
        <v>120</v>
      </c>
      <c r="R1021" t="s">
        <v>151</v>
      </c>
      <c r="S1021" t="s">
        <v>1868</v>
      </c>
      <c r="T1021" t="s">
        <v>153</v>
      </c>
      <c r="U1021" t="s">
        <v>154</v>
      </c>
      <c r="V1021" t="str">
        <f>IFERROR(INDEX(Products!$C:$C,MATCH(D1021,Products!$A:$A,0)),"Unknown")</f>
        <v>Sportswear</v>
      </c>
      <c r="W1021" t="str">
        <f>IFERROR(INDEX(Products!$E:$E,MATCH(D1021,Products!$A:$A,0)),"Unknown")</f>
        <v>US Polo Assn</v>
      </c>
      <c r="X1021" t="str">
        <f>IFERROR(INDEX(Stores!$B:$B,MATCH(E1021,Stores!$A:$A,0)),"Unknown")</f>
        <v>TrendMart Salem Outlet</v>
      </c>
      <c r="Y1021" t="str">
        <f>IFERROR(INDEX(Stores!$E:$E,MATCH(E1021,Stores!$A:$A,0)),"Unknown")</f>
        <v>South Zone 1</v>
      </c>
      <c r="Z1021" t="str">
        <f>IFERROR(INDEX(Customers!$J:$J,MATCH(C1021,Customers!$A:$A,0)),"Unknown")</f>
        <v>Regular</v>
      </c>
      <c r="AA1021" t="str">
        <f t="shared" si="15"/>
        <v>2024-12</v>
      </c>
      <c r="AB1021" t="str">
        <f>IFERROR(INDEX(Products!$I:$I,MATCH(D1021,Products!$A:$A,0)),"Unknown")</f>
        <v>SUP043</v>
      </c>
    </row>
    <row r="1022" spans="1:28" x14ac:dyDescent="0.25">
      <c r="A1022" t="s">
        <v>2694</v>
      </c>
      <c r="B1022" s="20">
        <v>45716</v>
      </c>
      <c r="C1022" t="s">
        <v>1241</v>
      </c>
      <c r="D1022" t="s">
        <v>595</v>
      </c>
      <c r="E1022" t="s">
        <v>1141</v>
      </c>
      <c r="F1022" t="s">
        <v>150</v>
      </c>
      <c r="G1022">
        <v>1</v>
      </c>
      <c r="H1022" s="21">
        <v>900.11</v>
      </c>
      <c r="I1022">
        <v>0</v>
      </c>
      <c r="J1022" s="21">
        <v>0</v>
      </c>
      <c r="K1022">
        <v>5</v>
      </c>
      <c r="L1022" s="21">
        <v>45.01</v>
      </c>
      <c r="M1022" s="21">
        <v>945.12</v>
      </c>
      <c r="N1022" s="21">
        <v>590.48</v>
      </c>
      <c r="O1022" s="21">
        <v>309.63</v>
      </c>
      <c r="P1022" t="s">
        <v>125</v>
      </c>
      <c r="Q1022" t="s">
        <v>122</v>
      </c>
      <c r="R1022" t="s">
        <v>151</v>
      </c>
      <c r="S1022" t="s">
        <v>1463</v>
      </c>
      <c r="T1022" t="s">
        <v>153</v>
      </c>
      <c r="U1022" t="s">
        <v>154</v>
      </c>
      <c r="V1022" t="str">
        <f>IFERROR(INDEX(Products!$C:$C,MATCH(D1022,Products!$A:$A,0)),"Unknown")</f>
        <v>Men Shirts</v>
      </c>
      <c r="W1022" t="str">
        <f>IFERROR(INDEX(Products!$E:$E,MATCH(D1022,Products!$A:$A,0)),"Unknown")</f>
        <v>Nalli Silks</v>
      </c>
      <c r="X1022" t="str">
        <f>IFERROR(INDEX(Stores!$B:$B,MATCH(E1022,Stores!$A:$A,0)),"Unknown")</f>
        <v>TrendMart Kochi Standard</v>
      </c>
      <c r="Y1022" t="str">
        <f>IFERROR(INDEX(Stores!$E:$E,MATCH(E1022,Stores!$A:$A,0)),"Unknown")</f>
        <v>South Zone 1</v>
      </c>
      <c r="Z1022" t="str">
        <f>IFERROR(INDEX(Customers!$J:$J,MATCH(C1022,Customers!$A:$A,0)),"Unknown")</f>
        <v>Silver</v>
      </c>
      <c r="AA1022" t="str">
        <f t="shared" si="15"/>
        <v>2025-02</v>
      </c>
      <c r="AB1022" t="str">
        <f>IFERROR(INDEX(Products!$I:$I,MATCH(D1022,Products!$A:$A,0)),"Unknown")</f>
        <v>SUP055</v>
      </c>
    </row>
    <row r="1023" spans="1:28" x14ac:dyDescent="0.25">
      <c r="A1023" t="s">
        <v>2695</v>
      </c>
      <c r="B1023" s="20">
        <v>45426</v>
      </c>
      <c r="C1023" t="s">
        <v>1213</v>
      </c>
      <c r="D1023" t="s">
        <v>2696</v>
      </c>
      <c r="E1023" t="s">
        <v>798</v>
      </c>
      <c r="F1023" t="s">
        <v>176</v>
      </c>
      <c r="G1023">
        <v>1</v>
      </c>
      <c r="H1023" s="21">
        <v>995.28</v>
      </c>
      <c r="I1023">
        <v>0</v>
      </c>
      <c r="J1023" s="21">
        <v>0</v>
      </c>
      <c r="K1023">
        <v>5</v>
      </c>
      <c r="L1023" s="21">
        <v>49.76</v>
      </c>
      <c r="M1023" s="21">
        <v>1045.04</v>
      </c>
      <c r="N1023" s="21">
        <v>703.03</v>
      </c>
      <c r="O1023" s="21">
        <v>292.25</v>
      </c>
      <c r="P1023" t="s">
        <v>124</v>
      </c>
      <c r="Q1023" t="s">
        <v>122</v>
      </c>
      <c r="R1023" t="s">
        <v>151</v>
      </c>
      <c r="S1023" t="s">
        <v>1525</v>
      </c>
      <c r="T1023" t="s">
        <v>153</v>
      </c>
      <c r="U1023" t="s">
        <v>154</v>
      </c>
      <c r="V1023" t="str">
        <f>IFERROR(INDEX(Products!$C:$C,MATCH(D1023,Products!$A:$A,0)),"Unknown")</f>
        <v>Women Kurtis</v>
      </c>
      <c r="W1023" t="str">
        <f>IFERROR(INDEX(Products!$E:$E,MATCH(D1023,Products!$A:$A,0)),"Unknown")</f>
        <v>Sonata</v>
      </c>
      <c r="X1023" t="str">
        <f>IFERROR(INDEX(Stores!$B:$B,MATCH(E1023,Stores!$A:$A,0)),"Unknown")</f>
        <v>TrendMart Guntur Standard</v>
      </c>
      <c r="Y1023" t="str">
        <f>IFERROR(INDEX(Stores!$E:$E,MATCH(E1023,Stores!$A:$A,0)),"Unknown")</f>
        <v>South Zone 3</v>
      </c>
      <c r="Z1023" t="str">
        <f>IFERROR(INDEX(Customers!$J:$J,MATCH(C1023,Customers!$A:$A,0)),"Unknown")</f>
        <v>Silver</v>
      </c>
      <c r="AA1023" t="str">
        <f t="shared" si="15"/>
        <v>2024-05</v>
      </c>
      <c r="AB1023" t="str">
        <f>IFERROR(INDEX(Products!$I:$I,MATCH(D1023,Products!$A:$A,0)),"Unknown")</f>
        <v>SUP069</v>
      </c>
    </row>
    <row r="1024" spans="1:28" x14ac:dyDescent="0.25">
      <c r="A1024" t="s">
        <v>2697</v>
      </c>
      <c r="B1024" s="20">
        <v>45473</v>
      </c>
      <c r="C1024" t="s">
        <v>2698</v>
      </c>
      <c r="D1024" t="s">
        <v>2699</v>
      </c>
      <c r="E1024" t="s">
        <v>701</v>
      </c>
      <c r="F1024" t="s">
        <v>579</v>
      </c>
      <c r="G1024">
        <v>3</v>
      </c>
      <c r="H1024" s="21">
        <v>1297.5</v>
      </c>
      <c r="I1024">
        <v>20</v>
      </c>
      <c r="J1024" s="21">
        <v>778.5</v>
      </c>
      <c r="K1024">
        <v>12</v>
      </c>
      <c r="L1024" s="21">
        <v>373.68</v>
      </c>
      <c r="M1024" s="21">
        <v>3487.68</v>
      </c>
      <c r="N1024" s="21">
        <v>2579.8200000000002</v>
      </c>
      <c r="O1024" s="21">
        <v>534.17999999999995</v>
      </c>
      <c r="P1024" t="s">
        <v>121</v>
      </c>
      <c r="Q1024" t="s">
        <v>120</v>
      </c>
      <c r="R1024" t="s">
        <v>151</v>
      </c>
      <c r="S1024" t="s">
        <v>2700</v>
      </c>
      <c r="T1024" t="s">
        <v>161</v>
      </c>
      <c r="U1024" t="s">
        <v>154</v>
      </c>
      <c r="V1024" t="str">
        <f>IFERROR(INDEX(Products!$C:$C,MATCH(D1024,Products!$A:$A,0)),"Unknown")</f>
        <v>Women Kurtis</v>
      </c>
      <c r="W1024" t="str">
        <f>IFERROR(INDEX(Products!$E:$E,MATCH(D1024,Products!$A:$A,0)),"Unknown")</f>
        <v>Liberty</v>
      </c>
      <c r="X1024" t="str">
        <f>IFERROR(INDEX(Stores!$B:$B,MATCH(E1024,Stores!$A:$A,0)),"Unknown")</f>
        <v>TrendMart Vijayawada Mall Kiosk</v>
      </c>
      <c r="Y1024" t="str">
        <f>IFERROR(INDEX(Stores!$E:$E,MATCH(E1024,Stores!$A:$A,0)),"Unknown")</f>
        <v>South Zone 3</v>
      </c>
      <c r="Z1024" t="str">
        <f>IFERROR(INDEX(Customers!$J:$J,MATCH(C1024,Customers!$A:$A,0)),"Unknown")</f>
        <v>Gold</v>
      </c>
      <c r="AA1024" t="str">
        <f t="shared" si="15"/>
        <v>2024-06</v>
      </c>
      <c r="AB1024" t="str">
        <f>IFERROR(INDEX(Products!$I:$I,MATCH(D1024,Products!$A:$A,0)),"Unknown")</f>
        <v>SUP003</v>
      </c>
    </row>
    <row r="1025" spans="1:28" x14ac:dyDescent="0.25">
      <c r="A1025" t="s">
        <v>2701</v>
      </c>
      <c r="B1025" s="20">
        <v>45605</v>
      </c>
      <c r="C1025" t="s">
        <v>2702</v>
      </c>
      <c r="D1025" t="s">
        <v>854</v>
      </c>
      <c r="E1025" t="s">
        <v>515</v>
      </c>
      <c r="F1025" t="s">
        <v>221</v>
      </c>
      <c r="G1025">
        <v>1</v>
      </c>
      <c r="H1025" s="21">
        <v>1197.8699999999999</v>
      </c>
      <c r="I1025">
        <v>30</v>
      </c>
      <c r="J1025" s="21">
        <v>359.36</v>
      </c>
      <c r="K1025">
        <v>3</v>
      </c>
      <c r="L1025" s="21">
        <v>25.16</v>
      </c>
      <c r="M1025" s="21">
        <v>863.67</v>
      </c>
      <c r="N1025" s="21">
        <v>954.04</v>
      </c>
      <c r="O1025" s="21">
        <v>-115.53</v>
      </c>
      <c r="P1025" t="s">
        <v>124</v>
      </c>
      <c r="Q1025" t="s">
        <v>120</v>
      </c>
      <c r="R1025" t="s">
        <v>151</v>
      </c>
      <c r="S1025" t="s">
        <v>1737</v>
      </c>
      <c r="T1025" t="s">
        <v>161</v>
      </c>
      <c r="U1025" t="s">
        <v>184</v>
      </c>
      <c r="V1025" t="str">
        <f>IFERROR(INDEX(Products!$C:$C,MATCH(D1025,Products!$A:$A,0)),"Unknown")</f>
        <v>Jewellery</v>
      </c>
      <c r="W1025" t="str">
        <f>IFERROR(INDEX(Products!$E:$E,MATCH(D1025,Products!$A:$A,0)),"Unknown")</f>
        <v>W for Woman</v>
      </c>
      <c r="X1025" t="str">
        <f>IFERROR(INDEX(Stores!$B:$B,MATCH(E1025,Stores!$A:$A,0)),"Unknown")</f>
        <v>TrendMart Kochi High Street</v>
      </c>
      <c r="Y1025" t="str">
        <f>IFERROR(INDEX(Stores!$E:$E,MATCH(E1025,Stores!$A:$A,0)),"Unknown")</f>
        <v>South Zone 1</v>
      </c>
      <c r="Z1025" t="str">
        <f>IFERROR(INDEX(Customers!$J:$J,MATCH(C1025,Customers!$A:$A,0)),"Unknown")</f>
        <v>Platinum</v>
      </c>
      <c r="AA1025" t="str">
        <f t="shared" si="15"/>
        <v>2024-11</v>
      </c>
      <c r="AB1025" t="str">
        <f>IFERROR(INDEX(Products!$I:$I,MATCH(D1025,Products!$A:$A,0)),"Unknown")</f>
        <v>SUP006</v>
      </c>
    </row>
    <row r="1026" spans="1:28" x14ac:dyDescent="0.25">
      <c r="A1026" t="s">
        <v>2703</v>
      </c>
      <c r="B1026" s="20">
        <v>45564</v>
      </c>
      <c r="C1026" t="s">
        <v>800</v>
      </c>
      <c r="D1026" t="s">
        <v>290</v>
      </c>
      <c r="E1026" t="s">
        <v>442</v>
      </c>
      <c r="F1026" t="s">
        <v>377</v>
      </c>
      <c r="G1026">
        <v>1</v>
      </c>
      <c r="H1026" s="21">
        <v>6567.42</v>
      </c>
      <c r="I1026">
        <v>30</v>
      </c>
      <c r="J1026" s="21">
        <v>1970.23</v>
      </c>
      <c r="K1026">
        <v>3</v>
      </c>
      <c r="L1026" s="21">
        <v>137.91999999999999</v>
      </c>
      <c r="M1026" s="21">
        <v>4735.1099999999997</v>
      </c>
      <c r="N1026" s="21">
        <v>4715.1000000000004</v>
      </c>
      <c r="O1026" s="21">
        <v>-117.91</v>
      </c>
      <c r="P1026" t="s">
        <v>121</v>
      </c>
      <c r="Q1026" t="s">
        <v>120</v>
      </c>
      <c r="R1026" t="s">
        <v>151</v>
      </c>
      <c r="S1026" t="s">
        <v>2704</v>
      </c>
      <c r="T1026" t="s">
        <v>161</v>
      </c>
      <c r="U1026" t="s">
        <v>184</v>
      </c>
      <c r="V1026" t="str">
        <f>IFERROR(INDEX(Products!$C:$C,MATCH(D1026,Products!$A:$A,0)),"Unknown")</f>
        <v>Jewellery</v>
      </c>
      <c r="W1026" t="str">
        <f>IFERROR(INDEX(Products!$E:$E,MATCH(D1026,Products!$A:$A,0)),"Unknown")</f>
        <v>Nike</v>
      </c>
      <c r="X1026" t="str">
        <f>IFERROR(INDEX(Stores!$B:$B,MATCH(E1026,Stores!$A:$A,0)),"Unknown")</f>
        <v>TrendMart Bengaluru Standard</v>
      </c>
      <c r="Y1026" t="str">
        <f>IFERROR(INDEX(Stores!$E:$E,MATCH(E1026,Stores!$A:$A,0)),"Unknown")</f>
        <v>South Zone 2</v>
      </c>
      <c r="Z1026" t="str">
        <f>IFERROR(INDEX(Customers!$J:$J,MATCH(C1026,Customers!$A:$A,0)),"Unknown")</f>
        <v>Regular</v>
      </c>
      <c r="AA1026" t="str">
        <f t="shared" ref="AA1026:AA1089" si="16">TEXT(B1026,"YYYY-MM")</f>
        <v>2024-09</v>
      </c>
      <c r="AB1026" t="str">
        <f>IFERROR(INDEX(Products!$I:$I,MATCH(D1026,Products!$A:$A,0)),"Unknown")</f>
        <v>SUP041</v>
      </c>
    </row>
    <row r="1027" spans="1:28" x14ac:dyDescent="0.25">
      <c r="A1027" t="s">
        <v>2705</v>
      </c>
      <c r="B1027" s="20">
        <v>45516</v>
      </c>
      <c r="C1027" t="s">
        <v>2546</v>
      </c>
      <c r="D1027" t="s">
        <v>841</v>
      </c>
      <c r="E1027" t="s">
        <v>541</v>
      </c>
      <c r="F1027" t="s">
        <v>159</v>
      </c>
      <c r="G1027">
        <v>4</v>
      </c>
      <c r="H1027" s="21">
        <v>1615.38</v>
      </c>
      <c r="I1027">
        <v>0</v>
      </c>
      <c r="J1027" s="21">
        <v>0</v>
      </c>
      <c r="K1027">
        <v>12</v>
      </c>
      <c r="L1027" s="21">
        <v>775.38</v>
      </c>
      <c r="M1027" s="21">
        <v>7236.9</v>
      </c>
      <c r="N1027" s="21">
        <v>4246</v>
      </c>
      <c r="O1027" s="21">
        <v>2215.52</v>
      </c>
      <c r="P1027" t="s">
        <v>121</v>
      </c>
      <c r="Q1027" t="s">
        <v>120</v>
      </c>
      <c r="R1027" t="s">
        <v>151</v>
      </c>
      <c r="S1027" t="s">
        <v>1069</v>
      </c>
      <c r="T1027" t="s">
        <v>153</v>
      </c>
      <c r="U1027" t="s">
        <v>154</v>
      </c>
      <c r="V1027" t="str">
        <f>IFERROR(INDEX(Products!$C:$C,MATCH(D1027,Products!$A:$A,0)),"Unknown")</f>
        <v>Men Jeans</v>
      </c>
      <c r="W1027" t="str">
        <f>IFERROR(INDEX(Products!$E:$E,MATCH(D1027,Products!$A:$A,0)),"Unknown")</f>
        <v>Killer Jeans</v>
      </c>
      <c r="X1027" t="str">
        <f>IFERROR(INDEX(Stores!$B:$B,MATCH(E1027,Stores!$A:$A,0)),"Unknown")</f>
        <v>TrendMart Kochi Standard</v>
      </c>
      <c r="Y1027" t="str">
        <f>IFERROR(INDEX(Stores!$E:$E,MATCH(E1027,Stores!$A:$A,0)),"Unknown")</f>
        <v>South Zone 1</v>
      </c>
      <c r="Z1027" t="str">
        <f>IFERROR(INDEX(Customers!$J:$J,MATCH(C1027,Customers!$A:$A,0)),"Unknown")</f>
        <v>Silver</v>
      </c>
      <c r="AA1027" t="str">
        <f t="shared" si="16"/>
        <v>2024-08</v>
      </c>
      <c r="AB1027" t="str">
        <f>IFERROR(INDEX(Products!$I:$I,MATCH(D1027,Products!$A:$A,0)),"Unknown")</f>
        <v>SUP058</v>
      </c>
    </row>
    <row r="1028" spans="1:28" x14ac:dyDescent="0.25">
      <c r="A1028" t="s">
        <v>2706</v>
      </c>
      <c r="B1028" s="20">
        <v>45551</v>
      </c>
      <c r="C1028" t="s">
        <v>465</v>
      </c>
      <c r="D1028" t="s">
        <v>554</v>
      </c>
      <c r="E1028" t="s">
        <v>470</v>
      </c>
      <c r="F1028" t="s">
        <v>211</v>
      </c>
      <c r="G1028">
        <v>3</v>
      </c>
      <c r="H1028" s="21">
        <v>872.85</v>
      </c>
      <c r="I1028">
        <v>30</v>
      </c>
      <c r="J1028" s="21">
        <v>785.57</v>
      </c>
      <c r="K1028">
        <v>5</v>
      </c>
      <c r="L1028" s="21">
        <v>91.65</v>
      </c>
      <c r="M1028" s="21">
        <v>1924.63</v>
      </c>
      <c r="N1028" s="21">
        <v>1941.9</v>
      </c>
      <c r="O1028" s="21">
        <v>-108.92</v>
      </c>
      <c r="P1028" t="s">
        <v>123</v>
      </c>
      <c r="Q1028" t="s">
        <v>120</v>
      </c>
      <c r="R1028" t="s">
        <v>151</v>
      </c>
      <c r="S1028" t="s">
        <v>1669</v>
      </c>
      <c r="T1028" t="s">
        <v>153</v>
      </c>
      <c r="U1028" t="s">
        <v>184</v>
      </c>
      <c r="V1028" t="str">
        <f>IFERROR(INDEX(Products!$C:$C,MATCH(D1028,Products!$A:$A,0)),"Unknown")</f>
        <v>Women Kurtis</v>
      </c>
      <c r="W1028" t="str">
        <f>IFERROR(INDEX(Products!$E:$E,MATCH(D1028,Products!$A:$A,0)),"Unknown")</f>
        <v>Fossil</v>
      </c>
      <c r="X1028" t="str">
        <f>IFERROR(INDEX(Stores!$B:$B,MATCH(E1028,Stores!$A:$A,0)),"Unknown")</f>
        <v>TrendMart Thiruvananthapuram High Street</v>
      </c>
      <c r="Y1028" t="str">
        <f>IFERROR(INDEX(Stores!$E:$E,MATCH(E1028,Stores!$A:$A,0)),"Unknown")</f>
        <v>South Zone 1</v>
      </c>
      <c r="Z1028" t="str">
        <f>IFERROR(INDEX(Customers!$J:$J,MATCH(C1028,Customers!$A:$A,0)),"Unknown")</f>
        <v>Regular</v>
      </c>
      <c r="AA1028" t="str">
        <f t="shared" si="16"/>
        <v>2024-09</v>
      </c>
      <c r="AB1028" t="str">
        <f>IFERROR(INDEX(Products!$I:$I,MATCH(D1028,Products!$A:$A,0)),"Unknown")</f>
        <v>SUP018</v>
      </c>
    </row>
    <row r="1029" spans="1:28" x14ac:dyDescent="0.25">
      <c r="A1029" t="s">
        <v>2707</v>
      </c>
      <c r="B1029" s="20">
        <v>45425</v>
      </c>
      <c r="C1029" t="s">
        <v>2708</v>
      </c>
      <c r="D1029" t="s">
        <v>1504</v>
      </c>
      <c r="E1029" t="s">
        <v>83</v>
      </c>
      <c r="F1029" t="s">
        <v>159</v>
      </c>
      <c r="G1029">
        <v>1</v>
      </c>
      <c r="H1029" s="21">
        <v>1591.18</v>
      </c>
      <c r="I1029">
        <v>25</v>
      </c>
      <c r="J1029" s="21">
        <v>397.8</v>
      </c>
      <c r="K1029">
        <v>12</v>
      </c>
      <c r="L1029" s="21">
        <v>143.21</v>
      </c>
      <c r="M1029" s="21">
        <v>1336.59</v>
      </c>
      <c r="N1029" s="21">
        <v>1144.5899999999999</v>
      </c>
      <c r="O1029" s="21">
        <v>48.79</v>
      </c>
      <c r="P1029" t="s">
        <v>123</v>
      </c>
      <c r="Q1029" t="s">
        <v>120</v>
      </c>
      <c r="R1029" t="s">
        <v>151</v>
      </c>
      <c r="S1029" t="s">
        <v>2251</v>
      </c>
      <c r="T1029" t="s">
        <v>153</v>
      </c>
      <c r="U1029" t="s">
        <v>154</v>
      </c>
      <c r="V1029" t="str">
        <f>IFERROR(INDEX(Products!$C:$C,MATCH(D1029,Products!$A:$A,0)),"Unknown")</f>
        <v>Women Dresses</v>
      </c>
      <c r="W1029" t="str">
        <f>IFERROR(INDEX(Products!$E:$E,MATCH(D1029,Products!$A:$A,0)),"Unknown")</f>
        <v>Westside</v>
      </c>
      <c r="X1029" t="str">
        <f>IFERROR(INDEX(Stores!$B:$B,MATCH(E1029,Stores!$A:$A,0)),"Unknown")</f>
        <v>TrendMart Vellore Standard</v>
      </c>
      <c r="Y1029" t="str">
        <f>IFERROR(INDEX(Stores!$E:$E,MATCH(E1029,Stores!$A:$A,0)),"Unknown")</f>
        <v>South Zone 1</v>
      </c>
      <c r="Z1029" t="str">
        <f>IFERROR(INDEX(Customers!$J:$J,MATCH(C1029,Customers!$A:$A,0)),"Unknown")</f>
        <v>Silver</v>
      </c>
      <c r="AA1029" t="str">
        <f t="shared" si="16"/>
        <v>2024-05</v>
      </c>
      <c r="AB1029" t="str">
        <f>IFERROR(INDEX(Products!$I:$I,MATCH(D1029,Products!$A:$A,0)),"Unknown")</f>
        <v>SUP010</v>
      </c>
    </row>
    <row r="1030" spans="1:28" x14ac:dyDescent="0.25">
      <c r="A1030" t="s">
        <v>2709</v>
      </c>
      <c r="B1030" s="20">
        <v>45584</v>
      </c>
      <c r="C1030" t="s">
        <v>168</v>
      </c>
      <c r="D1030" t="s">
        <v>1044</v>
      </c>
      <c r="E1030" t="s">
        <v>355</v>
      </c>
      <c r="F1030" t="s">
        <v>253</v>
      </c>
      <c r="G1030">
        <v>3</v>
      </c>
      <c r="H1030" s="21">
        <v>645.63</v>
      </c>
      <c r="I1030">
        <v>0</v>
      </c>
      <c r="J1030" s="21">
        <v>0</v>
      </c>
      <c r="K1030">
        <v>5</v>
      </c>
      <c r="L1030" s="21">
        <v>96.84</v>
      </c>
      <c r="M1030" s="21">
        <v>2033.73</v>
      </c>
      <c r="N1030" s="21">
        <v>1005.45</v>
      </c>
      <c r="O1030" s="21">
        <v>931.44</v>
      </c>
      <c r="P1030" t="s">
        <v>121</v>
      </c>
      <c r="Q1030" t="s">
        <v>120</v>
      </c>
      <c r="R1030" t="s">
        <v>151</v>
      </c>
      <c r="S1030" t="s">
        <v>166</v>
      </c>
      <c r="T1030" t="s">
        <v>161</v>
      </c>
      <c r="U1030" t="s">
        <v>154</v>
      </c>
      <c r="V1030" t="str">
        <f>IFERROR(INDEX(Products!$C:$C,MATCH(D1030,Products!$A:$A,0)),"Unknown")</f>
        <v>Men T-Shirts</v>
      </c>
      <c r="W1030" t="str">
        <f>IFERROR(INDEX(Products!$E:$E,MATCH(D1030,Products!$A:$A,0)),"Unknown")</f>
        <v>Mufti</v>
      </c>
      <c r="X1030" t="str">
        <f>IFERROR(INDEX(Stores!$B:$B,MATCH(E1030,Stores!$A:$A,0)),"Unknown")</f>
        <v>TrendMart Thiruvananthapuram High Street</v>
      </c>
      <c r="Y1030" t="str">
        <f>IFERROR(INDEX(Stores!$E:$E,MATCH(E1030,Stores!$A:$A,0)),"Unknown")</f>
        <v>South Zone 1</v>
      </c>
      <c r="Z1030" t="str">
        <f>IFERROR(INDEX(Customers!$J:$J,MATCH(C1030,Customers!$A:$A,0)),"Unknown")</f>
        <v>Regular</v>
      </c>
      <c r="AA1030" t="str">
        <f t="shared" si="16"/>
        <v>2024-10</v>
      </c>
      <c r="AB1030" t="str">
        <f>IFERROR(INDEX(Products!$I:$I,MATCH(D1030,Products!$A:$A,0)),"Unknown")</f>
        <v>SUP042</v>
      </c>
    </row>
    <row r="1031" spans="1:28" x14ac:dyDescent="0.25">
      <c r="A1031" t="s">
        <v>2710</v>
      </c>
      <c r="B1031" s="20">
        <v>45730</v>
      </c>
      <c r="C1031" t="s">
        <v>2711</v>
      </c>
      <c r="D1031" t="s">
        <v>926</v>
      </c>
      <c r="E1031" t="s">
        <v>927</v>
      </c>
      <c r="F1031" t="s">
        <v>269</v>
      </c>
      <c r="G1031">
        <v>1</v>
      </c>
      <c r="H1031" s="21">
        <v>1207.6199999999999</v>
      </c>
      <c r="I1031">
        <v>5</v>
      </c>
      <c r="J1031" s="21">
        <v>60.38</v>
      </c>
      <c r="K1031">
        <v>12</v>
      </c>
      <c r="L1031" s="21">
        <v>137.66999999999999</v>
      </c>
      <c r="M1031" s="21">
        <v>1284.9100000000001</v>
      </c>
      <c r="N1031" s="21">
        <v>810.62</v>
      </c>
      <c r="O1031" s="21">
        <v>336.62</v>
      </c>
      <c r="P1031" t="s">
        <v>125</v>
      </c>
      <c r="Q1031" t="s">
        <v>122</v>
      </c>
      <c r="R1031" t="s">
        <v>151</v>
      </c>
      <c r="S1031" t="s">
        <v>298</v>
      </c>
      <c r="T1031" t="s">
        <v>153</v>
      </c>
      <c r="U1031" t="s">
        <v>154</v>
      </c>
      <c r="V1031" t="str">
        <f>IFERROR(INDEX(Products!$C:$C,MATCH(D1031,Products!$A:$A,0)),"Unknown")</f>
        <v>Women Dresses</v>
      </c>
      <c r="W1031" t="str">
        <f>IFERROR(INDEX(Products!$E:$E,MATCH(D1031,Products!$A:$A,0)),"Unknown")</f>
        <v>Fabindia</v>
      </c>
      <c r="X1031" t="str">
        <f>IFERROR(INDEX(Stores!$B:$B,MATCH(E1031,Stores!$A:$A,0)),"Unknown")</f>
        <v>TrendMart Kochi Mall Kiosk</v>
      </c>
      <c r="Y1031" t="str">
        <f>IFERROR(INDEX(Stores!$E:$E,MATCH(E1031,Stores!$A:$A,0)),"Unknown")</f>
        <v>South Zone 1</v>
      </c>
      <c r="Z1031" t="str">
        <f>IFERROR(INDEX(Customers!$J:$J,MATCH(C1031,Customers!$A:$A,0)),"Unknown")</f>
        <v>Silver</v>
      </c>
      <c r="AA1031" t="str">
        <f t="shared" si="16"/>
        <v>2025-03</v>
      </c>
      <c r="AB1031" t="str">
        <f>IFERROR(INDEX(Products!$I:$I,MATCH(D1031,Products!$A:$A,0)),"Unknown")</f>
        <v>SUP059</v>
      </c>
    </row>
    <row r="1032" spans="1:28" x14ac:dyDescent="0.25">
      <c r="A1032" t="s">
        <v>2712</v>
      </c>
      <c r="B1032" s="20">
        <v>45559</v>
      </c>
      <c r="C1032" t="s">
        <v>2595</v>
      </c>
      <c r="D1032" t="s">
        <v>395</v>
      </c>
      <c r="E1032" t="s">
        <v>1591</v>
      </c>
      <c r="F1032" t="s">
        <v>403</v>
      </c>
      <c r="G1032">
        <v>4</v>
      </c>
      <c r="H1032" s="21">
        <v>469.09</v>
      </c>
      <c r="I1032">
        <v>30</v>
      </c>
      <c r="J1032" s="21">
        <v>562.91</v>
      </c>
      <c r="K1032">
        <v>5</v>
      </c>
      <c r="L1032" s="21">
        <v>65.67</v>
      </c>
      <c r="M1032" s="21">
        <v>1379.12</v>
      </c>
      <c r="N1032" s="21">
        <v>1180</v>
      </c>
      <c r="O1032" s="21">
        <v>133.44999999999999</v>
      </c>
      <c r="P1032" t="s">
        <v>125</v>
      </c>
      <c r="Q1032" t="s">
        <v>120</v>
      </c>
      <c r="R1032" t="s">
        <v>151</v>
      </c>
      <c r="S1032" t="s">
        <v>1439</v>
      </c>
      <c r="T1032" t="s">
        <v>153</v>
      </c>
      <c r="U1032" t="s">
        <v>154</v>
      </c>
      <c r="V1032" t="str">
        <f>IFERROR(INDEX(Products!$C:$C,MATCH(D1032,Products!$A:$A,0)),"Unknown")</f>
        <v>Men T-Shirts</v>
      </c>
      <c r="W1032" t="str">
        <f>IFERROR(INDEX(Products!$E:$E,MATCH(D1032,Products!$A:$A,0)),"Unknown")</f>
        <v>Nalli Silks</v>
      </c>
      <c r="X1032" t="str">
        <f>IFERROR(INDEX(Stores!$B:$B,MATCH(E1032,Stores!$A:$A,0)),"Unknown")</f>
        <v>TrendMart Guntur Standard</v>
      </c>
      <c r="Y1032" t="str">
        <f>IFERROR(INDEX(Stores!$E:$E,MATCH(E1032,Stores!$A:$A,0)),"Unknown")</f>
        <v>South Zone 3</v>
      </c>
      <c r="Z1032" t="str">
        <f>IFERROR(INDEX(Customers!$J:$J,MATCH(C1032,Customers!$A:$A,0)),"Unknown")</f>
        <v>Gold</v>
      </c>
      <c r="AA1032" t="str">
        <f t="shared" si="16"/>
        <v>2024-09</v>
      </c>
      <c r="AB1032" t="str">
        <f>IFERROR(INDEX(Products!$I:$I,MATCH(D1032,Products!$A:$A,0)),"Unknown")</f>
        <v>SUP049</v>
      </c>
    </row>
    <row r="1033" spans="1:28" x14ac:dyDescent="0.25">
      <c r="A1033" t="s">
        <v>2713</v>
      </c>
      <c r="B1033" s="20">
        <v>45604</v>
      </c>
      <c r="C1033" t="s">
        <v>1708</v>
      </c>
      <c r="D1033" t="s">
        <v>1063</v>
      </c>
      <c r="E1033" t="s">
        <v>82</v>
      </c>
      <c r="F1033" t="s">
        <v>195</v>
      </c>
      <c r="G1033">
        <v>2</v>
      </c>
      <c r="H1033" s="21">
        <v>993.15</v>
      </c>
      <c r="I1033">
        <v>5</v>
      </c>
      <c r="J1033" s="21">
        <v>99.31</v>
      </c>
      <c r="K1033">
        <v>5</v>
      </c>
      <c r="L1033" s="21">
        <v>94.35</v>
      </c>
      <c r="M1033" s="21">
        <v>1981.34</v>
      </c>
      <c r="N1033" s="21">
        <v>1153.94</v>
      </c>
      <c r="O1033" s="21">
        <v>733.05</v>
      </c>
      <c r="P1033" t="s">
        <v>126</v>
      </c>
      <c r="Q1033" t="s">
        <v>120</v>
      </c>
      <c r="R1033" t="s">
        <v>151</v>
      </c>
      <c r="S1033" t="s">
        <v>2714</v>
      </c>
      <c r="T1033" t="s">
        <v>153</v>
      </c>
      <c r="U1033" t="s">
        <v>154</v>
      </c>
      <c r="V1033" t="str">
        <f>IFERROR(INDEX(Products!$C:$C,MATCH(D1033,Products!$A:$A,0)),"Unknown")</f>
        <v>Accessories</v>
      </c>
      <c r="W1033" t="str">
        <f>IFERROR(INDEX(Products!$E:$E,MATCH(D1033,Products!$A:$A,0)),"Unknown")</f>
        <v>Pepe Jeans</v>
      </c>
      <c r="X1033" t="str">
        <f>IFERROR(INDEX(Stores!$B:$B,MATCH(E1033,Stores!$A:$A,0)),"Unknown")</f>
        <v>TrendMart Kochi High Street</v>
      </c>
      <c r="Y1033" t="str">
        <f>IFERROR(INDEX(Stores!$E:$E,MATCH(E1033,Stores!$A:$A,0)),"Unknown")</f>
        <v>South Zone 1</v>
      </c>
      <c r="Z1033" t="str">
        <f>IFERROR(INDEX(Customers!$J:$J,MATCH(C1033,Customers!$A:$A,0)),"Unknown")</f>
        <v>Gold</v>
      </c>
      <c r="AA1033" t="str">
        <f t="shared" si="16"/>
        <v>2024-11</v>
      </c>
      <c r="AB1033" t="str">
        <f>IFERROR(INDEX(Products!$I:$I,MATCH(D1033,Products!$A:$A,0)),"Unknown")</f>
        <v>SUP056</v>
      </c>
    </row>
    <row r="1034" spans="1:28" x14ac:dyDescent="0.25">
      <c r="A1034" t="s">
        <v>2715</v>
      </c>
      <c r="B1034" s="20">
        <v>45497</v>
      </c>
      <c r="C1034" t="s">
        <v>2716</v>
      </c>
      <c r="D1034" t="s">
        <v>531</v>
      </c>
      <c r="E1034" t="s">
        <v>241</v>
      </c>
      <c r="F1034" t="s">
        <v>211</v>
      </c>
      <c r="G1034">
        <v>0</v>
      </c>
      <c r="H1034" s="21">
        <v>3108.52</v>
      </c>
      <c r="I1034">
        <v>30</v>
      </c>
      <c r="J1034" s="21">
        <v>0</v>
      </c>
      <c r="K1034">
        <v>12</v>
      </c>
      <c r="L1034" s="21">
        <v>0</v>
      </c>
      <c r="M1034" s="21">
        <v>0</v>
      </c>
      <c r="N1034" s="21">
        <v>0</v>
      </c>
      <c r="O1034" s="21">
        <v>0</v>
      </c>
      <c r="P1034" t="s">
        <v>121</v>
      </c>
      <c r="Q1034" t="s">
        <v>122</v>
      </c>
      <c r="R1034" t="s">
        <v>482</v>
      </c>
      <c r="S1034" t="s">
        <v>2717</v>
      </c>
      <c r="T1034" t="s">
        <v>153</v>
      </c>
      <c r="U1034" t="s">
        <v>154</v>
      </c>
      <c r="V1034" t="str">
        <f>IFERROR(INDEX(Products!$C:$C,MATCH(D1034,Products!$A:$A,0)),"Unknown")</f>
        <v>Handbags</v>
      </c>
      <c r="W1034" t="str">
        <f>IFERROR(INDEX(Products!$E:$E,MATCH(D1034,Products!$A:$A,0)),"Unknown")</f>
        <v>GRT Jewellers</v>
      </c>
      <c r="X1034" t="str">
        <f>IFERROR(INDEX(Stores!$B:$B,MATCH(E1034,Stores!$A:$A,0)),"Unknown")</f>
        <v>TrendMart Nizamabad Mall Kiosk</v>
      </c>
      <c r="Y1034" t="str">
        <f>IFERROR(INDEX(Stores!$E:$E,MATCH(E1034,Stores!$A:$A,0)),"Unknown")</f>
        <v>South Zone 2</v>
      </c>
      <c r="Z1034" t="str">
        <f>IFERROR(INDEX(Customers!$J:$J,MATCH(C1034,Customers!$A:$A,0)),"Unknown")</f>
        <v>Silver</v>
      </c>
      <c r="AA1034" t="str">
        <f t="shared" si="16"/>
        <v>2024-07</v>
      </c>
      <c r="AB1034" t="str">
        <f>IFERROR(INDEX(Products!$I:$I,MATCH(D1034,Products!$A:$A,0)),"Unknown")</f>
        <v>SUP047</v>
      </c>
    </row>
    <row r="1035" spans="1:28" x14ac:dyDescent="0.25">
      <c r="A1035" t="s">
        <v>2718</v>
      </c>
      <c r="B1035" s="20">
        <v>45597</v>
      </c>
      <c r="C1035" t="s">
        <v>2719</v>
      </c>
      <c r="D1035" t="s">
        <v>830</v>
      </c>
      <c r="E1035" t="s">
        <v>456</v>
      </c>
      <c r="F1035" t="s">
        <v>532</v>
      </c>
      <c r="G1035">
        <v>4</v>
      </c>
      <c r="H1035" s="21">
        <v>848.6</v>
      </c>
      <c r="I1035">
        <v>15</v>
      </c>
      <c r="J1035" s="21">
        <v>509.16</v>
      </c>
      <c r="K1035">
        <v>5</v>
      </c>
      <c r="L1035" s="21">
        <v>144.26</v>
      </c>
      <c r="M1035" s="21">
        <v>3029.5</v>
      </c>
      <c r="N1035" s="21">
        <v>2280.8000000000002</v>
      </c>
      <c r="O1035" s="21">
        <v>604.44000000000005</v>
      </c>
      <c r="P1035" t="s">
        <v>125</v>
      </c>
      <c r="Q1035" t="s">
        <v>120</v>
      </c>
      <c r="R1035" t="s">
        <v>151</v>
      </c>
      <c r="S1035" t="s">
        <v>2720</v>
      </c>
      <c r="T1035" t="s">
        <v>153</v>
      </c>
      <c r="U1035" t="s">
        <v>154</v>
      </c>
      <c r="V1035" t="str">
        <f>IFERROR(INDEX(Products!$C:$C,MATCH(D1035,Products!$A:$A,0)),"Unknown")</f>
        <v>Men Shirts</v>
      </c>
      <c r="W1035" t="str">
        <f>IFERROR(INDEX(Products!$E:$E,MATCH(D1035,Products!$A:$A,0)),"Unknown")</f>
        <v>AND</v>
      </c>
      <c r="X1035" t="str">
        <f>IFERROR(INDEX(Stores!$B:$B,MATCH(E1035,Stores!$A:$A,0)),"Unknown")</f>
        <v>TrendMart Salem Outlet</v>
      </c>
      <c r="Y1035" t="str">
        <f>IFERROR(INDEX(Stores!$E:$E,MATCH(E1035,Stores!$A:$A,0)),"Unknown")</f>
        <v>South Zone 1</v>
      </c>
      <c r="Z1035" t="str">
        <f>IFERROR(INDEX(Customers!$J:$J,MATCH(C1035,Customers!$A:$A,0)),"Unknown")</f>
        <v>Gold</v>
      </c>
      <c r="AA1035" t="str">
        <f t="shared" si="16"/>
        <v>2024-11</v>
      </c>
      <c r="AB1035" t="str">
        <f>IFERROR(INDEX(Products!$I:$I,MATCH(D1035,Products!$A:$A,0)),"Unknown")</f>
        <v>SUP012</v>
      </c>
    </row>
    <row r="1036" spans="1:28" x14ac:dyDescent="0.25">
      <c r="A1036" t="s">
        <v>2721</v>
      </c>
      <c r="B1036" s="20">
        <v>45567</v>
      </c>
      <c r="C1036" t="s">
        <v>2722</v>
      </c>
      <c r="D1036" t="s">
        <v>763</v>
      </c>
      <c r="E1036" t="s">
        <v>1108</v>
      </c>
      <c r="F1036" t="s">
        <v>574</v>
      </c>
      <c r="G1036">
        <v>1</v>
      </c>
      <c r="H1036" s="21">
        <v>1086.93</v>
      </c>
      <c r="I1036">
        <v>0</v>
      </c>
      <c r="J1036" s="21">
        <v>0</v>
      </c>
      <c r="K1036">
        <v>12</v>
      </c>
      <c r="L1036" s="21">
        <v>130.43</v>
      </c>
      <c r="M1036" s="21">
        <v>1217.3599999999999</v>
      </c>
      <c r="N1036" s="21">
        <v>815.46</v>
      </c>
      <c r="O1036" s="21">
        <v>271.47000000000003</v>
      </c>
      <c r="P1036" t="s">
        <v>123</v>
      </c>
      <c r="Q1036" t="s">
        <v>122</v>
      </c>
      <c r="R1036" t="s">
        <v>151</v>
      </c>
      <c r="S1036" t="s">
        <v>298</v>
      </c>
      <c r="T1036" t="s">
        <v>153</v>
      </c>
      <c r="U1036" t="s">
        <v>154</v>
      </c>
      <c r="V1036" t="str">
        <f>IFERROR(INDEX(Products!$C:$C,MATCH(D1036,Products!$A:$A,0)),"Unknown")</f>
        <v>Watches</v>
      </c>
      <c r="W1036" t="str">
        <f>IFERROR(INDEX(Products!$E:$E,MATCH(D1036,Products!$A:$A,0)),"Unknown")</f>
        <v>Libas</v>
      </c>
      <c r="X1036" t="str">
        <f>IFERROR(INDEX(Stores!$B:$B,MATCH(E1036,Stores!$A:$A,0)),"Unknown")</f>
        <v>TrendMart Karimnagar Standard</v>
      </c>
      <c r="Y1036" t="str">
        <f>IFERROR(INDEX(Stores!$E:$E,MATCH(E1036,Stores!$A:$A,0)),"Unknown")</f>
        <v>South Zone 2</v>
      </c>
      <c r="Z1036" t="str">
        <f>IFERROR(INDEX(Customers!$J:$J,MATCH(C1036,Customers!$A:$A,0)),"Unknown")</f>
        <v>Gold</v>
      </c>
      <c r="AA1036" t="str">
        <f t="shared" si="16"/>
        <v>2024-10</v>
      </c>
      <c r="AB1036" t="str">
        <f>IFERROR(INDEX(Products!$I:$I,MATCH(D1036,Products!$A:$A,0)),"Unknown")</f>
        <v>SUP047</v>
      </c>
    </row>
    <row r="1037" spans="1:28" x14ac:dyDescent="0.25">
      <c r="A1037" t="s">
        <v>2723</v>
      </c>
      <c r="B1037" s="20">
        <v>45549</v>
      </c>
      <c r="C1037" t="s">
        <v>1655</v>
      </c>
      <c r="D1037" t="s">
        <v>841</v>
      </c>
      <c r="E1037" t="s">
        <v>206</v>
      </c>
      <c r="F1037" t="s">
        <v>159</v>
      </c>
      <c r="G1037">
        <v>3</v>
      </c>
      <c r="H1037" s="21">
        <v>1694.7</v>
      </c>
      <c r="I1037">
        <v>5</v>
      </c>
      <c r="J1037" s="21">
        <v>254.21</v>
      </c>
      <c r="K1037">
        <v>12</v>
      </c>
      <c r="L1037" s="21">
        <v>579.59</v>
      </c>
      <c r="M1037" s="21">
        <v>5409.48</v>
      </c>
      <c r="N1037" s="21">
        <v>3184.5</v>
      </c>
      <c r="O1037" s="21">
        <v>1645.39</v>
      </c>
      <c r="P1037" t="s">
        <v>124</v>
      </c>
      <c r="Q1037" t="s">
        <v>122</v>
      </c>
      <c r="R1037" t="s">
        <v>151</v>
      </c>
      <c r="S1037" t="s">
        <v>923</v>
      </c>
      <c r="T1037" t="s">
        <v>161</v>
      </c>
      <c r="U1037" t="s">
        <v>154</v>
      </c>
      <c r="V1037" t="str">
        <f>IFERROR(INDEX(Products!$C:$C,MATCH(D1037,Products!$A:$A,0)),"Unknown")</f>
        <v>Men Jeans</v>
      </c>
      <c r="W1037" t="str">
        <f>IFERROR(INDEX(Products!$E:$E,MATCH(D1037,Products!$A:$A,0)),"Unknown")</f>
        <v>Killer Jeans</v>
      </c>
      <c r="X1037" t="str">
        <f>IFERROR(INDEX(Stores!$B:$B,MATCH(E1037,Stores!$A:$A,0)),"Unknown")</f>
        <v>TrendMart Nizamabad Outlet</v>
      </c>
      <c r="Y1037" t="str">
        <f>IFERROR(INDEX(Stores!$E:$E,MATCH(E1037,Stores!$A:$A,0)),"Unknown")</f>
        <v>South Zone 2</v>
      </c>
      <c r="Z1037" t="str">
        <f>IFERROR(INDEX(Customers!$J:$J,MATCH(C1037,Customers!$A:$A,0)),"Unknown")</f>
        <v>Regular</v>
      </c>
      <c r="AA1037" t="str">
        <f t="shared" si="16"/>
        <v>2024-09</v>
      </c>
      <c r="AB1037" t="str">
        <f>IFERROR(INDEX(Products!$I:$I,MATCH(D1037,Products!$A:$A,0)),"Unknown")</f>
        <v>SUP058</v>
      </c>
    </row>
    <row r="1038" spans="1:28" x14ac:dyDescent="0.25">
      <c r="A1038" t="s">
        <v>2724</v>
      </c>
      <c r="B1038" s="20">
        <v>45592</v>
      </c>
      <c r="C1038" t="s">
        <v>350</v>
      </c>
      <c r="D1038" t="s">
        <v>520</v>
      </c>
      <c r="E1038" t="s">
        <v>302</v>
      </c>
      <c r="F1038" t="s">
        <v>170</v>
      </c>
      <c r="G1038">
        <v>2</v>
      </c>
      <c r="H1038" s="21">
        <v>1272.51</v>
      </c>
      <c r="I1038">
        <v>10</v>
      </c>
      <c r="J1038" s="21">
        <v>254.5</v>
      </c>
      <c r="K1038">
        <v>12</v>
      </c>
      <c r="L1038" s="21">
        <v>274.86</v>
      </c>
      <c r="M1038" s="21">
        <v>2565.38</v>
      </c>
      <c r="N1038" s="21">
        <v>1806.6</v>
      </c>
      <c r="O1038" s="21">
        <v>483.92</v>
      </c>
      <c r="P1038" t="s">
        <v>123</v>
      </c>
      <c r="Q1038" t="s">
        <v>122</v>
      </c>
      <c r="R1038" t="s">
        <v>151</v>
      </c>
      <c r="S1038" t="s">
        <v>2725</v>
      </c>
      <c r="T1038" t="s">
        <v>161</v>
      </c>
      <c r="U1038" t="s">
        <v>154</v>
      </c>
      <c r="V1038" t="str">
        <f>IFERROR(INDEX(Products!$C:$C,MATCH(D1038,Products!$A:$A,0)),"Unknown")</f>
        <v>Wallets</v>
      </c>
      <c r="W1038" t="str">
        <f>IFERROR(INDEX(Products!$E:$E,MATCH(D1038,Products!$A:$A,0)),"Unknown")</f>
        <v>Nike</v>
      </c>
      <c r="X1038" t="str">
        <f>IFERROR(INDEX(Stores!$B:$B,MATCH(E1038,Stores!$A:$A,0)),"Unknown")</f>
        <v>TrendMart Visakhapatnam Standard</v>
      </c>
      <c r="Y1038" t="str">
        <f>IFERROR(INDEX(Stores!$E:$E,MATCH(E1038,Stores!$A:$A,0)),"Unknown")</f>
        <v>South Zone 3</v>
      </c>
      <c r="Z1038" t="str">
        <f>IFERROR(INDEX(Customers!$J:$J,MATCH(C1038,Customers!$A:$A,0)),"Unknown")</f>
        <v>Silver</v>
      </c>
      <c r="AA1038" t="str">
        <f t="shared" si="16"/>
        <v>2024-10</v>
      </c>
      <c r="AB1038" t="str">
        <f>IFERROR(INDEX(Products!$I:$I,MATCH(D1038,Products!$A:$A,0)),"Unknown")</f>
        <v>SUP027</v>
      </c>
    </row>
    <row r="1039" spans="1:28" x14ac:dyDescent="0.25">
      <c r="A1039" t="s">
        <v>2726</v>
      </c>
      <c r="B1039" s="20">
        <v>45728</v>
      </c>
      <c r="C1039" t="s">
        <v>813</v>
      </c>
      <c r="D1039" t="s">
        <v>2379</v>
      </c>
      <c r="E1039" t="s">
        <v>425</v>
      </c>
      <c r="F1039" t="s">
        <v>189</v>
      </c>
      <c r="G1039">
        <v>1</v>
      </c>
      <c r="H1039" s="21">
        <v>825.04</v>
      </c>
      <c r="I1039">
        <v>10</v>
      </c>
      <c r="J1039" s="21">
        <v>82.5</v>
      </c>
      <c r="K1039">
        <v>5</v>
      </c>
      <c r="L1039" s="21">
        <v>37.130000000000003</v>
      </c>
      <c r="M1039" s="21">
        <v>779.67</v>
      </c>
      <c r="N1039" s="21">
        <v>545.54999999999995</v>
      </c>
      <c r="O1039" s="21">
        <v>196.99</v>
      </c>
      <c r="P1039" t="s">
        <v>121</v>
      </c>
      <c r="Q1039" t="s">
        <v>120</v>
      </c>
      <c r="R1039" t="s">
        <v>151</v>
      </c>
      <c r="S1039" t="s">
        <v>896</v>
      </c>
      <c r="T1039" t="s">
        <v>153</v>
      </c>
      <c r="U1039" t="s">
        <v>154</v>
      </c>
      <c r="V1039" t="str">
        <f>IFERROR(INDEX(Products!$C:$C,MATCH(D1039,Products!$A:$A,0)),"Unknown")</f>
        <v>Wallets</v>
      </c>
      <c r="W1039" t="str">
        <f>IFERROR(INDEX(Products!$E:$E,MATCH(D1039,Products!$A:$A,0)),"Unknown")</f>
        <v>Pepe Jeans</v>
      </c>
      <c r="X1039" t="str">
        <f>IFERROR(INDEX(Stores!$B:$B,MATCH(E1039,Stores!$A:$A,0)),"Unknown")</f>
        <v>TrendMart Kozhikode Outlet</v>
      </c>
      <c r="Y1039" t="str">
        <f>IFERROR(INDEX(Stores!$E:$E,MATCH(E1039,Stores!$A:$A,0)),"Unknown")</f>
        <v>South Zone 1</v>
      </c>
      <c r="Z1039" t="str">
        <f>IFERROR(INDEX(Customers!$J:$J,MATCH(C1039,Customers!$A:$A,0)),"Unknown")</f>
        <v>Regular</v>
      </c>
      <c r="AA1039" t="str">
        <f t="shared" si="16"/>
        <v>2025-03</v>
      </c>
      <c r="AB1039" t="str">
        <f>IFERROR(INDEX(Products!$I:$I,MATCH(D1039,Products!$A:$A,0)),"Unknown")</f>
        <v>SUP024</v>
      </c>
    </row>
    <row r="1040" spans="1:28" x14ac:dyDescent="0.25">
      <c r="A1040" t="s">
        <v>2727</v>
      </c>
      <c r="B1040" s="20">
        <v>45587</v>
      </c>
      <c r="C1040" t="s">
        <v>1001</v>
      </c>
      <c r="D1040" t="s">
        <v>1073</v>
      </c>
      <c r="E1040" t="s">
        <v>1591</v>
      </c>
      <c r="F1040" t="s">
        <v>532</v>
      </c>
      <c r="G1040">
        <v>3</v>
      </c>
      <c r="H1040" s="21">
        <v>3148.17</v>
      </c>
      <c r="I1040">
        <v>15</v>
      </c>
      <c r="J1040" s="21">
        <v>1416.68</v>
      </c>
      <c r="K1040">
        <v>12</v>
      </c>
      <c r="L1040" s="21">
        <v>963.34</v>
      </c>
      <c r="M1040" s="21">
        <v>8991.17</v>
      </c>
      <c r="N1040" s="21">
        <v>7021.38</v>
      </c>
      <c r="O1040" s="21">
        <v>1006.45</v>
      </c>
      <c r="P1040" t="s">
        <v>121</v>
      </c>
      <c r="Q1040" t="s">
        <v>122</v>
      </c>
      <c r="R1040" t="s">
        <v>151</v>
      </c>
      <c r="S1040" t="s">
        <v>2728</v>
      </c>
      <c r="T1040" t="s">
        <v>153</v>
      </c>
      <c r="U1040" t="s">
        <v>154</v>
      </c>
      <c r="V1040" t="str">
        <f>IFERROR(INDEX(Products!$C:$C,MATCH(D1040,Products!$A:$A,0)),"Unknown")</f>
        <v>Women Sarees</v>
      </c>
      <c r="W1040" t="str">
        <f>IFERROR(INDEX(Products!$E:$E,MATCH(D1040,Products!$A:$A,0)),"Unknown")</f>
        <v>W for Woman</v>
      </c>
      <c r="X1040" t="str">
        <f>IFERROR(INDEX(Stores!$B:$B,MATCH(E1040,Stores!$A:$A,0)),"Unknown")</f>
        <v>TrendMart Guntur Standard</v>
      </c>
      <c r="Y1040" t="str">
        <f>IFERROR(INDEX(Stores!$E:$E,MATCH(E1040,Stores!$A:$A,0)),"Unknown")</f>
        <v>South Zone 3</v>
      </c>
      <c r="Z1040" t="str">
        <f>IFERROR(INDEX(Customers!$J:$J,MATCH(C1040,Customers!$A:$A,0)),"Unknown")</f>
        <v>Silver</v>
      </c>
      <c r="AA1040" t="str">
        <f t="shared" si="16"/>
        <v>2024-10</v>
      </c>
      <c r="AB1040" t="str">
        <f>IFERROR(INDEX(Products!$I:$I,MATCH(D1040,Products!$A:$A,0)),"Unknown")</f>
        <v>SUP012</v>
      </c>
    </row>
    <row r="1041" spans="1:28" x14ac:dyDescent="0.25">
      <c r="A1041" t="s">
        <v>2729</v>
      </c>
      <c r="B1041" s="20">
        <v>45570</v>
      </c>
      <c r="C1041" t="s">
        <v>1704</v>
      </c>
      <c r="D1041" t="s">
        <v>536</v>
      </c>
      <c r="E1041" t="s">
        <v>226</v>
      </c>
      <c r="F1041" t="s">
        <v>377</v>
      </c>
      <c r="G1041">
        <v>3</v>
      </c>
      <c r="H1041" s="21">
        <v>603.03</v>
      </c>
      <c r="I1041">
        <v>15</v>
      </c>
      <c r="J1041" s="21">
        <v>271.36</v>
      </c>
      <c r="K1041">
        <v>5</v>
      </c>
      <c r="L1041" s="21">
        <v>76.89</v>
      </c>
      <c r="M1041" s="21">
        <v>1614.62</v>
      </c>
      <c r="N1041" s="21">
        <v>1072.3499999999999</v>
      </c>
      <c r="O1041" s="21">
        <v>465.38</v>
      </c>
      <c r="P1041" t="s">
        <v>121</v>
      </c>
      <c r="Q1041" t="s">
        <v>120</v>
      </c>
      <c r="R1041" t="s">
        <v>151</v>
      </c>
      <c r="S1041" t="s">
        <v>1105</v>
      </c>
      <c r="T1041" t="s">
        <v>161</v>
      </c>
      <c r="U1041" t="s">
        <v>154</v>
      </c>
      <c r="V1041" t="str">
        <f>IFERROR(INDEX(Products!$C:$C,MATCH(D1041,Products!$A:$A,0)),"Unknown")</f>
        <v>Wallets</v>
      </c>
      <c r="W1041" t="str">
        <f>IFERROR(INDEX(Products!$E:$E,MATCH(D1041,Products!$A:$A,0)),"Unknown")</f>
        <v>Aurelia</v>
      </c>
      <c r="X1041" t="str">
        <f>IFERROR(INDEX(Stores!$B:$B,MATCH(E1041,Stores!$A:$A,0)),"Unknown")</f>
        <v>TrendMart Kurnool Standard</v>
      </c>
      <c r="Y1041" t="str">
        <f>IFERROR(INDEX(Stores!$E:$E,MATCH(E1041,Stores!$A:$A,0)),"Unknown")</f>
        <v>South Zone 3</v>
      </c>
      <c r="Z1041" t="str">
        <f>IFERROR(INDEX(Customers!$J:$J,MATCH(C1041,Customers!$A:$A,0)),"Unknown")</f>
        <v>Silver</v>
      </c>
      <c r="AA1041" t="str">
        <f t="shared" si="16"/>
        <v>2024-10</v>
      </c>
      <c r="AB1041" t="str">
        <f>IFERROR(INDEX(Products!$I:$I,MATCH(D1041,Products!$A:$A,0)),"Unknown")</f>
        <v>SUP084</v>
      </c>
    </row>
    <row r="1042" spans="1:28" x14ac:dyDescent="0.25">
      <c r="A1042" t="s">
        <v>2730</v>
      </c>
      <c r="B1042" s="20">
        <v>45569</v>
      </c>
      <c r="C1042" t="s">
        <v>974</v>
      </c>
      <c r="D1042" t="s">
        <v>595</v>
      </c>
      <c r="E1042" t="s">
        <v>1442</v>
      </c>
      <c r="F1042" t="s">
        <v>237</v>
      </c>
      <c r="G1042">
        <v>2</v>
      </c>
      <c r="H1042" s="21">
        <v>860.1</v>
      </c>
      <c r="I1042">
        <v>10</v>
      </c>
      <c r="J1042" s="21">
        <v>172.02</v>
      </c>
      <c r="K1042">
        <v>5</v>
      </c>
      <c r="L1042" s="21">
        <v>77.41</v>
      </c>
      <c r="M1042" s="21">
        <v>1625.59</v>
      </c>
      <c r="N1042" s="21">
        <v>1180.96</v>
      </c>
      <c r="O1042" s="21">
        <v>367.22</v>
      </c>
      <c r="P1042" t="s">
        <v>124</v>
      </c>
      <c r="Q1042" t="s">
        <v>120</v>
      </c>
      <c r="R1042" t="s">
        <v>151</v>
      </c>
      <c r="S1042" t="s">
        <v>2731</v>
      </c>
      <c r="T1042" t="s">
        <v>153</v>
      </c>
      <c r="U1042" t="s">
        <v>154</v>
      </c>
      <c r="V1042" t="str">
        <f>IFERROR(INDEX(Products!$C:$C,MATCH(D1042,Products!$A:$A,0)),"Unknown")</f>
        <v>Men Shirts</v>
      </c>
      <c r="W1042" t="str">
        <f>IFERROR(INDEX(Products!$E:$E,MATCH(D1042,Products!$A:$A,0)),"Unknown")</f>
        <v>Nalli Silks</v>
      </c>
      <c r="X1042" t="str">
        <f>IFERROR(INDEX(Stores!$B:$B,MATCH(E1042,Stores!$A:$A,0)),"Unknown")</f>
        <v>TrendMart Vellore High Street</v>
      </c>
      <c r="Y1042" t="str">
        <f>IFERROR(INDEX(Stores!$E:$E,MATCH(E1042,Stores!$A:$A,0)),"Unknown")</f>
        <v>South Zone 1</v>
      </c>
      <c r="Z1042" t="str">
        <f>IFERROR(INDEX(Customers!$J:$J,MATCH(C1042,Customers!$A:$A,0)),"Unknown")</f>
        <v>Gold</v>
      </c>
      <c r="AA1042" t="str">
        <f t="shared" si="16"/>
        <v>2024-10</v>
      </c>
      <c r="AB1042" t="str">
        <f>IFERROR(INDEX(Products!$I:$I,MATCH(D1042,Products!$A:$A,0)),"Unknown")</f>
        <v>SUP055</v>
      </c>
    </row>
    <row r="1043" spans="1:28" x14ac:dyDescent="0.25">
      <c r="A1043" t="s">
        <v>2732</v>
      </c>
      <c r="B1043" s="20">
        <v>45595</v>
      </c>
      <c r="C1043" t="s">
        <v>2733</v>
      </c>
      <c r="D1043" t="s">
        <v>689</v>
      </c>
      <c r="E1043" t="s">
        <v>181</v>
      </c>
      <c r="F1043" t="s">
        <v>286</v>
      </c>
      <c r="G1043">
        <v>1</v>
      </c>
      <c r="H1043" s="21">
        <v>739.25</v>
      </c>
      <c r="I1043">
        <v>20</v>
      </c>
      <c r="J1043" s="21">
        <v>147.85</v>
      </c>
      <c r="K1043">
        <v>5</v>
      </c>
      <c r="L1043" s="21">
        <v>29.57</v>
      </c>
      <c r="M1043" s="21">
        <v>620.97</v>
      </c>
      <c r="N1043" s="21">
        <v>591.38</v>
      </c>
      <c r="O1043" s="21">
        <v>0.02</v>
      </c>
      <c r="P1043" t="s">
        <v>121</v>
      </c>
      <c r="Q1043" t="s">
        <v>120</v>
      </c>
      <c r="R1043" t="s">
        <v>151</v>
      </c>
      <c r="S1043" t="s">
        <v>1289</v>
      </c>
      <c r="T1043" t="s">
        <v>153</v>
      </c>
      <c r="U1043" t="s">
        <v>154</v>
      </c>
      <c r="V1043" t="str">
        <f>IFERROR(INDEX(Products!$C:$C,MATCH(D1043,Products!$A:$A,0)),"Unknown")</f>
        <v>Kids Wear</v>
      </c>
      <c r="W1043" t="str">
        <f>IFERROR(INDEX(Products!$E:$E,MATCH(D1043,Products!$A:$A,0)),"Unknown")</f>
        <v>Libas</v>
      </c>
      <c r="X1043" t="str">
        <f>IFERROR(INDEX(Stores!$B:$B,MATCH(E1043,Stores!$A:$A,0)),"Unknown")</f>
        <v>TrendMart Kurnool High Street</v>
      </c>
      <c r="Y1043" t="str">
        <f>IFERROR(INDEX(Stores!$E:$E,MATCH(E1043,Stores!$A:$A,0)),"Unknown")</f>
        <v>South Zone 3</v>
      </c>
      <c r="Z1043" t="str">
        <f>IFERROR(INDEX(Customers!$J:$J,MATCH(C1043,Customers!$A:$A,0)),"Unknown")</f>
        <v>Regular</v>
      </c>
      <c r="AA1043" t="str">
        <f t="shared" si="16"/>
        <v>2024-10</v>
      </c>
      <c r="AB1043" t="str">
        <f>IFERROR(INDEX(Products!$I:$I,MATCH(D1043,Products!$A:$A,0)),"Unknown")</f>
        <v>SUP031</v>
      </c>
    </row>
    <row r="1044" spans="1:28" x14ac:dyDescent="0.25">
      <c r="A1044" t="s">
        <v>2734</v>
      </c>
      <c r="B1044" s="20">
        <v>45491</v>
      </c>
      <c r="C1044" t="s">
        <v>2735</v>
      </c>
      <c r="D1044" t="s">
        <v>312</v>
      </c>
      <c r="E1044" t="s">
        <v>396</v>
      </c>
      <c r="F1044" t="s">
        <v>596</v>
      </c>
      <c r="G1044">
        <v>2</v>
      </c>
      <c r="H1044" s="21">
        <v>1188.3699999999999</v>
      </c>
      <c r="I1044">
        <v>15</v>
      </c>
      <c r="J1044" s="21">
        <v>356.51</v>
      </c>
      <c r="K1044">
        <v>12</v>
      </c>
      <c r="L1044" s="21">
        <v>242.43</v>
      </c>
      <c r="M1044" s="21">
        <v>2262.66</v>
      </c>
      <c r="N1044" s="21">
        <v>1731.84</v>
      </c>
      <c r="O1044" s="21">
        <v>288.39</v>
      </c>
      <c r="P1044" t="s">
        <v>124</v>
      </c>
      <c r="Q1044" t="s">
        <v>120</v>
      </c>
      <c r="R1044" t="s">
        <v>151</v>
      </c>
      <c r="S1044" t="s">
        <v>1184</v>
      </c>
      <c r="T1044" t="s">
        <v>153</v>
      </c>
      <c r="U1044" t="s">
        <v>154</v>
      </c>
      <c r="V1044" t="str">
        <f>IFERROR(INDEX(Products!$C:$C,MATCH(D1044,Products!$A:$A,0)),"Unknown")</f>
        <v>Handbags</v>
      </c>
      <c r="W1044" t="str">
        <f>IFERROR(INDEX(Products!$E:$E,MATCH(D1044,Products!$A:$A,0)),"Unknown")</f>
        <v>Wrangler</v>
      </c>
      <c r="X1044" t="str">
        <f>IFERROR(INDEX(Stores!$B:$B,MATCH(E1044,Stores!$A:$A,0)),"Unknown")</f>
        <v>TrendMart Davanagere High Street</v>
      </c>
      <c r="Y1044" t="str">
        <f>IFERROR(INDEX(Stores!$E:$E,MATCH(E1044,Stores!$A:$A,0)),"Unknown")</f>
        <v>South Zone 2</v>
      </c>
      <c r="Z1044" t="str">
        <f>IFERROR(INDEX(Customers!$J:$J,MATCH(C1044,Customers!$A:$A,0)),"Unknown")</f>
        <v>Silver</v>
      </c>
      <c r="AA1044" t="str">
        <f t="shared" si="16"/>
        <v>2024-07</v>
      </c>
      <c r="AB1044" t="str">
        <f>IFERROR(INDEX(Products!$I:$I,MATCH(D1044,Products!$A:$A,0)),"Unknown")</f>
        <v>SUP008</v>
      </c>
    </row>
    <row r="1045" spans="1:28" x14ac:dyDescent="0.25">
      <c r="A1045" t="s">
        <v>2736</v>
      </c>
      <c r="B1045" s="20">
        <v>45657</v>
      </c>
      <c r="C1045" t="s">
        <v>916</v>
      </c>
      <c r="D1045" t="s">
        <v>1539</v>
      </c>
      <c r="E1045" t="s">
        <v>368</v>
      </c>
      <c r="F1045" t="s">
        <v>189</v>
      </c>
      <c r="G1045">
        <v>3</v>
      </c>
      <c r="H1045" s="21">
        <v>1097.72</v>
      </c>
      <c r="I1045">
        <v>25</v>
      </c>
      <c r="J1045" s="21">
        <v>823.29</v>
      </c>
      <c r="K1045">
        <v>12</v>
      </c>
      <c r="L1045" s="21">
        <v>296.38</v>
      </c>
      <c r="M1045" s="21">
        <v>2766.25</v>
      </c>
      <c r="N1045" s="21">
        <v>2752.32</v>
      </c>
      <c r="O1045" s="21">
        <v>-282.45</v>
      </c>
      <c r="P1045" t="s">
        <v>124</v>
      </c>
      <c r="Q1045" t="s">
        <v>122</v>
      </c>
      <c r="R1045" t="s">
        <v>151</v>
      </c>
      <c r="S1045" t="s">
        <v>1992</v>
      </c>
      <c r="T1045" t="s">
        <v>153</v>
      </c>
      <c r="U1045" t="s">
        <v>184</v>
      </c>
      <c r="V1045" t="str">
        <f>IFERROR(INDEX(Products!$C:$C,MATCH(D1045,Products!$A:$A,0)),"Unknown")</f>
        <v>Wallets</v>
      </c>
      <c r="W1045" t="str">
        <f>IFERROR(INDEX(Products!$E:$E,MATCH(D1045,Products!$A:$A,0)),"Unknown")</f>
        <v>Reebok</v>
      </c>
      <c r="X1045" t="str">
        <f>IFERROR(INDEX(Stores!$B:$B,MATCH(E1045,Stores!$A:$A,0)),"Unknown")</f>
        <v>TrendMart Alappuzha Outlet</v>
      </c>
      <c r="Y1045" t="str">
        <f>IFERROR(INDEX(Stores!$E:$E,MATCH(E1045,Stores!$A:$A,0)),"Unknown")</f>
        <v>South Zone 1</v>
      </c>
      <c r="Z1045" t="str">
        <f>IFERROR(INDEX(Customers!$J:$J,MATCH(C1045,Customers!$A:$A,0)),"Unknown")</f>
        <v>Silver</v>
      </c>
      <c r="AA1045" t="str">
        <f t="shared" si="16"/>
        <v>2024-12</v>
      </c>
      <c r="AB1045" t="str">
        <f>IFERROR(INDEX(Products!$I:$I,MATCH(D1045,Products!$A:$A,0)),"Unknown")</f>
        <v>SUP007</v>
      </c>
    </row>
    <row r="1046" spans="1:28" x14ac:dyDescent="0.25">
      <c r="A1046" t="s">
        <v>2737</v>
      </c>
      <c r="B1046" s="20">
        <v>45534</v>
      </c>
      <c r="C1046" t="s">
        <v>1758</v>
      </c>
      <c r="D1046" t="s">
        <v>531</v>
      </c>
      <c r="E1046" t="s">
        <v>226</v>
      </c>
      <c r="F1046" t="s">
        <v>281</v>
      </c>
      <c r="G1046">
        <v>1</v>
      </c>
      <c r="H1046" s="21">
        <v>3003.79</v>
      </c>
      <c r="I1046">
        <v>15</v>
      </c>
      <c r="J1046" s="21">
        <v>450.57</v>
      </c>
      <c r="K1046">
        <v>12</v>
      </c>
      <c r="L1046" s="21">
        <v>306.39</v>
      </c>
      <c r="M1046" s="21">
        <v>2859.61</v>
      </c>
      <c r="N1046" s="21">
        <v>2034.01</v>
      </c>
      <c r="O1046" s="21">
        <v>519.21</v>
      </c>
      <c r="P1046" t="s">
        <v>124</v>
      </c>
      <c r="Q1046" t="s">
        <v>120</v>
      </c>
      <c r="R1046" t="s">
        <v>313</v>
      </c>
      <c r="S1046" t="s">
        <v>708</v>
      </c>
      <c r="T1046" t="s">
        <v>153</v>
      </c>
      <c r="U1046" t="s">
        <v>154</v>
      </c>
      <c r="V1046" t="str">
        <f>IFERROR(INDEX(Products!$C:$C,MATCH(D1046,Products!$A:$A,0)),"Unknown")</f>
        <v>Handbags</v>
      </c>
      <c r="W1046" t="str">
        <f>IFERROR(INDEX(Products!$E:$E,MATCH(D1046,Products!$A:$A,0)),"Unknown")</f>
        <v>GRT Jewellers</v>
      </c>
      <c r="X1046" t="str">
        <f>IFERROR(INDEX(Stores!$B:$B,MATCH(E1046,Stores!$A:$A,0)),"Unknown")</f>
        <v>TrendMart Kurnool Standard</v>
      </c>
      <c r="Y1046" t="str">
        <f>IFERROR(INDEX(Stores!$E:$E,MATCH(E1046,Stores!$A:$A,0)),"Unknown")</f>
        <v>South Zone 3</v>
      </c>
      <c r="Z1046" t="str">
        <f>IFERROR(INDEX(Customers!$J:$J,MATCH(C1046,Customers!$A:$A,0)),"Unknown")</f>
        <v>Silver</v>
      </c>
      <c r="AA1046" t="str">
        <f t="shared" si="16"/>
        <v>2024-08</v>
      </c>
      <c r="AB1046" t="str">
        <f>IFERROR(INDEX(Products!$I:$I,MATCH(D1046,Products!$A:$A,0)),"Unknown")</f>
        <v>SUP047</v>
      </c>
    </row>
    <row r="1047" spans="1:28" x14ac:dyDescent="0.25">
      <c r="A1047" t="s">
        <v>2738</v>
      </c>
      <c r="B1047" s="20">
        <v>45597</v>
      </c>
      <c r="C1047" t="s">
        <v>2739</v>
      </c>
      <c r="D1047" t="s">
        <v>1111</v>
      </c>
      <c r="E1047" t="s">
        <v>194</v>
      </c>
      <c r="F1047" t="s">
        <v>269</v>
      </c>
      <c r="G1047">
        <v>2</v>
      </c>
      <c r="H1047" s="21">
        <v>2220.27</v>
      </c>
      <c r="I1047">
        <v>25</v>
      </c>
      <c r="J1047" s="21">
        <v>1110.1300000000001</v>
      </c>
      <c r="K1047">
        <v>12</v>
      </c>
      <c r="L1047" s="21">
        <v>399.65</v>
      </c>
      <c r="M1047" s="21">
        <v>3730.06</v>
      </c>
      <c r="N1047" s="21">
        <v>3353.84</v>
      </c>
      <c r="O1047" s="21">
        <v>-23.43</v>
      </c>
      <c r="P1047" t="s">
        <v>124</v>
      </c>
      <c r="Q1047" t="s">
        <v>120</v>
      </c>
      <c r="R1047" t="s">
        <v>151</v>
      </c>
      <c r="S1047" t="s">
        <v>1191</v>
      </c>
      <c r="T1047" t="s">
        <v>153</v>
      </c>
      <c r="U1047" t="s">
        <v>184</v>
      </c>
      <c r="V1047" t="str">
        <f>IFERROR(INDEX(Products!$C:$C,MATCH(D1047,Products!$A:$A,0)),"Unknown")</f>
        <v>Men Ethnic</v>
      </c>
      <c r="W1047" t="str">
        <f>IFERROR(INDEX(Products!$E:$E,MATCH(D1047,Products!$A:$A,0)),"Unknown")</f>
        <v>Raymond</v>
      </c>
      <c r="X1047" t="str">
        <f>IFERROR(INDEX(Stores!$B:$B,MATCH(E1047,Stores!$A:$A,0)),"Unknown")</f>
        <v>TrendMart Tirupati High Street</v>
      </c>
      <c r="Y1047" t="str">
        <f>IFERROR(INDEX(Stores!$E:$E,MATCH(E1047,Stores!$A:$A,0)),"Unknown")</f>
        <v>South Zone 3</v>
      </c>
      <c r="Z1047" t="str">
        <f>IFERROR(INDEX(Customers!$J:$J,MATCH(C1047,Customers!$A:$A,0)),"Unknown")</f>
        <v>Regular</v>
      </c>
      <c r="AA1047" t="str">
        <f t="shared" si="16"/>
        <v>2024-11</v>
      </c>
      <c r="AB1047" t="str">
        <f>IFERROR(INDEX(Products!$I:$I,MATCH(D1047,Products!$A:$A,0)),"Unknown")</f>
        <v>SUP018</v>
      </c>
    </row>
    <row r="1048" spans="1:28" x14ac:dyDescent="0.25">
      <c r="A1048" t="s">
        <v>2740</v>
      </c>
      <c r="B1048" s="20">
        <v>45725</v>
      </c>
      <c r="C1048" t="s">
        <v>2458</v>
      </c>
      <c r="D1048" t="s">
        <v>1071</v>
      </c>
      <c r="E1048" t="s">
        <v>90</v>
      </c>
      <c r="F1048" t="s">
        <v>232</v>
      </c>
      <c r="G1048">
        <v>1</v>
      </c>
      <c r="H1048" s="21">
        <v>2123.2399999999998</v>
      </c>
      <c r="I1048">
        <v>10</v>
      </c>
      <c r="J1048" s="21">
        <v>212.32</v>
      </c>
      <c r="K1048">
        <v>12</v>
      </c>
      <c r="L1048" s="21">
        <v>229.31</v>
      </c>
      <c r="M1048" s="21">
        <v>2140.23</v>
      </c>
      <c r="N1048" s="21">
        <v>1542.23</v>
      </c>
      <c r="O1048" s="21">
        <v>368.69</v>
      </c>
      <c r="P1048" t="s">
        <v>124</v>
      </c>
      <c r="Q1048" t="s">
        <v>120</v>
      </c>
      <c r="R1048" t="s">
        <v>151</v>
      </c>
      <c r="S1048" t="s">
        <v>1557</v>
      </c>
      <c r="T1048" t="s">
        <v>161</v>
      </c>
      <c r="U1048" t="s">
        <v>154</v>
      </c>
      <c r="V1048" t="str">
        <f>IFERROR(INDEX(Products!$C:$C,MATCH(D1048,Products!$A:$A,0)),"Unknown")</f>
        <v>Footwear</v>
      </c>
      <c r="W1048" t="str">
        <f>IFERROR(INDEX(Products!$E:$E,MATCH(D1048,Products!$A:$A,0)),"Unknown")</f>
        <v>Max Fashion</v>
      </c>
      <c r="X1048" t="str">
        <f>IFERROR(INDEX(Stores!$B:$B,MATCH(E1048,Stores!$A:$A,0)),"Unknown")</f>
        <v>TrendMart Thoothukudi Mall Kiosk</v>
      </c>
      <c r="Y1048" t="str">
        <f>IFERROR(INDEX(Stores!$E:$E,MATCH(E1048,Stores!$A:$A,0)),"Unknown")</f>
        <v>South Zone 1</v>
      </c>
      <c r="Z1048" t="str">
        <f>IFERROR(INDEX(Customers!$J:$J,MATCH(C1048,Customers!$A:$A,0)),"Unknown")</f>
        <v>Silver</v>
      </c>
      <c r="AA1048" t="str">
        <f t="shared" si="16"/>
        <v>2025-03</v>
      </c>
      <c r="AB1048" t="str">
        <f>IFERROR(INDEX(Products!$I:$I,MATCH(D1048,Products!$A:$A,0)),"Unknown")</f>
        <v>SUP039</v>
      </c>
    </row>
    <row r="1049" spans="1:28" x14ac:dyDescent="0.25">
      <c r="A1049" t="s">
        <v>2741</v>
      </c>
      <c r="B1049" s="20">
        <v>45561</v>
      </c>
      <c r="C1049" t="s">
        <v>2330</v>
      </c>
      <c r="D1049" t="s">
        <v>1972</v>
      </c>
      <c r="E1049" t="s">
        <v>175</v>
      </c>
      <c r="F1049" t="s">
        <v>159</v>
      </c>
      <c r="G1049">
        <v>2</v>
      </c>
      <c r="H1049" s="21">
        <v>1035.01</v>
      </c>
      <c r="I1049">
        <v>10</v>
      </c>
      <c r="J1049" s="21">
        <v>207</v>
      </c>
      <c r="K1049">
        <v>12</v>
      </c>
      <c r="L1049" s="21">
        <v>223.56</v>
      </c>
      <c r="M1049" s="21">
        <v>2086.58</v>
      </c>
      <c r="N1049" s="21">
        <v>1444.8</v>
      </c>
      <c r="O1049" s="21">
        <v>418.22</v>
      </c>
      <c r="P1049" t="s">
        <v>126</v>
      </c>
      <c r="Q1049" t="s">
        <v>122</v>
      </c>
      <c r="R1049" t="s">
        <v>151</v>
      </c>
      <c r="S1049" t="s">
        <v>1275</v>
      </c>
      <c r="T1049" t="s">
        <v>153</v>
      </c>
      <c r="U1049" t="s">
        <v>154</v>
      </c>
      <c r="V1049" t="str">
        <f>IFERROR(INDEX(Products!$C:$C,MATCH(D1049,Products!$A:$A,0)),"Unknown")</f>
        <v>Women Jeans</v>
      </c>
      <c r="W1049" t="str">
        <f>IFERROR(INDEX(Products!$E:$E,MATCH(D1049,Products!$A:$A,0)),"Unknown")</f>
        <v>Spykar</v>
      </c>
      <c r="X1049" t="str">
        <f>IFERROR(INDEX(Stores!$B:$B,MATCH(E1049,Stores!$A:$A,0)),"Unknown")</f>
        <v>TrendMart Thoothukudi Flagship</v>
      </c>
      <c r="Y1049" t="str">
        <f>IFERROR(INDEX(Stores!$E:$E,MATCH(E1049,Stores!$A:$A,0)),"Unknown")</f>
        <v>South Zone 1</v>
      </c>
      <c r="Z1049" t="str">
        <f>IFERROR(INDEX(Customers!$J:$J,MATCH(C1049,Customers!$A:$A,0)),"Unknown")</f>
        <v>Gold</v>
      </c>
      <c r="AA1049" t="str">
        <f t="shared" si="16"/>
        <v>2024-09</v>
      </c>
      <c r="AB1049" t="str">
        <f>IFERROR(INDEX(Products!$I:$I,MATCH(D1049,Products!$A:$A,0)),"Unknown")</f>
        <v>SUP087</v>
      </c>
    </row>
    <row r="1050" spans="1:28" x14ac:dyDescent="0.25">
      <c r="A1050" t="s">
        <v>2742</v>
      </c>
      <c r="B1050" s="20">
        <v>45421</v>
      </c>
      <c r="C1050" t="s">
        <v>2743</v>
      </c>
      <c r="D1050" t="s">
        <v>905</v>
      </c>
      <c r="E1050" t="s">
        <v>506</v>
      </c>
      <c r="F1050" t="s">
        <v>443</v>
      </c>
      <c r="G1050">
        <v>1</v>
      </c>
      <c r="H1050" s="21">
        <v>552.4</v>
      </c>
      <c r="I1050">
        <v>15</v>
      </c>
      <c r="J1050" s="21">
        <v>82.86</v>
      </c>
      <c r="K1050">
        <v>5</v>
      </c>
      <c r="L1050" s="21">
        <v>23.48</v>
      </c>
      <c r="M1050" s="21">
        <v>493.02</v>
      </c>
      <c r="N1050" s="21">
        <v>371.12</v>
      </c>
      <c r="O1050" s="21">
        <v>98.42</v>
      </c>
      <c r="P1050" t="s">
        <v>124</v>
      </c>
      <c r="Q1050" t="s">
        <v>122</v>
      </c>
      <c r="R1050" t="s">
        <v>151</v>
      </c>
      <c r="S1050" t="s">
        <v>1969</v>
      </c>
      <c r="T1050" t="s">
        <v>153</v>
      </c>
      <c r="U1050" t="s">
        <v>154</v>
      </c>
      <c r="V1050" t="str">
        <f>IFERROR(INDEX(Products!$C:$C,MATCH(D1050,Products!$A:$A,0)),"Unknown")</f>
        <v>Wallets</v>
      </c>
      <c r="W1050" t="str">
        <f>IFERROR(INDEX(Products!$E:$E,MATCH(D1050,Products!$A:$A,0)),"Unknown")</f>
        <v>Global Desi</v>
      </c>
      <c r="X1050" t="str">
        <f>IFERROR(INDEX(Stores!$B:$B,MATCH(E1050,Stores!$A:$A,0)),"Unknown")</f>
        <v>TrendMart Nellore High Street</v>
      </c>
      <c r="Y1050" t="str">
        <f>IFERROR(INDEX(Stores!$E:$E,MATCH(E1050,Stores!$A:$A,0)),"Unknown")</f>
        <v>South Zone 3</v>
      </c>
      <c r="Z1050" t="str">
        <f>IFERROR(INDEX(Customers!$J:$J,MATCH(C1050,Customers!$A:$A,0)),"Unknown")</f>
        <v>Silver</v>
      </c>
      <c r="AA1050" t="str">
        <f t="shared" si="16"/>
        <v>2024-05</v>
      </c>
      <c r="AB1050" t="str">
        <f>IFERROR(INDEX(Products!$I:$I,MATCH(D1050,Products!$A:$A,0)),"Unknown")</f>
        <v>SUP051</v>
      </c>
    </row>
    <row r="1051" spans="1:28" x14ac:dyDescent="0.25">
      <c r="A1051" t="s">
        <v>2744</v>
      </c>
      <c r="B1051" s="20">
        <v>45694</v>
      </c>
      <c r="C1051" t="s">
        <v>679</v>
      </c>
      <c r="D1051" t="s">
        <v>220</v>
      </c>
      <c r="E1051" t="s">
        <v>999</v>
      </c>
      <c r="F1051" t="s">
        <v>308</v>
      </c>
      <c r="G1051">
        <v>1</v>
      </c>
      <c r="H1051" s="21">
        <v>5727.63</v>
      </c>
      <c r="I1051">
        <v>20</v>
      </c>
      <c r="J1051" s="21">
        <v>1145.53</v>
      </c>
      <c r="K1051">
        <v>12</v>
      </c>
      <c r="L1051" s="21">
        <v>549.85</v>
      </c>
      <c r="M1051" s="21">
        <v>5131.95</v>
      </c>
      <c r="N1051" s="21">
        <v>3970.86</v>
      </c>
      <c r="O1051" s="21">
        <v>611.24</v>
      </c>
      <c r="P1051" t="s">
        <v>124</v>
      </c>
      <c r="Q1051" t="s">
        <v>120</v>
      </c>
      <c r="R1051" t="s">
        <v>151</v>
      </c>
      <c r="S1051" t="s">
        <v>1999</v>
      </c>
      <c r="T1051" t="s">
        <v>153</v>
      </c>
      <c r="U1051" t="s">
        <v>154</v>
      </c>
      <c r="V1051" t="str">
        <f>IFERROR(INDEX(Products!$C:$C,MATCH(D1051,Products!$A:$A,0)),"Unknown")</f>
        <v>Watches</v>
      </c>
      <c r="W1051" t="str">
        <f>IFERROR(INDEX(Products!$E:$E,MATCH(D1051,Products!$A:$A,0)),"Unknown")</f>
        <v>Global Desi</v>
      </c>
      <c r="X1051" t="str">
        <f>IFERROR(INDEX(Stores!$B:$B,MATCH(E1051,Stores!$A:$A,0)),"Unknown")</f>
        <v>TrendMart Tumakuru Standard</v>
      </c>
      <c r="Y1051" t="str">
        <f>IFERROR(INDEX(Stores!$E:$E,MATCH(E1051,Stores!$A:$A,0)),"Unknown")</f>
        <v>South Zone 2</v>
      </c>
      <c r="Z1051" t="str">
        <f>IFERROR(INDEX(Customers!$J:$J,MATCH(C1051,Customers!$A:$A,0)),"Unknown")</f>
        <v>Gold</v>
      </c>
      <c r="AA1051" t="str">
        <f t="shared" si="16"/>
        <v>2025-02</v>
      </c>
      <c r="AB1051" t="str">
        <f>IFERROR(INDEX(Products!$I:$I,MATCH(D1051,Products!$A:$A,0)),"Unknown")</f>
        <v>SUP055</v>
      </c>
    </row>
    <row r="1052" spans="1:28" x14ac:dyDescent="0.25">
      <c r="A1052" t="s">
        <v>2745</v>
      </c>
      <c r="B1052" s="20">
        <v>45530</v>
      </c>
      <c r="C1052" t="s">
        <v>1812</v>
      </c>
      <c r="D1052" t="s">
        <v>1687</v>
      </c>
      <c r="E1052" t="s">
        <v>588</v>
      </c>
      <c r="F1052" t="s">
        <v>150</v>
      </c>
      <c r="G1052">
        <v>2</v>
      </c>
      <c r="H1052" s="21">
        <v>852.71</v>
      </c>
      <c r="I1052">
        <v>30</v>
      </c>
      <c r="J1052" s="21">
        <v>511.63</v>
      </c>
      <c r="K1052">
        <v>5</v>
      </c>
      <c r="L1052" s="21">
        <v>59.69</v>
      </c>
      <c r="M1052" s="21">
        <v>1253.48</v>
      </c>
      <c r="N1052" s="21">
        <v>962.6</v>
      </c>
      <c r="O1052" s="21">
        <v>231.19</v>
      </c>
      <c r="P1052" t="s">
        <v>123</v>
      </c>
      <c r="Q1052" t="s">
        <v>122</v>
      </c>
      <c r="R1052" t="s">
        <v>151</v>
      </c>
      <c r="S1052" t="s">
        <v>2326</v>
      </c>
      <c r="T1052" t="s">
        <v>153</v>
      </c>
      <c r="U1052" t="s">
        <v>154</v>
      </c>
      <c r="V1052" t="str">
        <f>IFERROR(INDEX(Products!$C:$C,MATCH(D1052,Products!$A:$A,0)),"Unknown")</f>
        <v>Accessories</v>
      </c>
      <c r="W1052" t="str">
        <f>IFERROR(INDEX(Products!$E:$E,MATCH(D1052,Products!$A:$A,0)),"Unknown")</f>
        <v>Unknown</v>
      </c>
      <c r="X1052" t="str">
        <f>IFERROR(INDEX(Stores!$B:$B,MATCH(E1052,Stores!$A:$A,0)),"Unknown")</f>
        <v>TrendMart Nizamabad Standard</v>
      </c>
      <c r="Y1052" t="str">
        <f>IFERROR(INDEX(Stores!$E:$E,MATCH(E1052,Stores!$A:$A,0)),"Unknown")</f>
        <v>South Zone 2</v>
      </c>
      <c r="Z1052" t="str">
        <f>IFERROR(INDEX(Customers!$J:$J,MATCH(C1052,Customers!$A:$A,0)),"Unknown")</f>
        <v>Regular</v>
      </c>
      <c r="AA1052" t="str">
        <f t="shared" si="16"/>
        <v>2024-08</v>
      </c>
      <c r="AB1052" t="str">
        <f>IFERROR(INDEX(Products!$I:$I,MATCH(D1052,Products!$A:$A,0)),"Unknown")</f>
        <v>SUP023</v>
      </c>
    </row>
    <row r="1053" spans="1:28" x14ac:dyDescent="0.25">
      <c r="A1053" t="s">
        <v>2746</v>
      </c>
      <c r="B1053" s="20">
        <v>45594</v>
      </c>
      <c r="C1053" t="s">
        <v>2110</v>
      </c>
      <c r="D1053" t="s">
        <v>2353</v>
      </c>
      <c r="E1053" t="s">
        <v>1141</v>
      </c>
      <c r="F1053" t="s">
        <v>165</v>
      </c>
      <c r="G1053">
        <v>1</v>
      </c>
      <c r="H1053" s="21">
        <v>706.9</v>
      </c>
      <c r="I1053">
        <v>0</v>
      </c>
      <c r="J1053" s="21">
        <v>0</v>
      </c>
      <c r="K1053">
        <v>5</v>
      </c>
      <c r="L1053" s="21">
        <v>35.340000000000003</v>
      </c>
      <c r="M1053" s="21">
        <v>742.24</v>
      </c>
      <c r="N1053" s="21">
        <v>504.05</v>
      </c>
      <c r="O1053" s="21">
        <v>202.85</v>
      </c>
      <c r="P1053" t="s">
        <v>123</v>
      </c>
      <c r="Q1053" t="s">
        <v>122</v>
      </c>
      <c r="R1053" t="s">
        <v>151</v>
      </c>
      <c r="S1053" t="s">
        <v>2747</v>
      </c>
      <c r="T1053" t="s">
        <v>153</v>
      </c>
      <c r="U1053" t="s">
        <v>154</v>
      </c>
      <c r="V1053" t="str">
        <f>IFERROR(INDEX(Products!$C:$C,MATCH(D1053,Products!$A:$A,0)),"Unknown")</f>
        <v>Sportswear</v>
      </c>
      <c r="W1053" t="str">
        <f>IFERROR(INDEX(Products!$E:$E,MATCH(D1053,Products!$A:$A,0)),"Unknown")</f>
        <v>Mufti</v>
      </c>
      <c r="X1053" t="str">
        <f>IFERROR(INDEX(Stores!$B:$B,MATCH(E1053,Stores!$A:$A,0)),"Unknown")</f>
        <v>TrendMart Kochi Standard</v>
      </c>
      <c r="Y1053" t="str">
        <f>IFERROR(INDEX(Stores!$E:$E,MATCH(E1053,Stores!$A:$A,0)),"Unknown")</f>
        <v>South Zone 1</v>
      </c>
      <c r="Z1053" t="str">
        <f>IFERROR(INDEX(Customers!$J:$J,MATCH(C1053,Customers!$A:$A,0)),"Unknown")</f>
        <v>Regular</v>
      </c>
      <c r="AA1053" t="str">
        <f t="shared" si="16"/>
        <v>2024-10</v>
      </c>
      <c r="AB1053" t="str">
        <f>IFERROR(INDEX(Products!$I:$I,MATCH(D1053,Products!$A:$A,0)),"Unknown")</f>
        <v>SUP020</v>
      </c>
    </row>
    <row r="1054" spans="1:28" x14ac:dyDescent="0.25">
      <c r="A1054" t="s">
        <v>2748</v>
      </c>
      <c r="B1054" s="20">
        <v>45680</v>
      </c>
      <c r="C1054" t="s">
        <v>2240</v>
      </c>
      <c r="D1054" t="s">
        <v>1550</v>
      </c>
      <c r="E1054" t="s">
        <v>537</v>
      </c>
      <c r="F1054" t="s">
        <v>195</v>
      </c>
      <c r="G1054">
        <v>2</v>
      </c>
      <c r="H1054" s="21">
        <v>2451.35</v>
      </c>
      <c r="I1054">
        <v>0</v>
      </c>
      <c r="J1054" s="21">
        <v>0</v>
      </c>
      <c r="K1054">
        <v>12</v>
      </c>
      <c r="L1054" s="21">
        <v>588.32000000000005</v>
      </c>
      <c r="M1054" s="21">
        <v>5491.02</v>
      </c>
      <c r="N1054" s="21">
        <v>3724.7</v>
      </c>
      <c r="O1054" s="21">
        <v>1178</v>
      </c>
      <c r="P1054" t="s">
        <v>123</v>
      </c>
      <c r="Q1054" t="s">
        <v>120</v>
      </c>
      <c r="R1054" t="s">
        <v>151</v>
      </c>
      <c r="S1054" t="s">
        <v>2175</v>
      </c>
      <c r="T1054" t="s">
        <v>153</v>
      </c>
      <c r="U1054" t="s">
        <v>154</v>
      </c>
      <c r="V1054" t="str">
        <f>IFERROR(INDEX(Products!$C:$C,MATCH(D1054,Products!$A:$A,0)),"Unknown")</f>
        <v>Footwear</v>
      </c>
      <c r="W1054" t="str">
        <f>IFERROR(INDEX(Products!$E:$E,MATCH(D1054,Products!$A:$A,0)),"Unknown")</f>
        <v>Pothys</v>
      </c>
      <c r="X1054" t="str">
        <f>IFERROR(INDEX(Stores!$B:$B,MATCH(E1054,Stores!$A:$A,0)),"Unknown")</f>
        <v>TrendMart Thrissur High Street</v>
      </c>
      <c r="Y1054" t="str">
        <f>IFERROR(INDEX(Stores!$E:$E,MATCH(E1054,Stores!$A:$A,0)),"Unknown")</f>
        <v>South Zone 1</v>
      </c>
      <c r="Z1054" t="str">
        <f>IFERROR(INDEX(Customers!$J:$J,MATCH(C1054,Customers!$A:$A,0)),"Unknown")</f>
        <v>Platinum</v>
      </c>
      <c r="AA1054" t="str">
        <f t="shared" si="16"/>
        <v>2025-01</v>
      </c>
      <c r="AB1054" t="str">
        <f>IFERROR(INDEX(Products!$I:$I,MATCH(D1054,Products!$A:$A,0)),"Unknown")</f>
        <v>SUP061</v>
      </c>
    </row>
    <row r="1055" spans="1:28" x14ac:dyDescent="0.25">
      <c r="A1055" t="s">
        <v>2749</v>
      </c>
      <c r="B1055" s="20">
        <v>45620</v>
      </c>
      <c r="C1055" t="s">
        <v>2750</v>
      </c>
      <c r="D1055" t="s">
        <v>2751</v>
      </c>
      <c r="E1055" t="s">
        <v>914</v>
      </c>
      <c r="F1055" t="s">
        <v>344</v>
      </c>
      <c r="G1055">
        <v>2</v>
      </c>
      <c r="H1055" s="21">
        <v>484.08</v>
      </c>
      <c r="I1055">
        <v>0</v>
      </c>
      <c r="J1055" s="21">
        <v>0</v>
      </c>
      <c r="K1055">
        <v>5</v>
      </c>
      <c r="L1055" s="21">
        <v>48.41</v>
      </c>
      <c r="M1055" s="21">
        <v>1016.57</v>
      </c>
      <c r="N1055" s="21">
        <v>638.14</v>
      </c>
      <c r="O1055" s="21">
        <v>330.02</v>
      </c>
      <c r="P1055" t="s">
        <v>121</v>
      </c>
      <c r="Q1055" t="s">
        <v>122</v>
      </c>
      <c r="R1055" t="s">
        <v>151</v>
      </c>
      <c r="S1055" t="s">
        <v>196</v>
      </c>
      <c r="T1055" t="s">
        <v>161</v>
      </c>
      <c r="U1055" t="s">
        <v>154</v>
      </c>
      <c r="V1055" t="str">
        <f>IFERROR(INDEX(Products!$C:$C,MATCH(D1055,Products!$A:$A,0)),"Unknown")</f>
        <v>Belts</v>
      </c>
      <c r="W1055" t="str">
        <f>IFERROR(INDEX(Products!$E:$E,MATCH(D1055,Products!$A:$A,0)),"Unknown")</f>
        <v>AND</v>
      </c>
      <c r="X1055" t="str">
        <f>IFERROR(INDEX(Stores!$B:$B,MATCH(E1055,Stores!$A:$A,0)),"Unknown")</f>
        <v>TrendMart Thiruvananthapuram Outlet</v>
      </c>
      <c r="Y1055" t="str">
        <f>IFERROR(INDEX(Stores!$E:$E,MATCH(E1055,Stores!$A:$A,0)),"Unknown")</f>
        <v>South Zone 1</v>
      </c>
      <c r="Z1055" t="str">
        <f>IFERROR(INDEX(Customers!$J:$J,MATCH(C1055,Customers!$A:$A,0)),"Unknown")</f>
        <v>Platinum</v>
      </c>
      <c r="AA1055" t="str">
        <f t="shared" si="16"/>
        <v>2024-11</v>
      </c>
      <c r="AB1055" t="str">
        <f>IFERROR(INDEX(Products!$I:$I,MATCH(D1055,Products!$A:$A,0)),"Unknown")</f>
        <v>SUP026</v>
      </c>
    </row>
    <row r="1056" spans="1:28" x14ac:dyDescent="0.25">
      <c r="A1056" t="s">
        <v>2752</v>
      </c>
      <c r="B1056" s="20">
        <v>45727</v>
      </c>
      <c r="C1056" t="s">
        <v>1961</v>
      </c>
      <c r="D1056" t="s">
        <v>767</v>
      </c>
      <c r="E1056" t="s">
        <v>588</v>
      </c>
      <c r="F1056" t="s">
        <v>275</v>
      </c>
      <c r="G1056">
        <v>3</v>
      </c>
      <c r="H1056" s="21">
        <v>409.07</v>
      </c>
      <c r="I1056">
        <v>10</v>
      </c>
      <c r="J1056" s="21">
        <v>122.72</v>
      </c>
      <c r="K1056">
        <v>5</v>
      </c>
      <c r="L1056" s="21">
        <v>55.22</v>
      </c>
      <c r="M1056" s="21">
        <v>1159.71</v>
      </c>
      <c r="N1056" s="21">
        <v>786.18</v>
      </c>
      <c r="O1056" s="21">
        <v>318.31</v>
      </c>
      <c r="P1056" t="s">
        <v>125</v>
      </c>
      <c r="Q1056" t="s">
        <v>120</v>
      </c>
      <c r="R1056" t="s">
        <v>151</v>
      </c>
      <c r="S1056" t="s">
        <v>1995</v>
      </c>
      <c r="T1056" t="s">
        <v>153</v>
      </c>
      <c r="U1056" t="s">
        <v>154</v>
      </c>
      <c r="V1056" t="str">
        <f>IFERROR(INDEX(Products!$C:$C,MATCH(D1056,Products!$A:$A,0)),"Unknown")</f>
        <v>Men T-Shirts</v>
      </c>
      <c r="W1056" t="str">
        <f>IFERROR(INDEX(Products!$E:$E,MATCH(D1056,Products!$A:$A,0)),"Unknown")</f>
        <v>Skechers</v>
      </c>
      <c r="X1056" t="str">
        <f>IFERROR(INDEX(Stores!$B:$B,MATCH(E1056,Stores!$A:$A,0)),"Unknown")</f>
        <v>TrendMart Nizamabad Standard</v>
      </c>
      <c r="Y1056" t="str">
        <f>IFERROR(INDEX(Stores!$E:$E,MATCH(E1056,Stores!$A:$A,0)),"Unknown")</f>
        <v>South Zone 2</v>
      </c>
      <c r="Z1056" t="str">
        <f>IFERROR(INDEX(Customers!$J:$J,MATCH(C1056,Customers!$A:$A,0)),"Unknown")</f>
        <v>Silver</v>
      </c>
      <c r="AA1056" t="str">
        <f t="shared" si="16"/>
        <v>2025-03</v>
      </c>
      <c r="AB1056" t="str">
        <f>IFERROR(INDEX(Products!$I:$I,MATCH(D1056,Products!$A:$A,0)),"Unknown")</f>
        <v>SUP061</v>
      </c>
    </row>
    <row r="1057" spans="1:28" x14ac:dyDescent="0.25">
      <c r="A1057" t="s">
        <v>2753</v>
      </c>
      <c r="B1057" s="20">
        <v>45535</v>
      </c>
      <c r="C1057" t="s">
        <v>2610</v>
      </c>
      <c r="D1057" t="s">
        <v>858</v>
      </c>
      <c r="E1057" t="s">
        <v>588</v>
      </c>
      <c r="F1057" t="s">
        <v>532</v>
      </c>
      <c r="G1057">
        <v>2</v>
      </c>
      <c r="H1057" s="21">
        <v>780.27</v>
      </c>
      <c r="I1057">
        <v>5</v>
      </c>
      <c r="J1057" s="21">
        <v>78.03</v>
      </c>
      <c r="K1057">
        <v>5</v>
      </c>
      <c r="L1057" s="21">
        <v>74.13</v>
      </c>
      <c r="M1057" s="21">
        <v>1556.64</v>
      </c>
      <c r="N1057" s="21">
        <v>1050.9000000000001</v>
      </c>
      <c r="O1057" s="21">
        <v>431.61</v>
      </c>
      <c r="P1057" t="s">
        <v>121</v>
      </c>
      <c r="Q1057" t="s">
        <v>122</v>
      </c>
      <c r="R1057" t="s">
        <v>151</v>
      </c>
      <c r="S1057" t="s">
        <v>2461</v>
      </c>
      <c r="T1057" t="s">
        <v>161</v>
      </c>
      <c r="U1057" t="s">
        <v>154</v>
      </c>
      <c r="V1057" t="str">
        <f>IFERROR(INDEX(Products!$C:$C,MATCH(D1057,Products!$A:$A,0)),"Unknown")</f>
        <v>Kids Wear</v>
      </c>
      <c r="W1057" t="str">
        <f>IFERROR(INDEX(Products!$E:$E,MATCH(D1057,Products!$A:$A,0)),"Unknown")</f>
        <v>Sonata</v>
      </c>
      <c r="X1057" t="str">
        <f>IFERROR(INDEX(Stores!$B:$B,MATCH(E1057,Stores!$A:$A,0)),"Unknown")</f>
        <v>TrendMart Nizamabad Standard</v>
      </c>
      <c r="Y1057" t="str">
        <f>IFERROR(INDEX(Stores!$E:$E,MATCH(E1057,Stores!$A:$A,0)),"Unknown")</f>
        <v>South Zone 2</v>
      </c>
      <c r="Z1057" t="str">
        <f>IFERROR(INDEX(Customers!$J:$J,MATCH(C1057,Customers!$A:$A,0)),"Unknown")</f>
        <v>Regular</v>
      </c>
      <c r="AA1057" t="str">
        <f t="shared" si="16"/>
        <v>2024-08</v>
      </c>
      <c r="AB1057" t="str">
        <f>IFERROR(INDEX(Products!$I:$I,MATCH(D1057,Products!$A:$A,0)),"Unknown")</f>
        <v>SUP089</v>
      </c>
    </row>
    <row r="1058" spans="1:28" x14ac:dyDescent="0.25">
      <c r="A1058" t="s">
        <v>2754</v>
      </c>
      <c r="B1058" s="20">
        <v>45406</v>
      </c>
      <c r="C1058" t="s">
        <v>1527</v>
      </c>
      <c r="D1058" t="s">
        <v>558</v>
      </c>
      <c r="E1058" t="s">
        <v>425</v>
      </c>
      <c r="F1058" t="s">
        <v>377</v>
      </c>
      <c r="G1058">
        <v>2</v>
      </c>
      <c r="H1058" s="21">
        <v>635.17999999999995</v>
      </c>
      <c r="I1058">
        <v>15</v>
      </c>
      <c r="J1058" s="21">
        <v>190.55</v>
      </c>
      <c r="K1058">
        <v>5</v>
      </c>
      <c r="L1058" s="21">
        <v>53.99</v>
      </c>
      <c r="M1058" s="21">
        <v>1133.8</v>
      </c>
      <c r="N1058" s="21">
        <v>914.32</v>
      </c>
      <c r="O1058" s="21">
        <v>165.49</v>
      </c>
      <c r="P1058" t="s">
        <v>124</v>
      </c>
      <c r="Q1058" t="s">
        <v>122</v>
      </c>
      <c r="R1058" t="s">
        <v>151</v>
      </c>
      <c r="S1058" t="s">
        <v>546</v>
      </c>
      <c r="T1058" t="s">
        <v>153</v>
      </c>
      <c r="U1058" t="s">
        <v>154</v>
      </c>
      <c r="V1058" t="str">
        <f>IFERROR(INDEX(Products!$C:$C,MATCH(D1058,Products!$A:$A,0)),"Unknown")</f>
        <v>Women Tops</v>
      </c>
      <c r="W1058" t="str">
        <f>IFERROR(INDEX(Products!$E:$E,MATCH(D1058,Products!$A:$A,0)),"Unknown")</f>
        <v>Aurelia</v>
      </c>
      <c r="X1058" t="str">
        <f>IFERROR(INDEX(Stores!$B:$B,MATCH(E1058,Stores!$A:$A,0)),"Unknown")</f>
        <v>TrendMart Kozhikode Outlet</v>
      </c>
      <c r="Y1058" t="str">
        <f>IFERROR(INDEX(Stores!$E:$E,MATCH(E1058,Stores!$A:$A,0)),"Unknown")</f>
        <v>South Zone 1</v>
      </c>
      <c r="Z1058" t="str">
        <f>IFERROR(INDEX(Customers!$J:$J,MATCH(C1058,Customers!$A:$A,0)),"Unknown")</f>
        <v>Gold</v>
      </c>
      <c r="AA1058" t="str">
        <f t="shared" si="16"/>
        <v>2024-04</v>
      </c>
      <c r="AB1058" t="str">
        <f>IFERROR(INDEX(Products!$I:$I,MATCH(D1058,Products!$A:$A,0)),"Unknown")</f>
        <v>SUP055</v>
      </c>
    </row>
    <row r="1059" spans="1:28" x14ac:dyDescent="0.25">
      <c r="A1059" t="s">
        <v>2755</v>
      </c>
      <c r="B1059" s="20">
        <v>45556</v>
      </c>
      <c r="C1059" t="s">
        <v>2029</v>
      </c>
      <c r="D1059" t="s">
        <v>180</v>
      </c>
      <c r="E1059" t="s">
        <v>82</v>
      </c>
      <c r="F1059" t="s">
        <v>532</v>
      </c>
      <c r="G1059">
        <v>2</v>
      </c>
      <c r="H1059" s="21">
        <v>3471.93</v>
      </c>
      <c r="I1059">
        <v>25</v>
      </c>
      <c r="J1059" s="21">
        <v>1735.96</v>
      </c>
      <c r="K1059">
        <v>12</v>
      </c>
      <c r="L1059" s="21">
        <v>624.95000000000005</v>
      </c>
      <c r="M1059" s="21">
        <v>5832.85</v>
      </c>
      <c r="N1059" s="21">
        <v>4849.24</v>
      </c>
      <c r="O1059" s="21">
        <v>358.66</v>
      </c>
      <c r="P1059" t="s">
        <v>123</v>
      </c>
      <c r="Q1059" t="s">
        <v>120</v>
      </c>
      <c r="R1059" t="s">
        <v>151</v>
      </c>
      <c r="S1059" t="s">
        <v>452</v>
      </c>
      <c r="T1059" t="s">
        <v>161</v>
      </c>
      <c r="U1059" t="s">
        <v>154</v>
      </c>
      <c r="V1059" t="str">
        <f>IFERROR(INDEX(Products!$C:$C,MATCH(D1059,Products!$A:$A,0)),"Unknown")</f>
        <v>Footwear</v>
      </c>
      <c r="W1059" t="str">
        <f>IFERROR(INDEX(Products!$E:$E,MATCH(D1059,Products!$A:$A,0)),"Unknown")</f>
        <v>US Polo Assn</v>
      </c>
      <c r="X1059" t="str">
        <f>IFERROR(INDEX(Stores!$B:$B,MATCH(E1059,Stores!$A:$A,0)),"Unknown")</f>
        <v>TrendMart Kochi High Street</v>
      </c>
      <c r="Y1059" t="str">
        <f>IFERROR(INDEX(Stores!$E:$E,MATCH(E1059,Stores!$A:$A,0)),"Unknown")</f>
        <v>South Zone 1</v>
      </c>
      <c r="Z1059" t="str">
        <f>IFERROR(INDEX(Customers!$J:$J,MATCH(C1059,Customers!$A:$A,0)),"Unknown")</f>
        <v>Regular</v>
      </c>
      <c r="AA1059" t="str">
        <f t="shared" si="16"/>
        <v>2024-09</v>
      </c>
      <c r="AB1059" t="str">
        <f>IFERROR(INDEX(Products!$I:$I,MATCH(D1059,Products!$A:$A,0)),"Unknown")</f>
        <v>SUP084</v>
      </c>
    </row>
    <row r="1060" spans="1:28" x14ac:dyDescent="0.25">
      <c r="A1060" t="s">
        <v>2756</v>
      </c>
      <c r="B1060" s="20">
        <v>45617</v>
      </c>
      <c r="C1060" t="s">
        <v>2757</v>
      </c>
      <c r="D1060" t="s">
        <v>864</v>
      </c>
      <c r="E1060" t="s">
        <v>334</v>
      </c>
      <c r="F1060" t="s">
        <v>303</v>
      </c>
      <c r="G1060">
        <v>3</v>
      </c>
      <c r="H1060" s="21">
        <v>3105.68</v>
      </c>
      <c r="I1060">
        <v>10</v>
      </c>
      <c r="J1060" s="21">
        <v>931.7</v>
      </c>
      <c r="K1060">
        <v>3</v>
      </c>
      <c r="L1060" s="21">
        <v>251.56</v>
      </c>
      <c r="M1060" s="21">
        <v>8636.9</v>
      </c>
      <c r="N1060" s="21">
        <v>5969.79</v>
      </c>
      <c r="O1060" s="21">
        <v>2415.5500000000002</v>
      </c>
      <c r="P1060" t="s">
        <v>123</v>
      </c>
      <c r="Q1060" t="s">
        <v>120</v>
      </c>
      <c r="R1060" t="s">
        <v>151</v>
      </c>
      <c r="S1060" t="s">
        <v>1050</v>
      </c>
      <c r="T1060" t="s">
        <v>153</v>
      </c>
      <c r="U1060" t="s">
        <v>154</v>
      </c>
      <c r="V1060" t="str">
        <f>IFERROR(INDEX(Products!$C:$C,MATCH(D1060,Products!$A:$A,0)),"Unknown")</f>
        <v>Jewellery</v>
      </c>
      <c r="W1060" t="str">
        <f>IFERROR(INDEX(Products!$E:$E,MATCH(D1060,Products!$A:$A,0)),"Unknown")</f>
        <v>Wrangler</v>
      </c>
      <c r="X1060" t="str">
        <f>IFERROR(INDEX(Stores!$B:$B,MATCH(E1060,Stores!$A:$A,0)),"Unknown")</f>
        <v>TrendMart Madurai High Street</v>
      </c>
      <c r="Y1060" t="str">
        <f>IFERROR(INDEX(Stores!$E:$E,MATCH(E1060,Stores!$A:$A,0)),"Unknown")</f>
        <v>South Zone 1</v>
      </c>
      <c r="Z1060" t="str">
        <f>IFERROR(INDEX(Customers!$J:$J,MATCH(C1060,Customers!$A:$A,0)),"Unknown")</f>
        <v>Silver</v>
      </c>
      <c r="AA1060" t="str">
        <f t="shared" si="16"/>
        <v>2024-11</v>
      </c>
      <c r="AB1060" t="str">
        <f>IFERROR(INDEX(Products!$I:$I,MATCH(D1060,Products!$A:$A,0)),"Unknown")</f>
        <v>SUP070</v>
      </c>
    </row>
    <row r="1061" spans="1:28" x14ac:dyDescent="0.25">
      <c r="A1061" t="s">
        <v>2758</v>
      </c>
      <c r="B1061" s="20">
        <v>45570</v>
      </c>
      <c r="C1061" t="s">
        <v>1562</v>
      </c>
      <c r="D1061" t="s">
        <v>2759</v>
      </c>
      <c r="E1061" t="s">
        <v>515</v>
      </c>
      <c r="F1061" t="s">
        <v>397</v>
      </c>
      <c r="G1061">
        <v>5</v>
      </c>
      <c r="H1061" s="21">
        <v>714.2</v>
      </c>
      <c r="I1061">
        <v>25</v>
      </c>
      <c r="J1061" s="21">
        <v>892.75</v>
      </c>
      <c r="K1061">
        <v>5</v>
      </c>
      <c r="L1061" s="21">
        <v>133.91</v>
      </c>
      <c r="M1061" s="21">
        <v>2812.16</v>
      </c>
      <c r="N1061" s="21">
        <v>2019.5</v>
      </c>
      <c r="O1061" s="21">
        <v>658.75</v>
      </c>
      <c r="P1061" t="s">
        <v>126</v>
      </c>
      <c r="Q1061" t="s">
        <v>120</v>
      </c>
      <c r="R1061" t="s">
        <v>151</v>
      </c>
      <c r="S1061" t="s">
        <v>705</v>
      </c>
      <c r="T1061" t="s">
        <v>161</v>
      </c>
      <c r="U1061" t="s">
        <v>154</v>
      </c>
      <c r="V1061" t="str">
        <f>IFERROR(INDEX(Products!$C:$C,MATCH(D1061,Products!$A:$A,0)),"Unknown")</f>
        <v>Men T-Shirts</v>
      </c>
      <c r="W1061" t="str">
        <f>IFERROR(INDEX(Products!$E:$E,MATCH(D1061,Products!$A:$A,0)),"Unknown")</f>
        <v>Libas</v>
      </c>
      <c r="X1061" t="str">
        <f>IFERROR(INDEX(Stores!$B:$B,MATCH(E1061,Stores!$A:$A,0)),"Unknown")</f>
        <v>TrendMart Kochi High Street</v>
      </c>
      <c r="Y1061" t="str">
        <f>IFERROR(INDEX(Stores!$E:$E,MATCH(E1061,Stores!$A:$A,0)),"Unknown")</f>
        <v>South Zone 1</v>
      </c>
      <c r="Z1061" t="str">
        <f>IFERROR(INDEX(Customers!$J:$J,MATCH(C1061,Customers!$A:$A,0)),"Unknown")</f>
        <v>Regular</v>
      </c>
      <c r="AA1061" t="str">
        <f t="shared" si="16"/>
        <v>2024-10</v>
      </c>
      <c r="AB1061" t="str">
        <f>IFERROR(INDEX(Products!$I:$I,MATCH(D1061,Products!$A:$A,0)),"Unknown")</f>
        <v>SUP041</v>
      </c>
    </row>
    <row r="1062" spans="1:28" x14ac:dyDescent="0.25">
      <c r="A1062" t="s">
        <v>2760</v>
      </c>
      <c r="B1062" s="20">
        <v>45631</v>
      </c>
      <c r="C1062" t="s">
        <v>2761</v>
      </c>
      <c r="D1062" t="s">
        <v>531</v>
      </c>
      <c r="E1062" t="s">
        <v>368</v>
      </c>
      <c r="F1062" t="s">
        <v>176</v>
      </c>
      <c r="G1062">
        <v>0</v>
      </c>
      <c r="H1062" s="21">
        <v>3126.23</v>
      </c>
      <c r="I1062">
        <v>25</v>
      </c>
      <c r="J1062" s="21">
        <v>0</v>
      </c>
      <c r="K1062">
        <v>12</v>
      </c>
      <c r="L1062" s="21">
        <v>0</v>
      </c>
      <c r="M1062" s="21">
        <v>0</v>
      </c>
      <c r="N1062" s="21">
        <v>0</v>
      </c>
      <c r="O1062" s="21">
        <v>0</v>
      </c>
      <c r="P1062" t="s">
        <v>123</v>
      </c>
      <c r="Q1062" t="s">
        <v>120</v>
      </c>
      <c r="R1062" t="s">
        <v>482</v>
      </c>
      <c r="S1062" t="s">
        <v>1194</v>
      </c>
      <c r="T1062" t="s">
        <v>153</v>
      </c>
      <c r="U1062" t="s">
        <v>154</v>
      </c>
      <c r="V1062" t="str">
        <f>IFERROR(INDEX(Products!$C:$C,MATCH(D1062,Products!$A:$A,0)),"Unknown")</f>
        <v>Handbags</v>
      </c>
      <c r="W1062" t="str">
        <f>IFERROR(INDEX(Products!$E:$E,MATCH(D1062,Products!$A:$A,0)),"Unknown")</f>
        <v>GRT Jewellers</v>
      </c>
      <c r="X1062" t="str">
        <f>IFERROR(INDEX(Stores!$B:$B,MATCH(E1062,Stores!$A:$A,0)),"Unknown")</f>
        <v>TrendMart Alappuzha Outlet</v>
      </c>
      <c r="Y1062" t="str">
        <f>IFERROR(INDEX(Stores!$E:$E,MATCH(E1062,Stores!$A:$A,0)),"Unknown")</f>
        <v>South Zone 1</v>
      </c>
      <c r="Z1062" t="str">
        <f>IFERROR(INDEX(Customers!$J:$J,MATCH(C1062,Customers!$A:$A,0)),"Unknown")</f>
        <v>Gold</v>
      </c>
      <c r="AA1062" t="str">
        <f t="shared" si="16"/>
        <v>2024-12</v>
      </c>
      <c r="AB1062" t="str">
        <f>IFERROR(INDEX(Products!$I:$I,MATCH(D1062,Products!$A:$A,0)),"Unknown")</f>
        <v>SUP047</v>
      </c>
    </row>
    <row r="1063" spans="1:28" x14ac:dyDescent="0.25">
      <c r="A1063" t="s">
        <v>2762</v>
      </c>
      <c r="B1063" s="20">
        <v>45618</v>
      </c>
      <c r="C1063" t="s">
        <v>1632</v>
      </c>
      <c r="D1063" t="s">
        <v>2264</v>
      </c>
      <c r="E1063" t="s">
        <v>537</v>
      </c>
      <c r="F1063" t="s">
        <v>275</v>
      </c>
      <c r="G1063">
        <v>3</v>
      </c>
      <c r="H1063" s="21">
        <v>1111.97</v>
      </c>
      <c r="I1063">
        <v>20</v>
      </c>
      <c r="J1063" s="21">
        <v>667.18</v>
      </c>
      <c r="K1063">
        <v>12</v>
      </c>
      <c r="L1063" s="21">
        <v>320.25</v>
      </c>
      <c r="M1063" s="21">
        <v>2988.98</v>
      </c>
      <c r="N1063" s="21">
        <v>2261.19</v>
      </c>
      <c r="O1063" s="21">
        <v>407.54</v>
      </c>
      <c r="P1063" t="s">
        <v>125</v>
      </c>
      <c r="Q1063" t="s">
        <v>120</v>
      </c>
      <c r="R1063" t="s">
        <v>151</v>
      </c>
      <c r="S1063" t="s">
        <v>2072</v>
      </c>
      <c r="T1063" t="s">
        <v>153</v>
      </c>
      <c r="U1063" t="s">
        <v>154</v>
      </c>
      <c r="V1063" t="str">
        <f>IFERROR(INDEX(Products!$C:$C,MATCH(D1063,Products!$A:$A,0)),"Unknown")</f>
        <v>Belts</v>
      </c>
      <c r="W1063" t="str">
        <f>IFERROR(INDEX(Products!$E:$E,MATCH(D1063,Products!$A:$A,0)),"Unknown")</f>
        <v>Liberty</v>
      </c>
      <c r="X1063" t="str">
        <f>IFERROR(INDEX(Stores!$B:$B,MATCH(E1063,Stores!$A:$A,0)),"Unknown")</f>
        <v>TrendMart Thrissur High Street</v>
      </c>
      <c r="Y1063" t="str">
        <f>IFERROR(INDEX(Stores!$E:$E,MATCH(E1063,Stores!$A:$A,0)),"Unknown")</f>
        <v>South Zone 1</v>
      </c>
      <c r="Z1063" t="str">
        <f>IFERROR(INDEX(Customers!$J:$J,MATCH(C1063,Customers!$A:$A,0)),"Unknown")</f>
        <v>Gold</v>
      </c>
      <c r="AA1063" t="str">
        <f t="shared" si="16"/>
        <v>2024-11</v>
      </c>
      <c r="AB1063" t="str">
        <f>IFERROR(INDEX(Products!$I:$I,MATCH(D1063,Products!$A:$A,0)),"Unknown")</f>
        <v>SUP063</v>
      </c>
    </row>
    <row r="1064" spans="1:28" x14ac:dyDescent="0.25">
      <c r="A1064" t="s">
        <v>2763</v>
      </c>
      <c r="B1064" s="20">
        <v>45666</v>
      </c>
      <c r="C1064" t="s">
        <v>2583</v>
      </c>
      <c r="D1064" t="s">
        <v>267</v>
      </c>
      <c r="E1064" t="s">
        <v>588</v>
      </c>
      <c r="F1064" t="s">
        <v>403</v>
      </c>
      <c r="G1064">
        <v>1</v>
      </c>
      <c r="H1064" s="21">
        <v>728.94</v>
      </c>
      <c r="I1064">
        <v>20</v>
      </c>
      <c r="J1064" s="21">
        <v>145.79</v>
      </c>
      <c r="K1064">
        <v>5</v>
      </c>
      <c r="L1064" s="21">
        <v>29.16</v>
      </c>
      <c r="M1064" s="21">
        <v>612.30999999999995</v>
      </c>
      <c r="N1064" s="21">
        <v>443.19</v>
      </c>
      <c r="O1064" s="21">
        <v>139.96</v>
      </c>
      <c r="P1064" t="s">
        <v>127</v>
      </c>
      <c r="Q1064" t="s">
        <v>120</v>
      </c>
      <c r="R1064" t="s">
        <v>151</v>
      </c>
      <c r="S1064" t="s">
        <v>2764</v>
      </c>
      <c r="T1064" t="s">
        <v>153</v>
      </c>
      <c r="U1064" t="s">
        <v>154</v>
      </c>
      <c r="V1064" t="str">
        <f>IFERROR(INDEX(Products!$C:$C,MATCH(D1064,Products!$A:$A,0)),"Unknown")</f>
        <v>Accessories</v>
      </c>
      <c r="W1064" t="str">
        <f>IFERROR(INDEX(Products!$E:$E,MATCH(D1064,Products!$A:$A,0)),"Unknown")</f>
        <v>Allen Solly</v>
      </c>
      <c r="X1064" t="str">
        <f>IFERROR(INDEX(Stores!$B:$B,MATCH(E1064,Stores!$A:$A,0)),"Unknown")</f>
        <v>TrendMart Nizamabad Standard</v>
      </c>
      <c r="Y1064" t="str">
        <f>IFERROR(INDEX(Stores!$E:$E,MATCH(E1064,Stores!$A:$A,0)),"Unknown")</f>
        <v>South Zone 2</v>
      </c>
      <c r="Z1064" t="str">
        <f>IFERROR(INDEX(Customers!$J:$J,MATCH(C1064,Customers!$A:$A,0)),"Unknown")</f>
        <v>Silver</v>
      </c>
      <c r="AA1064" t="str">
        <f t="shared" si="16"/>
        <v>2025-01</v>
      </c>
      <c r="AB1064" t="str">
        <f>IFERROR(INDEX(Products!$I:$I,MATCH(D1064,Products!$A:$A,0)),"Unknown")</f>
        <v>SUP069</v>
      </c>
    </row>
    <row r="1065" spans="1:28" x14ac:dyDescent="0.25">
      <c r="A1065" t="s">
        <v>2765</v>
      </c>
      <c r="B1065" s="20">
        <v>45387</v>
      </c>
      <c r="C1065" t="s">
        <v>2766</v>
      </c>
      <c r="D1065" t="s">
        <v>2051</v>
      </c>
      <c r="E1065" t="s">
        <v>914</v>
      </c>
      <c r="F1065" t="s">
        <v>344</v>
      </c>
      <c r="G1065">
        <v>2</v>
      </c>
      <c r="H1065" s="21">
        <v>2681.75</v>
      </c>
      <c r="I1065">
        <v>20</v>
      </c>
      <c r="J1065" s="21">
        <v>1072.7</v>
      </c>
      <c r="K1065">
        <v>12</v>
      </c>
      <c r="L1065" s="21">
        <v>514.9</v>
      </c>
      <c r="M1065" s="21">
        <v>4805.7</v>
      </c>
      <c r="N1065" s="21">
        <v>3916.78</v>
      </c>
      <c r="O1065" s="21">
        <v>374.02</v>
      </c>
      <c r="P1065" t="s">
        <v>126</v>
      </c>
      <c r="Q1065" t="s">
        <v>120</v>
      </c>
      <c r="R1065" t="s">
        <v>151</v>
      </c>
      <c r="S1065" t="s">
        <v>795</v>
      </c>
      <c r="T1065" t="s">
        <v>153</v>
      </c>
      <c r="U1065" t="s">
        <v>154</v>
      </c>
      <c r="V1065" t="str">
        <f>IFERROR(INDEX(Products!$C:$C,MATCH(D1065,Products!$A:$A,0)),"Unknown")</f>
        <v>Men Ethnic</v>
      </c>
      <c r="W1065" t="str">
        <f>IFERROR(INDEX(Products!$E:$E,MATCH(D1065,Products!$A:$A,0)),"Unknown")</f>
        <v>Nike</v>
      </c>
      <c r="X1065" t="str">
        <f>IFERROR(INDEX(Stores!$B:$B,MATCH(E1065,Stores!$A:$A,0)),"Unknown")</f>
        <v>TrendMart Thiruvananthapuram Outlet</v>
      </c>
      <c r="Y1065" t="str">
        <f>IFERROR(INDEX(Stores!$E:$E,MATCH(E1065,Stores!$A:$A,0)),"Unknown")</f>
        <v>South Zone 1</v>
      </c>
      <c r="Z1065" t="str">
        <f>IFERROR(INDEX(Customers!$J:$J,MATCH(C1065,Customers!$A:$A,0)),"Unknown")</f>
        <v>Silver</v>
      </c>
      <c r="AA1065" t="str">
        <f t="shared" si="16"/>
        <v>2024-04</v>
      </c>
      <c r="AB1065" t="str">
        <f>IFERROR(INDEX(Products!$I:$I,MATCH(D1065,Products!$A:$A,0)),"Unknown")</f>
        <v>SUP002</v>
      </c>
    </row>
    <row r="1066" spans="1:28" x14ac:dyDescent="0.25">
      <c r="A1066" t="s">
        <v>2767</v>
      </c>
      <c r="B1066" s="20">
        <v>45650</v>
      </c>
      <c r="C1066" t="s">
        <v>2320</v>
      </c>
      <c r="D1066" t="s">
        <v>756</v>
      </c>
      <c r="E1066" t="s">
        <v>302</v>
      </c>
      <c r="F1066" t="s">
        <v>170</v>
      </c>
      <c r="G1066">
        <v>2</v>
      </c>
      <c r="H1066" s="21">
        <v>722.04</v>
      </c>
      <c r="I1066">
        <v>0</v>
      </c>
      <c r="J1066" s="21">
        <v>0</v>
      </c>
      <c r="K1066">
        <v>5</v>
      </c>
      <c r="L1066" s="21">
        <v>72.2</v>
      </c>
      <c r="M1066" s="21">
        <v>1516.28</v>
      </c>
      <c r="N1066" s="21">
        <v>1044.76</v>
      </c>
      <c r="O1066" s="21">
        <v>399.32</v>
      </c>
      <c r="P1066" t="s">
        <v>124</v>
      </c>
      <c r="Q1066" t="s">
        <v>122</v>
      </c>
      <c r="R1066" t="s">
        <v>151</v>
      </c>
      <c r="S1066" t="s">
        <v>923</v>
      </c>
      <c r="T1066" t="s">
        <v>153</v>
      </c>
      <c r="U1066" t="s">
        <v>154</v>
      </c>
      <c r="V1066" t="str">
        <f>IFERROR(INDEX(Products!$C:$C,MATCH(D1066,Products!$A:$A,0)),"Unknown")</f>
        <v>Women Tops</v>
      </c>
      <c r="W1066" t="str">
        <f>IFERROR(INDEX(Products!$E:$E,MATCH(D1066,Products!$A:$A,0)),"Unknown")</f>
        <v>Peter England</v>
      </c>
      <c r="X1066" t="str">
        <f>IFERROR(INDEX(Stores!$B:$B,MATCH(E1066,Stores!$A:$A,0)),"Unknown")</f>
        <v>TrendMart Visakhapatnam Standard</v>
      </c>
      <c r="Y1066" t="str">
        <f>IFERROR(INDEX(Stores!$E:$E,MATCH(E1066,Stores!$A:$A,0)),"Unknown")</f>
        <v>South Zone 3</v>
      </c>
      <c r="Z1066" t="str">
        <f>IFERROR(INDEX(Customers!$J:$J,MATCH(C1066,Customers!$A:$A,0)),"Unknown")</f>
        <v>Platinum</v>
      </c>
      <c r="AA1066" t="str">
        <f t="shared" si="16"/>
        <v>2024-12</v>
      </c>
      <c r="AB1066" t="str">
        <f>IFERROR(INDEX(Products!$I:$I,MATCH(D1066,Products!$A:$A,0)),"Unknown")</f>
        <v>SUP018</v>
      </c>
    </row>
    <row r="1067" spans="1:28" x14ac:dyDescent="0.25">
      <c r="A1067" t="s">
        <v>2768</v>
      </c>
      <c r="B1067" s="20">
        <v>45633</v>
      </c>
      <c r="C1067" t="s">
        <v>2595</v>
      </c>
      <c r="D1067" t="s">
        <v>1373</v>
      </c>
      <c r="E1067" t="s">
        <v>470</v>
      </c>
      <c r="F1067" t="s">
        <v>182</v>
      </c>
      <c r="G1067">
        <v>3</v>
      </c>
      <c r="H1067" s="21">
        <v>3341.77</v>
      </c>
      <c r="I1067">
        <v>0</v>
      </c>
      <c r="J1067" s="21">
        <v>0</v>
      </c>
      <c r="K1067">
        <v>12</v>
      </c>
      <c r="L1067" s="21">
        <v>1203.04</v>
      </c>
      <c r="M1067" s="21">
        <v>11228.35</v>
      </c>
      <c r="N1067" s="21">
        <v>7374</v>
      </c>
      <c r="O1067" s="21">
        <v>2651.31</v>
      </c>
      <c r="P1067" t="s">
        <v>123</v>
      </c>
      <c r="Q1067" t="s">
        <v>120</v>
      </c>
      <c r="R1067" t="s">
        <v>151</v>
      </c>
      <c r="S1067" t="s">
        <v>677</v>
      </c>
      <c r="T1067" t="s">
        <v>161</v>
      </c>
      <c r="U1067" t="s">
        <v>154</v>
      </c>
      <c r="V1067" t="str">
        <f>IFERROR(INDEX(Products!$C:$C,MATCH(D1067,Products!$A:$A,0)),"Unknown")</f>
        <v>Footwear</v>
      </c>
      <c r="W1067" t="str">
        <f>IFERROR(INDEX(Products!$E:$E,MATCH(D1067,Products!$A:$A,0)),"Unknown")</f>
        <v>Unknown</v>
      </c>
      <c r="X1067" t="str">
        <f>IFERROR(INDEX(Stores!$B:$B,MATCH(E1067,Stores!$A:$A,0)),"Unknown")</f>
        <v>TrendMart Thiruvananthapuram High Street</v>
      </c>
      <c r="Y1067" t="str">
        <f>IFERROR(INDEX(Stores!$E:$E,MATCH(E1067,Stores!$A:$A,0)),"Unknown")</f>
        <v>South Zone 1</v>
      </c>
      <c r="Z1067" t="str">
        <f>IFERROR(INDEX(Customers!$J:$J,MATCH(C1067,Customers!$A:$A,0)),"Unknown")</f>
        <v>Gold</v>
      </c>
      <c r="AA1067" t="str">
        <f t="shared" si="16"/>
        <v>2024-12</v>
      </c>
      <c r="AB1067" t="str">
        <f>IFERROR(INDEX(Products!$I:$I,MATCH(D1067,Products!$A:$A,0)),"Unknown")</f>
        <v>SUP087</v>
      </c>
    </row>
    <row r="1068" spans="1:28" x14ac:dyDescent="0.25">
      <c r="A1068" t="s">
        <v>2769</v>
      </c>
      <c r="B1068" s="20">
        <v>45701</v>
      </c>
      <c r="C1068" t="s">
        <v>762</v>
      </c>
      <c r="D1068" t="s">
        <v>599</v>
      </c>
      <c r="E1068" t="s">
        <v>226</v>
      </c>
      <c r="F1068" t="s">
        <v>408</v>
      </c>
      <c r="G1068">
        <v>1</v>
      </c>
      <c r="H1068" s="21">
        <v>1014.03</v>
      </c>
      <c r="I1068">
        <v>0</v>
      </c>
      <c r="J1068" s="21">
        <v>0</v>
      </c>
      <c r="K1068">
        <v>12</v>
      </c>
      <c r="L1068" s="21">
        <v>121.68</v>
      </c>
      <c r="M1068" s="21">
        <v>1135.71</v>
      </c>
      <c r="N1068" s="21">
        <v>645.59</v>
      </c>
      <c r="O1068" s="21">
        <v>368.44</v>
      </c>
      <c r="P1068" t="s">
        <v>125</v>
      </c>
      <c r="Q1068" t="s">
        <v>120</v>
      </c>
      <c r="R1068" t="s">
        <v>151</v>
      </c>
      <c r="S1068" t="s">
        <v>2770</v>
      </c>
      <c r="T1068" t="s">
        <v>153</v>
      </c>
      <c r="U1068" t="s">
        <v>154</v>
      </c>
      <c r="V1068" t="str">
        <f>IFERROR(INDEX(Products!$C:$C,MATCH(D1068,Products!$A:$A,0)),"Unknown")</f>
        <v>Men Shirts</v>
      </c>
      <c r="W1068" t="str">
        <f>IFERROR(INDEX(Products!$E:$E,MATCH(D1068,Products!$A:$A,0)),"Unknown")</f>
        <v>Van Heusen</v>
      </c>
      <c r="X1068" t="str">
        <f>IFERROR(INDEX(Stores!$B:$B,MATCH(E1068,Stores!$A:$A,0)),"Unknown")</f>
        <v>TrendMart Kurnool Standard</v>
      </c>
      <c r="Y1068" t="str">
        <f>IFERROR(INDEX(Stores!$E:$E,MATCH(E1068,Stores!$A:$A,0)),"Unknown")</f>
        <v>South Zone 3</v>
      </c>
      <c r="Z1068" t="str">
        <f>IFERROR(INDEX(Customers!$J:$J,MATCH(C1068,Customers!$A:$A,0)),"Unknown")</f>
        <v>Regular</v>
      </c>
      <c r="AA1068" t="str">
        <f t="shared" si="16"/>
        <v>2025-02</v>
      </c>
      <c r="AB1068" t="str">
        <f>IFERROR(INDEX(Products!$I:$I,MATCH(D1068,Products!$A:$A,0)),"Unknown")</f>
        <v>SUP084</v>
      </c>
    </row>
    <row r="1069" spans="1:28" x14ac:dyDescent="0.25">
      <c r="A1069" t="s">
        <v>2771</v>
      </c>
      <c r="B1069" s="20">
        <v>45742</v>
      </c>
      <c r="C1069" t="s">
        <v>676</v>
      </c>
      <c r="D1069" t="s">
        <v>1813</v>
      </c>
      <c r="E1069" t="s">
        <v>87</v>
      </c>
      <c r="F1069" t="s">
        <v>232</v>
      </c>
      <c r="G1069">
        <v>2</v>
      </c>
      <c r="H1069" s="21">
        <v>967.44</v>
      </c>
      <c r="I1069">
        <v>10</v>
      </c>
      <c r="J1069" s="21">
        <v>193.49</v>
      </c>
      <c r="K1069">
        <v>5</v>
      </c>
      <c r="L1069" s="21">
        <v>87.07</v>
      </c>
      <c r="M1069" s="21">
        <v>1828.46</v>
      </c>
      <c r="N1069" s="21">
        <v>1451.74</v>
      </c>
      <c r="O1069" s="21">
        <v>289.64999999999998</v>
      </c>
      <c r="P1069" t="s">
        <v>124</v>
      </c>
      <c r="Q1069" t="s">
        <v>120</v>
      </c>
      <c r="R1069" t="s">
        <v>151</v>
      </c>
      <c r="S1069" t="s">
        <v>1730</v>
      </c>
      <c r="T1069" t="s">
        <v>153</v>
      </c>
      <c r="U1069" t="s">
        <v>154</v>
      </c>
      <c r="V1069" t="str">
        <f>IFERROR(INDEX(Products!$C:$C,MATCH(D1069,Products!$A:$A,0)),"Unknown")</f>
        <v>Footwear</v>
      </c>
      <c r="W1069" t="str">
        <f>IFERROR(INDEX(Products!$E:$E,MATCH(D1069,Products!$A:$A,0)),"Unknown")</f>
        <v>Titan</v>
      </c>
      <c r="X1069" t="str">
        <f>IFERROR(INDEX(Stores!$B:$B,MATCH(E1069,Stores!$A:$A,0)),"Unknown")</f>
        <v>TrendMart Thiruvananthapuram Standard</v>
      </c>
      <c r="Y1069" t="str">
        <f>IFERROR(INDEX(Stores!$E:$E,MATCH(E1069,Stores!$A:$A,0)),"Unknown")</f>
        <v>South Zone 1</v>
      </c>
      <c r="Z1069" t="str">
        <f>IFERROR(INDEX(Customers!$J:$J,MATCH(C1069,Customers!$A:$A,0)),"Unknown")</f>
        <v>Silver</v>
      </c>
      <c r="AA1069" t="str">
        <f t="shared" si="16"/>
        <v>2025-03</v>
      </c>
      <c r="AB1069" t="str">
        <f>IFERROR(INDEX(Products!$I:$I,MATCH(D1069,Products!$A:$A,0)),"Unknown")</f>
        <v>SUP002</v>
      </c>
    </row>
    <row r="1070" spans="1:28" x14ac:dyDescent="0.25">
      <c r="A1070" t="s">
        <v>2772</v>
      </c>
      <c r="B1070" s="20">
        <v>45604</v>
      </c>
      <c r="C1070" t="s">
        <v>2362</v>
      </c>
      <c r="D1070" t="s">
        <v>748</v>
      </c>
      <c r="E1070" t="s">
        <v>296</v>
      </c>
      <c r="F1070" t="s">
        <v>292</v>
      </c>
      <c r="G1070">
        <v>2</v>
      </c>
      <c r="H1070" s="21">
        <v>1135.75</v>
      </c>
      <c r="I1070">
        <v>20</v>
      </c>
      <c r="J1070" s="21">
        <v>454.3</v>
      </c>
      <c r="K1070">
        <v>12</v>
      </c>
      <c r="L1070" s="21">
        <v>218.06</v>
      </c>
      <c r="M1070" s="21">
        <v>2035.26</v>
      </c>
      <c r="N1070" s="21">
        <v>1683.7</v>
      </c>
      <c r="O1070" s="21">
        <v>133.5</v>
      </c>
      <c r="P1070" t="s">
        <v>123</v>
      </c>
      <c r="Q1070" t="s">
        <v>120</v>
      </c>
      <c r="R1070" t="s">
        <v>151</v>
      </c>
      <c r="S1070" t="s">
        <v>1560</v>
      </c>
      <c r="T1070" t="s">
        <v>153</v>
      </c>
      <c r="U1070" t="s">
        <v>154</v>
      </c>
      <c r="V1070" t="str">
        <f>IFERROR(INDEX(Products!$C:$C,MATCH(D1070,Products!$A:$A,0)),"Unknown")</f>
        <v>Women Dresses</v>
      </c>
      <c r="W1070" t="str">
        <f>IFERROR(INDEX(Products!$E:$E,MATCH(D1070,Products!$A:$A,0)),"Unknown")</f>
        <v>Kalyan Silks</v>
      </c>
      <c r="X1070" t="str">
        <f>IFERROR(INDEX(Stores!$B:$B,MATCH(E1070,Stores!$A:$A,0)),"Unknown")</f>
        <v>TrendMart Kurnool Outlet</v>
      </c>
      <c r="Y1070" t="str">
        <f>IFERROR(INDEX(Stores!$E:$E,MATCH(E1070,Stores!$A:$A,0)),"Unknown")</f>
        <v>South Zone 3</v>
      </c>
      <c r="Z1070" t="str">
        <f>IFERROR(INDEX(Customers!$J:$J,MATCH(C1070,Customers!$A:$A,0)),"Unknown")</f>
        <v>Silver</v>
      </c>
      <c r="AA1070" t="str">
        <f t="shared" si="16"/>
        <v>2024-11</v>
      </c>
      <c r="AB1070" t="str">
        <f>IFERROR(INDEX(Products!$I:$I,MATCH(D1070,Products!$A:$A,0)),"Unknown")</f>
        <v>SUP036</v>
      </c>
    </row>
    <row r="1071" spans="1:28" x14ac:dyDescent="0.25">
      <c r="A1071" t="s">
        <v>2773</v>
      </c>
      <c r="B1071" s="20">
        <v>45584</v>
      </c>
      <c r="C1071" t="s">
        <v>1334</v>
      </c>
      <c r="D1071" t="s">
        <v>830</v>
      </c>
      <c r="E1071" t="s">
        <v>343</v>
      </c>
      <c r="F1071" t="s">
        <v>170</v>
      </c>
      <c r="G1071">
        <v>2</v>
      </c>
      <c r="H1071" s="21">
        <v>881.08</v>
      </c>
      <c r="I1071">
        <v>10</v>
      </c>
      <c r="J1071" s="21">
        <v>176.22</v>
      </c>
      <c r="K1071">
        <v>5</v>
      </c>
      <c r="L1071" s="21">
        <v>79.3</v>
      </c>
      <c r="M1071" s="21">
        <v>1665.24</v>
      </c>
      <c r="N1071" s="21">
        <v>1140.4000000000001</v>
      </c>
      <c r="O1071" s="21">
        <v>445.54</v>
      </c>
      <c r="P1071" t="s">
        <v>121</v>
      </c>
      <c r="Q1071" t="s">
        <v>120</v>
      </c>
      <c r="R1071" t="s">
        <v>151</v>
      </c>
      <c r="S1071" t="s">
        <v>2216</v>
      </c>
      <c r="T1071" t="s">
        <v>161</v>
      </c>
      <c r="U1071" t="s">
        <v>154</v>
      </c>
      <c r="V1071" t="str">
        <f>IFERROR(INDEX(Products!$C:$C,MATCH(D1071,Products!$A:$A,0)),"Unknown")</f>
        <v>Men Shirts</v>
      </c>
      <c r="W1071" t="str">
        <f>IFERROR(INDEX(Products!$E:$E,MATCH(D1071,Products!$A:$A,0)),"Unknown")</f>
        <v>AND</v>
      </c>
      <c r="X1071" t="str">
        <f>IFERROR(INDEX(Stores!$B:$B,MATCH(E1071,Stores!$A:$A,0)),"Unknown")</f>
        <v>TrendMart Tumakuru Outlet</v>
      </c>
      <c r="Y1071" t="str">
        <f>IFERROR(INDEX(Stores!$E:$E,MATCH(E1071,Stores!$A:$A,0)),"Unknown")</f>
        <v>South Zone 2</v>
      </c>
      <c r="Z1071" t="str">
        <f>IFERROR(INDEX(Customers!$J:$J,MATCH(C1071,Customers!$A:$A,0)),"Unknown")</f>
        <v>Regular</v>
      </c>
      <c r="AA1071" t="str">
        <f t="shared" si="16"/>
        <v>2024-10</v>
      </c>
      <c r="AB1071" t="str">
        <f>IFERROR(INDEX(Products!$I:$I,MATCH(D1071,Products!$A:$A,0)),"Unknown")</f>
        <v>SUP012</v>
      </c>
    </row>
    <row r="1072" spans="1:28" x14ac:dyDescent="0.25">
      <c r="A1072" t="s">
        <v>2774</v>
      </c>
      <c r="B1072" s="20">
        <v>45420</v>
      </c>
      <c r="C1072" t="s">
        <v>2407</v>
      </c>
      <c r="D1072" t="s">
        <v>1905</v>
      </c>
      <c r="E1072" t="s">
        <v>741</v>
      </c>
      <c r="F1072" t="s">
        <v>275</v>
      </c>
      <c r="G1072">
        <v>4</v>
      </c>
      <c r="H1072" s="21">
        <v>894.48</v>
      </c>
      <c r="I1072">
        <v>0</v>
      </c>
      <c r="J1072" s="21">
        <v>0</v>
      </c>
      <c r="K1072">
        <v>5</v>
      </c>
      <c r="L1072" s="21">
        <v>178.9</v>
      </c>
      <c r="M1072" s="21">
        <v>3756.82</v>
      </c>
      <c r="N1072" s="21">
        <v>2520.4</v>
      </c>
      <c r="O1072" s="21">
        <v>1057.52</v>
      </c>
      <c r="P1072" t="s">
        <v>124</v>
      </c>
      <c r="Q1072" t="s">
        <v>122</v>
      </c>
      <c r="R1072" t="s">
        <v>151</v>
      </c>
      <c r="S1072" t="s">
        <v>2032</v>
      </c>
      <c r="T1072" t="s">
        <v>153</v>
      </c>
      <c r="U1072" t="s">
        <v>154</v>
      </c>
      <c r="V1072" t="str">
        <f>IFERROR(INDEX(Products!$C:$C,MATCH(D1072,Products!$A:$A,0)),"Unknown")</f>
        <v>Sportswear</v>
      </c>
      <c r="W1072" t="str">
        <f>IFERROR(INDEX(Products!$E:$E,MATCH(D1072,Products!$A:$A,0)),"Unknown")</f>
        <v>Pantaloons</v>
      </c>
      <c r="X1072" t="str">
        <f>IFERROR(INDEX(Stores!$B:$B,MATCH(E1072,Stores!$A:$A,0)),"Unknown")</f>
        <v>TrendMart Nellore Mall Kiosk</v>
      </c>
      <c r="Y1072" t="str">
        <f>IFERROR(INDEX(Stores!$E:$E,MATCH(E1072,Stores!$A:$A,0)),"Unknown")</f>
        <v>South Zone 3</v>
      </c>
      <c r="Z1072" t="str">
        <f>IFERROR(INDEX(Customers!$J:$J,MATCH(C1072,Customers!$A:$A,0)),"Unknown")</f>
        <v>Gold</v>
      </c>
      <c r="AA1072" t="str">
        <f t="shared" si="16"/>
        <v>2024-05</v>
      </c>
      <c r="AB1072" t="str">
        <f>IFERROR(INDEX(Products!$I:$I,MATCH(D1072,Products!$A:$A,0)),"Unknown")</f>
        <v>SUP062</v>
      </c>
    </row>
    <row r="1073" spans="1:28" x14ac:dyDescent="0.25">
      <c r="A1073" t="s">
        <v>2775</v>
      </c>
      <c r="B1073" s="20">
        <v>45428</v>
      </c>
      <c r="C1073" t="s">
        <v>2776</v>
      </c>
      <c r="D1073" t="s">
        <v>2353</v>
      </c>
      <c r="E1073" t="s">
        <v>906</v>
      </c>
      <c r="F1073" t="s">
        <v>377</v>
      </c>
      <c r="G1073">
        <v>2</v>
      </c>
      <c r="H1073" s="21">
        <v>732.77</v>
      </c>
      <c r="I1073">
        <v>0</v>
      </c>
      <c r="J1073" s="21">
        <v>0</v>
      </c>
      <c r="K1073">
        <v>5</v>
      </c>
      <c r="L1073" s="21">
        <v>73.28</v>
      </c>
      <c r="M1073" s="21">
        <v>1538.82</v>
      </c>
      <c r="N1073" s="21">
        <v>1008.1</v>
      </c>
      <c r="O1073" s="21">
        <v>457.44</v>
      </c>
      <c r="P1073" t="s">
        <v>121</v>
      </c>
      <c r="Q1073" t="s">
        <v>120</v>
      </c>
      <c r="R1073" t="s">
        <v>151</v>
      </c>
      <c r="S1073" t="s">
        <v>1448</v>
      </c>
      <c r="T1073" t="s">
        <v>153</v>
      </c>
      <c r="U1073" t="s">
        <v>154</v>
      </c>
      <c r="V1073" t="str">
        <f>IFERROR(INDEX(Products!$C:$C,MATCH(D1073,Products!$A:$A,0)),"Unknown")</f>
        <v>Sportswear</v>
      </c>
      <c r="W1073" t="str">
        <f>IFERROR(INDEX(Products!$E:$E,MATCH(D1073,Products!$A:$A,0)),"Unknown")</f>
        <v>Mufti</v>
      </c>
      <c r="X1073" t="str">
        <f>IFERROR(INDEX(Stores!$B:$B,MATCH(E1073,Stores!$A:$A,0)),"Unknown")</f>
        <v>TrendMart Vijayawada Standard</v>
      </c>
      <c r="Y1073" t="str">
        <f>IFERROR(INDEX(Stores!$E:$E,MATCH(E1073,Stores!$A:$A,0)),"Unknown")</f>
        <v>South Zone 3</v>
      </c>
      <c r="Z1073" t="str">
        <f>IFERROR(INDEX(Customers!$J:$J,MATCH(C1073,Customers!$A:$A,0)),"Unknown")</f>
        <v>Regular</v>
      </c>
      <c r="AA1073" t="str">
        <f t="shared" si="16"/>
        <v>2024-05</v>
      </c>
      <c r="AB1073" t="str">
        <f>IFERROR(INDEX(Products!$I:$I,MATCH(D1073,Products!$A:$A,0)),"Unknown")</f>
        <v>SUP020</v>
      </c>
    </row>
    <row r="1074" spans="1:28" x14ac:dyDescent="0.25">
      <c r="A1074" t="s">
        <v>2777</v>
      </c>
      <c r="B1074" s="20">
        <v>45565</v>
      </c>
      <c r="C1074" t="s">
        <v>2328</v>
      </c>
      <c r="D1074" t="s">
        <v>447</v>
      </c>
      <c r="E1074" t="s">
        <v>1074</v>
      </c>
      <c r="F1074" t="s">
        <v>303</v>
      </c>
      <c r="G1074">
        <v>1</v>
      </c>
      <c r="H1074" s="21">
        <v>1391.69</v>
      </c>
      <c r="I1074">
        <v>25</v>
      </c>
      <c r="J1074" s="21">
        <v>347.92</v>
      </c>
      <c r="K1074">
        <v>12</v>
      </c>
      <c r="L1074" s="21">
        <v>125.25</v>
      </c>
      <c r="M1074" s="21">
        <v>1169.02</v>
      </c>
      <c r="N1074" s="21">
        <v>1073.45</v>
      </c>
      <c r="O1074" s="21">
        <v>-29.68</v>
      </c>
      <c r="P1074" t="s">
        <v>121</v>
      </c>
      <c r="Q1074" t="s">
        <v>120</v>
      </c>
      <c r="R1074" t="s">
        <v>151</v>
      </c>
      <c r="S1074" t="s">
        <v>774</v>
      </c>
      <c r="T1074" t="s">
        <v>153</v>
      </c>
      <c r="U1074" t="s">
        <v>184</v>
      </c>
      <c r="V1074" t="str">
        <f>IFERROR(INDEX(Products!$C:$C,MATCH(D1074,Products!$A:$A,0)),"Unknown")</f>
        <v>Women Jeans</v>
      </c>
      <c r="W1074" t="str">
        <f>IFERROR(INDEX(Products!$E:$E,MATCH(D1074,Products!$A:$A,0)),"Unknown")</f>
        <v>Biba</v>
      </c>
      <c r="X1074" t="str">
        <f>IFERROR(INDEX(Stores!$B:$B,MATCH(E1074,Stores!$A:$A,0)),"Unknown")</f>
        <v>TrendMart Hyderabad Standard</v>
      </c>
      <c r="Y1074" t="str">
        <f>IFERROR(INDEX(Stores!$E:$E,MATCH(E1074,Stores!$A:$A,0)),"Unknown")</f>
        <v>South Zone 2</v>
      </c>
      <c r="Z1074" t="str">
        <f>IFERROR(INDEX(Customers!$J:$J,MATCH(C1074,Customers!$A:$A,0)),"Unknown")</f>
        <v>Silver</v>
      </c>
      <c r="AA1074" t="str">
        <f t="shared" si="16"/>
        <v>2024-09</v>
      </c>
      <c r="AB1074" t="str">
        <f>IFERROR(INDEX(Products!$I:$I,MATCH(D1074,Products!$A:$A,0)),"Unknown")</f>
        <v>SUP069</v>
      </c>
    </row>
    <row r="1075" spans="1:28" x14ac:dyDescent="0.25">
      <c r="A1075" t="s">
        <v>2778</v>
      </c>
      <c r="B1075" s="20">
        <v>45621</v>
      </c>
      <c r="C1075" t="s">
        <v>2420</v>
      </c>
      <c r="D1075" t="s">
        <v>267</v>
      </c>
      <c r="E1075" t="s">
        <v>363</v>
      </c>
      <c r="F1075" t="s">
        <v>397</v>
      </c>
      <c r="G1075">
        <v>2</v>
      </c>
      <c r="H1075" s="21">
        <v>733.93</v>
      </c>
      <c r="I1075">
        <v>30</v>
      </c>
      <c r="J1075" s="21">
        <v>440.36</v>
      </c>
      <c r="K1075">
        <v>5</v>
      </c>
      <c r="L1075" s="21">
        <v>51.38</v>
      </c>
      <c r="M1075" s="21">
        <v>1078.8800000000001</v>
      </c>
      <c r="N1075" s="21">
        <v>886.38</v>
      </c>
      <c r="O1075" s="21">
        <v>141.12</v>
      </c>
      <c r="P1075" t="s">
        <v>121</v>
      </c>
      <c r="Q1075" t="s">
        <v>120</v>
      </c>
      <c r="R1075" t="s">
        <v>151</v>
      </c>
      <c r="S1075" t="s">
        <v>1047</v>
      </c>
      <c r="T1075" t="s">
        <v>153</v>
      </c>
      <c r="U1075" t="s">
        <v>154</v>
      </c>
      <c r="V1075" t="str">
        <f>IFERROR(INDEX(Products!$C:$C,MATCH(D1075,Products!$A:$A,0)),"Unknown")</f>
        <v>Accessories</v>
      </c>
      <c r="W1075" t="str">
        <f>IFERROR(INDEX(Products!$E:$E,MATCH(D1075,Products!$A:$A,0)),"Unknown")</f>
        <v>Allen Solly</v>
      </c>
      <c r="X1075" t="str">
        <f>IFERROR(INDEX(Stores!$B:$B,MATCH(E1075,Stores!$A:$A,0)),"Unknown")</f>
        <v>TrendMart Thiruvananthapuram High Street</v>
      </c>
      <c r="Y1075" t="str">
        <f>IFERROR(INDEX(Stores!$E:$E,MATCH(E1075,Stores!$A:$A,0)),"Unknown")</f>
        <v>South Zone 1</v>
      </c>
      <c r="Z1075" t="str">
        <f>IFERROR(INDEX(Customers!$J:$J,MATCH(C1075,Customers!$A:$A,0)),"Unknown")</f>
        <v>Gold</v>
      </c>
      <c r="AA1075" t="str">
        <f t="shared" si="16"/>
        <v>2024-11</v>
      </c>
      <c r="AB1075" t="str">
        <f>IFERROR(INDEX(Products!$I:$I,MATCH(D1075,Products!$A:$A,0)),"Unknown")</f>
        <v>SUP069</v>
      </c>
    </row>
    <row r="1076" spans="1:28" x14ac:dyDescent="0.25">
      <c r="A1076" t="s">
        <v>2779</v>
      </c>
      <c r="B1076" s="20">
        <v>45646</v>
      </c>
      <c r="C1076" t="s">
        <v>2780</v>
      </c>
      <c r="D1076" t="s">
        <v>773</v>
      </c>
      <c r="E1076" t="s">
        <v>910</v>
      </c>
      <c r="F1076" t="s">
        <v>462</v>
      </c>
      <c r="G1076">
        <v>1</v>
      </c>
      <c r="H1076" s="21">
        <v>3417.32</v>
      </c>
      <c r="I1076">
        <v>15</v>
      </c>
      <c r="J1076" s="21">
        <v>512.6</v>
      </c>
      <c r="K1076">
        <v>12</v>
      </c>
      <c r="L1076" s="21">
        <v>348.57</v>
      </c>
      <c r="M1076" s="21">
        <v>3253.29</v>
      </c>
      <c r="N1076" s="21">
        <v>2710.05</v>
      </c>
      <c r="O1076" s="21">
        <v>194.67</v>
      </c>
      <c r="P1076" t="s">
        <v>124</v>
      </c>
      <c r="Q1076" t="s">
        <v>122</v>
      </c>
      <c r="R1076" t="s">
        <v>151</v>
      </c>
      <c r="S1076" t="s">
        <v>2350</v>
      </c>
      <c r="T1076" t="s">
        <v>153</v>
      </c>
      <c r="U1076" t="s">
        <v>154</v>
      </c>
      <c r="V1076" t="str">
        <f>IFERROR(INDEX(Products!$C:$C,MATCH(D1076,Products!$A:$A,0)),"Unknown")</f>
        <v>Women Sarees</v>
      </c>
      <c r="W1076" t="str">
        <f>IFERROR(INDEX(Products!$E:$E,MATCH(D1076,Products!$A:$A,0)),"Unknown")</f>
        <v>Bata</v>
      </c>
      <c r="X1076" t="str">
        <f>IFERROR(INDEX(Stores!$B:$B,MATCH(E1076,Stores!$A:$A,0)),"Unknown")</f>
        <v>TrendMart Karimnagar Standard</v>
      </c>
      <c r="Y1076" t="str">
        <f>IFERROR(INDEX(Stores!$E:$E,MATCH(E1076,Stores!$A:$A,0)),"Unknown")</f>
        <v>South Zone 2</v>
      </c>
      <c r="Z1076" t="str">
        <f>IFERROR(INDEX(Customers!$J:$J,MATCH(C1076,Customers!$A:$A,0)),"Unknown")</f>
        <v>Regular</v>
      </c>
      <c r="AA1076" t="str">
        <f t="shared" si="16"/>
        <v>2024-12</v>
      </c>
      <c r="AB1076" t="str">
        <f>IFERROR(INDEX(Products!$I:$I,MATCH(D1076,Products!$A:$A,0)),"Unknown")</f>
        <v>SUP086</v>
      </c>
    </row>
    <row r="1077" spans="1:28" x14ac:dyDescent="0.25">
      <c r="A1077" t="s">
        <v>2781</v>
      </c>
      <c r="B1077" s="20">
        <v>45413</v>
      </c>
      <c r="C1077" t="s">
        <v>2125</v>
      </c>
      <c r="D1077" t="s">
        <v>1809</v>
      </c>
      <c r="E1077" t="s">
        <v>456</v>
      </c>
      <c r="F1077" t="s">
        <v>532</v>
      </c>
      <c r="G1077">
        <v>4</v>
      </c>
      <c r="H1077" s="21">
        <v>1021.95</v>
      </c>
      <c r="I1077">
        <v>25</v>
      </c>
      <c r="J1077" s="21">
        <v>1021.95</v>
      </c>
      <c r="K1077">
        <v>12</v>
      </c>
      <c r="L1077" s="21">
        <v>367.9</v>
      </c>
      <c r="M1077" s="21">
        <v>3433.75</v>
      </c>
      <c r="N1077" s="21">
        <v>3026.36</v>
      </c>
      <c r="O1077" s="21">
        <v>39.49</v>
      </c>
      <c r="P1077" t="s">
        <v>121</v>
      </c>
      <c r="Q1077" t="s">
        <v>122</v>
      </c>
      <c r="R1077" t="s">
        <v>151</v>
      </c>
      <c r="S1077" t="s">
        <v>690</v>
      </c>
      <c r="T1077" t="s">
        <v>153</v>
      </c>
      <c r="U1077" t="s">
        <v>154</v>
      </c>
      <c r="V1077" t="str">
        <f>IFERROR(INDEX(Products!$C:$C,MATCH(D1077,Products!$A:$A,0)),"Unknown")</f>
        <v>Men Jeans</v>
      </c>
      <c r="W1077" t="str">
        <f>IFERROR(INDEX(Products!$E:$E,MATCH(D1077,Products!$A:$A,0)),"Unknown")</f>
        <v>Mufti</v>
      </c>
      <c r="X1077" t="str">
        <f>IFERROR(INDEX(Stores!$B:$B,MATCH(E1077,Stores!$A:$A,0)),"Unknown")</f>
        <v>TrendMart Salem Outlet</v>
      </c>
      <c r="Y1077" t="str">
        <f>IFERROR(INDEX(Stores!$E:$E,MATCH(E1077,Stores!$A:$A,0)),"Unknown")</f>
        <v>South Zone 1</v>
      </c>
      <c r="Z1077" t="str">
        <f>IFERROR(INDEX(Customers!$J:$J,MATCH(C1077,Customers!$A:$A,0)),"Unknown")</f>
        <v>Regular</v>
      </c>
      <c r="AA1077" t="str">
        <f t="shared" si="16"/>
        <v>2024-05</v>
      </c>
      <c r="AB1077" t="str">
        <f>IFERROR(INDEX(Products!$I:$I,MATCH(D1077,Products!$A:$A,0)),"Unknown")</f>
        <v>SUP035</v>
      </c>
    </row>
    <row r="1078" spans="1:28" x14ac:dyDescent="0.25">
      <c r="A1078" t="s">
        <v>2782</v>
      </c>
      <c r="B1078" s="20">
        <v>45614</v>
      </c>
      <c r="C1078" t="s">
        <v>2783</v>
      </c>
      <c r="D1078" t="s">
        <v>937</v>
      </c>
      <c r="E1078" t="s">
        <v>727</v>
      </c>
      <c r="F1078" t="s">
        <v>195</v>
      </c>
      <c r="G1078">
        <v>3</v>
      </c>
      <c r="H1078" s="21">
        <v>1242.8499999999999</v>
      </c>
      <c r="I1078">
        <v>25</v>
      </c>
      <c r="J1078" s="21">
        <v>932.14</v>
      </c>
      <c r="K1078">
        <v>12</v>
      </c>
      <c r="L1078" s="21">
        <v>335.57</v>
      </c>
      <c r="M1078" s="21">
        <v>3131.98</v>
      </c>
      <c r="N1078" s="21">
        <v>2585.4</v>
      </c>
      <c r="O1078" s="21">
        <v>211.01</v>
      </c>
      <c r="P1078" t="s">
        <v>123</v>
      </c>
      <c r="Q1078" t="s">
        <v>120</v>
      </c>
      <c r="R1078" t="s">
        <v>151</v>
      </c>
      <c r="S1078" t="s">
        <v>609</v>
      </c>
      <c r="T1078" t="s">
        <v>153</v>
      </c>
      <c r="U1078" t="s">
        <v>154</v>
      </c>
      <c r="V1078" t="str">
        <f>IFERROR(INDEX(Products!$C:$C,MATCH(D1078,Products!$A:$A,0)),"Unknown")</f>
        <v>Men Shirts</v>
      </c>
      <c r="W1078" t="str">
        <f>IFERROR(INDEX(Products!$E:$E,MATCH(D1078,Products!$A:$A,0)),"Unknown")</f>
        <v>Skechers</v>
      </c>
      <c r="X1078" t="str">
        <f>IFERROR(INDEX(Stores!$B:$B,MATCH(E1078,Stores!$A:$A,0)),"Unknown")</f>
        <v>TrendMart Nizamabad Standard</v>
      </c>
      <c r="Y1078" t="str">
        <f>IFERROR(INDEX(Stores!$E:$E,MATCH(E1078,Stores!$A:$A,0)),"Unknown")</f>
        <v>South Zone 2</v>
      </c>
      <c r="Z1078" t="str">
        <f>IFERROR(INDEX(Customers!$J:$J,MATCH(C1078,Customers!$A:$A,0)),"Unknown")</f>
        <v>Gold</v>
      </c>
      <c r="AA1078" t="str">
        <f t="shared" si="16"/>
        <v>2024-11</v>
      </c>
      <c r="AB1078" t="str">
        <f>IFERROR(INDEX(Products!$I:$I,MATCH(D1078,Products!$A:$A,0)),"Unknown")</f>
        <v>SUP042</v>
      </c>
    </row>
    <row r="1079" spans="1:28" x14ac:dyDescent="0.25">
      <c r="A1079" t="s">
        <v>2784</v>
      </c>
      <c r="B1079" s="20">
        <v>45419</v>
      </c>
      <c r="C1079" t="s">
        <v>2510</v>
      </c>
      <c r="D1079" t="s">
        <v>587</v>
      </c>
      <c r="E1079" t="s">
        <v>442</v>
      </c>
      <c r="F1079" t="s">
        <v>170</v>
      </c>
      <c r="G1079">
        <v>1</v>
      </c>
      <c r="H1079" s="21">
        <v>3248.94</v>
      </c>
      <c r="I1079">
        <v>15</v>
      </c>
      <c r="J1079" s="21">
        <v>487.34</v>
      </c>
      <c r="K1079">
        <v>12</v>
      </c>
      <c r="L1079" s="21">
        <v>331.39</v>
      </c>
      <c r="M1079" s="21">
        <v>3092.99</v>
      </c>
      <c r="N1079" s="21">
        <v>2135.85</v>
      </c>
      <c r="O1079" s="21">
        <v>625.75</v>
      </c>
      <c r="P1079" t="s">
        <v>123</v>
      </c>
      <c r="Q1079" t="s">
        <v>122</v>
      </c>
      <c r="R1079" t="s">
        <v>151</v>
      </c>
      <c r="S1079" t="s">
        <v>623</v>
      </c>
      <c r="T1079" t="s">
        <v>153</v>
      </c>
      <c r="U1079" t="s">
        <v>154</v>
      </c>
      <c r="V1079" t="str">
        <f>IFERROR(INDEX(Products!$C:$C,MATCH(D1079,Products!$A:$A,0)),"Unknown")</f>
        <v>Handbags</v>
      </c>
      <c r="W1079" t="str">
        <f>IFERROR(INDEX(Products!$E:$E,MATCH(D1079,Products!$A:$A,0)),"Unknown")</f>
        <v>Tanishq</v>
      </c>
      <c r="X1079" t="str">
        <f>IFERROR(INDEX(Stores!$B:$B,MATCH(E1079,Stores!$A:$A,0)),"Unknown")</f>
        <v>TrendMart Bengaluru Standard</v>
      </c>
      <c r="Y1079" t="str">
        <f>IFERROR(INDEX(Stores!$E:$E,MATCH(E1079,Stores!$A:$A,0)),"Unknown")</f>
        <v>South Zone 2</v>
      </c>
      <c r="Z1079" t="str">
        <f>IFERROR(INDEX(Customers!$J:$J,MATCH(C1079,Customers!$A:$A,0)),"Unknown")</f>
        <v>Silver</v>
      </c>
      <c r="AA1079" t="str">
        <f t="shared" si="16"/>
        <v>2024-05</v>
      </c>
      <c r="AB1079" t="str">
        <f>IFERROR(INDEX(Products!$I:$I,MATCH(D1079,Products!$A:$A,0)),"Unknown")</f>
        <v>SUP029</v>
      </c>
    </row>
    <row r="1080" spans="1:28" x14ac:dyDescent="0.25">
      <c r="A1080" t="s">
        <v>2785</v>
      </c>
      <c r="B1080" s="20">
        <v>45492</v>
      </c>
      <c r="C1080" t="s">
        <v>1183</v>
      </c>
      <c r="D1080" t="s">
        <v>2699</v>
      </c>
      <c r="E1080" t="s">
        <v>351</v>
      </c>
      <c r="F1080" t="s">
        <v>269</v>
      </c>
      <c r="G1080">
        <v>1</v>
      </c>
      <c r="H1080" s="21">
        <v>1229.6400000000001</v>
      </c>
      <c r="I1080">
        <v>0</v>
      </c>
      <c r="J1080" s="21">
        <v>0</v>
      </c>
      <c r="K1080">
        <v>12</v>
      </c>
      <c r="L1080" s="21">
        <v>147.56</v>
      </c>
      <c r="M1080" s="21">
        <v>1377.2</v>
      </c>
      <c r="N1080" s="21">
        <v>859.94</v>
      </c>
      <c r="O1080" s="21">
        <v>369.7</v>
      </c>
      <c r="P1080" t="s">
        <v>121</v>
      </c>
      <c r="Q1080" t="s">
        <v>120</v>
      </c>
      <c r="R1080" t="s">
        <v>151</v>
      </c>
      <c r="S1080" t="s">
        <v>1643</v>
      </c>
      <c r="T1080" t="s">
        <v>153</v>
      </c>
      <c r="U1080" t="s">
        <v>154</v>
      </c>
      <c r="V1080" t="str">
        <f>IFERROR(INDEX(Products!$C:$C,MATCH(D1080,Products!$A:$A,0)),"Unknown")</f>
        <v>Women Kurtis</v>
      </c>
      <c r="W1080" t="str">
        <f>IFERROR(INDEX(Products!$E:$E,MATCH(D1080,Products!$A:$A,0)),"Unknown")</f>
        <v>Liberty</v>
      </c>
      <c r="X1080" t="str">
        <f>IFERROR(INDEX(Stores!$B:$B,MATCH(E1080,Stores!$A:$A,0)),"Unknown")</f>
        <v>TrendMart Kozhikode High Street</v>
      </c>
      <c r="Y1080" t="str">
        <f>IFERROR(INDEX(Stores!$E:$E,MATCH(E1080,Stores!$A:$A,0)),"Unknown")</f>
        <v>South Zone 1</v>
      </c>
      <c r="Z1080" t="str">
        <f>IFERROR(INDEX(Customers!$J:$J,MATCH(C1080,Customers!$A:$A,0)),"Unknown")</f>
        <v>Silver</v>
      </c>
      <c r="AA1080" t="str">
        <f t="shared" si="16"/>
        <v>2024-07</v>
      </c>
      <c r="AB1080" t="str">
        <f>IFERROR(INDEX(Products!$I:$I,MATCH(D1080,Products!$A:$A,0)),"Unknown")</f>
        <v>SUP003</v>
      </c>
    </row>
    <row r="1081" spans="1:28" x14ac:dyDescent="0.25">
      <c r="A1081" t="s">
        <v>2786</v>
      </c>
      <c r="B1081" s="20">
        <v>45491</v>
      </c>
      <c r="C1081" t="s">
        <v>1635</v>
      </c>
      <c r="D1081" t="s">
        <v>524</v>
      </c>
      <c r="E1081" t="s">
        <v>831</v>
      </c>
      <c r="F1081" t="s">
        <v>408</v>
      </c>
      <c r="G1081">
        <v>0</v>
      </c>
      <c r="H1081" s="21">
        <v>732.24</v>
      </c>
      <c r="I1081">
        <v>0</v>
      </c>
      <c r="J1081" s="21">
        <v>0</v>
      </c>
      <c r="K1081">
        <v>5</v>
      </c>
      <c r="L1081" s="21">
        <v>0</v>
      </c>
      <c r="M1081" s="21">
        <v>0</v>
      </c>
      <c r="N1081" s="21">
        <v>0</v>
      </c>
      <c r="O1081" s="21">
        <v>0</v>
      </c>
      <c r="P1081" t="s">
        <v>124</v>
      </c>
      <c r="Q1081" t="s">
        <v>122</v>
      </c>
      <c r="R1081" t="s">
        <v>482</v>
      </c>
      <c r="S1081" t="s">
        <v>1583</v>
      </c>
      <c r="T1081" t="s">
        <v>153</v>
      </c>
      <c r="U1081" t="s">
        <v>154</v>
      </c>
      <c r="V1081" t="str">
        <f>IFERROR(INDEX(Products!$C:$C,MATCH(D1081,Products!$A:$A,0)),"Unknown")</f>
        <v>Women Tops</v>
      </c>
      <c r="W1081" t="str">
        <f>IFERROR(INDEX(Products!$E:$E,MATCH(D1081,Products!$A:$A,0)),"Unknown")</f>
        <v>Indian Terrain</v>
      </c>
      <c r="X1081" t="str">
        <f>IFERROR(INDEX(Stores!$B:$B,MATCH(E1081,Stores!$A:$A,0)),"Unknown")</f>
        <v>TrendMart Vellore Standard</v>
      </c>
      <c r="Y1081" t="str">
        <f>IFERROR(INDEX(Stores!$E:$E,MATCH(E1081,Stores!$A:$A,0)),"Unknown")</f>
        <v>South Zone 1</v>
      </c>
      <c r="Z1081" t="str">
        <f>IFERROR(INDEX(Customers!$J:$J,MATCH(C1081,Customers!$A:$A,0)),"Unknown")</f>
        <v>Regular</v>
      </c>
      <c r="AA1081" t="str">
        <f t="shared" si="16"/>
        <v>2024-07</v>
      </c>
      <c r="AB1081" t="str">
        <f>IFERROR(INDEX(Products!$I:$I,MATCH(D1081,Products!$A:$A,0)),"Unknown")</f>
        <v>SUP062</v>
      </c>
    </row>
    <row r="1082" spans="1:28" x14ac:dyDescent="0.25">
      <c r="A1082" t="s">
        <v>2787</v>
      </c>
      <c r="B1082" s="20">
        <v>45709</v>
      </c>
      <c r="C1082" t="s">
        <v>1489</v>
      </c>
      <c r="D1082" t="s">
        <v>2597</v>
      </c>
      <c r="E1082" t="s">
        <v>1017</v>
      </c>
      <c r="F1082" t="s">
        <v>182</v>
      </c>
      <c r="G1082">
        <v>5</v>
      </c>
      <c r="H1082" s="21">
        <v>816.78</v>
      </c>
      <c r="I1082">
        <v>0</v>
      </c>
      <c r="J1082" s="21">
        <v>0</v>
      </c>
      <c r="K1082">
        <v>5</v>
      </c>
      <c r="L1082" s="21">
        <v>204.19</v>
      </c>
      <c r="M1082" s="21">
        <v>4288.09</v>
      </c>
      <c r="N1082" s="21">
        <v>2878.6</v>
      </c>
      <c r="O1082" s="21">
        <v>1205.3</v>
      </c>
      <c r="P1082" t="s">
        <v>121</v>
      </c>
      <c r="Q1082" t="s">
        <v>120</v>
      </c>
      <c r="R1082" t="s">
        <v>151</v>
      </c>
      <c r="S1082" t="s">
        <v>2512</v>
      </c>
      <c r="T1082" t="s">
        <v>153</v>
      </c>
      <c r="U1082" t="s">
        <v>154</v>
      </c>
      <c r="V1082" t="str">
        <f>IFERROR(INDEX(Products!$C:$C,MATCH(D1082,Products!$A:$A,0)),"Unknown")</f>
        <v>Men Trousers</v>
      </c>
      <c r="W1082" t="str">
        <f>IFERROR(INDEX(Products!$E:$E,MATCH(D1082,Products!$A:$A,0)),"Unknown")</f>
        <v>Peter England</v>
      </c>
      <c r="X1082" t="str">
        <f>IFERROR(INDEX(Stores!$B:$B,MATCH(E1082,Stores!$A:$A,0)),"Unknown")</f>
        <v>TrendMart Mangaluru Standard</v>
      </c>
      <c r="Y1082" t="str">
        <f>IFERROR(INDEX(Stores!$E:$E,MATCH(E1082,Stores!$A:$A,0)),"Unknown")</f>
        <v>South Zone 2</v>
      </c>
      <c r="Z1082" t="str">
        <f>IFERROR(INDEX(Customers!$J:$J,MATCH(C1082,Customers!$A:$A,0)),"Unknown")</f>
        <v>Gold</v>
      </c>
      <c r="AA1082" t="str">
        <f t="shared" si="16"/>
        <v>2025-02</v>
      </c>
      <c r="AB1082" t="str">
        <f>IFERROR(INDEX(Products!$I:$I,MATCH(D1082,Products!$A:$A,0)),"Unknown")</f>
        <v>SUP008</v>
      </c>
    </row>
    <row r="1083" spans="1:28" x14ac:dyDescent="0.25">
      <c r="A1083" t="s">
        <v>2788</v>
      </c>
      <c r="B1083" s="20">
        <v>45580</v>
      </c>
      <c r="C1083" t="s">
        <v>2789</v>
      </c>
      <c r="D1083" t="s">
        <v>756</v>
      </c>
      <c r="E1083" t="s">
        <v>541</v>
      </c>
      <c r="F1083" t="s">
        <v>182</v>
      </c>
      <c r="G1083">
        <v>2</v>
      </c>
      <c r="H1083" s="21">
        <v>749.95</v>
      </c>
      <c r="I1083">
        <v>30</v>
      </c>
      <c r="J1083" s="21">
        <v>449.97</v>
      </c>
      <c r="K1083">
        <v>5</v>
      </c>
      <c r="L1083" s="21">
        <v>52.5</v>
      </c>
      <c r="M1083" s="21">
        <v>1102.43</v>
      </c>
      <c r="N1083" s="21">
        <v>1044.76</v>
      </c>
      <c r="O1083" s="21">
        <v>5.17</v>
      </c>
      <c r="P1083" t="s">
        <v>124</v>
      </c>
      <c r="Q1083" t="s">
        <v>120</v>
      </c>
      <c r="R1083" t="s">
        <v>151</v>
      </c>
      <c r="S1083" t="s">
        <v>1404</v>
      </c>
      <c r="T1083" t="s">
        <v>153</v>
      </c>
      <c r="U1083" t="s">
        <v>154</v>
      </c>
      <c r="V1083" t="str">
        <f>IFERROR(INDEX(Products!$C:$C,MATCH(D1083,Products!$A:$A,0)),"Unknown")</f>
        <v>Women Tops</v>
      </c>
      <c r="W1083" t="str">
        <f>IFERROR(INDEX(Products!$E:$E,MATCH(D1083,Products!$A:$A,0)),"Unknown")</f>
        <v>Peter England</v>
      </c>
      <c r="X1083" t="str">
        <f>IFERROR(INDEX(Stores!$B:$B,MATCH(E1083,Stores!$A:$A,0)),"Unknown")</f>
        <v>TrendMart Kochi Standard</v>
      </c>
      <c r="Y1083" t="str">
        <f>IFERROR(INDEX(Stores!$E:$E,MATCH(E1083,Stores!$A:$A,0)),"Unknown")</f>
        <v>South Zone 1</v>
      </c>
      <c r="Z1083" t="str">
        <f>IFERROR(INDEX(Customers!$J:$J,MATCH(C1083,Customers!$A:$A,0)),"Unknown")</f>
        <v>Regular</v>
      </c>
      <c r="AA1083" t="str">
        <f t="shared" si="16"/>
        <v>2024-10</v>
      </c>
      <c r="AB1083" t="str">
        <f>IFERROR(INDEX(Products!$I:$I,MATCH(D1083,Products!$A:$A,0)),"Unknown")</f>
        <v>SUP018</v>
      </c>
    </row>
    <row r="1084" spans="1:28" x14ac:dyDescent="0.25">
      <c r="A1084" t="s">
        <v>2790</v>
      </c>
      <c r="B1084" s="20">
        <v>45525</v>
      </c>
      <c r="C1084" t="s">
        <v>2791</v>
      </c>
      <c r="D1084" t="s">
        <v>756</v>
      </c>
      <c r="E1084" t="s">
        <v>355</v>
      </c>
      <c r="F1084" t="s">
        <v>253</v>
      </c>
      <c r="G1084">
        <v>1</v>
      </c>
      <c r="H1084" s="21">
        <v>773.13</v>
      </c>
      <c r="I1084">
        <v>20</v>
      </c>
      <c r="J1084" s="21">
        <v>154.63</v>
      </c>
      <c r="K1084">
        <v>5</v>
      </c>
      <c r="L1084" s="21">
        <v>30.93</v>
      </c>
      <c r="M1084" s="21">
        <v>649.42999999999995</v>
      </c>
      <c r="N1084" s="21">
        <v>522.38</v>
      </c>
      <c r="O1084" s="21">
        <v>96.12</v>
      </c>
      <c r="P1084" t="s">
        <v>121</v>
      </c>
      <c r="Q1084" t="s">
        <v>122</v>
      </c>
      <c r="R1084" t="s">
        <v>151</v>
      </c>
      <c r="S1084" t="s">
        <v>1257</v>
      </c>
      <c r="T1084" t="s">
        <v>153</v>
      </c>
      <c r="U1084" t="s">
        <v>154</v>
      </c>
      <c r="V1084" t="str">
        <f>IFERROR(INDEX(Products!$C:$C,MATCH(D1084,Products!$A:$A,0)),"Unknown")</f>
        <v>Women Tops</v>
      </c>
      <c r="W1084" t="str">
        <f>IFERROR(INDEX(Products!$E:$E,MATCH(D1084,Products!$A:$A,0)),"Unknown")</f>
        <v>Peter England</v>
      </c>
      <c r="X1084" t="str">
        <f>IFERROR(INDEX(Stores!$B:$B,MATCH(E1084,Stores!$A:$A,0)),"Unknown")</f>
        <v>TrendMart Thiruvananthapuram High Street</v>
      </c>
      <c r="Y1084" t="str">
        <f>IFERROR(INDEX(Stores!$E:$E,MATCH(E1084,Stores!$A:$A,0)),"Unknown")</f>
        <v>South Zone 1</v>
      </c>
      <c r="Z1084" t="str">
        <f>IFERROR(INDEX(Customers!$J:$J,MATCH(C1084,Customers!$A:$A,0)),"Unknown")</f>
        <v>Silver</v>
      </c>
      <c r="AA1084" t="str">
        <f t="shared" si="16"/>
        <v>2024-08</v>
      </c>
      <c r="AB1084" t="str">
        <f>IFERROR(INDEX(Products!$I:$I,MATCH(D1084,Products!$A:$A,0)),"Unknown")</f>
        <v>SUP018</v>
      </c>
    </row>
    <row r="1085" spans="1:28" x14ac:dyDescent="0.25">
      <c r="A1085" t="s">
        <v>2792</v>
      </c>
      <c r="B1085" s="20">
        <v>45581</v>
      </c>
      <c r="C1085" t="s">
        <v>2793</v>
      </c>
      <c r="D1085" t="s">
        <v>2696</v>
      </c>
      <c r="E1085" t="s">
        <v>798</v>
      </c>
      <c r="F1085" t="s">
        <v>189</v>
      </c>
      <c r="G1085">
        <v>1</v>
      </c>
      <c r="H1085" s="21">
        <v>979.09</v>
      </c>
      <c r="I1085">
        <v>15</v>
      </c>
      <c r="J1085" s="21">
        <v>146.86000000000001</v>
      </c>
      <c r="K1085">
        <v>5</v>
      </c>
      <c r="L1085" s="21">
        <v>41.61</v>
      </c>
      <c r="M1085" s="21">
        <v>873.84</v>
      </c>
      <c r="N1085" s="21">
        <v>703.03</v>
      </c>
      <c r="O1085" s="21">
        <v>129.19999999999999</v>
      </c>
      <c r="P1085" t="s">
        <v>126</v>
      </c>
      <c r="Q1085" t="s">
        <v>120</v>
      </c>
      <c r="R1085" t="s">
        <v>151</v>
      </c>
      <c r="S1085" t="s">
        <v>202</v>
      </c>
      <c r="T1085" t="s">
        <v>153</v>
      </c>
      <c r="U1085" t="s">
        <v>154</v>
      </c>
      <c r="V1085" t="str">
        <f>IFERROR(INDEX(Products!$C:$C,MATCH(D1085,Products!$A:$A,0)),"Unknown")</f>
        <v>Women Kurtis</v>
      </c>
      <c r="W1085" t="str">
        <f>IFERROR(INDEX(Products!$E:$E,MATCH(D1085,Products!$A:$A,0)),"Unknown")</f>
        <v>Sonata</v>
      </c>
      <c r="X1085" t="str">
        <f>IFERROR(INDEX(Stores!$B:$B,MATCH(E1085,Stores!$A:$A,0)),"Unknown")</f>
        <v>TrendMart Guntur Standard</v>
      </c>
      <c r="Y1085" t="str">
        <f>IFERROR(INDEX(Stores!$E:$E,MATCH(E1085,Stores!$A:$A,0)),"Unknown")</f>
        <v>South Zone 3</v>
      </c>
      <c r="Z1085" t="str">
        <f>IFERROR(INDEX(Customers!$J:$J,MATCH(C1085,Customers!$A:$A,0)),"Unknown")</f>
        <v>Platinum</v>
      </c>
      <c r="AA1085" t="str">
        <f t="shared" si="16"/>
        <v>2024-10</v>
      </c>
      <c r="AB1085" t="str">
        <f>IFERROR(INDEX(Products!$I:$I,MATCH(D1085,Products!$A:$A,0)),"Unknown")</f>
        <v>SUP069</v>
      </c>
    </row>
    <row r="1086" spans="1:28" x14ac:dyDescent="0.25">
      <c r="A1086" t="s">
        <v>2794</v>
      </c>
      <c r="B1086" s="20">
        <v>45653</v>
      </c>
      <c r="C1086" t="s">
        <v>2795</v>
      </c>
      <c r="D1086" t="s">
        <v>1026</v>
      </c>
      <c r="E1086" t="s">
        <v>1002</v>
      </c>
      <c r="F1086" t="s">
        <v>308</v>
      </c>
      <c r="G1086">
        <v>2</v>
      </c>
      <c r="H1086" s="21">
        <v>1308.32</v>
      </c>
      <c r="I1086">
        <v>0</v>
      </c>
      <c r="J1086" s="21">
        <v>0</v>
      </c>
      <c r="K1086">
        <v>12</v>
      </c>
      <c r="L1086" s="21">
        <v>314</v>
      </c>
      <c r="M1086" s="21">
        <v>2930.64</v>
      </c>
      <c r="N1086" s="21">
        <v>1924.34</v>
      </c>
      <c r="O1086" s="21">
        <v>692.3</v>
      </c>
      <c r="P1086" t="s">
        <v>124</v>
      </c>
      <c r="Q1086" t="s">
        <v>120</v>
      </c>
      <c r="R1086" t="s">
        <v>313</v>
      </c>
      <c r="S1086" t="s">
        <v>2700</v>
      </c>
      <c r="T1086" t="s">
        <v>153</v>
      </c>
      <c r="U1086" t="s">
        <v>154</v>
      </c>
      <c r="V1086" t="str">
        <f>IFERROR(INDEX(Products!$C:$C,MATCH(D1086,Products!$A:$A,0)),"Unknown")</f>
        <v>Women Sarees</v>
      </c>
      <c r="W1086" t="str">
        <f>IFERROR(INDEX(Products!$E:$E,MATCH(D1086,Products!$A:$A,0)),"Unknown")</f>
        <v>Spykar</v>
      </c>
      <c r="X1086" t="str">
        <f>IFERROR(INDEX(Stores!$B:$B,MATCH(E1086,Stores!$A:$A,0)),"Unknown")</f>
        <v>TrendMart Coimbatore Mall Kiosk</v>
      </c>
      <c r="Y1086" t="str">
        <f>IFERROR(INDEX(Stores!$E:$E,MATCH(E1086,Stores!$A:$A,0)),"Unknown")</f>
        <v>South Zone 1</v>
      </c>
      <c r="Z1086" t="str">
        <f>IFERROR(INDEX(Customers!$J:$J,MATCH(C1086,Customers!$A:$A,0)),"Unknown")</f>
        <v>Gold</v>
      </c>
      <c r="AA1086" t="str">
        <f t="shared" si="16"/>
        <v>2024-12</v>
      </c>
      <c r="AB1086" t="str">
        <f>IFERROR(INDEX(Products!$I:$I,MATCH(D1086,Products!$A:$A,0)),"Unknown")</f>
        <v>SUP001</v>
      </c>
    </row>
    <row r="1087" spans="1:28" x14ac:dyDescent="0.25">
      <c r="A1087" t="s">
        <v>2796</v>
      </c>
      <c r="B1087" s="20">
        <v>45516</v>
      </c>
      <c r="C1087" t="s">
        <v>2797</v>
      </c>
      <c r="D1087" t="s">
        <v>717</v>
      </c>
      <c r="E1087" t="s">
        <v>416</v>
      </c>
      <c r="F1087" t="s">
        <v>344</v>
      </c>
      <c r="G1087">
        <v>1</v>
      </c>
      <c r="H1087" s="21">
        <v>1729.46</v>
      </c>
      <c r="I1087">
        <v>10</v>
      </c>
      <c r="J1087" s="21">
        <v>172.95</v>
      </c>
      <c r="K1087">
        <v>12</v>
      </c>
      <c r="L1087" s="21">
        <v>186.78</v>
      </c>
      <c r="M1087" s="21">
        <v>1743.29</v>
      </c>
      <c r="N1087" s="21">
        <v>1133.27</v>
      </c>
      <c r="O1087" s="21">
        <v>423.24</v>
      </c>
      <c r="P1087" t="s">
        <v>121</v>
      </c>
      <c r="Q1087" t="s">
        <v>122</v>
      </c>
      <c r="R1087" t="s">
        <v>151</v>
      </c>
      <c r="S1087" t="s">
        <v>2798</v>
      </c>
      <c r="T1087" t="s">
        <v>153</v>
      </c>
      <c r="U1087" t="s">
        <v>154</v>
      </c>
      <c r="V1087" t="str">
        <f>IFERROR(INDEX(Products!$C:$C,MATCH(D1087,Products!$A:$A,0)),"Unknown")</f>
        <v>Women Dresses</v>
      </c>
      <c r="W1087" t="str">
        <f>IFERROR(INDEX(Products!$E:$E,MATCH(D1087,Products!$A:$A,0)),"Unknown")</f>
        <v>Pantaloons</v>
      </c>
      <c r="X1087" t="str">
        <f>IFERROR(INDEX(Stores!$B:$B,MATCH(E1087,Stores!$A:$A,0)),"Unknown")</f>
        <v>TrendMart Dindigul Standard</v>
      </c>
      <c r="Y1087" t="str">
        <f>IFERROR(INDEX(Stores!$E:$E,MATCH(E1087,Stores!$A:$A,0)),"Unknown")</f>
        <v>South Zone 1</v>
      </c>
      <c r="Z1087" t="str">
        <f>IFERROR(INDEX(Customers!$J:$J,MATCH(C1087,Customers!$A:$A,0)),"Unknown")</f>
        <v>Regular</v>
      </c>
      <c r="AA1087" t="str">
        <f t="shared" si="16"/>
        <v>2024-08</v>
      </c>
      <c r="AB1087" t="str">
        <f>IFERROR(INDEX(Products!$I:$I,MATCH(D1087,Products!$A:$A,0)),"Unknown")</f>
        <v>SUP046</v>
      </c>
    </row>
    <row r="1088" spans="1:28" x14ac:dyDescent="0.25">
      <c r="A1088" t="s">
        <v>2799</v>
      </c>
      <c r="B1088" s="20">
        <v>45624</v>
      </c>
      <c r="C1088" t="s">
        <v>2800</v>
      </c>
      <c r="D1088" t="s">
        <v>888</v>
      </c>
      <c r="E1088" t="s">
        <v>396</v>
      </c>
      <c r="F1088" t="s">
        <v>579</v>
      </c>
      <c r="G1088">
        <v>2</v>
      </c>
      <c r="H1088" s="21">
        <v>6411.9</v>
      </c>
      <c r="I1088">
        <v>15</v>
      </c>
      <c r="J1088" s="21">
        <v>1923.57</v>
      </c>
      <c r="K1088">
        <v>3</v>
      </c>
      <c r="L1088" s="21">
        <v>327.01</v>
      </c>
      <c r="M1088" s="21">
        <v>11227.24</v>
      </c>
      <c r="N1088" s="21">
        <v>9525.52</v>
      </c>
      <c r="O1088" s="21">
        <v>1374.71</v>
      </c>
      <c r="P1088" t="s">
        <v>125</v>
      </c>
      <c r="Q1088" t="s">
        <v>122</v>
      </c>
      <c r="R1088" t="s">
        <v>151</v>
      </c>
      <c r="S1088" t="s">
        <v>439</v>
      </c>
      <c r="T1088" t="s">
        <v>153</v>
      </c>
      <c r="U1088" t="s">
        <v>154</v>
      </c>
      <c r="V1088" t="str">
        <f>IFERROR(INDEX(Products!$C:$C,MATCH(D1088,Products!$A:$A,0)),"Unknown")</f>
        <v>Jewellery</v>
      </c>
      <c r="W1088" t="str">
        <f>IFERROR(INDEX(Products!$E:$E,MATCH(D1088,Products!$A:$A,0)),"Unknown")</f>
        <v>Aurelia</v>
      </c>
      <c r="X1088" t="str">
        <f>IFERROR(INDEX(Stores!$B:$B,MATCH(E1088,Stores!$A:$A,0)),"Unknown")</f>
        <v>TrendMart Davanagere High Street</v>
      </c>
      <c r="Y1088" t="str">
        <f>IFERROR(INDEX(Stores!$E:$E,MATCH(E1088,Stores!$A:$A,0)),"Unknown")</f>
        <v>South Zone 2</v>
      </c>
      <c r="Z1088" t="str">
        <f>IFERROR(INDEX(Customers!$J:$J,MATCH(C1088,Customers!$A:$A,0)),"Unknown")</f>
        <v>Regular</v>
      </c>
      <c r="AA1088" t="str">
        <f t="shared" si="16"/>
        <v>2024-11</v>
      </c>
      <c r="AB1088" t="str">
        <f>IFERROR(INDEX(Products!$I:$I,MATCH(D1088,Products!$A:$A,0)),"Unknown")</f>
        <v>SUP038</v>
      </c>
    </row>
    <row r="1089" spans="1:28" x14ac:dyDescent="0.25">
      <c r="A1089" t="s">
        <v>2801</v>
      </c>
      <c r="B1089" s="20">
        <v>45581</v>
      </c>
      <c r="C1089" t="s">
        <v>2802</v>
      </c>
      <c r="D1089" t="s">
        <v>1454</v>
      </c>
      <c r="E1089" t="s">
        <v>97</v>
      </c>
      <c r="F1089" t="s">
        <v>403</v>
      </c>
      <c r="G1089">
        <v>2</v>
      </c>
      <c r="H1089" s="21">
        <v>742.08</v>
      </c>
      <c r="I1089">
        <v>0</v>
      </c>
      <c r="J1089" s="21">
        <v>0</v>
      </c>
      <c r="K1089">
        <v>5</v>
      </c>
      <c r="L1089" s="21">
        <v>74.209999999999994</v>
      </c>
      <c r="M1089" s="21">
        <v>1558.37</v>
      </c>
      <c r="N1089" s="21">
        <v>1140.3599999999999</v>
      </c>
      <c r="O1089" s="21">
        <v>343.8</v>
      </c>
      <c r="P1089" t="s">
        <v>124</v>
      </c>
      <c r="Q1089" t="s">
        <v>120</v>
      </c>
      <c r="R1089" t="s">
        <v>151</v>
      </c>
      <c r="S1089" t="s">
        <v>1460</v>
      </c>
      <c r="T1089" t="s">
        <v>153</v>
      </c>
      <c r="U1089" t="s">
        <v>154</v>
      </c>
      <c r="V1089" t="str">
        <f>IFERROR(INDEX(Products!$C:$C,MATCH(D1089,Products!$A:$A,0)),"Unknown")</f>
        <v>Wallets</v>
      </c>
      <c r="W1089" t="str">
        <f>IFERROR(INDEX(Products!$E:$E,MATCH(D1089,Products!$A:$A,0)),"Unknown")</f>
        <v>Skechers</v>
      </c>
      <c r="X1089" t="str">
        <f>IFERROR(INDEX(Stores!$B:$B,MATCH(E1089,Stores!$A:$A,0)),"Unknown")</f>
        <v>TrendMart Guntur Flagship</v>
      </c>
      <c r="Y1089" t="str">
        <f>IFERROR(INDEX(Stores!$E:$E,MATCH(E1089,Stores!$A:$A,0)),"Unknown")</f>
        <v>South Zone 3</v>
      </c>
      <c r="Z1089" t="str">
        <f>IFERROR(INDEX(Customers!$J:$J,MATCH(C1089,Customers!$A:$A,0)),"Unknown")</f>
        <v>Regular</v>
      </c>
      <c r="AA1089" t="str">
        <f t="shared" si="16"/>
        <v>2024-10</v>
      </c>
      <c r="AB1089" t="str">
        <f>IFERROR(INDEX(Products!$I:$I,MATCH(D1089,Products!$A:$A,0)),"Unknown")</f>
        <v>SUP013</v>
      </c>
    </row>
    <row r="1090" spans="1:28" x14ac:dyDescent="0.25">
      <c r="A1090" t="s">
        <v>2803</v>
      </c>
      <c r="B1090" s="20">
        <v>45637</v>
      </c>
      <c r="C1090" t="s">
        <v>2804</v>
      </c>
      <c r="D1090" t="s">
        <v>251</v>
      </c>
      <c r="E1090" t="s">
        <v>194</v>
      </c>
      <c r="F1090" t="s">
        <v>516</v>
      </c>
      <c r="G1090">
        <v>4</v>
      </c>
      <c r="H1090" s="21">
        <v>786.45</v>
      </c>
      <c r="I1090">
        <v>0</v>
      </c>
      <c r="J1090" s="21">
        <v>0</v>
      </c>
      <c r="K1090">
        <v>5</v>
      </c>
      <c r="L1090" s="21">
        <v>157.29</v>
      </c>
      <c r="M1090" s="21">
        <v>3303.09</v>
      </c>
      <c r="N1090" s="21">
        <v>2139.2399999999998</v>
      </c>
      <c r="O1090" s="21">
        <v>1006.56</v>
      </c>
      <c r="P1090" t="s">
        <v>124</v>
      </c>
      <c r="Q1090" t="s">
        <v>120</v>
      </c>
      <c r="R1090" t="s">
        <v>151</v>
      </c>
      <c r="S1090" t="s">
        <v>2387</v>
      </c>
      <c r="T1090" t="s">
        <v>153</v>
      </c>
      <c r="U1090" t="s">
        <v>154</v>
      </c>
      <c r="V1090" t="str">
        <f>IFERROR(INDEX(Products!$C:$C,MATCH(D1090,Products!$A:$A,0)),"Unknown")</f>
        <v>Women Tops</v>
      </c>
      <c r="W1090" t="str">
        <f>IFERROR(INDEX(Products!$E:$E,MATCH(D1090,Products!$A:$A,0)),"Unknown")</f>
        <v>US Polo Assn</v>
      </c>
      <c r="X1090" t="str">
        <f>IFERROR(INDEX(Stores!$B:$B,MATCH(E1090,Stores!$A:$A,0)),"Unknown")</f>
        <v>TrendMart Tirupati High Street</v>
      </c>
      <c r="Y1090" t="str">
        <f>IFERROR(INDEX(Stores!$E:$E,MATCH(E1090,Stores!$A:$A,0)),"Unknown")</f>
        <v>South Zone 3</v>
      </c>
      <c r="Z1090" t="str">
        <f>IFERROR(INDEX(Customers!$J:$J,MATCH(C1090,Customers!$A:$A,0)),"Unknown")</f>
        <v>Gold</v>
      </c>
      <c r="AA1090" t="str">
        <f t="shared" ref="AA1090:AA1153" si="17">TEXT(B1090,"YYYY-MM")</f>
        <v>2024-12</v>
      </c>
      <c r="AB1090" t="str">
        <f>IFERROR(INDEX(Products!$I:$I,MATCH(D1090,Products!$A:$A,0)),"Unknown")</f>
        <v>SUP039</v>
      </c>
    </row>
    <row r="1091" spans="1:28" x14ac:dyDescent="0.25">
      <c r="A1091" t="s">
        <v>2805</v>
      </c>
      <c r="B1091" s="20">
        <v>45573</v>
      </c>
      <c r="C1091" t="s">
        <v>871</v>
      </c>
      <c r="D1091" t="s">
        <v>949</v>
      </c>
      <c r="E1091" t="s">
        <v>1512</v>
      </c>
      <c r="F1091" t="s">
        <v>462</v>
      </c>
      <c r="G1091">
        <v>1</v>
      </c>
      <c r="H1091" s="21">
        <v>1507.6</v>
      </c>
      <c r="I1091">
        <v>15</v>
      </c>
      <c r="J1091" s="21">
        <v>226.14</v>
      </c>
      <c r="K1091">
        <v>12</v>
      </c>
      <c r="L1091" s="21">
        <v>153.78</v>
      </c>
      <c r="M1091" s="21">
        <v>1435.24</v>
      </c>
      <c r="N1091" s="21">
        <v>988.57</v>
      </c>
      <c r="O1091" s="21">
        <v>292.89</v>
      </c>
      <c r="P1091" t="s">
        <v>124</v>
      </c>
      <c r="Q1091" t="s">
        <v>120</v>
      </c>
      <c r="R1091" t="s">
        <v>151</v>
      </c>
      <c r="S1091" t="s">
        <v>2182</v>
      </c>
      <c r="T1091" t="s">
        <v>153</v>
      </c>
      <c r="U1091" t="s">
        <v>154</v>
      </c>
      <c r="V1091" t="str">
        <f>IFERROR(INDEX(Products!$C:$C,MATCH(D1091,Products!$A:$A,0)),"Unknown")</f>
        <v>Handbags</v>
      </c>
      <c r="W1091" t="str">
        <f>IFERROR(INDEX(Products!$E:$E,MATCH(D1091,Products!$A:$A,0)),"Unknown")</f>
        <v>Fastrack</v>
      </c>
      <c r="X1091" t="str">
        <f>IFERROR(INDEX(Stores!$B:$B,MATCH(E1091,Stores!$A:$A,0)),"Unknown")</f>
        <v>TrendMart Erode Mall Kiosk</v>
      </c>
      <c r="Y1091" t="str">
        <f>IFERROR(INDEX(Stores!$E:$E,MATCH(E1091,Stores!$A:$A,0)),"Unknown")</f>
        <v>South Zone 1</v>
      </c>
      <c r="Z1091" t="str">
        <f>IFERROR(INDEX(Customers!$J:$J,MATCH(C1091,Customers!$A:$A,0)),"Unknown")</f>
        <v>Regular</v>
      </c>
      <c r="AA1091" t="str">
        <f t="shared" si="17"/>
        <v>2024-10</v>
      </c>
      <c r="AB1091" t="str">
        <f>IFERROR(INDEX(Products!$I:$I,MATCH(D1091,Products!$A:$A,0)),"Unknown")</f>
        <v>SUP069</v>
      </c>
    </row>
    <row r="1092" spans="1:28" x14ac:dyDescent="0.25">
      <c r="A1092" t="s">
        <v>2806</v>
      </c>
      <c r="B1092" s="20">
        <v>45485</v>
      </c>
      <c r="C1092" t="s">
        <v>2807</v>
      </c>
      <c r="D1092" t="s">
        <v>251</v>
      </c>
      <c r="E1092" t="s">
        <v>98</v>
      </c>
      <c r="F1092" t="s">
        <v>242</v>
      </c>
      <c r="G1092">
        <v>0</v>
      </c>
      <c r="H1092" s="21">
        <v>803.91</v>
      </c>
      <c r="I1092">
        <v>25</v>
      </c>
      <c r="J1092" s="21">
        <v>0</v>
      </c>
      <c r="K1092">
        <v>5</v>
      </c>
      <c r="L1092" s="21">
        <v>0</v>
      </c>
      <c r="M1092" s="21">
        <v>0</v>
      </c>
      <c r="N1092" s="21">
        <v>0</v>
      </c>
      <c r="O1092" s="21">
        <v>0</v>
      </c>
      <c r="P1092" t="s">
        <v>123</v>
      </c>
      <c r="Q1092" t="s">
        <v>120</v>
      </c>
      <c r="R1092" t="s">
        <v>482</v>
      </c>
      <c r="S1092" t="s">
        <v>1650</v>
      </c>
      <c r="T1092" t="s">
        <v>153</v>
      </c>
      <c r="U1092" t="s">
        <v>154</v>
      </c>
      <c r="V1092" t="str">
        <f>IFERROR(INDEX(Products!$C:$C,MATCH(D1092,Products!$A:$A,0)),"Unknown")</f>
        <v>Women Tops</v>
      </c>
      <c r="W1092" t="str">
        <f>IFERROR(INDEX(Products!$E:$E,MATCH(D1092,Products!$A:$A,0)),"Unknown")</f>
        <v>US Polo Assn</v>
      </c>
      <c r="X1092" t="str">
        <f>IFERROR(INDEX(Stores!$B:$B,MATCH(E1092,Stores!$A:$A,0)),"Unknown")</f>
        <v>TrendMart Bengaluru Flagship</v>
      </c>
      <c r="Y1092" t="str">
        <f>IFERROR(INDEX(Stores!$E:$E,MATCH(E1092,Stores!$A:$A,0)),"Unknown")</f>
        <v>South Zone 2</v>
      </c>
      <c r="Z1092" t="str">
        <f>IFERROR(INDEX(Customers!$J:$J,MATCH(C1092,Customers!$A:$A,0)),"Unknown")</f>
        <v>Regular</v>
      </c>
      <c r="AA1092" t="str">
        <f t="shared" si="17"/>
        <v>2024-07</v>
      </c>
      <c r="AB1092" t="str">
        <f>IFERROR(INDEX(Products!$I:$I,MATCH(D1092,Products!$A:$A,0)),"Unknown")</f>
        <v>SUP039</v>
      </c>
    </row>
    <row r="1093" spans="1:28" x14ac:dyDescent="0.25">
      <c r="A1093" t="s">
        <v>2808</v>
      </c>
      <c r="B1093" s="20">
        <v>45429</v>
      </c>
      <c r="C1093" t="s">
        <v>1324</v>
      </c>
      <c r="D1093" t="s">
        <v>947</v>
      </c>
      <c r="E1093" t="s">
        <v>607</v>
      </c>
      <c r="F1093" t="s">
        <v>232</v>
      </c>
      <c r="G1093">
        <v>1</v>
      </c>
      <c r="H1093" s="21">
        <v>772.25</v>
      </c>
      <c r="I1093">
        <v>0</v>
      </c>
      <c r="J1093" s="21">
        <v>0</v>
      </c>
      <c r="K1093">
        <v>5</v>
      </c>
      <c r="L1093" s="21">
        <v>38.61</v>
      </c>
      <c r="M1093" s="21">
        <v>810.86</v>
      </c>
      <c r="N1093" s="21">
        <v>569.35</v>
      </c>
      <c r="O1093" s="21">
        <v>202.9</v>
      </c>
      <c r="P1093" t="s">
        <v>124</v>
      </c>
      <c r="Q1093" t="s">
        <v>122</v>
      </c>
      <c r="R1093" t="s">
        <v>151</v>
      </c>
      <c r="S1093" t="s">
        <v>2387</v>
      </c>
      <c r="T1093" t="s">
        <v>153</v>
      </c>
      <c r="U1093" t="s">
        <v>154</v>
      </c>
      <c r="V1093" t="str">
        <f>IFERROR(INDEX(Products!$C:$C,MATCH(D1093,Products!$A:$A,0)),"Unknown")</f>
        <v>Women Kurtis</v>
      </c>
      <c r="W1093" t="str">
        <f>IFERROR(INDEX(Products!$E:$E,MATCH(D1093,Products!$A:$A,0)),"Unknown")</f>
        <v>Sonata</v>
      </c>
      <c r="X1093" t="str">
        <f>IFERROR(INDEX(Stores!$B:$B,MATCH(E1093,Stores!$A:$A,0)),"Unknown")</f>
        <v>TrendMart Thiruvananthapuram Standard</v>
      </c>
      <c r="Y1093" t="str">
        <f>IFERROR(INDEX(Stores!$E:$E,MATCH(E1093,Stores!$A:$A,0)),"Unknown")</f>
        <v>South Zone 1</v>
      </c>
      <c r="Z1093" t="str">
        <f>IFERROR(INDEX(Customers!$J:$J,MATCH(C1093,Customers!$A:$A,0)),"Unknown")</f>
        <v>Silver</v>
      </c>
      <c r="AA1093" t="str">
        <f t="shared" si="17"/>
        <v>2024-05</v>
      </c>
      <c r="AB1093" t="str">
        <f>IFERROR(INDEX(Products!$I:$I,MATCH(D1093,Products!$A:$A,0)),"Unknown")</f>
        <v>SUP001</v>
      </c>
    </row>
    <row r="1094" spans="1:28" x14ac:dyDescent="0.25">
      <c r="A1094" t="s">
        <v>2809</v>
      </c>
      <c r="B1094" s="20">
        <v>45650</v>
      </c>
      <c r="C1094" t="s">
        <v>2185</v>
      </c>
      <c r="D1094" t="s">
        <v>210</v>
      </c>
      <c r="E1094" t="s">
        <v>671</v>
      </c>
      <c r="F1094" t="s">
        <v>211</v>
      </c>
      <c r="G1094">
        <v>4</v>
      </c>
      <c r="H1094" s="21">
        <v>1805.16</v>
      </c>
      <c r="I1094">
        <v>0</v>
      </c>
      <c r="J1094" s="21">
        <v>0</v>
      </c>
      <c r="K1094">
        <v>12</v>
      </c>
      <c r="L1094" s="21">
        <v>866.48</v>
      </c>
      <c r="M1094" s="21">
        <v>8087.12</v>
      </c>
      <c r="N1094" s="21">
        <v>5599.4</v>
      </c>
      <c r="O1094" s="21">
        <v>1621.24</v>
      </c>
      <c r="P1094" t="s">
        <v>123</v>
      </c>
      <c r="Q1094" t="s">
        <v>120</v>
      </c>
      <c r="R1094" t="s">
        <v>151</v>
      </c>
      <c r="S1094" t="s">
        <v>1835</v>
      </c>
      <c r="T1094" t="s">
        <v>153</v>
      </c>
      <c r="U1094" t="s">
        <v>154</v>
      </c>
      <c r="V1094" t="str">
        <f>IFERROR(INDEX(Products!$C:$C,MATCH(D1094,Products!$A:$A,0)),"Unknown")</f>
        <v>Women Dresses</v>
      </c>
      <c r="W1094" t="str">
        <f>IFERROR(INDEX(Products!$E:$E,MATCH(D1094,Products!$A:$A,0)),"Unknown")</f>
        <v>Nike</v>
      </c>
      <c r="X1094" t="str">
        <f>IFERROR(INDEX(Stores!$B:$B,MATCH(E1094,Stores!$A:$A,0)),"Unknown")</f>
        <v>TrendMart Hyderabad Mall Kiosk</v>
      </c>
      <c r="Y1094" t="str">
        <f>IFERROR(INDEX(Stores!$E:$E,MATCH(E1094,Stores!$A:$A,0)),"Unknown")</f>
        <v>South Zone 2</v>
      </c>
      <c r="Z1094" t="str">
        <f>IFERROR(INDEX(Customers!$J:$J,MATCH(C1094,Customers!$A:$A,0)),"Unknown")</f>
        <v>Gold</v>
      </c>
      <c r="AA1094" t="str">
        <f t="shared" si="17"/>
        <v>2024-12</v>
      </c>
      <c r="AB1094" t="str">
        <f>IFERROR(INDEX(Products!$I:$I,MATCH(D1094,Products!$A:$A,0)),"Unknown")</f>
        <v>SUP073</v>
      </c>
    </row>
    <row r="1095" spans="1:28" x14ac:dyDescent="0.25">
      <c r="A1095" t="s">
        <v>2810</v>
      </c>
      <c r="B1095" s="20">
        <v>45621</v>
      </c>
      <c r="C1095" t="s">
        <v>1473</v>
      </c>
      <c r="D1095" t="s">
        <v>401</v>
      </c>
      <c r="E1095" t="s">
        <v>252</v>
      </c>
      <c r="F1095" t="s">
        <v>286</v>
      </c>
      <c r="G1095">
        <v>1</v>
      </c>
      <c r="H1095" s="21">
        <v>1202.6600000000001</v>
      </c>
      <c r="I1095">
        <v>30</v>
      </c>
      <c r="J1095" s="21">
        <v>360.8</v>
      </c>
      <c r="K1095">
        <v>12</v>
      </c>
      <c r="L1095" s="21">
        <v>101.02</v>
      </c>
      <c r="M1095" s="21">
        <v>942.88</v>
      </c>
      <c r="N1095" s="21">
        <v>767.83</v>
      </c>
      <c r="O1095" s="21">
        <v>74.03</v>
      </c>
      <c r="P1095" t="s">
        <v>125</v>
      </c>
      <c r="Q1095" t="s">
        <v>122</v>
      </c>
      <c r="R1095" t="s">
        <v>151</v>
      </c>
      <c r="S1095" t="s">
        <v>1525</v>
      </c>
      <c r="T1095" t="s">
        <v>153</v>
      </c>
      <c r="U1095" t="s">
        <v>154</v>
      </c>
      <c r="V1095" t="str">
        <f>IFERROR(INDEX(Products!$C:$C,MATCH(D1095,Products!$A:$A,0)),"Unknown")</f>
        <v>Women Jeans</v>
      </c>
      <c r="W1095" t="str">
        <f>IFERROR(INDEX(Products!$E:$E,MATCH(D1095,Products!$A:$A,0)),"Unknown")</f>
        <v>Being Human</v>
      </c>
      <c r="X1095" t="str">
        <f>IFERROR(INDEX(Stores!$B:$B,MATCH(E1095,Stores!$A:$A,0)),"Unknown")</f>
        <v>TrendMart Nellore Standard</v>
      </c>
      <c r="Y1095" t="str">
        <f>IFERROR(INDEX(Stores!$E:$E,MATCH(E1095,Stores!$A:$A,0)),"Unknown")</f>
        <v>South Zone 3</v>
      </c>
      <c r="Z1095" t="str">
        <f>IFERROR(INDEX(Customers!$J:$J,MATCH(C1095,Customers!$A:$A,0)),"Unknown")</f>
        <v>Regular</v>
      </c>
      <c r="AA1095" t="str">
        <f t="shared" si="17"/>
        <v>2024-11</v>
      </c>
      <c r="AB1095" t="str">
        <f>IFERROR(INDEX(Products!$I:$I,MATCH(D1095,Products!$A:$A,0)),"Unknown")</f>
        <v>SUP013</v>
      </c>
    </row>
    <row r="1096" spans="1:28" x14ac:dyDescent="0.25">
      <c r="A1096" t="s">
        <v>2811</v>
      </c>
      <c r="B1096" s="20">
        <v>45627</v>
      </c>
      <c r="C1096" t="s">
        <v>2812</v>
      </c>
      <c r="D1096" t="s">
        <v>1204</v>
      </c>
      <c r="E1096" t="s">
        <v>363</v>
      </c>
      <c r="F1096" t="s">
        <v>618</v>
      </c>
      <c r="G1096">
        <v>3</v>
      </c>
      <c r="H1096" s="21">
        <v>807.97</v>
      </c>
      <c r="I1096">
        <v>10</v>
      </c>
      <c r="J1096" s="21">
        <v>242.39</v>
      </c>
      <c r="K1096">
        <v>5</v>
      </c>
      <c r="L1096" s="21">
        <v>109.08</v>
      </c>
      <c r="M1096" s="21">
        <v>2290.6</v>
      </c>
      <c r="N1096" s="21">
        <v>1243.5</v>
      </c>
      <c r="O1096" s="21">
        <v>938.02</v>
      </c>
      <c r="P1096" t="s">
        <v>125</v>
      </c>
      <c r="Q1096" t="s">
        <v>120</v>
      </c>
      <c r="R1096" t="s">
        <v>151</v>
      </c>
      <c r="S1096" t="s">
        <v>2332</v>
      </c>
      <c r="T1096" t="s">
        <v>161</v>
      </c>
      <c r="U1096" t="s">
        <v>154</v>
      </c>
      <c r="V1096" t="str">
        <f>IFERROR(INDEX(Products!$C:$C,MATCH(D1096,Products!$A:$A,0)),"Unknown")</f>
        <v>Accessories</v>
      </c>
      <c r="W1096" t="str">
        <f>IFERROR(INDEX(Products!$E:$E,MATCH(D1096,Products!$A:$A,0)),"Unknown")</f>
        <v>Pepe Jeans</v>
      </c>
      <c r="X1096" t="str">
        <f>IFERROR(INDEX(Stores!$B:$B,MATCH(E1096,Stores!$A:$A,0)),"Unknown")</f>
        <v>TrendMart Thiruvananthapuram High Street</v>
      </c>
      <c r="Y1096" t="str">
        <f>IFERROR(INDEX(Stores!$E:$E,MATCH(E1096,Stores!$A:$A,0)),"Unknown")</f>
        <v>South Zone 1</v>
      </c>
      <c r="Z1096" t="str">
        <f>IFERROR(INDEX(Customers!$J:$J,MATCH(C1096,Customers!$A:$A,0)),"Unknown")</f>
        <v>Gold</v>
      </c>
      <c r="AA1096" t="str">
        <f t="shared" si="17"/>
        <v>2024-12</v>
      </c>
      <c r="AB1096" t="str">
        <f>IFERROR(INDEX(Products!$I:$I,MATCH(D1096,Products!$A:$A,0)),"Unknown")</f>
        <v>SUP008</v>
      </c>
    </row>
    <row r="1097" spans="1:28" x14ac:dyDescent="0.25">
      <c r="A1097" t="s">
        <v>2813</v>
      </c>
      <c r="B1097" s="20">
        <v>45576</v>
      </c>
      <c r="C1097" t="s">
        <v>1035</v>
      </c>
      <c r="D1097" t="s">
        <v>1590</v>
      </c>
      <c r="E1097" t="s">
        <v>798</v>
      </c>
      <c r="F1097" t="s">
        <v>275</v>
      </c>
      <c r="G1097">
        <v>1</v>
      </c>
      <c r="H1097" s="21">
        <v>475.31</v>
      </c>
      <c r="I1097">
        <v>25</v>
      </c>
      <c r="J1097" s="21">
        <v>118.83</v>
      </c>
      <c r="K1097">
        <v>5</v>
      </c>
      <c r="L1097" s="21">
        <v>17.82</v>
      </c>
      <c r="M1097" s="21">
        <v>374.3</v>
      </c>
      <c r="N1097" s="21">
        <v>337.09</v>
      </c>
      <c r="O1097" s="21">
        <v>19.39</v>
      </c>
      <c r="P1097" t="s">
        <v>121</v>
      </c>
      <c r="Q1097" t="s">
        <v>122</v>
      </c>
      <c r="R1097" t="s">
        <v>151</v>
      </c>
      <c r="S1097" t="s">
        <v>1289</v>
      </c>
      <c r="T1097" t="s">
        <v>153</v>
      </c>
      <c r="U1097" t="s">
        <v>154</v>
      </c>
      <c r="V1097" t="str">
        <f>IFERROR(INDEX(Products!$C:$C,MATCH(D1097,Products!$A:$A,0)),"Unknown")</f>
        <v>Kids Wear</v>
      </c>
      <c r="W1097" t="str">
        <f>IFERROR(INDEX(Products!$E:$E,MATCH(D1097,Products!$A:$A,0)),"Unknown")</f>
        <v>Peter England</v>
      </c>
      <c r="X1097" t="str">
        <f>IFERROR(INDEX(Stores!$B:$B,MATCH(E1097,Stores!$A:$A,0)),"Unknown")</f>
        <v>TrendMart Guntur Standard</v>
      </c>
      <c r="Y1097" t="str">
        <f>IFERROR(INDEX(Stores!$E:$E,MATCH(E1097,Stores!$A:$A,0)),"Unknown")</f>
        <v>South Zone 3</v>
      </c>
      <c r="Z1097" t="str">
        <f>IFERROR(INDEX(Customers!$J:$J,MATCH(C1097,Customers!$A:$A,0)),"Unknown")</f>
        <v>Regular</v>
      </c>
      <c r="AA1097" t="str">
        <f t="shared" si="17"/>
        <v>2024-10</v>
      </c>
      <c r="AB1097" t="str">
        <f>IFERROR(INDEX(Products!$I:$I,MATCH(D1097,Products!$A:$A,0)),"Unknown")</f>
        <v>SUP065</v>
      </c>
    </row>
    <row r="1098" spans="1:28" x14ac:dyDescent="0.25">
      <c r="A1098" t="s">
        <v>2814</v>
      </c>
      <c r="B1098" s="20">
        <v>45399</v>
      </c>
      <c r="C1098" t="s">
        <v>2608</v>
      </c>
      <c r="D1098" t="s">
        <v>359</v>
      </c>
      <c r="E1098" t="s">
        <v>89</v>
      </c>
      <c r="F1098" t="s">
        <v>176</v>
      </c>
      <c r="G1098">
        <v>2</v>
      </c>
      <c r="H1098" s="21">
        <v>2504.7199999999998</v>
      </c>
      <c r="I1098">
        <v>0</v>
      </c>
      <c r="J1098" s="21">
        <v>0</v>
      </c>
      <c r="K1098">
        <v>12</v>
      </c>
      <c r="L1098" s="21">
        <v>601.13</v>
      </c>
      <c r="M1098" s="21">
        <v>5610.57</v>
      </c>
      <c r="N1098" s="21">
        <v>3608.74</v>
      </c>
      <c r="O1098" s="21">
        <v>1400.7</v>
      </c>
      <c r="P1098" t="s">
        <v>123</v>
      </c>
      <c r="Q1098" t="s">
        <v>120</v>
      </c>
      <c r="R1098" t="s">
        <v>151</v>
      </c>
      <c r="S1098" t="s">
        <v>2054</v>
      </c>
      <c r="T1098" t="s">
        <v>153</v>
      </c>
      <c r="U1098" t="s">
        <v>154</v>
      </c>
      <c r="V1098" t="str">
        <f>IFERROR(INDEX(Products!$C:$C,MATCH(D1098,Products!$A:$A,0)),"Unknown")</f>
        <v>Men Ethnic</v>
      </c>
      <c r="W1098" t="str">
        <f>IFERROR(INDEX(Products!$E:$E,MATCH(D1098,Products!$A:$A,0)),"Unknown")</f>
        <v>US Polo Assn</v>
      </c>
      <c r="X1098" t="str">
        <f>IFERROR(INDEX(Stores!$B:$B,MATCH(E1098,Stores!$A:$A,0)),"Unknown")</f>
        <v>TrendMart Kochi Standard</v>
      </c>
      <c r="Y1098" t="str">
        <f>IFERROR(INDEX(Stores!$E:$E,MATCH(E1098,Stores!$A:$A,0)),"Unknown")</f>
        <v>South Zone 1</v>
      </c>
      <c r="Z1098" t="str">
        <f>IFERROR(INDEX(Customers!$J:$J,MATCH(C1098,Customers!$A:$A,0)),"Unknown")</f>
        <v>Gold</v>
      </c>
      <c r="AA1098" t="str">
        <f t="shared" si="17"/>
        <v>2024-04</v>
      </c>
      <c r="AB1098" t="str">
        <f>IFERROR(INDEX(Products!$I:$I,MATCH(D1098,Products!$A:$A,0)),"Unknown")</f>
        <v>SUP036</v>
      </c>
    </row>
    <row r="1099" spans="1:28" x14ac:dyDescent="0.25">
      <c r="A1099" t="s">
        <v>2815</v>
      </c>
      <c r="B1099" s="20">
        <v>45598</v>
      </c>
      <c r="C1099" t="s">
        <v>747</v>
      </c>
      <c r="D1099" t="s">
        <v>697</v>
      </c>
      <c r="E1099" t="s">
        <v>216</v>
      </c>
      <c r="F1099" t="s">
        <v>397</v>
      </c>
      <c r="G1099">
        <v>3</v>
      </c>
      <c r="H1099" s="21">
        <v>1152.8</v>
      </c>
      <c r="I1099">
        <v>0</v>
      </c>
      <c r="J1099" s="21">
        <v>0</v>
      </c>
      <c r="K1099">
        <v>12</v>
      </c>
      <c r="L1099" s="21">
        <v>415.01</v>
      </c>
      <c r="M1099" s="21">
        <v>3873.41</v>
      </c>
      <c r="N1099" s="21">
        <v>2099.52</v>
      </c>
      <c r="O1099" s="21">
        <v>1358.88</v>
      </c>
      <c r="P1099" t="s">
        <v>125</v>
      </c>
      <c r="Q1099" t="s">
        <v>122</v>
      </c>
      <c r="R1099" t="s">
        <v>151</v>
      </c>
      <c r="S1099" t="s">
        <v>757</v>
      </c>
      <c r="T1099" t="s">
        <v>161</v>
      </c>
      <c r="U1099" t="s">
        <v>154</v>
      </c>
      <c r="V1099" t="str">
        <f>IFERROR(INDEX(Products!$C:$C,MATCH(D1099,Products!$A:$A,0)),"Unknown")</f>
        <v>Women Tops</v>
      </c>
      <c r="W1099" t="str">
        <f>IFERROR(INDEX(Products!$E:$E,MATCH(D1099,Products!$A:$A,0)),"Unknown")</f>
        <v>Nalli Silks</v>
      </c>
      <c r="X1099" t="str">
        <f>IFERROR(INDEX(Stores!$B:$B,MATCH(E1099,Stores!$A:$A,0)),"Unknown")</f>
        <v>TrendMart Madurai Mall Kiosk</v>
      </c>
      <c r="Y1099" t="str">
        <f>IFERROR(INDEX(Stores!$E:$E,MATCH(E1099,Stores!$A:$A,0)),"Unknown")</f>
        <v>South Zone 1</v>
      </c>
      <c r="Z1099" t="str">
        <f>IFERROR(INDEX(Customers!$J:$J,MATCH(C1099,Customers!$A:$A,0)),"Unknown")</f>
        <v>Gold</v>
      </c>
      <c r="AA1099" t="str">
        <f t="shared" si="17"/>
        <v>2024-11</v>
      </c>
      <c r="AB1099" t="str">
        <f>IFERROR(INDEX(Products!$I:$I,MATCH(D1099,Products!$A:$A,0)),"Unknown")</f>
        <v>SUP008</v>
      </c>
    </row>
    <row r="1100" spans="1:28" x14ac:dyDescent="0.25">
      <c r="A1100" t="s">
        <v>2816</v>
      </c>
      <c r="B1100" s="20">
        <v>45587</v>
      </c>
      <c r="C1100" t="s">
        <v>450</v>
      </c>
      <c r="D1100" t="s">
        <v>367</v>
      </c>
      <c r="E1100" t="s">
        <v>96</v>
      </c>
      <c r="F1100" t="s">
        <v>596</v>
      </c>
      <c r="G1100">
        <v>2</v>
      </c>
      <c r="H1100" s="21">
        <v>730.03</v>
      </c>
      <c r="I1100">
        <v>30</v>
      </c>
      <c r="J1100" s="21">
        <v>438.02</v>
      </c>
      <c r="K1100">
        <v>3</v>
      </c>
      <c r="L1100" s="21">
        <v>30.66</v>
      </c>
      <c r="M1100" s="21">
        <v>1052.7</v>
      </c>
      <c r="N1100" s="21">
        <v>1113.98</v>
      </c>
      <c r="O1100" s="21">
        <v>-91.94</v>
      </c>
      <c r="P1100" t="s">
        <v>123</v>
      </c>
      <c r="Q1100" t="s">
        <v>122</v>
      </c>
      <c r="R1100" t="s">
        <v>151</v>
      </c>
      <c r="S1100" t="s">
        <v>1381</v>
      </c>
      <c r="T1100" t="s">
        <v>153</v>
      </c>
      <c r="U1100" t="s">
        <v>184</v>
      </c>
      <c r="V1100" t="str">
        <f>IFERROR(INDEX(Products!$C:$C,MATCH(D1100,Products!$A:$A,0)),"Unknown")</f>
        <v>Jewellery</v>
      </c>
      <c r="W1100" t="str">
        <f>IFERROR(INDEX(Products!$E:$E,MATCH(D1100,Products!$A:$A,0)),"Unknown")</f>
        <v>Aurelia</v>
      </c>
      <c r="X1100" t="str">
        <f>IFERROR(INDEX(Stores!$B:$B,MATCH(E1100,Stores!$A:$A,0)),"Unknown")</f>
        <v>TrendMart Shivamogga Outlet</v>
      </c>
      <c r="Y1100" t="str">
        <f>IFERROR(INDEX(Stores!$E:$E,MATCH(E1100,Stores!$A:$A,0)),"Unknown")</f>
        <v>South Zone 2</v>
      </c>
      <c r="Z1100" t="str">
        <f>IFERROR(INDEX(Customers!$J:$J,MATCH(C1100,Customers!$A:$A,0)),"Unknown")</f>
        <v>Platinum</v>
      </c>
      <c r="AA1100" t="str">
        <f t="shared" si="17"/>
        <v>2024-10</v>
      </c>
      <c r="AB1100" t="str">
        <f>IFERROR(INDEX(Products!$I:$I,MATCH(D1100,Products!$A:$A,0)),"Unknown")</f>
        <v>SUP067</v>
      </c>
    </row>
    <row r="1101" spans="1:28" x14ac:dyDescent="0.25">
      <c r="A1101" t="s">
        <v>2817</v>
      </c>
      <c r="B1101" s="20">
        <v>45542</v>
      </c>
      <c r="C1101" t="s">
        <v>2818</v>
      </c>
      <c r="D1101" t="s">
        <v>697</v>
      </c>
      <c r="E1101" t="s">
        <v>578</v>
      </c>
      <c r="F1101" t="s">
        <v>165</v>
      </c>
      <c r="G1101">
        <v>1</v>
      </c>
      <c r="H1101" s="21">
        <v>1030.1500000000001</v>
      </c>
      <c r="I1101">
        <v>10</v>
      </c>
      <c r="J1101" s="21">
        <v>103.02</v>
      </c>
      <c r="K1101">
        <v>12</v>
      </c>
      <c r="L1101" s="21">
        <v>111.26</v>
      </c>
      <c r="M1101" s="21">
        <v>1038.3900000000001</v>
      </c>
      <c r="N1101" s="21">
        <v>699.84</v>
      </c>
      <c r="O1101" s="21">
        <v>227.29</v>
      </c>
      <c r="P1101" t="s">
        <v>126</v>
      </c>
      <c r="Q1101" t="s">
        <v>122</v>
      </c>
      <c r="R1101" t="s">
        <v>151</v>
      </c>
      <c r="S1101" t="s">
        <v>1730</v>
      </c>
      <c r="T1101" t="s">
        <v>161</v>
      </c>
      <c r="U1101" t="s">
        <v>154</v>
      </c>
      <c r="V1101" t="str">
        <f>IFERROR(INDEX(Products!$C:$C,MATCH(D1101,Products!$A:$A,0)),"Unknown")</f>
        <v>Women Tops</v>
      </c>
      <c r="W1101" t="str">
        <f>IFERROR(INDEX(Products!$E:$E,MATCH(D1101,Products!$A:$A,0)),"Unknown")</f>
        <v>Nalli Silks</v>
      </c>
      <c r="X1101" t="str">
        <f>IFERROR(INDEX(Stores!$B:$B,MATCH(E1101,Stores!$A:$A,0)),"Unknown")</f>
        <v>TrendMart Vellore Standard</v>
      </c>
      <c r="Y1101" t="str">
        <f>IFERROR(INDEX(Stores!$E:$E,MATCH(E1101,Stores!$A:$A,0)),"Unknown")</f>
        <v>South Zone 1</v>
      </c>
      <c r="Z1101" t="str">
        <f>IFERROR(INDEX(Customers!$J:$J,MATCH(C1101,Customers!$A:$A,0)),"Unknown")</f>
        <v>Gold</v>
      </c>
      <c r="AA1101" t="str">
        <f t="shared" si="17"/>
        <v>2024-09</v>
      </c>
      <c r="AB1101" t="str">
        <f>IFERROR(INDEX(Products!$I:$I,MATCH(D1101,Products!$A:$A,0)),"Unknown")</f>
        <v>SUP008</v>
      </c>
    </row>
    <row r="1102" spans="1:28" x14ac:dyDescent="0.25">
      <c r="A1102" t="s">
        <v>2819</v>
      </c>
      <c r="B1102" s="20">
        <v>45645</v>
      </c>
      <c r="C1102" t="s">
        <v>2820</v>
      </c>
      <c r="D1102" t="s">
        <v>1504</v>
      </c>
      <c r="E1102" t="s">
        <v>1163</v>
      </c>
      <c r="F1102" t="s">
        <v>408</v>
      </c>
      <c r="G1102">
        <v>2</v>
      </c>
      <c r="H1102" s="21">
        <v>1595.02</v>
      </c>
      <c r="I1102">
        <v>20</v>
      </c>
      <c r="J1102" s="21">
        <v>638.01</v>
      </c>
      <c r="K1102">
        <v>12</v>
      </c>
      <c r="L1102" s="21">
        <v>306.24</v>
      </c>
      <c r="M1102" s="21">
        <v>2858.27</v>
      </c>
      <c r="N1102" s="21">
        <v>2289.1799999999998</v>
      </c>
      <c r="O1102" s="21">
        <v>262.85000000000002</v>
      </c>
      <c r="P1102" t="s">
        <v>121</v>
      </c>
      <c r="Q1102" t="s">
        <v>120</v>
      </c>
      <c r="R1102" t="s">
        <v>151</v>
      </c>
      <c r="S1102" t="s">
        <v>708</v>
      </c>
      <c r="T1102" t="s">
        <v>153</v>
      </c>
      <c r="U1102" t="s">
        <v>154</v>
      </c>
      <c r="V1102" t="str">
        <f>IFERROR(INDEX(Products!$C:$C,MATCH(D1102,Products!$A:$A,0)),"Unknown")</f>
        <v>Women Dresses</v>
      </c>
      <c r="W1102" t="str">
        <f>IFERROR(INDEX(Products!$E:$E,MATCH(D1102,Products!$A:$A,0)),"Unknown")</f>
        <v>Westside</v>
      </c>
      <c r="X1102" t="str">
        <f>IFERROR(INDEX(Stores!$B:$B,MATCH(E1102,Stores!$A:$A,0)),"Unknown")</f>
        <v>TrendMart Alappuzha Outlet</v>
      </c>
      <c r="Y1102" t="str">
        <f>IFERROR(INDEX(Stores!$E:$E,MATCH(E1102,Stores!$A:$A,0)),"Unknown")</f>
        <v>South Zone 1</v>
      </c>
      <c r="Z1102" t="str">
        <f>IFERROR(INDEX(Customers!$J:$J,MATCH(C1102,Customers!$A:$A,0)),"Unknown")</f>
        <v>Regular</v>
      </c>
      <c r="AA1102" t="str">
        <f t="shared" si="17"/>
        <v>2024-12</v>
      </c>
      <c r="AB1102" t="str">
        <f>IFERROR(INDEX(Products!$I:$I,MATCH(D1102,Products!$A:$A,0)),"Unknown")</f>
        <v>SUP010</v>
      </c>
    </row>
    <row r="1103" spans="1:28" x14ac:dyDescent="0.25">
      <c r="A1103" t="s">
        <v>2821</v>
      </c>
      <c r="B1103" s="20">
        <v>45495</v>
      </c>
      <c r="C1103" t="s">
        <v>2110</v>
      </c>
      <c r="D1103" t="s">
        <v>395</v>
      </c>
      <c r="E1103" t="s">
        <v>999</v>
      </c>
      <c r="F1103" t="s">
        <v>237</v>
      </c>
      <c r="G1103">
        <v>3</v>
      </c>
      <c r="H1103" s="21">
        <v>486.13</v>
      </c>
      <c r="I1103">
        <v>5</v>
      </c>
      <c r="J1103" s="21">
        <v>72.92</v>
      </c>
      <c r="K1103">
        <v>5</v>
      </c>
      <c r="L1103" s="21">
        <v>69.27</v>
      </c>
      <c r="M1103" s="21">
        <v>1454.74</v>
      </c>
      <c r="N1103" s="21">
        <v>885</v>
      </c>
      <c r="O1103" s="21">
        <v>500.47</v>
      </c>
      <c r="P1103" t="s">
        <v>125</v>
      </c>
      <c r="Q1103" t="s">
        <v>122</v>
      </c>
      <c r="R1103" t="s">
        <v>151</v>
      </c>
      <c r="S1103" t="s">
        <v>789</v>
      </c>
      <c r="T1103" t="s">
        <v>153</v>
      </c>
      <c r="U1103" t="s">
        <v>154</v>
      </c>
      <c r="V1103" t="str">
        <f>IFERROR(INDEX(Products!$C:$C,MATCH(D1103,Products!$A:$A,0)),"Unknown")</f>
        <v>Men T-Shirts</v>
      </c>
      <c r="W1103" t="str">
        <f>IFERROR(INDEX(Products!$E:$E,MATCH(D1103,Products!$A:$A,0)),"Unknown")</f>
        <v>Nalli Silks</v>
      </c>
      <c r="X1103" t="str">
        <f>IFERROR(INDEX(Stores!$B:$B,MATCH(E1103,Stores!$A:$A,0)),"Unknown")</f>
        <v>TrendMart Tumakuru Standard</v>
      </c>
      <c r="Y1103" t="str">
        <f>IFERROR(INDEX(Stores!$E:$E,MATCH(E1103,Stores!$A:$A,0)),"Unknown")</f>
        <v>South Zone 2</v>
      </c>
      <c r="Z1103" t="str">
        <f>IFERROR(INDEX(Customers!$J:$J,MATCH(C1103,Customers!$A:$A,0)),"Unknown")</f>
        <v>Regular</v>
      </c>
      <c r="AA1103" t="str">
        <f t="shared" si="17"/>
        <v>2024-07</v>
      </c>
      <c r="AB1103" t="str">
        <f>IFERROR(INDEX(Products!$I:$I,MATCH(D1103,Products!$A:$A,0)),"Unknown")</f>
        <v>SUP049</v>
      </c>
    </row>
    <row r="1104" spans="1:28" x14ac:dyDescent="0.25">
      <c r="A1104" t="s">
        <v>2822</v>
      </c>
      <c r="B1104" s="20">
        <v>45598</v>
      </c>
      <c r="C1104" t="s">
        <v>1496</v>
      </c>
      <c r="D1104" t="s">
        <v>246</v>
      </c>
      <c r="E1104" t="s">
        <v>999</v>
      </c>
      <c r="F1104" t="s">
        <v>269</v>
      </c>
      <c r="G1104">
        <v>3</v>
      </c>
      <c r="H1104" s="21">
        <v>1421.51</v>
      </c>
      <c r="I1104">
        <v>0</v>
      </c>
      <c r="J1104" s="21">
        <v>0</v>
      </c>
      <c r="K1104">
        <v>12</v>
      </c>
      <c r="L1104" s="21">
        <v>511.74</v>
      </c>
      <c r="M1104" s="21">
        <v>4776.2700000000004</v>
      </c>
      <c r="N1104" s="21">
        <v>2596.44</v>
      </c>
      <c r="O1104" s="21">
        <v>1668.09</v>
      </c>
      <c r="P1104" t="s">
        <v>121</v>
      </c>
      <c r="Q1104" t="s">
        <v>120</v>
      </c>
      <c r="R1104" t="s">
        <v>151</v>
      </c>
      <c r="S1104" t="s">
        <v>893</v>
      </c>
      <c r="T1104" t="s">
        <v>161</v>
      </c>
      <c r="U1104" t="s">
        <v>154</v>
      </c>
      <c r="V1104" t="str">
        <f>IFERROR(INDEX(Products!$C:$C,MATCH(D1104,Products!$A:$A,0)),"Unknown")</f>
        <v>Women Dresses</v>
      </c>
      <c r="W1104" t="str">
        <f>IFERROR(INDEX(Products!$E:$E,MATCH(D1104,Products!$A:$A,0)),"Unknown")</f>
        <v>Tanishq</v>
      </c>
      <c r="X1104" t="str">
        <f>IFERROR(INDEX(Stores!$B:$B,MATCH(E1104,Stores!$A:$A,0)),"Unknown")</f>
        <v>TrendMart Tumakuru Standard</v>
      </c>
      <c r="Y1104" t="str">
        <f>IFERROR(INDEX(Stores!$E:$E,MATCH(E1104,Stores!$A:$A,0)),"Unknown")</f>
        <v>South Zone 2</v>
      </c>
      <c r="Z1104" t="str">
        <f>IFERROR(INDEX(Customers!$J:$J,MATCH(C1104,Customers!$A:$A,0)),"Unknown")</f>
        <v>Gold</v>
      </c>
      <c r="AA1104" t="str">
        <f t="shared" si="17"/>
        <v>2024-11</v>
      </c>
      <c r="AB1104" t="str">
        <f>IFERROR(INDEX(Products!$I:$I,MATCH(D1104,Products!$A:$A,0)),"Unknown")</f>
        <v>SUP002</v>
      </c>
    </row>
    <row r="1105" spans="1:28" x14ac:dyDescent="0.25">
      <c r="A1105" t="s">
        <v>2823</v>
      </c>
      <c r="B1105" s="20">
        <v>45453</v>
      </c>
      <c r="C1105" t="s">
        <v>1624</v>
      </c>
      <c r="D1105" t="s">
        <v>792</v>
      </c>
      <c r="E1105" t="s">
        <v>241</v>
      </c>
      <c r="F1105" t="s">
        <v>434</v>
      </c>
      <c r="G1105">
        <v>2</v>
      </c>
      <c r="H1105" s="21">
        <v>1113.17</v>
      </c>
      <c r="I1105">
        <v>10</v>
      </c>
      <c r="J1105" s="21">
        <v>222.63</v>
      </c>
      <c r="K1105">
        <v>12</v>
      </c>
      <c r="L1105" s="21">
        <v>240.45</v>
      </c>
      <c r="M1105" s="21">
        <v>2244.16</v>
      </c>
      <c r="N1105" s="21">
        <v>1474.7</v>
      </c>
      <c r="O1105" s="21">
        <v>529.01</v>
      </c>
      <c r="P1105" t="s">
        <v>124</v>
      </c>
      <c r="Q1105" t="s">
        <v>122</v>
      </c>
      <c r="R1105" t="s">
        <v>151</v>
      </c>
      <c r="S1105" t="s">
        <v>2824</v>
      </c>
      <c r="T1105" t="s">
        <v>153</v>
      </c>
      <c r="U1105" t="s">
        <v>154</v>
      </c>
      <c r="V1105" t="str">
        <f>IFERROR(INDEX(Products!$C:$C,MATCH(D1105,Products!$A:$A,0)),"Unknown")</f>
        <v>Belts</v>
      </c>
      <c r="W1105" t="str">
        <f>IFERROR(INDEX(Products!$E:$E,MATCH(D1105,Products!$A:$A,0)),"Unknown")</f>
        <v>Wrangler</v>
      </c>
      <c r="X1105" t="str">
        <f>IFERROR(INDEX(Stores!$B:$B,MATCH(E1105,Stores!$A:$A,0)),"Unknown")</f>
        <v>TrendMart Nizamabad Mall Kiosk</v>
      </c>
      <c r="Y1105" t="str">
        <f>IFERROR(INDEX(Stores!$E:$E,MATCH(E1105,Stores!$A:$A,0)),"Unknown")</f>
        <v>South Zone 2</v>
      </c>
      <c r="Z1105" t="str">
        <f>IFERROR(INDEX(Customers!$J:$J,MATCH(C1105,Customers!$A:$A,0)),"Unknown")</f>
        <v>Silver</v>
      </c>
      <c r="AA1105" t="str">
        <f t="shared" si="17"/>
        <v>2024-06</v>
      </c>
      <c r="AB1105" t="str">
        <f>IFERROR(INDEX(Products!$I:$I,MATCH(D1105,Products!$A:$A,0)),"Unknown")</f>
        <v>SUP004</v>
      </c>
    </row>
    <row r="1106" spans="1:28" x14ac:dyDescent="0.25">
      <c r="A1106" t="s">
        <v>2825</v>
      </c>
      <c r="B1106" s="20">
        <v>45452</v>
      </c>
      <c r="C1106" t="s">
        <v>2826</v>
      </c>
      <c r="D1106" t="s">
        <v>1036</v>
      </c>
      <c r="E1106" t="s">
        <v>194</v>
      </c>
      <c r="F1106" t="s">
        <v>237</v>
      </c>
      <c r="G1106">
        <v>3</v>
      </c>
      <c r="H1106" s="21">
        <v>932.21</v>
      </c>
      <c r="I1106">
        <v>30</v>
      </c>
      <c r="J1106" s="21">
        <v>838.99</v>
      </c>
      <c r="K1106">
        <v>5</v>
      </c>
      <c r="L1106" s="21">
        <v>97.88</v>
      </c>
      <c r="M1106" s="21">
        <v>2055.52</v>
      </c>
      <c r="N1106" s="21">
        <v>1770.06</v>
      </c>
      <c r="O1106" s="21">
        <v>187.58</v>
      </c>
      <c r="P1106" t="s">
        <v>125</v>
      </c>
      <c r="Q1106" t="s">
        <v>122</v>
      </c>
      <c r="R1106" t="s">
        <v>151</v>
      </c>
      <c r="S1106" t="s">
        <v>345</v>
      </c>
      <c r="T1106" t="s">
        <v>161</v>
      </c>
      <c r="U1106" t="s">
        <v>154</v>
      </c>
      <c r="V1106" t="str">
        <f>IFERROR(INDEX(Products!$C:$C,MATCH(D1106,Products!$A:$A,0)),"Unknown")</f>
        <v>Belts</v>
      </c>
      <c r="W1106" t="str">
        <f>IFERROR(INDEX(Products!$E:$E,MATCH(D1106,Products!$A:$A,0)),"Unknown")</f>
        <v>Skechers</v>
      </c>
      <c r="X1106" t="str">
        <f>IFERROR(INDEX(Stores!$B:$B,MATCH(E1106,Stores!$A:$A,0)),"Unknown")</f>
        <v>TrendMart Tirupati High Street</v>
      </c>
      <c r="Y1106" t="str">
        <f>IFERROR(INDEX(Stores!$E:$E,MATCH(E1106,Stores!$A:$A,0)),"Unknown")</f>
        <v>South Zone 3</v>
      </c>
      <c r="Z1106" t="str">
        <f>IFERROR(INDEX(Customers!$J:$J,MATCH(C1106,Customers!$A:$A,0)),"Unknown")</f>
        <v>Gold</v>
      </c>
      <c r="AA1106" t="str">
        <f t="shared" si="17"/>
        <v>2024-06</v>
      </c>
      <c r="AB1106" t="str">
        <f>IFERROR(INDEX(Products!$I:$I,MATCH(D1106,Products!$A:$A,0)),"Unknown")</f>
        <v>SUP085</v>
      </c>
    </row>
    <row r="1107" spans="1:28" x14ac:dyDescent="0.25">
      <c r="A1107" t="s">
        <v>2827</v>
      </c>
      <c r="B1107" s="20">
        <v>45589</v>
      </c>
      <c r="C1107" t="s">
        <v>1097</v>
      </c>
      <c r="D1107" t="s">
        <v>1101</v>
      </c>
      <c r="E1107" t="s">
        <v>81</v>
      </c>
      <c r="F1107" t="s">
        <v>170</v>
      </c>
      <c r="G1107">
        <v>1</v>
      </c>
      <c r="H1107" s="21">
        <v>792.06</v>
      </c>
      <c r="I1107">
        <v>30</v>
      </c>
      <c r="J1107" s="21">
        <v>237.62</v>
      </c>
      <c r="K1107">
        <v>5</v>
      </c>
      <c r="L1107" s="21">
        <v>27.72</v>
      </c>
      <c r="M1107" s="21">
        <v>582.16</v>
      </c>
      <c r="N1107" s="21">
        <v>565.45000000000005</v>
      </c>
      <c r="O1107" s="21">
        <v>-11.01</v>
      </c>
      <c r="P1107" t="s">
        <v>121</v>
      </c>
      <c r="Q1107" t="s">
        <v>120</v>
      </c>
      <c r="R1107" t="s">
        <v>151</v>
      </c>
      <c r="S1107" t="s">
        <v>1886</v>
      </c>
      <c r="T1107" t="s">
        <v>153</v>
      </c>
      <c r="U1107" t="s">
        <v>184</v>
      </c>
      <c r="V1107" t="str">
        <f>IFERROR(INDEX(Products!$C:$C,MATCH(D1107,Products!$A:$A,0)),"Unknown")</f>
        <v>Kids Wear</v>
      </c>
      <c r="W1107" t="str">
        <f>IFERROR(INDEX(Products!$E:$E,MATCH(D1107,Products!$A:$A,0)),"Unknown")</f>
        <v>Woodland</v>
      </c>
      <c r="X1107" t="str">
        <f>IFERROR(INDEX(Stores!$B:$B,MATCH(E1107,Stores!$A:$A,0)),"Unknown")</f>
        <v>TrendMart Vijayawada High Street</v>
      </c>
      <c r="Y1107" t="str">
        <f>IFERROR(INDEX(Stores!$E:$E,MATCH(E1107,Stores!$A:$A,0)),"Unknown")</f>
        <v>South Zone 3</v>
      </c>
      <c r="Z1107" t="str">
        <f>IFERROR(INDEX(Customers!$J:$J,MATCH(C1107,Customers!$A:$A,0)),"Unknown")</f>
        <v>Regular</v>
      </c>
      <c r="AA1107" t="str">
        <f t="shared" si="17"/>
        <v>2024-10</v>
      </c>
      <c r="AB1107" t="str">
        <f>IFERROR(INDEX(Products!$I:$I,MATCH(D1107,Products!$A:$A,0)),"Unknown")</f>
        <v>SUP010</v>
      </c>
    </row>
    <row r="1108" spans="1:28" x14ac:dyDescent="0.25">
      <c r="A1108" t="s">
        <v>2828</v>
      </c>
      <c r="B1108" s="20">
        <v>45596</v>
      </c>
      <c r="C1108" t="s">
        <v>2310</v>
      </c>
      <c r="D1108" t="s">
        <v>717</v>
      </c>
      <c r="E1108" t="s">
        <v>262</v>
      </c>
      <c r="F1108" t="s">
        <v>242</v>
      </c>
      <c r="G1108">
        <v>2</v>
      </c>
      <c r="H1108" s="21">
        <v>1645</v>
      </c>
      <c r="I1108">
        <v>10</v>
      </c>
      <c r="J1108" s="21">
        <v>329</v>
      </c>
      <c r="K1108">
        <v>12</v>
      </c>
      <c r="L1108" s="21">
        <v>355.32</v>
      </c>
      <c r="M1108" s="21">
        <v>3316.32</v>
      </c>
      <c r="N1108" s="21">
        <v>2266.54</v>
      </c>
      <c r="O1108" s="21">
        <v>694.46</v>
      </c>
      <c r="P1108" t="s">
        <v>121</v>
      </c>
      <c r="Q1108" t="s">
        <v>120</v>
      </c>
      <c r="R1108" t="s">
        <v>151</v>
      </c>
      <c r="S1108" t="s">
        <v>542</v>
      </c>
      <c r="T1108" t="s">
        <v>153</v>
      </c>
      <c r="U1108" t="s">
        <v>154</v>
      </c>
      <c r="V1108" t="str">
        <f>IFERROR(INDEX(Products!$C:$C,MATCH(D1108,Products!$A:$A,0)),"Unknown")</f>
        <v>Women Dresses</v>
      </c>
      <c r="W1108" t="str">
        <f>IFERROR(INDEX(Products!$E:$E,MATCH(D1108,Products!$A:$A,0)),"Unknown")</f>
        <v>Pantaloons</v>
      </c>
      <c r="X1108" t="str">
        <f>IFERROR(INDEX(Stores!$B:$B,MATCH(E1108,Stores!$A:$A,0)),"Unknown")</f>
        <v>TrendMart Thoothukudi Outlet</v>
      </c>
      <c r="Y1108" t="str">
        <f>IFERROR(INDEX(Stores!$E:$E,MATCH(E1108,Stores!$A:$A,0)),"Unknown")</f>
        <v>South Zone 1</v>
      </c>
      <c r="Z1108" t="str">
        <f>IFERROR(INDEX(Customers!$J:$J,MATCH(C1108,Customers!$A:$A,0)),"Unknown")</f>
        <v>Platinum</v>
      </c>
      <c r="AA1108" t="str">
        <f t="shared" si="17"/>
        <v>2024-10</v>
      </c>
      <c r="AB1108" t="str">
        <f>IFERROR(INDEX(Products!$I:$I,MATCH(D1108,Products!$A:$A,0)),"Unknown")</f>
        <v>SUP046</v>
      </c>
    </row>
    <row r="1109" spans="1:28" x14ac:dyDescent="0.25">
      <c r="A1109" t="s">
        <v>2829</v>
      </c>
      <c r="B1109" s="20">
        <v>45395</v>
      </c>
      <c r="C1109" t="s">
        <v>2830</v>
      </c>
      <c r="D1109" t="s">
        <v>149</v>
      </c>
      <c r="E1109" t="s">
        <v>1108</v>
      </c>
      <c r="F1109" t="s">
        <v>308</v>
      </c>
      <c r="G1109">
        <v>3</v>
      </c>
      <c r="H1109" s="21">
        <v>751.12</v>
      </c>
      <c r="I1109">
        <v>0</v>
      </c>
      <c r="J1109" s="21">
        <v>0</v>
      </c>
      <c r="K1109">
        <v>5</v>
      </c>
      <c r="L1109" s="21">
        <v>112.67</v>
      </c>
      <c r="M1109" s="21">
        <v>2366.0300000000002</v>
      </c>
      <c r="N1109" s="21">
        <v>1490.01</v>
      </c>
      <c r="O1109" s="21">
        <v>763.35</v>
      </c>
      <c r="P1109" t="s">
        <v>123</v>
      </c>
      <c r="Q1109" t="s">
        <v>122</v>
      </c>
      <c r="R1109" t="s">
        <v>151</v>
      </c>
      <c r="S1109" t="s">
        <v>217</v>
      </c>
      <c r="T1109" t="s">
        <v>161</v>
      </c>
      <c r="U1109" t="s">
        <v>154</v>
      </c>
      <c r="V1109" t="str">
        <f>IFERROR(INDEX(Products!$C:$C,MATCH(D1109,Products!$A:$A,0)),"Unknown")</f>
        <v>Women Kurtis</v>
      </c>
      <c r="W1109" t="str">
        <f>IFERROR(INDEX(Products!$E:$E,MATCH(D1109,Products!$A:$A,0)),"Unknown")</f>
        <v>Pepe Jeans</v>
      </c>
      <c r="X1109" t="str">
        <f>IFERROR(INDEX(Stores!$B:$B,MATCH(E1109,Stores!$A:$A,0)),"Unknown")</f>
        <v>TrendMart Karimnagar Standard</v>
      </c>
      <c r="Y1109" t="str">
        <f>IFERROR(INDEX(Stores!$E:$E,MATCH(E1109,Stores!$A:$A,0)),"Unknown")</f>
        <v>South Zone 2</v>
      </c>
      <c r="Z1109" t="str">
        <f>IFERROR(INDEX(Customers!$J:$J,MATCH(C1109,Customers!$A:$A,0)),"Unknown")</f>
        <v>Silver</v>
      </c>
      <c r="AA1109" t="str">
        <f t="shared" si="17"/>
        <v>2024-04</v>
      </c>
      <c r="AB1109" t="str">
        <f>IFERROR(INDEX(Products!$I:$I,MATCH(D1109,Products!$A:$A,0)),"Unknown")</f>
        <v>SUP049</v>
      </c>
    </row>
    <row r="1110" spans="1:28" x14ac:dyDescent="0.25">
      <c r="A1110" t="s">
        <v>2831</v>
      </c>
      <c r="B1110" s="20">
        <v>45632</v>
      </c>
      <c r="C1110" t="s">
        <v>1959</v>
      </c>
      <c r="D1110" t="s">
        <v>2064</v>
      </c>
      <c r="E1110" t="s">
        <v>318</v>
      </c>
      <c r="F1110" t="s">
        <v>150</v>
      </c>
      <c r="G1110">
        <v>1</v>
      </c>
      <c r="H1110" s="21">
        <v>1735.45</v>
      </c>
      <c r="I1110">
        <v>10</v>
      </c>
      <c r="J1110" s="21">
        <v>173.54</v>
      </c>
      <c r="K1110">
        <v>12</v>
      </c>
      <c r="L1110" s="21">
        <v>187.43</v>
      </c>
      <c r="M1110" s="21">
        <v>1749.34</v>
      </c>
      <c r="N1110" s="21">
        <v>1183.4100000000001</v>
      </c>
      <c r="O1110" s="21">
        <v>378.5</v>
      </c>
      <c r="P1110" t="s">
        <v>124</v>
      </c>
      <c r="Q1110" t="s">
        <v>120</v>
      </c>
      <c r="R1110" t="s">
        <v>151</v>
      </c>
      <c r="S1110" t="s">
        <v>1342</v>
      </c>
      <c r="T1110" t="s">
        <v>153</v>
      </c>
      <c r="U1110" t="s">
        <v>154</v>
      </c>
      <c r="V1110" t="str">
        <f>IFERROR(INDEX(Products!$C:$C,MATCH(D1110,Products!$A:$A,0)),"Unknown")</f>
        <v>Watches</v>
      </c>
      <c r="W1110" t="str">
        <f>IFERROR(INDEX(Products!$E:$E,MATCH(D1110,Products!$A:$A,0)),"Unknown")</f>
        <v>Nalli Silks</v>
      </c>
      <c r="X1110" t="str">
        <f>IFERROR(INDEX(Stores!$B:$B,MATCH(E1110,Stores!$A:$A,0)),"Unknown")</f>
        <v>TrendMart Guntur Outlet</v>
      </c>
      <c r="Y1110" t="str">
        <f>IFERROR(INDEX(Stores!$E:$E,MATCH(E1110,Stores!$A:$A,0)),"Unknown")</f>
        <v>South Zone 3</v>
      </c>
      <c r="Z1110" t="str">
        <f>IFERROR(INDEX(Customers!$J:$J,MATCH(C1110,Customers!$A:$A,0)),"Unknown")</f>
        <v>Silver</v>
      </c>
      <c r="AA1110" t="str">
        <f t="shared" si="17"/>
        <v>2024-12</v>
      </c>
      <c r="AB1110" t="str">
        <f>IFERROR(INDEX(Products!$I:$I,MATCH(D1110,Products!$A:$A,0)),"Unknown")</f>
        <v>SUP020</v>
      </c>
    </row>
    <row r="1111" spans="1:28" x14ac:dyDescent="0.25">
      <c r="A1111" t="s">
        <v>2832</v>
      </c>
      <c r="B1111" s="20">
        <v>45580</v>
      </c>
      <c r="C1111" t="s">
        <v>1418</v>
      </c>
      <c r="D1111" t="s">
        <v>381</v>
      </c>
      <c r="E1111" t="s">
        <v>84</v>
      </c>
      <c r="F1111" t="s">
        <v>462</v>
      </c>
      <c r="G1111">
        <v>1</v>
      </c>
      <c r="H1111" s="21">
        <v>732.22</v>
      </c>
      <c r="I1111">
        <v>10</v>
      </c>
      <c r="J1111" s="21">
        <v>73.22</v>
      </c>
      <c r="K1111">
        <v>5</v>
      </c>
      <c r="L1111" s="21">
        <v>32.950000000000003</v>
      </c>
      <c r="M1111" s="21">
        <v>691.95</v>
      </c>
      <c r="N1111" s="21">
        <v>513.84</v>
      </c>
      <c r="O1111" s="21">
        <v>145.16</v>
      </c>
      <c r="P1111" t="s">
        <v>125</v>
      </c>
      <c r="Q1111" t="s">
        <v>122</v>
      </c>
      <c r="R1111" t="s">
        <v>151</v>
      </c>
      <c r="S1111" t="s">
        <v>1540</v>
      </c>
      <c r="T1111" t="s">
        <v>153</v>
      </c>
      <c r="U1111" t="s">
        <v>154</v>
      </c>
      <c r="V1111" t="str">
        <f>IFERROR(INDEX(Products!$C:$C,MATCH(D1111,Products!$A:$A,0)),"Unknown")</f>
        <v>Wallets</v>
      </c>
      <c r="W1111" t="str">
        <f>IFERROR(INDEX(Products!$E:$E,MATCH(D1111,Products!$A:$A,0)),"Unknown")</f>
        <v>Tanishq</v>
      </c>
      <c r="X1111" t="str">
        <f>IFERROR(INDEX(Stores!$B:$B,MATCH(E1111,Stores!$A:$A,0)),"Unknown")</f>
        <v>TrendMart Tirupati Standard</v>
      </c>
      <c r="Y1111" t="str">
        <f>IFERROR(INDEX(Stores!$E:$E,MATCH(E1111,Stores!$A:$A,0)),"Unknown")</f>
        <v>South Zone 3</v>
      </c>
      <c r="Z1111" t="str">
        <f>IFERROR(INDEX(Customers!$J:$J,MATCH(C1111,Customers!$A:$A,0)),"Unknown")</f>
        <v>Regular</v>
      </c>
      <c r="AA1111" t="str">
        <f t="shared" si="17"/>
        <v>2024-10</v>
      </c>
      <c r="AB1111" t="str">
        <f>IFERROR(INDEX(Products!$I:$I,MATCH(D1111,Products!$A:$A,0)),"Unknown")</f>
        <v>SUP007</v>
      </c>
    </row>
    <row r="1112" spans="1:28" x14ac:dyDescent="0.25">
      <c r="A1112" t="s">
        <v>2833</v>
      </c>
      <c r="B1112" s="20">
        <v>45641</v>
      </c>
      <c r="C1112" t="s">
        <v>2495</v>
      </c>
      <c r="D1112" t="s">
        <v>1504</v>
      </c>
      <c r="E1112" t="s">
        <v>89</v>
      </c>
      <c r="F1112" t="s">
        <v>377</v>
      </c>
      <c r="G1112">
        <v>1</v>
      </c>
      <c r="H1112" s="21">
        <v>1737.8</v>
      </c>
      <c r="I1112">
        <v>30</v>
      </c>
      <c r="J1112" s="21">
        <v>521.34</v>
      </c>
      <c r="K1112">
        <v>12</v>
      </c>
      <c r="L1112" s="21">
        <v>145.97999999999999</v>
      </c>
      <c r="M1112" s="21">
        <v>1362.44</v>
      </c>
      <c r="N1112" s="21">
        <v>1144.5899999999999</v>
      </c>
      <c r="O1112" s="21">
        <v>71.87</v>
      </c>
      <c r="P1112" t="s">
        <v>124</v>
      </c>
      <c r="Q1112" t="s">
        <v>120</v>
      </c>
      <c r="R1112" t="s">
        <v>151</v>
      </c>
      <c r="S1112" t="s">
        <v>1762</v>
      </c>
      <c r="T1112" t="s">
        <v>161</v>
      </c>
      <c r="U1112" t="s">
        <v>154</v>
      </c>
      <c r="V1112" t="str">
        <f>IFERROR(INDEX(Products!$C:$C,MATCH(D1112,Products!$A:$A,0)),"Unknown")</f>
        <v>Women Dresses</v>
      </c>
      <c r="W1112" t="str">
        <f>IFERROR(INDEX(Products!$E:$E,MATCH(D1112,Products!$A:$A,0)),"Unknown")</f>
        <v>Westside</v>
      </c>
      <c r="X1112" t="str">
        <f>IFERROR(INDEX(Stores!$B:$B,MATCH(E1112,Stores!$A:$A,0)),"Unknown")</f>
        <v>TrendMart Kochi Standard</v>
      </c>
      <c r="Y1112" t="str">
        <f>IFERROR(INDEX(Stores!$E:$E,MATCH(E1112,Stores!$A:$A,0)),"Unknown")</f>
        <v>South Zone 1</v>
      </c>
      <c r="Z1112" t="str">
        <f>IFERROR(INDEX(Customers!$J:$J,MATCH(C1112,Customers!$A:$A,0)),"Unknown")</f>
        <v>Silver</v>
      </c>
      <c r="AA1112" t="str">
        <f t="shared" si="17"/>
        <v>2024-12</v>
      </c>
      <c r="AB1112" t="str">
        <f>IFERROR(INDEX(Products!$I:$I,MATCH(D1112,Products!$A:$A,0)),"Unknown")</f>
        <v>SUP010</v>
      </c>
    </row>
    <row r="1113" spans="1:28" x14ac:dyDescent="0.25">
      <c r="A1113" t="s">
        <v>2834</v>
      </c>
      <c r="B1113" s="20">
        <v>45608</v>
      </c>
      <c r="C1113" t="s">
        <v>1406</v>
      </c>
      <c r="D1113" t="s">
        <v>1813</v>
      </c>
      <c r="E1113" t="s">
        <v>355</v>
      </c>
      <c r="F1113" t="s">
        <v>308</v>
      </c>
      <c r="G1113">
        <v>3</v>
      </c>
      <c r="H1113" s="21">
        <v>1039.97</v>
      </c>
      <c r="I1113">
        <v>30</v>
      </c>
      <c r="J1113" s="21">
        <v>935.97</v>
      </c>
      <c r="K1113">
        <v>12</v>
      </c>
      <c r="L1113" s="21">
        <v>262.07</v>
      </c>
      <c r="M1113" s="21">
        <v>2446.0100000000002</v>
      </c>
      <c r="N1113" s="21">
        <v>2177.61</v>
      </c>
      <c r="O1113" s="21">
        <v>6.33</v>
      </c>
      <c r="P1113" t="s">
        <v>123</v>
      </c>
      <c r="Q1113" t="s">
        <v>122</v>
      </c>
      <c r="R1113" t="s">
        <v>151</v>
      </c>
      <c r="S1113" t="s">
        <v>1184</v>
      </c>
      <c r="T1113" t="s">
        <v>153</v>
      </c>
      <c r="U1113" t="s">
        <v>154</v>
      </c>
      <c r="V1113" t="str">
        <f>IFERROR(INDEX(Products!$C:$C,MATCH(D1113,Products!$A:$A,0)),"Unknown")</f>
        <v>Footwear</v>
      </c>
      <c r="W1113" t="str">
        <f>IFERROR(INDEX(Products!$E:$E,MATCH(D1113,Products!$A:$A,0)),"Unknown")</f>
        <v>Titan</v>
      </c>
      <c r="X1113" t="str">
        <f>IFERROR(INDEX(Stores!$B:$B,MATCH(E1113,Stores!$A:$A,0)),"Unknown")</f>
        <v>TrendMart Thiruvananthapuram High Street</v>
      </c>
      <c r="Y1113" t="str">
        <f>IFERROR(INDEX(Stores!$E:$E,MATCH(E1113,Stores!$A:$A,0)),"Unknown")</f>
        <v>South Zone 1</v>
      </c>
      <c r="Z1113" t="str">
        <f>IFERROR(INDEX(Customers!$J:$J,MATCH(C1113,Customers!$A:$A,0)),"Unknown")</f>
        <v>Silver</v>
      </c>
      <c r="AA1113" t="str">
        <f t="shared" si="17"/>
        <v>2024-11</v>
      </c>
      <c r="AB1113" t="str">
        <f>IFERROR(INDEX(Products!$I:$I,MATCH(D1113,Products!$A:$A,0)),"Unknown")</f>
        <v>SUP002</v>
      </c>
    </row>
    <row r="1114" spans="1:28" x14ac:dyDescent="0.25">
      <c r="A1114" t="s">
        <v>2835</v>
      </c>
      <c r="B1114" s="20">
        <v>45389</v>
      </c>
      <c r="C1114" t="s">
        <v>1507</v>
      </c>
      <c r="D1114" t="s">
        <v>312</v>
      </c>
      <c r="E1114" t="s">
        <v>302</v>
      </c>
      <c r="F1114" t="s">
        <v>403</v>
      </c>
      <c r="G1114">
        <v>2</v>
      </c>
      <c r="H1114" s="21">
        <v>1322.18</v>
      </c>
      <c r="I1114">
        <v>0</v>
      </c>
      <c r="J1114" s="21">
        <v>0</v>
      </c>
      <c r="K1114">
        <v>12</v>
      </c>
      <c r="L1114" s="21">
        <v>317.32</v>
      </c>
      <c r="M1114" s="21">
        <v>2961.68</v>
      </c>
      <c r="N1114" s="21">
        <v>1731.84</v>
      </c>
      <c r="O1114" s="21">
        <v>912.52</v>
      </c>
      <c r="P1114" t="s">
        <v>121</v>
      </c>
      <c r="Q1114" t="s">
        <v>120</v>
      </c>
      <c r="R1114" t="s">
        <v>151</v>
      </c>
      <c r="S1114" t="s">
        <v>378</v>
      </c>
      <c r="T1114" t="s">
        <v>161</v>
      </c>
      <c r="U1114" t="s">
        <v>154</v>
      </c>
      <c r="V1114" t="str">
        <f>IFERROR(INDEX(Products!$C:$C,MATCH(D1114,Products!$A:$A,0)),"Unknown")</f>
        <v>Handbags</v>
      </c>
      <c r="W1114" t="str">
        <f>IFERROR(INDEX(Products!$E:$E,MATCH(D1114,Products!$A:$A,0)),"Unknown")</f>
        <v>Wrangler</v>
      </c>
      <c r="X1114" t="str">
        <f>IFERROR(INDEX(Stores!$B:$B,MATCH(E1114,Stores!$A:$A,0)),"Unknown")</f>
        <v>TrendMart Visakhapatnam Standard</v>
      </c>
      <c r="Y1114" t="str">
        <f>IFERROR(INDEX(Stores!$E:$E,MATCH(E1114,Stores!$A:$A,0)),"Unknown")</f>
        <v>South Zone 3</v>
      </c>
      <c r="Z1114" t="str">
        <f>IFERROR(INDEX(Customers!$J:$J,MATCH(C1114,Customers!$A:$A,0)),"Unknown")</f>
        <v>Gold</v>
      </c>
      <c r="AA1114" t="str">
        <f t="shared" si="17"/>
        <v>2024-04</v>
      </c>
      <c r="AB1114" t="str">
        <f>IFERROR(INDEX(Products!$I:$I,MATCH(D1114,Products!$A:$A,0)),"Unknown")</f>
        <v>SUP008</v>
      </c>
    </row>
    <row r="1115" spans="1:28" x14ac:dyDescent="0.25">
      <c r="A1115" t="s">
        <v>2836</v>
      </c>
      <c r="B1115" s="20">
        <v>45563</v>
      </c>
      <c r="C1115" t="s">
        <v>437</v>
      </c>
      <c r="D1115" t="s">
        <v>261</v>
      </c>
      <c r="E1115" t="s">
        <v>343</v>
      </c>
      <c r="F1115" t="s">
        <v>516</v>
      </c>
      <c r="G1115">
        <v>1</v>
      </c>
      <c r="H1115" s="21">
        <v>1311.41</v>
      </c>
      <c r="I1115">
        <v>0</v>
      </c>
      <c r="J1115" s="21">
        <v>0</v>
      </c>
      <c r="K1115">
        <v>12</v>
      </c>
      <c r="L1115" s="21">
        <v>157.37</v>
      </c>
      <c r="M1115" s="21">
        <v>1468.78</v>
      </c>
      <c r="N1115" s="21">
        <v>844.65</v>
      </c>
      <c r="O1115" s="21">
        <v>466.76</v>
      </c>
      <c r="P1115" t="s">
        <v>121</v>
      </c>
      <c r="Q1115" t="s">
        <v>120</v>
      </c>
      <c r="R1115" t="s">
        <v>151</v>
      </c>
      <c r="S1115" t="s">
        <v>1929</v>
      </c>
      <c r="T1115" t="s">
        <v>161</v>
      </c>
      <c r="U1115" t="s">
        <v>154</v>
      </c>
      <c r="V1115" t="str">
        <f>IFERROR(INDEX(Products!$C:$C,MATCH(D1115,Products!$A:$A,0)),"Unknown")</f>
        <v>Women Kurtis</v>
      </c>
      <c r="W1115" t="str">
        <f>IFERROR(INDEX(Products!$E:$E,MATCH(D1115,Products!$A:$A,0)),"Unknown")</f>
        <v>Woodland</v>
      </c>
      <c r="X1115" t="str">
        <f>IFERROR(INDEX(Stores!$B:$B,MATCH(E1115,Stores!$A:$A,0)),"Unknown")</f>
        <v>TrendMart Tumakuru Outlet</v>
      </c>
      <c r="Y1115" t="str">
        <f>IFERROR(INDEX(Stores!$E:$E,MATCH(E1115,Stores!$A:$A,0)),"Unknown")</f>
        <v>South Zone 2</v>
      </c>
      <c r="Z1115" t="str">
        <f>IFERROR(INDEX(Customers!$J:$J,MATCH(C1115,Customers!$A:$A,0)),"Unknown")</f>
        <v>Regular</v>
      </c>
      <c r="AA1115" t="str">
        <f t="shared" si="17"/>
        <v>2024-09</v>
      </c>
      <c r="AB1115" t="str">
        <f>IFERROR(INDEX(Products!$I:$I,MATCH(D1115,Products!$A:$A,0)),"Unknown")</f>
        <v>SUP071</v>
      </c>
    </row>
    <row r="1116" spans="1:28" x14ac:dyDescent="0.25">
      <c r="A1116" t="s">
        <v>2837</v>
      </c>
      <c r="B1116" s="20">
        <v>45430</v>
      </c>
      <c r="C1116" t="s">
        <v>2838</v>
      </c>
      <c r="D1116" t="s">
        <v>1928</v>
      </c>
      <c r="E1116" t="s">
        <v>1325</v>
      </c>
      <c r="F1116" t="s">
        <v>275</v>
      </c>
      <c r="G1116">
        <v>1</v>
      </c>
      <c r="H1116" s="21">
        <v>895.47</v>
      </c>
      <c r="I1116">
        <v>15</v>
      </c>
      <c r="J1116" s="21">
        <v>134.32</v>
      </c>
      <c r="K1116">
        <v>5</v>
      </c>
      <c r="L1116" s="21">
        <v>38.06</v>
      </c>
      <c r="M1116" s="21">
        <v>799.21</v>
      </c>
      <c r="N1116" s="21">
        <v>658.19</v>
      </c>
      <c r="O1116" s="21">
        <v>102.96</v>
      </c>
      <c r="P1116" t="s">
        <v>123</v>
      </c>
      <c r="Q1116" t="s">
        <v>120</v>
      </c>
      <c r="R1116" t="s">
        <v>151</v>
      </c>
      <c r="S1116" t="s">
        <v>2103</v>
      </c>
      <c r="T1116" t="s">
        <v>161</v>
      </c>
      <c r="U1116" t="s">
        <v>154</v>
      </c>
      <c r="V1116" t="str">
        <f>IFERROR(INDEX(Products!$C:$C,MATCH(D1116,Products!$A:$A,0)),"Unknown")</f>
        <v>Men Jeans</v>
      </c>
      <c r="W1116" t="str">
        <f>IFERROR(INDEX(Products!$E:$E,MATCH(D1116,Products!$A:$A,0)),"Unknown")</f>
        <v>Skechers</v>
      </c>
      <c r="X1116" t="str">
        <f>IFERROR(INDEX(Stores!$B:$B,MATCH(E1116,Stores!$A:$A,0)),"Unknown")</f>
        <v>TrendMart Thrissur Standard</v>
      </c>
      <c r="Y1116" t="str">
        <f>IFERROR(INDEX(Stores!$E:$E,MATCH(E1116,Stores!$A:$A,0)),"Unknown")</f>
        <v>South Zone 1</v>
      </c>
      <c r="Z1116" t="str">
        <f>IFERROR(INDEX(Customers!$J:$J,MATCH(C1116,Customers!$A:$A,0)),"Unknown")</f>
        <v>Regular</v>
      </c>
      <c r="AA1116" t="str">
        <f t="shared" si="17"/>
        <v>2024-05</v>
      </c>
      <c r="AB1116" t="str">
        <f>IFERROR(INDEX(Products!$I:$I,MATCH(D1116,Products!$A:$A,0)),"Unknown")</f>
        <v>SUP015</v>
      </c>
    </row>
    <row r="1117" spans="1:28" x14ac:dyDescent="0.25">
      <c r="A1117" t="s">
        <v>2839</v>
      </c>
      <c r="B1117" s="20">
        <v>45705</v>
      </c>
      <c r="C1117" t="s">
        <v>696</v>
      </c>
      <c r="D1117" t="s">
        <v>524</v>
      </c>
      <c r="E1117" t="s">
        <v>1825</v>
      </c>
      <c r="F1117" t="s">
        <v>201</v>
      </c>
      <c r="G1117">
        <v>2</v>
      </c>
      <c r="H1117" s="21">
        <v>720.52</v>
      </c>
      <c r="I1117">
        <v>5</v>
      </c>
      <c r="J1117" s="21">
        <v>72.05</v>
      </c>
      <c r="K1117">
        <v>5</v>
      </c>
      <c r="L1117" s="21">
        <v>68.45</v>
      </c>
      <c r="M1117" s="21">
        <v>1437.44</v>
      </c>
      <c r="N1117" s="21">
        <v>1095.3399999999999</v>
      </c>
      <c r="O1117" s="21">
        <v>273.64999999999998</v>
      </c>
      <c r="P1117" t="s">
        <v>124</v>
      </c>
      <c r="Q1117" t="s">
        <v>120</v>
      </c>
      <c r="R1117" t="s">
        <v>151</v>
      </c>
      <c r="S1117" t="s">
        <v>2840</v>
      </c>
      <c r="T1117" t="s">
        <v>153</v>
      </c>
      <c r="U1117" t="s">
        <v>154</v>
      </c>
      <c r="V1117" t="str">
        <f>IFERROR(INDEX(Products!$C:$C,MATCH(D1117,Products!$A:$A,0)),"Unknown")</f>
        <v>Women Tops</v>
      </c>
      <c r="W1117" t="str">
        <f>IFERROR(INDEX(Products!$E:$E,MATCH(D1117,Products!$A:$A,0)),"Unknown")</f>
        <v>Indian Terrain</v>
      </c>
      <c r="X1117" t="str">
        <f>IFERROR(INDEX(Stores!$B:$B,MATCH(E1117,Stores!$A:$A,0)),"Unknown")</f>
        <v>TrendMart Vijayawada Outlet</v>
      </c>
      <c r="Y1117" t="str">
        <f>IFERROR(INDEX(Stores!$E:$E,MATCH(E1117,Stores!$A:$A,0)),"Unknown")</f>
        <v>South Zone 3</v>
      </c>
      <c r="Z1117" t="str">
        <f>IFERROR(INDEX(Customers!$J:$J,MATCH(C1117,Customers!$A:$A,0)),"Unknown")</f>
        <v>Silver</v>
      </c>
      <c r="AA1117" t="str">
        <f t="shared" si="17"/>
        <v>2025-02</v>
      </c>
      <c r="AB1117" t="str">
        <f>IFERROR(INDEX(Products!$I:$I,MATCH(D1117,Products!$A:$A,0)),"Unknown")</f>
        <v>SUP062</v>
      </c>
    </row>
    <row r="1118" spans="1:28" x14ac:dyDescent="0.25">
      <c r="A1118" t="s">
        <v>2841</v>
      </c>
      <c r="B1118" s="20">
        <v>45603</v>
      </c>
      <c r="C1118" t="s">
        <v>2842</v>
      </c>
      <c r="D1118" t="s">
        <v>1219</v>
      </c>
      <c r="E1118" t="s">
        <v>88</v>
      </c>
      <c r="F1118" t="s">
        <v>403</v>
      </c>
      <c r="G1118">
        <v>1</v>
      </c>
      <c r="H1118" s="21">
        <v>2902.9</v>
      </c>
      <c r="I1118">
        <v>20</v>
      </c>
      <c r="J1118" s="21">
        <v>580.58000000000004</v>
      </c>
      <c r="K1118">
        <v>12</v>
      </c>
      <c r="L1118" s="21">
        <v>278.68</v>
      </c>
      <c r="M1118" s="21">
        <v>2601</v>
      </c>
      <c r="N1118" s="21">
        <v>2039.7</v>
      </c>
      <c r="O1118" s="21">
        <v>282.62</v>
      </c>
      <c r="P1118" t="s">
        <v>123</v>
      </c>
      <c r="Q1118" t="s">
        <v>122</v>
      </c>
      <c r="R1118" t="s">
        <v>151</v>
      </c>
      <c r="S1118" t="s">
        <v>2725</v>
      </c>
      <c r="T1118" t="s">
        <v>153</v>
      </c>
      <c r="U1118" t="s">
        <v>154</v>
      </c>
      <c r="V1118" t="str">
        <f>IFERROR(INDEX(Products!$C:$C,MATCH(D1118,Products!$A:$A,0)),"Unknown")</f>
        <v>Watches</v>
      </c>
      <c r="W1118" t="str">
        <f>IFERROR(INDEX(Products!$E:$E,MATCH(D1118,Products!$A:$A,0)),"Unknown")</f>
        <v>Fossil</v>
      </c>
      <c r="X1118" t="str">
        <f>IFERROR(INDEX(Stores!$B:$B,MATCH(E1118,Stores!$A:$A,0)),"Unknown")</f>
        <v>TrendMart Kozhikode Mall Kiosk</v>
      </c>
      <c r="Y1118" t="str">
        <f>IFERROR(INDEX(Stores!$E:$E,MATCH(E1118,Stores!$A:$A,0)),"Unknown")</f>
        <v>South Zone 1</v>
      </c>
      <c r="Z1118" t="str">
        <f>IFERROR(INDEX(Customers!$J:$J,MATCH(C1118,Customers!$A:$A,0)),"Unknown")</f>
        <v>Regular</v>
      </c>
      <c r="AA1118" t="str">
        <f t="shared" si="17"/>
        <v>2024-11</v>
      </c>
      <c r="AB1118" t="str">
        <f>IFERROR(INDEX(Products!$I:$I,MATCH(D1118,Products!$A:$A,0)),"Unknown")</f>
        <v>SUP054</v>
      </c>
    </row>
    <row r="1119" spans="1:28" x14ac:dyDescent="0.25">
      <c r="A1119" t="s">
        <v>2843</v>
      </c>
      <c r="B1119" s="20">
        <v>45555</v>
      </c>
      <c r="C1119" t="s">
        <v>582</v>
      </c>
      <c r="D1119" t="s">
        <v>1350</v>
      </c>
      <c r="E1119" t="s">
        <v>1171</v>
      </c>
      <c r="F1119" t="s">
        <v>170</v>
      </c>
      <c r="G1119">
        <v>1</v>
      </c>
      <c r="H1119" s="21">
        <v>645.12</v>
      </c>
      <c r="I1119">
        <v>25</v>
      </c>
      <c r="J1119" s="21">
        <v>161.28</v>
      </c>
      <c r="K1119">
        <v>5</v>
      </c>
      <c r="L1119" s="21">
        <v>24.19</v>
      </c>
      <c r="M1119" s="21">
        <v>508.03</v>
      </c>
      <c r="N1119" s="21">
        <v>419.4</v>
      </c>
      <c r="O1119" s="21">
        <v>64.44</v>
      </c>
      <c r="P1119" t="s">
        <v>121</v>
      </c>
      <c r="Q1119" t="s">
        <v>120</v>
      </c>
      <c r="R1119" t="s">
        <v>151</v>
      </c>
      <c r="S1119" t="s">
        <v>2844</v>
      </c>
      <c r="T1119" t="s">
        <v>153</v>
      </c>
      <c r="U1119" t="s">
        <v>154</v>
      </c>
      <c r="V1119" t="str">
        <f>IFERROR(INDEX(Products!$C:$C,MATCH(D1119,Products!$A:$A,0)),"Unknown")</f>
        <v>Women Tops</v>
      </c>
      <c r="W1119" t="str">
        <f>IFERROR(INDEX(Products!$E:$E,MATCH(D1119,Products!$A:$A,0)),"Unknown")</f>
        <v>Jack &amp; Jones</v>
      </c>
      <c r="X1119" t="str">
        <f>IFERROR(INDEX(Stores!$B:$B,MATCH(E1119,Stores!$A:$A,0)),"Unknown")</f>
        <v>TrendMart Chennai Standard</v>
      </c>
      <c r="Y1119" t="str">
        <f>IFERROR(INDEX(Stores!$E:$E,MATCH(E1119,Stores!$A:$A,0)),"Unknown")</f>
        <v>South Zone 1</v>
      </c>
      <c r="Z1119" t="str">
        <f>IFERROR(INDEX(Customers!$J:$J,MATCH(C1119,Customers!$A:$A,0)),"Unknown")</f>
        <v>Silver</v>
      </c>
      <c r="AA1119" t="str">
        <f t="shared" si="17"/>
        <v>2024-09</v>
      </c>
      <c r="AB1119" t="str">
        <f>IFERROR(INDEX(Products!$I:$I,MATCH(D1119,Products!$A:$A,0)),"Unknown")</f>
        <v>SUP089</v>
      </c>
    </row>
    <row r="1120" spans="1:28" x14ac:dyDescent="0.25">
      <c r="A1120" t="s">
        <v>2845</v>
      </c>
      <c r="B1120" s="20">
        <v>45572</v>
      </c>
      <c r="C1120" t="s">
        <v>2846</v>
      </c>
      <c r="D1120" t="s">
        <v>2129</v>
      </c>
      <c r="E1120" t="s">
        <v>671</v>
      </c>
      <c r="F1120" t="s">
        <v>263</v>
      </c>
      <c r="G1120">
        <v>2</v>
      </c>
      <c r="H1120" s="21">
        <v>2565.96</v>
      </c>
      <c r="I1120">
        <v>0</v>
      </c>
      <c r="J1120" s="21">
        <v>0</v>
      </c>
      <c r="K1120">
        <v>12</v>
      </c>
      <c r="L1120" s="21">
        <v>615.83000000000004</v>
      </c>
      <c r="M1120" s="21">
        <v>5747.75</v>
      </c>
      <c r="N1120" s="21">
        <v>3776.58</v>
      </c>
      <c r="O1120" s="21">
        <v>1355.34</v>
      </c>
      <c r="P1120" t="s">
        <v>123</v>
      </c>
      <c r="Q1120" t="s">
        <v>120</v>
      </c>
      <c r="R1120" t="s">
        <v>151</v>
      </c>
      <c r="S1120" t="s">
        <v>1122</v>
      </c>
      <c r="T1120" t="s">
        <v>153</v>
      </c>
      <c r="U1120" t="s">
        <v>154</v>
      </c>
      <c r="V1120" t="str">
        <f>IFERROR(INDEX(Products!$C:$C,MATCH(D1120,Products!$A:$A,0)),"Unknown")</f>
        <v>Men Ethnic</v>
      </c>
      <c r="W1120" t="str">
        <f>IFERROR(INDEX(Products!$E:$E,MATCH(D1120,Products!$A:$A,0)),"Unknown")</f>
        <v>Reebok</v>
      </c>
      <c r="X1120" t="str">
        <f>IFERROR(INDEX(Stores!$B:$B,MATCH(E1120,Stores!$A:$A,0)),"Unknown")</f>
        <v>TrendMart Hyderabad Mall Kiosk</v>
      </c>
      <c r="Y1120" t="str">
        <f>IFERROR(INDEX(Stores!$E:$E,MATCH(E1120,Stores!$A:$A,0)),"Unknown")</f>
        <v>South Zone 2</v>
      </c>
      <c r="Z1120" t="str">
        <f>IFERROR(INDEX(Customers!$J:$J,MATCH(C1120,Customers!$A:$A,0)),"Unknown")</f>
        <v>Gold</v>
      </c>
      <c r="AA1120" t="str">
        <f t="shared" si="17"/>
        <v>2024-10</v>
      </c>
      <c r="AB1120" t="str">
        <f>IFERROR(INDEX(Products!$I:$I,MATCH(D1120,Products!$A:$A,0)),"Unknown")</f>
        <v>SUP029</v>
      </c>
    </row>
    <row r="1121" spans="1:28" x14ac:dyDescent="0.25">
      <c r="A1121" t="s">
        <v>2847</v>
      </c>
      <c r="B1121" s="20">
        <v>45552</v>
      </c>
      <c r="C1121" t="s">
        <v>2401</v>
      </c>
      <c r="D1121" t="s">
        <v>1111</v>
      </c>
      <c r="E1121" t="s">
        <v>1962</v>
      </c>
      <c r="F1121" t="s">
        <v>176</v>
      </c>
      <c r="G1121">
        <v>2</v>
      </c>
      <c r="H1121" s="21">
        <v>2228.0700000000002</v>
      </c>
      <c r="I1121">
        <v>0</v>
      </c>
      <c r="J1121" s="21">
        <v>0</v>
      </c>
      <c r="K1121">
        <v>12</v>
      </c>
      <c r="L1121" s="21">
        <v>534.74</v>
      </c>
      <c r="M1121" s="21">
        <v>4990.88</v>
      </c>
      <c r="N1121" s="21">
        <v>3353.84</v>
      </c>
      <c r="O1121" s="21">
        <v>1102.3</v>
      </c>
      <c r="P1121" t="s">
        <v>124</v>
      </c>
      <c r="Q1121" t="s">
        <v>122</v>
      </c>
      <c r="R1121" t="s">
        <v>151</v>
      </c>
      <c r="S1121" t="s">
        <v>955</v>
      </c>
      <c r="T1121" t="s">
        <v>153</v>
      </c>
      <c r="U1121" t="s">
        <v>154</v>
      </c>
      <c r="V1121" t="str">
        <f>IFERROR(INDEX(Products!$C:$C,MATCH(D1121,Products!$A:$A,0)),"Unknown")</f>
        <v>Men Ethnic</v>
      </c>
      <c r="W1121" t="str">
        <f>IFERROR(INDEX(Products!$E:$E,MATCH(D1121,Products!$A:$A,0)),"Unknown")</f>
        <v>Raymond</v>
      </c>
      <c r="X1121" t="str">
        <f>IFERROR(INDEX(Stores!$B:$B,MATCH(E1121,Stores!$A:$A,0)),"Unknown")</f>
        <v>TrendMart Guntur High Street</v>
      </c>
      <c r="Y1121" t="str">
        <f>IFERROR(INDEX(Stores!$E:$E,MATCH(E1121,Stores!$A:$A,0)),"Unknown")</f>
        <v>South Zone 3</v>
      </c>
      <c r="Z1121" t="str">
        <f>IFERROR(INDEX(Customers!$J:$J,MATCH(C1121,Customers!$A:$A,0)),"Unknown")</f>
        <v>Regular</v>
      </c>
      <c r="AA1121" t="str">
        <f t="shared" si="17"/>
        <v>2024-09</v>
      </c>
      <c r="AB1121" t="str">
        <f>IFERROR(INDEX(Products!$I:$I,MATCH(D1121,Products!$A:$A,0)),"Unknown")</f>
        <v>SUP018</v>
      </c>
    </row>
    <row r="1122" spans="1:28" x14ac:dyDescent="0.25">
      <c r="A1122" t="s">
        <v>2848</v>
      </c>
      <c r="B1122" s="20">
        <v>45450</v>
      </c>
      <c r="C1122" t="s">
        <v>476</v>
      </c>
      <c r="D1122" t="s">
        <v>931</v>
      </c>
      <c r="E1122" t="s">
        <v>701</v>
      </c>
      <c r="F1122" t="s">
        <v>532</v>
      </c>
      <c r="G1122">
        <v>1</v>
      </c>
      <c r="H1122" s="21">
        <v>1455.08</v>
      </c>
      <c r="I1122">
        <v>0</v>
      </c>
      <c r="J1122" s="21">
        <v>0</v>
      </c>
      <c r="K1122">
        <v>12</v>
      </c>
      <c r="L1122" s="21">
        <v>174.61</v>
      </c>
      <c r="M1122" s="21">
        <v>1629.69</v>
      </c>
      <c r="N1122" s="21">
        <v>1020.9</v>
      </c>
      <c r="O1122" s="21">
        <v>434.18</v>
      </c>
      <c r="P1122" t="s">
        <v>125</v>
      </c>
      <c r="Q1122" t="s">
        <v>122</v>
      </c>
      <c r="R1122" t="s">
        <v>151</v>
      </c>
      <c r="S1122" t="s">
        <v>2346</v>
      </c>
      <c r="T1122" t="s">
        <v>153</v>
      </c>
      <c r="U1122" t="s">
        <v>154</v>
      </c>
      <c r="V1122" t="str">
        <f>IFERROR(INDEX(Products!$C:$C,MATCH(D1122,Products!$A:$A,0)),"Unknown")</f>
        <v>Women Sarees</v>
      </c>
      <c r="W1122" t="str">
        <f>IFERROR(INDEX(Products!$E:$E,MATCH(D1122,Products!$A:$A,0)),"Unknown")</f>
        <v>Jack &amp; Jones</v>
      </c>
      <c r="X1122" t="str">
        <f>IFERROR(INDEX(Stores!$B:$B,MATCH(E1122,Stores!$A:$A,0)),"Unknown")</f>
        <v>TrendMart Vijayawada Mall Kiosk</v>
      </c>
      <c r="Y1122" t="str">
        <f>IFERROR(INDEX(Stores!$E:$E,MATCH(E1122,Stores!$A:$A,0)),"Unknown")</f>
        <v>South Zone 3</v>
      </c>
      <c r="Z1122" t="str">
        <f>IFERROR(INDEX(Customers!$J:$J,MATCH(C1122,Customers!$A:$A,0)),"Unknown")</f>
        <v>Silver</v>
      </c>
      <c r="AA1122" t="str">
        <f t="shared" si="17"/>
        <v>2024-06</v>
      </c>
      <c r="AB1122" t="str">
        <f>IFERROR(INDEX(Products!$I:$I,MATCH(D1122,Products!$A:$A,0)),"Unknown")</f>
        <v>SUP058</v>
      </c>
    </row>
    <row r="1123" spans="1:28" x14ac:dyDescent="0.25">
      <c r="A1123" t="s">
        <v>2849</v>
      </c>
      <c r="B1123" s="20">
        <v>45696</v>
      </c>
      <c r="C1123" t="s">
        <v>661</v>
      </c>
      <c r="D1123" t="s">
        <v>587</v>
      </c>
      <c r="E1123" t="s">
        <v>83</v>
      </c>
      <c r="F1123" t="s">
        <v>516</v>
      </c>
      <c r="G1123">
        <v>1</v>
      </c>
      <c r="H1123" s="21">
        <v>3374.89</v>
      </c>
      <c r="I1123">
        <v>10</v>
      </c>
      <c r="J1123" s="21">
        <v>337.49</v>
      </c>
      <c r="K1123">
        <v>12</v>
      </c>
      <c r="L1123" s="21">
        <v>364.49</v>
      </c>
      <c r="M1123" s="21">
        <v>3401.89</v>
      </c>
      <c r="N1123" s="21">
        <v>2135.85</v>
      </c>
      <c r="O1123" s="21">
        <v>901.55</v>
      </c>
      <c r="P1123" t="s">
        <v>123</v>
      </c>
      <c r="Q1123" t="s">
        <v>120</v>
      </c>
      <c r="R1123" t="s">
        <v>151</v>
      </c>
      <c r="S1123" t="s">
        <v>1784</v>
      </c>
      <c r="T1123" t="s">
        <v>161</v>
      </c>
      <c r="U1123" t="s">
        <v>154</v>
      </c>
      <c r="V1123" t="str">
        <f>IFERROR(INDEX(Products!$C:$C,MATCH(D1123,Products!$A:$A,0)),"Unknown")</f>
        <v>Handbags</v>
      </c>
      <c r="W1123" t="str">
        <f>IFERROR(INDEX(Products!$E:$E,MATCH(D1123,Products!$A:$A,0)),"Unknown")</f>
        <v>Tanishq</v>
      </c>
      <c r="X1123" t="str">
        <f>IFERROR(INDEX(Stores!$B:$B,MATCH(E1123,Stores!$A:$A,0)),"Unknown")</f>
        <v>TrendMart Vellore Standard</v>
      </c>
      <c r="Y1123" t="str">
        <f>IFERROR(INDEX(Stores!$E:$E,MATCH(E1123,Stores!$A:$A,0)),"Unknown")</f>
        <v>South Zone 1</v>
      </c>
      <c r="Z1123" t="str">
        <f>IFERROR(INDEX(Customers!$J:$J,MATCH(C1123,Customers!$A:$A,0)),"Unknown")</f>
        <v>Silver</v>
      </c>
      <c r="AA1123" t="str">
        <f t="shared" si="17"/>
        <v>2025-02</v>
      </c>
      <c r="AB1123" t="str">
        <f>IFERROR(INDEX(Products!$I:$I,MATCH(D1123,Products!$A:$A,0)),"Unknown")</f>
        <v>SUP029</v>
      </c>
    </row>
    <row r="1124" spans="1:28" x14ac:dyDescent="0.25">
      <c r="A1124" t="s">
        <v>2850</v>
      </c>
      <c r="B1124" s="20">
        <v>45476</v>
      </c>
      <c r="C1124" t="s">
        <v>2851</v>
      </c>
      <c r="D1124" t="s">
        <v>1256</v>
      </c>
      <c r="E1124" t="s">
        <v>1163</v>
      </c>
      <c r="F1124" t="s">
        <v>201</v>
      </c>
      <c r="G1124">
        <v>3</v>
      </c>
      <c r="H1124" s="21">
        <v>819.2</v>
      </c>
      <c r="I1124">
        <v>10</v>
      </c>
      <c r="J1124" s="21">
        <v>245.76</v>
      </c>
      <c r="K1124">
        <v>5</v>
      </c>
      <c r="L1124" s="21">
        <v>110.59</v>
      </c>
      <c r="M1124" s="21">
        <v>2322.4299999999998</v>
      </c>
      <c r="N1124" s="21">
        <v>1911.81</v>
      </c>
      <c r="O1124" s="21">
        <v>300.02999999999997</v>
      </c>
      <c r="P1124" t="s">
        <v>121</v>
      </c>
      <c r="Q1124" t="s">
        <v>120</v>
      </c>
      <c r="R1124" t="s">
        <v>151</v>
      </c>
      <c r="S1124" t="s">
        <v>1027</v>
      </c>
      <c r="T1124" t="s">
        <v>153</v>
      </c>
      <c r="U1124" t="s">
        <v>154</v>
      </c>
      <c r="V1124" t="str">
        <f>IFERROR(INDEX(Products!$C:$C,MATCH(D1124,Products!$A:$A,0)),"Unknown")</f>
        <v>Women Jeans</v>
      </c>
      <c r="W1124" t="str">
        <f>IFERROR(INDEX(Products!$E:$E,MATCH(D1124,Products!$A:$A,0)),"Unknown")</f>
        <v>Biba</v>
      </c>
      <c r="X1124" t="str">
        <f>IFERROR(INDEX(Stores!$B:$B,MATCH(E1124,Stores!$A:$A,0)),"Unknown")</f>
        <v>TrendMart Alappuzha Outlet</v>
      </c>
      <c r="Y1124" t="str">
        <f>IFERROR(INDEX(Stores!$E:$E,MATCH(E1124,Stores!$A:$A,0)),"Unknown")</f>
        <v>South Zone 1</v>
      </c>
      <c r="Z1124" t="str">
        <f>IFERROR(INDEX(Customers!$J:$J,MATCH(C1124,Customers!$A:$A,0)),"Unknown")</f>
        <v>Regular</v>
      </c>
      <c r="AA1124" t="str">
        <f t="shared" si="17"/>
        <v>2024-07</v>
      </c>
      <c r="AB1124" t="str">
        <f>IFERROR(INDEX(Products!$I:$I,MATCH(D1124,Products!$A:$A,0)),"Unknown")</f>
        <v>SUP040</v>
      </c>
    </row>
    <row r="1125" spans="1:28" x14ac:dyDescent="0.25">
      <c r="A1125" t="s">
        <v>2852</v>
      </c>
      <c r="B1125" s="20">
        <v>45442</v>
      </c>
      <c r="C1125" t="s">
        <v>611</v>
      </c>
      <c r="D1125" t="s">
        <v>2853</v>
      </c>
      <c r="E1125" t="s">
        <v>515</v>
      </c>
      <c r="F1125" t="s">
        <v>150</v>
      </c>
      <c r="G1125">
        <v>1</v>
      </c>
      <c r="H1125" s="21">
        <v>1198.45</v>
      </c>
      <c r="I1125">
        <v>15</v>
      </c>
      <c r="J1125" s="21">
        <v>179.77</v>
      </c>
      <c r="K1125">
        <v>12</v>
      </c>
      <c r="L1125" s="21">
        <v>122.24</v>
      </c>
      <c r="M1125" s="21">
        <v>1140.92</v>
      </c>
      <c r="N1125" s="21">
        <v>798.46</v>
      </c>
      <c r="O1125" s="21">
        <v>220.22</v>
      </c>
      <c r="P1125" t="s">
        <v>125</v>
      </c>
      <c r="Q1125" t="s">
        <v>122</v>
      </c>
      <c r="R1125" t="s">
        <v>151</v>
      </c>
      <c r="S1125" t="s">
        <v>1650</v>
      </c>
      <c r="T1125" t="s">
        <v>153</v>
      </c>
      <c r="U1125" t="s">
        <v>154</v>
      </c>
      <c r="V1125" t="str">
        <f>IFERROR(INDEX(Products!$C:$C,MATCH(D1125,Products!$A:$A,0)),"Unknown")</f>
        <v>Men Trousers</v>
      </c>
      <c r="W1125" t="str">
        <f>IFERROR(INDEX(Products!$E:$E,MATCH(D1125,Products!$A:$A,0)),"Unknown")</f>
        <v>Arrow</v>
      </c>
      <c r="X1125" t="str">
        <f>IFERROR(INDEX(Stores!$B:$B,MATCH(E1125,Stores!$A:$A,0)),"Unknown")</f>
        <v>TrendMart Kochi High Street</v>
      </c>
      <c r="Y1125" t="str">
        <f>IFERROR(INDEX(Stores!$E:$E,MATCH(E1125,Stores!$A:$A,0)),"Unknown")</f>
        <v>South Zone 1</v>
      </c>
      <c r="Z1125" t="str">
        <f>IFERROR(INDEX(Customers!$J:$J,MATCH(C1125,Customers!$A:$A,0)),"Unknown")</f>
        <v>Regular</v>
      </c>
      <c r="AA1125" t="str">
        <f t="shared" si="17"/>
        <v>2024-05</v>
      </c>
      <c r="AB1125" t="str">
        <f>IFERROR(INDEX(Products!$I:$I,MATCH(D1125,Products!$A:$A,0)),"Unknown")</f>
        <v>SUP050</v>
      </c>
    </row>
    <row r="1126" spans="1:28" x14ac:dyDescent="0.25">
      <c r="A1126" t="s">
        <v>2854</v>
      </c>
      <c r="B1126" s="20">
        <v>45709</v>
      </c>
      <c r="C1126" t="s">
        <v>2855</v>
      </c>
      <c r="D1126" t="s">
        <v>805</v>
      </c>
      <c r="E1126" t="s">
        <v>831</v>
      </c>
      <c r="F1126" t="s">
        <v>618</v>
      </c>
      <c r="G1126">
        <v>1</v>
      </c>
      <c r="H1126" s="21">
        <v>1015.15</v>
      </c>
      <c r="I1126">
        <v>0</v>
      </c>
      <c r="J1126" s="21">
        <v>0</v>
      </c>
      <c r="K1126">
        <v>12</v>
      </c>
      <c r="L1126" s="21">
        <v>121.82</v>
      </c>
      <c r="M1126" s="21">
        <v>1136.97</v>
      </c>
      <c r="N1126" s="21">
        <v>583.86</v>
      </c>
      <c r="O1126" s="21">
        <v>431.29</v>
      </c>
      <c r="P1126" t="s">
        <v>124</v>
      </c>
      <c r="Q1126" t="s">
        <v>122</v>
      </c>
      <c r="R1126" t="s">
        <v>151</v>
      </c>
      <c r="S1126" t="s">
        <v>2190</v>
      </c>
      <c r="T1126" t="s">
        <v>153</v>
      </c>
      <c r="U1126" t="s">
        <v>154</v>
      </c>
      <c r="V1126" t="str">
        <f>IFERROR(INDEX(Products!$C:$C,MATCH(D1126,Products!$A:$A,0)),"Unknown")</f>
        <v>Accessories</v>
      </c>
      <c r="W1126" t="str">
        <f>IFERROR(INDEX(Products!$E:$E,MATCH(D1126,Products!$A:$A,0)),"Unknown")</f>
        <v>Being Human</v>
      </c>
      <c r="X1126" t="str">
        <f>IFERROR(INDEX(Stores!$B:$B,MATCH(E1126,Stores!$A:$A,0)),"Unknown")</f>
        <v>TrendMart Vellore Standard</v>
      </c>
      <c r="Y1126" t="str">
        <f>IFERROR(INDEX(Stores!$E:$E,MATCH(E1126,Stores!$A:$A,0)),"Unknown")</f>
        <v>South Zone 1</v>
      </c>
      <c r="Z1126" t="str">
        <f>IFERROR(INDEX(Customers!$J:$J,MATCH(C1126,Customers!$A:$A,0)),"Unknown")</f>
        <v>Regular</v>
      </c>
      <c r="AA1126" t="str">
        <f t="shared" si="17"/>
        <v>2025-02</v>
      </c>
      <c r="AB1126" t="str">
        <f>IFERROR(INDEX(Products!$I:$I,MATCH(D1126,Products!$A:$A,0)),"Unknown")</f>
        <v>SUP069</v>
      </c>
    </row>
    <row r="1127" spans="1:28" x14ac:dyDescent="0.25">
      <c r="A1127" t="s">
        <v>2856</v>
      </c>
      <c r="B1127" s="20">
        <v>45717</v>
      </c>
      <c r="C1127" t="s">
        <v>887</v>
      </c>
      <c r="D1127" t="s">
        <v>769</v>
      </c>
      <c r="E1127" t="s">
        <v>613</v>
      </c>
      <c r="F1127" t="s">
        <v>286</v>
      </c>
      <c r="G1127">
        <v>1</v>
      </c>
      <c r="H1127" s="21">
        <v>1775.39</v>
      </c>
      <c r="I1127">
        <v>20</v>
      </c>
      <c r="J1127" s="21">
        <v>355.08</v>
      </c>
      <c r="K1127">
        <v>12</v>
      </c>
      <c r="L1127" s="21">
        <v>170.44</v>
      </c>
      <c r="M1127" s="21">
        <v>1590.75</v>
      </c>
      <c r="N1127" s="21">
        <v>1115.19</v>
      </c>
      <c r="O1127" s="21">
        <v>305.12</v>
      </c>
      <c r="P1127" t="s">
        <v>127</v>
      </c>
      <c r="Q1127" t="s">
        <v>120</v>
      </c>
      <c r="R1127" t="s">
        <v>151</v>
      </c>
      <c r="S1127" t="s">
        <v>869</v>
      </c>
      <c r="T1127" t="s">
        <v>161</v>
      </c>
      <c r="U1127" t="s">
        <v>154</v>
      </c>
      <c r="V1127" t="str">
        <f>IFERROR(INDEX(Products!$C:$C,MATCH(D1127,Products!$A:$A,0)),"Unknown")</f>
        <v>Sportswear</v>
      </c>
      <c r="W1127" t="str">
        <f>IFERROR(INDEX(Products!$E:$E,MATCH(D1127,Products!$A:$A,0)),"Unknown")</f>
        <v>Allen Solly</v>
      </c>
      <c r="X1127" t="str">
        <f>IFERROR(INDEX(Stores!$B:$B,MATCH(E1127,Stores!$A:$A,0)),"Unknown")</f>
        <v>TrendMart Kochi Mall Kiosk</v>
      </c>
      <c r="Y1127" t="str">
        <f>IFERROR(INDEX(Stores!$E:$E,MATCH(E1127,Stores!$A:$A,0)),"Unknown")</f>
        <v>South Zone 1</v>
      </c>
      <c r="Z1127" t="str">
        <f>IFERROR(INDEX(Customers!$J:$J,MATCH(C1127,Customers!$A:$A,0)),"Unknown")</f>
        <v>Regular</v>
      </c>
      <c r="AA1127" t="str">
        <f t="shared" si="17"/>
        <v>2025-03</v>
      </c>
      <c r="AB1127" t="str">
        <f>IFERROR(INDEX(Products!$I:$I,MATCH(D1127,Products!$A:$A,0)),"Unknown")</f>
        <v>SUP029</v>
      </c>
    </row>
    <row r="1128" spans="1:28" x14ac:dyDescent="0.25">
      <c r="A1128" t="s">
        <v>2857</v>
      </c>
      <c r="B1128" s="20">
        <v>45461</v>
      </c>
      <c r="C1128" t="s">
        <v>2858</v>
      </c>
      <c r="D1128" t="s">
        <v>926</v>
      </c>
      <c r="E1128" t="s">
        <v>247</v>
      </c>
      <c r="F1128" t="s">
        <v>532</v>
      </c>
      <c r="G1128">
        <v>2</v>
      </c>
      <c r="H1128" s="21">
        <v>1229.23</v>
      </c>
      <c r="I1128">
        <v>10</v>
      </c>
      <c r="J1128" s="21">
        <v>245.85</v>
      </c>
      <c r="K1128">
        <v>12</v>
      </c>
      <c r="L1128" s="21">
        <v>265.51</v>
      </c>
      <c r="M1128" s="21">
        <v>2478.12</v>
      </c>
      <c r="N1128" s="21">
        <v>1621.24</v>
      </c>
      <c r="O1128" s="21">
        <v>591.37</v>
      </c>
      <c r="P1128" t="s">
        <v>126</v>
      </c>
      <c r="Q1128" t="s">
        <v>122</v>
      </c>
      <c r="R1128" t="s">
        <v>151</v>
      </c>
      <c r="S1128" t="s">
        <v>1639</v>
      </c>
      <c r="T1128" t="s">
        <v>153</v>
      </c>
      <c r="U1128" t="s">
        <v>154</v>
      </c>
      <c r="V1128" t="str">
        <f>IFERROR(INDEX(Products!$C:$C,MATCH(D1128,Products!$A:$A,0)),"Unknown")</f>
        <v>Women Dresses</v>
      </c>
      <c r="W1128" t="str">
        <f>IFERROR(INDEX(Products!$E:$E,MATCH(D1128,Products!$A:$A,0)),"Unknown")</f>
        <v>Fabindia</v>
      </c>
      <c r="X1128" t="str">
        <f>IFERROR(INDEX(Stores!$B:$B,MATCH(E1128,Stores!$A:$A,0)),"Unknown")</f>
        <v>TrendMart Tirupati Outlet</v>
      </c>
      <c r="Y1128" t="str">
        <f>IFERROR(INDEX(Stores!$E:$E,MATCH(E1128,Stores!$A:$A,0)),"Unknown")</f>
        <v>South Zone 3</v>
      </c>
      <c r="Z1128" t="str">
        <f>IFERROR(INDEX(Customers!$J:$J,MATCH(C1128,Customers!$A:$A,0)),"Unknown")</f>
        <v>Regular</v>
      </c>
      <c r="AA1128" t="str">
        <f t="shared" si="17"/>
        <v>2024-06</v>
      </c>
      <c r="AB1128" t="str">
        <f>IFERROR(INDEX(Products!$I:$I,MATCH(D1128,Products!$A:$A,0)),"Unknown")</f>
        <v>SUP059</v>
      </c>
    </row>
    <row r="1129" spans="1:28" x14ac:dyDescent="0.25">
      <c r="A1129" t="s">
        <v>2859</v>
      </c>
      <c r="B1129" s="20">
        <v>45645</v>
      </c>
      <c r="C1129" t="s">
        <v>2750</v>
      </c>
      <c r="D1129" t="s">
        <v>531</v>
      </c>
      <c r="E1129" t="s">
        <v>95</v>
      </c>
      <c r="F1129" t="s">
        <v>258</v>
      </c>
      <c r="G1129">
        <v>1</v>
      </c>
      <c r="H1129" s="21">
        <v>2929.58</v>
      </c>
      <c r="I1129">
        <v>20</v>
      </c>
      <c r="J1129" s="21">
        <v>585.91999999999996</v>
      </c>
      <c r="K1129">
        <v>12</v>
      </c>
      <c r="L1129" s="21">
        <v>281.24</v>
      </c>
      <c r="M1129" s="21">
        <v>2624.9</v>
      </c>
      <c r="N1129" s="21">
        <v>2034.01</v>
      </c>
      <c r="O1129" s="21">
        <v>309.64999999999998</v>
      </c>
      <c r="P1129" t="s">
        <v>124</v>
      </c>
      <c r="Q1129" t="s">
        <v>122</v>
      </c>
      <c r="R1129" t="s">
        <v>151</v>
      </c>
      <c r="S1129" t="s">
        <v>2216</v>
      </c>
      <c r="T1129" t="s">
        <v>153</v>
      </c>
      <c r="U1129" t="s">
        <v>154</v>
      </c>
      <c r="V1129" t="str">
        <f>IFERROR(INDEX(Products!$C:$C,MATCH(D1129,Products!$A:$A,0)),"Unknown")</f>
        <v>Handbags</v>
      </c>
      <c r="W1129" t="str">
        <f>IFERROR(INDEX(Products!$E:$E,MATCH(D1129,Products!$A:$A,0)),"Unknown")</f>
        <v>GRT Jewellers</v>
      </c>
      <c r="X1129" t="str">
        <f>IFERROR(INDEX(Stores!$B:$B,MATCH(E1129,Stores!$A:$A,0)),"Unknown")</f>
        <v>TrendMart Thrissur Standard</v>
      </c>
      <c r="Y1129" t="str">
        <f>IFERROR(INDEX(Stores!$E:$E,MATCH(E1129,Stores!$A:$A,0)),"Unknown")</f>
        <v>South Zone 1</v>
      </c>
      <c r="Z1129" t="str">
        <f>IFERROR(INDEX(Customers!$J:$J,MATCH(C1129,Customers!$A:$A,0)),"Unknown")</f>
        <v>Platinum</v>
      </c>
      <c r="AA1129" t="str">
        <f t="shared" si="17"/>
        <v>2024-12</v>
      </c>
      <c r="AB1129" t="str">
        <f>IFERROR(INDEX(Products!$I:$I,MATCH(D1129,Products!$A:$A,0)),"Unknown")</f>
        <v>SUP047</v>
      </c>
    </row>
    <row r="1130" spans="1:28" x14ac:dyDescent="0.25">
      <c r="A1130" t="s">
        <v>2860</v>
      </c>
      <c r="B1130" s="20">
        <v>45746</v>
      </c>
      <c r="C1130" t="s">
        <v>2320</v>
      </c>
      <c r="D1130" t="s">
        <v>466</v>
      </c>
      <c r="E1130" t="s">
        <v>823</v>
      </c>
      <c r="F1130" t="s">
        <v>596</v>
      </c>
      <c r="G1130">
        <v>2</v>
      </c>
      <c r="H1130" s="21">
        <v>818.6</v>
      </c>
      <c r="I1130">
        <v>5</v>
      </c>
      <c r="J1130" s="21">
        <v>81.86</v>
      </c>
      <c r="K1130">
        <v>5</v>
      </c>
      <c r="L1130" s="21">
        <v>77.77</v>
      </c>
      <c r="M1130" s="21">
        <v>1633.11</v>
      </c>
      <c r="N1130" s="21">
        <v>1142.18</v>
      </c>
      <c r="O1130" s="21">
        <v>413.16</v>
      </c>
      <c r="P1130" t="s">
        <v>121</v>
      </c>
      <c r="Q1130" t="s">
        <v>120</v>
      </c>
      <c r="R1130" t="s">
        <v>151</v>
      </c>
      <c r="S1130" t="s">
        <v>1112</v>
      </c>
      <c r="T1130" t="s">
        <v>161</v>
      </c>
      <c r="U1130" t="s">
        <v>154</v>
      </c>
      <c r="V1130" t="str">
        <f>IFERROR(INDEX(Products!$C:$C,MATCH(D1130,Products!$A:$A,0)),"Unknown")</f>
        <v>Women Kurtis</v>
      </c>
      <c r="W1130" t="str">
        <f>IFERROR(INDEX(Products!$E:$E,MATCH(D1130,Products!$A:$A,0)),"Unknown")</f>
        <v>Fabindia</v>
      </c>
      <c r="X1130" t="str">
        <f>IFERROR(INDEX(Stores!$B:$B,MATCH(E1130,Stores!$A:$A,0)),"Unknown")</f>
        <v>TrendMart Thoothukudi Mall Kiosk</v>
      </c>
      <c r="Y1130" t="str">
        <f>IFERROR(INDEX(Stores!$E:$E,MATCH(E1130,Stores!$A:$A,0)),"Unknown")</f>
        <v>South Zone 1</v>
      </c>
      <c r="Z1130" t="str">
        <f>IFERROR(INDEX(Customers!$J:$J,MATCH(C1130,Customers!$A:$A,0)),"Unknown")</f>
        <v>Platinum</v>
      </c>
      <c r="AA1130" t="str">
        <f t="shared" si="17"/>
        <v>2025-03</v>
      </c>
      <c r="AB1130" t="str">
        <f>IFERROR(INDEX(Products!$I:$I,MATCH(D1130,Products!$A:$A,0)),"Unknown")</f>
        <v>SUP017</v>
      </c>
    </row>
    <row r="1131" spans="1:28" x14ac:dyDescent="0.25">
      <c r="A1131" t="s">
        <v>2861</v>
      </c>
      <c r="B1131" s="20">
        <v>45633</v>
      </c>
      <c r="C1131" t="s">
        <v>1035</v>
      </c>
      <c r="D1131" t="s">
        <v>447</v>
      </c>
      <c r="E1131" t="s">
        <v>241</v>
      </c>
      <c r="F1131" t="s">
        <v>532</v>
      </c>
      <c r="G1131">
        <v>2</v>
      </c>
      <c r="H1131" s="21">
        <v>1473.52</v>
      </c>
      <c r="I1131">
        <v>30</v>
      </c>
      <c r="J1131" s="21">
        <v>884.11</v>
      </c>
      <c r="K1131">
        <v>12</v>
      </c>
      <c r="L1131" s="21">
        <v>247.55</v>
      </c>
      <c r="M1131" s="21">
        <v>2310.48</v>
      </c>
      <c r="N1131" s="21">
        <v>2146.9</v>
      </c>
      <c r="O1131" s="21">
        <v>-83.97</v>
      </c>
      <c r="P1131" t="s">
        <v>125</v>
      </c>
      <c r="Q1131" t="s">
        <v>120</v>
      </c>
      <c r="R1131" t="s">
        <v>151</v>
      </c>
      <c r="S1131" t="s">
        <v>326</v>
      </c>
      <c r="T1131" t="s">
        <v>161</v>
      </c>
      <c r="U1131" t="s">
        <v>184</v>
      </c>
      <c r="V1131" t="str">
        <f>IFERROR(INDEX(Products!$C:$C,MATCH(D1131,Products!$A:$A,0)),"Unknown")</f>
        <v>Women Jeans</v>
      </c>
      <c r="W1131" t="str">
        <f>IFERROR(INDEX(Products!$E:$E,MATCH(D1131,Products!$A:$A,0)),"Unknown")</f>
        <v>Biba</v>
      </c>
      <c r="X1131" t="str">
        <f>IFERROR(INDEX(Stores!$B:$B,MATCH(E1131,Stores!$A:$A,0)),"Unknown")</f>
        <v>TrendMart Nizamabad Mall Kiosk</v>
      </c>
      <c r="Y1131" t="str">
        <f>IFERROR(INDEX(Stores!$E:$E,MATCH(E1131,Stores!$A:$A,0)),"Unknown")</f>
        <v>South Zone 2</v>
      </c>
      <c r="Z1131" t="str">
        <f>IFERROR(INDEX(Customers!$J:$J,MATCH(C1131,Customers!$A:$A,0)),"Unknown")</f>
        <v>Regular</v>
      </c>
      <c r="AA1131" t="str">
        <f t="shared" si="17"/>
        <v>2024-12</v>
      </c>
      <c r="AB1131" t="str">
        <f>IFERROR(INDEX(Products!$I:$I,MATCH(D1131,Products!$A:$A,0)),"Unknown")</f>
        <v>SUP069</v>
      </c>
    </row>
    <row r="1132" spans="1:28" x14ac:dyDescent="0.25">
      <c r="A1132" t="s">
        <v>2862</v>
      </c>
      <c r="B1132" s="20">
        <v>45543</v>
      </c>
      <c r="C1132" t="s">
        <v>1618</v>
      </c>
      <c r="D1132" t="s">
        <v>558</v>
      </c>
      <c r="E1132" t="s">
        <v>999</v>
      </c>
      <c r="F1132" t="s">
        <v>443</v>
      </c>
      <c r="G1132">
        <v>1</v>
      </c>
      <c r="H1132" s="21">
        <v>729.16</v>
      </c>
      <c r="I1132">
        <v>5</v>
      </c>
      <c r="J1132" s="21">
        <v>36.46</v>
      </c>
      <c r="K1132">
        <v>5</v>
      </c>
      <c r="L1132" s="21">
        <v>34.630000000000003</v>
      </c>
      <c r="M1132" s="21">
        <v>727.33</v>
      </c>
      <c r="N1132" s="21">
        <v>457.16</v>
      </c>
      <c r="O1132" s="21">
        <v>235.54</v>
      </c>
      <c r="P1132" t="s">
        <v>123</v>
      </c>
      <c r="Q1132" t="s">
        <v>120</v>
      </c>
      <c r="R1132" t="s">
        <v>151</v>
      </c>
      <c r="S1132" t="s">
        <v>786</v>
      </c>
      <c r="T1132" t="s">
        <v>161</v>
      </c>
      <c r="U1132" t="s">
        <v>154</v>
      </c>
      <c r="V1132" t="str">
        <f>IFERROR(INDEX(Products!$C:$C,MATCH(D1132,Products!$A:$A,0)),"Unknown")</f>
        <v>Women Tops</v>
      </c>
      <c r="W1132" t="str">
        <f>IFERROR(INDEX(Products!$E:$E,MATCH(D1132,Products!$A:$A,0)),"Unknown")</f>
        <v>Aurelia</v>
      </c>
      <c r="X1132" t="str">
        <f>IFERROR(INDEX(Stores!$B:$B,MATCH(E1132,Stores!$A:$A,0)),"Unknown")</f>
        <v>TrendMart Tumakuru Standard</v>
      </c>
      <c r="Y1132" t="str">
        <f>IFERROR(INDEX(Stores!$E:$E,MATCH(E1132,Stores!$A:$A,0)),"Unknown")</f>
        <v>South Zone 2</v>
      </c>
      <c r="Z1132" t="str">
        <f>IFERROR(INDEX(Customers!$J:$J,MATCH(C1132,Customers!$A:$A,0)),"Unknown")</f>
        <v>Regular</v>
      </c>
      <c r="AA1132" t="str">
        <f t="shared" si="17"/>
        <v>2024-09</v>
      </c>
      <c r="AB1132" t="str">
        <f>IFERROR(INDEX(Products!$I:$I,MATCH(D1132,Products!$A:$A,0)),"Unknown")</f>
        <v>SUP055</v>
      </c>
    </row>
    <row r="1133" spans="1:28" x14ac:dyDescent="0.25">
      <c r="A1133" t="s">
        <v>2863</v>
      </c>
      <c r="B1133" s="20">
        <v>45743</v>
      </c>
      <c r="C1133" t="s">
        <v>2838</v>
      </c>
      <c r="D1133" t="s">
        <v>697</v>
      </c>
      <c r="E1133" t="s">
        <v>741</v>
      </c>
      <c r="F1133" t="s">
        <v>195</v>
      </c>
      <c r="G1133">
        <v>3</v>
      </c>
      <c r="H1133" s="21">
        <v>1027.17</v>
      </c>
      <c r="I1133">
        <v>15</v>
      </c>
      <c r="J1133" s="21">
        <v>462.23</v>
      </c>
      <c r="K1133">
        <v>12</v>
      </c>
      <c r="L1133" s="21">
        <v>314.31</v>
      </c>
      <c r="M1133" s="21">
        <v>2933.59</v>
      </c>
      <c r="N1133" s="21">
        <v>2099.52</v>
      </c>
      <c r="O1133" s="21">
        <v>519.76</v>
      </c>
      <c r="P1133" t="s">
        <v>121</v>
      </c>
      <c r="Q1133" t="s">
        <v>120</v>
      </c>
      <c r="R1133" t="s">
        <v>151</v>
      </c>
      <c r="S1133" t="s">
        <v>1525</v>
      </c>
      <c r="T1133" t="s">
        <v>153</v>
      </c>
      <c r="U1133" t="s">
        <v>154</v>
      </c>
      <c r="V1133" t="str">
        <f>IFERROR(INDEX(Products!$C:$C,MATCH(D1133,Products!$A:$A,0)),"Unknown")</f>
        <v>Women Tops</v>
      </c>
      <c r="W1133" t="str">
        <f>IFERROR(INDEX(Products!$E:$E,MATCH(D1133,Products!$A:$A,0)),"Unknown")</f>
        <v>Nalli Silks</v>
      </c>
      <c r="X1133" t="str">
        <f>IFERROR(INDEX(Stores!$B:$B,MATCH(E1133,Stores!$A:$A,0)),"Unknown")</f>
        <v>TrendMart Nellore Mall Kiosk</v>
      </c>
      <c r="Y1133" t="str">
        <f>IFERROR(INDEX(Stores!$E:$E,MATCH(E1133,Stores!$A:$A,0)),"Unknown")</f>
        <v>South Zone 3</v>
      </c>
      <c r="Z1133" t="str">
        <f>IFERROR(INDEX(Customers!$J:$J,MATCH(C1133,Customers!$A:$A,0)),"Unknown")</f>
        <v>Regular</v>
      </c>
      <c r="AA1133" t="str">
        <f t="shared" si="17"/>
        <v>2025-03</v>
      </c>
      <c r="AB1133" t="str">
        <f>IFERROR(INDEX(Products!$I:$I,MATCH(D1133,Products!$A:$A,0)),"Unknown")</f>
        <v>SUP008</v>
      </c>
    </row>
    <row r="1134" spans="1:28" x14ac:dyDescent="0.25">
      <c r="A1134" t="s">
        <v>2864</v>
      </c>
      <c r="B1134" s="20">
        <v>45650</v>
      </c>
      <c r="C1134" t="s">
        <v>2357</v>
      </c>
      <c r="D1134" t="s">
        <v>937</v>
      </c>
      <c r="E1134" t="s">
        <v>86</v>
      </c>
      <c r="F1134" t="s">
        <v>258</v>
      </c>
      <c r="G1134">
        <v>3</v>
      </c>
      <c r="H1134" s="21">
        <v>1185.8599999999999</v>
      </c>
      <c r="I1134">
        <v>10</v>
      </c>
      <c r="J1134" s="21">
        <v>355.76</v>
      </c>
      <c r="K1134">
        <v>12</v>
      </c>
      <c r="L1134" s="21">
        <v>384.22</v>
      </c>
      <c r="M1134" s="21">
        <v>3586.04</v>
      </c>
      <c r="N1134" s="21">
        <v>2585.4</v>
      </c>
      <c r="O1134" s="21">
        <v>616.41999999999996</v>
      </c>
      <c r="P1134" t="s">
        <v>121</v>
      </c>
      <c r="Q1134" t="s">
        <v>120</v>
      </c>
      <c r="R1134" t="s">
        <v>151</v>
      </c>
      <c r="S1134" t="s">
        <v>503</v>
      </c>
      <c r="T1134" t="s">
        <v>153</v>
      </c>
      <c r="U1134" t="s">
        <v>154</v>
      </c>
      <c r="V1134" t="str">
        <f>IFERROR(INDEX(Products!$C:$C,MATCH(D1134,Products!$A:$A,0)),"Unknown")</f>
        <v>Men Shirts</v>
      </c>
      <c r="W1134" t="str">
        <f>IFERROR(INDEX(Products!$E:$E,MATCH(D1134,Products!$A:$A,0)),"Unknown")</f>
        <v>Skechers</v>
      </c>
      <c r="X1134" t="str">
        <f>IFERROR(INDEX(Stores!$B:$B,MATCH(E1134,Stores!$A:$A,0)),"Unknown")</f>
        <v>TrendMart Warangal High Street</v>
      </c>
      <c r="Y1134" t="str">
        <f>IFERROR(INDEX(Stores!$E:$E,MATCH(E1134,Stores!$A:$A,0)),"Unknown")</f>
        <v>South Zone 2</v>
      </c>
      <c r="Z1134" t="str">
        <f>IFERROR(INDEX(Customers!$J:$J,MATCH(C1134,Customers!$A:$A,0)),"Unknown")</f>
        <v>Silver</v>
      </c>
      <c r="AA1134" t="str">
        <f t="shared" si="17"/>
        <v>2024-12</v>
      </c>
      <c r="AB1134" t="str">
        <f>IFERROR(INDEX(Products!$I:$I,MATCH(D1134,Products!$A:$A,0)),"Unknown")</f>
        <v>SUP042</v>
      </c>
    </row>
    <row r="1135" spans="1:28" x14ac:dyDescent="0.25">
      <c r="A1135" t="s">
        <v>2865</v>
      </c>
      <c r="B1135" s="20">
        <v>45451</v>
      </c>
      <c r="C1135" t="s">
        <v>984</v>
      </c>
      <c r="D1135" t="s">
        <v>333</v>
      </c>
      <c r="E1135" t="s">
        <v>1426</v>
      </c>
      <c r="F1135" t="s">
        <v>408</v>
      </c>
      <c r="G1135">
        <v>1</v>
      </c>
      <c r="H1135" s="21">
        <v>2402.56</v>
      </c>
      <c r="I1135">
        <v>10</v>
      </c>
      <c r="J1135" s="21">
        <v>240.26</v>
      </c>
      <c r="K1135">
        <v>12</v>
      </c>
      <c r="L1135" s="21">
        <v>259.48</v>
      </c>
      <c r="M1135" s="21">
        <v>2421.7800000000002</v>
      </c>
      <c r="N1135" s="21">
        <v>1767.32</v>
      </c>
      <c r="O1135" s="21">
        <v>394.98</v>
      </c>
      <c r="P1135" t="s">
        <v>121</v>
      </c>
      <c r="Q1135" t="s">
        <v>120</v>
      </c>
      <c r="R1135" t="s">
        <v>151</v>
      </c>
      <c r="S1135" t="s">
        <v>1112</v>
      </c>
      <c r="T1135" t="s">
        <v>161</v>
      </c>
      <c r="U1135" t="s">
        <v>154</v>
      </c>
      <c r="V1135" t="str">
        <f>IFERROR(INDEX(Products!$C:$C,MATCH(D1135,Products!$A:$A,0)),"Unknown")</f>
        <v>Winter Wear</v>
      </c>
      <c r="W1135" t="str">
        <f>IFERROR(INDEX(Products!$E:$E,MATCH(D1135,Products!$A:$A,0)),"Unknown")</f>
        <v>GRT Jewellers</v>
      </c>
      <c r="X1135" t="str">
        <f>IFERROR(INDEX(Stores!$B:$B,MATCH(E1135,Stores!$A:$A,0)),"Unknown")</f>
        <v>TrendMart Alappuzha Mall Kiosk</v>
      </c>
      <c r="Y1135" t="str">
        <f>IFERROR(INDEX(Stores!$E:$E,MATCH(E1135,Stores!$A:$A,0)),"Unknown")</f>
        <v>South Zone 1</v>
      </c>
      <c r="Z1135" t="str">
        <f>IFERROR(INDEX(Customers!$J:$J,MATCH(C1135,Customers!$A:$A,0)),"Unknown")</f>
        <v>Gold</v>
      </c>
      <c r="AA1135" t="str">
        <f t="shared" si="17"/>
        <v>2024-06</v>
      </c>
      <c r="AB1135" t="str">
        <f>IFERROR(INDEX(Products!$I:$I,MATCH(D1135,Products!$A:$A,0)),"Unknown")</f>
        <v>SUP052</v>
      </c>
    </row>
    <row r="1136" spans="1:28" x14ac:dyDescent="0.25">
      <c r="A1136" t="s">
        <v>2866</v>
      </c>
      <c r="B1136" s="20">
        <v>45722</v>
      </c>
      <c r="C1136" t="s">
        <v>2357</v>
      </c>
      <c r="D1136" t="s">
        <v>949</v>
      </c>
      <c r="E1136" t="s">
        <v>343</v>
      </c>
      <c r="F1136" t="s">
        <v>170</v>
      </c>
      <c r="G1136">
        <v>1</v>
      </c>
      <c r="H1136" s="21">
        <v>1543.77</v>
      </c>
      <c r="I1136">
        <v>20</v>
      </c>
      <c r="J1136" s="21">
        <v>308.75</v>
      </c>
      <c r="K1136">
        <v>12</v>
      </c>
      <c r="L1136" s="21">
        <v>148.19999999999999</v>
      </c>
      <c r="M1136" s="21">
        <v>1383.22</v>
      </c>
      <c r="N1136" s="21">
        <v>988.57</v>
      </c>
      <c r="O1136" s="21">
        <v>246.45</v>
      </c>
      <c r="P1136" t="s">
        <v>123</v>
      </c>
      <c r="Q1136" t="s">
        <v>120</v>
      </c>
      <c r="R1136" t="s">
        <v>151</v>
      </c>
      <c r="S1136" t="s">
        <v>2867</v>
      </c>
      <c r="T1136" t="s">
        <v>153</v>
      </c>
      <c r="U1136" t="s">
        <v>154</v>
      </c>
      <c r="V1136" t="str">
        <f>IFERROR(INDEX(Products!$C:$C,MATCH(D1136,Products!$A:$A,0)),"Unknown")</f>
        <v>Handbags</v>
      </c>
      <c r="W1136" t="str">
        <f>IFERROR(INDEX(Products!$E:$E,MATCH(D1136,Products!$A:$A,0)),"Unknown")</f>
        <v>Fastrack</v>
      </c>
      <c r="X1136" t="str">
        <f>IFERROR(INDEX(Stores!$B:$B,MATCH(E1136,Stores!$A:$A,0)),"Unknown")</f>
        <v>TrendMart Tumakuru Outlet</v>
      </c>
      <c r="Y1136" t="str">
        <f>IFERROR(INDEX(Stores!$E:$E,MATCH(E1136,Stores!$A:$A,0)),"Unknown")</f>
        <v>South Zone 2</v>
      </c>
      <c r="Z1136" t="str">
        <f>IFERROR(INDEX(Customers!$J:$J,MATCH(C1136,Customers!$A:$A,0)),"Unknown")</f>
        <v>Silver</v>
      </c>
      <c r="AA1136" t="str">
        <f t="shared" si="17"/>
        <v>2025-03</v>
      </c>
      <c r="AB1136" t="str">
        <f>IFERROR(INDEX(Products!$I:$I,MATCH(D1136,Products!$A:$A,0)),"Unknown")</f>
        <v>SUP069</v>
      </c>
    </row>
    <row r="1137" spans="1:28" x14ac:dyDescent="0.25">
      <c r="A1137" t="s">
        <v>2868</v>
      </c>
      <c r="B1137" s="20">
        <v>45533</v>
      </c>
      <c r="C1137" t="s">
        <v>380</v>
      </c>
      <c r="D1137" t="s">
        <v>638</v>
      </c>
      <c r="E1137" t="s">
        <v>613</v>
      </c>
      <c r="F1137" t="s">
        <v>182</v>
      </c>
      <c r="G1137">
        <v>3</v>
      </c>
      <c r="H1137" s="21">
        <v>1312.07</v>
      </c>
      <c r="I1137">
        <v>10</v>
      </c>
      <c r="J1137" s="21">
        <v>393.62</v>
      </c>
      <c r="K1137">
        <v>12</v>
      </c>
      <c r="L1137" s="21">
        <v>425.11</v>
      </c>
      <c r="M1137" s="21">
        <v>3967.7</v>
      </c>
      <c r="N1137" s="21">
        <v>2936.04</v>
      </c>
      <c r="O1137" s="21">
        <v>606.54999999999995</v>
      </c>
      <c r="P1137" t="s">
        <v>123</v>
      </c>
      <c r="Q1137" t="s">
        <v>122</v>
      </c>
      <c r="R1137" t="s">
        <v>151</v>
      </c>
      <c r="S1137" t="s">
        <v>2554</v>
      </c>
      <c r="T1137" t="s">
        <v>153</v>
      </c>
      <c r="U1137" t="s">
        <v>154</v>
      </c>
      <c r="V1137" t="str">
        <f>IFERROR(INDEX(Products!$C:$C,MATCH(D1137,Products!$A:$A,0)),"Unknown")</f>
        <v>Men Trousers</v>
      </c>
      <c r="W1137" t="str">
        <f>IFERROR(INDEX(Products!$E:$E,MATCH(D1137,Products!$A:$A,0)),"Unknown")</f>
        <v>Westside</v>
      </c>
      <c r="X1137" t="str">
        <f>IFERROR(INDEX(Stores!$B:$B,MATCH(E1137,Stores!$A:$A,0)),"Unknown")</f>
        <v>TrendMart Kochi Mall Kiosk</v>
      </c>
      <c r="Y1137" t="str">
        <f>IFERROR(INDEX(Stores!$E:$E,MATCH(E1137,Stores!$A:$A,0)),"Unknown")</f>
        <v>South Zone 1</v>
      </c>
      <c r="Z1137" t="str">
        <f>IFERROR(INDEX(Customers!$J:$J,MATCH(C1137,Customers!$A:$A,0)),"Unknown")</f>
        <v>Regular</v>
      </c>
      <c r="AA1137" t="str">
        <f t="shared" si="17"/>
        <v>2024-08</v>
      </c>
      <c r="AB1137" t="str">
        <f>IFERROR(INDEX(Products!$I:$I,MATCH(D1137,Products!$A:$A,0)),"Unknown")</f>
        <v>SUP071</v>
      </c>
    </row>
    <row r="1138" spans="1:28" x14ac:dyDescent="0.25">
      <c r="A1138" t="s">
        <v>2869</v>
      </c>
      <c r="B1138" s="20">
        <v>45434</v>
      </c>
      <c r="C1138" t="s">
        <v>2870</v>
      </c>
      <c r="D1138" t="s">
        <v>622</v>
      </c>
      <c r="E1138" t="s">
        <v>302</v>
      </c>
      <c r="F1138" t="s">
        <v>201</v>
      </c>
      <c r="G1138">
        <v>2</v>
      </c>
      <c r="H1138" s="21">
        <v>2769.55</v>
      </c>
      <c r="I1138">
        <v>15</v>
      </c>
      <c r="J1138" s="21">
        <v>830.87</v>
      </c>
      <c r="K1138">
        <v>12</v>
      </c>
      <c r="L1138" s="21">
        <v>564.99</v>
      </c>
      <c r="M1138" s="21">
        <v>5273.22</v>
      </c>
      <c r="N1138" s="21">
        <v>3706.28</v>
      </c>
      <c r="O1138" s="21">
        <v>1001.95</v>
      </c>
      <c r="P1138" t="s">
        <v>123</v>
      </c>
      <c r="Q1138" t="s">
        <v>120</v>
      </c>
      <c r="R1138" t="s">
        <v>151</v>
      </c>
      <c r="S1138" t="s">
        <v>2414</v>
      </c>
      <c r="T1138" t="s">
        <v>153</v>
      </c>
      <c r="U1138" t="s">
        <v>154</v>
      </c>
      <c r="V1138" t="str">
        <f>IFERROR(INDEX(Products!$C:$C,MATCH(D1138,Products!$A:$A,0)),"Unknown")</f>
        <v>Women Sarees</v>
      </c>
      <c r="W1138" t="str">
        <f>IFERROR(INDEX(Products!$E:$E,MATCH(D1138,Products!$A:$A,0)),"Unknown")</f>
        <v>Sparx</v>
      </c>
      <c r="X1138" t="str">
        <f>IFERROR(INDEX(Stores!$B:$B,MATCH(E1138,Stores!$A:$A,0)),"Unknown")</f>
        <v>TrendMart Visakhapatnam Standard</v>
      </c>
      <c r="Y1138" t="str">
        <f>IFERROR(INDEX(Stores!$E:$E,MATCH(E1138,Stores!$A:$A,0)),"Unknown")</f>
        <v>South Zone 3</v>
      </c>
      <c r="Z1138" t="str">
        <f>IFERROR(INDEX(Customers!$J:$J,MATCH(C1138,Customers!$A:$A,0)),"Unknown")</f>
        <v>Platinum</v>
      </c>
      <c r="AA1138" t="str">
        <f t="shared" si="17"/>
        <v>2024-05</v>
      </c>
      <c r="AB1138" t="str">
        <f>IFERROR(INDEX(Products!$I:$I,MATCH(D1138,Products!$A:$A,0)),"Unknown")</f>
        <v>SUP080</v>
      </c>
    </row>
    <row r="1139" spans="1:28" x14ac:dyDescent="0.25">
      <c r="A1139" t="s">
        <v>2871</v>
      </c>
      <c r="B1139" s="20">
        <v>45634</v>
      </c>
      <c r="C1139" t="s">
        <v>1790</v>
      </c>
      <c r="D1139" t="s">
        <v>1026</v>
      </c>
      <c r="E1139" t="s">
        <v>1522</v>
      </c>
      <c r="F1139" t="s">
        <v>253</v>
      </c>
      <c r="G1139">
        <v>2</v>
      </c>
      <c r="H1139" s="21">
        <v>1335.35</v>
      </c>
      <c r="I1139">
        <v>5</v>
      </c>
      <c r="J1139" s="21">
        <v>133.53</v>
      </c>
      <c r="K1139">
        <v>12</v>
      </c>
      <c r="L1139" s="21">
        <v>304.45999999999998</v>
      </c>
      <c r="M1139" s="21">
        <v>2841.63</v>
      </c>
      <c r="N1139" s="21">
        <v>1924.34</v>
      </c>
      <c r="O1139" s="21">
        <v>612.83000000000004</v>
      </c>
      <c r="P1139" t="s">
        <v>127</v>
      </c>
      <c r="Q1139" t="s">
        <v>120</v>
      </c>
      <c r="R1139" t="s">
        <v>151</v>
      </c>
      <c r="S1139" t="s">
        <v>478</v>
      </c>
      <c r="T1139" t="s">
        <v>161</v>
      </c>
      <c r="U1139" t="s">
        <v>154</v>
      </c>
      <c r="V1139" t="str">
        <f>IFERROR(INDEX(Products!$C:$C,MATCH(D1139,Products!$A:$A,0)),"Unknown")</f>
        <v>Women Sarees</v>
      </c>
      <c r="W1139" t="str">
        <f>IFERROR(INDEX(Products!$E:$E,MATCH(D1139,Products!$A:$A,0)),"Unknown")</f>
        <v>Spykar</v>
      </c>
      <c r="X1139" t="str">
        <f>IFERROR(INDEX(Stores!$B:$B,MATCH(E1139,Stores!$A:$A,0)),"Unknown")</f>
        <v>TrendMart Guntur High Street</v>
      </c>
      <c r="Y1139" t="str">
        <f>IFERROR(INDEX(Stores!$E:$E,MATCH(E1139,Stores!$A:$A,0)),"Unknown")</f>
        <v>South Zone 3</v>
      </c>
      <c r="Z1139" t="str">
        <f>IFERROR(INDEX(Customers!$J:$J,MATCH(C1139,Customers!$A:$A,0)),"Unknown")</f>
        <v>Gold</v>
      </c>
      <c r="AA1139" t="str">
        <f t="shared" si="17"/>
        <v>2024-12</v>
      </c>
      <c r="AB1139" t="str">
        <f>IFERROR(INDEX(Products!$I:$I,MATCH(D1139,Products!$A:$A,0)),"Unknown")</f>
        <v>SUP001</v>
      </c>
    </row>
    <row r="1140" spans="1:28" x14ac:dyDescent="0.25">
      <c r="A1140" t="s">
        <v>2872</v>
      </c>
      <c r="B1140" s="20">
        <v>45396</v>
      </c>
      <c r="C1140" t="s">
        <v>2873</v>
      </c>
      <c r="D1140" t="s">
        <v>748</v>
      </c>
      <c r="E1140" t="s">
        <v>1426</v>
      </c>
      <c r="F1140" t="s">
        <v>382</v>
      </c>
      <c r="G1140">
        <v>1</v>
      </c>
      <c r="H1140" s="21">
        <v>1253.1300000000001</v>
      </c>
      <c r="I1140">
        <v>10</v>
      </c>
      <c r="J1140" s="21">
        <v>125.31</v>
      </c>
      <c r="K1140">
        <v>12</v>
      </c>
      <c r="L1140" s="21">
        <v>135.34</v>
      </c>
      <c r="M1140" s="21">
        <v>1263.1600000000001</v>
      </c>
      <c r="N1140" s="21">
        <v>841.85</v>
      </c>
      <c r="O1140" s="21">
        <v>285.97000000000003</v>
      </c>
      <c r="P1140" t="s">
        <v>123</v>
      </c>
      <c r="Q1140" t="s">
        <v>120</v>
      </c>
      <c r="R1140" t="s">
        <v>151</v>
      </c>
      <c r="S1140" t="s">
        <v>330</v>
      </c>
      <c r="T1140" t="s">
        <v>161</v>
      </c>
      <c r="U1140" t="s">
        <v>154</v>
      </c>
      <c r="V1140" t="str">
        <f>IFERROR(INDEX(Products!$C:$C,MATCH(D1140,Products!$A:$A,0)),"Unknown")</f>
        <v>Women Dresses</v>
      </c>
      <c r="W1140" t="str">
        <f>IFERROR(INDEX(Products!$E:$E,MATCH(D1140,Products!$A:$A,0)),"Unknown")</f>
        <v>Kalyan Silks</v>
      </c>
      <c r="X1140" t="str">
        <f>IFERROR(INDEX(Stores!$B:$B,MATCH(E1140,Stores!$A:$A,0)),"Unknown")</f>
        <v>TrendMart Alappuzha Mall Kiosk</v>
      </c>
      <c r="Y1140" t="str">
        <f>IFERROR(INDEX(Stores!$E:$E,MATCH(E1140,Stores!$A:$A,0)),"Unknown")</f>
        <v>South Zone 1</v>
      </c>
      <c r="Z1140" t="str">
        <f>IFERROR(INDEX(Customers!$J:$J,MATCH(C1140,Customers!$A:$A,0)),"Unknown")</f>
        <v>Silver</v>
      </c>
      <c r="AA1140" t="str">
        <f t="shared" si="17"/>
        <v>2024-04</v>
      </c>
      <c r="AB1140" t="str">
        <f>IFERROR(INDEX(Products!$I:$I,MATCH(D1140,Products!$A:$A,0)),"Unknown")</f>
        <v>SUP036</v>
      </c>
    </row>
    <row r="1141" spans="1:28" x14ac:dyDescent="0.25">
      <c r="A1141" t="s">
        <v>2874</v>
      </c>
      <c r="B1141" s="20">
        <v>45466</v>
      </c>
      <c r="C1141" t="s">
        <v>1602</v>
      </c>
      <c r="D1141" t="s">
        <v>769</v>
      </c>
      <c r="E1141" t="s">
        <v>158</v>
      </c>
      <c r="F1141" t="s">
        <v>159</v>
      </c>
      <c r="G1141">
        <v>4</v>
      </c>
      <c r="H1141" s="21">
        <v>1593.61</v>
      </c>
      <c r="I1141">
        <v>25</v>
      </c>
      <c r="J1141" s="21">
        <v>1593.61</v>
      </c>
      <c r="K1141">
        <v>12</v>
      </c>
      <c r="L1141" s="21">
        <v>573.70000000000005</v>
      </c>
      <c r="M1141" s="21">
        <v>5354.53</v>
      </c>
      <c r="N1141" s="21">
        <v>4460.76</v>
      </c>
      <c r="O1141" s="21">
        <v>320.07</v>
      </c>
      <c r="P1141" t="s">
        <v>125</v>
      </c>
      <c r="Q1141" t="s">
        <v>120</v>
      </c>
      <c r="R1141" t="s">
        <v>151</v>
      </c>
      <c r="S1141" t="s">
        <v>1696</v>
      </c>
      <c r="T1141" t="s">
        <v>161</v>
      </c>
      <c r="U1141" t="s">
        <v>154</v>
      </c>
      <c r="V1141" t="str">
        <f>IFERROR(INDEX(Products!$C:$C,MATCH(D1141,Products!$A:$A,0)),"Unknown")</f>
        <v>Sportswear</v>
      </c>
      <c r="W1141" t="str">
        <f>IFERROR(INDEX(Products!$E:$E,MATCH(D1141,Products!$A:$A,0)),"Unknown")</f>
        <v>Allen Solly</v>
      </c>
      <c r="X1141" t="str">
        <f>IFERROR(INDEX(Stores!$B:$B,MATCH(E1141,Stores!$A:$A,0)),"Unknown")</f>
        <v>TrendMart Tirunelveli High Street</v>
      </c>
      <c r="Y1141" t="str">
        <f>IFERROR(INDEX(Stores!$E:$E,MATCH(E1141,Stores!$A:$A,0)),"Unknown")</f>
        <v>South Zone 1</v>
      </c>
      <c r="Z1141" t="str">
        <f>IFERROR(INDEX(Customers!$J:$J,MATCH(C1141,Customers!$A:$A,0)),"Unknown")</f>
        <v>Regular</v>
      </c>
      <c r="AA1141" t="str">
        <f t="shared" si="17"/>
        <v>2024-06</v>
      </c>
      <c r="AB1141" t="str">
        <f>IFERROR(INDEX(Products!$I:$I,MATCH(D1141,Products!$A:$A,0)),"Unknown")</f>
        <v>SUP029</v>
      </c>
    </row>
    <row r="1142" spans="1:28" x14ac:dyDescent="0.25">
      <c r="A1142" t="s">
        <v>2875</v>
      </c>
      <c r="B1142" s="20">
        <v>45591</v>
      </c>
      <c r="C1142" t="s">
        <v>2542</v>
      </c>
      <c r="D1142" t="s">
        <v>225</v>
      </c>
      <c r="E1142" t="s">
        <v>701</v>
      </c>
      <c r="F1142" t="s">
        <v>344</v>
      </c>
      <c r="G1142">
        <v>1</v>
      </c>
      <c r="H1142" s="21">
        <v>1850.69</v>
      </c>
      <c r="I1142">
        <v>5</v>
      </c>
      <c r="J1142" s="21">
        <v>92.53</v>
      </c>
      <c r="K1142">
        <v>12</v>
      </c>
      <c r="L1142" s="21">
        <v>210.98</v>
      </c>
      <c r="M1142" s="21">
        <v>1969.14</v>
      </c>
      <c r="N1142" s="21">
        <v>1407.33</v>
      </c>
      <c r="O1142" s="21">
        <v>350.83</v>
      </c>
      <c r="P1142" t="s">
        <v>125</v>
      </c>
      <c r="Q1142" t="s">
        <v>120</v>
      </c>
      <c r="R1142" t="s">
        <v>151</v>
      </c>
      <c r="S1142" t="s">
        <v>412</v>
      </c>
      <c r="T1142" t="s">
        <v>161</v>
      </c>
      <c r="U1142" t="s">
        <v>154</v>
      </c>
      <c r="V1142" t="str">
        <f>IFERROR(INDEX(Products!$C:$C,MATCH(D1142,Products!$A:$A,0)),"Unknown")</f>
        <v>Women Dresses</v>
      </c>
      <c r="W1142" t="str">
        <f>IFERROR(INDEX(Products!$E:$E,MATCH(D1142,Products!$A:$A,0)),"Unknown")</f>
        <v>Tanishq</v>
      </c>
      <c r="X1142" t="str">
        <f>IFERROR(INDEX(Stores!$B:$B,MATCH(E1142,Stores!$A:$A,0)),"Unknown")</f>
        <v>TrendMart Vijayawada Mall Kiosk</v>
      </c>
      <c r="Y1142" t="str">
        <f>IFERROR(INDEX(Stores!$E:$E,MATCH(E1142,Stores!$A:$A,0)),"Unknown")</f>
        <v>South Zone 3</v>
      </c>
      <c r="Z1142" t="str">
        <f>IFERROR(INDEX(Customers!$J:$J,MATCH(C1142,Customers!$A:$A,0)),"Unknown")</f>
        <v>Silver</v>
      </c>
      <c r="AA1142" t="str">
        <f t="shared" si="17"/>
        <v>2024-10</v>
      </c>
      <c r="AB1142" t="str">
        <f>IFERROR(INDEX(Products!$I:$I,MATCH(D1142,Products!$A:$A,0)),"Unknown")</f>
        <v>SUP063</v>
      </c>
    </row>
    <row r="1143" spans="1:28" x14ac:dyDescent="0.25">
      <c r="A1143" t="s">
        <v>2876</v>
      </c>
      <c r="B1143" s="20">
        <v>45516</v>
      </c>
      <c r="C1143" t="s">
        <v>1562</v>
      </c>
      <c r="D1143" t="s">
        <v>1780</v>
      </c>
      <c r="E1143" t="s">
        <v>634</v>
      </c>
      <c r="F1143" t="s">
        <v>176</v>
      </c>
      <c r="G1143">
        <v>4</v>
      </c>
      <c r="H1143" s="21">
        <v>1199.08</v>
      </c>
      <c r="I1143">
        <v>25</v>
      </c>
      <c r="J1143" s="21">
        <v>1199.08</v>
      </c>
      <c r="K1143">
        <v>3</v>
      </c>
      <c r="L1143" s="21">
        <v>107.92</v>
      </c>
      <c r="M1143" s="21">
        <v>3705.16</v>
      </c>
      <c r="N1143" s="21">
        <v>3641.84</v>
      </c>
      <c r="O1143" s="21">
        <v>-44.6</v>
      </c>
      <c r="P1143" t="s">
        <v>124</v>
      </c>
      <c r="Q1143" t="s">
        <v>120</v>
      </c>
      <c r="R1143" t="s">
        <v>151</v>
      </c>
      <c r="S1143" t="s">
        <v>770</v>
      </c>
      <c r="T1143" t="s">
        <v>153</v>
      </c>
      <c r="U1143" t="s">
        <v>184</v>
      </c>
      <c r="V1143" t="str">
        <f>IFERROR(INDEX(Products!$C:$C,MATCH(D1143,Products!$A:$A,0)),"Unknown")</f>
        <v>Jewellery</v>
      </c>
      <c r="W1143" t="str">
        <f>IFERROR(INDEX(Products!$E:$E,MATCH(D1143,Products!$A:$A,0)),"Unknown")</f>
        <v>Flying Machine</v>
      </c>
      <c r="X1143" t="str">
        <f>IFERROR(INDEX(Stores!$B:$B,MATCH(E1143,Stores!$A:$A,0)),"Unknown")</f>
        <v>TrendMart Thrissur High Street</v>
      </c>
      <c r="Y1143" t="str">
        <f>IFERROR(INDEX(Stores!$E:$E,MATCH(E1143,Stores!$A:$A,0)),"Unknown")</f>
        <v>South Zone 1</v>
      </c>
      <c r="Z1143" t="str">
        <f>IFERROR(INDEX(Customers!$J:$J,MATCH(C1143,Customers!$A:$A,0)),"Unknown")</f>
        <v>Regular</v>
      </c>
      <c r="AA1143" t="str">
        <f t="shared" si="17"/>
        <v>2024-08</v>
      </c>
      <c r="AB1143" t="str">
        <f>IFERROR(INDEX(Products!$I:$I,MATCH(D1143,Products!$A:$A,0)),"Unknown")</f>
        <v>SUP039</v>
      </c>
    </row>
    <row r="1144" spans="1:28" x14ac:dyDescent="0.25">
      <c r="A1144" t="s">
        <v>2877</v>
      </c>
      <c r="B1144" s="20">
        <v>45738</v>
      </c>
      <c r="C1144" t="s">
        <v>544</v>
      </c>
      <c r="D1144" t="s">
        <v>801</v>
      </c>
      <c r="E1144" t="s">
        <v>752</v>
      </c>
      <c r="F1144" t="s">
        <v>532</v>
      </c>
      <c r="G1144">
        <v>0</v>
      </c>
      <c r="H1144" s="21">
        <v>653.12</v>
      </c>
      <c r="I1144">
        <v>0</v>
      </c>
      <c r="J1144" s="21">
        <v>0</v>
      </c>
      <c r="K1144">
        <v>5</v>
      </c>
      <c r="L1144" s="21">
        <v>0</v>
      </c>
      <c r="M1144" s="21">
        <v>0</v>
      </c>
      <c r="N1144" s="21">
        <v>0</v>
      </c>
      <c r="O1144" s="21">
        <v>0</v>
      </c>
      <c r="P1144" t="s">
        <v>125</v>
      </c>
      <c r="Q1144" t="s">
        <v>120</v>
      </c>
      <c r="R1144" t="s">
        <v>482</v>
      </c>
      <c r="S1144" t="s">
        <v>1868</v>
      </c>
      <c r="T1144" t="s">
        <v>161</v>
      </c>
      <c r="U1144" t="s">
        <v>154</v>
      </c>
      <c r="V1144" t="str">
        <f>IFERROR(INDEX(Products!$C:$C,MATCH(D1144,Products!$A:$A,0)),"Unknown")</f>
        <v>Kids Wear</v>
      </c>
      <c r="W1144" t="str">
        <f>IFERROR(INDEX(Products!$E:$E,MATCH(D1144,Products!$A:$A,0)),"Unknown")</f>
        <v>Being Human</v>
      </c>
      <c r="X1144" t="str">
        <f>IFERROR(INDEX(Stores!$B:$B,MATCH(E1144,Stores!$A:$A,0)),"Unknown")</f>
        <v>TrendMart Dindigul High Street</v>
      </c>
      <c r="Y1144" t="str">
        <f>IFERROR(INDEX(Stores!$E:$E,MATCH(E1144,Stores!$A:$A,0)),"Unknown")</f>
        <v>South Zone 1</v>
      </c>
      <c r="Z1144" t="str">
        <f>IFERROR(INDEX(Customers!$J:$J,MATCH(C1144,Customers!$A:$A,0)),"Unknown")</f>
        <v>Platinum</v>
      </c>
      <c r="AA1144" t="str">
        <f t="shared" si="17"/>
        <v>2025-03</v>
      </c>
      <c r="AB1144" t="str">
        <f>IFERROR(INDEX(Products!$I:$I,MATCH(D1144,Products!$A:$A,0)),"Unknown")</f>
        <v>SUP063</v>
      </c>
    </row>
    <row r="1145" spans="1:28" x14ac:dyDescent="0.25">
      <c r="A1145" t="s">
        <v>2878</v>
      </c>
      <c r="B1145" s="20">
        <v>45413</v>
      </c>
      <c r="C1145" t="s">
        <v>1119</v>
      </c>
      <c r="D1145" t="s">
        <v>2037</v>
      </c>
      <c r="E1145" t="s">
        <v>727</v>
      </c>
      <c r="F1145" t="s">
        <v>176</v>
      </c>
      <c r="G1145">
        <v>3</v>
      </c>
      <c r="H1145" s="21">
        <v>1846.4</v>
      </c>
      <c r="I1145">
        <v>30</v>
      </c>
      <c r="J1145" s="21">
        <v>1661.76</v>
      </c>
      <c r="K1145">
        <v>12</v>
      </c>
      <c r="L1145" s="21">
        <v>465.29</v>
      </c>
      <c r="M1145" s="21">
        <v>4342.7299999999996</v>
      </c>
      <c r="N1145" s="21">
        <v>3615.42</v>
      </c>
      <c r="O1145" s="21">
        <v>262.02</v>
      </c>
      <c r="P1145" t="s">
        <v>121</v>
      </c>
      <c r="Q1145" t="s">
        <v>120</v>
      </c>
      <c r="R1145" t="s">
        <v>151</v>
      </c>
      <c r="S1145" t="s">
        <v>2879</v>
      </c>
      <c r="T1145" t="s">
        <v>153</v>
      </c>
      <c r="U1145" t="s">
        <v>154</v>
      </c>
      <c r="V1145" t="str">
        <f>IFERROR(INDEX(Products!$C:$C,MATCH(D1145,Products!$A:$A,0)),"Unknown")</f>
        <v>Men Ethnic</v>
      </c>
      <c r="W1145" t="str">
        <f>IFERROR(INDEX(Products!$E:$E,MATCH(D1145,Products!$A:$A,0)),"Unknown")</f>
        <v>Skechers</v>
      </c>
      <c r="X1145" t="str">
        <f>IFERROR(INDEX(Stores!$B:$B,MATCH(E1145,Stores!$A:$A,0)),"Unknown")</f>
        <v>TrendMart Nizamabad Standard</v>
      </c>
      <c r="Y1145" t="str">
        <f>IFERROR(INDEX(Stores!$E:$E,MATCH(E1145,Stores!$A:$A,0)),"Unknown")</f>
        <v>South Zone 2</v>
      </c>
      <c r="Z1145" t="str">
        <f>IFERROR(INDEX(Customers!$J:$J,MATCH(C1145,Customers!$A:$A,0)),"Unknown")</f>
        <v>Silver</v>
      </c>
      <c r="AA1145" t="str">
        <f t="shared" si="17"/>
        <v>2024-05</v>
      </c>
      <c r="AB1145" t="str">
        <f>IFERROR(INDEX(Products!$I:$I,MATCH(D1145,Products!$A:$A,0)),"Unknown")</f>
        <v>SUP083</v>
      </c>
    </row>
    <row r="1146" spans="1:28" x14ac:dyDescent="0.25">
      <c r="A1146" t="s">
        <v>2880</v>
      </c>
      <c r="B1146" s="20">
        <v>45484</v>
      </c>
      <c r="C1146" t="s">
        <v>1471</v>
      </c>
      <c r="D1146" t="s">
        <v>717</v>
      </c>
      <c r="E1146" t="s">
        <v>95</v>
      </c>
      <c r="F1146" t="s">
        <v>618</v>
      </c>
      <c r="G1146">
        <v>3</v>
      </c>
      <c r="H1146" s="21">
        <v>1718.7</v>
      </c>
      <c r="I1146">
        <v>15</v>
      </c>
      <c r="J1146" s="21">
        <v>773.41</v>
      </c>
      <c r="K1146">
        <v>12</v>
      </c>
      <c r="L1146" s="21">
        <v>525.91999999999996</v>
      </c>
      <c r="M1146" s="21">
        <v>4908.6099999999997</v>
      </c>
      <c r="N1146" s="21">
        <v>3399.81</v>
      </c>
      <c r="O1146" s="21">
        <v>982.88</v>
      </c>
      <c r="P1146" t="s">
        <v>121</v>
      </c>
      <c r="Q1146" t="s">
        <v>122</v>
      </c>
      <c r="R1146" t="s">
        <v>151</v>
      </c>
      <c r="S1146" t="s">
        <v>1929</v>
      </c>
      <c r="T1146" t="s">
        <v>153</v>
      </c>
      <c r="U1146" t="s">
        <v>154</v>
      </c>
      <c r="V1146" t="str">
        <f>IFERROR(INDEX(Products!$C:$C,MATCH(D1146,Products!$A:$A,0)),"Unknown")</f>
        <v>Women Dresses</v>
      </c>
      <c r="W1146" t="str">
        <f>IFERROR(INDEX(Products!$E:$E,MATCH(D1146,Products!$A:$A,0)),"Unknown")</f>
        <v>Pantaloons</v>
      </c>
      <c r="X1146" t="str">
        <f>IFERROR(INDEX(Stores!$B:$B,MATCH(E1146,Stores!$A:$A,0)),"Unknown")</f>
        <v>TrendMart Thrissur Standard</v>
      </c>
      <c r="Y1146" t="str">
        <f>IFERROR(INDEX(Stores!$E:$E,MATCH(E1146,Stores!$A:$A,0)),"Unknown")</f>
        <v>South Zone 1</v>
      </c>
      <c r="Z1146" t="str">
        <f>IFERROR(INDEX(Customers!$J:$J,MATCH(C1146,Customers!$A:$A,0)),"Unknown")</f>
        <v>Silver</v>
      </c>
      <c r="AA1146" t="str">
        <f t="shared" si="17"/>
        <v>2024-07</v>
      </c>
      <c r="AB1146" t="str">
        <f>IFERROR(INDEX(Products!$I:$I,MATCH(D1146,Products!$A:$A,0)),"Unknown")</f>
        <v>SUP046</v>
      </c>
    </row>
    <row r="1147" spans="1:28" x14ac:dyDescent="0.25">
      <c r="A1147" t="s">
        <v>2881</v>
      </c>
      <c r="B1147" s="20">
        <v>45703</v>
      </c>
      <c r="C1147" t="s">
        <v>1536</v>
      </c>
      <c r="D1147" t="s">
        <v>321</v>
      </c>
      <c r="E1147" t="s">
        <v>634</v>
      </c>
      <c r="F1147" t="s">
        <v>221</v>
      </c>
      <c r="G1147">
        <v>2</v>
      </c>
      <c r="H1147" s="21">
        <v>3316.95</v>
      </c>
      <c r="I1147">
        <v>0</v>
      </c>
      <c r="J1147" s="21">
        <v>0</v>
      </c>
      <c r="K1147">
        <v>12</v>
      </c>
      <c r="L1147" s="21">
        <v>796.07</v>
      </c>
      <c r="M1147" s="21">
        <v>7429.97</v>
      </c>
      <c r="N1147" s="21">
        <v>4866.6400000000003</v>
      </c>
      <c r="O1147" s="21">
        <v>1767.26</v>
      </c>
      <c r="P1147" t="s">
        <v>125</v>
      </c>
      <c r="Q1147" t="s">
        <v>120</v>
      </c>
      <c r="R1147" t="s">
        <v>151</v>
      </c>
      <c r="S1147" t="s">
        <v>603</v>
      </c>
      <c r="T1147" t="s">
        <v>161</v>
      </c>
      <c r="U1147" t="s">
        <v>154</v>
      </c>
      <c r="V1147" t="str">
        <f>IFERROR(INDEX(Products!$C:$C,MATCH(D1147,Products!$A:$A,0)),"Unknown")</f>
        <v>Watches</v>
      </c>
      <c r="W1147" t="str">
        <f>IFERROR(INDEX(Products!$E:$E,MATCH(D1147,Products!$A:$A,0)),"Unknown")</f>
        <v>Pepe Jeans</v>
      </c>
      <c r="X1147" t="str">
        <f>IFERROR(INDEX(Stores!$B:$B,MATCH(E1147,Stores!$A:$A,0)),"Unknown")</f>
        <v>TrendMart Thrissur High Street</v>
      </c>
      <c r="Y1147" t="str">
        <f>IFERROR(INDEX(Stores!$E:$E,MATCH(E1147,Stores!$A:$A,0)),"Unknown")</f>
        <v>South Zone 1</v>
      </c>
      <c r="Z1147" t="str">
        <f>IFERROR(INDEX(Customers!$J:$J,MATCH(C1147,Customers!$A:$A,0)),"Unknown")</f>
        <v>Silver</v>
      </c>
      <c r="AA1147" t="str">
        <f t="shared" si="17"/>
        <v>2025-02</v>
      </c>
      <c r="AB1147" t="str">
        <f>IFERROR(INDEX(Products!$I:$I,MATCH(D1147,Products!$A:$A,0)),"Unknown")</f>
        <v>SUP079</v>
      </c>
    </row>
    <row r="1148" spans="1:28" x14ac:dyDescent="0.25">
      <c r="A1148" t="s">
        <v>2882</v>
      </c>
      <c r="B1148" s="20">
        <v>45610</v>
      </c>
      <c r="C1148" t="s">
        <v>2883</v>
      </c>
      <c r="D1148" t="s">
        <v>536</v>
      </c>
      <c r="E1148" t="s">
        <v>495</v>
      </c>
      <c r="F1148" t="s">
        <v>579</v>
      </c>
      <c r="G1148">
        <v>4</v>
      </c>
      <c r="H1148" s="21">
        <v>560.77</v>
      </c>
      <c r="I1148">
        <v>5</v>
      </c>
      <c r="J1148" s="21">
        <v>112.15</v>
      </c>
      <c r="K1148">
        <v>5</v>
      </c>
      <c r="L1148" s="21">
        <v>106.55</v>
      </c>
      <c r="M1148" s="21">
        <v>2237.48</v>
      </c>
      <c r="N1148" s="21">
        <v>1429.8</v>
      </c>
      <c r="O1148" s="21">
        <v>701.13</v>
      </c>
      <c r="P1148" t="s">
        <v>124</v>
      </c>
      <c r="Q1148" t="s">
        <v>120</v>
      </c>
      <c r="R1148" t="s">
        <v>151</v>
      </c>
      <c r="S1148" t="s">
        <v>655</v>
      </c>
      <c r="T1148" t="s">
        <v>153</v>
      </c>
      <c r="U1148" t="s">
        <v>154</v>
      </c>
      <c r="V1148" t="str">
        <f>IFERROR(INDEX(Products!$C:$C,MATCH(D1148,Products!$A:$A,0)),"Unknown")</f>
        <v>Wallets</v>
      </c>
      <c r="W1148" t="str">
        <f>IFERROR(INDEX(Products!$E:$E,MATCH(D1148,Products!$A:$A,0)),"Unknown")</f>
        <v>Aurelia</v>
      </c>
      <c r="X1148" t="str">
        <f>IFERROR(INDEX(Stores!$B:$B,MATCH(E1148,Stores!$A:$A,0)),"Unknown")</f>
        <v>TrendMart Visakhapatnam Flagship</v>
      </c>
      <c r="Y1148" t="str">
        <f>IFERROR(INDEX(Stores!$E:$E,MATCH(E1148,Stores!$A:$A,0)),"Unknown")</f>
        <v>South Zone 3</v>
      </c>
      <c r="Z1148" t="str">
        <f>IFERROR(INDEX(Customers!$J:$J,MATCH(C1148,Customers!$A:$A,0)),"Unknown")</f>
        <v>Gold</v>
      </c>
      <c r="AA1148" t="str">
        <f t="shared" si="17"/>
        <v>2024-11</v>
      </c>
      <c r="AB1148" t="str">
        <f>IFERROR(INDEX(Products!$I:$I,MATCH(D1148,Products!$A:$A,0)),"Unknown")</f>
        <v>SUP084</v>
      </c>
    </row>
    <row r="1149" spans="1:28" x14ac:dyDescent="0.25">
      <c r="A1149" t="s">
        <v>2884</v>
      </c>
      <c r="B1149" s="20">
        <v>45543</v>
      </c>
      <c r="C1149" t="s">
        <v>665</v>
      </c>
      <c r="D1149" t="s">
        <v>2064</v>
      </c>
      <c r="E1149" t="s">
        <v>1325</v>
      </c>
      <c r="F1149" t="s">
        <v>335</v>
      </c>
      <c r="G1149">
        <v>2</v>
      </c>
      <c r="H1149" s="21">
        <v>1850.76</v>
      </c>
      <c r="I1149">
        <v>15</v>
      </c>
      <c r="J1149" s="21">
        <v>555.23</v>
      </c>
      <c r="K1149">
        <v>12</v>
      </c>
      <c r="L1149" s="21">
        <v>377.55</v>
      </c>
      <c r="M1149" s="21">
        <v>3523.84</v>
      </c>
      <c r="N1149" s="21">
        <v>2366.8200000000002</v>
      </c>
      <c r="O1149" s="21">
        <v>779.47</v>
      </c>
      <c r="P1149" t="s">
        <v>123</v>
      </c>
      <c r="Q1149" t="s">
        <v>122</v>
      </c>
      <c r="R1149" t="s">
        <v>151</v>
      </c>
      <c r="S1149" t="s">
        <v>2885</v>
      </c>
      <c r="T1149" t="s">
        <v>161</v>
      </c>
      <c r="U1149" t="s">
        <v>154</v>
      </c>
      <c r="V1149" t="str">
        <f>IFERROR(INDEX(Products!$C:$C,MATCH(D1149,Products!$A:$A,0)),"Unknown")</f>
        <v>Watches</v>
      </c>
      <c r="W1149" t="str">
        <f>IFERROR(INDEX(Products!$E:$E,MATCH(D1149,Products!$A:$A,0)),"Unknown")</f>
        <v>Nalli Silks</v>
      </c>
      <c r="X1149" t="str">
        <f>IFERROR(INDEX(Stores!$B:$B,MATCH(E1149,Stores!$A:$A,0)),"Unknown")</f>
        <v>TrendMart Thrissur Standard</v>
      </c>
      <c r="Y1149" t="str">
        <f>IFERROR(INDEX(Stores!$E:$E,MATCH(E1149,Stores!$A:$A,0)),"Unknown")</f>
        <v>South Zone 1</v>
      </c>
      <c r="Z1149" t="str">
        <f>IFERROR(INDEX(Customers!$J:$J,MATCH(C1149,Customers!$A:$A,0)),"Unknown")</f>
        <v>Gold</v>
      </c>
      <c r="AA1149" t="str">
        <f t="shared" si="17"/>
        <v>2024-09</v>
      </c>
      <c r="AB1149" t="str">
        <f>IFERROR(INDEX(Products!$I:$I,MATCH(D1149,Products!$A:$A,0)),"Unknown")</f>
        <v>SUP020</v>
      </c>
    </row>
    <row r="1150" spans="1:28" x14ac:dyDescent="0.25">
      <c r="A1150" t="s">
        <v>2886</v>
      </c>
      <c r="B1150" s="20">
        <v>45529</v>
      </c>
      <c r="C1150" t="s">
        <v>2355</v>
      </c>
      <c r="D1150" t="s">
        <v>1292</v>
      </c>
      <c r="E1150" t="s">
        <v>1002</v>
      </c>
      <c r="F1150" t="s">
        <v>344</v>
      </c>
      <c r="G1150">
        <v>2</v>
      </c>
      <c r="H1150" s="21">
        <v>565.98</v>
      </c>
      <c r="I1150">
        <v>10</v>
      </c>
      <c r="J1150" s="21">
        <v>113.2</v>
      </c>
      <c r="K1150">
        <v>5</v>
      </c>
      <c r="L1150" s="21">
        <v>50.94</v>
      </c>
      <c r="M1150" s="21">
        <v>1069.7</v>
      </c>
      <c r="N1150" s="21">
        <v>697.5</v>
      </c>
      <c r="O1150" s="21">
        <v>321.26</v>
      </c>
      <c r="P1150" t="s">
        <v>127</v>
      </c>
      <c r="Q1150" t="s">
        <v>122</v>
      </c>
      <c r="R1150" t="s">
        <v>151</v>
      </c>
      <c r="S1150" t="s">
        <v>1228</v>
      </c>
      <c r="T1150" t="s">
        <v>161</v>
      </c>
      <c r="U1150" t="s">
        <v>154</v>
      </c>
      <c r="V1150" t="str">
        <f>IFERROR(INDEX(Products!$C:$C,MATCH(D1150,Products!$A:$A,0)),"Unknown")</f>
        <v>Men T-Shirts</v>
      </c>
      <c r="W1150" t="str">
        <f>IFERROR(INDEX(Products!$E:$E,MATCH(D1150,Products!$A:$A,0)),"Unknown")</f>
        <v>Metro Shoes</v>
      </c>
      <c r="X1150" t="str">
        <f>IFERROR(INDEX(Stores!$B:$B,MATCH(E1150,Stores!$A:$A,0)),"Unknown")</f>
        <v>TrendMart Coimbatore Mall Kiosk</v>
      </c>
      <c r="Y1150" t="str">
        <f>IFERROR(INDEX(Stores!$E:$E,MATCH(E1150,Stores!$A:$A,0)),"Unknown")</f>
        <v>South Zone 1</v>
      </c>
      <c r="Z1150" t="str">
        <f>IFERROR(INDEX(Customers!$J:$J,MATCH(C1150,Customers!$A:$A,0)),"Unknown")</f>
        <v>Gold</v>
      </c>
      <c r="AA1150" t="str">
        <f t="shared" si="17"/>
        <v>2024-08</v>
      </c>
      <c r="AB1150" t="str">
        <f>IFERROR(INDEX(Products!$I:$I,MATCH(D1150,Products!$A:$A,0)),"Unknown")</f>
        <v>SUP024</v>
      </c>
    </row>
    <row r="1151" spans="1:28" x14ac:dyDescent="0.25">
      <c r="A1151" t="s">
        <v>2887</v>
      </c>
      <c r="B1151" s="20">
        <v>45720</v>
      </c>
      <c r="C1151" t="s">
        <v>2888</v>
      </c>
      <c r="D1151" t="s">
        <v>1200</v>
      </c>
      <c r="E1151" t="s">
        <v>1522</v>
      </c>
      <c r="F1151" t="s">
        <v>397</v>
      </c>
      <c r="G1151">
        <v>2</v>
      </c>
      <c r="H1151" s="21">
        <v>3410.7</v>
      </c>
      <c r="I1151">
        <v>0</v>
      </c>
      <c r="J1151" s="21">
        <v>0</v>
      </c>
      <c r="K1151">
        <v>12</v>
      </c>
      <c r="L1151" s="21">
        <v>818.57</v>
      </c>
      <c r="M1151" s="21">
        <v>7639.97</v>
      </c>
      <c r="N1151" s="21">
        <v>4475.6400000000003</v>
      </c>
      <c r="O1151" s="21">
        <v>2345.7600000000002</v>
      </c>
      <c r="P1151" t="s">
        <v>124</v>
      </c>
      <c r="Q1151" t="s">
        <v>120</v>
      </c>
      <c r="R1151" t="s">
        <v>151</v>
      </c>
      <c r="S1151" t="s">
        <v>2097</v>
      </c>
      <c r="T1151" t="s">
        <v>153</v>
      </c>
      <c r="U1151" t="s">
        <v>154</v>
      </c>
      <c r="V1151" t="str">
        <f>IFERROR(INDEX(Products!$C:$C,MATCH(D1151,Products!$A:$A,0)),"Unknown")</f>
        <v>Footwear</v>
      </c>
      <c r="W1151" t="str">
        <f>IFERROR(INDEX(Products!$E:$E,MATCH(D1151,Products!$A:$A,0)),"Unknown")</f>
        <v>Kalyan Silks</v>
      </c>
      <c r="X1151" t="str">
        <f>IFERROR(INDEX(Stores!$B:$B,MATCH(E1151,Stores!$A:$A,0)),"Unknown")</f>
        <v>TrendMart Guntur High Street</v>
      </c>
      <c r="Y1151" t="str">
        <f>IFERROR(INDEX(Stores!$E:$E,MATCH(E1151,Stores!$A:$A,0)),"Unknown")</f>
        <v>South Zone 3</v>
      </c>
      <c r="Z1151" t="str">
        <f>IFERROR(INDEX(Customers!$J:$J,MATCH(C1151,Customers!$A:$A,0)),"Unknown")</f>
        <v>Regular</v>
      </c>
      <c r="AA1151" t="str">
        <f t="shared" si="17"/>
        <v>2025-03</v>
      </c>
      <c r="AB1151" t="str">
        <f>IFERROR(INDEX(Products!$I:$I,MATCH(D1151,Products!$A:$A,0)),"Unknown")</f>
        <v>SUP090</v>
      </c>
    </row>
    <row r="1152" spans="1:28" x14ac:dyDescent="0.25">
      <c r="A1152" t="s">
        <v>2889</v>
      </c>
      <c r="B1152" s="20">
        <v>45584</v>
      </c>
      <c r="C1152" t="s">
        <v>2890</v>
      </c>
      <c r="D1152" t="s">
        <v>1759</v>
      </c>
      <c r="E1152" t="s">
        <v>667</v>
      </c>
      <c r="F1152" t="s">
        <v>165</v>
      </c>
      <c r="G1152">
        <v>0</v>
      </c>
      <c r="H1152" s="21">
        <v>2840.83</v>
      </c>
      <c r="I1152">
        <v>15</v>
      </c>
      <c r="J1152" s="21">
        <v>0</v>
      </c>
      <c r="K1152">
        <v>12</v>
      </c>
      <c r="L1152" s="21">
        <v>0</v>
      </c>
      <c r="M1152" s="21">
        <v>0</v>
      </c>
      <c r="N1152" s="21">
        <v>0</v>
      </c>
      <c r="O1152" s="21">
        <v>0</v>
      </c>
      <c r="P1152" t="s">
        <v>123</v>
      </c>
      <c r="Q1152" t="s">
        <v>120</v>
      </c>
      <c r="R1152" t="s">
        <v>482</v>
      </c>
      <c r="S1152" t="s">
        <v>708</v>
      </c>
      <c r="T1152" t="s">
        <v>161</v>
      </c>
      <c r="U1152" t="s">
        <v>154</v>
      </c>
      <c r="V1152" t="str">
        <f>IFERROR(INDEX(Products!$C:$C,MATCH(D1152,Products!$A:$A,0)),"Unknown")</f>
        <v>Winter Wear</v>
      </c>
      <c r="W1152" t="str">
        <f>IFERROR(INDEX(Products!$E:$E,MATCH(D1152,Products!$A:$A,0)),"Unknown")</f>
        <v>Bata</v>
      </c>
      <c r="X1152" t="str">
        <f>IFERROR(INDEX(Stores!$B:$B,MATCH(E1152,Stores!$A:$A,0)),"Unknown")</f>
        <v>TrendMart Hyderabad High Street</v>
      </c>
      <c r="Y1152" t="str">
        <f>IFERROR(INDEX(Stores!$E:$E,MATCH(E1152,Stores!$A:$A,0)),"Unknown")</f>
        <v>South Zone 2</v>
      </c>
      <c r="Z1152" t="str">
        <f>IFERROR(INDEX(Customers!$J:$J,MATCH(C1152,Customers!$A:$A,0)),"Unknown")</f>
        <v>Regular</v>
      </c>
      <c r="AA1152" t="str">
        <f t="shared" si="17"/>
        <v>2024-10</v>
      </c>
      <c r="AB1152" t="str">
        <f>IFERROR(INDEX(Products!$I:$I,MATCH(D1152,Products!$A:$A,0)),"Unknown")</f>
        <v>SUP028</v>
      </c>
    </row>
    <row r="1153" spans="1:28" x14ac:dyDescent="0.25">
      <c r="A1153" t="s">
        <v>2891</v>
      </c>
      <c r="B1153" s="20">
        <v>45665</v>
      </c>
      <c r="C1153" t="s">
        <v>1234</v>
      </c>
      <c r="D1153" t="s">
        <v>913</v>
      </c>
      <c r="E1153" t="s">
        <v>477</v>
      </c>
      <c r="F1153" t="s">
        <v>532</v>
      </c>
      <c r="G1153">
        <v>2</v>
      </c>
      <c r="H1153" s="21">
        <v>1410.36</v>
      </c>
      <c r="I1153">
        <v>25</v>
      </c>
      <c r="J1153" s="21">
        <v>705.18</v>
      </c>
      <c r="K1153">
        <v>12</v>
      </c>
      <c r="L1153" s="21">
        <v>253.86</v>
      </c>
      <c r="M1153" s="21">
        <v>2369.4</v>
      </c>
      <c r="N1153" s="21">
        <v>2158.94</v>
      </c>
      <c r="O1153" s="21">
        <v>-43.4</v>
      </c>
      <c r="P1153" t="s">
        <v>123</v>
      </c>
      <c r="Q1153" t="s">
        <v>122</v>
      </c>
      <c r="R1153" t="s">
        <v>151</v>
      </c>
      <c r="S1153" t="s">
        <v>1455</v>
      </c>
      <c r="T1153" t="s">
        <v>153</v>
      </c>
      <c r="U1153" t="s">
        <v>184</v>
      </c>
      <c r="V1153" t="str">
        <f>IFERROR(INDEX(Products!$C:$C,MATCH(D1153,Products!$A:$A,0)),"Unknown")</f>
        <v>Sportswear</v>
      </c>
      <c r="W1153" t="str">
        <f>IFERROR(INDEX(Products!$E:$E,MATCH(D1153,Products!$A:$A,0)),"Unknown")</f>
        <v>GRT Jewellers</v>
      </c>
      <c r="X1153" t="str">
        <f>IFERROR(INDEX(Stores!$B:$B,MATCH(E1153,Stores!$A:$A,0)),"Unknown")</f>
        <v>TrendMart Hubballi Standard</v>
      </c>
      <c r="Y1153" t="str">
        <f>IFERROR(INDEX(Stores!$E:$E,MATCH(E1153,Stores!$A:$A,0)),"Unknown")</f>
        <v>South Zone 2</v>
      </c>
      <c r="Z1153" t="str">
        <f>IFERROR(INDEX(Customers!$J:$J,MATCH(C1153,Customers!$A:$A,0)),"Unknown")</f>
        <v>Regular</v>
      </c>
      <c r="AA1153" t="str">
        <f t="shared" si="17"/>
        <v>2025-01</v>
      </c>
      <c r="AB1153" t="str">
        <f>IFERROR(INDEX(Products!$I:$I,MATCH(D1153,Products!$A:$A,0)),"Unknown")</f>
        <v>SUP072</v>
      </c>
    </row>
    <row r="1154" spans="1:28" x14ac:dyDescent="0.25">
      <c r="A1154" t="s">
        <v>2892</v>
      </c>
      <c r="B1154" s="20">
        <v>45669</v>
      </c>
      <c r="C1154" t="s">
        <v>1585</v>
      </c>
      <c r="D1154" t="s">
        <v>157</v>
      </c>
      <c r="E1154" t="s">
        <v>94</v>
      </c>
      <c r="F1154" t="s">
        <v>579</v>
      </c>
      <c r="G1154">
        <v>1</v>
      </c>
      <c r="H1154" s="21">
        <v>872.87</v>
      </c>
      <c r="I1154">
        <v>25</v>
      </c>
      <c r="J1154" s="21">
        <v>218.22</v>
      </c>
      <c r="K1154">
        <v>5</v>
      </c>
      <c r="L1154" s="21">
        <v>32.729999999999997</v>
      </c>
      <c r="M1154" s="21">
        <v>687.38</v>
      </c>
      <c r="N1154" s="21">
        <v>492.11</v>
      </c>
      <c r="O1154" s="21">
        <v>162.54</v>
      </c>
      <c r="P1154" t="s">
        <v>123</v>
      </c>
      <c r="Q1154" t="s">
        <v>122</v>
      </c>
      <c r="R1154" t="s">
        <v>151</v>
      </c>
      <c r="S1154" t="s">
        <v>1384</v>
      </c>
      <c r="T1154" t="s">
        <v>161</v>
      </c>
      <c r="U1154" t="s">
        <v>154</v>
      </c>
      <c r="V1154" t="str">
        <f>IFERROR(INDEX(Products!$C:$C,MATCH(D1154,Products!$A:$A,0)),"Unknown")</f>
        <v>Men T-Shirts</v>
      </c>
      <c r="W1154" t="str">
        <f>IFERROR(INDEX(Products!$E:$E,MATCH(D1154,Products!$A:$A,0)),"Unknown")</f>
        <v>Reebok</v>
      </c>
      <c r="X1154" t="str">
        <f>IFERROR(INDEX(Stores!$B:$B,MATCH(E1154,Stores!$A:$A,0)),"Unknown")</f>
        <v>TrendMart Bengaluru Mall Kiosk</v>
      </c>
      <c r="Y1154" t="str">
        <f>IFERROR(INDEX(Stores!$E:$E,MATCH(E1154,Stores!$A:$A,0)),"Unknown")</f>
        <v>South Zone 2</v>
      </c>
      <c r="Z1154" t="str">
        <f>IFERROR(INDEX(Customers!$J:$J,MATCH(C1154,Customers!$A:$A,0)),"Unknown")</f>
        <v>Regular</v>
      </c>
      <c r="AA1154" t="str">
        <f t="shared" ref="AA1154:AA1217" si="18">TEXT(B1154,"YYYY-MM")</f>
        <v>2025-01</v>
      </c>
      <c r="AB1154" t="str">
        <f>IFERROR(INDEX(Products!$I:$I,MATCH(D1154,Products!$A:$A,0)),"Unknown")</f>
        <v>SUP073</v>
      </c>
    </row>
    <row r="1155" spans="1:28" x14ac:dyDescent="0.25">
      <c r="A1155" t="s">
        <v>2893</v>
      </c>
      <c r="B1155" s="20">
        <v>45554</v>
      </c>
      <c r="C1155" t="s">
        <v>594</v>
      </c>
      <c r="D1155" t="s">
        <v>174</v>
      </c>
      <c r="E1155" t="s">
        <v>280</v>
      </c>
      <c r="F1155" t="s">
        <v>242</v>
      </c>
      <c r="G1155">
        <v>3</v>
      </c>
      <c r="H1155" s="21">
        <v>816.45</v>
      </c>
      <c r="I1155">
        <v>15</v>
      </c>
      <c r="J1155" s="21">
        <v>367.4</v>
      </c>
      <c r="K1155">
        <v>5</v>
      </c>
      <c r="L1155" s="21">
        <v>104.1</v>
      </c>
      <c r="M1155" s="21">
        <v>2186.0500000000002</v>
      </c>
      <c r="N1155" s="21">
        <v>1619.28</v>
      </c>
      <c r="O1155" s="21">
        <v>462.67</v>
      </c>
      <c r="P1155" t="s">
        <v>124</v>
      </c>
      <c r="Q1155" t="s">
        <v>122</v>
      </c>
      <c r="R1155" t="s">
        <v>151</v>
      </c>
      <c r="S1155" t="s">
        <v>2894</v>
      </c>
      <c r="T1155" t="s">
        <v>153</v>
      </c>
      <c r="U1155" t="s">
        <v>154</v>
      </c>
      <c r="V1155" t="str">
        <f>IFERROR(INDEX(Products!$C:$C,MATCH(D1155,Products!$A:$A,0)),"Unknown")</f>
        <v>Women Kurtis</v>
      </c>
      <c r="W1155" t="str">
        <f>IFERROR(INDEX(Products!$E:$E,MATCH(D1155,Products!$A:$A,0)),"Unknown")</f>
        <v>Reebok</v>
      </c>
      <c r="X1155" t="str">
        <f>IFERROR(INDEX(Stores!$B:$B,MATCH(E1155,Stores!$A:$A,0)),"Unknown")</f>
        <v>TrendMart Chennai Standard</v>
      </c>
      <c r="Y1155" t="str">
        <f>IFERROR(INDEX(Stores!$E:$E,MATCH(E1155,Stores!$A:$A,0)),"Unknown")</f>
        <v>South Zone 1</v>
      </c>
      <c r="Z1155" t="str">
        <f>IFERROR(INDEX(Customers!$J:$J,MATCH(C1155,Customers!$A:$A,0)),"Unknown")</f>
        <v>Silver</v>
      </c>
      <c r="AA1155" t="str">
        <f t="shared" si="18"/>
        <v>2024-09</v>
      </c>
      <c r="AB1155" t="str">
        <f>IFERROR(INDEX(Products!$I:$I,MATCH(D1155,Products!$A:$A,0)),"Unknown")</f>
        <v>SUP012</v>
      </c>
    </row>
    <row r="1156" spans="1:28" x14ac:dyDescent="0.25">
      <c r="A1156" t="s">
        <v>2895</v>
      </c>
      <c r="B1156" s="20">
        <v>45580</v>
      </c>
      <c r="C1156" t="s">
        <v>2896</v>
      </c>
      <c r="D1156" t="s">
        <v>225</v>
      </c>
      <c r="E1156" t="s">
        <v>1962</v>
      </c>
      <c r="F1156" t="s">
        <v>292</v>
      </c>
      <c r="G1156">
        <v>3</v>
      </c>
      <c r="H1156" s="21">
        <v>1786.37</v>
      </c>
      <c r="I1156">
        <v>10</v>
      </c>
      <c r="J1156" s="21">
        <v>535.91</v>
      </c>
      <c r="K1156">
        <v>12</v>
      </c>
      <c r="L1156" s="21">
        <v>578.78</v>
      </c>
      <c r="M1156" s="21">
        <v>5401.98</v>
      </c>
      <c r="N1156" s="21">
        <v>4221.99</v>
      </c>
      <c r="O1156" s="21">
        <v>601.21</v>
      </c>
      <c r="P1156" t="s">
        <v>124</v>
      </c>
      <c r="Q1156" t="s">
        <v>122</v>
      </c>
      <c r="R1156" t="s">
        <v>151</v>
      </c>
      <c r="S1156" t="s">
        <v>1131</v>
      </c>
      <c r="T1156" t="s">
        <v>153</v>
      </c>
      <c r="U1156" t="s">
        <v>154</v>
      </c>
      <c r="V1156" t="str">
        <f>IFERROR(INDEX(Products!$C:$C,MATCH(D1156,Products!$A:$A,0)),"Unknown")</f>
        <v>Women Dresses</v>
      </c>
      <c r="W1156" t="str">
        <f>IFERROR(INDEX(Products!$E:$E,MATCH(D1156,Products!$A:$A,0)),"Unknown")</f>
        <v>Tanishq</v>
      </c>
      <c r="X1156" t="str">
        <f>IFERROR(INDEX(Stores!$B:$B,MATCH(E1156,Stores!$A:$A,0)),"Unknown")</f>
        <v>TrendMart Guntur High Street</v>
      </c>
      <c r="Y1156" t="str">
        <f>IFERROR(INDEX(Stores!$E:$E,MATCH(E1156,Stores!$A:$A,0)),"Unknown")</f>
        <v>South Zone 3</v>
      </c>
      <c r="Z1156" t="str">
        <f>IFERROR(INDEX(Customers!$J:$J,MATCH(C1156,Customers!$A:$A,0)),"Unknown")</f>
        <v>Regular</v>
      </c>
      <c r="AA1156" t="str">
        <f t="shared" si="18"/>
        <v>2024-10</v>
      </c>
      <c r="AB1156" t="str">
        <f>IFERROR(INDEX(Products!$I:$I,MATCH(D1156,Products!$A:$A,0)),"Unknown")</f>
        <v>SUP063</v>
      </c>
    </row>
    <row r="1157" spans="1:28" x14ac:dyDescent="0.25">
      <c r="A1157" t="s">
        <v>2897</v>
      </c>
      <c r="B1157" s="20">
        <v>45690</v>
      </c>
      <c r="C1157" t="s">
        <v>2110</v>
      </c>
      <c r="D1157" t="s">
        <v>333</v>
      </c>
      <c r="E1157" t="s">
        <v>318</v>
      </c>
      <c r="F1157" t="s">
        <v>462</v>
      </c>
      <c r="G1157">
        <v>3</v>
      </c>
      <c r="H1157" s="21">
        <v>2713.47</v>
      </c>
      <c r="I1157">
        <v>30</v>
      </c>
      <c r="J1157" s="21">
        <v>2442.12</v>
      </c>
      <c r="K1157">
        <v>12</v>
      </c>
      <c r="L1157" s="21">
        <v>683.79</v>
      </c>
      <c r="M1157" s="21">
        <v>6382.08</v>
      </c>
      <c r="N1157" s="21">
        <v>5301.96</v>
      </c>
      <c r="O1157" s="21">
        <v>396.33</v>
      </c>
      <c r="P1157" t="s">
        <v>121</v>
      </c>
      <c r="Q1157" t="s">
        <v>120</v>
      </c>
      <c r="R1157" t="s">
        <v>151</v>
      </c>
      <c r="S1157" t="s">
        <v>2898</v>
      </c>
      <c r="T1157" t="s">
        <v>161</v>
      </c>
      <c r="U1157" t="s">
        <v>154</v>
      </c>
      <c r="V1157" t="str">
        <f>IFERROR(INDEX(Products!$C:$C,MATCH(D1157,Products!$A:$A,0)),"Unknown")</f>
        <v>Winter Wear</v>
      </c>
      <c r="W1157" t="str">
        <f>IFERROR(INDEX(Products!$E:$E,MATCH(D1157,Products!$A:$A,0)),"Unknown")</f>
        <v>GRT Jewellers</v>
      </c>
      <c r="X1157" t="str">
        <f>IFERROR(INDEX(Stores!$B:$B,MATCH(E1157,Stores!$A:$A,0)),"Unknown")</f>
        <v>TrendMart Guntur Outlet</v>
      </c>
      <c r="Y1157" t="str">
        <f>IFERROR(INDEX(Stores!$E:$E,MATCH(E1157,Stores!$A:$A,0)),"Unknown")</f>
        <v>South Zone 3</v>
      </c>
      <c r="Z1157" t="str">
        <f>IFERROR(INDEX(Customers!$J:$J,MATCH(C1157,Customers!$A:$A,0)),"Unknown")</f>
        <v>Regular</v>
      </c>
      <c r="AA1157" t="str">
        <f t="shared" si="18"/>
        <v>2025-02</v>
      </c>
      <c r="AB1157" t="str">
        <f>IFERROR(INDEX(Products!$I:$I,MATCH(D1157,Products!$A:$A,0)),"Unknown")</f>
        <v>SUP052</v>
      </c>
    </row>
    <row r="1158" spans="1:28" x14ac:dyDescent="0.25">
      <c r="A1158" t="s">
        <v>2899</v>
      </c>
      <c r="B1158" s="20">
        <v>45572</v>
      </c>
      <c r="C1158" t="s">
        <v>916</v>
      </c>
      <c r="D1158" t="s">
        <v>1537</v>
      </c>
      <c r="E1158" t="s">
        <v>247</v>
      </c>
      <c r="F1158" t="s">
        <v>335</v>
      </c>
      <c r="G1158">
        <v>3</v>
      </c>
      <c r="H1158" s="21">
        <v>1156.79</v>
      </c>
      <c r="I1158">
        <v>5</v>
      </c>
      <c r="J1158" s="21">
        <v>173.52</v>
      </c>
      <c r="K1158">
        <v>12</v>
      </c>
      <c r="L1158" s="21">
        <v>395.62</v>
      </c>
      <c r="M1158" s="21">
        <v>3692.47</v>
      </c>
      <c r="N1158" s="21">
        <v>2747.61</v>
      </c>
      <c r="O1158" s="21">
        <v>549.24</v>
      </c>
      <c r="P1158" t="s">
        <v>126</v>
      </c>
      <c r="Q1158" t="s">
        <v>120</v>
      </c>
      <c r="R1158" t="s">
        <v>151</v>
      </c>
      <c r="S1158" t="s">
        <v>2900</v>
      </c>
      <c r="T1158" t="s">
        <v>153</v>
      </c>
      <c r="U1158" t="s">
        <v>154</v>
      </c>
      <c r="V1158" t="str">
        <f>IFERROR(INDEX(Products!$C:$C,MATCH(D1158,Products!$A:$A,0)),"Unknown")</f>
        <v>Men Jeans</v>
      </c>
      <c r="W1158" t="str">
        <f>IFERROR(INDEX(Products!$E:$E,MATCH(D1158,Products!$A:$A,0)),"Unknown")</f>
        <v>Fabindia</v>
      </c>
      <c r="X1158" t="str">
        <f>IFERROR(INDEX(Stores!$B:$B,MATCH(E1158,Stores!$A:$A,0)),"Unknown")</f>
        <v>TrendMart Tirupati Outlet</v>
      </c>
      <c r="Y1158" t="str">
        <f>IFERROR(INDEX(Stores!$E:$E,MATCH(E1158,Stores!$A:$A,0)),"Unknown")</f>
        <v>South Zone 3</v>
      </c>
      <c r="Z1158" t="str">
        <f>IFERROR(INDEX(Customers!$J:$J,MATCH(C1158,Customers!$A:$A,0)),"Unknown")</f>
        <v>Silver</v>
      </c>
      <c r="AA1158" t="str">
        <f t="shared" si="18"/>
        <v>2024-10</v>
      </c>
      <c r="AB1158" t="str">
        <f>IFERROR(INDEX(Products!$I:$I,MATCH(D1158,Products!$A:$A,0)),"Unknown")</f>
        <v>SUP044</v>
      </c>
    </row>
    <row r="1159" spans="1:28" x14ac:dyDescent="0.25">
      <c r="A1159" t="s">
        <v>2901</v>
      </c>
      <c r="B1159" s="20">
        <v>45456</v>
      </c>
      <c r="C1159" t="s">
        <v>2902</v>
      </c>
      <c r="D1159" t="s">
        <v>2294</v>
      </c>
      <c r="E1159" t="s">
        <v>343</v>
      </c>
      <c r="F1159" t="s">
        <v>165</v>
      </c>
      <c r="G1159">
        <v>4</v>
      </c>
      <c r="H1159" s="21">
        <v>1601.96</v>
      </c>
      <c r="I1159">
        <v>20</v>
      </c>
      <c r="J1159" s="21">
        <v>1281.57</v>
      </c>
      <c r="K1159">
        <v>12</v>
      </c>
      <c r="L1159" s="21">
        <v>615.15</v>
      </c>
      <c r="M1159" s="21">
        <v>5741.42</v>
      </c>
      <c r="N1159" s="21">
        <v>4030.6</v>
      </c>
      <c r="O1159" s="21">
        <v>1095.67</v>
      </c>
      <c r="P1159" t="s">
        <v>121</v>
      </c>
      <c r="Q1159" t="s">
        <v>122</v>
      </c>
      <c r="R1159" t="s">
        <v>151</v>
      </c>
      <c r="S1159" t="s">
        <v>1396</v>
      </c>
      <c r="T1159" t="s">
        <v>153</v>
      </c>
      <c r="U1159" t="s">
        <v>154</v>
      </c>
      <c r="V1159" t="str">
        <f>IFERROR(INDEX(Products!$C:$C,MATCH(D1159,Products!$A:$A,0)),"Unknown")</f>
        <v>Men Jeans</v>
      </c>
      <c r="W1159" t="str">
        <f>IFERROR(INDEX(Products!$E:$E,MATCH(D1159,Products!$A:$A,0)),"Unknown")</f>
        <v>Westside</v>
      </c>
      <c r="X1159" t="str">
        <f>IFERROR(INDEX(Stores!$B:$B,MATCH(E1159,Stores!$A:$A,0)),"Unknown")</f>
        <v>TrendMart Tumakuru Outlet</v>
      </c>
      <c r="Y1159" t="str">
        <f>IFERROR(INDEX(Stores!$E:$E,MATCH(E1159,Stores!$A:$A,0)),"Unknown")</f>
        <v>South Zone 2</v>
      </c>
      <c r="Z1159" t="str">
        <f>IFERROR(INDEX(Customers!$J:$J,MATCH(C1159,Customers!$A:$A,0)),"Unknown")</f>
        <v>Regular</v>
      </c>
      <c r="AA1159" t="str">
        <f t="shared" si="18"/>
        <v>2024-06</v>
      </c>
      <c r="AB1159" t="str">
        <f>IFERROR(INDEX(Products!$I:$I,MATCH(D1159,Products!$A:$A,0)),"Unknown")</f>
        <v>SUP009</v>
      </c>
    </row>
    <row r="1160" spans="1:28" x14ac:dyDescent="0.25">
      <c r="A1160" t="s">
        <v>2903</v>
      </c>
      <c r="B1160" s="20">
        <v>45719</v>
      </c>
      <c r="C1160" t="s">
        <v>2320</v>
      </c>
      <c r="D1160" t="s">
        <v>680</v>
      </c>
      <c r="E1160" t="s">
        <v>206</v>
      </c>
      <c r="F1160" t="s">
        <v>516</v>
      </c>
      <c r="G1160">
        <v>2</v>
      </c>
      <c r="H1160" s="21">
        <v>664.13</v>
      </c>
      <c r="I1160">
        <v>25</v>
      </c>
      <c r="J1160" s="21">
        <v>332.06</v>
      </c>
      <c r="K1160">
        <v>5</v>
      </c>
      <c r="L1160" s="21">
        <v>49.81</v>
      </c>
      <c r="M1160" s="21">
        <v>1046.01</v>
      </c>
      <c r="N1160" s="21">
        <v>807.42</v>
      </c>
      <c r="O1160" s="21">
        <v>188.78</v>
      </c>
      <c r="P1160" t="s">
        <v>125</v>
      </c>
      <c r="Q1160" t="s">
        <v>120</v>
      </c>
      <c r="R1160" t="s">
        <v>151</v>
      </c>
      <c r="S1160" t="s">
        <v>2904</v>
      </c>
      <c r="T1160" t="s">
        <v>153</v>
      </c>
      <c r="U1160" t="s">
        <v>154</v>
      </c>
      <c r="V1160" t="str">
        <f>IFERROR(INDEX(Products!$C:$C,MATCH(D1160,Products!$A:$A,0)),"Unknown")</f>
        <v>Accessories</v>
      </c>
      <c r="W1160" t="str">
        <f>IFERROR(INDEX(Products!$E:$E,MATCH(D1160,Products!$A:$A,0)),"Unknown")</f>
        <v>Westside</v>
      </c>
      <c r="X1160" t="str">
        <f>IFERROR(INDEX(Stores!$B:$B,MATCH(E1160,Stores!$A:$A,0)),"Unknown")</f>
        <v>TrendMart Nizamabad Outlet</v>
      </c>
      <c r="Y1160" t="str">
        <f>IFERROR(INDEX(Stores!$E:$E,MATCH(E1160,Stores!$A:$A,0)),"Unknown")</f>
        <v>South Zone 2</v>
      </c>
      <c r="Z1160" t="str">
        <f>IFERROR(INDEX(Customers!$J:$J,MATCH(C1160,Customers!$A:$A,0)),"Unknown")</f>
        <v>Platinum</v>
      </c>
      <c r="AA1160" t="str">
        <f t="shared" si="18"/>
        <v>2025-03</v>
      </c>
      <c r="AB1160" t="str">
        <f>IFERROR(INDEX(Products!$I:$I,MATCH(D1160,Products!$A:$A,0)),"Unknown")</f>
        <v>SUP064</v>
      </c>
    </row>
    <row r="1161" spans="1:28" x14ac:dyDescent="0.25">
      <c r="A1161" t="s">
        <v>2905</v>
      </c>
      <c r="B1161" s="20">
        <v>45597</v>
      </c>
      <c r="C1161" t="s">
        <v>2067</v>
      </c>
      <c r="D1161" t="s">
        <v>2129</v>
      </c>
      <c r="E1161" t="s">
        <v>396</v>
      </c>
      <c r="F1161" t="s">
        <v>408</v>
      </c>
      <c r="G1161">
        <v>2</v>
      </c>
      <c r="H1161" s="21">
        <v>2555.8000000000002</v>
      </c>
      <c r="I1161">
        <v>0</v>
      </c>
      <c r="J1161" s="21">
        <v>0</v>
      </c>
      <c r="K1161">
        <v>12</v>
      </c>
      <c r="L1161" s="21">
        <v>613.39</v>
      </c>
      <c r="M1161" s="21">
        <v>5724.99</v>
      </c>
      <c r="N1161" s="21">
        <v>3776.58</v>
      </c>
      <c r="O1161" s="21">
        <v>1335.02</v>
      </c>
      <c r="P1161" t="s">
        <v>121</v>
      </c>
      <c r="Q1161" t="s">
        <v>120</v>
      </c>
      <c r="R1161" t="s">
        <v>151</v>
      </c>
      <c r="S1161" t="s">
        <v>1018</v>
      </c>
      <c r="T1161" t="s">
        <v>153</v>
      </c>
      <c r="U1161" t="s">
        <v>154</v>
      </c>
      <c r="V1161" t="str">
        <f>IFERROR(INDEX(Products!$C:$C,MATCH(D1161,Products!$A:$A,0)),"Unknown")</f>
        <v>Men Ethnic</v>
      </c>
      <c r="W1161" t="str">
        <f>IFERROR(INDEX(Products!$E:$E,MATCH(D1161,Products!$A:$A,0)),"Unknown")</f>
        <v>Reebok</v>
      </c>
      <c r="X1161" t="str">
        <f>IFERROR(INDEX(Stores!$B:$B,MATCH(E1161,Stores!$A:$A,0)),"Unknown")</f>
        <v>TrendMart Davanagere High Street</v>
      </c>
      <c r="Y1161" t="str">
        <f>IFERROR(INDEX(Stores!$E:$E,MATCH(E1161,Stores!$A:$A,0)),"Unknown")</f>
        <v>South Zone 2</v>
      </c>
      <c r="Z1161" t="str">
        <f>IFERROR(INDEX(Customers!$J:$J,MATCH(C1161,Customers!$A:$A,0)),"Unknown")</f>
        <v>Silver</v>
      </c>
      <c r="AA1161" t="str">
        <f t="shared" si="18"/>
        <v>2024-11</v>
      </c>
      <c r="AB1161" t="str">
        <f>IFERROR(INDEX(Products!$I:$I,MATCH(D1161,Products!$A:$A,0)),"Unknown")</f>
        <v>SUP029</v>
      </c>
    </row>
    <row r="1162" spans="1:28" x14ac:dyDescent="0.25">
      <c r="A1162" t="s">
        <v>2906</v>
      </c>
      <c r="B1162" s="20">
        <v>45699</v>
      </c>
      <c r="C1162" t="s">
        <v>1761</v>
      </c>
      <c r="D1162" t="s">
        <v>193</v>
      </c>
      <c r="E1162" t="s">
        <v>241</v>
      </c>
      <c r="F1162" t="s">
        <v>195</v>
      </c>
      <c r="G1162">
        <v>0</v>
      </c>
      <c r="H1162" s="21">
        <v>1400.37</v>
      </c>
      <c r="I1162">
        <v>15</v>
      </c>
      <c r="J1162" s="21">
        <v>0</v>
      </c>
      <c r="K1162">
        <v>12</v>
      </c>
      <c r="L1162" s="21">
        <v>0</v>
      </c>
      <c r="M1162" s="21">
        <v>0</v>
      </c>
      <c r="N1162" s="21">
        <v>0</v>
      </c>
      <c r="O1162" s="21">
        <v>0</v>
      </c>
      <c r="P1162" t="s">
        <v>123</v>
      </c>
      <c r="Q1162" t="s">
        <v>120</v>
      </c>
      <c r="R1162" t="s">
        <v>482</v>
      </c>
      <c r="S1162" t="s">
        <v>1031</v>
      </c>
      <c r="T1162" t="s">
        <v>153</v>
      </c>
      <c r="U1162" t="s">
        <v>154</v>
      </c>
      <c r="V1162" t="str">
        <f>IFERROR(INDEX(Products!$C:$C,MATCH(D1162,Products!$A:$A,0)),"Unknown")</f>
        <v>Men Jeans</v>
      </c>
      <c r="W1162" t="str">
        <f>IFERROR(INDEX(Products!$E:$E,MATCH(D1162,Products!$A:$A,0)),"Unknown")</f>
        <v>Metro Shoes</v>
      </c>
      <c r="X1162" t="str">
        <f>IFERROR(INDEX(Stores!$B:$B,MATCH(E1162,Stores!$A:$A,0)),"Unknown")</f>
        <v>TrendMart Nizamabad Mall Kiosk</v>
      </c>
      <c r="Y1162" t="str">
        <f>IFERROR(INDEX(Stores!$E:$E,MATCH(E1162,Stores!$A:$A,0)),"Unknown")</f>
        <v>South Zone 2</v>
      </c>
      <c r="Z1162" t="str">
        <f>IFERROR(INDEX(Customers!$J:$J,MATCH(C1162,Customers!$A:$A,0)),"Unknown")</f>
        <v>Platinum</v>
      </c>
      <c r="AA1162" t="str">
        <f t="shared" si="18"/>
        <v>2025-02</v>
      </c>
      <c r="AB1162" t="str">
        <f>IFERROR(INDEX(Products!$I:$I,MATCH(D1162,Products!$A:$A,0)),"Unknown")</f>
        <v>SUP059</v>
      </c>
    </row>
    <row r="1163" spans="1:28" x14ac:dyDescent="0.25">
      <c r="A1163" t="s">
        <v>2907</v>
      </c>
      <c r="B1163" s="20">
        <v>45596</v>
      </c>
      <c r="C1163" t="s">
        <v>2908</v>
      </c>
      <c r="D1163" t="s">
        <v>339</v>
      </c>
      <c r="E1163" t="s">
        <v>721</v>
      </c>
      <c r="F1163" t="s">
        <v>443</v>
      </c>
      <c r="G1163">
        <v>1</v>
      </c>
      <c r="H1163" s="21">
        <v>860.68</v>
      </c>
      <c r="I1163">
        <v>10</v>
      </c>
      <c r="J1163" s="21">
        <v>86.07</v>
      </c>
      <c r="K1163">
        <v>5</v>
      </c>
      <c r="L1163" s="21">
        <v>38.729999999999997</v>
      </c>
      <c r="M1163" s="21">
        <v>813.34</v>
      </c>
      <c r="N1163" s="21">
        <v>568.53</v>
      </c>
      <c r="O1163" s="21">
        <v>206.08</v>
      </c>
      <c r="P1163" t="s">
        <v>125</v>
      </c>
      <c r="Q1163" t="s">
        <v>120</v>
      </c>
      <c r="R1163" t="s">
        <v>151</v>
      </c>
      <c r="S1163" t="s">
        <v>2435</v>
      </c>
      <c r="T1163" t="s">
        <v>153</v>
      </c>
      <c r="U1163" t="s">
        <v>154</v>
      </c>
      <c r="V1163" t="str">
        <f>IFERROR(INDEX(Products!$C:$C,MATCH(D1163,Products!$A:$A,0)),"Unknown")</f>
        <v>Women Kurtis</v>
      </c>
      <c r="W1163" t="str">
        <f>IFERROR(INDEX(Products!$E:$E,MATCH(D1163,Products!$A:$A,0)),"Unknown")</f>
        <v>Allen Solly</v>
      </c>
      <c r="X1163" t="str">
        <f>IFERROR(INDEX(Stores!$B:$B,MATCH(E1163,Stores!$A:$A,0)),"Unknown")</f>
        <v>TrendMart Kollam Flagship</v>
      </c>
      <c r="Y1163" t="str">
        <f>IFERROR(INDEX(Stores!$E:$E,MATCH(E1163,Stores!$A:$A,0)),"Unknown")</f>
        <v>South Zone 1</v>
      </c>
      <c r="Z1163" t="str">
        <f>IFERROR(INDEX(Customers!$J:$J,MATCH(C1163,Customers!$A:$A,0)),"Unknown")</f>
        <v>Regular</v>
      </c>
      <c r="AA1163" t="str">
        <f t="shared" si="18"/>
        <v>2024-10</v>
      </c>
      <c r="AB1163" t="str">
        <f>IFERROR(INDEX(Products!$I:$I,MATCH(D1163,Products!$A:$A,0)),"Unknown")</f>
        <v>SUP086</v>
      </c>
    </row>
    <row r="1164" spans="1:28" x14ac:dyDescent="0.25">
      <c r="A1164" t="s">
        <v>2909</v>
      </c>
      <c r="B1164" s="20">
        <v>45401</v>
      </c>
      <c r="C1164" t="s">
        <v>2910</v>
      </c>
      <c r="D1164" t="s">
        <v>1569</v>
      </c>
      <c r="E1164" t="s">
        <v>752</v>
      </c>
      <c r="F1164" t="s">
        <v>397</v>
      </c>
      <c r="G1164">
        <v>1</v>
      </c>
      <c r="H1164" s="21">
        <v>1182.19</v>
      </c>
      <c r="I1164">
        <v>0</v>
      </c>
      <c r="J1164" s="21">
        <v>0</v>
      </c>
      <c r="K1164">
        <v>12</v>
      </c>
      <c r="L1164" s="21">
        <v>141.86000000000001</v>
      </c>
      <c r="M1164" s="21">
        <v>1324.05</v>
      </c>
      <c r="N1164" s="21">
        <v>808.99</v>
      </c>
      <c r="O1164" s="21">
        <v>373.2</v>
      </c>
      <c r="P1164" t="s">
        <v>121</v>
      </c>
      <c r="Q1164" t="s">
        <v>120</v>
      </c>
      <c r="R1164" t="s">
        <v>151</v>
      </c>
      <c r="S1164" t="s">
        <v>2097</v>
      </c>
      <c r="T1164" t="s">
        <v>153</v>
      </c>
      <c r="U1164" t="s">
        <v>154</v>
      </c>
      <c r="V1164" t="str">
        <f>IFERROR(INDEX(Products!$C:$C,MATCH(D1164,Products!$A:$A,0)),"Unknown")</f>
        <v>Women Kurtis</v>
      </c>
      <c r="W1164" t="str">
        <f>IFERROR(INDEX(Products!$E:$E,MATCH(D1164,Products!$A:$A,0)),"Unknown")</f>
        <v>Liberty</v>
      </c>
      <c r="X1164" t="str">
        <f>IFERROR(INDEX(Stores!$B:$B,MATCH(E1164,Stores!$A:$A,0)),"Unknown")</f>
        <v>TrendMart Dindigul High Street</v>
      </c>
      <c r="Y1164" t="str">
        <f>IFERROR(INDEX(Stores!$E:$E,MATCH(E1164,Stores!$A:$A,0)),"Unknown")</f>
        <v>South Zone 1</v>
      </c>
      <c r="Z1164" t="str">
        <f>IFERROR(INDEX(Customers!$J:$J,MATCH(C1164,Customers!$A:$A,0)),"Unknown")</f>
        <v>Regular</v>
      </c>
      <c r="AA1164" t="str">
        <f t="shared" si="18"/>
        <v>2024-04</v>
      </c>
      <c r="AB1164" t="str">
        <f>IFERROR(INDEX(Products!$I:$I,MATCH(D1164,Products!$A:$A,0)),"Unknown")</f>
        <v>SUP079</v>
      </c>
    </row>
    <row r="1165" spans="1:28" x14ac:dyDescent="0.25">
      <c r="A1165" t="s">
        <v>2911</v>
      </c>
      <c r="B1165" s="20">
        <v>45492</v>
      </c>
      <c r="C1165" t="s">
        <v>2330</v>
      </c>
      <c r="D1165" t="s">
        <v>545</v>
      </c>
      <c r="E1165" t="s">
        <v>86</v>
      </c>
      <c r="F1165" t="s">
        <v>176</v>
      </c>
      <c r="G1165">
        <v>2</v>
      </c>
      <c r="H1165" s="21">
        <v>1246.1500000000001</v>
      </c>
      <c r="I1165">
        <v>10</v>
      </c>
      <c r="J1165" s="21">
        <v>249.23</v>
      </c>
      <c r="K1165">
        <v>12</v>
      </c>
      <c r="L1165" s="21">
        <v>269.17</v>
      </c>
      <c r="M1165" s="21">
        <v>2512.2399999999998</v>
      </c>
      <c r="N1165" s="21">
        <v>1669.92</v>
      </c>
      <c r="O1165" s="21">
        <v>573.15</v>
      </c>
      <c r="P1165" t="s">
        <v>125</v>
      </c>
      <c r="Q1165" t="s">
        <v>120</v>
      </c>
      <c r="R1165" t="s">
        <v>151</v>
      </c>
      <c r="S1165" t="s">
        <v>2084</v>
      </c>
      <c r="T1165" t="s">
        <v>153</v>
      </c>
      <c r="U1165" t="s">
        <v>154</v>
      </c>
      <c r="V1165" t="str">
        <f>IFERROR(INDEX(Products!$C:$C,MATCH(D1165,Products!$A:$A,0)),"Unknown")</f>
        <v>Women Jeans</v>
      </c>
      <c r="W1165" t="str">
        <f>IFERROR(INDEX(Products!$E:$E,MATCH(D1165,Products!$A:$A,0)),"Unknown")</f>
        <v>US Polo Assn</v>
      </c>
      <c r="X1165" t="str">
        <f>IFERROR(INDEX(Stores!$B:$B,MATCH(E1165,Stores!$A:$A,0)),"Unknown")</f>
        <v>TrendMart Warangal High Street</v>
      </c>
      <c r="Y1165" t="str">
        <f>IFERROR(INDEX(Stores!$E:$E,MATCH(E1165,Stores!$A:$A,0)),"Unknown")</f>
        <v>South Zone 2</v>
      </c>
      <c r="Z1165" t="str">
        <f>IFERROR(INDEX(Customers!$J:$J,MATCH(C1165,Customers!$A:$A,0)),"Unknown")</f>
        <v>Gold</v>
      </c>
      <c r="AA1165" t="str">
        <f t="shared" si="18"/>
        <v>2024-07</v>
      </c>
      <c r="AB1165" t="str">
        <f>IFERROR(INDEX(Products!$I:$I,MATCH(D1165,Products!$A:$A,0)),"Unknown")</f>
        <v>SUP041</v>
      </c>
    </row>
    <row r="1166" spans="1:28" x14ac:dyDescent="0.25">
      <c r="A1166" t="s">
        <v>2912</v>
      </c>
      <c r="B1166" s="20">
        <v>45576</v>
      </c>
      <c r="C1166" t="s">
        <v>2913</v>
      </c>
      <c r="D1166" t="s">
        <v>1903</v>
      </c>
      <c r="E1166" t="s">
        <v>93</v>
      </c>
      <c r="F1166" t="s">
        <v>275</v>
      </c>
      <c r="G1166">
        <v>2</v>
      </c>
      <c r="H1166" s="21">
        <v>968.41</v>
      </c>
      <c r="I1166">
        <v>10</v>
      </c>
      <c r="J1166" s="21">
        <v>193.68</v>
      </c>
      <c r="K1166">
        <v>5</v>
      </c>
      <c r="L1166" s="21">
        <v>87.16</v>
      </c>
      <c r="M1166" s="21">
        <v>1830.3</v>
      </c>
      <c r="N1166" s="21">
        <v>1522.14</v>
      </c>
      <c r="O1166" s="21">
        <v>221</v>
      </c>
      <c r="P1166" t="s">
        <v>125</v>
      </c>
      <c r="Q1166" t="s">
        <v>120</v>
      </c>
      <c r="R1166" t="s">
        <v>151</v>
      </c>
      <c r="S1166" t="s">
        <v>1669</v>
      </c>
      <c r="T1166" t="s">
        <v>153</v>
      </c>
      <c r="U1166" t="s">
        <v>154</v>
      </c>
      <c r="V1166" t="str">
        <f>IFERROR(INDEX(Products!$C:$C,MATCH(D1166,Products!$A:$A,0)),"Unknown")</f>
        <v>Belts</v>
      </c>
      <c r="W1166" t="str">
        <f>IFERROR(INDEX(Products!$E:$E,MATCH(D1166,Products!$A:$A,0)),"Unknown")</f>
        <v>US Polo Assn</v>
      </c>
      <c r="X1166" t="str">
        <f>IFERROR(INDEX(Stores!$B:$B,MATCH(E1166,Stores!$A:$A,0)),"Unknown")</f>
        <v>TrendMart Thiruvananthapuram High Street</v>
      </c>
      <c r="Y1166" t="str">
        <f>IFERROR(INDEX(Stores!$E:$E,MATCH(E1166,Stores!$A:$A,0)),"Unknown")</f>
        <v>South Zone 1</v>
      </c>
      <c r="Z1166" t="str">
        <f>IFERROR(INDEX(Customers!$J:$J,MATCH(C1166,Customers!$A:$A,0)),"Unknown")</f>
        <v>Gold</v>
      </c>
      <c r="AA1166" t="str">
        <f t="shared" si="18"/>
        <v>2024-10</v>
      </c>
      <c r="AB1166" t="str">
        <f>IFERROR(INDEX(Products!$I:$I,MATCH(D1166,Products!$A:$A,0)),"Unknown")</f>
        <v>SUP029</v>
      </c>
    </row>
    <row r="1167" spans="1:28" x14ac:dyDescent="0.25">
      <c r="A1167" t="s">
        <v>2914</v>
      </c>
      <c r="B1167" s="20">
        <v>45723</v>
      </c>
      <c r="C1167" t="s">
        <v>1851</v>
      </c>
      <c r="D1167" t="s">
        <v>2241</v>
      </c>
      <c r="E1167" t="s">
        <v>1522</v>
      </c>
      <c r="F1167" t="s">
        <v>550</v>
      </c>
      <c r="G1167">
        <v>1</v>
      </c>
      <c r="H1167" s="21">
        <v>1457.17</v>
      </c>
      <c r="I1167">
        <v>0</v>
      </c>
      <c r="J1167" s="21">
        <v>0</v>
      </c>
      <c r="K1167">
        <v>12</v>
      </c>
      <c r="L1167" s="21">
        <v>174.86</v>
      </c>
      <c r="M1167" s="21">
        <v>1632.03</v>
      </c>
      <c r="N1167" s="21">
        <v>996.24</v>
      </c>
      <c r="O1167" s="21">
        <v>460.93</v>
      </c>
      <c r="P1167" t="s">
        <v>123</v>
      </c>
      <c r="Q1167" t="s">
        <v>120</v>
      </c>
      <c r="R1167" t="s">
        <v>151</v>
      </c>
      <c r="S1167" t="s">
        <v>2915</v>
      </c>
      <c r="T1167" t="s">
        <v>153</v>
      </c>
      <c r="U1167" t="s">
        <v>154</v>
      </c>
      <c r="V1167" t="str">
        <f>IFERROR(INDEX(Products!$C:$C,MATCH(D1167,Products!$A:$A,0)),"Unknown")</f>
        <v>Men Trousers</v>
      </c>
      <c r="W1167" t="str">
        <f>IFERROR(INDEX(Products!$E:$E,MATCH(D1167,Products!$A:$A,0)),"Unknown")</f>
        <v>GRT Jewellers</v>
      </c>
      <c r="X1167" t="str">
        <f>IFERROR(INDEX(Stores!$B:$B,MATCH(E1167,Stores!$A:$A,0)),"Unknown")</f>
        <v>TrendMart Guntur High Street</v>
      </c>
      <c r="Y1167" t="str">
        <f>IFERROR(INDEX(Stores!$E:$E,MATCH(E1167,Stores!$A:$A,0)),"Unknown")</f>
        <v>South Zone 3</v>
      </c>
      <c r="Z1167" t="str">
        <f>IFERROR(INDEX(Customers!$J:$J,MATCH(C1167,Customers!$A:$A,0)),"Unknown")</f>
        <v>Silver</v>
      </c>
      <c r="AA1167" t="str">
        <f t="shared" si="18"/>
        <v>2025-03</v>
      </c>
      <c r="AB1167" t="str">
        <f>IFERROR(INDEX(Products!$I:$I,MATCH(D1167,Products!$A:$A,0)),"Unknown")</f>
        <v>SUP042</v>
      </c>
    </row>
    <row r="1168" spans="1:28" x14ac:dyDescent="0.25">
      <c r="A1168" t="s">
        <v>2916</v>
      </c>
      <c r="B1168" s="20">
        <v>45555</v>
      </c>
      <c r="C1168" t="s">
        <v>2917</v>
      </c>
      <c r="D1168" t="s">
        <v>321</v>
      </c>
      <c r="E1168" t="s">
        <v>81</v>
      </c>
      <c r="F1168" t="s">
        <v>596</v>
      </c>
      <c r="G1168">
        <v>3</v>
      </c>
      <c r="H1168" s="21">
        <v>3350.99</v>
      </c>
      <c r="I1168">
        <v>10</v>
      </c>
      <c r="J1168" s="21">
        <v>1005.3</v>
      </c>
      <c r="K1168">
        <v>12</v>
      </c>
      <c r="L1168" s="21">
        <v>1085.72</v>
      </c>
      <c r="M1168" s="21">
        <v>10133.39</v>
      </c>
      <c r="N1168" s="21">
        <v>7299.96</v>
      </c>
      <c r="O1168" s="21">
        <v>1747.71</v>
      </c>
      <c r="P1168" t="s">
        <v>127</v>
      </c>
      <c r="Q1168" t="s">
        <v>120</v>
      </c>
      <c r="R1168" t="s">
        <v>151</v>
      </c>
      <c r="S1168" t="s">
        <v>2918</v>
      </c>
      <c r="T1168" t="s">
        <v>153</v>
      </c>
      <c r="U1168" t="s">
        <v>154</v>
      </c>
      <c r="V1168" t="str">
        <f>IFERROR(INDEX(Products!$C:$C,MATCH(D1168,Products!$A:$A,0)),"Unknown")</f>
        <v>Watches</v>
      </c>
      <c r="W1168" t="str">
        <f>IFERROR(INDEX(Products!$E:$E,MATCH(D1168,Products!$A:$A,0)),"Unknown")</f>
        <v>Pepe Jeans</v>
      </c>
      <c r="X1168" t="str">
        <f>IFERROR(INDEX(Stores!$B:$B,MATCH(E1168,Stores!$A:$A,0)),"Unknown")</f>
        <v>TrendMart Vijayawada High Street</v>
      </c>
      <c r="Y1168" t="str">
        <f>IFERROR(INDEX(Stores!$E:$E,MATCH(E1168,Stores!$A:$A,0)),"Unknown")</f>
        <v>South Zone 3</v>
      </c>
      <c r="Z1168" t="str">
        <f>IFERROR(INDEX(Customers!$J:$J,MATCH(C1168,Customers!$A:$A,0)),"Unknown")</f>
        <v>Silver</v>
      </c>
      <c r="AA1168" t="str">
        <f t="shared" si="18"/>
        <v>2024-09</v>
      </c>
      <c r="AB1168" t="str">
        <f>IFERROR(INDEX(Products!$I:$I,MATCH(D1168,Products!$A:$A,0)),"Unknown")</f>
        <v>SUP079</v>
      </c>
    </row>
    <row r="1169" spans="1:28" x14ac:dyDescent="0.25">
      <c r="A1169" t="s">
        <v>2919</v>
      </c>
      <c r="B1169" s="20">
        <v>45559</v>
      </c>
      <c r="C1169" t="s">
        <v>1652</v>
      </c>
      <c r="D1169" t="s">
        <v>415</v>
      </c>
      <c r="E1169" t="s">
        <v>490</v>
      </c>
      <c r="F1169" t="s">
        <v>253</v>
      </c>
      <c r="G1169">
        <v>1</v>
      </c>
      <c r="H1169" s="21">
        <v>1502.24</v>
      </c>
      <c r="I1169">
        <v>10</v>
      </c>
      <c r="J1169" s="21">
        <v>150.22</v>
      </c>
      <c r="K1169">
        <v>12</v>
      </c>
      <c r="L1169" s="21">
        <v>162.24</v>
      </c>
      <c r="M1169" s="21">
        <v>1514.26</v>
      </c>
      <c r="N1169" s="21">
        <v>1047.48</v>
      </c>
      <c r="O1169" s="21">
        <v>304.54000000000002</v>
      </c>
      <c r="P1169" t="s">
        <v>125</v>
      </c>
      <c r="Q1169" t="s">
        <v>120</v>
      </c>
      <c r="R1169" t="s">
        <v>151</v>
      </c>
      <c r="S1169" t="s">
        <v>1335</v>
      </c>
      <c r="T1169" t="s">
        <v>153</v>
      </c>
      <c r="U1169" t="s">
        <v>154</v>
      </c>
      <c r="V1169" t="str">
        <f>IFERROR(INDEX(Products!$C:$C,MATCH(D1169,Products!$A:$A,0)),"Unknown")</f>
        <v>Women Jeans</v>
      </c>
      <c r="W1169" t="str">
        <f>IFERROR(INDEX(Products!$E:$E,MATCH(D1169,Products!$A:$A,0)),"Unknown")</f>
        <v>Killer Jeans</v>
      </c>
      <c r="X1169" t="str">
        <f>IFERROR(INDEX(Stores!$B:$B,MATCH(E1169,Stores!$A:$A,0)),"Unknown")</f>
        <v>TrendMart Mangaluru Mall Kiosk</v>
      </c>
      <c r="Y1169" t="str">
        <f>IFERROR(INDEX(Stores!$E:$E,MATCH(E1169,Stores!$A:$A,0)),"Unknown")</f>
        <v>South Zone 2</v>
      </c>
      <c r="Z1169" t="str">
        <f>IFERROR(INDEX(Customers!$J:$J,MATCH(C1169,Customers!$A:$A,0)),"Unknown")</f>
        <v>Silver</v>
      </c>
      <c r="AA1169" t="str">
        <f t="shared" si="18"/>
        <v>2024-09</v>
      </c>
      <c r="AB1169" t="str">
        <f>IFERROR(INDEX(Products!$I:$I,MATCH(D1169,Products!$A:$A,0)),"Unknown")</f>
        <v>SUP070</v>
      </c>
    </row>
    <row r="1170" spans="1:28" x14ac:dyDescent="0.25">
      <c r="A1170" t="s">
        <v>2920</v>
      </c>
      <c r="B1170" s="20">
        <v>45689</v>
      </c>
      <c r="C1170" t="s">
        <v>2921</v>
      </c>
      <c r="D1170" t="s">
        <v>531</v>
      </c>
      <c r="E1170" t="s">
        <v>296</v>
      </c>
      <c r="F1170" t="s">
        <v>189</v>
      </c>
      <c r="G1170">
        <v>3</v>
      </c>
      <c r="H1170" s="21">
        <v>3504.98</v>
      </c>
      <c r="I1170">
        <v>30</v>
      </c>
      <c r="J1170" s="21">
        <v>3154.48</v>
      </c>
      <c r="K1170">
        <v>12</v>
      </c>
      <c r="L1170" s="21">
        <v>883.26</v>
      </c>
      <c r="M1170" s="21">
        <v>8243.7199999999993</v>
      </c>
      <c r="N1170" s="21">
        <v>6102.03</v>
      </c>
      <c r="O1170" s="21">
        <v>1258.43</v>
      </c>
      <c r="P1170" t="s">
        <v>124</v>
      </c>
      <c r="Q1170" t="s">
        <v>120</v>
      </c>
      <c r="R1170" t="s">
        <v>151</v>
      </c>
      <c r="S1170" t="s">
        <v>2922</v>
      </c>
      <c r="T1170" t="s">
        <v>161</v>
      </c>
      <c r="U1170" t="s">
        <v>154</v>
      </c>
      <c r="V1170" t="str">
        <f>IFERROR(INDEX(Products!$C:$C,MATCH(D1170,Products!$A:$A,0)),"Unknown")</f>
        <v>Handbags</v>
      </c>
      <c r="W1170" t="str">
        <f>IFERROR(INDEX(Products!$E:$E,MATCH(D1170,Products!$A:$A,0)),"Unknown")</f>
        <v>GRT Jewellers</v>
      </c>
      <c r="X1170" t="str">
        <f>IFERROR(INDEX(Stores!$B:$B,MATCH(E1170,Stores!$A:$A,0)),"Unknown")</f>
        <v>TrendMart Kurnool Outlet</v>
      </c>
      <c r="Y1170" t="str">
        <f>IFERROR(INDEX(Stores!$E:$E,MATCH(E1170,Stores!$A:$A,0)),"Unknown")</f>
        <v>South Zone 3</v>
      </c>
      <c r="Z1170" t="str">
        <f>IFERROR(INDEX(Customers!$J:$J,MATCH(C1170,Customers!$A:$A,0)),"Unknown")</f>
        <v>Regular</v>
      </c>
      <c r="AA1170" t="str">
        <f t="shared" si="18"/>
        <v>2025-02</v>
      </c>
      <c r="AB1170" t="str">
        <f>IFERROR(INDEX(Products!$I:$I,MATCH(D1170,Products!$A:$A,0)),"Unknown")</f>
        <v>SUP047</v>
      </c>
    </row>
    <row r="1171" spans="1:28" x14ac:dyDescent="0.25">
      <c r="A1171" t="s">
        <v>2923</v>
      </c>
      <c r="B1171" s="20">
        <v>45645</v>
      </c>
      <c r="C1171" t="s">
        <v>785</v>
      </c>
      <c r="D1171" t="s">
        <v>466</v>
      </c>
      <c r="E1171" t="s">
        <v>355</v>
      </c>
      <c r="F1171" t="s">
        <v>596</v>
      </c>
      <c r="G1171">
        <v>2</v>
      </c>
      <c r="H1171" s="21">
        <v>766.8</v>
      </c>
      <c r="I1171">
        <v>30</v>
      </c>
      <c r="J1171" s="21">
        <v>460.08</v>
      </c>
      <c r="K1171">
        <v>5</v>
      </c>
      <c r="L1171" s="21">
        <v>53.68</v>
      </c>
      <c r="M1171" s="21">
        <v>1127.2</v>
      </c>
      <c r="N1171" s="21">
        <v>1142.18</v>
      </c>
      <c r="O1171" s="21">
        <v>-68.66</v>
      </c>
      <c r="P1171" t="s">
        <v>125</v>
      </c>
      <c r="Q1171" t="s">
        <v>120</v>
      </c>
      <c r="R1171" t="s">
        <v>151</v>
      </c>
      <c r="S1171" t="s">
        <v>1460</v>
      </c>
      <c r="T1171" t="s">
        <v>153</v>
      </c>
      <c r="U1171" t="s">
        <v>184</v>
      </c>
      <c r="V1171" t="str">
        <f>IFERROR(INDEX(Products!$C:$C,MATCH(D1171,Products!$A:$A,0)),"Unknown")</f>
        <v>Women Kurtis</v>
      </c>
      <c r="W1171" t="str">
        <f>IFERROR(INDEX(Products!$E:$E,MATCH(D1171,Products!$A:$A,0)),"Unknown")</f>
        <v>Fabindia</v>
      </c>
      <c r="X1171" t="str">
        <f>IFERROR(INDEX(Stores!$B:$B,MATCH(E1171,Stores!$A:$A,0)),"Unknown")</f>
        <v>TrendMart Thiruvananthapuram High Street</v>
      </c>
      <c r="Y1171" t="str">
        <f>IFERROR(INDEX(Stores!$E:$E,MATCH(E1171,Stores!$A:$A,0)),"Unknown")</f>
        <v>South Zone 1</v>
      </c>
      <c r="Z1171" t="str">
        <f>IFERROR(INDEX(Customers!$J:$J,MATCH(C1171,Customers!$A:$A,0)),"Unknown")</f>
        <v>Regular</v>
      </c>
      <c r="AA1171" t="str">
        <f t="shared" si="18"/>
        <v>2024-12</v>
      </c>
      <c r="AB1171" t="str">
        <f>IFERROR(INDEX(Products!$I:$I,MATCH(D1171,Products!$A:$A,0)),"Unknown")</f>
        <v>SUP017</v>
      </c>
    </row>
    <row r="1172" spans="1:28" x14ac:dyDescent="0.25">
      <c r="A1172" t="s">
        <v>2924</v>
      </c>
      <c r="B1172" s="20">
        <v>45446</v>
      </c>
      <c r="C1172" t="s">
        <v>766</v>
      </c>
      <c r="D1172" t="s">
        <v>210</v>
      </c>
      <c r="E1172" t="s">
        <v>934</v>
      </c>
      <c r="F1172" t="s">
        <v>397</v>
      </c>
      <c r="G1172">
        <v>1</v>
      </c>
      <c r="H1172" s="21">
        <v>1705.11</v>
      </c>
      <c r="I1172">
        <v>0</v>
      </c>
      <c r="J1172" s="21">
        <v>0</v>
      </c>
      <c r="K1172">
        <v>12</v>
      </c>
      <c r="L1172" s="21">
        <v>204.61</v>
      </c>
      <c r="M1172" s="21">
        <v>1909.72</v>
      </c>
      <c r="N1172" s="21">
        <v>1399.85</v>
      </c>
      <c r="O1172" s="21">
        <v>305.26</v>
      </c>
      <c r="P1172" t="s">
        <v>124</v>
      </c>
      <c r="Q1172" t="s">
        <v>120</v>
      </c>
      <c r="R1172" t="s">
        <v>151</v>
      </c>
      <c r="S1172" t="s">
        <v>1217</v>
      </c>
      <c r="T1172" t="s">
        <v>153</v>
      </c>
      <c r="U1172" t="s">
        <v>154</v>
      </c>
      <c r="V1172" t="str">
        <f>IFERROR(INDEX(Products!$C:$C,MATCH(D1172,Products!$A:$A,0)),"Unknown")</f>
        <v>Women Dresses</v>
      </c>
      <c r="W1172" t="str">
        <f>IFERROR(INDEX(Products!$E:$E,MATCH(D1172,Products!$A:$A,0)),"Unknown")</f>
        <v>Nike</v>
      </c>
      <c r="X1172" t="str">
        <f>IFERROR(INDEX(Stores!$B:$B,MATCH(E1172,Stores!$A:$A,0)),"Unknown")</f>
        <v>TrendMart Bengaluru High Street</v>
      </c>
      <c r="Y1172" t="str">
        <f>IFERROR(INDEX(Stores!$E:$E,MATCH(E1172,Stores!$A:$A,0)),"Unknown")</f>
        <v>South Zone 2</v>
      </c>
      <c r="Z1172" t="str">
        <f>IFERROR(INDEX(Customers!$J:$J,MATCH(C1172,Customers!$A:$A,0)),"Unknown")</f>
        <v>Regular</v>
      </c>
      <c r="AA1172" t="str">
        <f t="shared" si="18"/>
        <v>2024-06</v>
      </c>
      <c r="AB1172" t="str">
        <f>IFERROR(INDEX(Products!$I:$I,MATCH(D1172,Products!$A:$A,0)),"Unknown")</f>
        <v>SUP073</v>
      </c>
    </row>
    <row r="1173" spans="1:28" x14ac:dyDescent="0.25">
      <c r="A1173" t="s">
        <v>2925</v>
      </c>
      <c r="B1173" s="20">
        <v>45609</v>
      </c>
      <c r="C1173" t="s">
        <v>766</v>
      </c>
      <c r="D1173" t="s">
        <v>2379</v>
      </c>
      <c r="E1173" t="s">
        <v>1512</v>
      </c>
      <c r="F1173" t="s">
        <v>269</v>
      </c>
      <c r="G1173">
        <v>4</v>
      </c>
      <c r="H1173" s="21">
        <v>830.35</v>
      </c>
      <c r="I1173">
        <v>15</v>
      </c>
      <c r="J1173" s="21">
        <v>498.21</v>
      </c>
      <c r="K1173">
        <v>5</v>
      </c>
      <c r="L1173" s="21">
        <v>141.16</v>
      </c>
      <c r="M1173" s="21">
        <v>2964.35</v>
      </c>
      <c r="N1173" s="21">
        <v>2182.1999999999998</v>
      </c>
      <c r="O1173" s="21">
        <v>640.99</v>
      </c>
      <c r="P1173" t="s">
        <v>123</v>
      </c>
      <c r="Q1173" t="s">
        <v>122</v>
      </c>
      <c r="R1173" t="s">
        <v>151</v>
      </c>
      <c r="S1173" t="s">
        <v>2316</v>
      </c>
      <c r="T1173" t="s">
        <v>153</v>
      </c>
      <c r="U1173" t="s">
        <v>154</v>
      </c>
      <c r="V1173" t="str">
        <f>IFERROR(INDEX(Products!$C:$C,MATCH(D1173,Products!$A:$A,0)),"Unknown")</f>
        <v>Wallets</v>
      </c>
      <c r="W1173" t="str">
        <f>IFERROR(INDEX(Products!$E:$E,MATCH(D1173,Products!$A:$A,0)),"Unknown")</f>
        <v>Pepe Jeans</v>
      </c>
      <c r="X1173" t="str">
        <f>IFERROR(INDEX(Stores!$B:$B,MATCH(E1173,Stores!$A:$A,0)),"Unknown")</f>
        <v>TrendMart Erode Mall Kiosk</v>
      </c>
      <c r="Y1173" t="str">
        <f>IFERROR(INDEX(Stores!$E:$E,MATCH(E1173,Stores!$A:$A,0)),"Unknown")</f>
        <v>South Zone 1</v>
      </c>
      <c r="Z1173" t="str">
        <f>IFERROR(INDEX(Customers!$J:$J,MATCH(C1173,Customers!$A:$A,0)),"Unknown")</f>
        <v>Regular</v>
      </c>
      <c r="AA1173" t="str">
        <f t="shared" si="18"/>
        <v>2024-11</v>
      </c>
      <c r="AB1173" t="str">
        <f>IFERROR(INDEX(Products!$I:$I,MATCH(D1173,Products!$A:$A,0)),"Unknown")</f>
        <v>SUP024</v>
      </c>
    </row>
    <row r="1174" spans="1:28" x14ac:dyDescent="0.25">
      <c r="A1174" t="s">
        <v>2926</v>
      </c>
      <c r="B1174" s="20">
        <v>45623</v>
      </c>
      <c r="C1174" t="s">
        <v>2927</v>
      </c>
      <c r="D1174" t="s">
        <v>1373</v>
      </c>
      <c r="E1174" t="s">
        <v>429</v>
      </c>
      <c r="F1174" t="s">
        <v>443</v>
      </c>
      <c r="G1174">
        <v>4</v>
      </c>
      <c r="H1174" s="21">
        <v>3126.64</v>
      </c>
      <c r="I1174">
        <v>25</v>
      </c>
      <c r="J1174" s="21">
        <v>3126.64</v>
      </c>
      <c r="K1174">
        <v>12</v>
      </c>
      <c r="L1174" s="21">
        <v>1125.5899999999999</v>
      </c>
      <c r="M1174" s="21">
        <v>10505.51</v>
      </c>
      <c r="N1174" s="21">
        <v>9832</v>
      </c>
      <c r="O1174" s="21">
        <v>-452.08</v>
      </c>
      <c r="P1174" t="s">
        <v>121</v>
      </c>
      <c r="Q1174" t="s">
        <v>120</v>
      </c>
      <c r="R1174" t="s">
        <v>151</v>
      </c>
      <c r="S1174" t="s">
        <v>2166</v>
      </c>
      <c r="T1174" t="s">
        <v>153</v>
      </c>
      <c r="U1174" t="s">
        <v>184</v>
      </c>
      <c r="V1174" t="str">
        <f>IFERROR(INDEX(Products!$C:$C,MATCH(D1174,Products!$A:$A,0)),"Unknown")</f>
        <v>Footwear</v>
      </c>
      <c r="W1174" t="str">
        <f>IFERROR(INDEX(Products!$E:$E,MATCH(D1174,Products!$A:$A,0)),"Unknown")</f>
        <v>Unknown</v>
      </c>
      <c r="X1174" t="str">
        <f>IFERROR(INDEX(Stores!$B:$B,MATCH(E1174,Stores!$A:$A,0)),"Unknown")</f>
        <v>TrendMart Tirunelveli Flagship</v>
      </c>
      <c r="Y1174" t="str">
        <f>IFERROR(INDEX(Stores!$E:$E,MATCH(E1174,Stores!$A:$A,0)),"Unknown")</f>
        <v>South Zone 1</v>
      </c>
      <c r="Z1174" t="str">
        <f>IFERROR(INDEX(Customers!$J:$J,MATCH(C1174,Customers!$A:$A,0)),"Unknown")</f>
        <v>Regular</v>
      </c>
      <c r="AA1174" t="str">
        <f t="shared" si="18"/>
        <v>2024-11</v>
      </c>
      <c r="AB1174" t="str">
        <f>IFERROR(INDEX(Products!$I:$I,MATCH(D1174,Products!$A:$A,0)),"Unknown")</f>
        <v>SUP087</v>
      </c>
    </row>
    <row r="1175" spans="1:28" x14ac:dyDescent="0.25">
      <c r="A1175" t="s">
        <v>2928</v>
      </c>
      <c r="B1175" s="20">
        <v>45570</v>
      </c>
      <c r="C1175" t="s">
        <v>716</v>
      </c>
      <c r="D1175" t="s">
        <v>1055</v>
      </c>
      <c r="E1175" t="s">
        <v>681</v>
      </c>
      <c r="F1175" t="s">
        <v>532</v>
      </c>
      <c r="G1175">
        <v>1</v>
      </c>
      <c r="H1175" s="21">
        <v>1483.16</v>
      </c>
      <c r="I1175">
        <v>10</v>
      </c>
      <c r="J1175" s="21">
        <v>148.32</v>
      </c>
      <c r="K1175">
        <v>12</v>
      </c>
      <c r="L1175" s="21">
        <v>160.18</v>
      </c>
      <c r="M1175" s="21">
        <v>1495.02</v>
      </c>
      <c r="N1175" s="21">
        <v>1116.33</v>
      </c>
      <c r="O1175" s="21">
        <v>218.51</v>
      </c>
      <c r="P1175" t="s">
        <v>123</v>
      </c>
      <c r="Q1175" t="s">
        <v>120</v>
      </c>
      <c r="R1175" t="s">
        <v>151</v>
      </c>
      <c r="S1175" t="s">
        <v>421</v>
      </c>
      <c r="T1175" t="s">
        <v>161</v>
      </c>
      <c r="U1175" t="s">
        <v>154</v>
      </c>
      <c r="V1175" t="str">
        <f>IFERROR(INDEX(Products!$C:$C,MATCH(D1175,Products!$A:$A,0)),"Unknown")</f>
        <v>Wallets</v>
      </c>
      <c r="W1175" t="str">
        <f>IFERROR(INDEX(Products!$E:$E,MATCH(D1175,Products!$A:$A,0)),"Unknown")</f>
        <v>Nalli Silks</v>
      </c>
      <c r="X1175" t="str">
        <f>IFERROR(INDEX(Stores!$B:$B,MATCH(E1175,Stores!$A:$A,0)),"Unknown")</f>
        <v>TrendMart Shivamogga Mall Kiosk</v>
      </c>
      <c r="Y1175" t="str">
        <f>IFERROR(INDEX(Stores!$E:$E,MATCH(E1175,Stores!$A:$A,0)),"Unknown")</f>
        <v>South Zone 2</v>
      </c>
      <c r="Z1175" t="str">
        <f>IFERROR(INDEX(Customers!$J:$J,MATCH(C1175,Customers!$A:$A,0)),"Unknown")</f>
        <v>Silver</v>
      </c>
      <c r="AA1175" t="str">
        <f t="shared" si="18"/>
        <v>2024-10</v>
      </c>
      <c r="AB1175" t="str">
        <f>IFERROR(INDEX(Products!$I:$I,MATCH(D1175,Products!$A:$A,0)),"Unknown")</f>
        <v>SUP016</v>
      </c>
    </row>
    <row r="1176" spans="1:28" x14ac:dyDescent="0.25">
      <c r="A1176" t="s">
        <v>2929</v>
      </c>
      <c r="B1176" s="20">
        <v>45489</v>
      </c>
      <c r="C1176" t="s">
        <v>350</v>
      </c>
      <c r="D1176" t="s">
        <v>670</v>
      </c>
      <c r="E1176" t="s">
        <v>613</v>
      </c>
      <c r="F1176" t="s">
        <v>335</v>
      </c>
      <c r="G1176">
        <v>2</v>
      </c>
      <c r="H1176" s="21">
        <v>2044.23</v>
      </c>
      <c r="I1176">
        <v>0</v>
      </c>
      <c r="J1176" s="21">
        <v>0</v>
      </c>
      <c r="K1176">
        <v>12</v>
      </c>
      <c r="L1176" s="21">
        <v>490.62</v>
      </c>
      <c r="M1176" s="21">
        <v>4579.08</v>
      </c>
      <c r="N1176" s="21">
        <v>2756.76</v>
      </c>
      <c r="O1176" s="21">
        <v>1331.7</v>
      </c>
      <c r="P1176" t="s">
        <v>126</v>
      </c>
      <c r="Q1176" t="s">
        <v>122</v>
      </c>
      <c r="R1176" t="s">
        <v>151</v>
      </c>
      <c r="S1176" t="s">
        <v>1881</v>
      </c>
      <c r="T1176" t="s">
        <v>153</v>
      </c>
      <c r="U1176" t="s">
        <v>154</v>
      </c>
      <c r="V1176" t="str">
        <f>IFERROR(INDEX(Products!$C:$C,MATCH(D1176,Products!$A:$A,0)),"Unknown")</f>
        <v>Women Sarees</v>
      </c>
      <c r="W1176" t="str">
        <f>IFERROR(INDEX(Products!$E:$E,MATCH(D1176,Products!$A:$A,0)),"Unknown")</f>
        <v>Reebok</v>
      </c>
      <c r="X1176" t="str">
        <f>IFERROR(INDEX(Stores!$B:$B,MATCH(E1176,Stores!$A:$A,0)),"Unknown")</f>
        <v>TrendMart Kochi Mall Kiosk</v>
      </c>
      <c r="Y1176" t="str">
        <f>IFERROR(INDEX(Stores!$E:$E,MATCH(E1176,Stores!$A:$A,0)),"Unknown")</f>
        <v>South Zone 1</v>
      </c>
      <c r="Z1176" t="str">
        <f>IFERROR(INDEX(Customers!$J:$J,MATCH(C1176,Customers!$A:$A,0)),"Unknown")</f>
        <v>Silver</v>
      </c>
      <c r="AA1176" t="str">
        <f t="shared" si="18"/>
        <v>2024-07</v>
      </c>
      <c r="AB1176" t="str">
        <f>IFERROR(INDEX(Products!$I:$I,MATCH(D1176,Products!$A:$A,0)),"Unknown")</f>
        <v>SUP073</v>
      </c>
    </row>
    <row r="1177" spans="1:28" x14ac:dyDescent="0.25">
      <c r="A1177" t="s">
        <v>2930</v>
      </c>
      <c r="B1177" s="20">
        <v>45556</v>
      </c>
      <c r="C1177" t="s">
        <v>2931</v>
      </c>
      <c r="D1177" t="s">
        <v>599</v>
      </c>
      <c r="E1177" t="s">
        <v>231</v>
      </c>
      <c r="F1177" t="s">
        <v>237</v>
      </c>
      <c r="G1177">
        <v>2</v>
      </c>
      <c r="H1177" s="21">
        <v>1118.73</v>
      </c>
      <c r="I1177">
        <v>0</v>
      </c>
      <c r="J1177" s="21">
        <v>0</v>
      </c>
      <c r="K1177">
        <v>12</v>
      </c>
      <c r="L1177" s="21">
        <v>268.5</v>
      </c>
      <c r="M1177" s="21">
        <v>2505.96</v>
      </c>
      <c r="N1177" s="21">
        <v>1291.18</v>
      </c>
      <c r="O1177" s="21">
        <v>946.28</v>
      </c>
      <c r="P1177" t="s">
        <v>121</v>
      </c>
      <c r="Q1177" t="s">
        <v>120</v>
      </c>
      <c r="R1177" t="s">
        <v>151</v>
      </c>
      <c r="S1177" t="s">
        <v>1499</v>
      </c>
      <c r="T1177" t="s">
        <v>161</v>
      </c>
      <c r="U1177" t="s">
        <v>154</v>
      </c>
      <c r="V1177" t="str">
        <f>IFERROR(INDEX(Products!$C:$C,MATCH(D1177,Products!$A:$A,0)),"Unknown")</f>
        <v>Men Shirts</v>
      </c>
      <c r="W1177" t="str">
        <f>IFERROR(INDEX(Products!$E:$E,MATCH(D1177,Products!$A:$A,0)),"Unknown")</f>
        <v>Van Heusen</v>
      </c>
      <c r="X1177" t="str">
        <f>IFERROR(INDEX(Stores!$B:$B,MATCH(E1177,Stores!$A:$A,0)),"Unknown")</f>
        <v>TrendMart Warangal Outlet</v>
      </c>
      <c r="Y1177" t="str">
        <f>IFERROR(INDEX(Stores!$E:$E,MATCH(E1177,Stores!$A:$A,0)),"Unknown")</f>
        <v>South Zone 2</v>
      </c>
      <c r="Z1177" t="str">
        <f>IFERROR(INDEX(Customers!$J:$J,MATCH(C1177,Customers!$A:$A,0)),"Unknown")</f>
        <v>Platinum</v>
      </c>
      <c r="AA1177" t="str">
        <f t="shared" si="18"/>
        <v>2024-09</v>
      </c>
      <c r="AB1177" t="str">
        <f>IFERROR(INDEX(Products!$I:$I,MATCH(D1177,Products!$A:$A,0)),"Unknown")</f>
        <v>SUP084</v>
      </c>
    </row>
    <row r="1178" spans="1:28" x14ac:dyDescent="0.25">
      <c r="A1178" t="s">
        <v>2932</v>
      </c>
      <c r="B1178" s="20">
        <v>45720</v>
      </c>
      <c r="C1178" t="s">
        <v>2366</v>
      </c>
      <c r="D1178" t="s">
        <v>1328</v>
      </c>
      <c r="E1178" t="s">
        <v>515</v>
      </c>
      <c r="F1178" t="s">
        <v>253</v>
      </c>
      <c r="G1178">
        <v>2</v>
      </c>
      <c r="H1178" s="21">
        <v>1615.38</v>
      </c>
      <c r="I1178">
        <v>25</v>
      </c>
      <c r="J1178" s="21">
        <v>807.69</v>
      </c>
      <c r="K1178">
        <v>12</v>
      </c>
      <c r="L1178" s="21">
        <v>290.77</v>
      </c>
      <c r="M1178" s="21">
        <v>2713.84</v>
      </c>
      <c r="N1178" s="21">
        <v>2184.86</v>
      </c>
      <c r="O1178" s="21">
        <v>238.21</v>
      </c>
      <c r="P1178" t="s">
        <v>125</v>
      </c>
      <c r="Q1178" t="s">
        <v>120</v>
      </c>
      <c r="R1178" t="s">
        <v>151</v>
      </c>
      <c r="S1178" t="s">
        <v>356</v>
      </c>
      <c r="T1178" t="s">
        <v>153</v>
      </c>
      <c r="U1178" t="s">
        <v>154</v>
      </c>
      <c r="V1178" t="str">
        <f>IFERROR(INDEX(Products!$C:$C,MATCH(D1178,Products!$A:$A,0)),"Unknown")</f>
        <v>Winter Wear</v>
      </c>
      <c r="W1178" t="str">
        <f>IFERROR(INDEX(Products!$E:$E,MATCH(D1178,Products!$A:$A,0)),"Unknown")</f>
        <v>Fastrack</v>
      </c>
      <c r="X1178" t="str">
        <f>IFERROR(INDEX(Stores!$B:$B,MATCH(E1178,Stores!$A:$A,0)),"Unknown")</f>
        <v>TrendMart Kochi High Street</v>
      </c>
      <c r="Y1178" t="str">
        <f>IFERROR(INDEX(Stores!$E:$E,MATCH(E1178,Stores!$A:$A,0)),"Unknown")</f>
        <v>South Zone 1</v>
      </c>
      <c r="Z1178" t="str">
        <f>IFERROR(INDEX(Customers!$J:$J,MATCH(C1178,Customers!$A:$A,0)),"Unknown")</f>
        <v>Gold</v>
      </c>
      <c r="AA1178" t="str">
        <f t="shared" si="18"/>
        <v>2025-03</v>
      </c>
      <c r="AB1178" t="str">
        <f>IFERROR(INDEX(Products!$I:$I,MATCH(D1178,Products!$A:$A,0)),"Unknown")</f>
        <v>SUP033</v>
      </c>
    </row>
    <row r="1179" spans="1:28" x14ac:dyDescent="0.25">
      <c r="A1179" t="s">
        <v>2933</v>
      </c>
      <c r="B1179" s="20">
        <v>45672</v>
      </c>
      <c r="C1179" t="s">
        <v>2934</v>
      </c>
      <c r="D1179" t="s">
        <v>854</v>
      </c>
      <c r="E1179" t="s">
        <v>89</v>
      </c>
      <c r="F1179" t="s">
        <v>150</v>
      </c>
      <c r="G1179">
        <v>2</v>
      </c>
      <c r="H1179" s="21">
        <v>1185.52</v>
      </c>
      <c r="I1179">
        <v>15</v>
      </c>
      <c r="J1179" s="21">
        <v>355.66</v>
      </c>
      <c r="K1179">
        <v>3</v>
      </c>
      <c r="L1179" s="21">
        <v>60.46</v>
      </c>
      <c r="M1179" s="21">
        <v>2075.84</v>
      </c>
      <c r="N1179" s="21">
        <v>1908.08</v>
      </c>
      <c r="O1179" s="21">
        <v>107.3</v>
      </c>
      <c r="P1179" t="s">
        <v>124</v>
      </c>
      <c r="Q1179" t="s">
        <v>120</v>
      </c>
      <c r="R1179" t="s">
        <v>151</v>
      </c>
      <c r="S1179" t="s">
        <v>1835</v>
      </c>
      <c r="T1179" t="s">
        <v>153</v>
      </c>
      <c r="U1179" t="s">
        <v>154</v>
      </c>
      <c r="V1179" t="str">
        <f>IFERROR(INDEX(Products!$C:$C,MATCH(D1179,Products!$A:$A,0)),"Unknown")</f>
        <v>Jewellery</v>
      </c>
      <c r="W1179" t="str">
        <f>IFERROR(INDEX(Products!$E:$E,MATCH(D1179,Products!$A:$A,0)),"Unknown")</f>
        <v>W for Woman</v>
      </c>
      <c r="X1179" t="str">
        <f>IFERROR(INDEX(Stores!$B:$B,MATCH(E1179,Stores!$A:$A,0)),"Unknown")</f>
        <v>TrendMart Kochi Standard</v>
      </c>
      <c r="Y1179" t="str">
        <f>IFERROR(INDEX(Stores!$E:$E,MATCH(E1179,Stores!$A:$A,0)),"Unknown")</f>
        <v>South Zone 1</v>
      </c>
      <c r="Z1179" t="str">
        <f>IFERROR(INDEX(Customers!$J:$J,MATCH(C1179,Customers!$A:$A,0)),"Unknown")</f>
        <v>Gold</v>
      </c>
      <c r="AA1179" t="str">
        <f t="shared" si="18"/>
        <v>2025-01</v>
      </c>
      <c r="AB1179" t="str">
        <f>IFERROR(INDEX(Products!$I:$I,MATCH(D1179,Products!$A:$A,0)),"Unknown")</f>
        <v>SUP006</v>
      </c>
    </row>
    <row r="1180" spans="1:28" x14ac:dyDescent="0.25">
      <c r="A1180" t="s">
        <v>2935</v>
      </c>
      <c r="B1180" s="20">
        <v>45447</v>
      </c>
      <c r="C1180" t="s">
        <v>2936</v>
      </c>
      <c r="D1180" t="s">
        <v>180</v>
      </c>
      <c r="E1180" t="s">
        <v>363</v>
      </c>
      <c r="F1180" t="s">
        <v>397</v>
      </c>
      <c r="G1180">
        <v>4</v>
      </c>
      <c r="H1180" s="21">
        <v>3078.52</v>
      </c>
      <c r="I1180">
        <v>0</v>
      </c>
      <c r="J1180" s="21">
        <v>0</v>
      </c>
      <c r="K1180">
        <v>12</v>
      </c>
      <c r="L1180" s="21">
        <v>1477.69</v>
      </c>
      <c r="M1180" s="21">
        <v>13791.77</v>
      </c>
      <c r="N1180" s="21">
        <v>9698.48</v>
      </c>
      <c r="O1180" s="21">
        <v>2615.6</v>
      </c>
      <c r="P1180" t="s">
        <v>123</v>
      </c>
      <c r="Q1180" t="s">
        <v>122</v>
      </c>
      <c r="R1180" t="s">
        <v>151</v>
      </c>
      <c r="S1180" t="s">
        <v>1053</v>
      </c>
      <c r="T1180" t="s">
        <v>153</v>
      </c>
      <c r="U1180" t="s">
        <v>154</v>
      </c>
      <c r="V1180" t="str">
        <f>IFERROR(INDEX(Products!$C:$C,MATCH(D1180,Products!$A:$A,0)),"Unknown")</f>
        <v>Footwear</v>
      </c>
      <c r="W1180" t="str">
        <f>IFERROR(INDEX(Products!$E:$E,MATCH(D1180,Products!$A:$A,0)),"Unknown")</f>
        <v>US Polo Assn</v>
      </c>
      <c r="X1180" t="str">
        <f>IFERROR(INDEX(Stores!$B:$B,MATCH(E1180,Stores!$A:$A,0)),"Unknown")</f>
        <v>TrendMart Thiruvananthapuram High Street</v>
      </c>
      <c r="Y1180" t="str">
        <f>IFERROR(INDEX(Stores!$E:$E,MATCH(E1180,Stores!$A:$A,0)),"Unknown")</f>
        <v>South Zone 1</v>
      </c>
      <c r="Z1180" t="str">
        <f>IFERROR(INDEX(Customers!$J:$J,MATCH(C1180,Customers!$A:$A,0)),"Unknown")</f>
        <v>Regular</v>
      </c>
      <c r="AA1180" t="str">
        <f t="shared" si="18"/>
        <v>2024-06</v>
      </c>
      <c r="AB1180" t="str">
        <f>IFERROR(INDEX(Products!$I:$I,MATCH(D1180,Products!$A:$A,0)),"Unknown")</f>
        <v>SUP084</v>
      </c>
    </row>
    <row r="1181" spans="1:28" x14ac:dyDescent="0.25">
      <c r="A1181" t="s">
        <v>2937</v>
      </c>
      <c r="B1181" s="20">
        <v>45406</v>
      </c>
      <c r="C1181" t="s">
        <v>1253</v>
      </c>
      <c r="D1181" t="s">
        <v>2759</v>
      </c>
      <c r="E1181" t="s">
        <v>1068</v>
      </c>
      <c r="F1181" t="s">
        <v>253</v>
      </c>
      <c r="G1181">
        <v>3</v>
      </c>
      <c r="H1181" s="21">
        <v>698.77</v>
      </c>
      <c r="I1181">
        <v>15</v>
      </c>
      <c r="J1181" s="21">
        <v>314.45</v>
      </c>
      <c r="K1181">
        <v>5</v>
      </c>
      <c r="L1181" s="21">
        <v>89.09</v>
      </c>
      <c r="M1181" s="21">
        <v>1870.95</v>
      </c>
      <c r="N1181" s="21">
        <v>1211.7</v>
      </c>
      <c r="O1181" s="21">
        <v>570.16</v>
      </c>
      <c r="P1181" t="s">
        <v>121</v>
      </c>
      <c r="Q1181" t="s">
        <v>122</v>
      </c>
      <c r="R1181" t="s">
        <v>151</v>
      </c>
      <c r="S1181" t="s">
        <v>2938</v>
      </c>
      <c r="T1181" t="s">
        <v>153</v>
      </c>
      <c r="U1181" t="s">
        <v>154</v>
      </c>
      <c r="V1181" t="str">
        <f>IFERROR(INDEX(Products!$C:$C,MATCH(D1181,Products!$A:$A,0)),"Unknown")</f>
        <v>Men T-Shirts</v>
      </c>
      <c r="W1181" t="str">
        <f>IFERROR(INDEX(Products!$E:$E,MATCH(D1181,Products!$A:$A,0)),"Unknown")</f>
        <v>Libas</v>
      </c>
      <c r="X1181" t="str">
        <f>IFERROR(INDEX(Stores!$B:$B,MATCH(E1181,Stores!$A:$A,0)),"Unknown")</f>
        <v>TrendMart Tumakuru High Street</v>
      </c>
      <c r="Y1181" t="str">
        <f>IFERROR(INDEX(Stores!$E:$E,MATCH(E1181,Stores!$A:$A,0)),"Unknown")</f>
        <v>South Zone 2</v>
      </c>
      <c r="Z1181" t="str">
        <f>IFERROR(INDEX(Customers!$J:$J,MATCH(C1181,Customers!$A:$A,0)),"Unknown")</f>
        <v>Gold</v>
      </c>
      <c r="AA1181" t="str">
        <f t="shared" si="18"/>
        <v>2024-04</v>
      </c>
      <c r="AB1181" t="str">
        <f>IFERROR(INDEX(Products!$I:$I,MATCH(D1181,Products!$A:$A,0)),"Unknown")</f>
        <v>SUP041</v>
      </c>
    </row>
    <row r="1182" spans="1:28" x14ac:dyDescent="0.25">
      <c r="A1182" t="s">
        <v>2939</v>
      </c>
      <c r="B1182" s="20">
        <v>45505</v>
      </c>
      <c r="C1182" t="s">
        <v>2053</v>
      </c>
      <c r="D1182" t="s">
        <v>481</v>
      </c>
      <c r="E1182" t="s">
        <v>280</v>
      </c>
      <c r="F1182" t="s">
        <v>176</v>
      </c>
      <c r="G1182">
        <v>4</v>
      </c>
      <c r="H1182" s="21">
        <v>876.45</v>
      </c>
      <c r="I1182">
        <v>25</v>
      </c>
      <c r="J1182" s="21">
        <v>876.45</v>
      </c>
      <c r="K1182">
        <v>5</v>
      </c>
      <c r="L1182" s="21">
        <v>131.47</v>
      </c>
      <c r="M1182" s="21">
        <v>2760.82</v>
      </c>
      <c r="N1182" s="21">
        <v>2792.32</v>
      </c>
      <c r="O1182" s="21">
        <v>-162.97</v>
      </c>
      <c r="P1182" t="s">
        <v>127</v>
      </c>
      <c r="Q1182" t="s">
        <v>120</v>
      </c>
      <c r="R1182" t="s">
        <v>151</v>
      </c>
      <c r="S1182" t="s">
        <v>1955</v>
      </c>
      <c r="T1182" t="s">
        <v>153</v>
      </c>
      <c r="U1182" t="s">
        <v>184</v>
      </c>
      <c r="V1182" t="str">
        <f>IFERROR(INDEX(Products!$C:$C,MATCH(D1182,Products!$A:$A,0)),"Unknown")</f>
        <v>Women Dresses</v>
      </c>
      <c r="W1182" t="str">
        <f>IFERROR(INDEX(Products!$E:$E,MATCH(D1182,Products!$A:$A,0)),"Unknown")</f>
        <v>Jack &amp; Jones</v>
      </c>
      <c r="X1182" t="str">
        <f>IFERROR(INDEX(Stores!$B:$B,MATCH(E1182,Stores!$A:$A,0)),"Unknown")</f>
        <v>TrendMart Chennai Standard</v>
      </c>
      <c r="Y1182" t="str">
        <f>IFERROR(INDEX(Stores!$E:$E,MATCH(E1182,Stores!$A:$A,0)),"Unknown")</f>
        <v>South Zone 1</v>
      </c>
      <c r="Z1182" t="str">
        <f>IFERROR(INDEX(Customers!$J:$J,MATCH(C1182,Customers!$A:$A,0)),"Unknown")</f>
        <v>Silver</v>
      </c>
      <c r="AA1182" t="str">
        <f t="shared" si="18"/>
        <v>2024-08</v>
      </c>
      <c r="AB1182" t="str">
        <f>IFERROR(INDEX(Products!$I:$I,MATCH(D1182,Products!$A:$A,0)),"Unknown")</f>
        <v>SUP069</v>
      </c>
    </row>
    <row r="1183" spans="1:28" x14ac:dyDescent="0.25">
      <c r="A1183" t="s">
        <v>2940</v>
      </c>
      <c r="B1183" s="20">
        <v>45585</v>
      </c>
      <c r="C1183" t="s">
        <v>2941</v>
      </c>
      <c r="D1183" t="s">
        <v>149</v>
      </c>
      <c r="E1183" t="s">
        <v>934</v>
      </c>
      <c r="F1183" t="s">
        <v>232</v>
      </c>
      <c r="G1183">
        <v>2</v>
      </c>
      <c r="H1183" s="21">
        <v>874.63</v>
      </c>
      <c r="I1183">
        <v>15</v>
      </c>
      <c r="J1183" s="21">
        <v>262.39</v>
      </c>
      <c r="K1183">
        <v>5</v>
      </c>
      <c r="L1183" s="21">
        <v>74.34</v>
      </c>
      <c r="M1183" s="21">
        <v>1561.21</v>
      </c>
      <c r="N1183" s="21">
        <v>993.34</v>
      </c>
      <c r="O1183" s="21">
        <v>493.53</v>
      </c>
      <c r="P1183" t="s">
        <v>121</v>
      </c>
      <c r="Q1183" t="s">
        <v>120</v>
      </c>
      <c r="R1183" t="s">
        <v>151</v>
      </c>
      <c r="S1183" t="s">
        <v>2112</v>
      </c>
      <c r="T1183" t="s">
        <v>161</v>
      </c>
      <c r="U1183" t="s">
        <v>154</v>
      </c>
      <c r="V1183" t="str">
        <f>IFERROR(INDEX(Products!$C:$C,MATCH(D1183,Products!$A:$A,0)),"Unknown")</f>
        <v>Women Kurtis</v>
      </c>
      <c r="W1183" t="str">
        <f>IFERROR(INDEX(Products!$E:$E,MATCH(D1183,Products!$A:$A,0)),"Unknown")</f>
        <v>Pepe Jeans</v>
      </c>
      <c r="X1183" t="str">
        <f>IFERROR(INDEX(Stores!$B:$B,MATCH(E1183,Stores!$A:$A,0)),"Unknown")</f>
        <v>TrendMart Bengaluru High Street</v>
      </c>
      <c r="Y1183" t="str">
        <f>IFERROR(INDEX(Stores!$E:$E,MATCH(E1183,Stores!$A:$A,0)),"Unknown")</f>
        <v>South Zone 2</v>
      </c>
      <c r="Z1183" t="str">
        <f>IFERROR(INDEX(Customers!$J:$J,MATCH(C1183,Customers!$A:$A,0)),"Unknown")</f>
        <v>Silver</v>
      </c>
      <c r="AA1183" t="str">
        <f t="shared" si="18"/>
        <v>2024-10</v>
      </c>
      <c r="AB1183" t="str">
        <f>IFERROR(INDEX(Products!$I:$I,MATCH(D1183,Products!$A:$A,0)),"Unknown")</f>
        <v>SUP049</v>
      </c>
    </row>
    <row r="1184" spans="1:28" x14ac:dyDescent="0.25">
      <c r="A1184" t="s">
        <v>2942</v>
      </c>
      <c r="B1184" s="20">
        <v>45714</v>
      </c>
      <c r="C1184" t="s">
        <v>289</v>
      </c>
      <c r="D1184" t="s">
        <v>931</v>
      </c>
      <c r="E1184" t="s">
        <v>511</v>
      </c>
      <c r="F1184" t="s">
        <v>408</v>
      </c>
      <c r="G1184">
        <v>1</v>
      </c>
      <c r="H1184" s="21">
        <v>1450.69</v>
      </c>
      <c r="I1184">
        <v>0</v>
      </c>
      <c r="J1184" s="21">
        <v>0</v>
      </c>
      <c r="K1184">
        <v>12</v>
      </c>
      <c r="L1184" s="21">
        <v>174.08</v>
      </c>
      <c r="M1184" s="21">
        <v>1624.77</v>
      </c>
      <c r="N1184" s="21">
        <v>1020.9</v>
      </c>
      <c r="O1184" s="21">
        <v>429.79</v>
      </c>
      <c r="P1184" t="s">
        <v>125</v>
      </c>
      <c r="Q1184" t="s">
        <v>122</v>
      </c>
      <c r="R1184" t="s">
        <v>151</v>
      </c>
      <c r="S1184" t="s">
        <v>1335</v>
      </c>
      <c r="T1184" t="s">
        <v>153</v>
      </c>
      <c r="U1184" t="s">
        <v>154</v>
      </c>
      <c r="V1184" t="str">
        <f>IFERROR(INDEX(Products!$C:$C,MATCH(D1184,Products!$A:$A,0)),"Unknown")</f>
        <v>Women Sarees</v>
      </c>
      <c r="W1184" t="str">
        <f>IFERROR(INDEX(Products!$E:$E,MATCH(D1184,Products!$A:$A,0)),"Unknown")</f>
        <v>Jack &amp; Jones</v>
      </c>
      <c r="X1184" t="str">
        <f>IFERROR(INDEX(Stores!$B:$B,MATCH(E1184,Stores!$A:$A,0)),"Unknown")</f>
        <v>TrendMart Khammam Standard</v>
      </c>
      <c r="Y1184" t="str">
        <f>IFERROR(INDEX(Stores!$E:$E,MATCH(E1184,Stores!$A:$A,0)),"Unknown")</f>
        <v>South Zone 2</v>
      </c>
      <c r="Z1184" t="str">
        <f>IFERROR(INDEX(Customers!$J:$J,MATCH(C1184,Customers!$A:$A,0)),"Unknown")</f>
        <v>Silver</v>
      </c>
      <c r="AA1184" t="str">
        <f t="shared" si="18"/>
        <v>2025-02</v>
      </c>
      <c r="AB1184" t="str">
        <f>IFERROR(INDEX(Products!$I:$I,MATCH(D1184,Products!$A:$A,0)),"Unknown")</f>
        <v>SUP058</v>
      </c>
    </row>
    <row r="1185" spans="1:28" x14ac:dyDescent="0.25">
      <c r="A1185" t="s">
        <v>2943</v>
      </c>
      <c r="B1185" s="20">
        <v>45719</v>
      </c>
      <c r="C1185" t="s">
        <v>1170</v>
      </c>
      <c r="D1185" t="s">
        <v>149</v>
      </c>
      <c r="E1185" t="s">
        <v>1681</v>
      </c>
      <c r="F1185" t="s">
        <v>532</v>
      </c>
      <c r="G1185">
        <v>5</v>
      </c>
      <c r="H1185" s="21">
        <v>783.6</v>
      </c>
      <c r="I1185">
        <v>20</v>
      </c>
      <c r="J1185" s="21">
        <v>783.6</v>
      </c>
      <c r="K1185">
        <v>5</v>
      </c>
      <c r="L1185" s="21">
        <v>156.72</v>
      </c>
      <c r="M1185" s="21">
        <v>3291.12</v>
      </c>
      <c r="N1185" s="21">
        <v>2483.35</v>
      </c>
      <c r="O1185" s="21">
        <v>651.04999999999995</v>
      </c>
      <c r="P1185" t="s">
        <v>121</v>
      </c>
      <c r="Q1185" t="s">
        <v>120</v>
      </c>
      <c r="R1185" t="s">
        <v>151</v>
      </c>
      <c r="S1185" t="s">
        <v>1907</v>
      </c>
      <c r="T1185" t="s">
        <v>153</v>
      </c>
      <c r="U1185" t="s">
        <v>154</v>
      </c>
      <c r="V1185" t="str">
        <f>IFERROR(INDEX(Products!$C:$C,MATCH(D1185,Products!$A:$A,0)),"Unknown")</f>
        <v>Women Kurtis</v>
      </c>
      <c r="W1185" t="str">
        <f>IFERROR(INDEX(Products!$E:$E,MATCH(D1185,Products!$A:$A,0)),"Unknown")</f>
        <v>Pepe Jeans</v>
      </c>
      <c r="X1185" t="str">
        <f>IFERROR(INDEX(Stores!$B:$B,MATCH(E1185,Stores!$A:$A,0)),"Unknown")</f>
        <v>TrendMart Warangal Standard</v>
      </c>
      <c r="Y1185" t="str">
        <f>IFERROR(INDEX(Stores!$E:$E,MATCH(E1185,Stores!$A:$A,0)),"Unknown")</f>
        <v>South Zone 2</v>
      </c>
      <c r="Z1185" t="str">
        <f>IFERROR(INDEX(Customers!$J:$J,MATCH(C1185,Customers!$A:$A,0)),"Unknown")</f>
        <v>Gold</v>
      </c>
      <c r="AA1185" t="str">
        <f t="shared" si="18"/>
        <v>2025-03</v>
      </c>
      <c r="AB1185" t="str">
        <f>IFERROR(INDEX(Products!$I:$I,MATCH(D1185,Products!$A:$A,0)),"Unknown")</f>
        <v>SUP049</v>
      </c>
    </row>
    <row r="1186" spans="1:28" x14ac:dyDescent="0.25">
      <c r="A1186" t="s">
        <v>2944</v>
      </c>
      <c r="B1186" s="20">
        <v>45724</v>
      </c>
      <c r="C1186" t="s">
        <v>2945</v>
      </c>
      <c r="D1186" t="s">
        <v>2241</v>
      </c>
      <c r="E1186" t="s">
        <v>1426</v>
      </c>
      <c r="F1186" t="s">
        <v>579</v>
      </c>
      <c r="G1186">
        <v>1</v>
      </c>
      <c r="H1186" s="21">
        <v>1535.54</v>
      </c>
      <c r="I1186">
        <v>20</v>
      </c>
      <c r="J1186" s="21">
        <v>307.11</v>
      </c>
      <c r="K1186">
        <v>12</v>
      </c>
      <c r="L1186" s="21">
        <v>147.41</v>
      </c>
      <c r="M1186" s="21">
        <v>1375.84</v>
      </c>
      <c r="N1186" s="21">
        <v>996.24</v>
      </c>
      <c r="O1186" s="21">
        <v>232.19</v>
      </c>
      <c r="P1186" t="s">
        <v>124</v>
      </c>
      <c r="Q1186" t="s">
        <v>120</v>
      </c>
      <c r="R1186" t="s">
        <v>151</v>
      </c>
      <c r="S1186" t="s">
        <v>1781</v>
      </c>
      <c r="T1186" t="s">
        <v>161</v>
      </c>
      <c r="U1186" t="s">
        <v>154</v>
      </c>
      <c r="V1186" t="str">
        <f>IFERROR(INDEX(Products!$C:$C,MATCH(D1186,Products!$A:$A,0)),"Unknown")</f>
        <v>Men Trousers</v>
      </c>
      <c r="W1186" t="str">
        <f>IFERROR(INDEX(Products!$E:$E,MATCH(D1186,Products!$A:$A,0)),"Unknown")</f>
        <v>GRT Jewellers</v>
      </c>
      <c r="X1186" t="str">
        <f>IFERROR(INDEX(Stores!$B:$B,MATCH(E1186,Stores!$A:$A,0)),"Unknown")</f>
        <v>TrendMart Alappuzha Mall Kiosk</v>
      </c>
      <c r="Y1186" t="str">
        <f>IFERROR(INDEX(Stores!$E:$E,MATCH(E1186,Stores!$A:$A,0)),"Unknown")</f>
        <v>South Zone 1</v>
      </c>
      <c r="Z1186" t="str">
        <f>IFERROR(INDEX(Customers!$J:$J,MATCH(C1186,Customers!$A:$A,0)),"Unknown")</f>
        <v>Silver</v>
      </c>
      <c r="AA1186" t="str">
        <f t="shared" si="18"/>
        <v>2025-03</v>
      </c>
      <c r="AB1186" t="str">
        <f>IFERROR(INDEX(Products!$I:$I,MATCH(D1186,Products!$A:$A,0)),"Unknown")</f>
        <v>SUP042</v>
      </c>
    </row>
    <row r="1187" spans="1:28" x14ac:dyDescent="0.25">
      <c r="A1187" t="s">
        <v>2946</v>
      </c>
      <c r="B1187" s="20">
        <v>45498</v>
      </c>
      <c r="C1187" t="s">
        <v>2053</v>
      </c>
      <c r="D1187" t="s">
        <v>251</v>
      </c>
      <c r="E1187" t="s">
        <v>521</v>
      </c>
      <c r="F1187" t="s">
        <v>596</v>
      </c>
      <c r="G1187">
        <v>2</v>
      </c>
      <c r="H1187" s="21">
        <v>767.74</v>
      </c>
      <c r="I1187">
        <v>0</v>
      </c>
      <c r="J1187" s="21">
        <v>0</v>
      </c>
      <c r="K1187">
        <v>5</v>
      </c>
      <c r="L1187" s="21">
        <v>76.77</v>
      </c>
      <c r="M1187" s="21">
        <v>1612.25</v>
      </c>
      <c r="N1187" s="21">
        <v>1069.6199999999999</v>
      </c>
      <c r="O1187" s="21">
        <v>465.86</v>
      </c>
      <c r="P1187" t="s">
        <v>123</v>
      </c>
      <c r="Q1187" t="s">
        <v>120</v>
      </c>
      <c r="R1187" t="s">
        <v>151</v>
      </c>
      <c r="S1187" t="s">
        <v>718</v>
      </c>
      <c r="T1187" t="s">
        <v>153</v>
      </c>
      <c r="U1187" t="s">
        <v>154</v>
      </c>
      <c r="V1187" t="str">
        <f>IFERROR(INDEX(Products!$C:$C,MATCH(D1187,Products!$A:$A,0)),"Unknown")</f>
        <v>Women Tops</v>
      </c>
      <c r="W1187" t="str">
        <f>IFERROR(INDEX(Products!$E:$E,MATCH(D1187,Products!$A:$A,0)),"Unknown")</f>
        <v>US Polo Assn</v>
      </c>
      <c r="X1187" t="str">
        <f>IFERROR(INDEX(Stores!$B:$B,MATCH(E1187,Stores!$A:$A,0)),"Unknown")</f>
        <v>TrendMart Tirupati Standard</v>
      </c>
      <c r="Y1187" t="str">
        <f>IFERROR(INDEX(Stores!$E:$E,MATCH(E1187,Stores!$A:$A,0)),"Unknown")</f>
        <v>South Zone 3</v>
      </c>
      <c r="Z1187" t="str">
        <f>IFERROR(INDEX(Customers!$J:$J,MATCH(C1187,Customers!$A:$A,0)),"Unknown")</f>
        <v>Silver</v>
      </c>
      <c r="AA1187" t="str">
        <f t="shared" si="18"/>
        <v>2024-07</v>
      </c>
      <c r="AB1187" t="str">
        <f>IFERROR(INDEX(Products!$I:$I,MATCH(D1187,Products!$A:$A,0)),"Unknown")</f>
        <v>SUP039</v>
      </c>
    </row>
    <row r="1188" spans="1:28" x14ac:dyDescent="0.25">
      <c r="A1188" t="s">
        <v>2947</v>
      </c>
      <c r="B1188" s="20">
        <v>45443</v>
      </c>
      <c r="C1188" t="s">
        <v>1277</v>
      </c>
      <c r="D1188" t="s">
        <v>685</v>
      </c>
      <c r="E1188" t="s">
        <v>617</v>
      </c>
      <c r="F1188" t="s">
        <v>403</v>
      </c>
      <c r="G1188">
        <v>1</v>
      </c>
      <c r="H1188" s="21">
        <v>980.86</v>
      </c>
      <c r="I1188">
        <v>15</v>
      </c>
      <c r="J1188" s="21">
        <v>147.13</v>
      </c>
      <c r="K1188">
        <v>5</v>
      </c>
      <c r="L1188" s="21">
        <v>41.69</v>
      </c>
      <c r="M1188" s="21">
        <v>875.42</v>
      </c>
      <c r="N1188" s="21">
        <v>626.26</v>
      </c>
      <c r="O1188" s="21">
        <v>207.47</v>
      </c>
      <c r="P1188" t="s">
        <v>125</v>
      </c>
      <c r="Q1188" t="s">
        <v>120</v>
      </c>
      <c r="R1188" t="s">
        <v>151</v>
      </c>
      <c r="S1188" t="s">
        <v>2948</v>
      </c>
      <c r="T1188" t="s">
        <v>153</v>
      </c>
      <c r="U1188" t="s">
        <v>154</v>
      </c>
      <c r="V1188" t="str">
        <f>IFERROR(INDEX(Products!$C:$C,MATCH(D1188,Products!$A:$A,0)),"Unknown")</f>
        <v>Sportswear</v>
      </c>
      <c r="W1188" t="str">
        <f>IFERROR(INDEX(Products!$E:$E,MATCH(D1188,Products!$A:$A,0)),"Unknown")</f>
        <v>Being Human</v>
      </c>
      <c r="X1188" t="str">
        <f>IFERROR(INDEX(Stores!$B:$B,MATCH(E1188,Stores!$A:$A,0)),"Unknown")</f>
        <v>TrendMart Mangaluru High Street</v>
      </c>
      <c r="Y1188" t="str">
        <f>IFERROR(INDEX(Stores!$E:$E,MATCH(E1188,Stores!$A:$A,0)),"Unknown")</f>
        <v>South Zone 2</v>
      </c>
      <c r="Z1188" t="str">
        <f>IFERROR(INDEX(Customers!$J:$J,MATCH(C1188,Customers!$A:$A,0)),"Unknown")</f>
        <v>Regular</v>
      </c>
      <c r="AA1188" t="str">
        <f t="shared" si="18"/>
        <v>2024-05</v>
      </c>
      <c r="AB1188" t="str">
        <f>IFERROR(INDEX(Products!$I:$I,MATCH(D1188,Products!$A:$A,0)),"Unknown")</f>
        <v>SUP066</v>
      </c>
    </row>
    <row r="1189" spans="1:28" x14ac:dyDescent="0.25">
      <c r="A1189" t="s">
        <v>2949</v>
      </c>
      <c r="B1189" s="20">
        <v>45746</v>
      </c>
      <c r="C1189" t="s">
        <v>224</v>
      </c>
      <c r="D1189" t="s">
        <v>854</v>
      </c>
      <c r="E1189" t="s">
        <v>1512</v>
      </c>
      <c r="F1189" t="s">
        <v>335</v>
      </c>
      <c r="G1189">
        <v>4</v>
      </c>
      <c r="H1189" s="21">
        <v>1411.75</v>
      </c>
      <c r="I1189">
        <v>10</v>
      </c>
      <c r="J1189" s="21">
        <v>564.70000000000005</v>
      </c>
      <c r="K1189">
        <v>3</v>
      </c>
      <c r="L1189" s="21">
        <v>152.47</v>
      </c>
      <c r="M1189" s="21">
        <v>5234.7700000000004</v>
      </c>
      <c r="N1189" s="21">
        <v>3816.16</v>
      </c>
      <c r="O1189" s="21">
        <v>1266.1400000000001</v>
      </c>
      <c r="P1189" t="s">
        <v>125</v>
      </c>
      <c r="Q1189" t="s">
        <v>120</v>
      </c>
      <c r="R1189" t="s">
        <v>151</v>
      </c>
      <c r="S1189" t="s">
        <v>2950</v>
      </c>
      <c r="T1189" t="s">
        <v>161</v>
      </c>
      <c r="U1189" t="s">
        <v>154</v>
      </c>
      <c r="V1189" t="str">
        <f>IFERROR(INDEX(Products!$C:$C,MATCH(D1189,Products!$A:$A,0)),"Unknown")</f>
        <v>Jewellery</v>
      </c>
      <c r="W1189" t="str">
        <f>IFERROR(INDEX(Products!$E:$E,MATCH(D1189,Products!$A:$A,0)),"Unknown")</f>
        <v>W for Woman</v>
      </c>
      <c r="X1189" t="str">
        <f>IFERROR(INDEX(Stores!$B:$B,MATCH(E1189,Stores!$A:$A,0)),"Unknown")</f>
        <v>TrendMart Erode Mall Kiosk</v>
      </c>
      <c r="Y1189" t="str">
        <f>IFERROR(INDEX(Stores!$E:$E,MATCH(E1189,Stores!$A:$A,0)),"Unknown")</f>
        <v>South Zone 1</v>
      </c>
      <c r="Z1189" t="str">
        <f>IFERROR(INDEX(Customers!$J:$J,MATCH(C1189,Customers!$A:$A,0)),"Unknown")</f>
        <v>Gold</v>
      </c>
      <c r="AA1189" t="str">
        <f t="shared" si="18"/>
        <v>2025-03</v>
      </c>
      <c r="AB1189" t="str">
        <f>IFERROR(INDEX(Products!$I:$I,MATCH(D1189,Products!$A:$A,0)),"Unknown")</f>
        <v>SUP006</v>
      </c>
    </row>
    <row r="1190" spans="1:28" x14ac:dyDescent="0.25">
      <c r="A1190" t="s">
        <v>2951</v>
      </c>
      <c r="B1190" s="20">
        <v>45592</v>
      </c>
      <c r="C1190" t="s">
        <v>1554</v>
      </c>
      <c r="D1190" t="s">
        <v>401</v>
      </c>
      <c r="E1190" t="s">
        <v>442</v>
      </c>
      <c r="F1190" t="s">
        <v>532</v>
      </c>
      <c r="G1190">
        <v>3</v>
      </c>
      <c r="H1190" s="21">
        <v>1249.1300000000001</v>
      </c>
      <c r="I1190">
        <v>10</v>
      </c>
      <c r="J1190" s="21">
        <v>374.74</v>
      </c>
      <c r="K1190">
        <v>12</v>
      </c>
      <c r="L1190" s="21">
        <v>404.72</v>
      </c>
      <c r="M1190" s="21">
        <v>3777.37</v>
      </c>
      <c r="N1190" s="21">
        <v>2303.4899999999998</v>
      </c>
      <c r="O1190" s="21">
        <v>1069.1600000000001</v>
      </c>
      <c r="P1190" t="s">
        <v>124</v>
      </c>
      <c r="Q1190" t="s">
        <v>120</v>
      </c>
      <c r="R1190" t="s">
        <v>151</v>
      </c>
      <c r="S1190" t="s">
        <v>865</v>
      </c>
      <c r="T1190" t="s">
        <v>161</v>
      </c>
      <c r="U1190" t="s">
        <v>154</v>
      </c>
      <c r="V1190" t="str">
        <f>IFERROR(INDEX(Products!$C:$C,MATCH(D1190,Products!$A:$A,0)),"Unknown")</f>
        <v>Women Jeans</v>
      </c>
      <c r="W1190" t="str">
        <f>IFERROR(INDEX(Products!$E:$E,MATCH(D1190,Products!$A:$A,0)),"Unknown")</f>
        <v>Being Human</v>
      </c>
      <c r="X1190" t="str">
        <f>IFERROR(INDEX(Stores!$B:$B,MATCH(E1190,Stores!$A:$A,0)),"Unknown")</f>
        <v>TrendMart Bengaluru Standard</v>
      </c>
      <c r="Y1190" t="str">
        <f>IFERROR(INDEX(Stores!$E:$E,MATCH(E1190,Stores!$A:$A,0)),"Unknown")</f>
        <v>South Zone 2</v>
      </c>
      <c r="Z1190" t="str">
        <f>IFERROR(INDEX(Customers!$J:$J,MATCH(C1190,Customers!$A:$A,0)),"Unknown")</f>
        <v>Gold</v>
      </c>
      <c r="AA1190" t="str">
        <f t="shared" si="18"/>
        <v>2024-10</v>
      </c>
      <c r="AB1190" t="str">
        <f>IFERROR(INDEX(Products!$I:$I,MATCH(D1190,Products!$A:$A,0)),"Unknown")</f>
        <v>SUP013</v>
      </c>
    </row>
    <row r="1191" spans="1:28" x14ac:dyDescent="0.25">
      <c r="A1191" t="s">
        <v>2952</v>
      </c>
      <c r="B1191" s="20">
        <v>45513</v>
      </c>
      <c r="C1191" t="s">
        <v>766</v>
      </c>
      <c r="D1191" t="s">
        <v>1616</v>
      </c>
      <c r="E1191" t="s">
        <v>368</v>
      </c>
      <c r="F1191" t="s">
        <v>269</v>
      </c>
      <c r="G1191">
        <v>2</v>
      </c>
      <c r="H1191" s="21">
        <v>4375.05</v>
      </c>
      <c r="I1191">
        <v>25</v>
      </c>
      <c r="J1191" s="21">
        <v>2187.5300000000002</v>
      </c>
      <c r="K1191">
        <v>12</v>
      </c>
      <c r="L1191" s="21">
        <v>787.51</v>
      </c>
      <c r="M1191" s="21">
        <v>7350.08</v>
      </c>
      <c r="N1191" s="21">
        <v>6046.26</v>
      </c>
      <c r="O1191" s="21">
        <v>516.30999999999995</v>
      </c>
      <c r="P1191" t="s">
        <v>123</v>
      </c>
      <c r="Q1191" t="s">
        <v>122</v>
      </c>
      <c r="R1191" t="s">
        <v>151</v>
      </c>
      <c r="S1191" t="s">
        <v>2410</v>
      </c>
      <c r="T1191" t="s">
        <v>153</v>
      </c>
      <c r="U1191" t="s">
        <v>154</v>
      </c>
      <c r="V1191" t="str">
        <f>IFERROR(INDEX(Products!$C:$C,MATCH(D1191,Products!$A:$A,0)),"Unknown")</f>
        <v>Women Sarees</v>
      </c>
      <c r="W1191" t="str">
        <f>IFERROR(INDEX(Products!$E:$E,MATCH(D1191,Products!$A:$A,0)),"Unknown")</f>
        <v>Max Fashion</v>
      </c>
      <c r="X1191" t="str">
        <f>IFERROR(INDEX(Stores!$B:$B,MATCH(E1191,Stores!$A:$A,0)),"Unknown")</f>
        <v>TrendMart Alappuzha Outlet</v>
      </c>
      <c r="Y1191" t="str">
        <f>IFERROR(INDEX(Stores!$E:$E,MATCH(E1191,Stores!$A:$A,0)),"Unknown")</f>
        <v>South Zone 1</v>
      </c>
      <c r="Z1191" t="str">
        <f>IFERROR(INDEX(Customers!$J:$J,MATCH(C1191,Customers!$A:$A,0)),"Unknown")</f>
        <v>Regular</v>
      </c>
      <c r="AA1191" t="str">
        <f t="shared" si="18"/>
        <v>2024-08</v>
      </c>
      <c r="AB1191" t="str">
        <f>IFERROR(INDEX(Products!$I:$I,MATCH(D1191,Products!$A:$A,0)),"Unknown")</f>
        <v>SUP047</v>
      </c>
    </row>
    <row r="1192" spans="1:28" x14ac:dyDescent="0.25">
      <c r="A1192" t="s">
        <v>2953</v>
      </c>
      <c r="B1192" s="20">
        <v>45741</v>
      </c>
      <c r="C1192" t="s">
        <v>2807</v>
      </c>
      <c r="D1192" t="s">
        <v>372</v>
      </c>
      <c r="E1192" t="s">
        <v>252</v>
      </c>
      <c r="F1192" t="s">
        <v>170</v>
      </c>
      <c r="G1192">
        <v>1</v>
      </c>
      <c r="H1192" s="21">
        <v>646.95000000000005</v>
      </c>
      <c r="I1192">
        <v>10</v>
      </c>
      <c r="J1192" s="21">
        <v>64.69</v>
      </c>
      <c r="K1192">
        <v>5</v>
      </c>
      <c r="L1192" s="21">
        <v>29.11</v>
      </c>
      <c r="M1192" s="21">
        <v>611.37</v>
      </c>
      <c r="N1192" s="21">
        <v>413.39</v>
      </c>
      <c r="O1192" s="21">
        <v>168.87</v>
      </c>
      <c r="P1192" t="s">
        <v>125</v>
      </c>
      <c r="Q1192" t="s">
        <v>122</v>
      </c>
      <c r="R1192" t="s">
        <v>151</v>
      </c>
      <c r="S1192" t="s">
        <v>1858</v>
      </c>
      <c r="T1192" t="s">
        <v>153</v>
      </c>
      <c r="U1192" t="s">
        <v>154</v>
      </c>
      <c r="V1192" t="str">
        <f>IFERROR(INDEX(Products!$C:$C,MATCH(D1192,Products!$A:$A,0)),"Unknown")</f>
        <v>Kids Wear</v>
      </c>
      <c r="W1192" t="str">
        <f>IFERROR(INDEX(Products!$E:$E,MATCH(D1192,Products!$A:$A,0)),"Unknown")</f>
        <v>Jack &amp; Jones</v>
      </c>
      <c r="X1192" t="str">
        <f>IFERROR(INDEX(Stores!$B:$B,MATCH(E1192,Stores!$A:$A,0)),"Unknown")</f>
        <v>TrendMart Nellore Standard</v>
      </c>
      <c r="Y1192" t="str">
        <f>IFERROR(INDEX(Stores!$E:$E,MATCH(E1192,Stores!$A:$A,0)),"Unknown")</f>
        <v>South Zone 3</v>
      </c>
      <c r="Z1192" t="str">
        <f>IFERROR(INDEX(Customers!$J:$J,MATCH(C1192,Customers!$A:$A,0)),"Unknown")</f>
        <v>Regular</v>
      </c>
      <c r="AA1192" t="str">
        <f t="shared" si="18"/>
        <v>2025-03</v>
      </c>
      <c r="AB1192" t="str">
        <f>IFERROR(INDEX(Products!$I:$I,MATCH(D1192,Products!$A:$A,0)),"Unknown")</f>
        <v>SUP065</v>
      </c>
    </row>
    <row r="1193" spans="1:28" x14ac:dyDescent="0.25">
      <c r="A1193" t="s">
        <v>2954</v>
      </c>
      <c r="B1193" s="20">
        <v>45674</v>
      </c>
      <c r="C1193" t="s">
        <v>804</v>
      </c>
      <c r="D1193" t="s">
        <v>654</v>
      </c>
      <c r="E1193" t="s">
        <v>1512</v>
      </c>
      <c r="F1193" t="s">
        <v>532</v>
      </c>
      <c r="G1193">
        <v>3</v>
      </c>
      <c r="H1193" s="21">
        <v>1149.94</v>
      </c>
      <c r="I1193">
        <v>10</v>
      </c>
      <c r="J1193" s="21">
        <v>344.98</v>
      </c>
      <c r="K1193">
        <v>12</v>
      </c>
      <c r="L1193" s="21">
        <v>372.58</v>
      </c>
      <c r="M1193" s="21">
        <v>3477.42</v>
      </c>
      <c r="N1193" s="21">
        <v>2596.2600000000002</v>
      </c>
      <c r="O1193" s="21">
        <v>508.58</v>
      </c>
      <c r="P1193" t="s">
        <v>125</v>
      </c>
      <c r="Q1193" t="s">
        <v>120</v>
      </c>
      <c r="R1193" t="s">
        <v>151</v>
      </c>
      <c r="S1193" t="s">
        <v>757</v>
      </c>
      <c r="T1193" t="s">
        <v>153</v>
      </c>
      <c r="U1193" t="s">
        <v>154</v>
      </c>
      <c r="V1193" t="str">
        <f>IFERROR(INDEX(Products!$C:$C,MATCH(D1193,Products!$A:$A,0)),"Unknown")</f>
        <v>Women Dresses</v>
      </c>
      <c r="W1193" t="str">
        <f>IFERROR(INDEX(Products!$E:$E,MATCH(D1193,Products!$A:$A,0)),"Unknown")</f>
        <v>Indian Terrain</v>
      </c>
      <c r="X1193" t="str">
        <f>IFERROR(INDEX(Stores!$B:$B,MATCH(E1193,Stores!$A:$A,0)),"Unknown")</f>
        <v>TrendMart Erode Mall Kiosk</v>
      </c>
      <c r="Y1193" t="str">
        <f>IFERROR(INDEX(Stores!$E:$E,MATCH(E1193,Stores!$A:$A,0)),"Unknown")</f>
        <v>South Zone 1</v>
      </c>
      <c r="Z1193" t="str">
        <f>IFERROR(INDEX(Customers!$J:$J,MATCH(C1193,Customers!$A:$A,0)),"Unknown")</f>
        <v>Gold</v>
      </c>
      <c r="AA1193" t="str">
        <f t="shared" si="18"/>
        <v>2025-01</v>
      </c>
      <c r="AB1193" t="str">
        <f>IFERROR(INDEX(Products!$I:$I,MATCH(D1193,Products!$A:$A,0)),"Unknown")</f>
        <v>SUP049</v>
      </c>
    </row>
    <row r="1194" spans="1:28" x14ac:dyDescent="0.25">
      <c r="A1194" t="s">
        <v>2955</v>
      </c>
      <c r="B1194" s="20">
        <v>45537</v>
      </c>
      <c r="C1194" t="s">
        <v>2743</v>
      </c>
      <c r="D1194" t="s">
        <v>1903</v>
      </c>
      <c r="E1194" t="s">
        <v>334</v>
      </c>
      <c r="F1194" t="s">
        <v>408</v>
      </c>
      <c r="G1194">
        <v>1</v>
      </c>
      <c r="H1194" s="21">
        <v>965.18</v>
      </c>
      <c r="I1194">
        <v>25</v>
      </c>
      <c r="J1194" s="21">
        <v>241.29</v>
      </c>
      <c r="K1194">
        <v>5</v>
      </c>
      <c r="L1194" s="21">
        <v>36.19</v>
      </c>
      <c r="M1194" s="21">
        <v>760.08</v>
      </c>
      <c r="N1194" s="21">
        <v>761.07</v>
      </c>
      <c r="O1194" s="21">
        <v>-37.18</v>
      </c>
      <c r="P1194" t="s">
        <v>126</v>
      </c>
      <c r="Q1194" t="s">
        <v>120</v>
      </c>
      <c r="R1194" t="s">
        <v>151</v>
      </c>
      <c r="S1194" t="s">
        <v>1513</v>
      </c>
      <c r="T1194" t="s">
        <v>153</v>
      </c>
      <c r="U1194" t="s">
        <v>184</v>
      </c>
      <c r="V1194" t="str">
        <f>IFERROR(INDEX(Products!$C:$C,MATCH(D1194,Products!$A:$A,0)),"Unknown")</f>
        <v>Belts</v>
      </c>
      <c r="W1194" t="str">
        <f>IFERROR(INDEX(Products!$E:$E,MATCH(D1194,Products!$A:$A,0)),"Unknown")</f>
        <v>US Polo Assn</v>
      </c>
      <c r="X1194" t="str">
        <f>IFERROR(INDEX(Stores!$B:$B,MATCH(E1194,Stores!$A:$A,0)),"Unknown")</f>
        <v>TrendMart Madurai High Street</v>
      </c>
      <c r="Y1194" t="str">
        <f>IFERROR(INDEX(Stores!$E:$E,MATCH(E1194,Stores!$A:$A,0)),"Unknown")</f>
        <v>South Zone 1</v>
      </c>
      <c r="Z1194" t="str">
        <f>IFERROR(INDEX(Customers!$J:$J,MATCH(C1194,Customers!$A:$A,0)),"Unknown")</f>
        <v>Silver</v>
      </c>
      <c r="AA1194" t="str">
        <f t="shared" si="18"/>
        <v>2024-09</v>
      </c>
      <c r="AB1194" t="str">
        <f>IFERROR(INDEX(Products!$I:$I,MATCH(D1194,Products!$A:$A,0)),"Unknown")</f>
        <v>SUP029</v>
      </c>
    </row>
    <row r="1195" spans="1:28" x14ac:dyDescent="0.25">
      <c r="A1195" t="s">
        <v>2956</v>
      </c>
      <c r="B1195" s="20">
        <v>45740</v>
      </c>
      <c r="C1195" t="s">
        <v>2957</v>
      </c>
      <c r="D1195" t="s">
        <v>531</v>
      </c>
      <c r="E1195" t="s">
        <v>391</v>
      </c>
      <c r="F1195" t="s">
        <v>253</v>
      </c>
      <c r="G1195">
        <v>1</v>
      </c>
      <c r="H1195" s="21">
        <v>3111.5</v>
      </c>
      <c r="I1195">
        <v>30</v>
      </c>
      <c r="J1195" s="21">
        <v>933.45</v>
      </c>
      <c r="K1195">
        <v>12</v>
      </c>
      <c r="L1195" s="21">
        <v>261.37</v>
      </c>
      <c r="M1195" s="21">
        <v>2439.42</v>
      </c>
      <c r="N1195" s="21">
        <v>2034.01</v>
      </c>
      <c r="O1195" s="21">
        <v>144.04</v>
      </c>
      <c r="P1195" t="s">
        <v>123</v>
      </c>
      <c r="Q1195" t="s">
        <v>122</v>
      </c>
      <c r="R1195" t="s">
        <v>151</v>
      </c>
      <c r="S1195" t="s">
        <v>1614</v>
      </c>
      <c r="T1195" t="s">
        <v>153</v>
      </c>
      <c r="U1195" t="s">
        <v>154</v>
      </c>
      <c r="V1195" t="str">
        <f>IFERROR(INDEX(Products!$C:$C,MATCH(D1195,Products!$A:$A,0)),"Unknown")</f>
        <v>Handbags</v>
      </c>
      <c r="W1195" t="str">
        <f>IFERROR(INDEX(Products!$E:$E,MATCH(D1195,Products!$A:$A,0)),"Unknown")</f>
        <v>GRT Jewellers</v>
      </c>
      <c r="X1195" t="str">
        <f>IFERROR(INDEX(Stores!$B:$B,MATCH(E1195,Stores!$A:$A,0)),"Unknown")</f>
        <v>TrendMart Warangal High Street</v>
      </c>
      <c r="Y1195" t="str">
        <f>IFERROR(INDEX(Stores!$E:$E,MATCH(E1195,Stores!$A:$A,0)),"Unknown")</f>
        <v>South Zone 2</v>
      </c>
      <c r="Z1195" t="str">
        <f>IFERROR(INDEX(Customers!$J:$J,MATCH(C1195,Customers!$A:$A,0)),"Unknown")</f>
        <v>Silver</v>
      </c>
      <c r="AA1195" t="str">
        <f t="shared" si="18"/>
        <v>2025-03</v>
      </c>
      <c r="AB1195" t="str">
        <f>IFERROR(INDEX(Products!$I:$I,MATCH(D1195,Products!$A:$A,0)),"Unknown")</f>
        <v>SUP047</v>
      </c>
    </row>
    <row r="1196" spans="1:28" x14ac:dyDescent="0.25">
      <c r="A1196" t="s">
        <v>2958</v>
      </c>
      <c r="B1196" s="20">
        <v>45612</v>
      </c>
      <c r="C1196" t="s">
        <v>957</v>
      </c>
      <c r="D1196" t="s">
        <v>2959</v>
      </c>
      <c r="E1196" t="s">
        <v>416</v>
      </c>
      <c r="F1196" t="s">
        <v>335</v>
      </c>
      <c r="G1196">
        <v>2</v>
      </c>
      <c r="H1196" s="21">
        <v>499.17</v>
      </c>
      <c r="I1196">
        <v>20</v>
      </c>
      <c r="J1196" s="21">
        <v>199.67</v>
      </c>
      <c r="K1196">
        <v>5</v>
      </c>
      <c r="L1196" s="21">
        <v>39.93</v>
      </c>
      <c r="M1196" s="21">
        <v>838.6</v>
      </c>
      <c r="N1196" s="21">
        <v>735.72</v>
      </c>
      <c r="O1196" s="21">
        <v>62.95</v>
      </c>
      <c r="P1196" t="s">
        <v>127</v>
      </c>
      <c r="Q1196" t="s">
        <v>122</v>
      </c>
      <c r="R1196" t="s">
        <v>151</v>
      </c>
      <c r="S1196" t="s">
        <v>2380</v>
      </c>
      <c r="T1196" t="s">
        <v>161</v>
      </c>
      <c r="U1196" t="s">
        <v>154</v>
      </c>
      <c r="V1196" t="str">
        <f>IFERROR(INDEX(Products!$C:$C,MATCH(D1196,Products!$A:$A,0)),"Unknown")</f>
        <v>Wallets</v>
      </c>
      <c r="W1196" t="str">
        <f>IFERROR(INDEX(Products!$E:$E,MATCH(D1196,Products!$A:$A,0)),"Unknown")</f>
        <v>Biba</v>
      </c>
      <c r="X1196" t="str">
        <f>IFERROR(INDEX(Stores!$B:$B,MATCH(E1196,Stores!$A:$A,0)),"Unknown")</f>
        <v>TrendMart Dindigul Standard</v>
      </c>
      <c r="Y1196" t="str">
        <f>IFERROR(INDEX(Stores!$E:$E,MATCH(E1196,Stores!$A:$A,0)),"Unknown")</f>
        <v>South Zone 1</v>
      </c>
      <c r="Z1196" t="str">
        <f>IFERROR(INDEX(Customers!$J:$J,MATCH(C1196,Customers!$A:$A,0)),"Unknown")</f>
        <v>Regular</v>
      </c>
      <c r="AA1196" t="str">
        <f t="shared" si="18"/>
        <v>2024-11</v>
      </c>
      <c r="AB1196" t="str">
        <f>IFERROR(INDEX(Products!$I:$I,MATCH(D1196,Products!$A:$A,0)),"Unknown")</f>
        <v>SUP075</v>
      </c>
    </row>
    <row r="1197" spans="1:28" x14ac:dyDescent="0.25">
      <c r="A1197" t="s">
        <v>2960</v>
      </c>
      <c r="B1197" s="20">
        <v>45411</v>
      </c>
      <c r="C1197" t="s">
        <v>1410</v>
      </c>
      <c r="D1197" t="s">
        <v>937</v>
      </c>
      <c r="E1197" t="s">
        <v>442</v>
      </c>
      <c r="F1197" t="s">
        <v>182</v>
      </c>
      <c r="G1197">
        <v>5</v>
      </c>
      <c r="H1197" s="21">
        <v>1193.97</v>
      </c>
      <c r="I1197">
        <v>5</v>
      </c>
      <c r="J1197" s="21">
        <v>298.49</v>
      </c>
      <c r="K1197">
        <v>12</v>
      </c>
      <c r="L1197" s="21">
        <v>680.56</v>
      </c>
      <c r="M1197" s="21">
        <v>6351.92</v>
      </c>
      <c r="N1197" s="21">
        <v>4309</v>
      </c>
      <c r="O1197" s="21">
        <v>1362.36</v>
      </c>
      <c r="P1197" t="s">
        <v>123</v>
      </c>
      <c r="Q1197" t="s">
        <v>120</v>
      </c>
      <c r="R1197" t="s">
        <v>151</v>
      </c>
      <c r="S1197" t="s">
        <v>2332</v>
      </c>
      <c r="T1197" t="s">
        <v>153</v>
      </c>
      <c r="U1197" t="s">
        <v>154</v>
      </c>
      <c r="V1197" t="str">
        <f>IFERROR(INDEX(Products!$C:$C,MATCH(D1197,Products!$A:$A,0)),"Unknown")</f>
        <v>Men Shirts</v>
      </c>
      <c r="W1197" t="str">
        <f>IFERROR(INDEX(Products!$E:$E,MATCH(D1197,Products!$A:$A,0)),"Unknown")</f>
        <v>Skechers</v>
      </c>
      <c r="X1197" t="str">
        <f>IFERROR(INDEX(Stores!$B:$B,MATCH(E1197,Stores!$A:$A,0)),"Unknown")</f>
        <v>TrendMart Bengaluru Standard</v>
      </c>
      <c r="Y1197" t="str">
        <f>IFERROR(INDEX(Stores!$E:$E,MATCH(E1197,Stores!$A:$A,0)),"Unknown")</f>
        <v>South Zone 2</v>
      </c>
      <c r="Z1197" t="str">
        <f>IFERROR(INDEX(Customers!$J:$J,MATCH(C1197,Customers!$A:$A,0)),"Unknown")</f>
        <v>Gold</v>
      </c>
      <c r="AA1197" t="str">
        <f t="shared" si="18"/>
        <v>2024-04</v>
      </c>
      <c r="AB1197" t="str">
        <f>IFERROR(INDEX(Products!$I:$I,MATCH(D1197,Products!$A:$A,0)),"Unknown")</f>
        <v>SUP042</v>
      </c>
    </row>
    <row r="1198" spans="1:28" x14ac:dyDescent="0.25">
      <c r="A1198" t="s">
        <v>2961</v>
      </c>
      <c r="B1198" s="20">
        <v>45521</v>
      </c>
      <c r="C1198" t="s">
        <v>209</v>
      </c>
      <c r="D1198" t="s">
        <v>524</v>
      </c>
      <c r="E1198" t="s">
        <v>86</v>
      </c>
      <c r="F1198" t="s">
        <v>269</v>
      </c>
      <c r="G1198">
        <v>1</v>
      </c>
      <c r="H1198" s="21">
        <v>793.91</v>
      </c>
      <c r="I1198">
        <v>20</v>
      </c>
      <c r="J1198" s="21">
        <v>158.78</v>
      </c>
      <c r="K1198">
        <v>5</v>
      </c>
      <c r="L1198" s="21">
        <v>31.76</v>
      </c>
      <c r="M1198" s="21">
        <v>666.89</v>
      </c>
      <c r="N1198" s="21">
        <v>547.66999999999996</v>
      </c>
      <c r="O1198" s="21">
        <v>87.46</v>
      </c>
      <c r="P1198" t="s">
        <v>125</v>
      </c>
      <c r="Q1198" t="s">
        <v>120</v>
      </c>
      <c r="R1198" t="s">
        <v>151</v>
      </c>
      <c r="S1198" t="s">
        <v>452</v>
      </c>
      <c r="T1198" t="s">
        <v>161</v>
      </c>
      <c r="U1198" t="s">
        <v>154</v>
      </c>
      <c r="V1198" t="str">
        <f>IFERROR(INDEX(Products!$C:$C,MATCH(D1198,Products!$A:$A,0)),"Unknown")</f>
        <v>Women Tops</v>
      </c>
      <c r="W1198" t="str">
        <f>IFERROR(INDEX(Products!$E:$E,MATCH(D1198,Products!$A:$A,0)),"Unknown")</f>
        <v>Indian Terrain</v>
      </c>
      <c r="X1198" t="str">
        <f>IFERROR(INDEX(Stores!$B:$B,MATCH(E1198,Stores!$A:$A,0)),"Unknown")</f>
        <v>TrendMart Warangal High Street</v>
      </c>
      <c r="Y1198" t="str">
        <f>IFERROR(INDEX(Stores!$E:$E,MATCH(E1198,Stores!$A:$A,0)),"Unknown")</f>
        <v>South Zone 2</v>
      </c>
      <c r="Z1198" t="str">
        <f>IFERROR(INDEX(Customers!$J:$J,MATCH(C1198,Customers!$A:$A,0)),"Unknown")</f>
        <v>Silver</v>
      </c>
      <c r="AA1198" t="str">
        <f t="shared" si="18"/>
        <v>2024-08</v>
      </c>
      <c r="AB1198" t="str">
        <f>IFERROR(INDEX(Products!$I:$I,MATCH(D1198,Products!$A:$A,0)),"Unknown")</f>
        <v>SUP062</v>
      </c>
    </row>
    <row r="1199" spans="1:28" x14ac:dyDescent="0.25">
      <c r="A1199" t="s">
        <v>2962</v>
      </c>
      <c r="B1199" s="20">
        <v>45564</v>
      </c>
      <c r="C1199" t="s">
        <v>2373</v>
      </c>
      <c r="D1199" t="s">
        <v>545</v>
      </c>
      <c r="E1199" t="s">
        <v>343</v>
      </c>
      <c r="F1199" t="s">
        <v>532</v>
      </c>
      <c r="G1199">
        <v>2</v>
      </c>
      <c r="H1199" s="21">
        <v>1433.04</v>
      </c>
      <c r="I1199">
        <v>0</v>
      </c>
      <c r="J1199" s="21">
        <v>0</v>
      </c>
      <c r="K1199">
        <v>12</v>
      </c>
      <c r="L1199" s="21">
        <v>343.93</v>
      </c>
      <c r="M1199" s="21">
        <v>3210.01</v>
      </c>
      <c r="N1199" s="21">
        <v>1669.92</v>
      </c>
      <c r="O1199" s="21">
        <v>1196.1600000000001</v>
      </c>
      <c r="P1199" t="s">
        <v>125</v>
      </c>
      <c r="Q1199" t="s">
        <v>120</v>
      </c>
      <c r="R1199" t="s">
        <v>151</v>
      </c>
      <c r="S1199" t="s">
        <v>2369</v>
      </c>
      <c r="T1199" t="s">
        <v>161</v>
      </c>
      <c r="U1199" t="s">
        <v>154</v>
      </c>
      <c r="V1199" t="str">
        <f>IFERROR(INDEX(Products!$C:$C,MATCH(D1199,Products!$A:$A,0)),"Unknown")</f>
        <v>Women Jeans</v>
      </c>
      <c r="W1199" t="str">
        <f>IFERROR(INDEX(Products!$E:$E,MATCH(D1199,Products!$A:$A,0)),"Unknown")</f>
        <v>US Polo Assn</v>
      </c>
      <c r="X1199" t="str">
        <f>IFERROR(INDEX(Stores!$B:$B,MATCH(E1199,Stores!$A:$A,0)),"Unknown")</f>
        <v>TrendMart Tumakuru Outlet</v>
      </c>
      <c r="Y1199" t="str">
        <f>IFERROR(INDEX(Stores!$E:$E,MATCH(E1199,Stores!$A:$A,0)),"Unknown")</f>
        <v>South Zone 2</v>
      </c>
      <c r="Z1199" t="str">
        <f>IFERROR(INDEX(Customers!$J:$J,MATCH(C1199,Customers!$A:$A,0)),"Unknown")</f>
        <v>Regular</v>
      </c>
      <c r="AA1199" t="str">
        <f t="shared" si="18"/>
        <v>2024-09</v>
      </c>
      <c r="AB1199" t="str">
        <f>IFERROR(INDEX(Products!$I:$I,MATCH(D1199,Products!$A:$A,0)),"Unknown")</f>
        <v>SUP041</v>
      </c>
    </row>
    <row r="1200" spans="1:28" x14ac:dyDescent="0.25">
      <c r="A1200" t="s">
        <v>2963</v>
      </c>
      <c r="B1200" s="20">
        <v>45605</v>
      </c>
      <c r="C1200" t="s">
        <v>1441</v>
      </c>
      <c r="D1200" t="s">
        <v>573</v>
      </c>
      <c r="E1200" t="s">
        <v>216</v>
      </c>
      <c r="F1200" t="s">
        <v>408</v>
      </c>
      <c r="G1200">
        <v>4</v>
      </c>
      <c r="H1200" s="21">
        <v>1089.95</v>
      </c>
      <c r="I1200">
        <v>15</v>
      </c>
      <c r="J1200" s="21">
        <v>653.97</v>
      </c>
      <c r="K1200">
        <v>12</v>
      </c>
      <c r="L1200" s="21">
        <v>444.7</v>
      </c>
      <c r="M1200" s="21">
        <v>4150.53</v>
      </c>
      <c r="N1200" s="21">
        <v>2882.12</v>
      </c>
      <c r="O1200" s="21">
        <v>823.71</v>
      </c>
      <c r="P1200" t="s">
        <v>121</v>
      </c>
      <c r="Q1200" t="s">
        <v>122</v>
      </c>
      <c r="R1200" t="s">
        <v>151</v>
      </c>
      <c r="S1200" t="s">
        <v>2964</v>
      </c>
      <c r="T1200" t="s">
        <v>161</v>
      </c>
      <c r="U1200" t="s">
        <v>154</v>
      </c>
      <c r="V1200" t="str">
        <f>IFERROR(INDEX(Products!$C:$C,MATCH(D1200,Products!$A:$A,0)),"Unknown")</f>
        <v>Women Jeans</v>
      </c>
      <c r="W1200" t="str">
        <f>IFERROR(INDEX(Products!$E:$E,MATCH(D1200,Products!$A:$A,0)),"Unknown")</f>
        <v>Sonata</v>
      </c>
      <c r="X1200" t="str">
        <f>IFERROR(INDEX(Stores!$B:$B,MATCH(E1200,Stores!$A:$A,0)),"Unknown")</f>
        <v>TrendMart Madurai Mall Kiosk</v>
      </c>
      <c r="Y1200" t="str">
        <f>IFERROR(INDEX(Stores!$E:$E,MATCH(E1200,Stores!$A:$A,0)),"Unknown")</f>
        <v>South Zone 1</v>
      </c>
      <c r="Z1200" t="str">
        <f>IFERROR(INDEX(Customers!$J:$J,MATCH(C1200,Customers!$A:$A,0)),"Unknown")</f>
        <v>Platinum</v>
      </c>
      <c r="AA1200" t="str">
        <f t="shared" si="18"/>
        <v>2024-11</v>
      </c>
      <c r="AB1200" t="str">
        <f>IFERROR(INDEX(Products!$I:$I,MATCH(D1200,Products!$A:$A,0)),"Unknown")</f>
        <v>SUP017</v>
      </c>
    </row>
    <row r="1201" spans="1:28" x14ac:dyDescent="0.25">
      <c r="A1201" t="s">
        <v>2965</v>
      </c>
      <c r="B1201" s="20">
        <v>45577</v>
      </c>
      <c r="C1201" t="s">
        <v>1255</v>
      </c>
      <c r="D1201" t="s">
        <v>1095</v>
      </c>
      <c r="E1201" t="s">
        <v>1522</v>
      </c>
      <c r="F1201" t="s">
        <v>579</v>
      </c>
      <c r="G1201">
        <v>2</v>
      </c>
      <c r="H1201" s="21">
        <v>1198.0999999999999</v>
      </c>
      <c r="I1201">
        <v>25</v>
      </c>
      <c r="J1201" s="21">
        <v>599.04999999999995</v>
      </c>
      <c r="K1201">
        <v>12</v>
      </c>
      <c r="L1201" s="21">
        <v>215.66</v>
      </c>
      <c r="M1201" s="21">
        <v>2012.81</v>
      </c>
      <c r="N1201" s="21">
        <v>1539.26</v>
      </c>
      <c r="O1201" s="21">
        <v>257.89</v>
      </c>
      <c r="P1201" t="s">
        <v>121</v>
      </c>
      <c r="Q1201" t="s">
        <v>120</v>
      </c>
      <c r="R1201" t="s">
        <v>313</v>
      </c>
      <c r="S1201" t="s">
        <v>749</v>
      </c>
      <c r="T1201" t="s">
        <v>161</v>
      </c>
      <c r="U1201" t="s">
        <v>154</v>
      </c>
      <c r="V1201" t="str">
        <f>IFERROR(INDEX(Products!$C:$C,MATCH(D1201,Products!$A:$A,0)),"Unknown")</f>
        <v>Women Dresses</v>
      </c>
      <c r="W1201" t="str">
        <f>IFERROR(INDEX(Products!$E:$E,MATCH(D1201,Products!$A:$A,0)),"Unknown")</f>
        <v>Ramraj Cotton</v>
      </c>
      <c r="X1201" t="str">
        <f>IFERROR(INDEX(Stores!$B:$B,MATCH(E1201,Stores!$A:$A,0)),"Unknown")</f>
        <v>TrendMart Guntur High Street</v>
      </c>
      <c r="Y1201" t="str">
        <f>IFERROR(INDEX(Stores!$E:$E,MATCH(E1201,Stores!$A:$A,0)),"Unknown")</f>
        <v>South Zone 3</v>
      </c>
      <c r="Z1201" t="str">
        <f>IFERROR(INDEX(Customers!$J:$J,MATCH(C1201,Customers!$A:$A,0)),"Unknown")</f>
        <v>Regular</v>
      </c>
      <c r="AA1201" t="str">
        <f t="shared" si="18"/>
        <v>2024-10</v>
      </c>
      <c r="AB1201" t="str">
        <f>IFERROR(INDEX(Products!$I:$I,MATCH(D1201,Products!$A:$A,0)),"Unknown")</f>
        <v>SUP054</v>
      </c>
    </row>
    <row r="1202" spans="1:28" x14ac:dyDescent="0.25">
      <c r="A1202" t="s">
        <v>2966</v>
      </c>
      <c r="B1202" s="20">
        <v>45667</v>
      </c>
      <c r="C1202" t="s">
        <v>2045</v>
      </c>
      <c r="D1202" t="s">
        <v>205</v>
      </c>
      <c r="E1202" t="s">
        <v>93</v>
      </c>
      <c r="F1202" t="s">
        <v>308</v>
      </c>
      <c r="G1202">
        <v>4</v>
      </c>
      <c r="H1202" s="21">
        <v>980.87</v>
      </c>
      <c r="I1202">
        <v>5</v>
      </c>
      <c r="J1202" s="21">
        <v>196.17</v>
      </c>
      <c r="K1202">
        <v>5</v>
      </c>
      <c r="L1202" s="21">
        <v>186.37</v>
      </c>
      <c r="M1202" s="21">
        <v>3913.68</v>
      </c>
      <c r="N1202" s="21">
        <v>2770.12</v>
      </c>
      <c r="O1202" s="21">
        <v>957.19</v>
      </c>
      <c r="P1202" t="s">
        <v>124</v>
      </c>
      <c r="Q1202" t="s">
        <v>120</v>
      </c>
      <c r="R1202" t="s">
        <v>151</v>
      </c>
      <c r="S1202" t="s">
        <v>1161</v>
      </c>
      <c r="T1202" t="s">
        <v>153</v>
      </c>
      <c r="U1202" t="s">
        <v>154</v>
      </c>
      <c r="V1202" t="str">
        <f>IFERROR(INDEX(Products!$C:$C,MATCH(D1202,Products!$A:$A,0)),"Unknown")</f>
        <v>Women Jeans</v>
      </c>
      <c r="W1202" t="str">
        <f>IFERROR(INDEX(Products!$E:$E,MATCH(D1202,Products!$A:$A,0)),"Unknown")</f>
        <v>Sonata</v>
      </c>
      <c r="X1202" t="str">
        <f>IFERROR(INDEX(Stores!$B:$B,MATCH(E1202,Stores!$A:$A,0)),"Unknown")</f>
        <v>TrendMart Thiruvananthapuram High Street</v>
      </c>
      <c r="Y1202" t="str">
        <f>IFERROR(INDEX(Stores!$E:$E,MATCH(E1202,Stores!$A:$A,0)),"Unknown")</f>
        <v>South Zone 1</v>
      </c>
      <c r="Z1202" t="str">
        <f>IFERROR(INDEX(Customers!$J:$J,MATCH(C1202,Customers!$A:$A,0)),"Unknown")</f>
        <v>Regular</v>
      </c>
      <c r="AA1202" t="str">
        <f t="shared" si="18"/>
        <v>2025-01</v>
      </c>
      <c r="AB1202" t="str">
        <f>IFERROR(INDEX(Products!$I:$I,MATCH(D1202,Products!$A:$A,0)),"Unknown")</f>
        <v>SUP014</v>
      </c>
    </row>
    <row r="1203" spans="1:28" x14ac:dyDescent="0.25">
      <c r="A1203" t="s">
        <v>2967</v>
      </c>
      <c r="B1203" s="20">
        <v>45425</v>
      </c>
      <c r="C1203" t="s">
        <v>909</v>
      </c>
      <c r="D1203" t="s">
        <v>549</v>
      </c>
      <c r="E1203" t="s">
        <v>181</v>
      </c>
      <c r="F1203" t="s">
        <v>377</v>
      </c>
      <c r="G1203">
        <v>1</v>
      </c>
      <c r="H1203" s="21">
        <v>1252.6300000000001</v>
      </c>
      <c r="I1203">
        <v>10</v>
      </c>
      <c r="J1203" s="21">
        <v>125.26</v>
      </c>
      <c r="K1203">
        <v>12</v>
      </c>
      <c r="L1203" s="21">
        <v>135.28</v>
      </c>
      <c r="M1203" s="21">
        <v>1262.6500000000001</v>
      </c>
      <c r="N1203" s="21">
        <v>854.85</v>
      </c>
      <c r="O1203" s="21">
        <v>272.52</v>
      </c>
      <c r="P1203" t="s">
        <v>121</v>
      </c>
      <c r="Q1203" t="s">
        <v>122</v>
      </c>
      <c r="R1203" t="s">
        <v>151</v>
      </c>
      <c r="S1203" t="s">
        <v>444</v>
      </c>
      <c r="T1203" t="s">
        <v>153</v>
      </c>
      <c r="U1203" t="s">
        <v>154</v>
      </c>
      <c r="V1203" t="str">
        <f>IFERROR(INDEX(Products!$C:$C,MATCH(D1203,Products!$A:$A,0)),"Unknown")</f>
        <v>Footwear</v>
      </c>
      <c r="W1203" t="str">
        <f>IFERROR(INDEX(Products!$E:$E,MATCH(D1203,Products!$A:$A,0)),"Unknown")</f>
        <v>Joyalukkas</v>
      </c>
      <c r="X1203" t="str">
        <f>IFERROR(INDEX(Stores!$B:$B,MATCH(E1203,Stores!$A:$A,0)),"Unknown")</f>
        <v>TrendMart Kurnool High Street</v>
      </c>
      <c r="Y1203" t="str">
        <f>IFERROR(INDEX(Stores!$E:$E,MATCH(E1203,Stores!$A:$A,0)),"Unknown")</f>
        <v>South Zone 3</v>
      </c>
      <c r="Z1203" t="str">
        <f>IFERROR(INDEX(Customers!$J:$J,MATCH(C1203,Customers!$A:$A,0)),"Unknown")</f>
        <v>Regular</v>
      </c>
      <c r="AA1203" t="str">
        <f t="shared" si="18"/>
        <v>2024-05</v>
      </c>
      <c r="AB1203" t="str">
        <f>IFERROR(INDEX(Products!$I:$I,MATCH(D1203,Products!$A:$A,0)),"Unknown")</f>
        <v>SUP016</v>
      </c>
    </row>
    <row r="1204" spans="1:28" x14ac:dyDescent="0.25">
      <c r="A1204" t="s">
        <v>2968</v>
      </c>
      <c r="B1204" s="20">
        <v>45585</v>
      </c>
      <c r="C1204" t="s">
        <v>1067</v>
      </c>
      <c r="D1204" t="s">
        <v>1302</v>
      </c>
      <c r="E1204" t="s">
        <v>1017</v>
      </c>
      <c r="F1204" t="s">
        <v>195</v>
      </c>
      <c r="G1204">
        <v>3</v>
      </c>
      <c r="H1204" s="21">
        <v>1179.23</v>
      </c>
      <c r="I1204">
        <v>0</v>
      </c>
      <c r="J1204" s="21">
        <v>0</v>
      </c>
      <c r="K1204">
        <v>12</v>
      </c>
      <c r="L1204" s="21">
        <v>424.52</v>
      </c>
      <c r="M1204" s="21">
        <v>3962.21</v>
      </c>
      <c r="N1204" s="21">
        <v>2312.19</v>
      </c>
      <c r="O1204" s="21">
        <v>1225.5</v>
      </c>
      <c r="P1204" t="s">
        <v>124</v>
      </c>
      <c r="Q1204" t="s">
        <v>120</v>
      </c>
      <c r="R1204" t="s">
        <v>151</v>
      </c>
      <c r="S1204" t="s">
        <v>1191</v>
      </c>
      <c r="T1204" t="s">
        <v>161</v>
      </c>
      <c r="U1204" t="s">
        <v>154</v>
      </c>
      <c r="V1204" t="str">
        <f>IFERROR(INDEX(Products!$C:$C,MATCH(D1204,Products!$A:$A,0)),"Unknown")</f>
        <v>Women Kurtis</v>
      </c>
      <c r="W1204" t="str">
        <f>IFERROR(INDEX(Products!$E:$E,MATCH(D1204,Products!$A:$A,0)),"Unknown")</f>
        <v>Fabindia</v>
      </c>
      <c r="X1204" t="str">
        <f>IFERROR(INDEX(Stores!$B:$B,MATCH(E1204,Stores!$A:$A,0)),"Unknown")</f>
        <v>TrendMart Mangaluru Standard</v>
      </c>
      <c r="Y1204" t="str">
        <f>IFERROR(INDEX(Stores!$E:$E,MATCH(E1204,Stores!$A:$A,0)),"Unknown")</f>
        <v>South Zone 2</v>
      </c>
      <c r="Z1204" t="str">
        <f>IFERROR(INDEX(Customers!$J:$J,MATCH(C1204,Customers!$A:$A,0)),"Unknown")</f>
        <v>Gold</v>
      </c>
      <c r="AA1204" t="str">
        <f t="shared" si="18"/>
        <v>2024-10</v>
      </c>
      <c r="AB1204" t="str">
        <f>IFERROR(INDEX(Products!$I:$I,MATCH(D1204,Products!$A:$A,0)),"Unknown")</f>
        <v>SUP059</v>
      </c>
    </row>
    <row r="1205" spans="1:28" x14ac:dyDescent="0.25">
      <c r="A1205" t="s">
        <v>2969</v>
      </c>
      <c r="B1205" s="20">
        <v>45605</v>
      </c>
      <c r="C1205" t="s">
        <v>1684</v>
      </c>
      <c r="D1205" t="s">
        <v>801</v>
      </c>
      <c r="E1205" t="s">
        <v>252</v>
      </c>
      <c r="F1205" t="s">
        <v>532</v>
      </c>
      <c r="G1205">
        <v>3</v>
      </c>
      <c r="H1205" s="21">
        <v>673.35</v>
      </c>
      <c r="I1205">
        <v>10</v>
      </c>
      <c r="J1205" s="21">
        <v>202</v>
      </c>
      <c r="K1205">
        <v>5</v>
      </c>
      <c r="L1205" s="21">
        <v>90.9</v>
      </c>
      <c r="M1205" s="21">
        <v>1908.95</v>
      </c>
      <c r="N1205" s="21">
        <v>1274.28</v>
      </c>
      <c r="O1205" s="21">
        <v>543.77</v>
      </c>
      <c r="P1205" t="s">
        <v>121</v>
      </c>
      <c r="Q1205" t="s">
        <v>120</v>
      </c>
      <c r="R1205" t="s">
        <v>151</v>
      </c>
      <c r="S1205" t="s">
        <v>1781</v>
      </c>
      <c r="T1205" t="s">
        <v>161</v>
      </c>
      <c r="U1205" t="s">
        <v>154</v>
      </c>
      <c r="V1205" t="str">
        <f>IFERROR(INDEX(Products!$C:$C,MATCH(D1205,Products!$A:$A,0)),"Unknown")</f>
        <v>Kids Wear</v>
      </c>
      <c r="W1205" t="str">
        <f>IFERROR(INDEX(Products!$E:$E,MATCH(D1205,Products!$A:$A,0)),"Unknown")</f>
        <v>Being Human</v>
      </c>
      <c r="X1205" t="str">
        <f>IFERROR(INDEX(Stores!$B:$B,MATCH(E1205,Stores!$A:$A,0)),"Unknown")</f>
        <v>TrendMart Nellore Standard</v>
      </c>
      <c r="Y1205" t="str">
        <f>IFERROR(INDEX(Stores!$E:$E,MATCH(E1205,Stores!$A:$A,0)),"Unknown")</f>
        <v>South Zone 3</v>
      </c>
      <c r="Z1205" t="str">
        <f>IFERROR(INDEX(Customers!$J:$J,MATCH(C1205,Customers!$A:$A,0)),"Unknown")</f>
        <v>Silver</v>
      </c>
      <c r="AA1205" t="str">
        <f t="shared" si="18"/>
        <v>2024-11</v>
      </c>
      <c r="AB1205" t="str">
        <f>IFERROR(INDEX(Products!$I:$I,MATCH(D1205,Products!$A:$A,0)),"Unknown")</f>
        <v>SUP063</v>
      </c>
    </row>
    <row r="1206" spans="1:28" x14ac:dyDescent="0.25">
      <c r="A1206" t="s">
        <v>2970</v>
      </c>
      <c r="B1206" s="20">
        <v>45604</v>
      </c>
      <c r="C1206" t="s">
        <v>2971</v>
      </c>
      <c r="D1206" t="s">
        <v>325</v>
      </c>
      <c r="E1206" t="s">
        <v>86</v>
      </c>
      <c r="F1206" t="s">
        <v>532</v>
      </c>
      <c r="G1206">
        <v>2</v>
      </c>
      <c r="H1206" s="21">
        <v>1147.58</v>
      </c>
      <c r="I1206">
        <v>25</v>
      </c>
      <c r="J1206" s="21">
        <v>573.79</v>
      </c>
      <c r="K1206">
        <v>12</v>
      </c>
      <c r="L1206" s="21">
        <v>206.56</v>
      </c>
      <c r="M1206" s="21">
        <v>1927.93</v>
      </c>
      <c r="N1206" s="21">
        <v>1518</v>
      </c>
      <c r="O1206" s="21">
        <v>203.37</v>
      </c>
      <c r="P1206" t="s">
        <v>124</v>
      </c>
      <c r="Q1206" t="s">
        <v>120</v>
      </c>
      <c r="R1206" t="s">
        <v>151</v>
      </c>
      <c r="S1206" t="s">
        <v>2972</v>
      </c>
      <c r="T1206" t="s">
        <v>153</v>
      </c>
      <c r="U1206" t="s">
        <v>154</v>
      </c>
      <c r="V1206" t="str">
        <f>IFERROR(INDEX(Products!$C:$C,MATCH(D1206,Products!$A:$A,0)),"Unknown")</f>
        <v>Women Jeans</v>
      </c>
      <c r="W1206" t="str">
        <f>IFERROR(INDEX(Products!$E:$E,MATCH(D1206,Products!$A:$A,0)),"Unknown")</f>
        <v>Nalli Silks</v>
      </c>
      <c r="X1206" t="str">
        <f>IFERROR(INDEX(Stores!$B:$B,MATCH(E1206,Stores!$A:$A,0)),"Unknown")</f>
        <v>TrendMart Warangal High Street</v>
      </c>
      <c r="Y1206" t="str">
        <f>IFERROR(INDEX(Stores!$E:$E,MATCH(E1206,Stores!$A:$A,0)),"Unknown")</f>
        <v>South Zone 2</v>
      </c>
      <c r="Z1206" t="str">
        <f>IFERROR(INDEX(Customers!$J:$J,MATCH(C1206,Customers!$A:$A,0)),"Unknown")</f>
        <v>Gold</v>
      </c>
      <c r="AA1206" t="str">
        <f t="shared" si="18"/>
        <v>2024-11</v>
      </c>
      <c r="AB1206" t="str">
        <f>IFERROR(INDEX(Products!$I:$I,MATCH(D1206,Products!$A:$A,0)),"Unknown")</f>
        <v>SUP048</v>
      </c>
    </row>
    <row r="1207" spans="1:28" x14ac:dyDescent="0.25">
      <c r="A1207" t="s">
        <v>2973</v>
      </c>
      <c r="B1207" s="20">
        <v>45639</v>
      </c>
      <c r="C1207" t="s">
        <v>2021</v>
      </c>
      <c r="D1207" t="s">
        <v>814</v>
      </c>
      <c r="E1207" t="s">
        <v>1442</v>
      </c>
      <c r="F1207" t="s">
        <v>286</v>
      </c>
      <c r="G1207">
        <v>3</v>
      </c>
      <c r="H1207" s="21">
        <v>626.27</v>
      </c>
      <c r="I1207">
        <v>10</v>
      </c>
      <c r="J1207" s="21">
        <v>187.88</v>
      </c>
      <c r="K1207">
        <v>5</v>
      </c>
      <c r="L1207" s="21">
        <v>84.55</v>
      </c>
      <c r="M1207" s="21">
        <v>1775.48</v>
      </c>
      <c r="N1207" s="21">
        <v>1093.83</v>
      </c>
      <c r="O1207" s="21">
        <v>597.1</v>
      </c>
      <c r="P1207" t="s">
        <v>123</v>
      </c>
      <c r="Q1207" t="s">
        <v>120</v>
      </c>
      <c r="R1207" t="s">
        <v>151</v>
      </c>
      <c r="S1207" t="s">
        <v>1469</v>
      </c>
      <c r="T1207" t="s">
        <v>153</v>
      </c>
      <c r="U1207" t="s">
        <v>154</v>
      </c>
      <c r="V1207" t="str">
        <f>IFERROR(INDEX(Products!$C:$C,MATCH(D1207,Products!$A:$A,0)),"Unknown")</f>
        <v>Men T-Shirts</v>
      </c>
      <c r="W1207" t="str">
        <f>IFERROR(INDEX(Products!$E:$E,MATCH(D1207,Products!$A:$A,0)),"Unknown")</f>
        <v>Woodland</v>
      </c>
      <c r="X1207" t="str">
        <f>IFERROR(INDEX(Stores!$B:$B,MATCH(E1207,Stores!$A:$A,0)),"Unknown")</f>
        <v>TrendMart Vellore High Street</v>
      </c>
      <c r="Y1207" t="str">
        <f>IFERROR(INDEX(Stores!$E:$E,MATCH(E1207,Stores!$A:$A,0)),"Unknown")</f>
        <v>South Zone 1</v>
      </c>
      <c r="Z1207" t="str">
        <f>IFERROR(INDEX(Customers!$J:$J,MATCH(C1207,Customers!$A:$A,0)),"Unknown")</f>
        <v>Gold</v>
      </c>
      <c r="AA1207" t="str">
        <f t="shared" si="18"/>
        <v>2024-12</v>
      </c>
      <c r="AB1207" t="str">
        <f>IFERROR(INDEX(Products!$I:$I,MATCH(D1207,Products!$A:$A,0)),"Unknown")</f>
        <v>SUP051</v>
      </c>
    </row>
    <row r="1208" spans="1:28" x14ac:dyDescent="0.25">
      <c r="A1208" t="s">
        <v>2974</v>
      </c>
      <c r="B1208" s="20">
        <v>45553</v>
      </c>
      <c r="C1208" t="s">
        <v>2757</v>
      </c>
      <c r="D1208" t="s">
        <v>680</v>
      </c>
      <c r="E1208" t="s">
        <v>1023</v>
      </c>
      <c r="F1208" t="s">
        <v>165</v>
      </c>
      <c r="G1208">
        <v>1</v>
      </c>
      <c r="H1208" s="21">
        <v>681.31</v>
      </c>
      <c r="I1208">
        <v>0</v>
      </c>
      <c r="J1208" s="21">
        <v>0</v>
      </c>
      <c r="K1208">
        <v>5</v>
      </c>
      <c r="L1208" s="21">
        <v>34.07</v>
      </c>
      <c r="M1208" s="21">
        <v>715.38</v>
      </c>
      <c r="N1208" s="21">
        <v>403.71</v>
      </c>
      <c r="O1208" s="21">
        <v>277.60000000000002</v>
      </c>
      <c r="P1208" t="s">
        <v>121</v>
      </c>
      <c r="Q1208" t="s">
        <v>120</v>
      </c>
      <c r="R1208" t="s">
        <v>151</v>
      </c>
      <c r="S1208" t="s">
        <v>1060</v>
      </c>
      <c r="T1208" t="s">
        <v>153</v>
      </c>
      <c r="U1208" t="s">
        <v>154</v>
      </c>
      <c r="V1208" t="str">
        <f>IFERROR(INDEX(Products!$C:$C,MATCH(D1208,Products!$A:$A,0)),"Unknown")</f>
        <v>Accessories</v>
      </c>
      <c r="W1208" t="str">
        <f>IFERROR(INDEX(Products!$E:$E,MATCH(D1208,Products!$A:$A,0)),"Unknown")</f>
        <v>Westside</v>
      </c>
      <c r="X1208" t="str">
        <f>IFERROR(INDEX(Stores!$B:$B,MATCH(E1208,Stores!$A:$A,0)),"Unknown")</f>
        <v>TrendMart Kochi High Street</v>
      </c>
      <c r="Y1208" t="str">
        <f>IFERROR(INDEX(Stores!$E:$E,MATCH(E1208,Stores!$A:$A,0)),"Unknown")</f>
        <v>South Zone 1</v>
      </c>
      <c r="Z1208" t="str">
        <f>IFERROR(INDEX(Customers!$J:$J,MATCH(C1208,Customers!$A:$A,0)),"Unknown")</f>
        <v>Silver</v>
      </c>
      <c r="AA1208" t="str">
        <f t="shared" si="18"/>
        <v>2024-09</v>
      </c>
      <c r="AB1208" t="str">
        <f>IFERROR(INDEX(Products!$I:$I,MATCH(D1208,Products!$A:$A,0)),"Unknown")</f>
        <v>SUP064</v>
      </c>
    </row>
    <row r="1209" spans="1:28" x14ac:dyDescent="0.25">
      <c r="A1209" t="s">
        <v>2975</v>
      </c>
      <c r="B1209" s="20">
        <v>45574</v>
      </c>
      <c r="C1209" t="s">
        <v>2976</v>
      </c>
      <c r="D1209" t="s">
        <v>1256</v>
      </c>
      <c r="E1209" t="s">
        <v>745</v>
      </c>
      <c r="F1209" t="s">
        <v>403</v>
      </c>
      <c r="G1209">
        <v>3</v>
      </c>
      <c r="H1209" s="21">
        <v>827.12</v>
      </c>
      <c r="I1209">
        <v>20</v>
      </c>
      <c r="J1209" s="21">
        <v>496.27</v>
      </c>
      <c r="K1209">
        <v>5</v>
      </c>
      <c r="L1209" s="21">
        <v>99.25</v>
      </c>
      <c r="M1209" s="21">
        <v>2084.34</v>
      </c>
      <c r="N1209" s="21">
        <v>1911.81</v>
      </c>
      <c r="O1209" s="21">
        <v>73.28</v>
      </c>
      <c r="P1209" t="s">
        <v>125</v>
      </c>
      <c r="Q1209" t="s">
        <v>122</v>
      </c>
      <c r="R1209" t="s">
        <v>151</v>
      </c>
      <c r="S1209" t="s">
        <v>1161</v>
      </c>
      <c r="T1209" t="s">
        <v>153</v>
      </c>
      <c r="U1209" t="s">
        <v>154</v>
      </c>
      <c r="V1209" t="str">
        <f>IFERROR(INDEX(Products!$C:$C,MATCH(D1209,Products!$A:$A,0)),"Unknown")</f>
        <v>Women Jeans</v>
      </c>
      <c r="W1209" t="str">
        <f>IFERROR(INDEX(Products!$E:$E,MATCH(D1209,Products!$A:$A,0)),"Unknown")</f>
        <v>Biba</v>
      </c>
      <c r="X1209" t="str">
        <f>IFERROR(INDEX(Stores!$B:$B,MATCH(E1209,Stores!$A:$A,0)),"Unknown")</f>
        <v>TrendMart Thiruvananthapuram Outlet</v>
      </c>
      <c r="Y1209" t="str">
        <f>IFERROR(INDEX(Stores!$E:$E,MATCH(E1209,Stores!$A:$A,0)),"Unknown")</f>
        <v>South Zone 1</v>
      </c>
      <c r="Z1209" t="str">
        <f>IFERROR(INDEX(Customers!$J:$J,MATCH(C1209,Customers!$A:$A,0)),"Unknown")</f>
        <v>Silver</v>
      </c>
      <c r="AA1209" t="str">
        <f t="shared" si="18"/>
        <v>2024-10</v>
      </c>
      <c r="AB1209" t="str">
        <f>IFERROR(INDEX(Products!$I:$I,MATCH(D1209,Products!$A:$A,0)),"Unknown")</f>
        <v>SUP040</v>
      </c>
    </row>
    <row r="1210" spans="1:28" x14ac:dyDescent="0.25">
      <c r="A1210" t="s">
        <v>2977</v>
      </c>
      <c r="B1210" s="20">
        <v>45568</v>
      </c>
      <c r="C1210" t="s">
        <v>1812</v>
      </c>
      <c r="D1210" t="s">
        <v>395</v>
      </c>
      <c r="E1210" t="s">
        <v>1068</v>
      </c>
      <c r="F1210" t="s">
        <v>201</v>
      </c>
      <c r="G1210">
        <v>2</v>
      </c>
      <c r="H1210" s="21">
        <v>463.39</v>
      </c>
      <c r="I1210">
        <v>0</v>
      </c>
      <c r="J1210" s="21">
        <v>0</v>
      </c>
      <c r="K1210">
        <v>5</v>
      </c>
      <c r="L1210" s="21">
        <v>46.34</v>
      </c>
      <c r="M1210" s="21">
        <v>973.12</v>
      </c>
      <c r="N1210" s="21">
        <v>590</v>
      </c>
      <c r="O1210" s="21">
        <v>336.78</v>
      </c>
      <c r="P1210" t="s">
        <v>125</v>
      </c>
      <c r="Q1210" t="s">
        <v>122</v>
      </c>
      <c r="R1210" t="s">
        <v>151</v>
      </c>
      <c r="S1210" t="s">
        <v>1351</v>
      </c>
      <c r="T1210" t="s">
        <v>153</v>
      </c>
      <c r="U1210" t="s">
        <v>154</v>
      </c>
      <c r="V1210" t="str">
        <f>IFERROR(INDEX(Products!$C:$C,MATCH(D1210,Products!$A:$A,0)),"Unknown")</f>
        <v>Men T-Shirts</v>
      </c>
      <c r="W1210" t="str">
        <f>IFERROR(INDEX(Products!$E:$E,MATCH(D1210,Products!$A:$A,0)),"Unknown")</f>
        <v>Nalli Silks</v>
      </c>
      <c r="X1210" t="str">
        <f>IFERROR(INDEX(Stores!$B:$B,MATCH(E1210,Stores!$A:$A,0)),"Unknown")</f>
        <v>TrendMart Tumakuru High Street</v>
      </c>
      <c r="Y1210" t="str">
        <f>IFERROR(INDEX(Stores!$E:$E,MATCH(E1210,Stores!$A:$A,0)),"Unknown")</f>
        <v>South Zone 2</v>
      </c>
      <c r="Z1210" t="str">
        <f>IFERROR(INDEX(Customers!$J:$J,MATCH(C1210,Customers!$A:$A,0)),"Unknown")</f>
        <v>Regular</v>
      </c>
      <c r="AA1210" t="str">
        <f t="shared" si="18"/>
        <v>2024-10</v>
      </c>
      <c r="AB1210" t="str">
        <f>IFERROR(INDEX(Products!$I:$I,MATCH(D1210,Products!$A:$A,0)),"Unknown")</f>
        <v>SUP049</v>
      </c>
    </row>
    <row r="1211" spans="1:28" x14ac:dyDescent="0.25">
      <c r="A1211" t="s">
        <v>2978</v>
      </c>
      <c r="B1211" s="20">
        <v>45475</v>
      </c>
      <c r="C1211" t="s">
        <v>2692</v>
      </c>
      <c r="D1211" t="s">
        <v>1476</v>
      </c>
      <c r="E1211" t="s">
        <v>910</v>
      </c>
      <c r="F1211" t="s">
        <v>286</v>
      </c>
      <c r="G1211">
        <v>3</v>
      </c>
      <c r="H1211" s="21">
        <v>786.06</v>
      </c>
      <c r="I1211">
        <v>15</v>
      </c>
      <c r="J1211" s="21">
        <v>353.73</v>
      </c>
      <c r="K1211">
        <v>5</v>
      </c>
      <c r="L1211" s="21">
        <v>100.22</v>
      </c>
      <c r="M1211" s="21">
        <v>2104.67</v>
      </c>
      <c r="N1211" s="21">
        <v>1755.78</v>
      </c>
      <c r="O1211" s="21">
        <v>248.67</v>
      </c>
      <c r="P1211" t="s">
        <v>126</v>
      </c>
      <c r="Q1211" t="s">
        <v>122</v>
      </c>
      <c r="R1211" t="s">
        <v>151</v>
      </c>
      <c r="S1211" t="s">
        <v>950</v>
      </c>
      <c r="T1211" t="s">
        <v>153</v>
      </c>
      <c r="U1211" t="s">
        <v>154</v>
      </c>
      <c r="V1211" t="str">
        <f>IFERROR(INDEX(Products!$C:$C,MATCH(D1211,Products!$A:$A,0)),"Unknown")</f>
        <v>Men Trousers</v>
      </c>
      <c r="W1211" t="str">
        <f>IFERROR(INDEX(Products!$E:$E,MATCH(D1211,Products!$A:$A,0)),"Unknown")</f>
        <v>Van Heusen</v>
      </c>
      <c r="X1211" t="str">
        <f>IFERROR(INDEX(Stores!$B:$B,MATCH(E1211,Stores!$A:$A,0)),"Unknown")</f>
        <v>TrendMart Karimnagar Standard</v>
      </c>
      <c r="Y1211" t="str">
        <f>IFERROR(INDEX(Stores!$E:$E,MATCH(E1211,Stores!$A:$A,0)),"Unknown")</f>
        <v>South Zone 2</v>
      </c>
      <c r="Z1211" t="str">
        <f>IFERROR(INDEX(Customers!$J:$J,MATCH(C1211,Customers!$A:$A,0)),"Unknown")</f>
        <v>Regular</v>
      </c>
      <c r="AA1211" t="str">
        <f t="shared" si="18"/>
        <v>2024-07</v>
      </c>
      <c r="AB1211" t="str">
        <f>IFERROR(INDEX(Products!$I:$I,MATCH(D1211,Products!$A:$A,0)),"Unknown")</f>
        <v>SUP012</v>
      </c>
    </row>
    <row r="1212" spans="1:28" x14ac:dyDescent="0.25">
      <c r="A1212" t="s">
        <v>2979</v>
      </c>
      <c r="B1212" s="20">
        <v>45597</v>
      </c>
      <c r="C1212" t="s">
        <v>528</v>
      </c>
      <c r="D1212" t="s">
        <v>2980</v>
      </c>
      <c r="E1212" t="s">
        <v>511</v>
      </c>
      <c r="F1212" t="s">
        <v>308</v>
      </c>
      <c r="G1212">
        <v>1</v>
      </c>
      <c r="H1212" s="21">
        <v>1546.13</v>
      </c>
      <c r="I1212">
        <v>10</v>
      </c>
      <c r="J1212" s="21">
        <v>154.61000000000001</v>
      </c>
      <c r="K1212">
        <v>12</v>
      </c>
      <c r="L1212" s="21">
        <v>166.98</v>
      </c>
      <c r="M1212" s="21">
        <v>1558.5</v>
      </c>
      <c r="N1212" s="21">
        <v>1029.24</v>
      </c>
      <c r="O1212" s="21">
        <v>362.28</v>
      </c>
      <c r="P1212" t="s">
        <v>125</v>
      </c>
      <c r="Q1212" t="s">
        <v>120</v>
      </c>
      <c r="R1212" t="s">
        <v>151</v>
      </c>
      <c r="S1212" t="s">
        <v>499</v>
      </c>
      <c r="T1212" t="s">
        <v>153</v>
      </c>
      <c r="U1212" t="s">
        <v>154</v>
      </c>
      <c r="V1212" t="str">
        <f>IFERROR(INDEX(Products!$C:$C,MATCH(D1212,Products!$A:$A,0)),"Unknown")</f>
        <v>Sportswear</v>
      </c>
      <c r="W1212" t="str">
        <f>IFERROR(INDEX(Products!$E:$E,MATCH(D1212,Products!$A:$A,0)),"Unknown")</f>
        <v>Global Desi</v>
      </c>
      <c r="X1212" t="str">
        <f>IFERROR(INDEX(Stores!$B:$B,MATCH(E1212,Stores!$A:$A,0)),"Unknown")</f>
        <v>TrendMart Khammam Standard</v>
      </c>
      <c r="Y1212" t="str">
        <f>IFERROR(INDEX(Stores!$E:$E,MATCH(E1212,Stores!$A:$A,0)),"Unknown")</f>
        <v>South Zone 2</v>
      </c>
      <c r="Z1212" t="str">
        <f>IFERROR(INDEX(Customers!$J:$J,MATCH(C1212,Customers!$A:$A,0)),"Unknown")</f>
        <v>Silver</v>
      </c>
      <c r="AA1212" t="str">
        <f t="shared" si="18"/>
        <v>2024-11</v>
      </c>
      <c r="AB1212" t="str">
        <f>IFERROR(INDEX(Products!$I:$I,MATCH(D1212,Products!$A:$A,0)),"Unknown")</f>
        <v>SUP020</v>
      </c>
    </row>
    <row r="1213" spans="1:28" x14ac:dyDescent="0.25">
      <c r="A1213" t="s">
        <v>2981</v>
      </c>
      <c r="B1213" s="20">
        <v>45739</v>
      </c>
      <c r="C1213" t="s">
        <v>2215</v>
      </c>
      <c r="D1213" t="s">
        <v>1256</v>
      </c>
      <c r="E1213" t="s">
        <v>391</v>
      </c>
      <c r="F1213" t="s">
        <v>462</v>
      </c>
      <c r="G1213">
        <v>0</v>
      </c>
      <c r="H1213" s="21">
        <v>981.81</v>
      </c>
      <c r="I1213">
        <v>25</v>
      </c>
      <c r="J1213" s="21">
        <v>0</v>
      </c>
      <c r="K1213">
        <v>5</v>
      </c>
      <c r="L1213" s="21">
        <v>0</v>
      </c>
      <c r="M1213" s="21">
        <v>0</v>
      </c>
      <c r="N1213" s="21">
        <v>0</v>
      </c>
      <c r="O1213" s="21">
        <v>0</v>
      </c>
      <c r="P1213" t="s">
        <v>125</v>
      </c>
      <c r="Q1213" t="s">
        <v>122</v>
      </c>
      <c r="R1213" t="s">
        <v>482</v>
      </c>
      <c r="S1213" t="s">
        <v>1157</v>
      </c>
      <c r="T1213" t="s">
        <v>161</v>
      </c>
      <c r="U1213" t="s">
        <v>154</v>
      </c>
      <c r="V1213" t="str">
        <f>IFERROR(INDEX(Products!$C:$C,MATCH(D1213,Products!$A:$A,0)),"Unknown")</f>
        <v>Women Jeans</v>
      </c>
      <c r="W1213" t="str">
        <f>IFERROR(INDEX(Products!$E:$E,MATCH(D1213,Products!$A:$A,0)),"Unknown")</f>
        <v>Biba</v>
      </c>
      <c r="X1213" t="str">
        <f>IFERROR(INDEX(Stores!$B:$B,MATCH(E1213,Stores!$A:$A,0)),"Unknown")</f>
        <v>TrendMart Warangal High Street</v>
      </c>
      <c r="Y1213" t="str">
        <f>IFERROR(INDEX(Stores!$E:$E,MATCH(E1213,Stores!$A:$A,0)),"Unknown")</f>
        <v>South Zone 2</v>
      </c>
      <c r="Z1213" t="str">
        <f>IFERROR(INDEX(Customers!$J:$J,MATCH(C1213,Customers!$A:$A,0)),"Unknown")</f>
        <v>Gold</v>
      </c>
      <c r="AA1213" t="str">
        <f t="shared" si="18"/>
        <v>2025-03</v>
      </c>
      <c r="AB1213" t="str">
        <f>IFERROR(INDEX(Products!$I:$I,MATCH(D1213,Products!$A:$A,0)),"Unknown")</f>
        <v>SUP040</v>
      </c>
    </row>
    <row r="1214" spans="1:28" x14ac:dyDescent="0.25">
      <c r="A1214" t="s">
        <v>2982</v>
      </c>
      <c r="B1214" s="20">
        <v>45599</v>
      </c>
      <c r="C1214" t="s">
        <v>2244</v>
      </c>
      <c r="D1214" t="s">
        <v>498</v>
      </c>
      <c r="E1214" t="s">
        <v>1825</v>
      </c>
      <c r="F1214" t="s">
        <v>403</v>
      </c>
      <c r="G1214">
        <v>1</v>
      </c>
      <c r="H1214" s="21">
        <v>471.98</v>
      </c>
      <c r="I1214">
        <v>30</v>
      </c>
      <c r="J1214" s="21">
        <v>141.59</v>
      </c>
      <c r="K1214">
        <v>5</v>
      </c>
      <c r="L1214" s="21">
        <v>16.52</v>
      </c>
      <c r="M1214" s="21">
        <v>346.91</v>
      </c>
      <c r="N1214" s="21">
        <v>315.13</v>
      </c>
      <c r="O1214" s="21">
        <v>15.26</v>
      </c>
      <c r="P1214" t="s">
        <v>124</v>
      </c>
      <c r="Q1214" t="s">
        <v>120</v>
      </c>
      <c r="R1214" t="s">
        <v>151</v>
      </c>
      <c r="S1214" t="s">
        <v>1950</v>
      </c>
      <c r="T1214" t="s">
        <v>161</v>
      </c>
      <c r="U1214" t="s">
        <v>154</v>
      </c>
      <c r="V1214" t="str">
        <f>IFERROR(INDEX(Products!$C:$C,MATCH(D1214,Products!$A:$A,0)),"Unknown")</f>
        <v>Belts</v>
      </c>
      <c r="W1214" t="str">
        <f>IFERROR(INDEX(Products!$E:$E,MATCH(D1214,Products!$A:$A,0)),"Unknown")</f>
        <v>Nike</v>
      </c>
      <c r="X1214" t="str">
        <f>IFERROR(INDEX(Stores!$B:$B,MATCH(E1214,Stores!$A:$A,0)),"Unknown")</f>
        <v>TrendMart Vijayawada Outlet</v>
      </c>
      <c r="Y1214" t="str">
        <f>IFERROR(INDEX(Stores!$E:$E,MATCH(E1214,Stores!$A:$A,0)),"Unknown")</f>
        <v>South Zone 3</v>
      </c>
      <c r="Z1214" t="str">
        <f>IFERROR(INDEX(Customers!$J:$J,MATCH(C1214,Customers!$A:$A,0)),"Unknown")</f>
        <v>Regular</v>
      </c>
      <c r="AA1214" t="str">
        <f t="shared" si="18"/>
        <v>2024-11</v>
      </c>
      <c r="AB1214" t="str">
        <f>IFERROR(INDEX(Products!$I:$I,MATCH(D1214,Products!$A:$A,0)),"Unknown")</f>
        <v>SUP071</v>
      </c>
    </row>
    <row r="1215" spans="1:28" x14ac:dyDescent="0.25">
      <c r="A1215" t="s">
        <v>2983</v>
      </c>
      <c r="B1215" s="20">
        <v>45474</v>
      </c>
      <c r="C1215" t="s">
        <v>971</v>
      </c>
      <c r="D1215" t="s">
        <v>359</v>
      </c>
      <c r="E1215" t="s">
        <v>1591</v>
      </c>
      <c r="F1215" t="s">
        <v>269</v>
      </c>
      <c r="G1215">
        <v>1</v>
      </c>
      <c r="H1215" s="21">
        <v>2492.4699999999998</v>
      </c>
      <c r="I1215">
        <v>15</v>
      </c>
      <c r="J1215" s="21">
        <v>373.87</v>
      </c>
      <c r="K1215">
        <v>12</v>
      </c>
      <c r="L1215" s="21">
        <v>254.23</v>
      </c>
      <c r="M1215" s="21">
        <v>2372.83</v>
      </c>
      <c r="N1215" s="21">
        <v>1804.37</v>
      </c>
      <c r="O1215" s="21">
        <v>314.23</v>
      </c>
      <c r="P1215" t="s">
        <v>123</v>
      </c>
      <c r="Q1215" t="s">
        <v>120</v>
      </c>
      <c r="R1215" t="s">
        <v>151</v>
      </c>
      <c r="S1215" t="s">
        <v>1351</v>
      </c>
      <c r="T1215" t="s">
        <v>153</v>
      </c>
      <c r="U1215" t="s">
        <v>154</v>
      </c>
      <c r="V1215" t="str">
        <f>IFERROR(INDEX(Products!$C:$C,MATCH(D1215,Products!$A:$A,0)),"Unknown")</f>
        <v>Men Ethnic</v>
      </c>
      <c r="W1215" t="str">
        <f>IFERROR(INDEX(Products!$E:$E,MATCH(D1215,Products!$A:$A,0)),"Unknown")</f>
        <v>US Polo Assn</v>
      </c>
      <c r="X1215" t="str">
        <f>IFERROR(INDEX(Stores!$B:$B,MATCH(E1215,Stores!$A:$A,0)),"Unknown")</f>
        <v>TrendMart Guntur Standard</v>
      </c>
      <c r="Y1215" t="str">
        <f>IFERROR(INDEX(Stores!$E:$E,MATCH(E1215,Stores!$A:$A,0)),"Unknown")</f>
        <v>South Zone 3</v>
      </c>
      <c r="Z1215" t="str">
        <f>IFERROR(INDEX(Customers!$J:$J,MATCH(C1215,Customers!$A:$A,0)),"Unknown")</f>
        <v>Silver</v>
      </c>
      <c r="AA1215" t="str">
        <f t="shared" si="18"/>
        <v>2024-07</v>
      </c>
      <c r="AB1215" t="str">
        <f>IFERROR(INDEX(Products!$I:$I,MATCH(D1215,Products!$A:$A,0)),"Unknown")</f>
        <v>SUP036</v>
      </c>
    </row>
    <row r="1216" spans="1:28" x14ac:dyDescent="0.25">
      <c r="A1216" t="s">
        <v>2984</v>
      </c>
      <c r="B1216" s="20">
        <v>45623</v>
      </c>
      <c r="C1216" t="s">
        <v>2110</v>
      </c>
      <c r="D1216" t="s">
        <v>1350</v>
      </c>
      <c r="E1216" t="s">
        <v>1281</v>
      </c>
      <c r="F1216" t="s">
        <v>237</v>
      </c>
      <c r="G1216">
        <v>1</v>
      </c>
      <c r="H1216" s="21">
        <v>672.07</v>
      </c>
      <c r="I1216">
        <v>0</v>
      </c>
      <c r="J1216" s="21">
        <v>0</v>
      </c>
      <c r="K1216">
        <v>5</v>
      </c>
      <c r="L1216" s="21">
        <v>33.6</v>
      </c>
      <c r="M1216" s="21">
        <v>705.67</v>
      </c>
      <c r="N1216" s="21">
        <v>419.4</v>
      </c>
      <c r="O1216" s="21">
        <v>252.67</v>
      </c>
      <c r="P1216" t="s">
        <v>121</v>
      </c>
      <c r="Q1216" t="s">
        <v>120</v>
      </c>
      <c r="R1216" t="s">
        <v>151</v>
      </c>
      <c r="S1216" t="s">
        <v>1743</v>
      </c>
      <c r="T1216" t="s">
        <v>153</v>
      </c>
      <c r="U1216" t="s">
        <v>154</v>
      </c>
      <c r="V1216" t="str">
        <f>IFERROR(INDEX(Products!$C:$C,MATCH(D1216,Products!$A:$A,0)),"Unknown")</f>
        <v>Women Tops</v>
      </c>
      <c r="W1216" t="str">
        <f>IFERROR(INDEX(Products!$E:$E,MATCH(D1216,Products!$A:$A,0)),"Unknown")</f>
        <v>Jack &amp; Jones</v>
      </c>
      <c r="X1216" t="str">
        <f>IFERROR(INDEX(Stores!$B:$B,MATCH(E1216,Stores!$A:$A,0)),"Unknown")</f>
        <v>TrendMart Visakhapatnam Standard</v>
      </c>
      <c r="Y1216" t="str">
        <f>IFERROR(INDEX(Stores!$E:$E,MATCH(E1216,Stores!$A:$A,0)),"Unknown")</f>
        <v>South Zone 3</v>
      </c>
      <c r="Z1216" t="str">
        <f>IFERROR(INDEX(Customers!$J:$J,MATCH(C1216,Customers!$A:$A,0)),"Unknown")</f>
        <v>Regular</v>
      </c>
      <c r="AA1216" t="str">
        <f t="shared" si="18"/>
        <v>2024-11</v>
      </c>
      <c r="AB1216" t="str">
        <f>IFERROR(INDEX(Products!$I:$I,MATCH(D1216,Products!$A:$A,0)),"Unknown")</f>
        <v>SUP089</v>
      </c>
    </row>
    <row r="1217" spans="1:28" x14ac:dyDescent="0.25">
      <c r="A1217" t="s">
        <v>2985</v>
      </c>
      <c r="B1217" s="20">
        <v>45736</v>
      </c>
      <c r="C1217" t="s">
        <v>2399</v>
      </c>
      <c r="D1217" t="s">
        <v>2959</v>
      </c>
      <c r="E1217" t="s">
        <v>1171</v>
      </c>
      <c r="F1217" t="s">
        <v>258</v>
      </c>
      <c r="G1217">
        <v>2</v>
      </c>
      <c r="H1217" s="21">
        <v>461.04</v>
      </c>
      <c r="I1217">
        <v>10</v>
      </c>
      <c r="J1217" s="21">
        <v>92.21</v>
      </c>
      <c r="K1217">
        <v>5</v>
      </c>
      <c r="L1217" s="21">
        <v>41.49</v>
      </c>
      <c r="M1217" s="21">
        <v>871.36</v>
      </c>
      <c r="N1217" s="21">
        <v>735.72</v>
      </c>
      <c r="O1217" s="21">
        <v>94.15</v>
      </c>
      <c r="P1217" t="s">
        <v>124</v>
      </c>
      <c r="Q1217" t="s">
        <v>120</v>
      </c>
      <c r="R1217" t="s">
        <v>151</v>
      </c>
      <c r="S1217" t="s">
        <v>682</v>
      </c>
      <c r="T1217" t="s">
        <v>153</v>
      </c>
      <c r="U1217" t="s">
        <v>154</v>
      </c>
      <c r="V1217" t="str">
        <f>IFERROR(INDEX(Products!$C:$C,MATCH(D1217,Products!$A:$A,0)),"Unknown")</f>
        <v>Wallets</v>
      </c>
      <c r="W1217" t="str">
        <f>IFERROR(INDEX(Products!$E:$E,MATCH(D1217,Products!$A:$A,0)),"Unknown")</f>
        <v>Biba</v>
      </c>
      <c r="X1217" t="str">
        <f>IFERROR(INDEX(Stores!$B:$B,MATCH(E1217,Stores!$A:$A,0)),"Unknown")</f>
        <v>TrendMart Chennai Standard</v>
      </c>
      <c r="Y1217" t="str">
        <f>IFERROR(INDEX(Stores!$E:$E,MATCH(E1217,Stores!$A:$A,0)),"Unknown")</f>
        <v>South Zone 1</v>
      </c>
      <c r="Z1217" t="str">
        <f>IFERROR(INDEX(Customers!$J:$J,MATCH(C1217,Customers!$A:$A,0)),"Unknown")</f>
        <v>Gold</v>
      </c>
      <c r="AA1217" t="str">
        <f t="shared" si="18"/>
        <v>2025-03</v>
      </c>
      <c r="AB1217" t="str">
        <f>IFERROR(INDEX(Products!$I:$I,MATCH(D1217,Products!$A:$A,0)),"Unknown")</f>
        <v>SUP075</v>
      </c>
    </row>
    <row r="1218" spans="1:28" x14ac:dyDescent="0.25">
      <c r="A1218" t="s">
        <v>2986</v>
      </c>
      <c r="B1218" s="20">
        <v>45563</v>
      </c>
      <c r="C1218" t="s">
        <v>943</v>
      </c>
      <c r="D1218" t="s">
        <v>1186</v>
      </c>
      <c r="E1218" t="s">
        <v>667</v>
      </c>
      <c r="F1218" t="s">
        <v>159</v>
      </c>
      <c r="G1218">
        <v>1</v>
      </c>
      <c r="H1218" s="21">
        <v>1089.4100000000001</v>
      </c>
      <c r="I1218">
        <v>20</v>
      </c>
      <c r="J1218" s="21">
        <v>217.88</v>
      </c>
      <c r="K1218">
        <v>12</v>
      </c>
      <c r="L1218" s="21">
        <v>104.58</v>
      </c>
      <c r="M1218" s="21">
        <v>976.11</v>
      </c>
      <c r="N1218" s="21">
        <v>815.45</v>
      </c>
      <c r="O1218" s="21">
        <v>56.08</v>
      </c>
      <c r="P1218" t="s">
        <v>125</v>
      </c>
      <c r="Q1218" t="s">
        <v>120</v>
      </c>
      <c r="R1218" t="s">
        <v>151</v>
      </c>
      <c r="S1218" t="s">
        <v>2202</v>
      </c>
      <c r="T1218" t="s">
        <v>161</v>
      </c>
      <c r="U1218" t="s">
        <v>154</v>
      </c>
      <c r="V1218" t="str">
        <f>IFERROR(INDEX(Products!$C:$C,MATCH(D1218,Products!$A:$A,0)),"Unknown")</f>
        <v>Wallets</v>
      </c>
      <c r="W1218" t="str">
        <f>IFERROR(INDEX(Products!$E:$E,MATCH(D1218,Products!$A:$A,0)),"Unknown")</f>
        <v>Levi's</v>
      </c>
      <c r="X1218" t="str">
        <f>IFERROR(INDEX(Stores!$B:$B,MATCH(E1218,Stores!$A:$A,0)),"Unknown")</f>
        <v>TrendMart Hyderabad High Street</v>
      </c>
      <c r="Y1218" t="str">
        <f>IFERROR(INDEX(Stores!$E:$E,MATCH(E1218,Stores!$A:$A,0)),"Unknown")</f>
        <v>South Zone 2</v>
      </c>
      <c r="Z1218" t="str">
        <f>IFERROR(INDEX(Customers!$J:$J,MATCH(C1218,Customers!$A:$A,0)),"Unknown")</f>
        <v>Silver</v>
      </c>
      <c r="AA1218" t="str">
        <f t="shared" ref="AA1218:AA1281" si="19">TEXT(B1218,"YYYY-MM")</f>
        <v>2024-09</v>
      </c>
      <c r="AB1218" t="str">
        <f>IFERROR(INDEX(Products!$I:$I,MATCH(D1218,Products!$A:$A,0)),"Unknown")</f>
        <v>SUP045</v>
      </c>
    </row>
    <row r="1219" spans="1:28" x14ac:dyDescent="0.25">
      <c r="A1219" t="s">
        <v>2987</v>
      </c>
      <c r="B1219" s="20">
        <v>45619</v>
      </c>
      <c r="C1219" t="s">
        <v>2988</v>
      </c>
      <c r="D1219" t="s">
        <v>1080</v>
      </c>
      <c r="E1219" t="s">
        <v>429</v>
      </c>
      <c r="F1219" t="s">
        <v>434</v>
      </c>
      <c r="G1219">
        <v>1</v>
      </c>
      <c r="H1219" s="21">
        <v>1591.03</v>
      </c>
      <c r="I1219">
        <v>0</v>
      </c>
      <c r="J1219" s="21">
        <v>0</v>
      </c>
      <c r="K1219">
        <v>12</v>
      </c>
      <c r="L1219" s="21">
        <v>190.92</v>
      </c>
      <c r="M1219" s="21">
        <v>1781.95</v>
      </c>
      <c r="N1219" s="21">
        <v>914.35</v>
      </c>
      <c r="O1219" s="21">
        <v>676.68</v>
      </c>
      <c r="P1219" t="s">
        <v>125</v>
      </c>
      <c r="Q1219" t="s">
        <v>120</v>
      </c>
      <c r="R1219" t="s">
        <v>151</v>
      </c>
      <c r="S1219" t="s">
        <v>2265</v>
      </c>
      <c r="T1219" t="s">
        <v>161</v>
      </c>
      <c r="U1219" t="s">
        <v>154</v>
      </c>
      <c r="V1219" t="str">
        <f>IFERROR(INDEX(Products!$C:$C,MATCH(D1219,Products!$A:$A,0)),"Unknown")</f>
        <v>Winter Wear</v>
      </c>
      <c r="W1219" t="str">
        <f>IFERROR(INDEX(Products!$E:$E,MATCH(D1219,Products!$A:$A,0)),"Unknown")</f>
        <v>Max Fashion</v>
      </c>
      <c r="X1219" t="str">
        <f>IFERROR(INDEX(Stores!$B:$B,MATCH(E1219,Stores!$A:$A,0)),"Unknown")</f>
        <v>TrendMart Tirunelveli Flagship</v>
      </c>
      <c r="Y1219" t="str">
        <f>IFERROR(INDEX(Stores!$E:$E,MATCH(E1219,Stores!$A:$A,0)),"Unknown")</f>
        <v>South Zone 1</v>
      </c>
      <c r="Z1219" t="str">
        <f>IFERROR(INDEX(Customers!$J:$J,MATCH(C1219,Customers!$A:$A,0)),"Unknown")</f>
        <v>Silver</v>
      </c>
      <c r="AA1219" t="str">
        <f t="shared" si="19"/>
        <v>2024-11</v>
      </c>
      <c r="AB1219" t="str">
        <f>IFERROR(INDEX(Products!$I:$I,MATCH(D1219,Products!$A:$A,0)),"Unknown")</f>
        <v>SUP017</v>
      </c>
    </row>
    <row r="1220" spans="1:28" x14ac:dyDescent="0.25">
      <c r="A1220" t="s">
        <v>2989</v>
      </c>
      <c r="B1220" s="20">
        <v>45547</v>
      </c>
      <c r="C1220" t="s">
        <v>1605</v>
      </c>
      <c r="D1220" t="s">
        <v>830</v>
      </c>
      <c r="E1220" t="s">
        <v>429</v>
      </c>
      <c r="F1220" t="s">
        <v>335</v>
      </c>
      <c r="G1220">
        <v>3</v>
      </c>
      <c r="H1220" s="21">
        <v>846.67</v>
      </c>
      <c r="I1220">
        <v>5</v>
      </c>
      <c r="J1220" s="21">
        <v>127</v>
      </c>
      <c r="K1220">
        <v>5</v>
      </c>
      <c r="L1220" s="21">
        <v>120.65</v>
      </c>
      <c r="M1220" s="21">
        <v>2533.66</v>
      </c>
      <c r="N1220" s="21">
        <v>1710.6</v>
      </c>
      <c r="O1220" s="21">
        <v>702.41</v>
      </c>
      <c r="P1220" t="s">
        <v>126</v>
      </c>
      <c r="Q1220" t="s">
        <v>120</v>
      </c>
      <c r="R1220" t="s">
        <v>151</v>
      </c>
      <c r="S1220" t="s">
        <v>2990</v>
      </c>
      <c r="T1220" t="s">
        <v>153</v>
      </c>
      <c r="U1220" t="s">
        <v>154</v>
      </c>
      <c r="V1220" t="str">
        <f>IFERROR(INDEX(Products!$C:$C,MATCH(D1220,Products!$A:$A,0)),"Unknown")</f>
        <v>Men Shirts</v>
      </c>
      <c r="W1220" t="str">
        <f>IFERROR(INDEX(Products!$E:$E,MATCH(D1220,Products!$A:$A,0)),"Unknown")</f>
        <v>AND</v>
      </c>
      <c r="X1220" t="str">
        <f>IFERROR(INDEX(Stores!$B:$B,MATCH(E1220,Stores!$A:$A,0)),"Unknown")</f>
        <v>TrendMart Tirunelveli Flagship</v>
      </c>
      <c r="Y1220" t="str">
        <f>IFERROR(INDEX(Stores!$E:$E,MATCH(E1220,Stores!$A:$A,0)),"Unknown")</f>
        <v>South Zone 1</v>
      </c>
      <c r="Z1220" t="str">
        <f>IFERROR(INDEX(Customers!$J:$J,MATCH(C1220,Customers!$A:$A,0)),"Unknown")</f>
        <v>Gold</v>
      </c>
      <c r="AA1220" t="str">
        <f t="shared" si="19"/>
        <v>2024-09</v>
      </c>
      <c r="AB1220" t="str">
        <f>IFERROR(INDEX(Products!$I:$I,MATCH(D1220,Products!$A:$A,0)),"Unknown")</f>
        <v>SUP012</v>
      </c>
    </row>
    <row r="1221" spans="1:28" x14ac:dyDescent="0.25">
      <c r="A1221" t="s">
        <v>2991</v>
      </c>
      <c r="B1221" s="20">
        <v>45697</v>
      </c>
      <c r="C1221" t="s">
        <v>1778</v>
      </c>
      <c r="D1221" t="s">
        <v>339</v>
      </c>
      <c r="E1221" t="s">
        <v>387</v>
      </c>
      <c r="F1221" t="s">
        <v>253</v>
      </c>
      <c r="G1221">
        <v>2</v>
      </c>
      <c r="H1221" s="21">
        <v>940.99</v>
      </c>
      <c r="I1221">
        <v>0</v>
      </c>
      <c r="J1221" s="21">
        <v>0</v>
      </c>
      <c r="K1221">
        <v>5</v>
      </c>
      <c r="L1221" s="21">
        <v>94.1</v>
      </c>
      <c r="M1221" s="21">
        <v>1976.08</v>
      </c>
      <c r="N1221" s="21">
        <v>1137.06</v>
      </c>
      <c r="O1221" s="21">
        <v>744.92</v>
      </c>
      <c r="P1221" t="s">
        <v>121</v>
      </c>
      <c r="Q1221" t="s">
        <v>120</v>
      </c>
      <c r="R1221" t="s">
        <v>151</v>
      </c>
      <c r="S1221" t="s">
        <v>614</v>
      </c>
      <c r="T1221" t="s">
        <v>161</v>
      </c>
      <c r="U1221" t="s">
        <v>154</v>
      </c>
      <c r="V1221" t="str">
        <f>IFERROR(INDEX(Products!$C:$C,MATCH(D1221,Products!$A:$A,0)),"Unknown")</f>
        <v>Women Kurtis</v>
      </c>
      <c r="W1221" t="str">
        <f>IFERROR(INDEX(Products!$E:$E,MATCH(D1221,Products!$A:$A,0)),"Unknown")</f>
        <v>Allen Solly</v>
      </c>
      <c r="X1221" t="str">
        <f>IFERROR(INDEX(Stores!$B:$B,MATCH(E1221,Stores!$A:$A,0)),"Unknown")</f>
        <v>TrendMart Kannur Outlet</v>
      </c>
      <c r="Y1221" t="str">
        <f>IFERROR(INDEX(Stores!$E:$E,MATCH(E1221,Stores!$A:$A,0)),"Unknown")</f>
        <v>South Zone 1</v>
      </c>
      <c r="Z1221" t="str">
        <f>IFERROR(INDEX(Customers!$J:$J,MATCH(C1221,Customers!$A:$A,0)),"Unknown")</f>
        <v>Regular</v>
      </c>
      <c r="AA1221" t="str">
        <f t="shared" si="19"/>
        <v>2025-02</v>
      </c>
      <c r="AB1221" t="str">
        <f>IFERROR(INDEX(Products!$I:$I,MATCH(D1221,Products!$A:$A,0)),"Unknown")</f>
        <v>SUP086</v>
      </c>
    </row>
    <row r="1222" spans="1:28" x14ac:dyDescent="0.25">
      <c r="A1222" t="s">
        <v>2992</v>
      </c>
      <c r="B1222" s="20">
        <v>45508</v>
      </c>
      <c r="C1222" t="s">
        <v>733</v>
      </c>
      <c r="D1222" t="s">
        <v>819</v>
      </c>
      <c r="E1222" t="s">
        <v>741</v>
      </c>
      <c r="F1222" t="s">
        <v>574</v>
      </c>
      <c r="G1222">
        <v>4</v>
      </c>
      <c r="H1222" s="21">
        <v>1785.81</v>
      </c>
      <c r="I1222">
        <v>5</v>
      </c>
      <c r="J1222" s="21">
        <v>357.16</v>
      </c>
      <c r="K1222">
        <v>12</v>
      </c>
      <c r="L1222" s="21">
        <v>814.33</v>
      </c>
      <c r="M1222" s="21">
        <v>7600.41</v>
      </c>
      <c r="N1222" s="21">
        <v>4973.4399999999996</v>
      </c>
      <c r="O1222" s="21">
        <v>1812.64</v>
      </c>
      <c r="P1222" t="s">
        <v>124</v>
      </c>
      <c r="Q1222" t="s">
        <v>122</v>
      </c>
      <c r="R1222" t="s">
        <v>151</v>
      </c>
      <c r="S1222" t="s">
        <v>1630</v>
      </c>
      <c r="T1222" t="s">
        <v>161</v>
      </c>
      <c r="U1222" t="s">
        <v>154</v>
      </c>
      <c r="V1222" t="str">
        <f>IFERROR(INDEX(Products!$C:$C,MATCH(D1222,Products!$A:$A,0)),"Unknown")</f>
        <v>Footwear</v>
      </c>
      <c r="W1222" t="str">
        <f>IFERROR(INDEX(Products!$E:$E,MATCH(D1222,Products!$A:$A,0)),"Unknown")</f>
        <v>Tanishq</v>
      </c>
      <c r="X1222" t="str">
        <f>IFERROR(INDEX(Stores!$B:$B,MATCH(E1222,Stores!$A:$A,0)),"Unknown")</f>
        <v>TrendMart Nellore Mall Kiosk</v>
      </c>
      <c r="Y1222" t="str">
        <f>IFERROR(INDEX(Stores!$E:$E,MATCH(E1222,Stores!$A:$A,0)),"Unknown")</f>
        <v>South Zone 3</v>
      </c>
      <c r="Z1222" t="str">
        <f>IFERROR(INDEX(Customers!$J:$J,MATCH(C1222,Customers!$A:$A,0)),"Unknown")</f>
        <v>Gold</v>
      </c>
      <c r="AA1222" t="str">
        <f t="shared" si="19"/>
        <v>2024-08</v>
      </c>
      <c r="AB1222" t="str">
        <f>IFERROR(INDEX(Products!$I:$I,MATCH(D1222,Products!$A:$A,0)),"Unknown")</f>
        <v>SUP082</v>
      </c>
    </row>
    <row r="1223" spans="1:28" x14ac:dyDescent="0.25">
      <c r="A1223" t="s">
        <v>2993</v>
      </c>
      <c r="B1223" s="20">
        <v>45532</v>
      </c>
      <c r="C1223" t="s">
        <v>797</v>
      </c>
      <c r="D1223" t="s">
        <v>599</v>
      </c>
      <c r="E1223" t="s">
        <v>97</v>
      </c>
      <c r="F1223" t="s">
        <v>201</v>
      </c>
      <c r="G1223">
        <v>2</v>
      </c>
      <c r="H1223" s="21">
        <v>940.29</v>
      </c>
      <c r="I1223">
        <v>10</v>
      </c>
      <c r="J1223" s="21">
        <v>188.06</v>
      </c>
      <c r="K1223">
        <v>5</v>
      </c>
      <c r="L1223" s="21">
        <v>84.63</v>
      </c>
      <c r="M1223" s="21">
        <v>1777.15</v>
      </c>
      <c r="N1223" s="21">
        <v>1291.18</v>
      </c>
      <c r="O1223" s="21">
        <v>401.34</v>
      </c>
      <c r="P1223" t="s">
        <v>124</v>
      </c>
      <c r="Q1223" t="s">
        <v>122</v>
      </c>
      <c r="R1223" t="s">
        <v>151</v>
      </c>
      <c r="S1223" t="s">
        <v>2994</v>
      </c>
      <c r="T1223" t="s">
        <v>153</v>
      </c>
      <c r="U1223" t="s">
        <v>154</v>
      </c>
      <c r="V1223" t="str">
        <f>IFERROR(INDEX(Products!$C:$C,MATCH(D1223,Products!$A:$A,0)),"Unknown")</f>
        <v>Men Shirts</v>
      </c>
      <c r="W1223" t="str">
        <f>IFERROR(INDEX(Products!$E:$E,MATCH(D1223,Products!$A:$A,0)),"Unknown")</f>
        <v>Van Heusen</v>
      </c>
      <c r="X1223" t="str">
        <f>IFERROR(INDEX(Stores!$B:$B,MATCH(E1223,Stores!$A:$A,0)),"Unknown")</f>
        <v>TrendMart Guntur Flagship</v>
      </c>
      <c r="Y1223" t="str">
        <f>IFERROR(INDEX(Stores!$E:$E,MATCH(E1223,Stores!$A:$A,0)),"Unknown")</f>
        <v>South Zone 3</v>
      </c>
      <c r="Z1223" t="str">
        <f>IFERROR(INDEX(Customers!$J:$J,MATCH(C1223,Customers!$A:$A,0)),"Unknown")</f>
        <v>Platinum</v>
      </c>
      <c r="AA1223" t="str">
        <f t="shared" si="19"/>
        <v>2024-08</v>
      </c>
      <c r="AB1223" t="str">
        <f>IFERROR(INDEX(Products!$I:$I,MATCH(D1223,Products!$A:$A,0)),"Unknown")</f>
        <v>SUP084</v>
      </c>
    </row>
    <row r="1224" spans="1:28" x14ac:dyDescent="0.25">
      <c r="A1224" t="s">
        <v>2995</v>
      </c>
      <c r="B1224" s="20">
        <v>45497</v>
      </c>
      <c r="C1224" t="s">
        <v>2996</v>
      </c>
      <c r="D1224" t="s">
        <v>558</v>
      </c>
      <c r="E1224" t="s">
        <v>727</v>
      </c>
      <c r="F1224" t="s">
        <v>532</v>
      </c>
      <c r="G1224">
        <v>3</v>
      </c>
      <c r="H1224" s="21">
        <v>630.77</v>
      </c>
      <c r="I1224">
        <v>0</v>
      </c>
      <c r="J1224" s="21">
        <v>0</v>
      </c>
      <c r="K1224">
        <v>5</v>
      </c>
      <c r="L1224" s="21">
        <v>94.62</v>
      </c>
      <c r="M1224" s="21">
        <v>1986.93</v>
      </c>
      <c r="N1224" s="21">
        <v>1371.48</v>
      </c>
      <c r="O1224" s="21">
        <v>520.83000000000004</v>
      </c>
      <c r="P1224" t="s">
        <v>121</v>
      </c>
      <c r="Q1224" t="s">
        <v>122</v>
      </c>
      <c r="R1224" t="s">
        <v>313</v>
      </c>
      <c r="S1224" t="s">
        <v>2410</v>
      </c>
      <c r="T1224" t="s">
        <v>153</v>
      </c>
      <c r="U1224" t="s">
        <v>154</v>
      </c>
      <c r="V1224" t="str">
        <f>IFERROR(INDEX(Products!$C:$C,MATCH(D1224,Products!$A:$A,0)),"Unknown")</f>
        <v>Women Tops</v>
      </c>
      <c r="W1224" t="str">
        <f>IFERROR(INDEX(Products!$E:$E,MATCH(D1224,Products!$A:$A,0)),"Unknown")</f>
        <v>Aurelia</v>
      </c>
      <c r="X1224" t="str">
        <f>IFERROR(INDEX(Stores!$B:$B,MATCH(E1224,Stores!$A:$A,0)),"Unknown")</f>
        <v>TrendMart Nizamabad Standard</v>
      </c>
      <c r="Y1224" t="str">
        <f>IFERROR(INDEX(Stores!$E:$E,MATCH(E1224,Stores!$A:$A,0)),"Unknown")</f>
        <v>South Zone 2</v>
      </c>
      <c r="Z1224" t="str">
        <f>IFERROR(INDEX(Customers!$J:$J,MATCH(C1224,Customers!$A:$A,0)),"Unknown")</f>
        <v>Regular</v>
      </c>
      <c r="AA1224" t="str">
        <f t="shared" si="19"/>
        <v>2024-07</v>
      </c>
      <c r="AB1224" t="str">
        <f>IFERROR(INDEX(Products!$I:$I,MATCH(D1224,Products!$A:$A,0)),"Unknown")</f>
        <v>SUP055</v>
      </c>
    </row>
    <row r="1225" spans="1:28" x14ac:dyDescent="0.25">
      <c r="A1225" t="s">
        <v>2997</v>
      </c>
      <c r="B1225" s="20">
        <v>45624</v>
      </c>
      <c r="C1225" t="s">
        <v>1831</v>
      </c>
      <c r="D1225" t="s">
        <v>307</v>
      </c>
      <c r="E1225" t="s">
        <v>639</v>
      </c>
      <c r="F1225" t="s">
        <v>201</v>
      </c>
      <c r="G1225">
        <v>4</v>
      </c>
      <c r="H1225" s="21">
        <v>1186.44</v>
      </c>
      <c r="I1225">
        <v>10</v>
      </c>
      <c r="J1225" s="21">
        <v>474.58</v>
      </c>
      <c r="K1225">
        <v>12</v>
      </c>
      <c r="L1225" s="21">
        <v>512.54</v>
      </c>
      <c r="M1225" s="21">
        <v>4783.72</v>
      </c>
      <c r="N1225" s="21">
        <v>3020.24</v>
      </c>
      <c r="O1225" s="21">
        <v>1250.94</v>
      </c>
      <c r="P1225" t="s">
        <v>123</v>
      </c>
      <c r="Q1225" t="s">
        <v>122</v>
      </c>
      <c r="R1225" t="s">
        <v>151</v>
      </c>
      <c r="S1225" t="s">
        <v>2014</v>
      </c>
      <c r="T1225" t="s">
        <v>153</v>
      </c>
      <c r="U1225" t="s">
        <v>154</v>
      </c>
      <c r="V1225" t="str">
        <f>IFERROR(INDEX(Products!$C:$C,MATCH(D1225,Products!$A:$A,0)),"Unknown")</f>
        <v>Winter Wear</v>
      </c>
      <c r="W1225" t="str">
        <f>IFERROR(INDEX(Products!$E:$E,MATCH(D1225,Products!$A:$A,0)),"Unknown")</f>
        <v>Fastrack</v>
      </c>
      <c r="X1225" t="str">
        <f>IFERROR(INDEX(Stores!$B:$B,MATCH(E1225,Stores!$A:$A,0)),"Unknown")</f>
        <v>TrendMart Kurnool Outlet</v>
      </c>
      <c r="Y1225" t="str">
        <f>IFERROR(INDEX(Stores!$E:$E,MATCH(E1225,Stores!$A:$A,0)),"Unknown")</f>
        <v>South Zone 3</v>
      </c>
      <c r="Z1225" t="str">
        <f>IFERROR(INDEX(Customers!$J:$J,MATCH(C1225,Customers!$A:$A,0)),"Unknown")</f>
        <v>Gold</v>
      </c>
      <c r="AA1225" t="str">
        <f t="shared" si="19"/>
        <v>2024-11</v>
      </c>
      <c r="AB1225" t="str">
        <f>IFERROR(INDEX(Products!$I:$I,MATCH(D1225,Products!$A:$A,0)),"Unknown")</f>
        <v>SUP008</v>
      </c>
    </row>
    <row r="1226" spans="1:28" x14ac:dyDescent="0.25">
      <c r="A1226" t="s">
        <v>2998</v>
      </c>
      <c r="B1226" s="20">
        <v>45433</v>
      </c>
      <c r="C1226" t="s">
        <v>2733</v>
      </c>
      <c r="D1226" t="s">
        <v>236</v>
      </c>
      <c r="E1226" t="s">
        <v>1522</v>
      </c>
      <c r="F1226" t="s">
        <v>232</v>
      </c>
      <c r="G1226">
        <v>1</v>
      </c>
      <c r="H1226" s="21">
        <v>797.11</v>
      </c>
      <c r="I1226">
        <v>5</v>
      </c>
      <c r="J1226" s="21">
        <v>39.86</v>
      </c>
      <c r="K1226">
        <v>5</v>
      </c>
      <c r="L1226" s="21">
        <v>37.86</v>
      </c>
      <c r="M1226" s="21">
        <v>795.11</v>
      </c>
      <c r="N1226" s="21">
        <v>550.01</v>
      </c>
      <c r="O1226" s="21">
        <v>207.24</v>
      </c>
      <c r="P1226" t="s">
        <v>121</v>
      </c>
      <c r="Q1226" t="s">
        <v>120</v>
      </c>
      <c r="R1226" t="s">
        <v>151</v>
      </c>
      <c r="S1226" t="s">
        <v>2377</v>
      </c>
      <c r="T1226" t="s">
        <v>153</v>
      </c>
      <c r="U1226" t="s">
        <v>154</v>
      </c>
      <c r="V1226" t="str">
        <f>IFERROR(INDEX(Products!$C:$C,MATCH(D1226,Products!$A:$A,0)),"Unknown")</f>
        <v>Women Tops</v>
      </c>
      <c r="W1226" t="str">
        <f>IFERROR(INDEX(Products!$E:$E,MATCH(D1226,Products!$A:$A,0)),"Unknown")</f>
        <v>Nike</v>
      </c>
      <c r="X1226" t="str">
        <f>IFERROR(INDEX(Stores!$B:$B,MATCH(E1226,Stores!$A:$A,0)),"Unknown")</f>
        <v>TrendMart Guntur High Street</v>
      </c>
      <c r="Y1226" t="str">
        <f>IFERROR(INDEX(Stores!$E:$E,MATCH(E1226,Stores!$A:$A,0)),"Unknown")</f>
        <v>South Zone 3</v>
      </c>
      <c r="Z1226" t="str">
        <f>IFERROR(INDEX(Customers!$J:$J,MATCH(C1226,Customers!$A:$A,0)),"Unknown")</f>
        <v>Regular</v>
      </c>
      <c r="AA1226" t="str">
        <f t="shared" si="19"/>
        <v>2024-05</v>
      </c>
      <c r="AB1226" t="str">
        <f>IFERROR(INDEX(Products!$I:$I,MATCH(D1226,Products!$A:$A,0)),"Unknown")</f>
        <v>SUP075</v>
      </c>
    </row>
    <row r="1227" spans="1:28" x14ac:dyDescent="0.25">
      <c r="A1227" t="s">
        <v>2999</v>
      </c>
      <c r="B1227" s="20">
        <v>45464</v>
      </c>
      <c r="C1227" t="s">
        <v>2931</v>
      </c>
      <c r="D1227" t="s">
        <v>1476</v>
      </c>
      <c r="E1227" t="s">
        <v>506</v>
      </c>
      <c r="F1227" t="s">
        <v>382</v>
      </c>
      <c r="G1227">
        <v>2</v>
      </c>
      <c r="H1227" s="21">
        <v>804.05</v>
      </c>
      <c r="I1227">
        <v>10</v>
      </c>
      <c r="J1227" s="21">
        <v>160.81</v>
      </c>
      <c r="K1227">
        <v>5</v>
      </c>
      <c r="L1227" s="21">
        <v>72.36</v>
      </c>
      <c r="M1227" s="21">
        <v>1519.65</v>
      </c>
      <c r="N1227" s="21">
        <v>1170.52</v>
      </c>
      <c r="O1227" s="21">
        <v>276.77</v>
      </c>
      <c r="P1227" t="s">
        <v>124</v>
      </c>
      <c r="Q1227" t="s">
        <v>120</v>
      </c>
      <c r="R1227" t="s">
        <v>151</v>
      </c>
      <c r="S1227" t="s">
        <v>3000</v>
      </c>
      <c r="T1227" t="s">
        <v>153</v>
      </c>
      <c r="U1227" t="s">
        <v>154</v>
      </c>
      <c r="V1227" t="str">
        <f>IFERROR(INDEX(Products!$C:$C,MATCH(D1227,Products!$A:$A,0)),"Unknown")</f>
        <v>Men Trousers</v>
      </c>
      <c r="W1227" t="str">
        <f>IFERROR(INDEX(Products!$E:$E,MATCH(D1227,Products!$A:$A,0)),"Unknown")</f>
        <v>Van Heusen</v>
      </c>
      <c r="X1227" t="str">
        <f>IFERROR(INDEX(Stores!$B:$B,MATCH(E1227,Stores!$A:$A,0)),"Unknown")</f>
        <v>TrendMart Nellore High Street</v>
      </c>
      <c r="Y1227" t="str">
        <f>IFERROR(INDEX(Stores!$E:$E,MATCH(E1227,Stores!$A:$A,0)),"Unknown")</f>
        <v>South Zone 3</v>
      </c>
      <c r="Z1227" t="str">
        <f>IFERROR(INDEX(Customers!$J:$J,MATCH(C1227,Customers!$A:$A,0)),"Unknown")</f>
        <v>Platinum</v>
      </c>
      <c r="AA1227" t="str">
        <f t="shared" si="19"/>
        <v>2024-06</v>
      </c>
      <c r="AB1227" t="str">
        <f>IFERROR(INDEX(Products!$I:$I,MATCH(D1227,Products!$A:$A,0)),"Unknown")</f>
        <v>SUP012</v>
      </c>
    </row>
    <row r="1228" spans="1:28" x14ac:dyDescent="0.25">
      <c r="A1228" t="s">
        <v>3001</v>
      </c>
      <c r="B1228" s="20">
        <v>45710</v>
      </c>
      <c r="C1228" t="s">
        <v>637</v>
      </c>
      <c r="D1228" t="s">
        <v>961</v>
      </c>
      <c r="E1228" t="s">
        <v>302</v>
      </c>
      <c r="F1228" t="s">
        <v>281</v>
      </c>
      <c r="G1228">
        <v>2</v>
      </c>
      <c r="H1228" s="21">
        <v>1363.49</v>
      </c>
      <c r="I1228">
        <v>30</v>
      </c>
      <c r="J1228" s="21">
        <v>818.09</v>
      </c>
      <c r="K1228">
        <v>12</v>
      </c>
      <c r="L1228" s="21">
        <v>229.07</v>
      </c>
      <c r="M1228" s="21">
        <v>2137.96</v>
      </c>
      <c r="N1228" s="21">
        <v>1763.86</v>
      </c>
      <c r="O1228" s="21">
        <v>145.03</v>
      </c>
      <c r="P1228" t="s">
        <v>124</v>
      </c>
      <c r="Q1228" t="s">
        <v>120</v>
      </c>
      <c r="R1228" t="s">
        <v>151</v>
      </c>
      <c r="S1228" t="s">
        <v>1057</v>
      </c>
      <c r="T1228" t="s">
        <v>161</v>
      </c>
      <c r="U1228" t="s">
        <v>154</v>
      </c>
      <c r="V1228" t="str">
        <f>IFERROR(INDEX(Products!$C:$C,MATCH(D1228,Products!$A:$A,0)),"Unknown")</f>
        <v>Men Trousers</v>
      </c>
      <c r="W1228" t="str">
        <f>IFERROR(INDEX(Products!$E:$E,MATCH(D1228,Products!$A:$A,0)),"Unknown")</f>
        <v>Pepe Jeans</v>
      </c>
      <c r="X1228" t="str">
        <f>IFERROR(INDEX(Stores!$B:$B,MATCH(E1228,Stores!$A:$A,0)),"Unknown")</f>
        <v>TrendMart Visakhapatnam Standard</v>
      </c>
      <c r="Y1228" t="str">
        <f>IFERROR(INDEX(Stores!$E:$E,MATCH(E1228,Stores!$A:$A,0)),"Unknown")</f>
        <v>South Zone 3</v>
      </c>
      <c r="Z1228" t="str">
        <f>IFERROR(INDEX(Customers!$J:$J,MATCH(C1228,Customers!$A:$A,0)),"Unknown")</f>
        <v>Silver</v>
      </c>
      <c r="AA1228" t="str">
        <f t="shared" si="19"/>
        <v>2025-02</v>
      </c>
      <c r="AB1228" t="str">
        <f>IFERROR(INDEX(Products!$I:$I,MATCH(D1228,Products!$A:$A,0)),"Unknown")</f>
        <v>SUP071</v>
      </c>
    </row>
    <row r="1229" spans="1:28" x14ac:dyDescent="0.25">
      <c r="A1229" t="s">
        <v>3002</v>
      </c>
      <c r="B1229" s="20">
        <v>45468</v>
      </c>
      <c r="C1229" t="s">
        <v>400</v>
      </c>
      <c r="D1229" t="s">
        <v>1809</v>
      </c>
      <c r="E1229" t="s">
        <v>537</v>
      </c>
      <c r="F1229" t="s">
        <v>550</v>
      </c>
      <c r="G1229">
        <v>1</v>
      </c>
      <c r="H1229" s="21">
        <v>1021.28</v>
      </c>
      <c r="I1229">
        <v>25</v>
      </c>
      <c r="J1229" s="21">
        <v>255.32</v>
      </c>
      <c r="K1229">
        <v>12</v>
      </c>
      <c r="L1229" s="21">
        <v>91.92</v>
      </c>
      <c r="M1229" s="21">
        <v>857.88</v>
      </c>
      <c r="N1229" s="21">
        <v>756.59</v>
      </c>
      <c r="O1229" s="21">
        <v>9.3699999999999992</v>
      </c>
      <c r="P1229" t="s">
        <v>123</v>
      </c>
      <c r="Q1229" t="s">
        <v>120</v>
      </c>
      <c r="R1229" t="s">
        <v>151</v>
      </c>
      <c r="S1229" t="s">
        <v>3003</v>
      </c>
      <c r="T1229" t="s">
        <v>153</v>
      </c>
      <c r="U1229" t="s">
        <v>154</v>
      </c>
      <c r="V1229" t="str">
        <f>IFERROR(INDEX(Products!$C:$C,MATCH(D1229,Products!$A:$A,0)),"Unknown")</f>
        <v>Men Jeans</v>
      </c>
      <c r="W1229" t="str">
        <f>IFERROR(INDEX(Products!$E:$E,MATCH(D1229,Products!$A:$A,0)),"Unknown")</f>
        <v>Mufti</v>
      </c>
      <c r="X1229" t="str">
        <f>IFERROR(INDEX(Stores!$B:$B,MATCH(E1229,Stores!$A:$A,0)),"Unknown")</f>
        <v>TrendMart Thrissur High Street</v>
      </c>
      <c r="Y1229" t="str">
        <f>IFERROR(INDEX(Stores!$E:$E,MATCH(E1229,Stores!$A:$A,0)),"Unknown")</f>
        <v>South Zone 1</v>
      </c>
      <c r="Z1229" t="str">
        <f>IFERROR(INDEX(Customers!$J:$J,MATCH(C1229,Customers!$A:$A,0)),"Unknown")</f>
        <v>Platinum</v>
      </c>
      <c r="AA1229" t="str">
        <f t="shared" si="19"/>
        <v>2024-06</v>
      </c>
      <c r="AB1229" t="str">
        <f>IFERROR(INDEX(Products!$I:$I,MATCH(D1229,Products!$A:$A,0)),"Unknown")</f>
        <v>SUP035</v>
      </c>
    </row>
    <row r="1230" spans="1:28" x14ac:dyDescent="0.25">
      <c r="A1230" t="s">
        <v>3004</v>
      </c>
      <c r="B1230" s="20">
        <v>45619</v>
      </c>
      <c r="C1230" t="s">
        <v>1193</v>
      </c>
      <c r="D1230" t="s">
        <v>1156</v>
      </c>
      <c r="E1230" t="s">
        <v>613</v>
      </c>
      <c r="F1230" t="s">
        <v>335</v>
      </c>
      <c r="G1230">
        <v>3</v>
      </c>
      <c r="H1230" s="21">
        <v>707.32</v>
      </c>
      <c r="I1230">
        <v>15</v>
      </c>
      <c r="J1230" s="21">
        <v>318.29000000000002</v>
      </c>
      <c r="K1230">
        <v>5</v>
      </c>
      <c r="L1230" s="21">
        <v>90.18</v>
      </c>
      <c r="M1230" s="21">
        <v>1893.85</v>
      </c>
      <c r="N1230" s="21">
        <v>1528.32</v>
      </c>
      <c r="O1230" s="21">
        <v>275.35000000000002</v>
      </c>
      <c r="P1230" t="s">
        <v>121</v>
      </c>
      <c r="Q1230" t="s">
        <v>122</v>
      </c>
      <c r="R1230" t="s">
        <v>151</v>
      </c>
      <c r="S1230" t="s">
        <v>1448</v>
      </c>
      <c r="T1230" t="s">
        <v>161</v>
      </c>
      <c r="U1230" t="s">
        <v>154</v>
      </c>
      <c r="V1230" t="str">
        <f>IFERROR(INDEX(Products!$C:$C,MATCH(D1230,Products!$A:$A,0)),"Unknown")</f>
        <v>Kids Wear</v>
      </c>
      <c r="W1230" t="str">
        <f>IFERROR(INDEX(Products!$E:$E,MATCH(D1230,Products!$A:$A,0)),"Unknown")</f>
        <v>Allen Solly</v>
      </c>
      <c r="X1230" t="str">
        <f>IFERROR(INDEX(Stores!$B:$B,MATCH(E1230,Stores!$A:$A,0)),"Unknown")</f>
        <v>TrendMart Kochi Mall Kiosk</v>
      </c>
      <c r="Y1230" t="str">
        <f>IFERROR(INDEX(Stores!$E:$E,MATCH(E1230,Stores!$A:$A,0)),"Unknown")</f>
        <v>South Zone 1</v>
      </c>
      <c r="Z1230" t="str">
        <f>IFERROR(INDEX(Customers!$J:$J,MATCH(C1230,Customers!$A:$A,0)),"Unknown")</f>
        <v>Platinum</v>
      </c>
      <c r="AA1230" t="str">
        <f t="shared" si="19"/>
        <v>2024-11</v>
      </c>
      <c r="AB1230" t="str">
        <f>IFERROR(INDEX(Products!$I:$I,MATCH(D1230,Products!$A:$A,0)),"Unknown")</f>
        <v>SUP026</v>
      </c>
    </row>
    <row r="1231" spans="1:28" x14ac:dyDescent="0.25">
      <c r="A1231" t="s">
        <v>3005</v>
      </c>
      <c r="B1231" s="20">
        <v>45601</v>
      </c>
      <c r="C1231" t="s">
        <v>3006</v>
      </c>
      <c r="D1231" t="s">
        <v>481</v>
      </c>
      <c r="E1231" t="s">
        <v>515</v>
      </c>
      <c r="F1231" t="s">
        <v>516</v>
      </c>
      <c r="G1231">
        <v>4</v>
      </c>
      <c r="H1231" s="21">
        <v>884.51</v>
      </c>
      <c r="I1231">
        <v>5</v>
      </c>
      <c r="J1231" s="21">
        <v>176.9</v>
      </c>
      <c r="K1231">
        <v>5</v>
      </c>
      <c r="L1231" s="21">
        <v>168.06</v>
      </c>
      <c r="M1231" s="21">
        <v>3529.2</v>
      </c>
      <c r="N1231" s="21">
        <v>2792.32</v>
      </c>
      <c r="O1231" s="21">
        <v>568.82000000000005</v>
      </c>
      <c r="P1231" t="s">
        <v>123</v>
      </c>
      <c r="Q1231" t="s">
        <v>120</v>
      </c>
      <c r="R1231" t="s">
        <v>151</v>
      </c>
      <c r="S1231" t="s">
        <v>3007</v>
      </c>
      <c r="T1231" t="s">
        <v>153</v>
      </c>
      <c r="U1231" t="s">
        <v>154</v>
      </c>
      <c r="V1231" t="str">
        <f>IFERROR(INDEX(Products!$C:$C,MATCH(D1231,Products!$A:$A,0)),"Unknown")</f>
        <v>Women Dresses</v>
      </c>
      <c r="W1231" t="str">
        <f>IFERROR(INDEX(Products!$E:$E,MATCH(D1231,Products!$A:$A,0)),"Unknown")</f>
        <v>Jack &amp; Jones</v>
      </c>
      <c r="X1231" t="str">
        <f>IFERROR(INDEX(Stores!$B:$B,MATCH(E1231,Stores!$A:$A,0)),"Unknown")</f>
        <v>TrendMart Kochi High Street</v>
      </c>
      <c r="Y1231" t="str">
        <f>IFERROR(INDEX(Stores!$E:$E,MATCH(E1231,Stores!$A:$A,0)),"Unknown")</f>
        <v>South Zone 1</v>
      </c>
      <c r="Z1231" t="str">
        <f>IFERROR(INDEX(Customers!$J:$J,MATCH(C1231,Customers!$A:$A,0)),"Unknown")</f>
        <v>Regular</v>
      </c>
      <c r="AA1231" t="str">
        <f t="shared" si="19"/>
        <v>2024-11</v>
      </c>
      <c r="AB1231" t="str">
        <f>IFERROR(INDEX(Products!$I:$I,MATCH(D1231,Products!$A:$A,0)),"Unknown")</f>
        <v>SUP069</v>
      </c>
    </row>
    <row r="1232" spans="1:28" x14ac:dyDescent="0.25">
      <c r="A1232" t="s">
        <v>3008</v>
      </c>
      <c r="B1232" s="20">
        <v>45742</v>
      </c>
      <c r="C1232" t="s">
        <v>3009</v>
      </c>
      <c r="D1232" t="s">
        <v>362</v>
      </c>
      <c r="E1232" t="s">
        <v>391</v>
      </c>
      <c r="F1232" t="s">
        <v>242</v>
      </c>
      <c r="G1232">
        <v>1</v>
      </c>
      <c r="H1232" s="21">
        <v>1180.69</v>
      </c>
      <c r="I1232">
        <v>25</v>
      </c>
      <c r="J1232" s="21">
        <v>295.17</v>
      </c>
      <c r="K1232">
        <v>12</v>
      </c>
      <c r="L1232" s="21">
        <v>106.26</v>
      </c>
      <c r="M1232" s="21">
        <v>991.78</v>
      </c>
      <c r="N1232" s="21">
        <v>887.02</v>
      </c>
      <c r="O1232" s="21">
        <v>-1.5</v>
      </c>
      <c r="P1232" t="s">
        <v>126</v>
      </c>
      <c r="Q1232" t="s">
        <v>120</v>
      </c>
      <c r="R1232" t="s">
        <v>151</v>
      </c>
      <c r="S1232" t="s">
        <v>3010</v>
      </c>
      <c r="T1232" t="s">
        <v>153</v>
      </c>
      <c r="U1232" t="s">
        <v>184</v>
      </c>
      <c r="V1232" t="str">
        <f>IFERROR(INDEX(Products!$C:$C,MATCH(D1232,Products!$A:$A,0)),"Unknown")</f>
        <v>Men Trousers</v>
      </c>
      <c r="W1232" t="str">
        <f>IFERROR(INDEX(Products!$E:$E,MATCH(D1232,Products!$A:$A,0)),"Unknown")</f>
        <v>Pepe Jeans</v>
      </c>
      <c r="X1232" t="str">
        <f>IFERROR(INDEX(Stores!$B:$B,MATCH(E1232,Stores!$A:$A,0)),"Unknown")</f>
        <v>TrendMart Warangal High Street</v>
      </c>
      <c r="Y1232" t="str">
        <f>IFERROR(INDEX(Stores!$E:$E,MATCH(E1232,Stores!$A:$A,0)),"Unknown")</f>
        <v>South Zone 2</v>
      </c>
      <c r="Z1232" t="str">
        <f>IFERROR(INDEX(Customers!$J:$J,MATCH(C1232,Customers!$A:$A,0)),"Unknown")</f>
        <v>Regular</v>
      </c>
      <c r="AA1232" t="str">
        <f t="shared" si="19"/>
        <v>2025-03</v>
      </c>
      <c r="AB1232" t="str">
        <f>IFERROR(INDEX(Products!$I:$I,MATCH(D1232,Products!$A:$A,0)),"Unknown")</f>
        <v>SUP028</v>
      </c>
    </row>
    <row r="1233" spans="1:28" x14ac:dyDescent="0.25">
      <c r="A1233" t="s">
        <v>3011</v>
      </c>
      <c r="B1233" s="20">
        <v>45614</v>
      </c>
      <c r="C1233" t="s">
        <v>3012</v>
      </c>
      <c r="D1233" t="s">
        <v>2281</v>
      </c>
      <c r="E1233" t="s">
        <v>671</v>
      </c>
      <c r="F1233" t="s">
        <v>408</v>
      </c>
      <c r="G1233">
        <v>6</v>
      </c>
      <c r="H1233" s="21">
        <v>622.29</v>
      </c>
      <c r="I1233">
        <v>0</v>
      </c>
      <c r="J1233" s="21">
        <v>0</v>
      </c>
      <c r="K1233">
        <v>5</v>
      </c>
      <c r="L1233" s="21">
        <v>186.69</v>
      </c>
      <c r="M1233" s="21">
        <v>3920.43</v>
      </c>
      <c r="N1233" s="21">
        <v>2239.62</v>
      </c>
      <c r="O1233" s="21">
        <v>1494.12</v>
      </c>
      <c r="P1233" t="s">
        <v>121</v>
      </c>
      <c r="Q1233" t="s">
        <v>120</v>
      </c>
      <c r="R1233" t="s">
        <v>151</v>
      </c>
      <c r="S1233" t="s">
        <v>838</v>
      </c>
      <c r="T1233" t="s">
        <v>153</v>
      </c>
      <c r="U1233" t="s">
        <v>154</v>
      </c>
      <c r="V1233" t="str">
        <f>IFERROR(INDEX(Products!$C:$C,MATCH(D1233,Products!$A:$A,0)),"Unknown")</f>
        <v>Men T-Shirts</v>
      </c>
      <c r="W1233" t="str">
        <f>IFERROR(INDEX(Products!$E:$E,MATCH(D1233,Products!$A:$A,0)),"Unknown")</f>
        <v>Indian Terrain</v>
      </c>
      <c r="X1233" t="str">
        <f>IFERROR(INDEX(Stores!$B:$B,MATCH(E1233,Stores!$A:$A,0)),"Unknown")</f>
        <v>TrendMart Hyderabad Mall Kiosk</v>
      </c>
      <c r="Y1233" t="str">
        <f>IFERROR(INDEX(Stores!$E:$E,MATCH(E1233,Stores!$A:$A,0)),"Unknown")</f>
        <v>South Zone 2</v>
      </c>
      <c r="Z1233" t="str">
        <f>IFERROR(INDEX(Customers!$J:$J,MATCH(C1233,Customers!$A:$A,0)),"Unknown")</f>
        <v>Gold</v>
      </c>
      <c r="AA1233" t="str">
        <f t="shared" si="19"/>
        <v>2024-11</v>
      </c>
      <c r="AB1233" t="str">
        <f>IFERROR(INDEX(Products!$I:$I,MATCH(D1233,Products!$A:$A,0)),"Unknown")</f>
        <v>SUP074</v>
      </c>
    </row>
    <row r="1234" spans="1:28" x14ac:dyDescent="0.25">
      <c r="A1234" t="s">
        <v>3013</v>
      </c>
      <c r="B1234" s="20">
        <v>45747</v>
      </c>
      <c r="C1234" t="s">
        <v>2433</v>
      </c>
      <c r="D1234" t="s">
        <v>685</v>
      </c>
      <c r="E1234" t="s">
        <v>216</v>
      </c>
      <c r="F1234" t="s">
        <v>201</v>
      </c>
      <c r="G1234">
        <v>2</v>
      </c>
      <c r="H1234" s="21">
        <v>932.73</v>
      </c>
      <c r="I1234">
        <v>15</v>
      </c>
      <c r="J1234" s="21">
        <v>279.82</v>
      </c>
      <c r="K1234">
        <v>5</v>
      </c>
      <c r="L1234" s="21">
        <v>79.28</v>
      </c>
      <c r="M1234" s="21">
        <v>1664.92</v>
      </c>
      <c r="N1234" s="21">
        <v>1252.52</v>
      </c>
      <c r="O1234" s="21">
        <v>333.12</v>
      </c>
      <c r="P1234" t="s">
        <v>124</v>
      </c>
      <c r="Q1234" t="s">
        <v>120</v>
      </c>
      <c r="R1234" t="s">
        <v>151</v>
      </c>
      <c r="S1234" t="s">
        <v>3014</v>
      </c>
      <c r="T1234" t="s">
        <v>153</v>
      </c>
      <c r="U1234" t="s">
        <v>154</v>
      </c>
      <c r="V1234" t="str">
        <f>IFERROR(INDEX(Products!$C:$C,MATCH(D1234,Products!$A:$A,0)),"Unknown")</f>
        <v>Sportswear</v>
      </c>
      <c r="W1234" t="str">
        <f>IFERROR(INDEX(Products!$E:$E,MATCH(D1234,Products!$A:$A,0)),"Unknown")</f>
        <v>Being Human</v>
      </c>
      <c r="X1234" t="str">
        <f>IFERROR(INDEX(Stores!$B:$B,MATCH(E1234,Stores!$A:$A,0)),"Unknown")</f>
        <v>TrendMart Madurai Mall Kiosk</v>
      </c>
      <c r="Y1234" t="str">
        <f>IFERROR(INDEX(Stores!$E:$E,MATCH(E1234,Stores!$A:$A,0)),"Unknown")</f>
        <v>South Zone 1</v>
      </c>
      <c r="Z1234" t="str">
        <f>IFERROR(INDEX(Customers!$J:$J,MATCH(C1234,Customers!$A:$A,0)),"Unknown")</f>
        <v>Gold</v>
      </c>
      <c r="AA1234" t="str">
        <f t="shared" si="19"/>
        <v>2025-03</v>
      </c>
      <c r="AB1234" t="str">
        <f>IFERROR(INDEX(Products!$I:$I,MATCH(D1234,Products!$A:$A,0)),"Unknown")</f>
        <v>SUP066</v>
      </c>
    </row>
    <row r="1235" spans="1:28" x14ac:dyDescent="0.25">
      <c r="A1235" t="s">
        <v>3015</v>
      </c>
      <c r="B1235" s="20">
        <v>45617</v>
      </c>
      <c r="C1235" t="s">
        <v>1403</v>
      </c>
      <c r="D1235" t="s">
        <v>595</v>
      </c>
      <c r="E1235" t="s">
        <v>515</v>
      </c>
      <c r="F1235" t="s">
        <v>532</v>
      </c>
      <c r="G1235">
        <v>3</v>
      </c>
      <c r="H1235" s="21">
        <v>847.64</v>
      </c>
      <c r="I1235">
        <v>10</v>
      </c>
      <c r="J1235" s="21">
        <v>254.29</v>
      </c>
      <c r="K1235">
        <v>5</v>
      </c>
      <c r="L1235" s="21">
        <v>114.43</v>
      </c>
      <c r="M1235" s="21">
        <v>2403.06</v>
      </c>
      <c r="N1235" s="21">
        <v>1771.44</v>
      </c>
      <c r="O1235" s="21">
        <v>517.19000000000005</v>
      </c>
      <c r="P1235" t="s">
        <v>125</v>
      </c>
      <c r="Q1235" t="s">
        <v>122</v>
      </c>
      <c r="R1235" t="s">
        <v>151</v>
      </c>
      <c r="S1235" t="s">
        <v>1235</v>
      </c>
      <c r="T1235" t="s">
        <v>153</v>
      </c>
      <c r="U1235" t="s">
        <v>154</v>
      </c>
      <c r="V1235" t="str">
        <f>IFERROR(INDEX(Products!$C:$C,MATCH(D1235,Products!$A:$A,0)),"Unknown")</f>
        <v>Men Shirts</v>
      </c>
      <c r="W1235" t="str">
        <f>IFERROR(INDEX(Products!$E:$E,MATCH(D1235,Products!$A:$A,0)),"Unknown")</f>
        <v>Nalli Silks</v>
      </c>
      <c r="X1235" t="str">
        <f>IFERROR(INDEX(Stores!$B:$B,MATCH(E1235,Stores!$A:$A,0)),"Unknown")</f>
        <v>TrendMart Kochi High Street</v>
      </c>
      <c r="Y1235" t="str">
        <f>IFERROR(INDEX(Stores!$E:$E,MATCH(E1235,Stores!$A:$A,0)),"Unknown")</f>
        <v>South Zone 1</v>
      </c>
      <c r="Z1235" t="str">
        <f>IFERROR(INDEX(Customers!$J:$J,MATCH(C1235,Customers!$A:$A,0)),"Unknown")</f>
        <v>Platinum</v>
      </c>
      <c r="AA1235" t="str">
        <f t="shared" si="19"/>
        <v>2024-11</v>
      </c>
      <c r="AB1235" t="str">
        <f>IFERROR(INDEX(Products!$I:$I,MATCH(D1235,Products!$A:$A,0)),"Unknown")</f>
        <v>SUP055</v>
      </c>
    </row>
    <row r="1236" spans="1:28" x14ac:dyDescent="0.25">
      <c r="A1236" t="s">
        <v>3016</v>
      </c>
      <c r="B1236" s="20">
        <v>45522</v>
      </c>
      <c r="C1236" t="s">
        <v>2586</v>
      </c>
      <c r="D1236" t="s">
        <v>662</v>
      </c>
      <c r="E1236" t="s">
        <v>495</v>
      </c>
      <c r="F1236" t="s">
        <v>275</v>
      </c>
      <c r="G1236">
        <v>4</v>
      </c>
      <c r="H1236" s="21">
        <v>524.64</v>
      </c>
      <c r="I1236">
        <v>15</v>
      </c>
      <c r="J1236" s="21">
        <v>314.77999999999997</v>
      </c>
      <c r="K1236">
        <v>5</v>
      </c>
      <c r="L1236" s="21">
        <v>89.19</v>
      </c>
      <c r="M1236" s="21">
        <v>1872.97</v>
      </c>
      <c r="N1236" s="21">
        <v>1199.44</v>
      </c>
      <c r="O1236" s="21">
        <v>584.34</v>
      </c>
      <c r="P1236" t="s">
        <v>121</v>
      </c>
      <c r="Q1236" t="s">
        <v>122</v>
      </c>
      <c r="R1236" t="s">
        <v>151</v>
      </c>
      <c r="S1236" t="s">
        <v>383</v>
      </c>
      <c r="T1236" t="s">
        <v>161</v>
      </c>
      <c r="U1236" t="s">
        <v>154</v>
      </c>
      <c r="V1236" t="str">
        <f>IFERROR(INDEX(Products!$C:$C,MATCH(D1236,Products!$A:$A,0)),"Unknown")</f>
        <v>Men T-Shirts</v>
      </c>
      <c r="W1236" t="str">
        <f>IFERROR(INDEX(Products!$E:$E,MATCH(D1236,Products!$A:$A,0)),"Unknown")</f>
        <v>Global Desi</v>
      </c>
      <c r="X1236" t="str">
        <f>IFERROR(INDEX(Stores!$B:$B,MATCH(E1236,Stores!$A:$A,0)),"Unknown")</f>
        <v>TrendMart Visakhapatnam Flagship</v>
      </c>
      <c r="Y1236" t="str">
        <f>IFERROR(INDEX(Stores!$E:$E,MATCH(E1236,Stores!$A:$A,0)),"Unknown")</f>
        <v>South Zone 3</v>
      </c>
      <c r="Z1236" t="str">
        <f>IFERROR(INDEX(Customers!$J:$J,MATCH(C1236,Customers!$A:$A,0)),"Unknown")</f>
        <v>Regular</v>
      </c>
      <c r="AA1236" t="str">
        <f t="shared" si="19"/>
        <v>2024-08</v>
      </c>
      <c r="AB1236" t="str">
        <f>IFERROR(INDEX(Products!$I:$I,MATCH(D1236,Products!$A:$A,0)),"Unknown")</f>
        <v>SUP049</v>
      </c>
    </row>
    <row r="1237" spans="1:28" x14ac:dyDescent="0.25">
      <c r="A1237" t="s">
        <v>3017</v>
      </c>
      <c r="B1237" s="20">
        <v>45714</v>
      </c>
      <c r="C1237" t="s">
        <v>3018</v>
      </c>
      <c r="D1237" t="s">
        <v>1407</v>
      </c>
      <c r="E1237" t="s">
        <v>262</v>
      </c>
      <c r="F1237" t="s">
        <v>532</v>
      </c>
      <c r="G1237">
        <v>2</v>
      </c>
      <c r="H1237" s="21">
        <v>1126.53</v>
      </c>
      <c r="I1237">
        <v>0</v>
      </c>
      <c r="J1237" s="21">
        <v>0</v>
      </c>
      <c r="K1237">
        <v>12</v>
      </c>
      <c r="L1237" s="21">
        <v>270.37</v>
      </c>
      <c r="M1237" s="21">
        <v>2523.4299999999998</v>
      </c>
      <c r="N1237" s="21">
        <v>1530.46</v>
      </c>
      <c r="O1237" s="21">
        <v>722.6</v>
      </c>
      <c r="P1237" t="s">
        <v>123</v>
      </c>
      <c r="Q1237" t="s">
        <v>120</v>
      </c>
      <c r="R1237" t="s">
        <v>151</v>
      </c>
      <c r="S1237" t="s">
        <v>2539</v>
      </c>
      <c r="T1237" t="s">
        <v>153</v>
      </c>
      <c r="U1237" t="s">
        <v>154</v>
      </c>
      <c r="V1237" t="str">
        <f>IFERROR(INDEX(Products!$C:$C,MATCH(D1237,Products!$A:$A,0)),"Unknown")</f>
        <v>Belts</v>
      </c>
      <c r="W1237" t="str">
        <f>IFERROR(INDEX(Products!$E:$E,MATCH(D1237,Products!$A:$A,0)),"Unknown")</f>
        <v>Pantaloons</v>
      </c>
      <c r="X1237" t="str">
        <f>IFERROR(INDEX(Stores!$B:$B,MATCH(E1237,Stores!$A:$A,0)),"Unknown")</f>
        <v>TrendMart Thoothukudi Outlet</v>
      </c>
      <c r="Y1237" t="str">
        <f>IFERROR(INDEX(Stores!$E:$E,MATCH(E1237,Stores!$A:$A,0)),"Unknown")</f>
        <v>South Zone 1</v>
      </c>
      <c r="Z1237" t="str">
        <f>IFERROR(INDEX(Customers!$J:$J,MATCH(C1237,Customers!$A:$A,0)),"Unknown")</f>
        <v>Silver</v>
      </c>
      <c r="AA1237" t="str">
        <f t="shared" si="19"/>
        <v>2025-02</v>
      </c>
      <c r="AB1237" t="str">
        <f>IFERROR(INDEX(Products!$I:$I,MATCH(D1237,Products!$A:$A,0)),"Unknown")</f>
        <v>SUP030</v>
      </c>
    </row>
    <row r="1238" spans="1:28" x14ac:dyDescent="0.25">
      <c r="A1238" t="s">
        <v>3019</v>
      </c>
      <c r="B1238" s="20">
        <v>45582</v>
      </c>
      <c r="C1238" t="s">
        <v>743</v>
      </c>
      <c r="D1238" t="s">
        <v>257</v>
      </c>
      <c r="E1238" t="s">
        <v>934</v>
      </c>
      <c r="F1238" t="s">
        <v>382</v>
      </c>
      <c r="G1238">
        <v>4</v>
      </c>
      <c r="H1238" s="21">
        <v>1001.76</v>
      </c>
      <c r="I1238">
        <v>15</v>
      </c>
      <c r="J1238" s="21">
        <v>601.05999999999995</v>
      </c>
      <c r="K1238">
        <v>12</v>
      </c>
      <c r="L1238" s="21">
        <v>408.72</v>
      </c>
      <c r="M1238" s="21">
        <v>3814.7</v>
      </c>
      <c r="N1238" s="21">
        <v>2884.88</v>
      </c>
      <c r="O1238" s="21">
        <v>521.1</v>
      </c>
      <c r="P1238" t="s">
        <v>121</v>
      </c>
      <c r="Q1238" t="s">
        <v>122</v>
      </c>
      <c r="R1238" t="s">
        <v>151</v>
      </c>
      <c r="S1238" t="s">
        <v>3020</v>
      </c>
      <c r="T1238" t="s">
        <v>153</v>
      </c>
      <c r="U1238" t="s">
        <v>154</v>
      </c>
      <c r="V1238" t="str">
        <f>IFERROR(INDEX(Products!$C:$C,MATCH(D1238,Products!$A:$A,0)),"Unknown")</f>
        <v>Men Shirts</v>
      </c>
      <c r="W1238" t="str">
        <f>IFERROR(INDEX(Products!$E:$E,MATCH(D1238,Products!$A:$A,0)),"Unknown")</f>
        <v>Indian Terrain</v>
      </c>
      <c r="X1238" t="str">
        <f>IFERROR(INDEX(Stores!$B:$B,MATCH(E1238,Stores!$A:$A,0)),"Unknown")</f>
        <v>TrendMart Bengaluru High Street</v>
      </c>
      <c r="Y1238" t="str">
        <f>IFERROR(INDEX(Stores!$E:$E,MATCH(E1238,Stores!$A:$A,0)),"Unknown")</f>
        <v>South Zone 2</v>
      </c>
      <c r="Z1238" t="str">
        <f>IFERROR(INDEX(Customers!$J:$J,MATCH(C1238,Customers!$A:$A,0)),"Unknown")</f>
        <v>Silver</v>
      </c>
      <c r="AA1238" t="str">
        <f t="shared" si="19"/>
        <v>2024-10</v>
      </c>
      <c r="AB1238" t="str">
        <f>IFERROR(INDEX(Products!$I:$I,MATCH(D1238,Products!$A:$A,0)),"Unknown")</f>
        <v>SUP080</v>
      </c>
    </row>
    <row r="1239" spans="1:28" x14ac:dyDescent="0.25">
      <c r="A1239" t="s">
        <v>3021</v>
      </c>
      <c r="B1239" s="20">
        <v>45458</v>
      </c>
      <c r="C1239" t="s">
        <v>2627</v>
      </c>
      <c r="D1239" t="s">
        <v>502</v>
      </c>
      <c r="E1239" t="s">
        <v>578</v>
      </c>
      <c r="F1239" t="s">
        <v>159</v>
      </c>
      <c r="G1239">
        <v>1</v>
      </c>
      <c r="H1239" s="21">
        <v>2887.06</v>
      </c>
      <c r="I1239">
        <v>0</v>
      </c>
      <c r="J1239" s="21">
        <v>0</v>
      </c>
      <c r="K1239">
        <v>12</v>
      </c>
      <c r="L1239" s="21">
        <v>346.45</v>
      </c>
      <c r="M1239" s="21">
        <v>3233.51</v>
      </c>
      <c r="N1239" s="21">
        <v>2151.34</v>
      </c>
      <c r="O1239" s="21">
        <v>735.72</v>
      </c>
      <c r="P1239" t="s">
        <v>121</v>
      </c>
      <c r="Q1239" t="s">
        <v>120</v>
      </c>
      <c r="R1239" t="s">
        <v>151</v>
      </c>
      <c r="S1239" t="s">
        <v>3022</v>
      </c>
      <c r="T1239" t="s">
        <v>161</v>
      </c>
      <c r="U1239" t="s">
        <v>154</v>
      </c>
      <c r="V1239" t="str">
        <f>IFERROR(INDEX(Products!$C:$C,MATCH(D1239,Products!$A:$A,0)),"Unknown")</f>
        <v>Handbags</v>
      </c>
      <c r="W1239" t="str">
        <f>IFERROR(INDEX(Products!$E:$E,MATCH(D1239,Products!$A:$A,0)),"Unknown")</f>
        <v>Libas</v>
      </c>
      <c r="X1239" t="str">
        <f>IFERROR(INDEX(Stores!$B:$B,MATCH(E1239,Stores!$A:$A,0)),"Unknown")</f>
        <v>TrendMart Vellore Standard</v>
      </c>
      <c r="Y1239" t="str">
        <f>IFERROR(INDEX(Stores!$E:$E,MATCH(E1239,Stores!$A:$A,0)),"Unknown")</f>
        <v>South Zone 1</v>
      </c>
      <c r="Z1239" t="str">
        <f>IFERROR(INDEX(Customers!$J:$J,MATCH(C1239,Customers!$A:$A,0)),"Unknown")</f>
        <v>Silver</v>
      </c>
      <c r="AA1239" t="str">
        <f t="shared" si="19"/>
        <v>2024-06</v>
      </c>
      <c r="AB1239" t="str">
        <f>IFERROR(INDEX(Products!$I:$I,MATCH(D1239,Products!$A:$A,0)),"Unknown")</f>
        <v>SUP070</v>
      </c>
    </row>
    <row r="1240" spans="1:28" x14ac:dyDescent="0.25">
      <c r="A1240" t="s">
        <v>3023</v>
      </c>
      <c r="B1240" s="20">
        <v>45653</v>
      </c>
      <c r="C1240" t="s">
        <v>2902</v>
      </c>
      <c r="D1240" t="s">
        <v>1928</v>
      </c>
      <c r="E1240" t="s">
        <v>525</v>
      </c>
      <c r="F1240" t="s">
        <v>237</v>
      </c>
      <c r="G1240">
        <v>2</v>
      </c>
      <c r="H1240" s="21">
        <v>904.84</v>
      </c>
      <c r="I1240">
        <v>15</v>
      </c>
      <c r="J1240" s="21">
        <v>271.45</v>
      </c>
      <c r="K1240">
        <v>5</v>
      </c>
      <c r="L1240" s="21">
        <v>76.91</v>
      </c>
      <c r="M1240" s="21">
        <v>1615.14</v>
      </c>
      <c r="N1240" s="21">
        <v>1316.38</v>
      </c>
      <c r="O1240" s="21">
        <v>221.85</v>
      </c>
      <c r="P1240" t="s">
        <v>125</v>
      </c>
      <c r="Q1240" t="s">
        <v>122</v>
      </c>
      <c r="R1240" t="s">
        <v>151</v>
      </c>
      <c r="S1240" t="s">
        <v>2562</v>
      </c>
      <c r="T1240" t="s">
        <v>153</v>
      </c>
      <c r="U1240" t="s">
        <v>154</v>
      </c>
      <c r="V1240" t="str">
        <f>IFERROR(INDEX(Products!$C:$C,MATCH(D1240,Products!$A:$A,0)),"Unknown")</f>
        <v>Men Jeans</v>
      </c>
      <c r="W1240" t="str">
        <f>IFERROR(INDEX(Products!$E:$E,MATCH(D1240,Products!$A:$A,0)),"Unknown")</f>
        <v>Skechers</v>
      </c>
      <c r="X1240" t="str">
        <f>IFERROR(INDEX(Stores!$B:$B,MATCH(E1240,Stores!$A:$A,0)),"Unknown")</f>
        <v>TrendMart Kollam Standard</v>
      </c>
      <c r="Y1240" t="str">
        <f>IFERROR(INDEX(Stores!$E:$E,MATCH(E1240,Stores!$A:$A,0)),"Unknown")</f>
        <v>South Zone 1</v>
      </c>
      <c r="Z1240" t="str">
        <f>IFERROR(INDEX(Customers!$J:$J,MATCH(C1240,Customers!$A:$A,0)),"Unknown")</f>
        <v>Regular</v>
      </c>
      <c r="AA1240" t="str">
        <f t="shared" si="19"/>
        <v>2024-12</v>
      </c>
      <c r="AB1240" t="str">
        <f>IFERROR(INDEX(Products!$I:$I,MATCH(D1240,Products!$A:$A,0)),"Unknown")</f>
        <v>SUP015</v>
      </c>
    </row>
    <row r="1241" spans="1:28" x14ac:dyDescent="0.25">
      <c r="A1241" t="s">
        <v>3024</v>
      </c>
      <c r="B1241" s="20">
        <v>45468</v>
      </c>
      <c r="C1241" t="s">
        <v>2677</v>
      </c>
      <c r="D1241" t="s">
        <v>246</v>
      </c>
      <c r="E1241" t="s">
        <v>721</v>
      </c>
      <c r="F1241" t="s">
        <v>275</v>
      </c>
      <c r="G1241">
        <v>2</v>
      </c>
      <c r="H1241" s="21">
        <v>1295.5</v>
      </c>
      <c r="I1241">
        <v>25</v>
      </c>
      <c r="J1241" s="21">
        <v>647.75</v>
      </c>
      <c r="K1241">
        <v>12</v>
      </c>
      <c r="L1241" s="21">
        <v>233.19</v>
      </c>
      <c r="M1241" s="21">
        <v>2176.44</v>
      </c>
      <c r="N1241" s="21">
        <v>1730.96</v>
      </c>
      <c r="O1241" s="21">
        <v>212.29</v>
      </c>
      <c r="P1241" t="s">
        <v>121</v>
      </c>
      <c r="Q1241" t="s">
        <v>122</v>
      </c>
      <c r="R1241" t="s">
        <v>151</v>
      </c>
      <c r="S1241" t="s">
        <v>2251</v>
      </c>
      <c r="T1241" t="s">
        <v>153</v>
      </c>
      <c r="U1241" t="s">
        <v>154</v>
      </c>
      <c r="V1241" t="str">
        <f>IFERROR(INDEX(Products!$C:$C,MATCH(D1241,Products!$A:$A,0)),"Unknown")</f>
        <v>Women Dresses</v>
      </c>
      <c r="W1241" t="str">
        <f>IFERROR(INDEX(Products!$E:$E,MATCH(D1241,Products!$A:$A,0)),"Unknown")</f>
        <v>Tanishq</v>
      </c>
      <c r="X1241" t="str">
        <f>IFERROR(INDEX(Stores!$B:$B,MATCH(E1241,Stores!$A:$A,0)),"Unknown")</f>
        <v>TrendMart Kollam Flagship</v>
      </c>
      <c r="Y1241" t="str">
        <f>IFERROR(INDEX(Stores!$E:$E,MATCH(E1241,Stores!$A:$A,0)),"Unknown")</f>
        <v>South Zone 1</v>
      </c>
      <c r="Z1241" t="str">
        <f>IFERROR(INDEX(Customers!$J:$J,MATCH(C1241,Customers!$A:$A,0)),"Unknown")</f>
        <v>Silver</v>
      </c>
      <c r="AA1241" t="str">
        <f t="shared" si="19"/>
        <v>2024-06</v>
      </c>
      <c r="AB1241" t="str">
        <f>IFERROR(INDEX(Products!$I:$I,MATCH(D1241,Products!$A:$A,0)),"Unknown")</f>
        <v>SUP002</v>
      </c>
    </row>
    <row r="1242" spans="1:28" x14ac:dyDescent="0.25">
      <c r="A1242" t="s">
        <v>3025</v>
      </c>
      <c r="B1242" s="20">
        <v>45738</v>
      </c>
      <c r="C1242" t="s">
        <v>3026</v>
      </c>
      <c r="D1242" t="s">
        <v>2264</v>
      </c>
      <c r="E1242" t="s">
        <v>741</v>
      </c>
      <c r="F1242" t="s">
        <v>516</v>
      </c>
      <c r="G1242">
        <v>1</v>
      </c>
      <c r="H1242" s="21">
        <v>1104.8699999999999</v>
      </c>
      <c r="I1242">
        <v>10</v>
      </c>
      <c r="J1242" s="21">
        <v>110.49</v>
      </c>
      <c r="K1242">
        <v>12</v>
      </c>
      <c r="L1242" s="21">
        <v>119.33</v>
      </c>
      <c r="M1242" s="21">
        <v>1113.71</v>
      </c>
      <c r="N1242" s="21">
        <v>753.73</v>
      </c>
      <c r="O1242" s="21">
        <v>240.65</v>
      </c>
      <c r="P1242" t="s">
        <v>121</v>
      </c>
      <c r="Q1242" t="s">
        <v>120</v>
      </c>
      <c r="R1242" t="s">
        <v>151</v>
      </c>
      <c r="S1242" t="s">
        <v>1228</v>
      </c>
      <c r="T1242" t="s">
        <v>161</v>
      </c>
      <c r="U1242" t="s">
        <v>154</v>
      </c>
      <c r="V1242" t="str">
        <f>IFERROR(INDEX(Products!$C:$C,MATCH(D1242,Products!$A:$A,0)),"Unknown")</f>
        <v>Belts</v>
      </c>
      <c r="W1242" t="str">
        <f>IFERROR(INDEX(Products!$E:$E,MATCH(D1242,Products!$A:$A,0)),"Unknown")</f>
        <v>Liberty</v>
      </c>
      <c r="X1242" t="str">
        <f>IFERROR(INDEX(Stores!$B:$B,MATCH(E1242,Stores!$A:$A,0)),"Unknown")</f>
        <v>TrendMart Nellore Mall Kiosk</v>
      </c>
      <c r="Y1242" t="str">
        <f>IFERROR(INDEX(Stores!$E:$E,MATCH(E1242,Stores!$A:$A,0)),"Unknown")</f>
        <v>South Zone 3</v>
      </c>
      <c r="Z1242" t="str">
        <f>IFERROR(INDEX(Customers!$J:$J,MATCH(C1242,Customers!$A:$A,0)),"Unknown")</f>
        <v>Silver</v>
      </c>
      <c r="AA1242" t="str">
        <f t="shared" si="19"/>
        <v>2025-03</v>
      </c>
      <c r="AB1242" t="str">
        <f>IFERROR(INDEX(Products!$I:$I,MATCH(D1242,Products!$A:$A,0)),"Unknown")</f>
        <v>SUP063</v>
      </c>
    </row>
    <row r="1243" spans="1:28" x14ac:dyDescent="0.25">
      <c r="A1243" t="s">
        <v>3027</v>
      </c>
      <c r="B1243" s="20">
        <v>45677</v>
      </c>
      <c r="C1243" t="s">
        <v>3028</v>
      </c>
      <c r="D1243" t="s">
        <v>1178</v>
      </c>
      <c r="E1243" t="s">
        <v>634</v>
      </c>
      <c r="F1243" t="s">
        <v>269</v>
      </c>
      <c r="G1243">
        <v>1</v>
      </c>
      <c r="H1243" s="21">
        <v>1747.23</v>
      </c>
      <c r="I1243">
        <v>20</v>
      </c>
      <c r="J1243" s="21">
        <v>349.45</v>
      </c>
      <c r="K1243">
        <v>12</v>
      </c>
      <c r="L1243" s="21">
        <v>167.73</v>
      </c>
      <c r="M1243" s="21">
        <v>1565.51</v>
      </c>
      <c r="N1243" s="21">
        <v>1145.21</v>
      </c>
      <c r="O1243" s="21">
        <v>252.57</v>
      </c>
      <c r="P1243" t="s">
        <v>124</v>
      </c>
      <c r="Q1243" t="s">
        <v>122</v>
      </c>
      <c r="R1243" t="s">
        <v>151</v>
      </c>
      <c r="S1243" t="s">
        <v>2660</v>
      </c>
      <c r="T1243" t="s">
        <v>153</v>
      </c>
      <c r="U1243" t="s">
        <v>154</v>
      </c>
      <c r="V1243" t="str">
        <f>IFERROR(INDEX(Products!$C:$C,MATCH(D1243,Products!$A:$A,0)),"Unknown")</f>
        <v>Footwear</v>
      </c>
      <c r="W1243" t="str">
        <f>IFERROR(INDEX(Products!$E:$E,MATCH(D1243,Products!$A:$A,0)),"Unknown")</f>
        <v>Sparx</v>
      </c>
      <c r="X1243" t="str">
        <f>IFERROR(INDEX(Stores!$B:$B,MATCH(E1243,Stores!$A:$A,0)),"Unknown")</f>
        <v>TrendMart Thrissur High Street</v>
      </c>
      <c r="Y1243" t="str">
        <f>IFERROR(INDEX(Stores!$E:$E,MATCH(E1243,Stores!$A:$A,0)),"Unknown")</f>
        <v>South Zone 1</v>
      </c>
      <c r="Z1243" t="str">
        <f>IFERROR(INDEX(Customers!$J:$J,MATCH(C1243,Customers!$A:$A,0)),"Unknown")</f>
        <v>Gold</v>
      </c>
      <c r="AA1243" t="str">
        <f t="shared" si="19"/>
        <v>2025-01</v>
      </c>
      <c r="AB1243" t="str">
        <f>IFERROR(INDEX(Products!$I:$I,MATCH(D1243,Products!$A:$A,0)),"Unknown")</f>
        <v>SUP063</v>
      </c>
    </row>
    <row r="1244" spans="1:28" x14ac:dyDescent="0.25">
      <c r="A1244" t="s">
        <v>3029</v>
      </c>
      <c r="B1244" s="20">
        <v>45422</v>
      </c>
      <c r="C1244" t="s">
        <v>3030</v>
      </c>
      <c r="D1244" t="s">
        <v>864</v>
      </c>
      <c r="E1244" t="s">
        <v>741</v>
      </c>
      <c r="F1244" t="s">
        <v>574</v>
      </c>
      <c r="G1244">
        <v>1</v>
      </c>
      <c r="H1244" s="21">
        <v>3085.05</v>
      </c>
      <c r="I1244">
        <v>0</v>
      </c>
      <c r="J1244" s="21">
        <v>0</v>
      </c>
      <c r="K1244">
        <v>3</v>
      </c>
      <c r="L1244" s="21">
        <v>92.55</v>
      </c>
      <c r="M1244" s="21">
        <v>3177.6</v>
      </c>
      <c r="N1244" s="21">
        <v>1989.93</v>
      </c>
      <c r="O1244" s="21">
        <v>1095.1199999999999</v>
      </c>
      <c r="P1244" t="s">
        <v>121</v>
      </c>
      <c r="Q1244" t="s">
        <v>120</v>
      </c>
      <c r="R1244" t="s">
        <v>151</v>
      </c>
      <c r="S1244" t="s">
        <v>2688</v>
      </c>
      <c r="T1244" t="s">
        <v>153</v>
      </c>
      <c r="U1244" t="s">
        <v>154</v>
      </c>
      <c r="V1244" t="str">
        <f>IFERROR(INDEX(Products!$C:$C,MATCH(D1244,Products!$A:$A,0)),"Unknown")</f>
        <v>Jewellery</v>
      </c>
      <c r="W1244" t="str">
        <f>IFERROR(INDEX(Products!$E:$E,MATCH(D1244,Products!$A:$A,0)),"Unknown")</f>
        <v>Wrangler</v>
      </c>
      <c r="X1244" t="str">
        <f>IFERROR(INDEX(Stores!$B:$B,MATCH(E1244,Stores!$A:$A,0)),"Unknown")</f>
        <v>TrendMart Nellore Mall Kiosk</v>
      </c>
      <c r="Y1244" t="str">
        <f>IFERROR(INDEX(Stores!$E:$E,MATCH(E1244,Stores!$A:$A,0)),"Unknown")</f>
        <v>South Zone 3</v>
      </c>
      <c r="Z1244" t="str">
        <f>IFERROR(INDEX(Customers!$J:$J,MATCH(C1244,Customers!$A:$A,0)),"Unknown")</f>
        <v>Silver</v>
      </c>
      <c r="AA1244" t="str">
        <f t="shared" si="19"/>
        <v>2024-05</v>
      </c>
      <c r="AB1244" t="str">
        <f>IFERROR(INDEX(Products!$I:$I,MATCH(D1244,Products!$A:$A,0)),"Unknown")</f>
        <v>SUP070</v>
      </c>
    </row>
    <row r="1245" spans="1:28" x14ac:dyDescent="0.25">
      <c r="A1245" t="s">
        <v>3031</v>
      </c>
      <c r="B1245" s="20">
        <v>45622</v>
      </c>
      <c r="C1245" t="s">
        <v>3032</v>
      </c>
      <c r="D1245" t="s">
        <v>290</v>
      </c>
      <c r="E1245" t="s">
        <v>181</v>
      </c>
      <c r="F1245" t="s">
        <v>574</v>
      </c>
      <c r="G1245">
        <v>1</v>
      </c>
      <c r="H1245" s="21">
        <v>6264.06</v>
      </c>
      <c r="I1245">
        <v>0</v>
      </c>
      <c r="J1245" s="21">
        <v>0</v>
      </c>
      <c r="K1245">
        <v>3</v>
      </c>
      <c r="L1245" s="21">
        <v>187.92</v>
      </c>
      <c r="M1245" s="21">
        <v>6451.98</v>
      </c>
      <c r="N1245" s="21">
        <v>4715.1000000000004</v>
      </c>
      <c r="O1245" s="21">
        <v>1548.96</v>
      </c>
      <c r="P1245" t="s">
        <v>125</v>
      </c>
      <c r="Q1245" t="s">
        <v>122</v>
      </c>
      <c r="R1245" t="s">
        <v>313</v>
      </c>
      <c r="S1245" t="s">
        <v>373</v>
      </c>
      <c r="T1245" t="s">
        <v>153</v>
      </c>
      <c r="U1245" t="s">
        <v>154</v>
      </c>
      <c r="V1245" t="str">
        <f>IFERROR(INDEX(Products!$C:$C,MATCH(D1245,Products!$A:$A,0)),"Unknown")</f>
        <v>Jewellery</v>
      </c>
      <c r="W1245" t="str">
        <f>IFERROR(INDEX(Products!$E:$E,MATCH(D1245,Products!$A:$A,0)),"Unknown")</f>
        <v>Nike</v>
      </c>
      <c r="X1245" t="str">
        <f>IFERROR(INDEX(Stores!$B:$B,MATCH(E1245,Stores!$A:$A,0)),"Unknown")</f>
        <v>TrendMart Kurnool High Street</v>
      </c>
      <c r="Y1245" t="str">
        <f>IFERROR(INDEX(Stores!$E:$E,MATCH(E1245,Stores!$A:$A,0)),"Unknown")</f>
        <v>South Zone 3</v>
      </c>
      <c r="Z1245" t="str">
        <f>IFERROR(INDEX(Customers!$J:$J,MATCH(C1245,Customers!$A:$A,0)),"Unknown")</f>
        <v>Platinum</v>
      </c>
      <c r="AA1245" t="str">
        <f t="shared" si="19"/>
        <v>2024-11</v>
      </c>
      <c r="AB1245" t="str">
        <f>IFERROR(INDEX(Products!$I:$I,MATCH(D1245,Products!$A:$A,0)),"Unknown")</f>
        <v>SUP041</v>
      </c>
    </row>
    <row r="1246" spans="1:28" x14ac:dyDescent="0.25">
      <c r="A1246" t="s">
        <v>3033</v>
      </c>
      <c r="B1246" s="20">
        <v>45481</v>
      </c>
      <c r="C1246" t="s">
        <v>1097</v>
      </c>
      <c r="D1246" t="s">
        <v>1691</v>
      </c>
      <c r="E1246" t="s">
        <v>82</v>
      </c>
      <c r="F1246" t="s">
        <v>258</v>
      </c>
      <c r="G1246">
        <v>2</v>
      </c>
      <c r="H1246" s="21">
        <v>955.26</v>
      </c>
      <c r="I1246">
        <v>5</v>
      </c>
      <c r="J1246" s="21">
        <v>95.53</v>
      </c>
      <c r="K1246">
        <v>5</v>
      </c>
      <c r="L1246" s="21">
        <v>90.75</v>
      </c>
      <c r="M1246" s="21">
        <v>1905.74</v>
      </c>
      <c r="N1246" s="21">
        <v>1401.86</v>
      </c>
      <c r="O1246" s="21">
        <v>413.13</v>
      </c>
      <c r="P1246" t="s">
        <v>123</v>
      </c>
      <c r="Q1246" t="s">
        <v>120</v>
      </c>
      <c r="R1246" t="s">
        <v>151</v>
      </c>
      <c r="S1246" t="s">
        <v>3034</v>
      </c>
      <c r="T1246" t="s">
        <v>153</v>
      </c>
      <c r="U1246" t="s">
        <v>154</v>
      </c>
      <c r="V1246" t="str">
        <f>IFERROR(INDEX(Products!$C:$C,MATCH(D1246,Products!$A:$A,0)),"Unknown")</f>
        <v>Women Jeans</v>
      </c>
      <c r="W1246" t="str">
        <f>IFERROR(INDEX(Products!$E:$E,MATCH(D1246,Products!$A:$A,0)),"Unknown")</f>
        <v>Global Desi</v>
      </c>
      <c r="X1246" t="str">
        <f>IFERROR(INDEX(Stores!$B:$B,MATCH(E1246,Stores!$A:$A,0)),"Unknown")</f>
        <v>TrendMart Kochi High Street</v>
      </c>
      <c r="Y1246" t="str">
        <f>IFERROR(INDEX(Stores!$E:$E,MATCH(E1246,Stores!$A:$A,0)),"Unknown")</f>
        <v>South Zone 1</v>
      </c>
      <c r="Z1246" t="str">
        <f>IFERROR(INDEX(Customers!$J:$J,MATCH(C1246,Customers!$A:$A,0)),"Unknown")</f>
        <v>Regular</v>
      </c>
      <c r="AA1246" t="str">
        <f t="shared" si="19"/>
        <v>2024-07</v>
      </c>
      <c r="AB1246" t="str">
        <f>IFERROR(INDEX(Products!$I:$I,MATCH(D1246,Products!$A:$A,0)),"Unknown")</f>
        <v>SUP015</v>
      </c>
    </row>
    <row r="1247" spans="1:28" x14ac:dyDescent="0.25">
      <c r="A1247" t="s">
        <v>3035</v>
      </c>
      <c r="B1247" s="20">
        <v>45644</v>
      </c>
      <c r="C1247" t="s">
        <v>1766</v>
      </c>
      <c r="D1247" t="s">
        <v>1390</v>
      </c>
      <c r="E1247" t="s">
        <v>81</v>
      </c>
      <c r="F1247" t="s">
        <v>532</v>
      </c>
      <c r="G1247">
        <v>1</v>
      </c>
      <c r="H1247" s="21">
        <v>5999.62</v>
      </c>
      <c r="I1247">
        <v>5</v>
      </c>
      <c r="J1247" s="21">
        <v>299.98</v>
      </c>
      <c r="K1247">
        <v>12</v>
      </c>
      <c r="L1247" s="21">
        <v>683.96</v>
      </c>
      <c r="M1247" s="21">
        <v>6383.6</v>
      </c>
      <c r="N1247" s="21">
        <v>3961.62</v>
      </c>
      <c r="O1247" s="21">
        <v>1738.02</v>
      </c>
      <c r="P1247" t="s">
        <v>123</v>
      </c>
      <c r="Q1247" t="s">
        <v>120</v>
      </c>
      <c r="R1247" t="s">
        <v>151</v>
      </c>
      <c r="S1247" t="s">
        <v>1439</v>
      </c>
      <c r="T1247" t="s">
        <v>153</v>
      </c>
      <c r="U1247" t="s">
        <v>154</v>
      </c>
      <c r="V1247" t="str">
        <f>IFERROR(INDEX(Products!$C:$C,MATCH(D1247,Products!$A:$A,0)),"Unknown")</f>
        <v>Watches</v>
      </c>
      <c r="W1247" t="str">
        <f>IFERROR(INDEX(Products!$E:$E,MATCH(D1247,Products!$A:$A,0)),"Unknown")</f>
        <v>Metro Shoes</v>
      </c>
      <c r="X1247" t="str">
        <f>IFERROR(INDEX(Stores!$B:$B,MATCH(E1247,Stores!$A:$A,0)),"Unknown")</f>
        <v>TrendMart Vijayawada High Street</v>
      </c>
      <c r="Y1247" t="str">
        <f>IFERROR(INDEX(Stores!$E:$E,MATCH(E1247,Stores!$A:$A,0)),"Unknown")</f>
        <v>South Zone 3</v>
      </c>
      <c r="Z1247" t="str">
        <f>IFERROR(INDEX(Customers!$J:$J,MATCH(C1247,Customers!$A:$A,0)),"Unknown")</f>
        <v>Gold</v>
      </c>
      <c r="AA1247" t="str">
        <f t="shared" si="19"/>
        <v>2024-12</v>
      </c>
      <c r="AB1247" t="str">
        <f>IFERROR(INDEX(Products!$I:$I,MATCH(D1247,Products!$A:$A,0)),"Unknown")</f>
        <v>SUP005</v>
      </c>
    </row>
    <row r="1248" spans="1:28" x14ac:dyDescent="0.25">
      <c r="A1248" t="s">
        <v>3036</v>
      </c>
      <c r="B1248" s="20">
        <v>45549</v>
      </c>
      <c r="C1248" t="s">
        <v>3037</v>
      </c>
      <c r="D1248" t="s">
        <v>1026</v>
      </c>
      <c r="E1248" t="s">
        <v>910</v>
      </c>
      <c r="F1248" t="s">
        <v>165</v>
      </c>
      <c r="G1248">
        <v>1</v>
      </c>
      <c r="H1248" s="21">
        <v>1464.29</v>
      </c>
      <c r="I1248">
        <v>0</v>
      </c>
      <c r="J1248" s="21">
        <v>0</v>
      </c>
      <c r="K1248">
        <v>12</v>
      </c>
      <c r="L1248" s="21">
        <v>175.71</v>
      </c>
      <c r="M1248" s="21">
        <v>1640</v>
      </c>
      <c r="N1248" s="21">
        <v>962.17</v>
      </c>
      <c r="O1248" s="21">
        <v>502.12</v>
      </c>
      <c r="P1248" t="s">
        <v>127</v>
      </c>
      <c r="Q1248" t="s">
        <v>120</v>
      </c>
      <c r="R1248" t="s">
        <v>313</v>
      </c>
      <c r="S1248" t="s">
        <v>3038</v>
      </c>
      <c r="T1248" t="s">
        <v>161</v>
      </c>
      <c r="U1248" t="s">
        <v>154</v>
      </c>
      <c r="V1248" t="str">
        <f>IFERROR(INDEX(Products!$C:$C,MATCH(D1248,Products!$A:$A,0)),"Unknown")</f>
        <v>Women Sarees</v>
      </c>
      <c r="W1248" t="str">
        <f>IFERROR(INDEX(Products!$E:$E,MATCH(D1248,Products!$A:$A,0)),"Unknown")</f>
        <v>Spykar</v>
      </c>
      <c r="X1248" t="str">
        <f>IFERROR(INDEX(Stores!$B:$B,MATCH(E1248,Stores!$A:$A,0)),"Unknown")</f>
        <v>TrendMart Karimnagar Standard</v>
      </c>
      <c r="Y1248" t="str">
        <f>IFERROR(INDEX(Stores!$E:$E,MATCH(E1248,Stores!$A:$A,0)),"Unknown")</f>
        <v>South Zone 2</v>
      </c>
      <c r="Z1248" t="str">
        <f>IFERROR(INDEX(Customers!$J:$J,MATCH(C1248,Customers!$A:$A,0)),"Unknown")</f>
        <v>Silver</v>
      </c>
      <c r="AA1248" t="str">
        <f t="shared" si="19"/>
        <v>2024-09</v>
      </c>
      <c r="AB1248" t="str">
        <f>IFERROR(INDEX(Products!$I:$I,MATCH(D1248,Products!$A:$A,0)),"Unknown")</f>
        <v>SUP001</v>
      </c>
    </row>
    <row r="1249" spans="1:28" x14ac:dyDescent="0.25">
      <c r="A1249" t="s">
        <v>3039</v>
      </c>
      <c r="B1249" s="20">
        <v>45575</v>
      </c>
      <c r="C1249" t="s">
        <v>3040</v>
      </c>
      <c r="D1249" t="s">
        <v>2759</v>
      </c>
      <c r="E1249" t="s">
        <v>391</v>
      </c>
      <c r="F1249" t="s">
        <v>263</v>
      </c>
      <c r="G1249">
        <v>1</v>
      </c>
      <c r="H1249" s="21">
        <v>654.95000000000005</v>
      </c>
      <c r="I1249">
        <v>30</v>
      </c>
      <c r="J1249" s="21">
        <v>196.49</v>
      </c>
      <c r="K1249">
        <v>5</v>
      </c>
      <c r="L1249" s="21">
        <v>22.92</v>
      </c>
      <c r="M1249" s="21">
        <v>481.38</v>
      </c>
      <c r="N1249" s="21">
        <v>403.9</v>
      </c>
      <c r="O1249" s="21">
        <v>54.56</v>
      </c>
      <c r="P1249" t="s">
        <v>126</v>
      </c>
      <c r="Q1249" t="s">
        <v>120</v>
      </c>
      <c r="R1249" t="s">
        <v>151</v>
      </c>
      <c r="S1249" t="s">
        <v>3041</v>
      </c>
      <c r="T1249" t="s">
        <v>153</v>
      </c>
      <c r="U1249" t="s">
        <v>154</v>
      </c>
      <c r="V1249" t="str">
        <f>IFERROR(INDEX(Products!$C:$C,MATCH(D1249,Products!$A:$A,0)),"Unknown")</f>
        <v>Men T-Shirts</v>
      </c>
      <c r="W1249" t="str">
        <f>IFERROR(INDEX(Products!$E:$E,MATCH(D1249,Products!$A:$A,0)),"Unknown")</f>
        <v>Libas</v>
      </c>
      <c r="X1249" t="str">
        <f>IFERROR(INDEX(Stores!$B:$B,MATCH(E1249,Stores!$A:$A,0)),"Unknown")</f>
        <v>TrendMart Warangal High Street</v>
      </c>
      <c r="Y1249" t="str">
        <f>IFERROR(INDEX(Stores!$E:$E,MATCH(E1249,Stores!$A:$A,0)),"Unknown")</f>
        <v>South Zone 2</v>
      </c>
      <c r="Z1249" t="str">
        <f>IFERROR(INDEX(Customers!$J:$J,MATCH(C1249,Customers!$A:$A,0)),"Unknown")</f>
        <v>Platinum</v>
      </c>
      <c r="AA1249" t="str">
        <f t="shared" si="19"/>
        <v>2024-10</v>
      </c>
      <c r="AB1249" t="str">
        <f>IFERROR(INDEX(Products!$I:$I,MATCH(D1249,Products!$A:$A,0)),"Unknown")</f>
        <v>SUP041</v>
      </c>
    </row>
    <row r="1250" spans="1:28" x14ac:dyDescent="0.25">
      <c r="A1250" t="s">
        <v>3042</v>
      </c>
      <c r="B1250" s="20">
        <v>45670</v>
      </c>
      <c r="C1250" t="s">
        <v>3043</v>
      </c>
      <c r="D1250" t="s">
        <v>230</v>
      </c>
      <c r="E1250" t="s">
        <v>99</v>
      </c>
      <c r="F1250" t="s">
        <v>269</v>
      </c>
      <c r="G1250">
        <v>2</v>
      </c>
      <c r="H1250" s="21">
        <v>1458.58</v>
      </c>
      <c r="I1250">
        <v>0</v>
      </c>
      <c r="J1250" s="21">
        <v>0</v>
      </c>
      <c r="K1250">
        <v>12</v>
      </c>
      <c r="L1250" s="21">
        <v>350.06</v>
      </c>
      <c r="M1250" s="21">
        <v>3267.22</v>
      </c>
      <c r="N1250" s="21">
        <v>1892.6</v>
      </c>
      <c r="O1250" s="21">
        <v>1024.56</v>
      </c>
      <c r="P1250" t="s">
        <v>125</v>
      </c>
      <c r="Q1250" t="s">
        <v>122</v>
      </c>
      <c r="R1250" t="s">
        <v>151</v>
      </c>
      <c r="S1250" t="s">
        <v>2990</v>
      </c>
      <c r="T1250" t="s">
        <v>153</v>
      </c>
      <c r="U1250" t="s">
        <v>154</v>
      </c>
      <c r="V1250" t="str">
        <f>IFERROR(INDEX(Products!$C:$C,MATCH(D1250,Products!$A:$A,0)),"Unknown")</f>
        <v>Watches</v>
      </c>
      <c r="W1250" t="str">
        <f>IFERROR(INDEX(Products!$E:$E,MATCH(D1250,Products!$A:$A,0)),"Unknown")</f>
        <v>Wrangler</v>
      </c>
      <c r="X1250" t="str">
        <f>IFERROR(INDEX(Stores!$B:$B,MATCH(E1250,Stores!$A:$A,0)),"Unknown")</f>
        <v>TrendMart Hubballi Standard</v>
      </c>
      <c r="Y1250" t="str">
        <f>IFERROR(INDEX(Stores!$E:$E,MATCH(E1250,Stores!$A:$A,0)),"Unknown")</f>
        <v>South Zone 2</v>
      </c>
      <c r="Z1250" t="str">
        <f>IFERROR(INDEX(Customers!$J:$J,MATCH(C1250,Customers!$A:$A,0)),"Unknown")</f>
        <v>Silver</v>
      </c>
      <c r="AA1250" t="str">
        <f t="shared" si="19"/>
        <v>2025-01</v>
      </c>
      <c r="AB1250" t="str">
        <f>IFERROR(INDEX(Products!$I:$I,MATCH(D1250,Products!$A:$A,0)),"Unknown")</f>
        <v>SUP044</v>
      </c>
    </row>
    <row r="1251" spans="1:28" x14ac:dyDescent="0.25">
      <c r="A1251" t="s">
        <v>3044</v>
      </c>
      <c r="B1251" s="20">
        <v>45613</v>
      </c>
      <c r="C1251" t="s">
        <v>3045</v>
      </c>
      <c r="D1251" t="s">
        <v>905</v>
      </c>
      <c r="E1251" t="s">
        <v>831</v>
      </c>
      <c r="F1251" t="s">
        <v>403</v>
      </c>
      <c r="G1251">
        <v>3</v>
      </c>
      <c r="H1251" s="21">
        <v>590.69000000000005</v>
      </c>
      <c r="I1251">
        <v>30</v>
      </c>
      <c r="J1251" s="21">
        <v>531.62</v>
      </c>
      <c r="K1251">
        <v>5</v>
      </c>
      <c r="L1251" s="21">
        <v>62.02</v>
      </c>
      <c r="M1251" s="21">
        <v>1302.47</v>
      </c>
      <c r="N1251" s="21">
        <v>1113.3599999999999</v>
      </c>
      <c r="O1251" s="21">
        <v>127.09</v>
      </c>
      <c r="P1251" t="s">
        <v>123</v>
      </c>
      <c r="Q1251" t="s">
        <v>120</v>
      </c>
      <c r="R1251" t="s">
        <v>151</v>
      </c>
      <c r="S1251" t="s">
        <v>2904</v>
      </c>
      <c r="T1251" t="s">
        <v>161</v>
      </c>
      <c r="U1251" t="s">
        <v>154</v>
      </c>
      <c r="V1251" t="str">
        <f>IFERROR(INDEX(Products!$C:$C,MATCH(D1251,Products!$A:$A,0)),"Unknown")</f>
        <v>Wallets</v>
      </c>
      <c r="W1251" t="str">
        <f>IFERROR(INDEX(Products!$E:$E,MATCH(D1251,Products!$A:$A,0)),"Unknown")</f>
        <v>Global Desi</v>
      </c>
      <c r="X1251" t="str">
        <f>IFERROR(INDEX(Stores!$B:$B,MATCH(E1251,Stores!$A:$A,0)),"Unknown")</f>
        <v>TrendMart Vellore Standard</v>
      </c>
      <c r="Y1251" t="str">
        <f>IFERROR(INDEX(Stores!$E:$E,MATCH(E1251,Stores!$A:$A,0)),"Unknown")</f>
        <v>South Zone 1</v>
      </c>
      <c r="Z1251" t="str">
        <f>IFERROR(INDEX(Customers!$J:$J,MATCH(C1251,Customers!$A:$A,0)),"Unknown")</f>
        <v>Gold</v>
      </c>
      <c r="AA1251" t="str">
        <f t="shared" si="19"/>
        <v>2024-11</v>
      </c>
      <c r="AB1251" t="str">
        <f>IFERROR(INDEX(Products!$I:$I,MATCH(D1251,Products!$A:$A,0)),"Unknown")</f>
        <v>SUP051</v>
      </c>
    </row>
    <row r="1252" spans="1:28" x14ac:dyDescent="0.25">
      <c r="A1252" t="s">
        <v>3046</v>
      </c>
      <c r="B1252" s="20">
        <v>45433</v>
      </c>
      <c r="C1252" t="s">
        <v>1077</v>
      </c>
      <c r="D1252" t="s">
        <v>1550</v>
      </c>
      <c r="E1252" t="s">
        <v>506</v>
      </c>
      <c r="F1252" t="s">
        <v>201</v>
      </c>
      <c r="G1252">
        <v>1</v>
      </c>
      <c r="H1252" s="21">
        <v>2393.39</v>
      </c>
      <c r="I1252">
        <v>30</v>
      </c>
      <c r="J1252" s="21">
        <v>718.02</v>
      </c>
      <c r="K1252">
        <v>12</v>
      </c>
      <c r="L1252" s="21">
        <v>201.04</v>
      </c>
      <c r="M1252" s="21">
        <v>1876.41</v>
      </c>
      <c r="N1252" s="21">
        <v>1862.35</v>
      </c>
      <c r="O1252" s="21">
        <v>-186.98</v>
      </c>
      <c r="P1252" t="s">
        <v>124</v>
      </c>
      <c r="Q1252" t="s">
        <v>122</v>
      </c>
      <c r="R1252" t="s">
        <v>151</v>
      </c>
      <c r="S1252" t="s">
        <v>2213</v>
      </c>
      <c r="T1252" t="s">
        <v>153</v>
      </c>
      <c r="U1252" t="s">
        <v>184</v>
      </c>
      <c r="V1252" t="str">
        <f>IFERROR(INDEX(Products!$C:$C,MATCH(D1252,Products!$A:$A,0)),"Unknown")</f>
        <v>Footwear</v>
      </c>
      <c r="W1252" t="str">
        <f>IFERROR(INDEX(Products!$E:$E,MATCH(D1252,Products!$A:$A,0)),"Unknown")</f>
        <v>Pothys</v>
      </c>
      <c r="X1252" t="str">
        <f>IFERROR(INDEX(Stores!$B:$B,MATCH(E1252,Stores!$A:$A,0)),"Unknown")</f>
        <v>TrendMart Nellore High Street</v>
      </c>
      <c r="Y1252" t="str">
        <f>IFERROR(INDEX(Stores!$E:$E,MATCH(E1252,Stores!$A:$A,0)),"Unknown")</f>
        <v>South Zone 3</v>
      </c>
      <c r="Z1252" t="str">
        <f>IFERROR(INDEX(Customers!$J:$J,MATCH(C1252,Customers!$A:$A,0)),"Unknown")</f>
        <v>Gold</v>
      </c>
      <c r="AA1252" t="str">
        <f t="shared" si="19"/>
        <v>2024-05</v>
      </c>
      <c r="AB1252" t="str">
        <f>IFERROR(INDEX(Products!$I:$I,MATCH(D1252,Products!$A:$A,0)),"Unknown")</f>
        <v>SUP061</v>
      </c>
    </row>
    <row r="1253" spans="1:28" x14ac:dyDescent="0.25">
      <c r="A1253" t="s">
        <v>3047</v>
      </c>
      <c r="B1253" s="20">
        <v>45686</v>
      </c>
      <c r="C1253" t="s">
        <v>1676</v>
      </c>
      <c r="D1253" t="s">
        <v>273</v>
      </c>
      <c r="E1253" t="s">
        <v>1281</v>
      </c>
      <c r="F1253" t="s">
        <v>532</v>
      </c>
      <c r="G1253">
        <v>4</v>
      </c>
      <c r="H1253" s="21">
        <v>1310.25</v>
      </c>
      <c r="I1253">
        <v>30</v>
      </c>
      <c r="J1253" s="21">
        <v>1572.3</v>
      </c>
      <c r="K1253">
        <v>12</v>
      </c>
      <c r="L1253" s="21">
        <v>440.24</v>
      </c>
      <c r="M1253" s="21">
        <v>4108.9399999999996</v>
      </c>
      <c r="N1253" s="21">
        <v>3507.68</v>
      </c>
      <c r="O1253" s="21">
        <v>161.02000000000001</v>
      </c>
      <c r="P1253" t="s">
        <v>123</v>
      </c>
      <c r="Q1253" t="s">
        <v>122</v>
      </c>
      <c r="R1253" t="s">
        <v>151</v>
      </c>
      <c r="S1253" t="s">
        <v>3048</v>
      </c>
      <c r="T1253" t="s">
        <v>153</v>
      </c>
      <c r="U1253" t="s">
        <v>154</v>
      </c>
      <c r="V1253" t="str">
        <f>IFERROR(INDEX(Products!$C:$C,MATCH(D1253,Products!$A:$A,0)),"Unknown")</f>
        <v>Women Kurtis</v>
      </c>
      <c r="W1253" t="str">
        <f>IFERROR(INDEX(Products!$E:$E,MATCH(D1253,Products!$A:$A,0)),"Unknown")</f>
        <v>Indian Terrain</v>
      </c>
      <c r="X1253" t="str">
        <f>IFERROR(INDEX(Stores!$B:$B,MATCH(E1253,Stores!$A:$A,0)),"Unknown")</f>
        <v>TrendMart Visakhapatnam Standard</v>
      </c>
      <c r="Y1253" t="str">
        <f>IFERROR(INDEX(Stores!$E:$E,MATCH(E1253,Stores!$A:$A,0)),"Unknown")</f>
        <v>South Zone 3</v>
      </c>
      <c r="Z1253" t="str">
        <f>IFERROR(INDEX(Customers!$J:$J,MATCH(C1253,Customers!$A:$A,0)),"Unknown")</f>
        <v>Silver</v>
      </c>
      <c r="AA1253" t="str">
        <f t="shared" si="19"/>
        <v>2025-01</v>
      </c>
      <c r="AB1253" t="str">
        <f>IFERROR(INDEX(Products!$I:$I,MATCH(D1253,Products!$A:$A,0)),"Unknown")</f>
        <v>SUP006</v>
      </c>
    </row>
    <row r="1254" spans="1:28" x14ac:dyDescent="0.25">
      <c r="A1254" t="s">
        <v>3049</v>
      </c>
      <c r="B1254" s="20">
        <v>45626</v>
      </c>
      <c r="C1254" t="s">
        <v>1481</v>
      </c>
      <c r="D1254" t="s">
        <v>2294</v>
      </c>
      <c r="E1254" t="s">
        <v>701</v>
      </c>
      <c r="F1254" t="s">
        <v>189</v>
      </c>
      <c r="G1254">
        <v>1</v>
      </c>
      <c r="H1254" s="21">
        <v>1676.56</v>
      </c>
      <c r="I1254">
        <v>20</v>
      </c>
      <c r="J1254" s="21">
        <v>335.31</v>
      </c>
      <c r="K1254">
        <v>12</v>
      </c>
      <c r="L1254" s="21">
        <v>160.94999999999999</v>
      </c>
      <c r="M1254" s="21">
        <v>1502.2</v>
      </c>
      <c r="N1254" s="21">
        <v>1007.65</v>
      </c>
      <c r="O1254" s="21">
        <v>333.6</v>
      </c>
      <c r="P1254" t="s">
        <v>125</v>
      </c>
      <c r="Q1254" t="s">
        <v>122</v>
      </c>
      <c r="R1254" t="s">
        <v>151</v>
      </c>
      <c r="S1254" t="s">
        <v>2480</v>
      </c>
      <c r="T1254" t="s">
        <v>161</v>
      </c>
      <c r="U1254" t="s">
        <v>154</v>
      </c>
      <c r="V1254" t="str">
        <f>IFERROR(INDEX(Products!$C:$C,MATCH(D1254,Products!$A:$A,0)),"Unknown")</f>
        <v>Men Jeans</v>
      </c>
      <c r="W1254" t="str">
        <f>IFERROR(INDEX(Products!$E:$E,MATCH(D1254,Products!$A:$A,0)),"Unknown")</f>
        <v>Westside</v>
      </c>
      <c r="X1254" t="str">
        <f>IFERROR(INDEX(Stores!$B:$B,MATCH(E1254,Stores!$A:$A,0)),"Unknown")</f>
        <v>TrendMart Vijayawada Mall Kiosk</v>
      </c>
      <c r="Y1254" t="str">
        <f>IFERROR(INDEX(Stores!$E:$E,MATCH(E1254,Stores!$A:$A,0)),"Unknown")</f>
        <v>South Zone 3</v>
      </c>
      <c r="Z1254" t="str">
        <f>IFERROR(INDEX(Customers!$J:$J,MATCH(C1254,Customers!$A:$A,0)),"Unknown")</f>
        <v>Silver</v>
      </c>
      <c r="AA1254" t="str">
        <f t="shared" si="19"/>
        <v>2024-11</v>
      </c>
      <c r="AB1254" t="str">
        <f>IFERROR(INDEX(Products!$I:$I,MATCH(D1254,Products!$A:$A,0)),"Unknown")</f>
        <v>SUP009</v>
      </c>
    </row>
    <row r="1255" spans="1:28" x14ac:dyDescent="0.25">
      <c r="A1255" t="s">
        <v>3050</v>
      </c>
      <c r="B1255" s="20">
        <v>45587</v>
      </c>
      <c r="C1255" t="s">
        <v>837</v>
      </c>
      <c r="D1255" t="s">
        <v>1590</v>
      </c>
      <c r="E1255" t="s">
        <v>456</v>
      </c>
      <c r="F1255" t="s">
        <v>532</v>
      </c>
      <c r="G1255">
        <v>1</v>
      </c>
      <c r="H1255" s="21">
        <v>501.46</v>
      </c>
      <c r="I1255">
        <v>5</v>
      </c>
      <c r="J1255" s="21">
        <v>25.07</v>
      </c>
      <c r="K1255">
        <v>5</v>
      </c>
      <c r="L1255" s="21">
        <v>23.82</v>
      </c>
      <c r="M1255" s="21">
        <v>500.21</v>
      </c>
      <c r="N1255" s="21">
        <v>337.09</v>
      </c>
      <c r="O1255" s="21">
        <v>139.30000000000001</v>
      </c>
      <c r="P1255" t="s">
        <v>126</v>
      </c>
      <c r="Q1255" t="s">
        <v>120</v>
      </c>
      <c r="R1255" t="s">
        <v>151</v>
      </c>
      <c r="S1255" t="s">
        <v>1837</v>
      </c>
      <c r="T1255" t="s">
        <v>153</v>
      </c>
      <c r="U1255" t="s">
        <v>154</v>
      </c>
      <c r="V1255" t="str">
        <f>IFERROR(INDEX(Products!$C:$C,MATCH(D1255,Products!$A:$A,0)),"Unknown")</f>
        <v>Kids Wear</v>
      </c>
      <c r="W1255" t="str">
        <f>IFERROR(INDEX(Products!$E:$E,MATCH(D1255,Products!$A:$A,0)),"Unknown")</f>
        <v>Peter England</v>
      </c>
      <c r="X1255" t="str">
        <f>IFERROR(INDEX(Stores!$B:$B,MATCH(E1255,Stores!$A:$A,0)),"Unknown")</f>
        <v>TrendMart Salem Outlet</v>
      </c>
      <c r="Y1255" t="str">
        <f>IFERROR(INDEX(Stores!$E:$E,MATCH(E1255,Stores!$A:$A,0)),"Unknown")</f>
        <v>South Zone 1</v>
      </c>
      <c r="Z1255" t="str">
        <f>IFERROR(INDEX(Customers!$J:$J,MATCH(C1255,Customers!$A:$A,0)),"Unknown")</f>
        <v>Regular</v>
      </c>
      <c r="AA1255" t="str">
        <f t="shared" si="19"/>
        <v>2024-10</v>
      </c>
      <c r="AB1255" t="str">
        <f>IFERROR(INDEX(Products!$I:$I,MATCH(D1255,Products!$A:$A,0)),"Unknown")</f>
        <v>SUP065</v>
      </c>
    </row>
    <row r="1256" spans="1:28" x14ac:dyDescent="0.25">
      <c r="A1256" t="s">
        <v>3051</v>
      </c>
      <c r="B1256" s="20">
        <v>45477</v>
      </c>
      <c r="C1256" t="s">
        <v>3052</v>
      </c>
      <c r="D1256" t="s">
        <v>1128</v>
      </c>
      <c r="E1256" t="s">
        <v>429</v>
      </c>
      <c r="F1256" t="s">
        <v>232</v>
      </c>
      <c r="G1256">
        <v>5</v>
      </c>
      <c r="H1256" s="21">
        <v>1643.61</v>
      </c>
      <c r="I1256">
        <v>30</v>
      </c>
      <c r="J1256" s="21">
        <v>2465.41</v>
      </c>
      <c r="K1256">
        <v>12</v>
      </c>
      <c r="L1256" s="21">
        <v>690.32</v>
      </c>
      <c r="M1256" s="21">
        <v>6442.96</v>
      </c>
      <c r="N1256" s="21">
        <v>5579.6</v>
      </c>
      <c r="O1256" s="21">
        <v>173.04</v>
      </c>
      <c r="P1256" t="s">
        <v>123</v>
      </c>
      <c r="Q1256" t="s">
        <v>120</v>
      </c>
      <c r="R1256" t="s">
        <v>151</v>
      </c>
      <c r="S1256" t="s">
        <v>911</v>
      </c>
      <c r="T1256" t="s">
        <v>153</v>
      </c>
      <c r="U1256" t="s">
        <v>154</v>
      </c>
      <c r="V1256" t="str">
        <f>IFERROR(INDEX(Products!$C:$C,MATCH(D1256,Products!$A:$A,0)),"Unknown")</f>
        <v>Winter Wear</v>
      </c>
      <c r="W1256" t="str">
        <f>IFERROR(INDEX(Products!$E:$E,MATCH(D1256,Products!$A:$A,0)),"Unknown")</f>
        <v>Libas</v>
      </c>
      <c r="X1256" t="str">
        <f>IFERROR(INDEX(Stores!$B:$B,MATCH(E1256,Stores!$A:$A,0)),"Unknown")</f>
        <v>TrendMart Tirunelveli Flagship</v>
      </c>
      <c r="Y1256" t="str">
        <f>IFERROR(INDEX(Stores!$E:$E,MATCH(E1256,Stores!$A:$A,0)),"Unknown")</f>
        <v>South Zone 1</v>
      </c>
      <c r="Z1256" t="str">
        <f>IFERROR(INDEX(Customers!$J:$J,MATCH(C1256,Customers!$A:$A,0)),"Unknown")</f>
        <v>Gold</v>
      </c>
      <c r="AA1256" t="str">
        <f t="shared" si="19"/>
        <v>2024-07</v>
      </c>
      <c r="AB1256" t="str">
        <f>IFERROR(INDEX(Products!$I:$I,MATCH(D1256,Products!$A:$A,0)),"Unknown")</f>
        <v>SUP007</v>
      </c>
    </row>
    <row r="1257" spans="1:28" x14ac:dyDescent="0.25">
      <c r="A1257" t="s">
        <v>3053</v>
      </c>
      <c r="B1257" s="20">
        <v>45606</v>
      </c>
      <c r="C1257" t="s">
        <v>874</v>
      </c>
      <c r="D1257" t="s">
        <v>854</v>
      </c>
      <c r="E1257" t="s">
        <v>1163</v>
      </c>
      <c r="F1257" t="s">
        <v>303</v>
      </c>
      <c r="G1257">
        <v>2</v>
      </c>
      <c r="H1257" s="21">
        <v>1223.06</v>
      </c>
      <c r="I1257">
        <v>10</v>
      </c>
      <c r="J1257" s="21">
        <v>244.61</v>
      </c>
      <c r="K1257">
        <v>3</v>
      </c>
      <c r="L1257" s="21">
        <v>66.05</v>
      </c>
      <c r="M1257" s="21">
        <v>2267.56</v>
      </c>
      <c r="N1257" s="21">
        <v>1908.08</v>
      </c>
      <c r="O1257" s="21">
        <v>293.43</v>
      </c>
      <c r="P1257" t="s">
        <v>121</v>
      </c>
      <c r="Q1257" t="s">
        <v>122</v>
      </c>
      <c r="R1257" t="s">
        <v>151</v>
      </c>
      <c r="S1257" t="s">
        <v>1791</v>
      </c>
      <c r="T1257" t="s">
        <v>161</v>
      </c>
      <c r="U1257" t="s">
        <v>154</v>
      </c>
      <c r="V1257" t="str">
        <f>IFERROR(INDEX(Products!$C:$C,MATCH(D1257,Products!$A:$A,0)),"Unknown")</f>
        <v>Jewellery</v>
      </c>
      <c r="W1257" t="str">
        <f>IFERROR(INDEX(Products!$E:$E,MATCH(D1257,Products!$A:$A,0)),"Unknown")</f>
        <v>W for Woman</v>
      </c>
      <c r="X1257" t="str">
        <f>IFERROR(INDEX(Stores!$B:$B,MATCH(E1257,Stores!$A:$A,0)),"Unknown")</f>
        <v>TrendMart Alappuzha Outlet</v>
      </c>
      <c r="Y1257" t="str">
        <f>IFERROR(INDEX(Stores!$E:$E,MATCH(E1257,Stores!$A:$A,0)),"Unknown")</f>
        <v>South Zone 1</v>
      </c>
      <c r="Z1257" t="str">
        <f>IFERROR(INDEX(Customers!$J:$J,MATCH(C1257,Customers!$A:$A,0)),"Unknown")</f>
        <v>Silver</v>
      </c>
      <c r="AA1257" t="str">
        <f t="shared" si="19"/>
        <v>2024-11</v>
      </c>
      <c r="AB1257" t="str">
        <f>IFERROR(INDEX(Products!$I:$I,MATCH(D1257,Products!$A:$A,0)),"Unknown")</f>
        <v>SUP006</v>
      </c>
    </row>
    <row r="1258" spans="1:28" x14ac:dyDescent="0.25">
      <c r="A1258" t="s">
        <v>3054</v>
      </c>
      <c r="B1258" s="20">
        <v>45499</v>
      </c>
      <c r="C1258" t="s">
        <v>874</v>
      </c>
      <c r="D1258" t="s">
        <v>1550</v>
      </c>
      <c r="E1258" t="s">
        <v>537</v>
      </c>
      <c r="F1258" t="s">
        <v>165</v>
      </c>
      <c r="G1258">
        <v>0</v>
      </c>
      <c r="H1258" s="21">
        <v>2416.04</v>
      </c>
      <c r="I1258">
        <v>25</v>
      </c>
      <c r="J1258" s="21">
        <v>0</v>
      </c>
      <c r="K1258">
        <v>12</v>
      </c>
      <c r="L1258" s="21">
        <v>0</v>
      </c>
      <c r="M1258" s="21">
        <v>0</v>
      </c>
      <c r="N1258" s="21">
        <v>0</v>
      </c>
      <c r="O1258" s="21">
        <v>0</v>
      </c>
      <c r="P1258" t="s">
        <v>125</v>
      </c>
      <c r="Q1258" t="s">
        <v>120</v>
      </c>
      <c r="R1258" t="s">
        <v>482</v>
      </c>
      <c r="S1258" t="s">
        <v>1627</v>
      </c>
      <c r="T1258" t="s">
        <v>153</v>
      </c>
      <c r="U1258" t="s">
        <v>154</v>
      </c>
      <c r="V1258" t="str">
        <f>IFERROR(INDEX(Products!$C:$C,MATCH(D1258,Products!$A:$A,0)),"Unknown")</f>
        <v>Footwear</v>
      </c>
      <c r="W1258" t="str">
        <f>IFERROR(INDEX(Products!$E:$E,MATCH(D1258,Products!$A:$A,0)),"Unknown")</f>
        <v>Pothys</v>
      </c>
      <c r="X1258" t="str">
        <f>IFERROR(INDEX(Stores!$B:$B,MATCH(E1258,Stores!$A:$A,0)),"Unknown")</f>
        <v>TrendMart Thrissur High Street</v>
      </c>
      <c r="Y1258" t="str">
        <f>IFERROR(INDEX(Stores!$E:$E,MATCH(E1258,Stores!$A:$A,0)),"Unknown")</f>
        <v>South Zone 1</v>
      </c>
      <c r="Z1258" t="str">
        <f>IFERROR(INDEX(Customers!$J:$J,MATCH(C1258,Customers!$A:$A,0)),"Unknown")</f>
        <v>Silver</v>
      </c>
      <c r="AA1258" t="str">
        <f t="shared" si="19"/>
        <v>2024-07</v>
      </c>
      <c r="AB1258" t="str">
        <f>IFERROR(INDEX(Products!$I:$I,MATCH(D1258,Products!$A:$A,0)),"Unknown")</f>
        <v>SUP061</v>
      </c>
    </row>
    <row r="1259" spans="1:28" x14ac:dyDescent="0.25">
      <c r="A1259" t="s">
        <v>3055</v>
      </c>
      <c r="B1259" s="20">
        <v>45637</v>
      </c>
      <c r="C1259" t="s">
        <v>2168</v>
      </c>
      <c r="D1259" t="s">
        <v>433</v>
      </c>
      <c r="E1259" t="s">
        <v>247</v>
      </c>
      <c r="F1259" t="s">
        <v>462</v>
      </c>
      <c r="G1259">
        <v>1</v>
      </c>
      <c r="H1259" s="21">
        <v>848.16</v>
      </c>
      <c r="I1259">
        <v>20</v>
      </c>
      <c r="J1259" s="21">
        <v>169.63</v>
      </c>
      <c r="K1259">
        <v>5</v>
      </c>
      <c r="L1259" s="21">
        <v>33.93</v>
      </c>
      <c r="M1259" s="21">
        <v>712.46</v>
      </c>
      <c r="N1259" s="21">
        <v>573.09</v>
      </c>
      <c r="O1259" s="21">
        <v>105.44</v>
      </c>
      <c r="P1259" t="s">
        <v>125</v>
      </c>
      <c r="Q1259" t="s">
        <v>122</v>
      </c>
      <c r="R1259" t="s">
        <v>151</v>
      </c>
      <c r="S1259" t="s">
        <v>2092</v>
      </c>
      <c r="T1259" t="s">
        <v>153</v>
      </c>
      <c r="U1259" t="s">
        <v>154</v>
      </c>
      <c r="V1259" t="str">
        <f>IFERROR(INDEX(Products!$C:$C,MATCH(D1259,Products!$A:$A,0)),"Unknown")</f>
        <v>Women Kurtis</v>
      </c>
      <c r="W1259" t="str">
        <f>IFERROR(INDEX(Products!$E:$E,MATCH(D1259,Products!$A:$A,0)),"Unknown")</f>
        <v>Nike</v>
      </c>
      <c r="X1259" t="str">
        <f>IFERROR(INDEX(Stores!$B:$B,MATCH(E1259,Stores!$A:$A,0)),"Unknown")</f>
        <v>TrendMart Tirupati Outlet</v>
      </c>
      <c r="Y1259" t="str">
        <f>IFERROR(INDEX(Stores!$E:$E,MATCH(E1259,Stores!$A:$A,0)),"Unknown")</f>
        <v>South Zone 3</v>
      </c>
      <c r="Z1259" t="str">
        <f>IFERROR(INDEX(Customers!$J:$J,MATCH(C1259,Customers!$A:$A,0)),"Unknown")</f>
        <v>Regular</v>
      </c>
      <c r="AA1259" t="str">
        <f t="shared" si="19"/>
        <v>2024-12</v>
      </c>
      <c r="AB1259" t="str">
        <f>IFERROR(INDEX(Products!$I:$I,MATCH(D1259,Products!$A:$A,0)),"Unknown")</f>
        <v>SUP012</v>
      </c>
    </row>
    <row r="1260" spans="1:28" x14ac:dyDescent="0.25">
      <c r="A1260" t="s">
        <v>3056</v>
      </c>
      <c r="B1260" s="20">
        <v>45423</v>
      </c>
      <c r="C1260" t="s">
        <v>3043</v>
      </c>
      <c r="D1260" t="s">
        <v>654</v>
      </c>
      <c r="E1260" t="s">
        <v>181</v>
      </c>
      <c r="F1260" t="s">
        <v>579</v>
      </c>
      <c r="G1260">
        <v>1</v>
      </c>
      <c r="H1260" s="21">
        <v>1402.17</v>
      </c>
      <c r="I1260">
        <v>20</v>
      </c>
      <c r="J1260" s="21">
        <v>280.43</v>
      </c>
      <c r="K1260">
        <v>12</v>
      </c>
      <c r="L1260" s="21">
        <v>134.61000000000001</v>
      </c>
      <c r="M1260" s="21">
        <v>1256.3499999999999</v>
      </c>
      <c r="N1260" s="21">
        <v>865.42</v>
      </c>
      <c r="O1260" s="21">
        <v>256.32</v>
      </c>
      <c r="P1260" t="s">
        <v>121</v>
      </c>
      <c r="Q1260" t="s">
        <v>120</v>
      </c>
      <c r="R1260" t="s">
        <v>151</v>
      </c>
      <c r="S1260" t="s">
        <v>1822</v>
      </c>
      <c r="T1260" t="s">
        <v>161</v>
      </c>
      <c r="U1260" t="s">
        <v>154</v>
      </c>
      <c r="V1260" t="str">
        <f>IFERROR(INDEX(Products!$C:$C,MATCH(D1260,Products!$A:$A,0)),"Unknown")</f>
        <v>Women Dresses</v>
      </c>
      <c r="W1260" t="str">
        <f>IFERROR(INDEX(Products!$E:$E,MATCH(D1260,Products!$A:$A,0)),"Unknown")</f>
        <v>Indian Terrain</v>
      </c>
      <c r="X1260" t="str">
        <f>IFERROR(INDEX(Stores!$B:$B,MATCH(E1260,Stores!$A:$A,0)),"Unknown")</f>
        <v>TrendMart Kurnool High Street</v>
      </c>
      <c r="Y1260" t="str">
        <f>IFERROR(INDEX(Stores!$E:$E,MATCH(E1260,Stores!$A:$A,0)),"Unknown")</f>
        <v>South Zone 3</v>
      </c>
      <c r="Z1260" t="str">
        <f>IFERROR(INDEX(Customers!$J:$J,MATCH(C1260,Customers!$A:$A,0)),"Unknown")</f>
        <v>Silver</v>
      </c>
      <c r="AA1260" t="str">
        <f t="shared" si="19"/>
        <v>2024-05</v>
      </c>
      <c r="AB1260" t="str">
        <f>IFERROR(INDEX(Products!$I:$I,MATCH(D1260,Products!$A:$A,0)),"Unknown")</f>
        <v>SUP049</v>
      </c>
    </row>
    <row r="1261" spans="1:28" x14ac:dyDescent="0.25">
      <c r="A1261" t="s">
        <v>3057</v>
      </c>
      <c r="B1261" s="20">
        <v>45529</v>
      </c>
      <c r="C1261" t="s">
        <v>2692</v>
      </c>
      <c r="D1261" t="s">
        <v>261</v>
      </c>
      <c r="E1261" t="s">
        <v>914</v>
      </c>
      <c r="F1261" t="s">
        <v>550</v>
      </c>
      <c r="G1261">
        <v>2</v>
      </c>
      <c r="H1261" s="21">
        <v>1304.8499999999999</v>
      </c>
      <c r="I1261">
        <v>10</v>
      </c>
      <c r="J1261" s="21">
        <v>260.97000000000003</v>
      </c>
      <c r="K1261">
        <v>12</v>
      </c>
      <c r="L1261" s="21">
        <v>281.85000000000002</v>
      </c>
      <c r="M1261" s="21">
        <v>2630.58</v>
      </c>
      <c r="N1261" s="21">
        <v>1689.3</v>
      </c>
      <c r="O1261" s="21">
        <v>659.43</v>
      </c>
      <c r="P1261" t="s">
        <v>125</v>
      </c>
      <c r="Q1261" t="s">
        <v>120</v>
      </c>
      <c r="R1261" t="s">
        <v>151</v>
      </c>
      <c r="S1261" t="s">
        <v>483</v>
      </c>
      <c r="T1261" t="s">
        <v>161</v>
      </c>
      <c r="U1261" t="s">
        <v>154</v>
      </c>
      <c r="V1261" t="str">
        <f>IFERROR(INDEX(Products!$C:$C,MATCH(D1261,Products!$A:$A,0)),"Unknown")</f>
        <v>Women Kurtis</v>
      </c>
      <c r="W1261" t="str">
        <f>IFERROR(INDEX(Products!$E:$E,MATCH(D1261,Products!$A:$A,0)),"Unknown")</f>
        <v>Woodland</v>
      </c>
      <c r="X1261" t="str">
        <f>IFERROR(INDEX(Stores!$B:$B,MATCH(E1261,Stores!$A:$A,0)),"Unknown")</f>
        <v>TrendMart Thiruvananthapuram Outlet</v>
      </c>
      <c r="Y1261" t="str">
        <f>IFERROR(INDEX(Stores!$E:$E,MATCH(E1261,Stores!$A:$A,0)),"Unknown")</f>
        <v>South Zone 1</v>
      </c>
      <c r="Z1261" t="str">
        <f>IFERROR(INDEX(Customers!$J:$J,MATCH(C1261,Customers!$A:$A,0)),"Unknown")</f>
        <v>Regular</v>
      </c>
      <c r="AA1261" t="str">
        <f t="shared" si="19"/>
        <v>2024-08</v>
      </c>
      <c r="AB1261" t="str">
        <f>IFERROR(INDEX(Products!$I:$I,MATCH(D1261,Products!$A:$A,0)),"Unknown")</f>
        <v>SUP071</v>
      </c>
    </row>
    <row r="1262" spans="1:28" x14ac:dyDescent="0.25">
      <c r="A1262" t="s">
        <v>3058</v>
      </c>
      <c r="B1262" s="20">
        <v>45570</v>
      </c>
      <c r="C1262" t="s">
        <v>428</v>
      </c>
      <c r="D1262" t="s">
        <v>801</v>
      </c>
      <c r="E1262" t="s">
        <v>83</v>
      </c>
      <c r="F1262" t="s">
        <v>377</v>
      </c>
      <c r="G1262">
        <v>3</v>
      </c>
      <c r="H1262" s="21">
        <v>709.4</v>
      </c>
      <c r="I1262">
        <v>0</v>
      </c>
      <c r="J1262" s="21">
        <v>0</v>
      </c>
      <c r="K1262">
        <v>5</v>
      </c>
      <c r="L1262" s="21">
        <v>106.41</v>
      </c>
      <c r="M1262" s="21">
        <v>2234.61</v>
      </c>
      <c r="N1262" s="21">
        <v>1274.28</v>
      </c>
      <c r="O1262" s="21">
        <v>853.92</v>
      </c>
      <c r="P1262" t="s">
        <v>124</v>
      </c>
      <c r="Q1262" t="s">
        <v>122</v>
      </c>
      <c r="R1262" t="s">
        <v>151</v>
      </c>
      <c r="S1262" t="s">
        <v>1313</v>
      </c>
      <c r="T1262" t="s">
        <v>161</v>
      </c>
      <c r="U1262" t="s">
        <v>154</v>
      </c>
      <c r="V1262" t="str">
        <f>IFERROR(INDEX(Products!$C:$C,MATCH(D1262,Products!$A:$A,0)),"Unknown")</f>
        <v>Kids Wear</v>
      </c>
      <c r="W1262" t="str">
        <f>IFERROR(INDEX(Products!$E:$E,MATCH(D1262,Products!$A:$A,0)),"Unknown")</f>
        <v>Being Human</v>
      </c>
      <c r="X1262" t="str">
        <f>IFERROR(INDEX(Stores!$B:$B,MATCH(E1262,Stores!$A:$A,0)),"Unknown")</f>
        <v>TrendMart Vellore Standard</v>
      </c>
      <c r="Y1262" t="str">
        <f>IFERROR(INDEX(Stores!$E:$E,MATCH(E1262,Stores!$A:$A,0)),"Unknown")</f>
        <v>South Zone 1</v>
      </c>
      <c r="Z1262" t="str">
        <f>IFERROR(INDEX(Customers!$J:$J,MATCH(C1262,Customers!$A:$A,0)),"Unknown")</f>
        <v>Regular</v>
      </c>
      <c r="AA1262" t="str">
        <f t="shared" si="19"/>
        <v>2024-10</v>
      </c>
      <c r="AB1262" t="str">
        <f>IFERROR(INDEX(Products!$I:$I,MATCH(D1262,Products!$A:$A,0)),"Unknown")</f>
        <v>SUP063</v>
      </c>
    </row>
    <row r="1263" spans="1:28" x14ac:dyDescent="0.25">
      <c r="A1263" t="s">
        <v>3059</v>
      </c>
      <c r="B1263" s="20">
        <v>45412</v>
      </c>
      <c r="C1263" t="s">
        <v>1259</v>
      </c>
      <c r="D1263" t="s">
        <v>1350</v>
      </c>
      <c r="E1263" t="s">
        <v>81</v>
      </c>
      <c r="F1263" t="s">
        <v>403</v>
      </c>
      <c r="G1263">
        <v>3</v>
      </c>
      <c r="H1263" s="21">
        <v>636.95000000000005</v>
      </c>
      <c r="I1263">
        <v>15</v>
      </c>
      <c r="J1263" s="21">
        <v>286.63</v>
      </c>
      <c r="K1263">
        <v>5</v>
      </c>
      <c r="L1263" s="21">
        <v>81.209999999999994</v>
      </c>
      <c r="M1263" s="21">
        <v>1705.43</v>
      </c>
      <c r="N1263" s="21">
        <v>1258.2</v>
      </c>
      <c r="O1263" s="21">
        <v>366.02</v>
      </c>
      <c r="P1263" t="s">
        <v>121</v>
      </c>
      <c r="Q1263" t="s">
        <v>122</v>
      </c>
      <c r="R1263" t="s">
        <v>151</v>
      </c>
      <c r="S1263" t="s">
        <v>711</v>
      </c>
      <c r="T1263" t="s">
        <v>153</v>
      </c>
      <c r="U1263" t="s">
        <v>154</v>
      </c>
      <c r="V1263" t="str">
        <f>IFERROR(INDEX(Products!$C:$C,MATCH(D1263,Products!$A:$A,0)),"Unknown")</f>
        <v>Women Tops</v>
      </c>
      <c r="W1263" t="str">
        <f>IFERROR(INDEX(Products!$E:$E,MATCH(D1263,Products!$A:$A,0)),"Unknown")</f>
        <v>Jack &amp; Jones</v>
      </c>
      <c r="X1263" t="str">
        <f>IFERROR(INDEX(Stores!$B:$B,MATCH(E1263,Stores!$A:$A,0)),"Unknown")</f>
        <v>TrendMart Vijayawada High Street</v>
      </c>
      <c r="Y1263" t="str">
        <f>IFERROR(INDEX(Stores!$E:$E,MATCH(E1263,Stores!$A:$A,0)),"Unknown")</f>
        <v>South Zone 3</v>
      </c>
      <c r="Z1263" t="str">
        <f>IFERROR(INDEX(Customers!$J:$J,MATCH(C1263,Customers!$A:$A,0)),"Unknown")</f>
        <v>Gold</v>
      </c>
      <c r="AA1263" t="str">
        <f t="shared" si="19"/>
        <v>2024-04</v>
      </c>
      <c r="AB1263" t="str">
        <f>IFERROR(INDEX(Products!$I:$I,MATCH(D1263,Products!$A:$A,0)),"Unknown")</f>
        <v>SUP089</v>
      </c>
    </row>
    <row r="1264" spans="1:28" x14ac:dyDescent="0.25">
      <c r="A1264" t="s">
        <v>3060</v>
      </c>
      <c r="B1264" s="20">
        <v>45640</v>
      </c>
      <c r="C1264" t="s">
        <v>3061</v>
      </c>
      <c r="D1264" t="s">
        <v>2264</v>
      </c>
      <c r="E1264" t="s">
        <v>355</v>
      </c>
      <c r="F1264" t="s">
        <v>292</v>
      </c>
      <c r="G1264">
        <v>2</v>
      </c>
      <c r="H1264" s="21">
        <v>1278.1600000000001</v>
      </c>
      <c r="I1264">
        <v>0</v>
      </c>
      <c r="J1264" s="21">
        <v>0</v>
      </c>
      <c r="K1264">
        <v>12</v>
      </c>
      <c r="L1264" s="21">
        <v>306.76</v>
      </c>
      <c r="M1264" s="21">
        <v>2863.08</v>
      </c>
      <c r="N1264" s="21">
        <v>1507.46</v>
      </c>
      <c r="O1264" s="21">
        <v>1048.8599999999999</v>
      </c>
      <c r="P1264" t="s">
        <v>125</v>
      </c>
      <c r="Q1264" t="s">
        <v>122</v>
      </c>
      <c r="R1264" t="s">
        <v>151</v>
      </c>
      <c r="S1264" t="s">
        <v>3062</v>
      </c>
      <c r="T1264" t="s">
        <v>161</v>
      </c>
      <c r="U1264" t="s">
        <v>154</v>
      </c>
      <c r="V1264" t="str">
        <f>IFERROR(INDEX(Products!$C:$C,MATCH(D1264,Products!$A:$A,0)),"Unknown")</f>
        <v>Belts</v>
      </c>
      <c r="W1264" t="str">
        <f>IFERROR(INDEX(Products!$E:$E,MATCH(D1264,Products!$A:$A,0)),"Unknown")</f>
        <v>Liberty</v>
      </c>
      <c r="X1264" t="str">
        <f>IFERROR(INDEX(Stores!$B:$B,MATCH(E1264,Stores!$A:$A,0)),"Unknown")</f>
        <v>TrendMart Thiruvananthapuram High Street</v>
      </c>
      <c r="Y1264" t="str">
        <f>IFERROR(INDEX(Stores!$E:$E,MATCH(E1264,Stores!$A:$A,0)),"Unknown")</f>
        <v>South Zone 1</v>
      </c>
      <c r="Z1264" t="str">
        <f>IFERROR(INDEX(Customers!$J:$J,MATCH(C1264,Customers!$A:$A,0)),"Unknown")</f>
        <v>Regular</v>
      </c>
      <c r="AA1264" t="str">
        <f t="shared" si="19"/>
        <v>2024-12</v>
      </c>
      <c r="AB1264" t="str">
        <f>IFERROR(INDEX(Products!$I:$I,MATCH(D1264,Products!$A:$A,0)),"Unknown")</f>
        <v>SUP063</v>
      </c>
    </row>
    <row r="1265" spans="1:28" x14ac:dyDescent="0.25">
      <c r="A1265" t="s">
        <v>3063</v>
      </c>
      <c r="B1265" s="20">
        <v>45576</v>
      </c>
      <c r="C1265" t="s">
        <v>840</v>
      </c>
      <c r="D1265" t="s">
        <v>342</v>
      </c>
      <c r="E1265" t="s">
        <v>88</v>
      </c>
      <c r="F1265" t="s">
        <v>532</v>
      </c>
      <c r="G1265">
        <v>3</v>
      </c>
      <c r="H1265" s="21">
        <v>4905.95</v>
      </c>
      <c r="I1265">
        <v>20</v>
      </c>
      <c r="J1265" s="21">
        <v>2943.57</v>
      </c>
      <c r="K1265">
        <v>12</v>
      </c>
      <c r="L1265" s="21">
        <v>1412.91</v>
      </c>
      <c r="M1265" s="21">
        <v>13187.19</v>
      </c>
      <c r="N1265" s="21">
        <v>10951.65</v>
      </c>
      <c r="O1265" s="21">
        <v>822.63</v>
      </c>
      <c r="P1265" t="s">
        <v>121</v>
      </c>
      <c r="Q1265" t="s">
        <v>122</v>
      </c>
      <c r="R1265" t="s">
        <v>151</v>
      </c>
      <c r="S1265" t="s">
        <v>3064</v>
      </c>
      <c r="T1265" t="s">
        <v>153</v>
      </c>
      <c r="U1265" t="s">
        <v>154</v>
      </c>
      <c r="V1265" t="str">
        <f>IFERROR(INDEX(Products!$C:$C,MATCH(D1265,Products!$A:$A,0)),"Unknown")</f>
        <v>Watches</v>
      </c>
      <c r="W1265" t="str">
        <f>IFERROR(INDEX(Products!$E:$E,MATCH(D1265,Products!$A:$A,0)),"Unknown")</f>
        <v>Pepe Jeans</v>
      </c>
      <c r="X1265" t="str">
        <f>IFERROR(INDEX(Stores!$B:$B,MATCH(E1265,Stores!$A:$A,0)),"Unknown")</f>
        <v>TrendMart Kozhikode Mall Kiosk</v>
      </c>
      <c r="Y1265" t="str">
        <f>IFERROR(INDEX(Stores!$E:$E,MATCH(E1265,Stores!$A:$A,0)),"Unknown")</f>
        <v>South Zone 1</v>
      </c>
      <c r="Z1265" t="str">
        <f>IFERROR(INDEX(Customers!$J:$J,MATCH(C1265,Customers!$A:$A,0)),"Unknown")</f>
        <v>Platinum</v>
      </c>
      <c r="AA1265" t="str">
        <f t="shared" si="19"/>
        <v>2024-10</v>
      </c>
      <c r="AB1265" t="str">
        <f>IFERROR(INDEX(Products!$I:$I,MATCH(D1265,Products!$A:$A,0)),"Unknown")</f>
        <v>SUP052</v>
      </c>
    </row>
    <row r="1266" spans="1:28" x14ac:dyDescent="0.25">
      <c r="A1266" t="s">
        <v>3065</v>
      </c>
      <c r="B1266" s="20">
        <v>45649</v>
      </c>
      <c r="C1266" t="s">
        <v>2934</v>
      </c>
      <c r="D1266" t="s">
        <v>2402</v>
      </c>
      <c r="E1266" t="s">
        <v>451</v>
      </c>
      <c r="F1266" t="s">
        <v>335</v>
      </c>
      <c r="G1266">
        <v>3</v>
      </c>
      <c r="H1266" s="21">
        <v>1992.74</v>
      </c>
      <c r="I1266">
        <v>25</v>
      </c>
      <c r="J1266" s="21">
        <v>1494.56</v>
      </c>
      <c r="K1266">
        <v>12</v>
      </c>
      <c r="L1266" s="21">
        <v>538.04</v>
      </c>
      <c r="M1266" s="21">
        <v>5021.7</v>
      </c>
      <c r="N1266" s="21">
        <v>4096.95</v>
      </c>
      <c r="O1266" s="21">
        <v>386.71</v>
      </c>
      <c r="P1266" t="s">
        <v>125</v>
      </c>
      <c r="Q1266" t="s">
        <v>120</v>
      </c>
      <c r="R1266" t="s">
        <v>151</v>
      </c>
      <c r="S1266" t="s">
        <v>1134</v>
      </c>
      <c r="T1266" t="s">
        <v>153</v>
      </c>
      <c r="U1266" t="s">
        <v>154</v>
      </c>
      <c r="V1266" t="str">
        <f>IFERROR(INDEX(Products!$C:$C,MATCH(D1266,Products!$A:$A,0)),"Unknown")</f>
        <v>Handbags</v>
      </c>
      <c r="W1266" t="str">
        <f>IFERROR(INDEX(Products!$E:$E,MATCH(D1266,Products!$A:$A,0)),"Unknown")</f>
        <v>Allen Solly</v>
      </c>
      <c r="X1266" t="str">
        <f>IFERROR(INDEX(Stores!$B:$B,MATCH(E1266,Stores!$A:$A,0)),"Unknown")</f>
        <v>TrendMart Thoothukudi High Street</v>
      </c>
      <c r="Y1266" t="str">
        <f>IFERROR(INDEX(Stores!$E:$E,MATCH(E1266,Stores!$A:$A,0)),"Unknown")</f>
        <v>South Zone 1</v>
      </c>
      <c r="Z1266" t="str">
        <f>IFERROR(INDEX(Customers!$J:$J,MATCH(C1266,Customers!$A:$A,0)),"Unknown")</f>
        <v>Gold</v>
      </c>
      <c r="AA1266" t="str">
        <f t="shared" si="19"/>
        <v>2024-12</v>
      </c>
      <c r="AB1266" t="str">
        <f>IFERROR(INDEX(Products!$I:$I,MATCH(D1266,Products!$A:$A,0)),"Unknown")</f>
        <v>SUP043</v>
      </c>
    </row>
    <row r="1267" spans="1:28" x14ac:dyDescent="0.25">
      <c r="A1267" t="s">
        <v>3066</v>
      </c>
      <c r="B1267" s="20">
        <v>45447</v>
      </c>
      <c r="C1267" t="s">
        <v>316</v>
      </c>
      <c r="D1267" t="s">
        <v>717</v>
      </c>
      <c r="E1267" t="s">
        <v>1023</v>
      </c>
      <c r="F1267" t="s">
        <v>532</v>
      </c>
      <c r="G1267">
        <v>2</v>
      </c>
      <c r="H1267" s="21">
        <v>1681.79</v>
      </c>
      <c r="I1267">
        <v>20</v>
      </c>
      <c r="J1267" s="21">
        <v>672.72</v>
      </c>
      <c r="K1267">
        <v>12</v>
      </c>
      <c r="L1267" s="21">
        <v>322.89999999999998</v>
      </c>
      <c r="M1267" s="21">
        <v>3013.76</v>
      </c>
      <c r="N1267" s="21">
        <v>2266.54</v>
      </c>
      <c r="O1267" s="21">
        <v>424.32</v>
      </c>
      <c r="P1267" t="s">
        <v>123</v>
      </c>
      <c r="Q1267" t="s">
        <v>120</v>
      </c>
      <c r="R1267" t="s">
        <v>151</v>
      </c>
      <c r="S1267" t="s">
        <v>584</v>
      </c>
      <c r="T1267" t="s">
        <v>153</v>
      </c>
      <c r="U1267" t="s">
        <v>154</v>
      </c>
      <c r="V1267" t="str">
        <f>IFERROR(INDEX(Products!$C:$C,MATCH(D1267,Products!$A:$A,0)),"Unknown")</f>
        <v>Women Dresses</v>
      </c>
      <c r="W1267" t="str">
        <f>IFERROR(INDEX(Products!$E:$E,MATCH(D1267,Products!$A:$A,0)),"Unknown")</f>
        <v>Pantaloons</v>
      </c>
      <c r="X1267" t="str">
        <f>IFERROR(INDEX(Stores!$B:$B,MATCH(E1267,Stores!$A:$A,0)),"Unknown")</f>
        <v>TrendMart Kochi High Street</v>
      </c>
      <c r="Y1267" t="str">
        <f>IFERROR(INDEX(Stores!$E:$E,MATCH(E1267,Stores!$A:$A,0)),"Unknown")</f>
        <v>South Zone 1</v>
      </c>
      <c r="Z1267" t="str">
        <f>IFERROR(INDEX(Customers!$J:$J,MATCH(C1267,Customers!$A:$A,0)),"Unknown")</f>
        <v>Regular</v>
      </c>
      <c r="AA1267" t="str">
        <f t="shared" si="19"/>
        <v>2024-06</v>
      </c>
      <c r="AB1267" t="str">
        <f>IFERROR(INDEX(Products!$I:$I,MATCH(D1267,Products!$A:$A,0)),"Unknown")</f>
        <v>SUP046</v>
      </c>
    </row>
    <row r="1268" spans="1:28" x14ac:dyDescent="0.25">
      <c r="A1268" t="s">
        <v>3067</v>
      </c>
      <c r="B1268" s="20">
        <v>45473</v>
      </c>
      <c r="C1268" t="s">
        <v>320</v>
      </c>
      <c r="D1268" t="s">
        <v>3068</v>
      </c>
      <c r="E1268" t="s">
        <v>442</v>
      </c>
      <c r="F1268" t="s">
        <v>377</v>
      </c>
      <c r="G1268">
        <v>1</v>
      </c>
      <c r="H1268" s="21">
        <v>3083.21</v>
      </c>
      <c r="I1268">
        <v>10</v>
      </c>
      <c r="J1268" s="21">
        <v>308.32</v>
      </c>
      <c r="K1268">
        <v>12</v>
      </c>
      <c r="L1268" s="21">
        <v>332.99</v>
      </c>
      <c r="M1268" s="21">
        <v>3107.88</v>
      </c>
      <c r="N1268" s="21">
        <v>2149.6999999999998</v>
      </c>
      <c r="O1268" s="21">
        <v>625.19000000000005</v>
      </c>
      <c r="P1268" t="s">
        <v>125</v>
      </c>
      <c r="Q1268" t="s">
        <v>122</v>
      </c>
      <c r="R1268" t="s">
        <v>151</v>
      </c>
      <c r="S1268" t="s">
        <v>1666</v>
      </c>
      <c r="T1268" t="s">
        <v>161</v>
      </c>
      <c r="U1268" t="s">
        <v>154</v>
      </c>
      <c r="V1268" t="str">
        <f>IFERROR(INDEX(Products!$C:$C,MATCH(D1268,Products!$A:$A,0)),"Unknown")</f>
        <v>Footwear</v>
      </c>
      <c r="W1268" t="str">
        <f>IFERROR(INDEX(Products!$E:$E,MATCH(D1268,Products!$A:$A,0)),"Unknown")</f>
        <v>Bata</v>
      </c>
      <c r="X1268" t="str">
        <f>IFERROR(INDEX(Stores!$B:$B,MATCH(E1268,Stores!$A:$A,0)),"Unknown")</f>
        <v>TrendMart Bengaluru Standard</v>
      </c>
      <c r="Y1268" t="str">
        <f>IFERROR(INDEX(Stores!$E:$E,MATCH(E1268,Stores!$A:$A,0)),"Unknown")</f>
        <v>South Zone 2</v>
      </c>
      <c r="Z1268" t="str">
        <f>IFERROR(INDEX(Customers!$J:$J,MATCH(C1268,Customers!$A:$A,0)),"Unknown")</f>
        <v>Regular</v>
      </c>
      <c r="AA1268" t="str">
        <f t="shared" si="19"/>
        <v>2024-06</v>
      </c>
      <c r="AB1268" t="str">
        <f>IFERROR(INDEX(Products!$I:$I,MATCH(D1268,Products!$A:$A,0)),"Unknown")</f>
        <v>SUP074</v>
      </c>
    </row>
    <row r="1269" spans="1:28" x14ac:dyDescent="0.25">
      <c r="A1269" t="s">
        <v>3069</v>
      </c>
      <c r="B1269" s="20">
        <v>45540</v>
      </c>
      <c r="C1269" t="s">
        <v>2341</v>
      </c>
      <c r="D1269" t="s">
        <v>549</v>
      </c>
      <c r="E1269" t="s">
        <v>613</v>
      </c>
      <c r="F1269" t="s">
        <v>516</v>
      </c>
      <c r="G1269">
        <v>3</v>
      </c>
      <c r="H1269" s="21">
        <v>1216.82</v>
      </c>
      <c r="I1269">
        <v>10</v>
      </c>
      <c r="J1269" s="21">
        <v>365.05</v>
      </c>
      <c r="K1269">
        <v>12</v>
      </c>
      <c r="L1269" s="21">
        <v>394.25</v>
      </c>
      <c r="M1269" s="21">
        <v>3679.66</v>
      </c>
      <c r="N1269" s="21">
        <v>2564.5500000000002</v>
      </c>
      <c r="O1269" s="21">
        <v>720.86</v>
      </c>
      <c r="P1269" t="s">
        <v>124</v>
      </c>
      <c r="Q1269" t="s">
        <v>122</v>
      </c>
      <c r="R1269" t="s">
        <v>151</v>
      </c>
      <c r="S1269" t="s">
        <v>3070</v>
      </c>
      <c r="T1269" t="s">
        <v>153</v>
      </c>
      <c r="U1269" t="s">
        <v>154</v>
      </c>
      <c r="V1269" t="str">
        <f>IFERROR(INDEX(Products!$C:$C,MATCH(D1269,Products!$A:$A,0)),"Unknown")</f>
        <v>Footwear</v>
      </c>
      <c r="W1269" t="str">
        <f>IFERROR(INDEX(Products!$E:$E,MATCH(D1269,Products!$A:$A,0)),"Unknown")</f>
        <v>Joyalukkas</v>
      </c>
      <c r="X1269" t="str">
        <f>IFERROR(INDEX(Stores!$B:$B,MATCH(E1269,Stores!$A:$A,0)),"Unknown")</f>
        <v>TrendMart Kochi Mall Kiosk</v>
      </c>
      <c r="Y1269" t="str">
        <f>IFERROR(INDEX(Stores!$E:$E,MATCH(E1269,Stores!$A:$A,0)),"Unknown")</f>
        <v>South Zone 1</v>
      </c>
      <c r="Z1269" t="str">
        <f>IFERROR(INDEX(Customers!$J:$J,MATCH(C1269,Customers!$A:$A,0)),"Unknown")</f>
        <v>Regular</v>
      </c>
      <c r="AA1269" t="str">
        <f t="shared" si="19"/>
        <v>2024-09</v>
      </c>
      <c r="AB1269" t="str">
        <f>IFERROR(INDEX(Products!$I:$I,MATCH(D1269,Products!$A:$A,0)),"Unknown")</f>
        <v>SUP016</v>
      </c>
    </row>
    <row r="1270" spans="1:28" x14ac:dyDescent="0.25">
      <c r="A1270" t="s">
        <v>3071</v>
      </c>
      <c r="B1270" s="20">
        <v>45625</v>
      </c>
      <c r="C1270" t="s">
        <v>2253</v>
      </c>
      <c r="D1270" t="s">
        <v>769</v>
      </c>
      <c r="E1270" t="s">
        <v>97</v>
      </c>
      <c r="F1270" t="s">
        <v>159</v>
      </c>
      <c r="G1270">
        <v>3</v>
      </c>
      <c r="H1270" s="21">
        <v>1590.21</v>
      </c>
      <c r="I1270">
        <v>25</v>
      </c>
      <c r="J1270" s="21">
        <v>1192.6600000000001</v>
      </c>
      <c r="K1270">
        <v>12</v>
      </c>
      <c r="L1270" s="21">
        <v>429.36</v>
      </c>
      <c r="M1270" s="21">
        <v>4007.33</v>
      </c>
      <c r="N1270" s="21">
        <v>3345.57</v>
      </c>
      <c r="O1270" s="21">
        <v>232.4</v>
      </c>
      <c r="P1270" t="s">
        <v>121</v>
      </c>
      <c r="Q1270" t="s">
        <v>120</v>
      </c>
      <c r="R1270" t="s">
        <v>151</v>
      </c>
      <c r="S1270" t="s">
        <v>177</v>
      </c>
      <c r="T1270" t="s">
        <v>153</v>
      </c>
      <c r="U1270" t="s">
        <v>154</v>
      </c>
      <c r="V1270" t="str">
        <f>IFERROR(INDEX(Products!$C:$C,MATCH(D1270,Products!$A:$A,0)),"Unknown")</f>
        <v>Sportswear</v>
      </c>
      <c r="W1270" t="str">
        <f>IFERROR(INDEX(Products!$E:$E,MATCH(D1270,Products!$A:$A,0)),"Unknown")</f>
        <v>Allen Solly</v>
      </c>
      <c r="X1270" t="str">
        <f>IFERROR(INDEX(Stores!$B:$B,MATCH(E1270,Stores!$A:$A,0)),"Unknown")</f>
        <v>TrendMart Guntur Flagship</v>
      </c>
      <c r="Y1270" t="str">
        <f>IFERROR(INDEX(Stores!$E:$E,MATCH(E1270,Stores!$A:$A,0)),"Unknown")</f>
        <v>South Zone 3</v>
      </c>
      <c r="Z1270" t="str">
        <f>IFERROR(INDEX(Customers!$J:$J,MATCH(C1270,Customers!$A:$A,0)),"Unknown")</f>
        <v>Regular</v>
      </c>
      <c r="AA1270" t="str">
        <f t="shared" si="19"/>
        <v>2024-11</v>
      </c>
      <c r="AB1270" t="str">
        <f>IFERROR(INDEX(Products!$I:$I,MATCH(D1270,Products!$A:$A,0)),"Unknown")</f>
        <v>SUP029</v>
      </c>
    </row>
    <row r="1271" spans="1:28" x14ac:dyDescent="0.25">
      <c r="A1271" t="s">
        <v>3072</v>
      </c>
      <c r="B1271" s="20">
        <v>45618</v>
      </c>
      <c r="C1271" t="s">
        <v>3073</v>
      </c>
      <c r="D1271" t="s">
        <v>670</v>
      </c>
      <c r="E1271" t="s">
        <v>639</v>
      </c>
      <c r="F1271" t="s">
        <v>403</v>
      </c>
      <c r="G1271">
        <v>1</v>
      </c>
      <c r="H1271" s="21">
        <v>2030.03</v>
      </c>
      <c r="I1271">
        <v>0</v>
      </c>
      <c r="J1271" s="21">
        <v>0</v>
      </c>
      <c r="K1271">
        <v>12</v>
      </c>
      <c r="L1271" s="21">
        <v>243.6</v>
      </c>
      <c r="M1271" s="21">
        <v>2273.63</v>
      </c>
      <c r="N1271" s="21">
        <v>1378.38</v>
      </c>
      <c r="O1271" s="21">
        <v>651.65</v>
      </c>
      <c r="P1271" t="s">
        <v>121</v>
      </c>
      <c r="Q1271" t="s">
        <v>120</v>
      </c>
      <c r="R1271" t="s">
        <v>151</v>
      </c>
      <c r="S1271" t="s">
        <v>3074</v>
      </c>
      <c r="T1271" t="s">
        <v>153</v>
      </c>
      <c r="U1271" t="s">
        <v>154</v>
      </c>
      <c r="V1271" t="str">
        <f>IFERROR(INDEX(Products!$C:$C,MATCH(D1271,Products!$A:$A,0)),"Unknown")</f>
        <v>Women Sarees</v>
      </c>
      <c r="W1271" t="str">
        <f>IFERROR(INDEX(Products!$E:$E,MATCH(D1271,Products!$A:$A,0)),"Unknown")</f>
        <v>Reebok</v>
      </c>
      <c r="X1271" t="str">
        <f>IFERROR(INDEX(Stores!$B:$B,MATCH(E1271,Stores!$A:$A,0)),"Unknown")</f>
        <v>TrendMart Kurnool Outlet</v>
      </c>
      <c r="Y1271" t="str">
        <f>IFERROR(INDEX(Stores!$E:$E,MATCH(E1271,Stores!$A:$A,0)),"Unknown")</f>
        <v>South Zone 3</v>
      </c>
      <c r="Z1271" t="str">
        <f>IFERROR(INDEX(Customers!$J:$J,MATCH(C1271,Customers!$A:$A,0)),"Unknown")</f>
        <v>Regular</v>
      </c>
      <c r="AA1271" t="str">
        <f t="shared" si="19"/>
        <v>2024-11</v>
      </c>
      <c r="AB1271" t="str">
        <f>IFERROR(INDEX(Products!$I:$I,MATCH(D1271,Products!$A:$A,0)),"Unknown")</f>
        <v>SUP073</v>
      </c>
    </row>
    <row r="1272" spans="1:28" x14ac:dyDescent="0.25">
      <c r="A1272" t="s">
        <v>3075</v>
      </c>
      <c r="B1272" s="20">
        <v>45617</v>
      </c>
      <c r="C1272" t="s">
        <v>1193</v>
      </c>
      <c r="D1272" t="s">
        <v>1160</v>
      </c>
      <c r="E1272" t="s">
        <v>206</v>
      </c>
      <c r="F1272" t="s">
        <v>281</v>
      </c>
      <c r="G1272">
        <v>3</v>
      </c>
      <c r="H1272" s="21">
        <v>1392.58</v>
      </c>
      <c r="I1272">
        <v>5</v>
      </c>
      <c r="J1272" s="21">
        <v>208.89</v>
      </c>
      <c r="K1272">
        <v>12</v>
      </c>
      <c r="L1272" s="21">
        <v>476.26</v>
      </c>
      <c r="M1272" s="21">
        <v>4445.1099999999997</v>
      </c>
      <c r="N1272" s="21">
        <v>2926.08</v>
      </c>
      <c r="O1272" s="21">
        <v>1042.77</v>
      </c>
      <c r="P1272" t="s">
        <v>124</v>
      </c>
      <c r="Q1272" t="s">
        <v>120</v>
      </c>
      <c r="R1272" t="s">
        <v>151</v>
      </c>
      <c r="S1272" t="s">
        <v>243</v>
      </c>
      <c r="T1272" t="s">
        <v>153</v>
      </c>
      <c r="U1272" t="s">
        <v>154</v>
      </c>
      <c r="V1272" t="str">
        <f>IFERROR(INDEX(Products!$C:$C,MATCH(D1272,Products!$A:$A,0)),"Unknown")</f>
        <v>Men Jeans</v>
      </c>
      <c r="W1272" t="str">
        <f>IFERROR(INDEX(Products!$E:$E,MATCH(D1272,Products!$A:$A,0)),"Unknown")</f>
        <v>Skechers</v>
      </c>
      <c r="X1272" t="str">
        <f>IFERROR(INDEX(Stores!$B:$B,MATCH(E1272,Stores!$A:$A,0)),"Unknown")</f>
        <v>TrendMart Nizamabad Outlet</v>
      </c>
      <c r="Y1272" t="str">
        <f>IFERROR(INDEX(Stores!$E:$E,MATCH(E1272,Stores!$A:$A,0)),"Unknown")</f>
        <v>South Zone 2</v>
      </c>
      <c r="Z1272" t="str">
        <f>IFERROR(INDEX(Customers!$J:$J,MATCH(C1272,Customers!$A:$A,0)),"Unknown")</f>
        <v>Platinum</v>
      </c>
      <c r="AA1272" t="str">
        <f t="shared" si="19"/>
        <v>2024-11</v>
      </c>
      <c r="AB1272" t="str">
        <f>IFERROR(INDEX(Products!$I:$I,MATCH(D1272,Products!$A:$A,0)),"Unknown")</f>
        <v>SUP013</v>
      </c>
    </row>
    <row r="1273" spans="1:28" x14ac:dyDescent="0.25">
      <c r="A1273" t="s">
        <v>3076</v>
      </c>
      <c r="B1273" s="20">
        <v>45746</v>
      </c>
      <c r="C1273" t="s">
        <v>1377</v>
      </c>
      <c r="D1273" t="s">
        <v>1200</v>
      </c>
      <c r="E1273" t="s">
        <v>90</v>
      </c>
      <c r="F1273" t="s">
        <v>532</v>
      </c>
      <c r="G1273">
        <v>1</v>
      </c>
      <c r="H1273" s="21">
        <v>3850.67</v>
      </c>
      <c r="I1273">
        <v>20</v>
      </c>
      <c r="J1273" s="21">
        <v>770.13</v>
      </c>
      <c r="K1273">
        <v>12</v>
      </c>
      <c r="L1273" s="21">
        <v>369.66</v>
      </c>
      <c r="M1273" s="21">
        <v>3450.2</v>
      </c>
      <c r="N1273" s="21">
        <v>2237.8200000000002</v>
      </c>
      <c r="O1273" s="21">
        <v>842.72</v>
      </c>
      <c r="P1273" t="s">
        <v>125</v>
      </c>
      <c r="Q1273" t="s">
        <v>120</v>
      </c>
      <c r="R1273" t="s">
        <v>151</v>
      </c>
      <c r="S1273" t="s">
        <v>2994</v>
      </c>
      <c r="T1273" t="s">
        <v>161</v>
      </c>
      <c r="U1273" t="s">
        <v>154</v>
      </c>
      <c r="V1273" t="str">
        <f>IFERROR(INDEX(Products!$C:$C,MATCH(D1273,Products!$A:$A,0)),"Unknown")</f>
        <v>Footwear</v>
      </c>
      <c r="W1273" t="str">
        <f>IFERROR(INDEX(Products!$E:$E,MATCH(D1273,Products!$A:$A,0)),"Unknown")</f>
        <v>Kalyan Silks</v>
      </c>
      <c r="X1273" t="str">
        <f>IFERROR(INDEX(Stores!$B:$B,MATCH(E1273,Stores!$A:$A,0)),"Unknown")</f>
        <v>TrendMart Thoothukudi Mall Kiosk</v>
      </c>
      <c r="Y1273" t="str">
        <f>IFERROR(INDEX(Stores!$E:$E,MATCH(E1273,Stores!$A:$A,0)),"Unknown")</f>
        <v>South Zone 1</v>
      </c>
      <c r="Z1273" t="str">
        <f>IFERROR(INDEX(Customers!$J:$J,MATCH(C1273,Customers!$A:$A,0)),"Unknown")</f>
        <v>Silver</v>
      </c>
      <c r="AA1273" t="str">
        <f t="shared" si="19"/>
        <v>2025-03</v>
      </c>
      <c r="AB1273" t="str">
        <f>IFERROR(INDEX(Products!$I:$I,MATCH(D1273,Products!$A:$A,0)),"Unknown")</f>
        <v>SUP090</v>
      </c>
    </row>
    <row r="1274" spans="1:28" x14ac:dyDescent="0.25">
      <c r="A1274" t="s">
        <v>3077</v>
      </c>
      <c r="B1274" s="20">
        <v>45652</v>
      </c>
      <c r="C1274" t="s">
        <v>1196</v>
      </c>
      <c r="D1274" t="s">
        <v>1200</v>
      </c>
      <c r="E1274" t="s">
        <v>216</v>
      </c>
      <c r="F1274" t="s">
        <v>532</v>
      </c>
      <c r="G1274">
        <v>3</v>
      </c>
      <c r="H1274" s="21">
        <v>3349.42</v>
      </c>
      <c r="I1274">
        <v>0</v>
      </c>
      <c r="J1274" s="21">
        <v>0</v>
      </c>
      <c r="K1274">
        <v>12</v>
      </c>
      <c r="L1274" s="21">
        <v>1205.79</v>
      </c>
      <c r="M1274" s="21">
        <v>11254.05</v>
      </c>
      <c r="N1274" s="21">
        <v>6713.46</v>
      </c>
      <c r="O1274" s="21">
        <v>3334.8</v>
      </c>
      <c r="P1274" t="s">
        <v>121</v>
      </c>
      <c r="Q1274" t="s">
        <v>122</v>
      </c>
      <c r="R1274" t="s">
        <v>151</v>
      </c>
      <c r="S1274" t="s">
        <v>1737</v>
      </c>
      <c r="T1274" t="s">
        <v>153</v>
      </c>
      <c r="U1274" t="s">
        <v>154</v>
      </c>
      <c r="V1274" t="str">
        <f>IFERROR(INDEX(Products!$C:$C,MATCH(D1274,Products!$A:$A,0)),"Unknown")</f>
        <v>Footwear</v>
      </c>
      <c r="W1274" t="str">
        <f>IFERROR(INDEX(Products!$E:$E,MATCH(D1274,Products!$A:$A,0)),"Unknown")</f>
        <v>Kalyan Silks</v>
      </c>
      <c r="X1274" t="str">
        <f>IFERROR(INDEX(Stores!$B:$B,MATCH(E1274,Stores!$A:$A,0)),"Unknown")</f>
        <v>TrendMart Madurai Mall Kiosk</v>
      </c>
      <c r="Y1274" t="str">
        <f>IFERROR(INDEX(Stores!$E:$E,MATCH(E1274,Stores!$A:$A,0)),"Unknown")</f>
        <v>South Zone 1</v>
      </c>
      <c r="Z1274" t="str">
        <f>IFERROR(INDEX(Customers!$J:$J,MATCH(C1274,Customers!$A:$A,0)),"Unknown")</f>
        <v>Silver</v>
      </c>
      <c r="AA1274" t="str">
        <f t="shared" si="19"/>
        <v>2024-12</v>
      </c>
      <c r="AB1274" t="str">
        <f>IFERROR(INDEX(Products!$I:$I,MATCH(D1274,Products!$A:$A,0)),"Unknown")</f>
        <v>SUP090</v>
      </c>
    </row>
    <row r="1275" spans="1:28" x14ac:dyDescent="0.25">
      <c r="A1275" t="s">
        <v>3078</v>
      </c>
      <c r="B1275" s="20">
        <v>45736</v>
      </c>
      <c r="C1275" t="s">
        <v>3079</v>
      </c>
      <c r="D1275" t="s">
        <v>1691</v>
      </c>
      <c r="E1275" t="s">
        <v>667</v>
      </c>
      <c r="F1275" t="s">
        <v>408</v>
      </c>
      <c r="G1275">
        <v>1</v>
      </c>
      <c r="H1275" s="21">
        <v>936.23</v>
      </c>
      <c r="I1275">
        <v>15</v>
      </c>
      <c r="J1275" s="21">
        <v>140.43</v>
      </c>
      <c r="K1275">
        <v>5</v>
      </c>
      <c r="L1275" s="21">
        <v>39.79</v>
      </c>
      <c r="M1275" s="21">
        <v>835.59</v>
      </c>
      <c r="N1275" s="21">
        <v>700.93</v>
      </c>
      <c r="O1275" s="21">
        <v>94.87</v>
      </c>
      <c r="P1275" t="s">
        <v>121</v>
      </c>
      <c r="Q1275" t="s">
        <v>120</v>
      </c>
      <c r="R1275" t="s">
        <v>151</v>
      </c>
      <c r="S1275" t="s">
        <v>1225</v>
      </c>
      <c r="T1275" t="s">
        <v>153</v>
      </c>
      <c r="U1275" t="s">
        <v>154</v>
      </c>
      <c r="V1275" t="str">
        <f>IFERROR(INDEX(Products!$C:$C,MATCH(D1275,Products!$A:$A,0)),"Unknown")</f>
        <v>Women Jeans</v>
      </c>
      <c r="W1275" t="str">
        <f>IFERROR(INDEX(Products!$E:$E,MATCH(D1275,Products!$A:$A,0)),"Unknown")</f>
        <v>Global Desi</v>
      </c>
      <c r="X1275" t="str">
        <f>IFERROR(INDEX(Stores!$B:$B,MATCH(E1275,Stores!$A:$A,0)),"Unknown")</f>
        <v>TrendMart Hyderabad High Street</v>
      </c>
      <c r="Y1275" t="str">
        <f>IFERROR(INDEX(Stores!$E:$E,MATCH(E1275,Stores!$A:$A,0)),"Unknown")</f>
        <v>South Zone 2</v>
      </c>
      <c r="Z1275" t="str">
        <f>IFERROR(INDEX(Customers!$J:$J,MATCH(C1275,Customers!$A:$A,0)),"Unknown")</f>
        <v>Regular</v>
      </c>
      <c r="AA1275" t="str">
        <f t="shared" si="19"/>
        <v>2025-03</v>
      </c>
      <c r="AB1275" t="str">
        <f>IFERROR(INDEX(Products!$I:$I,MATCH(D1275,Products!$A:$A,0)),"Unknown")</f>
        <v>SUP015</v>
      </c>
    </row>
    <row r="1276" spans="1:28" x14ac:dyDescent="0.25">
      <c r="A1276" t="s">
        <v>3080</v>
      </c>
      <c r="B1276" s="20">
        <v>45713</v>
      </c>
      <c r="C1276" t="s">
        <v>3081</v>
      </c>
      <c r="D1276" t="s">
        <v>1350</v>
      </c>
      <c r="E1276" t="s">
        <v>1325</v>
      </c>
      <c r="F1276" t="s">
        <v>275</v>
      </c>
      <c r="G1276">
        <v>1</v>
      </c>
      <c r="H1276" s="21">
        <v>647.4</v>
      </c>
      <c r="I1276">
        <v>30</v>
      </c>
      <c r="J1276" s="21">
        <v>194.22</v>
      </c>
      <c r="K1276">
        <v>5</v>
      </c>
      <c r="L1276" s="21">
        <v>22.66</v>
      </c>
      <c r="M1276" s="21">
        <v>475.84</v>
      </c>
      <c r="N1276" s="21">
        <v>419.4</v>
      </c>
      <c r="O1276" s="21">
        <v>33.78</v>
      </c>
      <c r="P1276" t="s">
        <v>125</v>
      </c>
      <c r="Q1276" t="s">
        <v>120</v>
      </c>
      <c r="R1276" t="s">
        <v>151</v>
      </c>
      <c r="S1276" t="s">
        <v>3082</v>
      </c>
      <c r="T1276" t="s">
        <v>153</v>
      </c>
      <c r="U1276" t="s">
        <v>154</v>
      </c>
      <c r="V1276" t="str">
        <f>IFERROR(INDEX(Products!$C:$C,MATCH(D1276,Products!$A:$A,0)),"Unknown")</f>
        <v>Women Tops</v>
      </c>
      <c r="W1276" t="str">
        <f>IFERROR(INDEX(Products!$E:$E,MATCH(D1276,Products!$A:$A,0)),"Unknown")</f>
        <v>Jack &amp; Jones</v>
      </c>
      <c r="X1276" t="str">
        <f>IFERROR(INDEX(Stores!$B:$B,MATCH(E1276,Stores!$A:$A,0)),"Unknown")</f>
        <v>TrendMart Thrissur Standard</v>
      </c>
      <c r="Y1276" t="str">
        <f>IFERROR(INDEX(Stores!$E:$E,MATCH(E1276,Stores!$A:$A,0)),"Unknown")</f>
        <v>South Zone 1</v>
      </c>
      <c r="Z1276" t="str">
        <f>IFERROR(INDEX(Customers!$J:$J,MATCH(C1276,Customers!$A:$A,0)),"Unknown")</f>
        <v>Silver</v>
      </c>
      <c r="AA1276" t="str">
        <f t="shared" si="19"/>
        <v>2025-02</v>
      </c>
      <c r="AB1276" t="str">
        <f>IFERROR(INDEX(Products!$I:$I,MATCH(D1276,Products!$A:$A,0)),"Unknown")</f>
        <v>SUP089</v>
      </c>
    </row>
    <row r="1277" spans="1:28" x14ac:dyDescent="0.25">
      <c r="A1277" t="s">
        <v>3083</v>
      </c>
      <c r="B1277" s="20">
        <v>45508</v>
      </c>
      <c r="C1277" t="s">
        <v>1783</v>
      </c>
      <c r="D1277" t="s">
        <v>888</v>
      </c>
      <c r="E1277" t="s">
        <v>1442</v>
      </c>
      <c r="F1277" t="s">
        <v>579</v>
      </c>
      <c r="G1277">
        <v>1</v>
      </c>
      <c r="H1277" s="21">
        <v>6401.33</v>
      </c>
      <c r="I1277">
        <v>0</v>
      </c>
      <c r="J1277" s="21">
        <v>0</v>
      </c>
      <c r="K1277">
        <v>3</v>
      </c>
      <c r="L1277" s="21">
        <v>192.04</v>
      </c>
      <c r="M1277" s="21">
        <v>6593.37</v>
      </c>
      <c r="N1277" s="21">
        <v>4762.76</v>
      </c>
      <c r="O1277" s="21">
        <v>1638.57</v>
      </c>
      <c r="P1277" t="s">
        <v>121</v>
      </c>
      <c r="Q1277" t="s">
        <v>120</v>
      </c>
      <c r="R1277" t="s">
        <v>151</v>
      </c>
      <c r="S1277" t="s">
        <v>2477</v>
      </c>
      <c r="T1277" t="s">
        <v>161</v>
      </c>
      <c r="U1277" t="s">
        <v>154</v>
      </c>
      <c r="V1277" t="str">
        <f>IFERROR(INDEX(Products!$C:$C,MATCH(D1277,Products!$A:$A,0)),"Unknown")</f>
        <v>Jewellery</v>
      </c>
      <c r="W1277" t="str">
        <f>IFERROR(INDEX(Products!$E:$E,MATCH(D1277,Products!$A:$A,0)),"Unknown")</f>
        <v>Aurelia</v>
      </c>
      <c r="X1277" t="str">
        <f>IFERROR(INDEX(Stores!$B:$B,MATCH(E1277,Stores!$A:$A,0)),"Unknown")</f>
        <v>TrendMart Vellore High Street</v>
      </c>
      <c r="Y1277" t="str">
        <f>IFERROR(INDEX(Stores!$E:$E,MATCH(E1277,Stores!$A:$A,0)),"Unknown")</f>
        <v>South Zone 1</v>
      </c>
      <c r="Z1277" t="str">
        <f>IFERROR(INDEX(Customers!$J:$J,MATCH(C1277,Customers!$A:$A,0)),"Unknown")</f>
        <v>Regular</v>
      </c>
      <c r="AA1277" t="str">
        <f t="shared" si="19"/>
        <v>2024-08</v>
      </c>
      <c r="AB1277" t="str">
        <f>IFERROR(INDEX(Products!$I:$I,MATCH(D1277,Products!$A:$A,0)),"Unknown")</f>
        <v>SUP038</v>
      </c>
    </row>
    <row r="1278" spans="1:28" x14ac:dyDescent="0.25">
      <c r="A1278" t="s">
        <v>3084</v>
      </c>
      <c r="B1278" s="20">
        <v>45525</v>
      </c>
      <c r="C1278" t="s">
        <v>2366</v>
      </c>
      <c r="D1278" t="s">
        <v>1026</v>
      </c>
      <c r="E1278" t="s">
        <v>387</v>
      </c>
      <c r="F1278" t="s">
        <v>221</v>
      </c>
      <c r="G1278">
        <v>3</v>
      </c>
      <c r="H1278" s="21">
        <v>1407.53</v>
      </c>
      <c r="I1278">
        <v>25</v>
      </c>
      <c r="J1278" s="21">
        <v>1055.6500000000001</v>
      </c>
      <c r="K1278">
        <v>12</v>
      </c>
      <c r="L1278" s="21">
        <v>380.03</v>
      </c>
      <c r="M1278" s="21">
        <v>3546.97</v>
      </c>
      <c r="N1278" s="21">
        <v>2886.51</v>
      </c>
      <c r="O1278" s="21">
        <v>280.43</v>
      </c>
      <c r="P1278" t="s">
        <v>124</v>
      </c>
      <c r="Q1278" t="s">
        <v>122</v>
      </c>
      <c r="R1278" t="s">
        <v>151</v>
      </c>
      <c r="S1278" t="s">
        <v>3085</v>
      </c>
      <c r="T1278" t="s">
        <v>153</v>
      </c>
      <c r="U1278" t="s">
        <v>154</v>
      </c>
      <c r="V1278" t="str">
        <f>IFERROR(INDEX(Products!$C:$C,MATCH(D1278,Products!$A:$A,0)),"Unknown")</f>
        <v>Women Sarees</v>
      </c>
      <c r="W1278" t="str">
        <f>IFERROR(INDEX(Products!$E:$E,MATCH(D1278,Products!$A:$A,0)),"Unknown")</f>
        <v>Spykar</v>
      </c>
      <c r="X1278" t="str">
        <f>IFERROR(INDEX(Stores!$B:$B,MATCH(E1278,Stores!$A:$A,0)),"Unknown")</f>
        <v>TrendMart Kannur Outlet</v>
      </c>
      <c r="Y1278" t="str">
        <f>IFERROR(INDEX(Stores!$E:$E,MATCH(E1278,Stores!$A:$A,0)),"Unknown")</f>
        <v>South Zone 1</v>
      </c>
      <c r="Z1278" t="str">
        <f>IFERROR(INDEX(Customers!$J:$J,MATCH(C1278,Customers!$A:$A,0)),"Unknown")</f>
        <v>Gold</v>
      </c>
      <c r="AA1278" t="str">
        <f t="shared" si="19"/>
        <v>2024-08</v>
      </c>
      <c r="AB1278" t="str">
        <f>IFERROR(INDEX(Products!$I:$I,MATCH(D1278,Products!$A:$A,0)),"Unknown")</f>
        <v>SUP001</v>
      </c>
    </row>
    <row r="1279" spans="1:28" x14ac:dyDescent="0.25">
      <c r="A1279" t="s">
        <v>3086</v>
      </c>
      <c r="B1279" s="20">
        <v>45416</v>
      </c>
      <c r="C1279" t="s">
        <v>2455</v>
      </c>
      <c r="D1279" t="s">
        <v>3087</v>
      </c>
      <c r="E1279" t="s">
        <v>274</v>
      </c>
      <c r="F1279" t="s">
        <v>189</v>
      </c>
      <c r="G1279">
        <v>1</v>
      </c>
      <c r="H1279" s="21">
        <v>1115.44</v>
      </c>
      <c r="I1279">
        <v>30</v>
      </c>
      <c r="J1279" s="21">
        <v>334.63</v>
      </c>
      <c r="K1279">
        <v>12</v>
      </c>
      <c r="L1279" s="21">
        <v>93.7</v>
      </c>
      <c r="M1279" s="21">
        <v>874.51</v>
      </c>
      <c r="N1279" s="21">
        <v>706.99</v>
      </c>
      <c r="O1279" s="21">
        <v>73.819999999999993</v>
      </c>
      <c r="P1279" t="s">
        <v>127</v>
      </c>
      <c r="Q1279" t="s">
        <v>120</v>
      </c>
      <c r="R1279" t="s">
        <v>151</v>
      </c>
      <c r="S1279" t="s">
        <v>1371</v>
      </c>
      <c r="T1279" t="s">
        <v>161</v>
      </c>
      <c r="U1279" t="s">
        <v>154</v>
      </c>
      <c r="V1279" t="str">
        <f>IFERROR(INDEX(Products!$C:$C,MATCH(D1279,Products!$A:$A,0)),"Unknown")</f>
        <v>Men Trousers</v>
      </c>
      <c r="W1279" t="str">
        <f>IFERROR(INDEX(Products!$E:$E,MATCH(D1279,Products!$A:$A,0)),"Unknown")</f>
        <v>Skechers</v>
      </c>
      <c r="X1279" t="str">
        <f>IFERROR(INDEX(Stores!$B:$B,MATCH(E1279,Stores!$A:$A,0)),"Unknown")</f>
        <v>TrendMart Mangaluru Standard</v>
      </c>
      <c r="Y1279" t="str">
        <f>IFERROR(INDEX(Stores!$E:$E,MATCH(E1279,Stores!$A:$A,0)),"Unknown")</f>
        <v>South Zone 2</v>
      </c>
      <c r="Z1279" t="str">
        <f>IFERROR(INDEX(Customers!$J:$J,MATCH(C1279,Customers!$A:$A,0)),"Unknown")</f>
        <v>Silver</v>
      </c>
      <c r="AA1279" t="str">
        <f t="shared" si="19"/>
        <v>2024-05</v>
      </c>
      <c r="AB1279" t="str">
        <f>IFERROR(INDEX(Products!$I:$I,MATCH(D1279,Products!$A:$A,0)),"Unknown")</f>
        <v>SUP067</v>
      </c>
    </row>
    <row r="1280" spans="1:28" x14ac:dyDescent="0.25">
      <c r="A1280" t="s">
        <v>3088</v>
      </c>
      <c r="B1280" s="20">
        <v>45384</v>
      </c>
      <c r="C1280" t="s">
        <v>2448</v>
      </c>
      <c r="D1280" t="s">
        <v>830</v>
      </c>
      <c r="E1280" t="s">
        <v>511</v>
      </c>
      <c r="F1280" t="s">
        <v>242</v>
      </c>
      <c r="G1280">
        <v>4</v>
      </c>
      <c r="H1280" s="21">
        <v>871.1</v>
      </c>
      <c r="I1280">
        <v>20</v>
      </c>
      <c r="J1280" s="21">
        <v>696.88</v>
      </c>
      <c r="K1280">
        <v>5</v>
      </c>
      <c r="L1280" s="21">
        <v>139.38</v>
      </c>
      <c r="M1280" s="21">
        <v>2926.9</v>
      </c>
      <c r="N1280" s="21">
        <v>2280.8000000000002</v>
      </c>
      <c r="O1280" s="21">
        <v>506.72</v>
      </c>
      <c r="P1280" t="s">
        <v>126</v>
      </c>
      <c r="Q1280" t="s">
        <v>120</v>
      </c>
      <c r="R1280" t="s">
        <v>151</v>
      </c>
      <c r="S1280" t="s">
        <v>1806</v>
      </c>
      <c r="T1280" t="s">
        <v>153</v>
      </c>
      <c r="U1280" t="s">
        <v>154</v>
      </c>
      <c r="V1280" t="str">
        <f>IFERROR(INDEX(Products!$C:$C,MATCH(D1280,Products!$A:$A,0)),"Unknown")</f>
        <v>Men Shirts</v>
      </c>
      <c r="W1280" t="str">
        <f>IFERROR(INDEX(Products!$E:$E,MATCH(D1280,Products!$A:$A,0)),"Unknown")</f>
        <v>AND</v>
      </c>
      <c r="X1280" t="str">
        <f>IFERROR(INDEX(Stores!$B:$B,MATCH(E1280,Stores!$A:$A,0)),"Unknown")</f>
        <v>TrendMart Khammam Standard</v>
      </c>
      <c r="Y1280" t="str">
        <f>IFERROR(INDEX(Stores!$E:$E,MATCH(E1280,Stores!$A:$A,0)),"Unknown")</f>
        <v>South Zone 2</v>
      </c>
      <c r="Z1280" t="str">
        <f>IFERROR(INDEX(Customers!$J:$J,MATCH(C1280,Customers!$A:$A,0)),"Unknown")</f>
        <v>Silver</v>
      </c>
      <c r="AA1280" t="str">
        <f t="shared" si="19"/>
        <v>2024-04</v>
      </c>
      <c r="AB1280" t="str">
        <f>IFERROR(INDEX(Products!$I:$I,MATCH(D1280,Products!$A:$A,0)),"Unknown")</f>
        <v>SUP012</v>
      </c>
    </row>
    <row r="1281" spans="1:28" x14ac:dyDescent="0.25">
      <c r="A1281" t="s">
        <v>3089</v>
      </c>
      <c r="B1281" s="20">
        <v>45624</v>
      </c>
      <c r="C1281" t="s">
        <v>3090</v>
      </c>
      <c r="D1281" t="s">
        <v>888</v>
      </c>
      <c r="E1281" t="s">
        <v>607</v>
      </c>
      <c r="F1281" t="s">
        <v>462</v>
      </c>
      <c r="G1281">
        <v>1</v>
      </c>
      <c r="H1281" s="21">
        <v>6306.81</v>
      </c>
      <c r="I1281">
        <v>25</v>
      </c>
      <c r="J1281" s="21">
        <v>1576.7</v>
      </c>
      <c r="K1281">
        <v>3</v>
      </c>
      <c r="L1281" s="21">
        <v>141.9</v>
      </c>
      <c r="M1281" s="21">
        <v>4872.01</v>
      </c>
      <c r="N1281" s="21">
        <v>4762.76</v>
      </c>
      <c r="O1281" s="21">
        <v>-32.65</v>
      </c>
      <c r="P1281" t="s">
        <v>124</v>
      </c>
      <c r="Q1281" t="s">
        <v>122</v>
      </c>
      <c r="R1281" t="s">
        <v>151</v>
      </c>
      <c r="S1281" t="s">
        <v>1948</v>
      </c>
      <c r="T1281" t="s">
        <v>153</v>
      </c>
      <c r="U1281" t="s">
        <v>184</v>
      </c>
      <c r="V1281" t="str">
        <f>IFERROR(INDEX(Products!$C:$C,MATCH(D1281,Products!$A:$A,0)),"Unknown")</f>
        <v>Jewellery</v>
      </c>
      <c r="W1281" t="str">
        <f>IFERROR(INDEX(Products!$E:$E,MATCH(D1281,Products!$A:$A,0)),"Unknown")</f>
        <v>Aurelia</v>
      </c>
      <c r="X1281" t="str">
        <f>IFERROR(INDEX(Stores!$B:$B,MATCH(E1281,Stores!$A:$A,0)),"Unknown")</f>
        <v>TrendMart Thiruvananthapuram Standard</v>
      </c>
      <c r="Y1281" t="str">
        <f>IFERROR(INDEX(Stores!$E:$E,MATCH(E1281,Stores!$A:$A,0)),"Unknown")</f>
        <v>South Zone 1</v>
      </c>
      <c r="Z1281" t="str">
        <f>IFERROR(INDEX(Customers!$J:$J,MATCH(C1281,Customers!$A:$A,0)),"Unknown")</f>
        <v>Silver</v>
      </c>
      <c r="AA1281" t="str">
        <f t="shared" si="19"/>
        <v>2024-11</v>
      </c>
      <c r="AB1281" t="str">
        <f>IFERROR(INDEX(Products!$I:$I,MATCH(D1281,Products!$A:$A,0)),"Unknown")</f>
        <v>SUP038</v>
      </c>
    </row>
    <row r="1282" spans="1:28" x14ac:dyDescent="0.25">
      <c r="A1282" t="s">
        <v>3091</v>
      </c>
      <c r="B1282" s="20">
        <v>45565</v>
      </c>
      <c r="C1282" t="s">
        <v>2639</v>
      </c>
      <c r="D1282" t="s">
        <v>697</v>
      </c>
      <c r="E1282" t="s">
        <v>194</v>
      </c>
      <c r="F1282" t="s">
        <v>286</v>
      </c>
      <c r="G1282">
        <v>1</v>
      </c>
      <c r="H1282" s="21">
        <v>1088.8900000000001</v>
      </c>
      <c r="I1282">
        <v>10</v>
      </c>
      <c r="J1282" s="21">
        <v>108.89</v>
      </c>
      <c r="K1282">
        <v>12</v>
      </c>
      <c r="L1282" s="21">
        <v>117.6</v>
      </c>
      <c r="M1282" s="21">
        <v>1097.5999999999999</v>
      </c>
      <c r="N1282" s="21">
        <v>699.84</v>
      </c>
      <c r="O1282" s="21">
        <v>280.16000000000003</v>
      </c>
      <c r="P1282" t="s">
        <v>123</v>
      </c>
      <c r="Q1282" t="s">
        <v>120</v>
      </c>
      <c r="R1282" t="s">
        <v>151</v>
      </c>
      <c r="S1282" t="s">
        <v>1865</v>
      </c>
      <c r="T1282" t="s">
        <v>153</v>
      </c>
      <c r="U1282" t="s">
        <v>154</v>
      </c>
      <c r="V1282" t="str">
        <f>IFERROR(INDEX(Products!$C:$C,MATCH(D1282,Products!$A:$A,0)),"Unknown")</f>
        <v>Women Tops</v>
      </c>
      <c r="W1282" t="str">
        <f>IFERROR(INDEX(Products!$E:$E,MATCH(D1282,Products!$A:$A,0)),"Unknown")</f>
        <v>Nalli Silks</v>
      </c>
      <c r="X1282" t="str">
        <f>IFERROR(INDEX(Stores!$B:$B,MATCH(E1282,Stores!$A:$A,0)),"Unknown")</f>
        <v>TrendMart Tirupati High Street</v>
      </c>
      <c r="Y1282" t="str">
        <f>IFERROR(INDEX(Stores!$E:$E,MATCH(E1282,Stores!$A:$A,0)),"Unknown")</f>
        <v>South Zone 3</v>
      </c>
      <c r="Z1282" t="str">
        <f>IFERROR(INDEX(Customers!$J:$J,MATCH(C1282,Customers!$A:$A,0)),"Unknown")</f>
        <v>Regular</v>
      </c>
      <c r="AA1282" t="str">
        <f t="shared" ref="AA1282:AA1345" si="20">TEXT(B1282,"YYYY-MM")</f>
        <v>2024-09</v>
      </c>
      <c r="AB1282" t="str">
        <f>IFERROR(INDEX(Products!$I:$I,MATCH(D1282,Products!$A:$A,0)),"Unknown")</f>
        <v>SUP008</v>
      </c>
    </row>
    <row r="1283" spans="1:28" x14ac:dyDescent="0.25">
      <c r="A1283" t="s">
        <v>3092</v>
      </c>
      <c r="B1283" s="20">
        <v>45501</v>
      </c>
      <c r="C1283" t="s">
        <v>2117</v>
      </c>
      <c r="D1283" t="s">
        <v>1691</v>
      </c>
      <c r="E1283" t="s">
        <v>262</v>
      </c>
      <c r="F1283" t="s">
        <v>275</v>
      </c>
      <c r="G1283">
        <v>1</v>
      </c>
      <c r="H1283" s="21">
        <v>1052.5</v>
      </c>
      <c r="I1283">
        <v>0</v>
      </c>
      <c r="J1283" s="21">
        <v>0</v>
      </c>
      <c r="K1283">
        <v>12</v>
      </c>
      <c r="L1283" s="21">
        <v>126.3</v>
      </c>
      <c r="M1283" s="21">
        <v>1178.8</v>
      </c>
      <c r="N1283" s="21">
        <v>700.93</v>
      </c>
      <c r="O1283" s="21">
        <v>351.57</v>
      </c>
      <c r="P1283" t="s">
        <v>123</v>
      </c>
      <c r="Q1283" t="s">
        <v>122</v>
      </c>
      <c r="R1283" t="s">
        <v>151</v>
      </c>
      <c r="S1283" t="s">
        <v>2177</v>
      </c>
      <c r="T1283" t="s">
        <v>161</v>
      </c>
      <c r="U1283" t="s">
        <v>154</v>
      </c>
      <c r="V1283" t="str">
        <f>IFERROR(INDEX(Products!$C:$C,MATCH(D1283,Products!$A:$A,0)),"Unknown")</f>
        <v>Women Jeans</v>
      </c>
      <c r="W1283" t="str">
        <f>IFERROR(INDEX(Products!$E:$E,MATCH(D1283,Products!$A:$A,0)),"Unknown")</f>
        <v>Global Desi</v>
      </c>
      <c r="X1283" t="str">
        <f>IFERROR(INDEX(Stores!$B:$B,MATCH(E1283,Stores!$A:$A,0)),"Unknown")</f>
        <v>TrendMart Thoothukudi Outlet</v>
      </c>
      <c r="Y1283" t="str">
        <f>IFERROR(INDEX(Stores!$E:$E,MATCH(E1283,Stores!$A:$A,0)),"Unknown")</f>
        <v>South Zone 1</v>
      </c>
      <c r="Z1283" t="str">
        <f>IFERROR(INDEX(Customers!$J:$J,MATCH(C1283,Customers!$A:$A,0)),"Unknown")</f>
        <v>Regular</v>
      </c>
      <c r="AA1283" t="str">
        <f t="shared" si="20"/>
        <v>2024-07</v>
      </c>
      <c r="AB1283" t="str">
        <f>IFERROR(INDEX(Products!$I:$I,MATCH(D1283,Products!$A:$A,0)),"Unknown")</f>
        <v>SUP015</v>
      </c>
    </row>
    <row r="1284" spans="1:28" x14ac:dyDescent="0.25">
      <c r="A1284" t="s">
        <v>3093</v>
      </c>
      <c r="B1284" s="20">
        <v>45607</v>
      </c>
      <c r="C1284" t="s">
        <v>2185</v>
      </c>
      <c r="D1284" t="s">
        <v>1642</v>
      </c>
      <c r="E1284" t="s">
        <v>416</v>
      </c>
      <c r="F1284" t="s">
        <v>462</v>
      </c>
      <c r="G1284">
        <v>2</v>
      </c>
      <c r="H1284" s="21">
        <v>5217.0200000000004</v>
      </c>
      <c r="I1284">
        <v>10</v>
      </c>
      <c r="J1284" s="21">
        <v>1043.4000000000001</v>
      </c>
      <c r="K1284">
        <v>12</v>
      </c>
      <c r="L1284" s="21">
        <v>1126.8800000000001</v>
      </c>
      <c r="M1284" s="21">
        <v>10517.52</v>
      </c>
      <c r="N1284" s="21">
        <v>7674</v>
      </c>
      <c r="O1284" s="21">
        <v>1716.64</v>
      </c>
      <c r="P1284" t="s">
        <v>124</v>
      </c>
      <c r="Q1284" t="s">
        <v>122</v>
      </c>
      <c r="R1284" t="s">
        <v>151</v>
      </c>
      <c r="S1284" t="s">
        <v>1653</v>
      </c>
      <c r="T1284" t="s">
        <v>153</v>
      </c>
      <c r="U1284" t="s">
        <v>154</v>
      </c>
      <c r="V1284" t="str">
        <f>IFERROR(INDEX(Products!$C:$C,MATCH(D1284,Products!$A:$A,0)),"Unknown")</f>
        <v>Watches</v>
      </c>
      <c r="W1284" t="str">
        <f>IFERROR(INDEX(Products!$E:$E,MATCH(D1284,Products!$A:$A,0)),"Unknown")</f>
        <v>Levi's</v>
      </c>
      <c r="X1284" t="str">
        <f>IFERROR(INDEX(Stores!$B:$B,MATCH(E1284,Stores!$A:$A,0)),"Unknown")</f>
        <v>TrendMart Dindigul Standard</v>
      </c>
      <c r="Y1284" t="str">
        <f>IFERROR(INDEX(Stores!$E:$E,MATCH(E1284,Stores!$A:$A,0)),"Unknown")</f>
        <v>South Zone 1</v>
      </c>
      <c r="Z1284" t="str">
        <f>IFERROR(INDEX(Customers!$J:$J,MATCH(C1284,Customers!$A:$A,0)),"Unknown")</f>
        <v>Gold</v>
      </c>
      <c r="AA1284" t="str">
        <f t="shared" si="20"/>
        <v>2024-11</v>
      </c>
      <c r="AB1284" t="str">
        <f>IFERROR(INDEX(Products!$I:$I,MATCH(D1284,Products!$A:$A,0)),"Unknown")</f>
        <v>SUP055</v>
      </c>
    </row>
    <row r="1285" spans="1:28" x14ac:dyDescent="0.25">
      <c r="A1285" t="s">
        <v>3094</v>
      </c>
      <c r="B1285" s="20">
        <v>45629</v>
      </c>
      <c r="C1285" t="s">
        <v>645</v>
      </c>
      <c r="D1285" t="s">
        <v>1543</v>
      </c>
      <c r="E1285" t="s">
        <v>429</v>
      </c>
      <c r="F1285" t="s">
        <v>618</v>
      </c>
      <c r="G1285">
        <v>1</v>
      </c>
      <c r="H1285" s="21">
        <v>2209.02</v>
      </c>
      <c r="I1285">
        <v>0</v>
      </c>
      <c r="J1285" s="21">
        <v>0</v>
      </c>
      <c r="K1285">
        <v>12</v>
      </c>
      <c r="L1285" s="21">
        <v>265.08</v>
      </c>
      <c r="M1285" s="21">
        <v>2474.1</v>
      </c>
      <c r="N1285" s="21">
        <v>1580.02</v>
      </c>
      <c r="O1285" s="21">
        <v>629</v>
      </c>
      <c r="P1285" t="s">
        <v>121</v>
      </c>
      <c r="Q1285" t="s">
        <v>120</v>
      </c>
      <c r="R1285" t="s">
        <v>151</v>
      </c>
      <c r="S1285" t="s">
        <v>3095</v>
      </c>
      <c r="T1285" t="s">
        <v>153</v>
      </c>
      <c r="U1285" t="s">
        <v>154</v>
      </c>
      <c r="V1285" t="str">
        <f>IFERROR(INDEX(Products!$C:$C,MATCH(D1285,Products!$A:$A,0)),"Unknown")</f>
        <v>Men Ethnic</v>
      </c>
      <c r="W1285" t="str">
        <f>IFERROR(INDEX(Products!$E:$E,MATCH(D1285,Products!$A:$A,0)),"Unknown")</f>
        <v>Woodland</v>
      </c>
      <c r="X1285" t="str">
        <f>IFERROR(INDEX(Stores!$B:$B,MATCH(E1285,Stores!$A:$A,0)),"Unknown")</f>
        <v>TrendMart Tirunelveli Flagship</v>
      </c>
      <c r="Y1285" t="str">
        <f>IFERROR(INDEX(Stores!$E:$E,MATCH(E1285,Stores!$A:$A,0)),"Unknown")</f>
        <v>South Zone 1</v>
      </c>
      <c r="Z1285" t="str">
        <f>IFERROR(INDEX(Customers!$J:$J,MATCH(C1285,Customers!$A:$A,0)),"Unknown")</f>
        <v>Regular</v>
      </c>
      <c r="AA1285" t="str">
        <f t="shared" si="20"/>
        <v>2024-12</v>
      </c>
      <c r="AB1285" t="str">
        <f>IFERROR(INDEX(Products!$I:$I,MATCH(D1285,Products!$A:$A,0)),"Unknown")</f>
        <v>SUP079</v>
      </c>
    </row>
    <row r="1286" spans="1:28" x14ac:dyDescent="0.25">
      <c r="A1286" t="s">
        <v>3096</v>
      </c>
      <c r="B1286" s="20">
        <v>45652</v>
      </c>
      <c r="C1286" t="s">
        <v>1434</v>
      </c>
      <c r="D1286" t="s">
        <v>662</v>
      </c>
      <c r="E1286" t="s">
        <v>1522</v>
      </c>
      <c r="F1286" t="s">
        <v>275</v>
      </c>
      <c r="G1286">
        <v>5</v>
      </c>
      <c r="H1286" s="21">
        <v>510.42</v>
      </c>
      <c r="I1286">
        <v>25</v>
      </c>
      <c r="J1286" s="21">
        <v>638.02</v>
      </c>
      <c r="K1286">
        <v>5</v>
      </c>
      <c r="L1286" s="21">
        <v>95.7</v>
      </c>
      <c r="M1286" s="21">
        <v>2009.78</v>
      </c>
      <c r="N1286" s="21">
        <v>1499.3</v>
      </c>
      <c r="O1286" s="21">
        <v>414.78</v>
      </c>
      <c r="P1286" t="s">
        <v>121</v>
      </c>
      <c r="Q1286" t="s">
        <v>122</v>
      </c>
      <c r="R1286" t="s">
        <v>313</v>
      </c>
      <c r="S1286" t="s">
        <v>1907</v>
      </c>
      <c r="T1286" t="s">
        <v>153</v>
      </c>
      <c r="U1286" t="s">
        <v>154</v>
      </c>
      <c r="V1286" t="str">
        <f>IFERROR(INDEX(Products!$C:$C,MATCH(D1286,Products!$A:$A,0)),"Unknown")</f>
        <v>Men T-Shirts</v>
      </c>
      <c r="W1286" t="str">
        <f>IFERROR(INDEX(Products!$E:$E,MATCH(D1286,Products!$A:$A,0)),"Unknown")</f>
        <v>Global Desi</v>
      </c>
      <c r="X1286" t="str">
        <f>IFERROR(INDEX(Stores!$B:$B,MATCH(E1286,Stores!$A:$A,0)),"Unknown")</f>
        <v>TrendMart Guntur High Street</v>
      </c>
      <c r="Y1286" t="str">
        <f>IFERROR(INDEX(Stores!$E:$E,MATCH(E1286,Stores!$A:$A,0)),"Unknown")</f>
        <v>South Zone 3</v>
      </c>
      <c r="Z1286" t="str">
        <f>IFERROR(INDEX(Customers!$J:$J,MATCH(C1286,Customers!$A:$A,0)),"Unknown")</f>
        <v>Gold</v>
      </c>
      <c r="AA1286" t="str">
        <f t="shared" si="20"/>
        <v>2024-12</v>
      </c>
      <c r="AB1286" t="str">
        <f>IFERROR(INDEX(Products!$I:$I,MATCH(D1286,Products!$A:$A,0)),"Unknown")</f>
        <v>SUP049</v>
      </c>
    </row>
    <row r="1287" spans="1:28" x14ac:dyDescent="0.25">
      <c r="A1287" t="s">
        <v>3097</v>
      </c>
      <c r="B1287" s="20">
        <v>45521</v>
      </c>
      <c r="C1287" t="s">
        <v>3098</v>
      </c>
      <c r="D1287" t="s">
        <v>2759</v>
      </c>
      <c r="E1287" t="s">
        <v>425</v>
      </c>
      <c r="F1287" t="s">
        <v>201</v>
      </c>
      <c r="G1287">
        <v>3</v>
      </c>
      <c r="H1287" s="21">
        <v>751.66</v>
      </c>
      <c r="I1287">
        <v>20</v>
      </c>
      <c r="J1287" s="21">
        <v>451</v>
      </c>
      <c r="K1287">
        <v>5</v>
      </c>
      <c r="L1287" s="21">
        <v>90.2</v>
      </c>
      <c r="M1287" s="21">
        <v>1894.18</v>
      </c>
      <c r="N1287" s="21">
        <v>1211.7</v>
      </c>
      <c r="O1287" s="21">
        <v>592.28</v>
      </c>
      <c r="P1287" t="s">
        <v>123</v>
      </c>
      <c r="Q1287" t="s">
        <v>120</v>
      </c>
      <c r="R1287" t="s">
        <v>151</v>
      </c>
      <c r="S1287" t="s">
        <v>345</v>
      </c>
      <c r="T1287" t="s">
        <v>161</v>
      </c>
      <c r="U1287" t="s">
        <v>154</v>
      </c>
      <c r="V1287" t="str">
        <f>IFERROR(INDEX(Products!$C:$C,MATCH(D1287,Products!$A:$A,0)),"Unknown")</f>
        <v>Men T-Shirts</v>
      </c>
      <c r="W1287" t="str">
        <f>IFERROR(INDEX(Products!$E:$E,MATCH(D1287,Products!$A:$A,0)),"Unknown")</f>
        <v>Libas</v>
      </c>
      <c r="X1287" t="str">
        <f>IFERROR(INDEX(Stores!$B:$B,MATCH(E1287,Stores!$A:$A,0)),"Unknown")</f>
        <v>TrendMart Kozhikode Outlet</v>
      </c>
      <c r="Y1287" t="str">
        <f>IFERROR(INDEX(Stores!$E:$E,MATCH(E1287,Stores!$A:$A,0)),"Unknown")</f>
        <v>South Zone 1</v>
      </c>
      <c r="Z1287" t="str">
        <f>IFERROR(INDEX(Customers!$J:$J,MATCH(C1287,Customers!$A:$A,0)),"Unknown")</f>
        <v>Gold</v>
      </c>
      <c r="AA1287" t="str">
        <f t="shared" si="20"/>
        <v>2024-08</v>
      </c>
      <c r="AB1287" t="str">
        <f>IFERROR(INDEX(Products!$I:$I,MATCH(D1287,Products!$A:$A,0)),"Unknown")</f>
        <v>SUP041</v>
      </c>
    </row>
    <row r="1288" spans="1:28" x14ac:dyDescent="0.25">
      <c r="A1288" t="s">
        <v>3099</v>
      </c>
      <c r="B1288" s="20">
        <v>45592</v>
      </c>
      <c r="C1288" t="s">
        <v>3100</v>
      </c>
      <c r="D1288" t="s">
        <v>769</v>
      </c>
      <c r="E1288" t="s">
        <v>1187</v>
      </c>
      <c r="F1288" t="s">
        <v>170</v>
      </c>
      <c r="G1288">
        <v>1</v>
      </c>
      <c r="H1288" s="21">
        <v>1838.82</v>
      </c>
      <c r="I1288">
        <v>25</v>
      </c>
      <c r="J1288" s="21">
        <v>459.7</v>
      </c>
      <c r="K1288">
        <v>12</v>
      </c>
      <c r="L1288" s="21">
        <v>165.49</v>
      </c>
      <c r="M1288" s="21">
        <v>1544.61</v>
      </c>
      <c r="N1288" s="21">
        <v>1115.19</v>
      </c>
      <c r="O1288" s="21">
        <v>263.93</v>
      </c>
      <c r="P1288" t="s">
        <v>123</v>
      </c>
      <c r="Q1288" t="s">
        <v>122</v>
      </c>
      <c r="R1288" t="s">
        <v>151</v>
      </c>
      <c r="S1288" t="s">
        <v>1735</v>
      </c>
      <c r="T1288" t="s">
        <v>161</v>
      </c>
      <c r="U1288" t="s">
        <v>154</v>
      </c>
      <c r="V1288" t="str">
        <f>IFERROR(INDEX(Products!$C:$C,MATCH(D1288,Products!$A:$A,0)),"Unknown")</f>
        <v>Sportswear</v>
      </c>
      <c r="W1288" t="str">
        <f>IFERROR(INDEX(Products!$E:$E,MATCH(D1288,Products!$A:$A,0)),"Unknown")</f>
        <v>Allen Solly</v>
      </c>
      <c r="X1288" t="str">
        <f>IFERROR(INDEX(Stores!$B:$B,MATCH(E1288,Stores!$A:$A,0)),"Unknown")</f>
        <v>TrendMart Vijayawada Mall Kiosk</v>
      </c>
      <c r="Y1288" t="str">
        <f>IFERROR(INDEX(Stores!$E:$E,MATCH(E1288,Stores!$A:$A,0)),"Unknown")</f>
        <v>South Zone 3</v>
      </c>
      <c r="Z1288" t="str">
        <f>IFERROR(INDEX(Customers!$J:$J,MATCH(C1288,Customers!$A:$A,0)),"Unknown")</f>
        <v>Silver</v>
      </c>
      <c r="AA1288" t="str">
        <f t="shared" si="20"/>
        <v>2024-10</v>
      </c>
      <c r="AB1288" t="str">
        <f>IFERROR(INDEX(Products!$I:$I,MATCH(D1288,Products!$A:$A,0)),"Unknown")</f>
        <v>SUP029</v>
      </c>
    </row>
    <row r="1289" spans="1:28" x14ac:dyDescent="0.25">
      <c r="A1289" t="s">
        <v>3101</v>
      </c>
      <c r="B1289" s="20">
        <v>45621</v>
      </c>
      <c r="C1289" t="s">
        <v>1159</v>
      </c>
      <c r="D1289" t="s">
        <v>205</v>
      </c>
      <c r="E1289" t="s">
        <v>85</v>
      </c>
      <c r="F1289" t="s">
        <v>292</v>
      </c>
      <c r="G1289">
        <v>1</v>
      </c>
      <c r="H1289" s="21">
        <v>982.39</v>
      </c>
      <c r="I1289">
        <v>10</v>
      </c>
      <c r="J1289" s="21">
        <v>98.24</v>
      </c>
      <c r="K1289">
        <v>5</v>
      </c>
      <c r="L1289" s="21">
        <v>44.21</v>
      </c>
      <c r="M1289" s="21">
        <v>928.36</v>
      </c>
      <c r="N1289" s="21">
        <v>692.53</v>
      </c>
      <c r="O1289" s="21">
        <v>191.62</v>
      </c>
      <c r="P1289" t="s">
        <v>125</v>
      </c>
      <c r="Q1289" t="s">
        <v>122</v>
      </c>
      <c r="R1289" t="s">
        <v>151</v>
      </c>
      <c r="S1289" t="s">
        <v>1518</v>
      </c>
      <c r="T1289" t="s">
        <v>153</v>
      </c>
      <c r="U1289" t="s">
        <v>154</v>
      </c>
      <c r="V1289" t="str">
        <f>IFERROR(INDEX(Products!$C:$C,MATCH(D1289,Products!$A:$A,0)),"Unknown")</f>
        <v>Women Jeans</v>
      </c>
      <c r="W1289" t="str">
        <f>IFERROR(INDEX(Products!$E:$E,MATCH(D1289,Products!$A:$A,0)),"Unknown")</f>
        <v>Sonata</v>
      </c>
      <c r="X1289" t="str">
        <f>IFERROR(INDEX(Stores!$B:$B,MATCH(E1289,Stores!$A:$A,0)),"Unknown")</f>
        <v>TrendMart Kalaburagi Mall Kiosk</v>
      </c>
      <c r="Y1289" t="str">
        <f>IFERROR(INDEX(Stores!$E:$E,MATCH(E1289,Stores!$A:$A,0)),"Unknown")</f>
        <v>South Zone 2</v>
      </c>
      <c r="Z1289" t="str">
        <f>IFERROR(INDEX(Customers!$J:$J,MATCH(C1289,Customers!$A:$A,0)),"Unknown")</f>
        <v>Silver</v>
      </c>
      <c r="AA1289" t="str">
        <f t="shared" si="20"/>
        <v>2024-11</v>
      </c>
      <c r="AB1289" t="str">
        <f>IFERROR(INDEX(Products!$I:$I,MATCH(D1289,Products!$A:$A,0)),"Unknown")</f>
        <v>SUP014</v>
      </c>
    </row>
    <row r="1290" spans="1:28" x14ac:dyDescent="0.25">
      <c r="A1290" t="s">
        <v>3102</v>
      </c>
      <c r="B1290" s="20">
        <v>45544</v>
      </c>
      <c r="C1290" t="s">
        <v>198</v>
      </c>
      <c r="D1290" t="s">
        <v>685</v>
      </c>
      <c r="E1290" t="s">
        <v>83</v>
      </c>
      <c r="F1290" t="s">
        <v>253</v>
      </c>
      <c r="G1290">
        <v>2</v>
      </c>
      <c r="H1290" s="21">
        <v>970.18</v>
      </c>
      <c r="I1290">
        <v>5</v>
      </c>
      <c r="J1290" s="21">
        <v>97.02</v>
      </c>
      <c r="K1290">
        <v>5</v>
      </c>
      <c r="L1290" s="21">
        <v>92.17</v>
      </c>
      <c r="M1290" s="21">
        <v>1935.51</v>
      </c>
      <c r="N1290" s="21">
        <v>1252.52</v>
      </c>
      <c r="O1290" s="21">
        <v>590.82000000000005</v>
      </c>
      <c r="P1290" t="s">
        <v>125</v>
      </c>
      <c r="Q1290" t="s">
        <v>120</v>
      </c>
      <c r="R1290" t="s">
        <v>151</v>
      </c>
      <c r="S1290" t="s">
        <v>3103</v>
      </c>
      <c r="T1290" t="s">
        <v>153</v>
      </c>
      <c r="U1290" t="s">
        <v>154</v>
      </c>
      <c r="V1290" t="str">
        <f>IFERROR(INDEX(Products!$C:$C,MATCH(D1290,Products!$A:$A,0)),"Unknown")</f>
        <v>Sportswear</v>
      </c>
      <c r="W1290" t="str">
        <f>IFERROR(INDEX(Products!$E:$E,MATCH(D1290,Products!$A:$A,0)),"Unknown")</f>
        <v>Being Human</v>
      </c>
      <c r="X1290" t="str">
        <f>IFERROR(INDEX(Stores!$B:$B,MATCH(E1290,Stores!$A:$A,0)),"Unknown")</f>
        <v>TrendMart Vellore Standard</v>
      </c>
      <c r="Y1290" t="str">
        <f>IFERROR(INDEX(Stores!$E:$E,MATCH(E1290,Stores!$A:$A,0)),"Unknown")</f>
        <v>South Zone 1</v>
      </c>
      <c r="Z1290" t="str">
        <f>IFERROR(INDEX(Customers!$J:$J,MATCH(C1290,Customers!$A:$A,0)),"Unknown")</f>
        <v>Gold</v>
      </c>
      <c r="AA1290" t="str">
        <f t="shared" si="20"/>
        <v>2024-09</v>
      </c>
      <c r="AB1290" t="str">
        <f>IFERROR(INDEX(Products!$I:$I,MATCH(D1290,Products!$A:$A,0)),"Unknown")</f>
        <v>SUP066</v>
      </c>
    </row>
    <row r="1291" spans="1:28" x14ac:dyDescent="0.25">
      <c r="A1291" t="s">
        <v>3104</v>
      </c>
      <c r="B1291" s="20">
        <v>45565</v>
      </c>
      <c r="C1291" t="s">
        <v>779</v>
      </c>
      <c r="D1291" t="s">
        <v>1590</v>
      </c>
      <c r="E1291" t="s">
        <v>525</v>
      </c>
      <c r="F1291" t="s">
        <v>344</v>
      </c>
      <c r="G1291">
        <v>3</v>
      </c>
      <c r="H1291" s="21">
        <v>500.05</v>
      </c>
      <c r="I1291">
        <v>5</v>
      </c>
      <c r="J1291" s="21">
        <v>75.010000000000005</v>
      </c>
      <c r="K1291">
        <v>5</v>
      </c>
      <c r="L1291" s="21">
        <v>71.260000000000005</v>
      </c>
      <c r="M1291" s="21">
        <v>1496.4</v>
      </c>
      <c r="N1291" s="21">
        <v>1011.27</v>
      </c>
      <c r="O1291" s="21">
        <v>413.87</v>
      </c>
      <c r="P1291" t="s">
        <v>121</v>
      </c>
      <c r="Q1291" t="s">
        <v>122</v>
      </c>
      <c r="R1291" t="s">
        <v>151</v>
      </c>
      <c r="S1291" t="s">
        <v>3105</v>
      </c>
      <c r="T1291" t="s">
        <v>153</v>
      </c>
      <c r="U1291" t="s">
        <v>154</v>
      </c>
      <c r="V1291" t="str">
        <f>IFERROR(INDEX(Products!$C:$C,MATCH(D1291,Products!$A:$A,0)),"Unknown")</f>
        <v>Kids Wear</v>
      </c>
      <c r="W1291" t="str">
        <f>IFERROR(INDEX(Products!$E:$E,MATCH(D1291,Products!$A:$A,0)),"Unknown")</f>
        <v>Peter England</v>
      </c>
      <c r="X1291" t="str">
        <f>IFERROR(INDEX(Stores!$B:$B,MATCH(E1291,Stores!$A:$A,0)),"Unknown")</f>
        <v>TrendMart Kollam Standard</v>
      </c>
      <c r="Y1291" t="str">
        <f>IFERROR(INDEX(Stores!$E:$E,MATCH(E1291,Stores!$A:$A,0)),"Unknown")</f>
        <v>South Zone 1</v>
      </c>
      <c r="Z1291" t="str">
        <f>IFERROR(INDEX(Customers!$J:$J,MATCH(C1291,Customers!$A:$A,0)),"Unknown")</f>
        <v>Regular</v>
      </c>
      <c r="AA1291" t="str">
        <f t="shared" si="20"/>
        <v>2024-09</v>
      </c>
      <c r="AB1291" t="str">
        <f>IFERROR(INDEX(Products!$I:$I,MATCH(D1291,Products!$A:$A,0)),"Unknown")</f>
        <v>SUP065</v>
      </c>
    </row>
    <row r="1292" spans="1:28" x14ac:dyDescent="0.25">
      <c r="A1292" t="s">
        <v>3106</v>
      </c>
      <c r="B1292" s="20">
        <v>45464</v>
      </c>
      <c r="C1292" t="s">
        <v>2743</v>
      </c>
      <c r="D1292" t="s">
        <v>236</v>
      </c>
      <c r="E1292" t="s">
        <v>1017</v>
      </c>
      <c r="F1292" t="s">
        <v>221</v>
      </c>
      <c r="G1292">
        <v>1</v>
      </c>
      <c r="H1292" s="21">
        <v>814.83</v>
      </c>
      <c r="I1292">
        <v>20</v>
      </c>
      <c r="J1292" s="21">
        <v>162.97</v>
      </c>
      <c r="K1292">
        <v>5</v>
      </c>
      <c r="L1292" s="21">
        <v>32.590000000000003</v>
      </c>
      <c r="M1292" s="21">
        <v>684.45</v>
      </c>
      <c r="N1292" s="21">
        <v>550.01</v>
      </c>
      <c r="O1292" s="21">
        <v>101.85</v>
      </c>
      <c r="P1292" t="s">
        <v>123</v>
      </c>
      <c r="Q1292" t="s">
        <v>120</v>
      </c>
      <c r="R1292" t="s">
        <v>151</v>
      </c>
      <c r="S1292" t="s">
        <v>1881</v>
      </c>
      <c r="T1292" t="s">
        <v>153</v>
      </c>
      <c r="U1292" t="s">
        <v>154</v>
      </c>
      <c r="V1292" t="str">
        <f>IFERROR(INDEX(Products!$C:$C,MATCH(D1292,Products!$A:$A,0)),"Unknown")</f>
        <v>Women Tops</v>
      </c>
      <c r="W1292" t="str">
        <f>IFERROR(INDEX(Products!$E:$E,MATCH(D1292,Products!$A:$A,0)),"Unknown")</f>
        <v>Nike</v>
      </c>
      <c r="X1292" t="str">
        <f>IFERROR(INDEX(Stores!$B:$B,MATCH(E1292,Stores!$A:$A,0)),"Unknown")</f>
        <v>TrendMart Mangaluru Standard</v>
      </c>
      <c r="Y1292" t="str">
        <f>IFERROR(INDEX(Stores!$E:$E,MATCH(E1292,Stores!$A:$A,0)),"Unknown")</f>
        <v>South Zone 2</v>
      </c>
      <c r="Z1292" t="str">
        <f>IFERROR(INDEX(Customers!$J:$J,MATCH(C1292,Customers!$A:$A,0)),"Unknown")</f>
        <v>Silver</v>
      </c>
      <c r="AA1292" t="str">
        <f t="shared" si="20"/>
        <v>2024-06</v>
      </c>
      <c r="AB1292" t="str">
        <f>IFERROR(INDEX(Products!$I:$I,MATCH(D1292,Products!$A:$A,0)),"Unknown")</f>
        <v>SUP075</v>
      </c>
    </row>
    <row r="1293" spans="1:28" x14ac:dyDescent="0.25">
      <c r="A1293" t="s">
        <v>3107</v>
      </c>
      <c r="B1293" s="20">
        <v>45578</v>
      </c>
      <c r="C1293" t="s">
        <v>943</v>
      </c>
      <c r="D1293" t="s">
        <v>864</v>
      </c>
      <c r="E1293" t="s">
        <v>90</v>
      </c>
      <c r="F1293" t="s">
        <v>221</v>
      </c>
      <c r="G1293">
        <v>2</v>
      </c>
      <c r="H1293" s="21">
        <v>3221.46</v>
      </c>
      <c r="I1293">
        <v>5</v>
      </c>
      <c r="J1293" s="21">
        <v>322.14999999999998</v>
      </c>
      <c r="K1293">
        <v>3</v>
      </c>
      <c r="L1293" s="21">
        <v>183.62</v>
      </c>
      <c r="M1293" s="21">
        <v>6304.39</v>
      </c>
      <c r="N1293" s="21">
        <v>3979.86</v>
      </c>
      <c r="O1293" s="21">
        <v>2140.91</v>
      </c>
      <c r="P1293" t="s">
        <v>124</v>
      </c>
      <c r="Q1293" t="s">
        <v>120</v>
      </c>
      <c r="R1293" t="s">
        <v>151</v>
      </c>
      <c r="S1293" t="s">
        <v>1422</v>
      </c>
      <c r="T1293" t="s">
        <v>161</v>
      </c>
      <c r="U1293" t="s">
        <v>154</v>
      </c>
      <c r="V1293" t="str">
        <f>IFERROR(INDEX(Products!$C:$C,MATCH(D1293,Products!$A:$A,0)),"Unknown")</f>
        <v>Jewellery</v>
      </c>
      <c r="W1293" t="str">
        <f>IFERROR(INDEX(Products!$E:$E,MATCH(D1293,Products!$A:$A,0)),"Unknown")</f>
        <v>Wrangler</v>
      </c>
      <c r="X1293" t="str">
        <f>IFERROR(INDEX(Stores!$B:$B,MATCH(E1293,Stores!$A:$A,0)),"Unknown")</f>
        <v>TrendMart Thoothukudi Mall Kiosk</v>
      </c>
      <c r="Y1293" t="str">
        <f>IFERROR(INDEX(Stores!$E:$E,MATCH(E1293,Stores!$A:$A,0)),"Unknown")</f>
        <v>South Zone 1</v>
      </c>
      <c r="Z1293" t="str">
        <f>IFERROR(INDEX(Customers!$J:$J,MATCH(C1293,Customers!$A:$A,0)),"Unknown")</f>
        <v>Silver</v>
      </c>
      <c r="AA1293" t="str">
        <f t="shared" si="20"/>
        <v>2024-10</v>
      </c>
      <c r="AB1293" t="str">
        <f>IFERROR(INDEX(Products!$I:$I,MATCH(D1293,Products!$A:$A,0)),"Unknown")</f>
        <v>SUP070</v>
      </c>
    </row>
    <row r="1294" spans="1:28" x14ac:dyDescent="0.25">
      <c r="A1294" t="s">
        <v>3108</v>
      </c>
      <c r="B1294" s="20">
        <v>45579</v>
      </c>
      <c r="C1294" t="s">
        <v>1624</v>
      </c>
      <c r="D1294" t="s">
        <v>949</v>
      </c>
      <c r="E1294" t="s">
        <v>387</v>
      </c>
      <c r="F1294" t="s">
        <v>303</v>
      </c>
      <c r="G1294">
        <v>2</v>
      </c>
      <c r="H1294" s="21">
        <v>1520.36</v>
      </c>
      <c r="I1294">
        <v>10</v>
      </c>
      <c r="J1294" s="21">
        <v>304.07</v>
      </c>
      <c r="K1294">
        <v>12</v>
      </c>
      <c r="L1294" s="21">
        <v>328.4</v>
      </c>
      <c r="M1294" s="21">
        <v>3065.05</v>
      </c>
      <c r="N1294" s="21">
        <v>1977.14</v>
      </c>
      <c r="O1294" s="21">
        <v>759.51</v>
      </c>
      <c r="P1294" t="s">
        <v>124</v>
      </c>
      <c r="Q1294" t="s">
        <v>122</v>
      </c>
      <c r="R1294" t="s">
        <v>151</v>
      </c>
      <c r="S1294" t="s">
        <v>3109</v>
      </c>
      <c r="T1294" t="s">
        <v>153</v>
      </c>
      <c r="U1294" t="s">
        <v>154</v>
      </c>
      <c r="V1294" t="str">
        <f>IFERROR(INDEX(Products!$C:$C,MATCH(D1294,Products!$A:$A,0)),"Unknown")</f>
        <v>Handbags</v>
      </c>
      <c r="W1294" t="str">
        <f>IFERROR(INDEX(Products!$E:$E,MATCH(D1294,Products!$A:$A,0)),"Unknown")</f>
        <v>Fastrack</v>
      </c>
      <c r="X1294" t="str">
        <f>IFERROR(INDEX(Stores!$B:$B,MATCH(E1294,Stores!$A:$A,0)),"Unknown")</f>
        <v>TrendMart Kannur Outlet</v>
      </c>
      <c r="Y1294" t="str">
        <f>IFERROR(INDEX(Stores!$E:$E,MATCH(E1294,Stores!$A:$A,0)),"Unknown")</f>
        <v>South Zone 1</v>
      </c>
      <c r="Z1294" t="str">
        <f>IFERROR(INDEX(Customers!$J:$J,MATCH(C1294,Customers!$A:$A,0)),"Unknown")</f>
        <v>Silver</v>
      </c>
      <c r="AA1294" t="str">
        <f t="shared" si="20"/>
        <v>2024-10</v>
      </c>
      <c r="AB1294" t="str">
        <f>IFERROR(INDEX(Products!$I:$I,MATCH(D1294,Products!$A:$A,0)),"Unknown")</f>
        <v>SUP069</v>
      </c>
    </row>
    <row r="1295" spans="1:28" x14ac:dyDescent="0.25">
      <c r="A1295" t="s">
        <v>3110</v>
      </c>
      <c r="B1295" s="20">
        <v>45591</v>
      </c>
      <c r="C1295" t="s">
        <v>1607</v>
      </c>
      <c r="D1295" t="s">
        <v>606</v>
      </c>
      <c r="E1295" t="s">
        <v>90</v>
      </c>
      <c r="F1295" t="s">
        <v>269</v>
      </c>
      <c r="G1295">
        <v>1</v>
      </c>
      <c r="H1295" s="21">
        <v>1665.78</v>
      </c>
      <c r="I1295">
        <v>25</v>
      </c>
      <c r="J1295" s="21">
        <v>416.44</v>
      </c>
      <c r="K1295">
        <v>12</v>
      </c>
      <c r="L1295" s="21">
        <v>149.91999999999999</v>
      </c>
      <c r="M1295" s="21">
        <v>1399.26</v>
      </c>
      <c r="N1295" s="21">
        <v>1004.94</v>
      </c>
      <c r="O1295" s="21">
        <v>244.4</v>
      </c>
      <c r="P1295" t="s">
        <v>123</v>
      </c>
      <c r="Q1295" t="s">
        <v>120</v>
      </c>
      <c r="R1295" t="s">
        <v>151</v>
      </c>
      <c r="S1295" t="s">
        <v>1145</v>
      </c>
      <c r="T1295" t="s">
        <v>161</v>
      </c>
      <c r="U1295" t="s">
        <v>154</v>
      </c>
      <c r="V1295" t="str">
        <f>IFERROR(INDEX(Products!$C:$C,MATCH(D1295,Products!$A:$A,0)),"Unknown")</f>
        <v>Sportswear</v>
      </c>
      <c r="W1295" t="str">
        <f>IFERROR(INDEX(Products!$E:$E,MATCH(D1295,Products!$A:$A,0)),"Unknown")</f>
        <v>Fossil</v>
      </c>
      <c r="X1295" t="str">
        <f>IFERROR(INDEX(Stores!$B:$B,MATCH(E1295,Stores!$A:$A,0)),"Unknown")</f>
        <v>TrendMart Thoothukudi Mall Kiosk</v>
      </c>
      <c r="Y1295" t="str">
        <f>IFERROR(INDEX(Stores!$E:$E,MATCH(E1295,Stores!$A:$A,0)),"Unknown")</f>
        <v>South Zone 1</v>
      </c>
      <c r="Z1295" t="str">
        <f>IFERROR(INDEX(Customers!$J:$J,MATCH(C1295,Customers!$A:$A,0)),"Unknown")</f>
        <v>Regular</v>
      </c>
      <c r="AA1295" t="str">
        <f t="shared" si="20"/>
        <v>2024-10</v>
      </c>
      <c r="AB1295" t="str">
        <f>IFERROR(INDEX(Products!$I:$I,MATCH(D1295,Products!$A:$A,0)),"Unknown")</f>
        <v>SUP049</v>
      </c>
    </row>
    <row r="1296" spans="1:28" x14ac:dyDescent="0.25">
      <c r="A1296" t="s">
        <v>3111</v>
      </c>
      <c r="B1296" s="20">
        <v>45665</v>
      </c>
      <c r="C1296" t="s">
        <v>2433</v>
      </c>
      <c r="D1296" t="s">
        <v>1816</v>
      </c>
      <c r="E1296" t="s">
        <v>95</v>
      </c>
      <c r="F1296" t="s">
        <v>281</v>
      </c>
      <c r="G1296">
        <v>3</v>
      </c>
      <c r="H1296" s="21">
        <v>1253.3499999999999</v>
      </c>
      <c r="I1296">
        <v>30</v>
      </c>
      <c r="J1296" s="21">
        <v>1128.02</v>
      </c>
      <c r="K1296">
        <v>12</v>
      </c>
      <c r="L1296" s="21">
        <v>315.83999999999997</v>
      </c>
      <c r="M1296" s="21">
        <v>2947.87</v>
      </c>
      <c r="N1296" s="21">
        <v>2718.9</v>
      </c>
      <c r="O1296" s="21">
        <v>-86.87</v>
      </c>
      <c r="P1296" t="s">
        <v>124</v>
      </c>
      <c r="Q1296" t="s">
        <v>122</v>
      </c>
      <c r="R1296" t="s">
        <v>151</v>
      </c>
      <c r="S1296" t="s">
        <v>3112</v>
      </c>
      <c r="T1296" t="s">
        <v>153</v>
      </c>
      <c r="U1296" t="s">
        <v>184</v>
      </c>
      <c r="V1296" t="str">
        <f>IFERROR(INDEX(Products!$C:$C,MATCH(D1296,Products!$A:$A,0)),"Unknown")</f>
        <v>Wallets</v>
      </c>
      <c r="W1296" t="str">
        <f>IFERROR(INDEX(Products!$E:$E,MATCH(D1296,Products!$A:$A,0)),"Unknown")</f>
        <v>Louis Philippe</v>
      </c>
      <c r="X1296" t="str">
        <f>IFERROR(INDEX(Stores!$B:$B,MATCH(E1296,Stores!$A:$A,0)),"Unknown")</f>
        <v>TrendMart Thrissur Standard</v>
      </c>
      <c r="Y1296" t="str">
        <f>IFERROR(INDEX(Stores!$E:$E,MATCH(E1296,Stores!$A:$A,0)),"Unknown")</f>
        <v>South Zone 1</v>
      </c>
      <c r="Z1296" t="str">
        <f>IFERROR(INDEX(Customers!$J:$J,MATCH(C1296,Customers!$A:$A,0)),"Unknown")</f>
        <v>Gold</v>
      </c>
      <c r="AA1296" t="str">
        <f t="shared" si="20"/>
        <v>2025-01</v>
      </c>
      <c r="AB1296" t="str">
        <f>IFERROR(INDEX(Products!$I:$I,MATCH(D1296,Products!$A:$A,0)),"Unknown")</f>
        <v>SUP076</v>
      </c>
    </row>
    <row r="1297" spans="1:28" x14ac:dyDescent="0.25">
      <c r="A1297" t="s">
        <v>3113</v>
      </c>
      <c r="B1297" s="20">
        <v>45401</v>
      </c>
      <c r="C1297" t="s">
        <v>1139</v>
      </c>
      <c r="D1297" t="s">
        <v>481</v>
      </c>
      <c r="E1297" t="s">
        <v>175</v>
      </c>
      <c r="F1297" t="s">
        <v>579</v>
      </c>
      <c r="G1297">
        <v>1</v>
      </c>
      <c r="H1297" s="21">
        <v>888.63</v>
      </c>
      <c r="I1297">
        <v>0</v>
      </c>
      <c r="J1297" s="21">
        <v>0</v>
      </c>
      <c r="K1297">
        <v>5</v>
      </c>
      <c r="L1297" s="21">
        <v>44.43</v>
      </c>
      <c r="M1297" s="21">
        <v>933.06</v>
      </c>
      <c r="N1297" s="21">
        <v>698.08</v>
      </c>
      <c r="O1297" s="21">
        <v>190.55</v>
      </c>
      <c r="P1297" t="s">
        <v>123</v>
      </c>
      <c r="Q1297" t="s">
        <v>122</v>
      </c>
      <c r="R1297" t="s">
        <v>151</v>
      </c>
      <c r="S1297" t="s">
        <v>1217</v>
      </c>
      <c r="T1297" t="s">
        <v>153</v>
      </c>
      <c r="U1297" t="s">
        <v>154</v>
      </c>
      <c r="V1297" t="str">
        <f>IFERROR(INDEX(Products!$C:$C,MATCH(D1297,Products!$A:$A,0)),"Unknown")</f>
        <v>Women Dresses</v>
      </c>
      <c r="W1297" t="str">
        <f>IFERROR(INDEX(Products!$E:$E,MATCH(D1297,Products!$A:$A,0)),"Unknown")</f>
        <v>Jack &amp; Jones</v>
      </c>
      <c r="X1297" t="str">
        <f>IFERROR(INDEX(Stores!$B:$B,MATCH(E1297,Stores!$A:$A,0)),"Unknown")</f>
        <v>TrendMart Thoothukudi Flagship</v>
      </c>
      <c r="Y1297" t="str">
        <f>IFERROR(INDEX(Stores!$E:$E,MATCH(E1297,Stores!$A:$A,0)),"Unknown")</f>
        <v>South Zone 1</v>
      </c>
      <c r="Z1297" t="str">
        <f>IFERROR(INDEX(Customers!$J:$J,MATCH(C1297,Customers!$A:$A,0)),"Unknown")</f>
        <v>Silver</v>
      </c>
      <c r="AA1297" t="str">
        <f t="shared" si="20"/>
        <v>2024-04</v>
      </c>
      <c r="AB1297" t="str">
        <f>IFERROR(INDEX(Products!$I:$I,MATCH(D1297,Products!$A:$A,0)),"Unknown")</f>
        <v>SUP069</v>
      </c>
    </row>
    <row r="1298" spans="1:28" x14ac:dyDescent="0.25">
      <c r="A1298" t="s">
        <v>3114</v>
      </c>
      <c r="B1298" s="20">
        <v>45386</v>
      </c>
      <c r="C1298" t="s">
        <v>2793</v>
      </c>
      <c r="D1298" t="s">
        <v>1550</v>
      </c>
      <c r="E1298" t="s">
        <v>368</v>
      </c>
      <c r="F1298" t="s">
        <v>292</v>
      </c>
      <c r="G1298">
        <v>1</v>
      </c>
      <c r="H1298" s="21">
        <v>2446.0500000000002</v>
      </c>
      <c r="I1298">
        <v>10</v>
      </c>
      <c r="J1298" s="21">
        <v>244.6</v>
      </c>
      <c r="K1298">
        <v>12</v>
      </c>
      <c r="L1298" s="21">
        <v>264.17</v>
      </c>
      <c r="M1298" s="21">
        <v>2465.62</v>
      </c>
      <c r="N1298" s="21">
        <v>1862.35</v>
      </c>
      <c r="O1298" s="21">
        <v>339.1</v>
      </c>
      <c r="P1298" t="s">
        <v>124</v>
      </c>
      <c r="Q1298" t="s">
        <v>120</v>
      </c>
      <c r="R1298" t="s">
        <v>151</v>
      </c>
      <c r="S1298" t="s">
        <v>3115</v>
      </c>
      <c r="T1298" t="s">
        <v>153</v>
      </c>
      <c r="U1298" t="s">
        <v>154</v>
      </c>
      <c r="V1298" t="str">
        <f>IFERROR(INDEX(Products!$C:$C,MATCH(D1298,Products!$A:$A,0)),"Unknown")</f>
        <v>Footwear</v>
      </c>
      <c r="W1298" t="str">
        <f>IFERROR(INDEX(Products!$E:$E,MATCH(D1298,Products!$A:$A,0)),"Unknown")</f>
        <v>Pothys</v>
      </c>
      <c r="X1298" t="str">
        <f>IFERROR(INDEX(Stores!$B:$B,MATCH(E1298,Stores!$A:$A,0)),"Unknown")</f>
        <v>TrendMart Alappuzha Outlet</v>
      </c>
      <c r="Y1298" t="str">
        <f>IFERROR(INDEX(Stores!$E:$E,MATCH(E1298,Stores!$A:$A,0)),"Unknown")</f>
        <v>South Zone 1</v>
      </c>
      <c r="Z1298" t="str">
        <f>IFERROR(INDEX(Customers!$J:$J,MATCH(C1298,Customers!$A:$A,0)),"Unknown")</f>
        <v>Platinum</v>
      </c>
      <c r="AA1298" t="str">
        <f t="shared" si="20"/>
        <v>2024-04</v>
      </c>
      <c r="AB1298" t="str">
        <f>IFERROR(INDEX(Products!$I:$I,MATCH(D1298,Products!$A:$A,0)),"Unknown")</f>
        <v>SUP061</v>
      </c>
    </row>
    <row r="1299" spans="1:28" x14ac:dyDescent="0.25">
      <c r="A1299" t="s">
        <v>3116</v>
      </c>
      <c r="B1299" s="20">
        <v>45574</v>
      </c>
      <c r="C1299" t="s">
        <v>1718</v>
      </c>
      <c r="D1299" t="s">
        <v>693</v>
      </c>
      <c r="E1299" t="s">
        <v>363</v>
      </c>
      <c r="F1299" t="s">
        <v>308</v>
      </c>
      <c r="G1299">
        <v>2</v>
      </c>
      <c r="H1299" s="21">
        <v>2708.2</v>
      </c>
      <c r="I1299">
        <v>25</v>
      </c>
      <c r="J1299" s="21">
        <v>1354.1</v>
      </c>
      <c r="K1299">
        <v>12</v>
      </c>
      <c r="L1299" s="21">
        <v>487.48</v>
      </c>
      <c r="M1299" s="21">
        <v>4549.78</v>
      </c>
      <c r="N1299" s="21">
        <v>4396.4399999999996</v>
      </c>
      <c r="O1299" s="21">
        <v>-334.14</v>
      </c>
      <c r="P1299" t="s">
        <v>125</v>
      </c>
      <c r="Q1299" t="s">
        <v>120</v>
      </c>
      <c r="R1299" t="s">
        <v>151</v>
      </c>
      <c r="S1299" t="s">
        <v>1804</v>
      </c>
      <c r="T1299" t="s">
        <v>153</v>
      </c>
      <c r="U1299" t="s">
        <v>184</v>
      </c>
      <c r="V1299" t="str">
        <f>IFERROR(INDEX(Products!$C:$C,MATCH(D1299,Products!$A:$A,0)),"Unknown")</f>
        <v>Handbags</v>
      </c>
      <c r="W1299" t="str">
        <f>IFERROR(INDEX(Products!$E:$E,MATCH(D1299,Products!$A:$A,0)),"Unknown")</f>
        <v>Woodland</v>
      </c>
      <c r="X1299" t="str">
        <f>IFERROR(INDEX(Stores!$B:$B,MATCH(E1299,Stores!$A:$A,0)),"Unknown")</f>
        <v>TrendMart Thiruvananthapuram High Street</v>
      </c>
      <c r="Y1299" t="str">
        <f>IFERROR(INDEX(Stores!$E:$E,MATCH(E1299,Stores!$A:$A,0)),"Unknown")</f>
        <v>South Zone 1</v>
      </c>
      <c r="Z1299" t="str">
        <f>IFERROR(INDEX(Customers!$J:$J,MATCH(C1299,Customers!$A:$A,0)),"Unknown")</f>
        <v>Regular</v>
      </c>
      <c r="AA1299" t="str">
        <f t="shared" si="20"/>
        <v>2024-10</v>
      </c>
      <c r="AB1299" t="str">
        <f>IFERROR(INDEX(Products!$I:$I,MATCH(D1299,Products!$A:$A,0)),"Unknown")</f>
        <v>SUP090</v>
      </c>
    </row>
    <row r="1300" spans="1:28" x14ac:dyDescent="0.25">
      <c r="A1300" t="s">
        <v>3117</v>
      </c>
      <c r="B1300" s="20">
        <v>45595</v>
      </c>
      <c r="C1300" t="s">
        <v>1676</v>
      </c>
      <c r="D1300" t="s">
        <v>1312</v>
      </c>
      <c r="E1300" t="s">
        <v>1325</v>
      </c>
      <c r="F1300" t="s">
        <v>165</v>
      </c>
      <c r="G1300">
        <v>2</v>
      </c>
      <c r="H1300" s="21">
        <v>1015.37</v>
      </c>
      <c r="I1300">
        <v>20</v>
      </c>
      <c r="J1300" s="21">
        <v>406.15</v>
      </c>
      <c r="K1300">
        <v>12</v>
      </c>
      <c r="L1300" s="21">
        <v>194.95</v>
      </c>
      <c r="M1300" s="21">
        <v>1819.54</v>
      </c>
      <c r="N1300" s="21">
        <v>1534.22</v>
      </c>
      <c r="O1300" s="21">
        <v>90.37</v>
      </c>
      <c r="P1300" t="s">
        <v>124</v>
      </c>
      <c r="Q1300" t="s">
        <v>120</v>
      </c>
      <c r="R1300" t="s">
        <v>151</v>
      </c>
      <c r="S1300" t="s">
        <v>2948</v>
      </c>
      <c r="T1300" t="s">
        <v>153</v>
      </c>
      <c r="U1300" t="s">
        <v>154</v>
      </c>
      <c r="V1300" t="str">
        <f>IFERROR(INDEX(Products!$C:$C,MATCH(D1300,Products!$A:$A,0)),"Unknown")</f>
        <v>Women Kurtis</v>
      </c>
      <c r="W1300" t="str">
        <f>IFERROR(INDEX(Products!$E:$E,MATCH(D1300,Products!$A:$A,0)),"Unknown")</f>
        <v>Louis Philippe</v>
      </c>
      <c r="X1300" t="str">
        <f>IFERROR(INDEX(Stores!$B:$B,MATCH(E1300,Stores!$A:$A,0)),"Unknown")</f>
        <v>TrendMart Thrissur Standard</v>
      </c>
      <c r="Y1300" t="str">
        <f>IFERROR(INDEX(Stores!$E:$E,MATCH(E1300,Stores!$A:$A,0)),"Unknown")</f>
        <v>South Zone 1</v>
      </c>
      <c r="Z1300" t="str">
        <f>IFERROR(INDEX(Customers!$J:$J,MATCH(C1300,Customers!$A:$A,0)),"Unknown")</f>
        <v>Silver</v>
      </c>
      <c r="AA1300" t="str">
        <f t="shared" si="20"/>
        <v>2024-10</v>
      </c>
      <c r="AB1300" t="str">
        <f>IFERROR(INDEX(Products!$I:$I,MATCH(D1300,Products!$A:$A,0)),"Unknown")</f>
        <v>SUP010</v>
      </c>
    </row>
    <row r="1301" spans="1:28" x14ac:dyDescent="0.25">
      <c r="A1301" t="s">
        <v>3118</v>
      </c>
      <c r="B1301" s="20">
        <v>45724</v>
      </c>
      <c r="C1301" t="s">
        <v>3119</v>
      </c>
      <c r="D1301" t="s">
        <v>531</v>
      </c>
      <c r="E1301" t="s">
        <v>93</v>
      </c>
      <c r="F1301" t="s">
        <v>182</v>
      </c>
      <c r="G1301">
        <v>1</v>
      </c>
      <c r="H1301" s="21">
        <v>3156.83</v>
      </c>
      <c r="I1301">
        <v>15</v>
      </c>
      <c r="J1301" s="21">
        <v>473.52</v>
      </c>
      <c r="K1301">
        <v>12</v>
      </c>
      <c r="L1301" s="21">
        <v>322</v>
      </c>
      <c r="M1301" s="21">
        <v>3005.31</v>
      </c>
      <c r="N1301" s="21">
        <v>2034.01</v>
      </c>
      <c r="O1301" s="21">
        <v>649.29999999999995</v>
      </c>
      <c r="P1301" t="s">
        <v>127</v>
      </c>
      <c r="Q1301" t="s">
        <v>120</v>
      </c>
      <c r="R1301" t="s">
        <v>313</v>
      </c>
      <c r="S1301" t="s">
        <v>872</v>
      </c>
      <c r="T1301" t="s">
        <v>161</v>
      </c>
      <c r="U1301" t="s">
        <v>154</v>
      </c>
      <c r="V1301" t="str">
        <f>IFERROR(INDEX(Products!$C:$C,MATCH(D1301,Products!$A:$A,0)),"Unknown")</f>
        <v>Handbags</v>
      </c>
      <c r="W1301" t="str">
        <f>IFERROR(INDEX(Products!$E:$E,MATCH(D1301,Products!$A:$A,0)),"Unknown")</f>
        <v>GRT Jewellers</v>
      </c>
      <c r="X1301" t="str">
        <f>IFERROR(INDEX(Stores!$B:$B,MATCH(E1301,Stores!$A:$A,0)),"Unknown")</f>
        <v>TrendMart Thiruvananthapuram High Street</v>
      </c>
      <c r="Y1301" t="str">
        <f>IFERROR(INDEX(Stores!$E:$E,MATCH(E1301,Stores!$A:$A,0)),"Unknown")</f>
        <v>South Zone 1</v>
      </c>
      <c r="Z1301" t="str">
        <f>IFERROR(INDEX(Customers!$J:$J,MATCH(C1301,Customers!$A:$A,0)),"Unknown")</f>
        <v>Silver</v>
      </c>
      <c r="AA1301" t="str">
        <f t="shared" si="20"/>
        <v>2025-03</v>
      </c>
      <c r="AB1301" t="str">
        <f>IFERROR(INDEX(Products!$I:$I,MATCH(D1301,Products!$A:$A,0)),"Unknown")</f>
        <v>SUP047</v>
      </c>
    </row>
    <row r="1302" spans="1:28" x14ac:dyDescent="0.25">
      <c r="A1302" t="s">
        <v>3120</v>
      </c>
      <c r="B1302" s="20">
        <v>45683</v>
      </c>
      <c r="C1302" t="s">
        <v>987</v>
      </c>
      <c r="D1302" t="s">
        <v>748</v>
      </c>
      <c r="E1302" t="s">
        <v>752</v>
      </c>
      <c r="F1302" t="s">
        <v>344</v>
      </c>
      <c r="G1302">
        <v>2</v>
      </c>
      <c r="H1302" s="21">
        <v>1232.76</v>
      </c>
      <c r="I1302">
        <v>0</v>
      </c>
      <c r="J1302" s="21">
        <v>0</v>
      </c>
      <c r="K1302">
        <v>12</v>
      </c>
      <c r="L1302" s="21">
        <v>295.86</v>
      </c>
      <c r="M1302" s="21">
        <v>2761.38</v>
      </c>
      <c r="N1302" s="21">
        <v>1683.7</v>
      </c>
      <c r="O1302" s="21">
        <v>781.82</v>
      </c>
      <c r="P1302" t="s">
        <v>126</v>
      </c>
      <c r="Q1302" t="s">
        <v>122</v>
      </c>
      <c r="R1302" t="s">
        <v>151</v>
      </c>
      <c r="S1302" t="s">
        <v>2567</v>
      </c>
      <c r="T1302" t="s">
        <v>161</v>
      </c>
      <c r="U1302" t="s">
        <v>154</v>
      </c>
      <c r="V1302" t="str">
        <f>IFERROR(INDEX(Products!$C:$C,MATCH(D1302,Products!$A:$A,0)),"Unknown")</f>
        <v>Women Dresses</v>
      </c>
      <c r="W1302" t="str">
        <f>IFERROR(INDEX(Products!$E:$E,MATCH(D1302,Products!$A:$A,0)),"Unknown")</f>
        <v>Kalyan Silks</v>
      </c>
      <c r="X1302" t="str">
        <f>IFERROR(INDEX(Stores!$B:$B,MATCH(E1302,Stores!$A:$A,0)),"Unknown")</f>
        <v>TrendMart Dindigul High Street</v>
      </c>
      <c r="Y1302" t="str">
        <f>IFERROR(INDEX(Stores!$E:$E,MATCH(E1302,Stores!$A:$A,0)),"Unknown")</f>
        <v>South Zone 1</v>
      </c>
      <c r="Z1302" t="str">
        <f>IFERROR(INDEX(Customers!$J:$J,MATCH(C1302,Customers!$A:$A,0)),"Unknown")</f>
        <v>Regular</v>
      </c>
      <c r="AA1302" t="str">
        <f t="shared" si="20"/>
        <v>2025-01</v>
      </c>
      <c r="AB1302" t="str">
        <f>IFERROR(INDEX(Products!$I:$I,MATCH(D1302,Products!$A:$A,0)),"Unknown")</f>
        <v>SUP036</v>
      </c>
    </row>
    <row r="1303" spans="1:28" x14ac:dyDescent="0.25">
      <c r="A1303" t="s">
        <v>3121</v>
      </c>
      <c r="B1303" s="20">
        <v>45639</v>
      </c>
      <c r="C1303" t="s">
        <v>2888</v>
      </c>
      <c r="D1303" t="s">
        <v>372</v>
      </c>
      <c r="E1303" t="s">
        <v>1141</v>
      </c>
      <c r="F1303" t="s">
        <v>344</v>
      </c>
      <c r="G1303">
        <v>1</v>
      </c>
      <c r="H1303" s="21">
        <v>597.97</v>
      </c>
      <c r="I1303">
        <v>5</v>
      </c>
      <c r="J1303" s="21">
        <v>29.9</v>
      </c>
      <c r="K1303">
        <v>5</v>
      </c>
      <c r="L1303" s="21">
        <v>28.4</v>
      </c>
      <c r="M1303" s="21">
        <v>596.47</v>
      </c>
      <c r="N1303" s="21">
        <v>413.39</v>
      </c>
      <c r="O1303" s="21">
        <v>154.68</v>
      </c>
      <c r="P1303" t="s">
        <v>123</v>
      </c>
      <c r="Q1303" t="s">
        <v>120</v>
      </c>
      <c r="R1303" t="s">
        <v>151</v>
      </c>
      <c r="S1303" t="s">
        <v>592</v>
      </c>
      <c r="T1303" t="s">
        <v>153</v>
      </c>
      <c r="U1303" t="s">
        <v>154</v>
      </c>
      <c r="V1303" t="str">
        <f>IFERROR(INDEX(Products!$C:$C,MATCH(D1303,Products!$A:$A,0)),"Unknown")</f>
        <v>Kids Wear</v>
      </c>
      <c r="W1303" t="str">
        <f>IFERROR(INDEX(Products!$E:$E,MATCH(D1303,Products!$A:$A,0)),"Unknown")</f>
        <v>Jack &amp; Jones</v>
      </c>
      <c r="X1303" t="str">
        <f>IFERROR(INDEX(Stores!$B:$B,MATCH(E1303,Stores!$A:$A,0)),"Unknown")</f>
        <v>TrendMart Kochi Standard</v>
      </c>
      <c r="Y1303" t="str">
        <f>IFERROR(INDEX(Stores!$E:$E,MATCH(E1303,Stores!$A:$A,0)),"Unknown")</f>
        <v>South Zone 1</v>
      </c>
      <c r="Z1303" t="str">
        <f>IFERROR(INDEX(Customers!$J:$J,MATCH(C1303,Customers!$A:$A,0)),"Unknown")</f>
        <v>Regular</v>
      </c>
      <c r="AA1303" t="str">
        <f t="shared" si="20"/>
        <v>2024-12</v>
      </c>
      <c r="AB1303" t="str">
        <f>IFERROR(INDEX(Products!$I:$I,MATCH(D1303,Products!$A:$A,0)),"Unknown")</f>
        <v>SUP065</v>
      </c>
    </row>
    <row r="1304" spans="1:28" x14ac:dyDescent="0.25">
      <c r="A1304" t="s">
        <v>3122</v>
      </c>
      <c r="B1304" s="20">
        <v>45586</v>
      </c>
      <c r="C1304" t="s">
        <v>3123</v>
      </c>
      <c r="D1304" t="s">
        <v>854</v>
      </c>
      <c r="E1304" t="s">
        <v>848</v>
      </c>
      <c r="F1304" t="s">
        <v>286</v>
      </c>
      <c r="G1304">
        <v>1</v>
      </c>
      <c r="H1304" s="21">
        <v>1149.5899999999999</v>
      </c>
      <c r="I1304">
        <v>0</v>
      </c>
      <c r="J1304" s="21">
        <v>0</v>
      </c>
      <c r="K1304">
        <v>3</v>
      </c>
      <c r="L1304" s="21">
        <v>34.49</v>
      </c>
      <c r="M1304" s="21">
        <v>1184.08</v>
      </c>
      <c r="N1304" s="21">
        <v>954.04</v>
      </c>
      <c r="O1304" s="21">
        <v>195.55</v>
      </c>
      <c r="P1304" t="s">
        <v>121</v>
      </c>
      <c r="Q1304" t="s">
        <v>120</v>
      </c>
      <c r="R1304" t="s">
        <v>151</v>
      </c>
      <c r="S1304" t="s">
        <v>3038</v>
      </c>
      <c r="T1304" t="s">
        <v>153</v>
      </c>
      <c r="U1304" t="s">
        <v>154</v>
      </c>
      <c r="V1304" t="str">
        <f>IFERROR(INDEX(Products!$C:$C,MATCH(D1304,Products!$A:$A,0)),"Unknown")</f>
        <v>Jewellery</v>
      </c>
      <c r="W1304" t="str">
        <f>IFERROR(INDEX(Products!$E:$E,MATCH(D1304,Products!$A:$A,0)),"Unknown")</f>
        <v>W for Woman</v>
      </c>
      <c r="X1304" t="str">
        <f>IFERROR(INDEX(Stores!$B:$B,MATCH(E1304,Stores!$A:$A,0)),"Unknown")</f>
        <v>TrendMart Shivamogga Standard</v>
      </c>
      <c r="Y1304" t="str">
        <f>IFERROR(INDEX(Stores!$E:$E,MATCH(E1304,Stores!$A:$A,0)),"Unknown")</f>
        <v>South Zone 2</v>
      </c>
      <c r="Z1304" t="str">
        <f>IFERROR(INDEX(Customers!$J:$J,MATCH(C1304,Customers!$A:$A,0)),"Unknown")</f>
        <v>Silver</v>
      </c>
      <c r="AA1304" t="str">
        <f t="shared" si="20"/>
        <v>2024-10</v>
      </c>
      <c r="AB1304" t="str">
        <f>IFERROR(INDEX(Products!$I:$I,MATCH(D1304,Products!$A:$A,0)),"Unknown")</f>
        <v>SUP006</v>
      </c>
    </row>
    <row r="1305" spans="1:28" x14ac:dyDescent="0.25">
      <c r="A1305" t="s">
        <v>3124</v>
      </c>
      <c r="B1305" s="20">
        <v>45488</v>
      </c>
      <c r="C1305" t="s">
        <v>2276</v>
      </c>
      <c r="D1305" t="s">
        <v>169</v>
      </c>
      <c r="E1305" t="s">
        <v>1187</v>
      </c>
      <c r="F1305" t="s">
        <v>159</v>
      </c>
      <c r="G1305">
        <v>3</v>
      </c>
      <c r="H1305" s="21">
        <v>4926.97</v>
      </c>
      <c r="I1305">
        <v>0</v>
      </c>
      <c r="J1305" s="21">
        <v>0</v>
      </c>
      <c r="K1305">
        <v>12</v>
      </c>
      <c r="L1305" s="21">
        <v>1773.71</v>
      </c>
      <c r="M1305" s="21">
        <v>16554.62</v>
      </c>
      <c r="N1305" s="21">
        <v>10112.4</v>
      </c>
      <c r="O1305" s="21">
        <v>4668.51</v>
      </c>
      <c r="P1305" t="s">
        <v>121</v>
      </c>
      <c r="Q1305" t="s">
        <v>120</v>
      </c>
      <c r="R1305" t="s">
        <v>151</v>
      </c>
      <c r="S1305" t="s">
        <v>2948</v>
      </c>
      <c r="T1305" t="s">
        <v>153</v>
      </c>
      <c r="U1305" t="s">
        <v>154</v>
      </c>
      <c r="V1305" t="str">
        <f>IFERROR(INDEX(Products!$C:$C,MATCH(D1305,Products!$A:$A,0)),"Unknown")</f>
        <v>Women Sarees</v>
      </c>
      <c r="W1305" t="str">
        <f>IFERROR(INDEX(Products!$E:$E,MATCH(D1305,Products!$A:$A,0)),"Unknown")</f>
        <v>Max Fashion</v>
      </c>
      <c r="X1305" t="str">
        <f>IFERROR(INDEX(Stores!$B:$B,MATCH(E1305,Stores!$A:$A,0)),"Unknown")</f>
        <v>TrendMart Vijayawada Mall Kiosk</v>
      </c>
      <c r="Y1305" t="str">
        <f>IFERROR(INDEX(Stores!$E:$E,MATCH(E1305,Stores!$A:$A,0)),"Unknown")</f>
        <v>South Zone 3</v>
      </c>
      <c r="Z1305" t="str">
        <f>IFERROR(INDEX(Customers!$J:$J,MATCH(C1305,Customers!$A:$A,0)),"Unknown")</f>
        <v>Gold</v>
      </c>
      <c r="AA1305" t="str">
        <f t="shared" si="20"/>
        <v>2024-07</v>
      </c>
      <c r="AB1305" t="str">
        <f>IFERROR(INDEX(Products!$I:$I,MATCH(D1305,Products!$A:$A,0)),"Unknown")</f>
        <v>SUP084</v>
      </c>
    </row>
    <row r="1306" spans="1:28" x14ac:dyDescent="0.25">
      <c r="A1306" t="s">
        <v>3125</v>
      </c>
      <c r="B1306" s="20">
        <v>45594</v>
      </c>
      <c r="C1306" t="s">
        <v>572</v>
      </c>
      <c r="D1306" t="s">
        <v>498</v>
      </c>
      <c r="E1306" t="s">
        <v>741</v>
      </c>
      <c r="F1306" t="s">
        <v>596</v>
      </c>
      <c r="G1306">
        <v>1</v>
      </c>
      <c r="H1306" s="21">
        <v>429.24</v>
      </c>
      <c r="I1306">
        <v>30</v>
      </c>
      <c r="J1306" s="21">
        <v>128.77000000000001</v>
      </c>
      <c r="K1306">
        <v>5</v>
      </c>
      <c r="L1306" s="21">
        <v>15.02</v>
      </c>
      <c r="M1306" s="21">
        <v>315.49</v>
      </c>
      <c r="N1306" s="21">
        <v>315.13</v>
      </c>
      <c r="O1306" s="21">
        <v>-14.66</v>
      </c>
      <c r="P1306" t="s">
        <v>124</v>
      </c>
      <c r="Q1306" t="s">
        <v>120</v>
      </c>
      <c r="R1306" t="s">
        <v>151</v>
      </c>
      <c r="S1306" t="s">
        <v>3095</v>
      </c>
      <c r="T1306" t="s">
        <v>153</v>
      </c>
      <c r="U1306" t="s">
        <v>184</v>
      </c>
      <c r="V1306" t="str">
        <f>IFERROR(INDEX(Products!$C:$C,MATCH(D1306,Products!$A:$A,0)),"Unknown")</f>
        <v>Belts</v>
      </c>
      <c r="W1306" t="str">
        <f>IFERROR(INDEX(Products!$E:$E,MATCH(D1306,Products!$A:$A,0)),"Unknown")</f>
        <v>Nike</v>
      </c>
      <c r="X1306" t="str">
        <f>IFERROR(INDEX(Stores!$B:$B,MATCH(E1306,Stores!$A:$A,0)),"Unknown")</f>
        <v>TrendMart Nellore Mall Kiosk</v>
      </c>
      <c r="Y1306" t="str">
        <f>IFERROR(INDEX(Stores!$E:$E,MATCH(E1306,Stores!$A:$A,0)),"Unknown")</f>
        <v>South Zone 3</v>
      </c>
      <c r="Z1306" t="str">
        <f>IFERROR(INDEX(Customers!$J:$J,MATCH(C1306,Customers!$A:$A,0)),"Unknown")</f>
        <v>Regular</v>
      </c>
      <c r="AA1306" t="str">
        <f t="shared" si="20"/>
        <v>2024-10</v>
      </c>
      <c r="AB1306" t="str">
        <f>IFERROR(INDEX(Products!$I:$I,MATCH(D1306,Products!$A:$A,0)),"Unknown")</f>
        <v>SUP071</v>
      </c>
    </row>
    <row r="1307" spans="1:28" x14ac:dyDescent="0.25">
      <c r="A1307" t="s">
        <v>3126</v>
      </c>
      <c r="B1307" s="20">
        <v>45674</v>
      </c>
      <c r="C1307" t="s">
        <v>266</v>
      </c>
      <c r="D1307" t="s">
        <v>367</v>
      </c>
      <c r="E1307" t="s">
        <v>515</v>
      </c>
      <c r="F1307" t="s">
        <v>150</v>
      </c>
      <c r="G1307">
        <v>2</v>
      </c>
      <c r="H1307" s="21">
        <v>713.89</v>
      </c>
      <c r="I1307">
        <v>0</v>
      </c>
      <c r="J1307" s="21">
        <v>0</v>
      </c>
      <c r="K1307">
        <v>3</v>
      </c>
      <c r="L1307" s="21">
        <v>42.83</v>
      </c>
      <c r="M1307" s="21">
        <v>1470.61</v>
      </c>
      <c r="N1307" s="21">
        <v>1113.98</v>
      </c>
      <c r="O1307" s="21">
        <v>313.8</v>
      </c>
      <c r="P1307" t="s">
        <v>124</v>
      </c>
      <c r="Q1307" t="s">
        <v>120</v>
      </c>
      <c r="R1307" t="s">
        <v>151</v>
      </c>
      <c r="S1307" t="s">
        <v>859</v>
      </c>
      <c r="T1307" t="s">
        <v>153</v>
      </c>
      <c r="U1307" t="s">
        <v>154</v>
      </c>
      <c r="V1307" t="str">
        <f>IFERROR(INDEX(Products!$C:$C,MATCH(D1307,Products!$A:$A,0)),"Unknown")</f>
        <v>Jewellery</v>
      </c>
      <c r="W1307" t="str">
        <f>IFERROR(INDEX(Products!$E:$E,MATCH(D1307,Products!$A:$A,0)),"Unknown")</f>
        <v>Aurelia</v>
      </c>
      <c r="X1307" t="str">
        <f>IFERROR(INDEX(Stores!$B:$B,MATCH(E1307,Stores!$A:$A,0)),"Unknown")</f>
        <v>TrendMart Kochi High Street</v>
      </c>
      <c r="Y1307" t="str">
        <f>IFERROR(INDEX(Stores!$E:$E,MATCH(E1307,Stores!$A:$A,0)),"Unknown")</f>
        <v>South Zone 1</v>
      </c>
      <c r="Z1307" t="str">
        <f>IFERROR(INDEX(Customers!$J:$J,MATCH(C1307,Customers!$A:$A,0)),"Unknown")</f>
        <v>Gold</v>
      </c>
      <c r="AA1307" t="str">
        <f t="shared" si="20"/>
        <v>2025-01</v>
      </c>
      <c r="AB1307" t="str">
        <f>IFERROR(INDEX(Products!$I:$I,MATCH(D1307,Products!$A:$A,0)),"Unknown")</f>
        <v>SUP067</v>
      </c>
    </row>
    <row r="1308" spans="1:28" x14ac:dyDescent="0.25">
      <c r="A1308" t="s">
        <v>3127</v>
      </c>
      <c r="B1308" s="20">
        <v>45444</v>
      </c>
      <c r="C1308" t="s">
        <v>2657</v>
      </c>
      <c r="D1308" t="s">
        <v>2264</v>
      </c>
      <c r="E1308" t="s">
        <v>806</v>
      </c>
      <c r="F1308" t="s">
        <v>165</v>
      </c>
      <c r="G1308">
        <v>1</v>
      </c>
      <c r="H1308" s="21">
        <v>1154.23</v>
      </c>
      <c r="I1308">
        <v>0</v>
      </c>
      <c r="J1308" s="21">
        <v>0</v>
      </c>
      <c r="K1308">
        <v>12</v>
      </c>
      <c r="L1308" s="21">
        <v>138.51</v>
      </c>
      <c r="M1308" s="21">
        <v>1292.74</v>
      </c>
      <c r="N1308" s="21">
        <v>753.73</v>
      </c>
      <c r="O1308" s="21">
        <v>400.5</v>
      </c>
      <c r="P1308" t="s">
        <v>124</v>
      </c>
      <c r="Q1308" t="s">
        <v>122</v>
      </c>
      <c r="R1308" t="s">
        <v>151</v>
      </c>
      <c r="S1308" t="s">
        <v>3128</v>
      </c>
      <c r="T1308" t="s">
        <v>161</v>
      </c>
      <c r="U1308" t="s">
        <v>154</v>
      </c>
      <c r="V1308" t="str">
        <f>IFERROR(INDEX(Products!$C:$C,MATCH(D1308,Products!$A:$A,0)),"Unknown")</f>
        <v>Belts</v>
      </c>
      <c r="W1308" t="str">
        <f>IFERROR(INDEX(Products!$E:$E,MATCH(D1308,Products!$A:$A,0)),"Unknown")</f>
        <v>Liberty</v>
      </c>
      <c r="X1308" t="str">
        <f>IFERROR(INDEX(Stores!$B:$B,MATCH(E1308,Stores!$A:$A,0)),"Unknown")</f>
        <v>TrendMart Tirunelveli Flagship</v>
      </c>
      <c r="Y1308" t="str">
        <f>IFERROR(INDEX(Stores!$E:$E,MATCH(E1308,Stores!$A:$A,0)),"Unknown")</f>
        <v>South Zone 1</v>
      </c>
      <c r="Z1308" t="str">
        <f>IFERROR(INDEX(Customers!$J:$J,MATCH(C1308,Customers!$A:$A,0)),"Unknown")</f>
        <v>Silver</v>
      </c>
      <c r="AA1308" t="str">
        <f t="shared" si="20"/>
        <v>2024-06</v>
      </c>
      <c r="AB1308" t="str">
        <f>IFERROR(INDEX(Products!$I:$I,MATCH(D1308,Products!$A:$A,0)),"Unknown")</f>
        <v>SUP063</v>
      </c>
    </row>
    <row r="1309" spans="1:28" x14ac:dyDescent="0.25">
      <c r="A1309" t="s">
        <v>3129</v>
      </c>
      <c r="B1309" s="20">
        <v>45727</v>
      </c>
      <c r="C1309" t="s">
        <v>320</v>
      </c>
      <c r="D1309" t="s">
        <v>1909</v>
      </c>
      <c r="E1309" t="s">
        <v>396</v>
      </c>
      <c r="F1309" t="s">
        <v>382</v>
      </c>
      <c r="G1309">
        <v>3</v>
      </c>
      <c r="H1309" s="21">
        <v>1219.1400000000001</v>
      </c>
      <c r="I1309">
        <v>20</v>
      </c>
      <c r="J1309" s="21">
        <v>731.48</v>
      </c>
      <c r="K1309">
        <v>12</v>
      </c>
      <c r="L1309" s="21">
        <v>351.11</v>
      </c>
      <c r="M1309" s="21">
        <v>3277.05</v>
      </c>
      <c r="N1309" s="21">
        <v>2902.11</v>
      </c>
      <c r="O1309" s="21">
        <v>23.83</v>
      </c>
      <c r="P1309" t="s">
        <v>123</v>
      </c>
      <c r="Q1309" t="s">
        <v>122</v>
      </c>
      <c r="R1309" t="s">
        <v>151</v>
      </c>
      <c r="S1309" t="s">
        <v>1439</v>
      </c>
      <c r="T1309" t="s">
        <v>153</v>
      </c>
      <c r="U1309" t="s">
        <v>154</v>
      </c>
      <c r="V1309" t="str">
        <f>IFERROR(INDEX(Products!$C:$C,MATCH(D1309,Products!$A:$A,0)),"Unknown")</f>
        <v>Men Trousers</v>
      </c>
      <c r="W1309" t="str">
        <f>IFERROR(INDEX(Products!$E:$E,MATCH(D1309,Products!$A:$A,0)),"Unknown")</f>
        <v>Aurelia</v>
      </c>
      <c r="X1309" t="str">
        <f>IFERROR(INDEX(Stores!$B:$B,MATCH(E1309,Stores!$A:$A,0)),"Unknown")</f>
        <v>TrendMart Davanagere High Street</v>
      </c>
      <c r="Y1309" t="str">
        <f>IFERROR(INDEX(Stores!$E:$E,MATCH(E1309,Stores!$A:$A,0)),"Unknown")</f>
        <v>South Zone 2</v>
      </c>
      <c r="Z1309" t="str">
        <f>IFERROR(INDEX(Customers!$J:$J,MATCH(C1309,Customers!$A:$A,0)),"Unknown")</f>
        <v>Regular</v>
      </c>
      <c r="AA1309" t="str">
        <f t="shared" si="20"/>
        <v>2025-03</v>
      </c>
      <c r="AB1309" t="str">
        <f>IFERROR(INDEX(Products!$I:$I,MATCH(D1309,Products!$A:$A,0)),"Unknown")</f>
        <v>SUP011</v>
      </c>
    </row>
    <row r="1310" spans="1:28" x14ac:dyDescent="0.25">
      <c r="A1310" t="s">
        <v>3130</v>
      </c>
      <c r="B1310" s="20">
        <v>45648</v>
      </c>
      <c r="C1310" t="s">
        <v>3131</v>
      </c>
      <c r="D1310" t="s">
        <v>1026</v>
      </c>
      <c r="E1310" t="s">
        <v>1591</v>
      </c>
      <c r="F1310" t="s">
        <v>286</v>
      </c>
      <c r="G1310">
        <v>4</v>
      </c>
      <c r="H1310" s="21">
        <v>1396.8</v>
      </c>
      <c r="I1310">
        <v>30</v>
      </c>
      <c r="J1310" s="21">
        <v>1676.16</v>
      </c>
      <c r="K1310">
        <v>12</v>
      </c>
      <c r="L1310" s="21">
        <v>469.32</v>
      </c>
      <c r="M1310" s="21">
        <v>4380.3599999999997</v>
      </c>
      <c r="N1310" s="21">
        <v>3848.68</v>
      </c>
      <c r="O1310" s="21">
        <v>62.36</v>
      </c>
      <c r="P1310" t="s">
        <v>124</v>
      </c>
      <c r="Q1310" t="s">
        <v>120</v>
      </c>
      <c r="R1310" t="s">
        <v>151</v>
      </c>
      <c r="S1310" t="s">
        <v>663</v>
      </c>
      <c r="T1310" t="s">
        <v>161</v>
      </c>
      <c r="U1310" t="s">
        <v>154</v>
      </c>
      <c r="V1310" t="str">
        <f>IFERROR(INDEX(Products!$C:$C,MATCH(D1310,Products!$A:$A,0)),"Unknown")</f>
        <v>Women Sarees</v>
      </c>
      <c r="W1310" t="str">
        <f>IFERROR(INDEX(Products!$E:$E,MATCH(D1310,Products!$A:$A,0)),"Unknown")</f>
        <v>Spykar</v>
      </c>
      <c r="X1310" t="str">
        <f>IFERROR(INDEX(Stores!$B:$B,MATCH(E1310,Stores!$A:$A,0)),"Unknown")</f>
        <v>TrendMart Guntur Standard</v>
      </c>
      <c r="Y1310" t="str">
        <f>IFERROR(INDEX(Stores!$E:$E,MATCH(E1310,Stores!$A:$A,0)),"Unknown")</f>
        <v>South Zone 3</v>
      </c>
      <c r="Z1310" t="str">
        <f>IFERROR(INDEX(Customers!$J:$J,MATCH(C1310,Customers!$A:$A,0)),"Unknown")</f>
        <v>Silver</v>
      </c>
      <c r="AA1310" t="str">
        <f t="shared" si="20"/>
        <v>2024-12</v>
      </c>
      <c r="AB1310" t="str">
        <f>IFERROR(INDEX(Products!$I:$I,MATCH(D1310,Products!$A:$A,0)),"Unknown")</f>
        <v>SUP001</v>
      </c>
    </row>
    <row r="1311" spans="1:28" x14ac:dyDescent="0.25">
      <c r="A1311" t="s">
        <v>3132</v>
      </c>
      <c r="B1311" s="20">
        <v>45383</v>
      </c>
      <c r="C1311" t="s">
        <v>219</v>
      </c>
      <c r="D1311" t="s">
        <v>1036</v>
      </c>
      <c r="E1311" t="s">
        <v>630</v>
      </c>
      <c r="F1311" t="s">
        <v>303</v>
      </c>
      <c r="G1311">
        <v>1</v>
      </c>
      <c r="H1311" s="21">
        <v>903.17</v>
      </c>
      <c r="I1311">
        <v>25</v>
      </c>
      <c r="J1311" s="21">
        <v>225.79</v>
      </c>
      <c r="K1311">
        <v>5</v>
      </c>
      <c r="L1311" s="21">
        <v>33.869999999999997</v>
      </c>
      <c r="M1311" s="21">
        <v>711.25</v>
      </c>
      <c r="N1311" s="21">
        <v>590.02</v>
      </c>
      <c r="O1311" s="21">
        <v>87.36</v>
      </c>
      <c r="P1311" t="s">
        <v>124</v>
      </c>
      <c r="Q1311" t="s">
        <v>120</v>
      </c>
      <c r="R1311" t="s">
        <v>151</v>
      </c>
      <c r="S1311" t="s">
        <v>2155</v>
      </c>
      <c r="T1311" t="s">
        <v>153</v>
      </c>
      <c r="U1311" t="s">
        <v>154</v>
      </c>
      <c r="V1311" t="str">
        <f>IFERROR(INDEX(Products!$C:$C,MATCH(D1311,Products!$A:$A,0)),"Unknown")</f>
        <v>Belts</v>
      </c>
      <c r="W1311" t="str">
        <f>IFERROR(INDEX(Products!$E:$E,MATCH(D1311,Products!$A:$A,0)),"Unknown")</f>
        <v>Skechers</v>
      </c>
      <c r="X1311" t="str">
        <f>IFERROR(INDEX(Stores!$B:$B,MATCH(E1311,Stores!$A:$A,0)),"Unknown")</f>
        <v>TrendMart Guntur Standard</v>
      </c>
      <c r="Y1311" t="str">
        <f>IFERROR(INDEX(Stores!$E:$E,MATCH(E1311,Stores!$A:$A,0)),"Unknown")</f>
        <v>South Zone 3</v>
      </c>
      <c r="Z1311" t="str">
        <f>IFERROR(INDEX(Customers!$J:$J,MATCH(C1311,Customers!$A:$A,0)),"Unknown")</f>
        <v>Silver</v>
      </c>
      <c r="AA1311" t="str">
        <f t="shared" si="20"/>
        <v>2024-04</v>
      </c>
      <c r="AB1311" t="str">
        <f>IFERROR(INDEX(Products!$I:$I,MATCH(D1311,Products!$A:$A,0)),"Unknown")</f>
        <v>SUP085</v>
      </c>
    </row>
    <row r="1312" spans="1:28" x14ac:dyDescent="0.25">
      <c r="A1312" t="s">
        <v>3133</v>
      </c>
      <c r="B1312" s="20">
        <v>45663</v>
      </c>
      <c r="C1312" t="s">
        <v>3134</v>
      </c>
      <c r="D1312" t="s">
        <v>1476</v>
      </c>
      <c r="E1312" t="s">
        <v>511</v>
      </c>
      <c r="F1312" t="s">
        <v>221</v>
      </c>
      <c r="G1312">
        <v>3</v>
      </c>
      <c r="H1312" s="21">
        <v>774.97</v>
      </c>
      <c r="I1312">
        <v>0</v>
      </c>
      <c r="J1312" s="21">
        <v>0</v>
      </c>
      <c r="K1312">
        <v>5</v>
      </c>
      <c r="L1312" s="21">
        <v>116.25</v>
      </c>
      <c r="M1312" s="21">
        <v>2441.16</v>
      </c>
      <c r="N1312" s="21">
        <v>1755.78</v>
      </c>
      <c r="O1312" s="21">
        <v>569.13</v>
      </c>
      <c r="P1312" t="s">
        <v>123</v>
      </c>
      <c r="Q1312" t="s">
        <v>122</v>
      </c>
      <c r="R1312" t="s">
        <v>151</v>
      </c>
      <c r="S1312" t="s">
        <v>1165</v>
      </c>
      <c r="T1312" t="s">
        <v>153</v>
      </c>
      <c r="U1312" t="s">
        <v>154</v>
      </c>
      <c r="V1312" t="str">
        <f>IFERROR(INDEX(Products!$C:$C,MATCH(D1312,Products!$A:$A,0)),"Unknown")</f>
        <v>Men Trousers</v>
      </c>
      <c r="W1312" t="str">
        <f>IFERROR(INDEX(Products!$E:$E,MATCH(D1312,Products!$A:$A,0)),"Unknown")</f>
        <v>Van Heusen</v>
      </c>
      <c r="X1312" t="str">
        <f>IFERROR(INDEX(Stores!$B:$B,MATCH(E1312,Stores!$A:$A,0)),"Unknown")</f>
        <v>TrendMart Khammam Standard</v>
      </c>
      <c r="Y1312" t="str">
        <f>IFERROR(INDEX(Stores!$E:$E,MATCH(E1312,Stores!$A:$A,0)),"Unknown")</f>
        <v>South Zone 2</v>
      </c>
      <c r="Z1312" t="str">
        <f>IFERROR(INDEX(Customers!$J:$J,MATCH(C1312,Customers!$A:$A,0)),"Unknown")</f>
        <v>Silver</v>
      </c>
      <c r="AA1312" t="str">
        <f t="shared" si="20"/>
        <v>2025-01</v>
      </c>
      <c r="AB1312" t="str">
        <f>IFERROR(INDEX(Products!$I:$I,MATCH(D1312,Products!$A:$A,0)),"Unknown")</f>
        <v>SUP012</v>
      </c>
    </row>
    <row r="1313" spans="1:28" x14ac:dyDescent="0.25">
      <c r="A1313" t="s">
        <v>3135</v>
      </c>
      <c r="B1313" s="20">
        <v>45704</v>
      </c>
      <c r="C1313" t="s">
        <v>3136</v>
      </c>
      <c r="D1313" t="s">
        <v>1569</v>
      </c>
      <c r="E1313" t="s">
        <v>334</v>
      </c>
      <c r="F1313" t="s">
        <v>434</v>
      </c>
      <c r="G1313">
        <v>2</v>
      </c>
      <c r="H1313" s="21">
        <v>1281.81</v>
      </c>
      <c r="I1313">
        <v>15</v>
      </c>
      <c r="J1313" s="21">
        <v>384.54</v>
      </c>
      <c r="K1313">
        <v>12</v>
      </c>
      <c r="L1313" s="21">
        <v>261.49</v>
      </c>
      <c r="M1313" s="21">
        <v>2440.5700000000002</v>
      </c>
      <c r="N1313" s="21">
        <v>1617.98</v>
      </c>
      <c r="O1313" s="21">
        <v>561.1</v>
      </c>
      <c r="P1313" t="s">
        <v>123</v>
      </c>
      <c r="Q1313" t="s">
        <v>120</v>
      </c>
      <c r="R1313" t="s">
        <v>151</v>
      </c>
      <c r="S1313" t="s">
        <v>1228</v>
      </c>
      <c r="T1313" t="s">
        <v>161</v>
      </c>
      <c r="U1313" t="s">
        <v>154</v>
      </c>
      <c r="V1313" t="str">
        <f>IFERROR(INDEX(Products!$C:$C,MATCH(D1313,Products!$A:$A,0)),"Unknown")</f>
        <v>Women Kurtis</v>
      </c>
      <c r="W1313" t="str">
        <f>IFERROR(INDEX(Products!$E:$E,MATCH(D1313,Products!$A:$A,0)),"Unknown")</f>
        <v>Liberty</v>
      </c>
      <c r="X1313" t="str">
        <f>IFERROR(INDEX(Stores!$B:$B,MATCH(E1313,Stores!$A:$A,0)),"Unknown")</f>
        <v>TrendMart Madurai High Street</v>
      </c>
      <c r="Y1313" t="str">
        <f>IFERROR(INDEX(Stores!$E:$E,MATCH(E1313,Stores!$A:$A,0)),"Unknown")</f>
        <v>South Zone 1</v>
      </c>
      <c r="Z1313" t="str">
        <f>IFERROR(INDEX(Customers!$J:$J,MATCH(C1313,Customers!$A:$A,0)),"Unknown")</f>
        <v>Regular</v>
      </c>
      <c r="AA1313" t="str">
        <f t="shared" si="20"/>
        <v>2025-02</v>
      </c>
      <c r="AB1313" t="str">
        <f>IFERROR(INDEX(Products!$I:$I,MATCH(D1313,Products!$A:$A,0)),"Unknown")</f>
        <v>SUP079</v>
      </c>
    </row>
    <row r="1314" spans="1:28" x14ac:dyDescent="0.25">
      <c r="A1314" t="s">
        <v>3137</v>
      </c>
      <c r="B1314" s="20">
        <v>45572</v>
      </c>
      <c r="C1314" t="s">
        <v>561</v>
      </c>
      <c r="D1314" t="s">
        <v>2696</v>
      </c>
      <c r="E1314" t="s">
        <v>351</v>
      </c>
      <c r="F1314" t="s">
        <v>258</v>
      </c>
      <c r="G1314">
        <v>2</v>
      </c>
      <c r="H1314" s="21">
        <v>1019.88</v>
      </c>
      <c r="I1314">
        <v>5</v>
      </c>
      <c r="J1314" s="21">
        <v>101.99</v>
      </c>
      <c r="K1314">
        <v>12</v>
      </c>
      <c r="L1314" s="21">
        <v>232.53</v>
      </c>
      <c r="M1314" s="21">
        <v>2170.3000000000002</v>
      </c>
      <c r="N1314" s="21">
        <v>1406.06</v>
      </c>
      <c r="O1314" s="21">
        <v>531.71</v>
      </c>
      <c r="P1314" t="s">
        <v>125</v>
      </c>
      <c r="Q1314" t="s">
        <v>122</v>
      </c>
      <c r="R1314" t="s">
        <v>151</v>
      </c>
      <c r="S1314" t="s">
        <v>3138</v>
      </c>
      <c r="T1314" t="s">
        <v>153</v>
      </c>
      <c r="U1314" t="s">
        <v>154</v>
      </c>
      <c r="V1314" t="str">
        <f>IFERROR(INDEX(Products!$C:$C,MATCH(D1314,Products!$A:$A,0)),"Unknown")</f>
        <v>Women Kurtis</v>
      </c>
      <c r="W1314" t="str">
        <f>IFERROR(INDEX(Products!$E:$E,MATCH(D1314,Products!$A:$A,0)),"Unknown")</f>
        <v>Sonata</v>
      </c>
      <c r="X1314" t="str">
        <f>IFERROR(INDEX(Stores!$B:$B,MATCH(E1314,Stores!$A:$A,0)),"Unknown")</f>
        <v>TrendMart Kozhikode High Street</v>
      </c>
      <c r="Y1314" t="str">
        <f>IFERROR(INDEX(Stores!$E:$E,MATCH(E1314,Stores!$A:$A,0)),"Unknown")</f>
        <v>South Zone 1</v>
      </c>
      <c r="Z1314" t="str">
        <f>IFERROR(INDEX(Customers!$J:$J,MATCH(C1314,Customers!$A:$A,0)),"Unknown")</f>
        <v>Silver</v>
      </c>
      <c r="AA1314" t="str">
        <f t="shared" si="20"/>
        <v>2024-10</v>
      </c>
      <c r="AB1314" t="str">
        <f>IFERROR(INDEX(Products!$I:$I,MATCH(D1314,Products!$A:$A,0)),"Unknown")</f>
        <v>SUP069</v>
      </c>
    </row>
    <row r="1315" spans="1:28" x14ac:dyDescent="0.25">
      <c r="A1315" t="s">
        <v>3139</v>
      </c>
      <c r="B1315" s="20">
        <v>45591</v>
      </c>
      <c r="C1315" t="s">
        <v>1268</v>
      </c>
      <c r="D1315" t="s">
        <v>199</v>
      </c>
      <c r="E1315" t="s">
        <v>93</v>
      </c>
      <c r="F1315" t="s">
        <v>201</v>
      </c>
      <c r="G1315">
        <v>3</v>
      </c>
      <c r="H1315" s="21">
        <v>900.83</v>
      </c>
      <c r="I1315">
        <v>0</v>
      </c>
      <c r="J1315" s="21">
        <v>0</v>
      </c>
      <c r="K1315">
        <v>5</v>
      </c>
      <c r="L1315" s="21">
        <v>135.12</v>
      </c>
      <c r="M1315" s="21">
        <v>2837.61</v>
      </c>
      <c r="N1315" s="21">
        <v>1465.8</v>
      </c>
      <c r="O1315" s="21">
        <v>1236.69</v>
      </c>
      <c r="P1315" t="s">
        <v>125</v>
      </c>
      <c r="Q1315" t="s">
        <v>120</v>
      </c>
      <c r="R1315" t="s">
        <v>151</v>
      </c>
      <c r="S1315" t="s">
        <v>1499</v>
      </c>
      <c r="T1315" t="s">
        <v>161</v>
      </c>
      <c r="U1315" t="s">
        <v>154</v>
      </c>
      <c r="V1315" t="str">
        <f>IFERROR(INDEX(Products!$C:$C,MATCH(D1315,Products!$A:$A,0)),"Unknown")</f>
        <v>Accessories</v>
      </c>
      <c r="W1315" t="str">
        <f>IFERROR(INDEX(Products!$E:$E,MATCH(D1315,Products!$A:$A,0)),"Unknown")</f>
        <v>Arrow</v>
      </c>
      <c r="X1315" t="str">
        <f>IFERROR(INDEX(Stores!$B:$B,MATCH(E1315,Stores!$A:$A,0)),"Unknown")</f>
        <v>TrendMart Thiruvananthapuram High Street</v>
      </c>
      <c r="Y1315" t="str">
        <f>IFERROR(INDEX(Stores!$E:$E,MATCH(E1315,Stores!$A:$A,0)),"Unknown")</f>
        <v>South Zone 1</v>
      </c>
      <c r="Z1315" t="str">
        <f>IFERROR(INDEX(Customers!$J:$J,MATCH(C1315,Customers!$A:$A,0)),"Unknown")</f>
        <v>Regular</v>
      </c>
      <c r="AA1315" t="str">
        <f t="shared" si="20"/>
        <v>2024-10</v>
      </c>
      <c r="AB1315" t="str">
        <f>IFERROR(INDEX(Products!$I:$I,MATCH(D1315,Products!$A:$A,0)),"Unknown")</f>
        <v>SUP018</v>
      </c>
    </row>
    <row r="1316" spans="1:28" x14ac:dyDescent="0.25">
      <c r="A1316" t="s">
        <v>3140</v>
      </c>
      <c r="B1316" s="20">
        <v>45598</v>
      </c>
      <c r="C1316" t="s">
        <v>1331</v>
      </c>
      <c r="D1316" t="s">
        <v>622</v>
      </c>
      <c r="E1316" t="s">
        <v>181</v>
      </c>
      <c r="F1316" t="s">
        <v>532</v>
      </c>
      <c r="G1316">
        <v>2</v>
      </c>
      <c r="H1316" s="21">
        <v>2990.05</v>
      </c>
      <c r="I1316">
        <v>5</v>
      </c>
      <c r="J1316" s="21">
        <v>299</v>
      </c>
      <c r="K1316">
        <v>12</v>
      </c>
      <c r="L1316" s="21">
        <v>681.73</v>
      </c>
      <c r="M1316" s="21">
        <v>6362.83</v>
      </c>
      <c r="N1316" s="21">
        <v>3706.28</v>
      </c>
      <c r="O1316" s="21">
        <v>1974.82</v>
      </c>
      <c r="P1316" t="s">
        <v>121</v>
      </c>
      <c r="Q1316" t="s">
        <v>120</v>
      </c>
      <c r="R1316" t="s">
        <v>151</v>
      </c>
      <c r="S1316" t="s">
        <v>1730</v>
      </c>
      <c r="T1316" t="s">
        <v>161</v>
      </c>
      <c r="U1316" t="s">
        <v>154</v>
      </c>
      <c r="V1316" t="str">
        <f>IFERROR(INDEX(Products!$C:$C,MATCH(D1316,Products!$A:$A,0)),"Unknown")</f>
        <v>Women Sarees</v>
      </c>
      <c r="W1316" t="str">
        <f>IFERROR(INDEX(Products!$E:$E,MATCH(D1316,Products!$A:$A,0)),"Unknown")</f>
        <v>Sparx</v>
      </c>
      <c r="X1316" t="str">
        <f>IFERROR(INDEX(Stores!$B:$B,MATCH(E1316,Stores!$A:$A,0)),"Unknown")</f>
        <v>TrendMart Kurnool High Street</v>
      </c>
      <c r="Y1316" t="str">
        <f>IFERROR(INDEX(Stores!$E:$E,MATCH(E1316,Stores!$A:$A,0)),"Unknown")</f>
        <v>South Zone 3</v>
      </c>
      <c r="Z1316" t="str">
        <f>IFERROR(INDEX(Customers!$J:$J,MATCH(C1316,Customers!$A:$A,0)),"Unknown")</f>
        <v>Regular</v>
      </c>
      <c r="AA1316" t="str">
        <f t="shared" si="20"/>
        <v>2024-11</v>
      </c>
      <c r="AB1316" t="str">
        <f>IFERROR(INDEX(Products!$I:$I,MATCH(D1316,Products!$A:$A,0)),"Unknown")</f>
        <v>SUP080</v>
      </c>
    </row>
    <row r="1317" spans="1:28" x14ac:dyDescent="0.25">
      <c r="A1317" t="s">
        <v>3141</v>
      </c>
      <c r="B1317" s="20">
        <v>45467</v>
      </c>
      <c r="C1317" t="s">
        <v>2355</v>
      </c>
      <c r="D1317" t="s">
        <v>599</v>
      </c>
      <c r="E1317" t="s">
        <v>798</v>
      </c>
      <c r="F1317" t="s">
        <v>189</v>
      </c>
      <c r="G1317">
        <v>3</v>
      </c>
      <c r="H1317" s="21">
        <v>1029.72</v>
      </c>
      <c r="I1317">
        <v>0</v>
      </c>
      <c r="J1317" s="21">
        <v>0</v>
      </c>
      <c r="K1317">
        <v>12</v>
      </c>
      <c r="L1317" s="21">
        <v>370.7</v>
      </c>
      <c r="M1317" s="21">
        <v>3459.86</v>
      </c>
      <c r="N1317" s="21">
        <v>1936.77</v>
      </c>
      <c r="O1317" s="21">
        <v>1152.3900000000001</v>
      </c>
      <c r="P1317" t="s">
        <v>125</v>
      </c>
      <c r="Q1317" t="s">
        <v>120</v>
      </c>
      <c r="R1317" t="s">
        <v>151</v>
      </c>
      <c r="S1317" t="s">
        <v>2311</v>
      </c>
      <c r="T1317" t="s">
        <v>153</v>
      </c>
      <c r="U1317" t="s">
        <v>154</v>
      </c>
      <c r="V1317" t="str">
        <f>IFERROR(INDEX(Products!$C:$C,MATCH(D1317,Products!$A:$A,0)),"Unknown")</f>
        <v>Men Shirts</v>
      </c>
      <c r="W1317" t="str">
        <f>IFERROR(INDEX(Products!$E:$E,MATCH(D1317,Products!$A:$A,0)),"Unknown")</f>
        <v>Van Heusen</v>
      </c>
      <c r="X1317" t="str">
        <f>IFERROR(INDEX(Stores!$B:$B,MATCH(E1317,Stores!$A:$A,0)),"Unknown")</f>
        <v>TrendMart Guntur Standard</v>
      </c>
      <c r="Y1317" t="str">
        <f>IFERROR(INDEX(Stores!$E:$E,MATCH(E1317,Stores!$A:$A,0)),"Unknown")</f>
        <v>South Zone 3</v>
      </c>
      <c r="Z1317" t="str">
        <f>IFERROR(INDEX(Customers!$J:$J,MATCH(C1317,Customers!$A:$A,0)),"Unknown")</f>
        <v>Gold</v>
      </c>
      <c r="AA1317" t="str">
        <f t="shared" si="20"/>
        <v>2024-06</v>
      </c>
      <c r="AB1317" t="str">
        <f>IFERROR(INDEX(Products!$I:$I,MATCH(D1317,Products!$A:$A,0)),"Unknown")</f>
        <v>SUP084</v>
      </c>
    </row>
    <row r="1318" spans="1:28" x14ac:dyDescent="0.25">
      <c r="A1318" t="s">
        <v>3142</v>
      </c>
      <c r="B1318" s="20">
        <v>45417</v>
      </c>
      <c r="C1318" t="s">
        <v>3143</v>
      </c>
      <c r="D1318" t="s">
        <v>230</v>
      </c>
      <c r="E1318" t="s">
        <v>806</v>
      </c>
      <c r="F1318" t="s">
        <v>382</v>
      </c>
      <c r="G1318">
        <v>1</v>
      </c>
      <c r="H1318" s="21">
        <v>1586.27</v>
      </c>
      <c r="I1318">
        <v>5</v>
      </c>
      <c r="J1318" s="21">
        <v>79.31</v>
      </c>
      <c r="K1318">
        <v>12</v>
      </c>
      <c r="L1318" s="21">
        <v>180.84</v>
      </c>
      <c r="M1318" s="21">
        <v>1687.8</v>
      </c>
      <c r="N1318" s="21">
        <v>946.3</v>
      </c>
      <c r="O1318" s="21">
        <v>560.66</v>
      </c>
      <c r="P1318" t="s">
        <v>121</v>
      </c>
      <c r="Q1318" t="s">
        <v>120</v>
      </c>
      <c r="R1318" t="s">
        <v>151</v>
      </c>
      <c r="S1318" t="s">
        <v>3034</v>
      </c>
      <c r="T1318" t="s">
        <v>161</v>
      </c>
      <c r="U1318" t="s">
        <v>154</v>
      </c>
      <c r="V1318" t="str">
        <f>IFERROR(INDEX(Products!$C:$C,MATCH(D1318,Products!$A:$A,0)),"Unknown")</f>
        <v>Watches</v>
      </c>
      <c r="W1318" t="str">
        <f>IFERROR(INDEX(Products!$E:$E,MATCH(D1318,Products!$A:$A,0)),"Unknown")</f>
        <v>Wrangler</v>
      </c>
      <c r="X1318" t="str">
        <f>IFERROR(INDEX(Stores!$B:$B,MATCH(E1318,Stores!$A:$A,0)),"Unknown")</f>
        <v>TrendMart Tirunelveli Flagship</v>
      </c>
      <c r="Y1318" t="str">
        <f>IFERROR(INDEX(Stores!$E:$E,MATCH(E1318,Stores!$A:$A,0)),"Unknown")</f>
        <v>South Zone 1</v>
      </c>
      <c r="Z1318" t="str">
        <f>IFERROR(INDEX(Customers!$J:$J,MATCH(C1318,Customers!$A:$A,0)),"Unknown")</f>
        <v>Silver</v>
      </c>
      <c r="AA1318" t="str">
        <f t="shared" si="20"/>
        <v>2024-05</v>
      </c>
      <c r="AB1318" t="str">
        <f>IFERROR(INDEX(Products!$I:$I,MATCH(D1318,Products!$A:$A,0)),"Unknown")</f>
        <v>SUP044</v>
      </c>
    </row>
    <row r="1319" spans="1:28" x14ac:dyDescent="0.25">
      <c r="A1319" t="s">
        <v>3144</v>
      </c>
      <c r="B1319" s="20">
        <v>45508</v>
      </c>
      <c r="C1319" t="s">
        <v>2743</v>
      </c>
      <c r="D1319" t="s">
        <v>1903</v>
      </c>
      <c r="E1319" t="s">
        <v>318</v>
      </c>
      <c r="F1319" t="s">
        <v>596</v>
      </c>
      <c r="G1319">
        <v>2</v>
      </c>
      <c r="H1319" s="21">
        <v>1020.02</v>
      </c>
      <c r="I1319">
        <v>25</v>
      </c>
      <c r="J1319" s="21">
        <v>510.01</v>
      </c>
      <c r="K1319">
        <v>12</v>
      </c>
      <c r="L1319" s="21">
        <v>183.6</v>
      </c>
      <c r="M1319" s="21">
        <v>1713.63</v>
      </c>
      <c r="N1319" s="21">
        <v>1522.14</v>
      </c>
      <c r="O1319" s="21">
        <v>7.89</v>
      </c>
      <c r="P1319" t="s">
        <v>124</v>
      </c>
      <c r="Q1319" t="s">
        <v>122</v>
      </c>
      <c r="R1319" t="s">
        <v>151</v>
      </c>
      <c r="S1319" t="s">
        <v>287</v>
      </c>
      <c r="T1319" t="s">
        <v>161</v>
      </c>
      <c r="U1319" t="s">
        <v>154</v>
      </c>
      <c r="V1319" t="str">
        <f>IFERROR(INDEX(Products!$C:$C,MATCH(D1319,Products!$A:$A,0)),"Unknown")</f>
        <v>Belts</v>
      </c>
      <c r="W1319" t="str">
        <f>IFERROR(INDEX(Products!$E:$E,MATCH(D1319,Products!$A:$A,0)),"Unknown")</f>
        <v>US Polo Assn</v>
      </c>
      <c r="X1319" t="str">
        <f>IFERROR(INDEX(Stores!$B:$B,MATCH(E1319,Stores!$A:$A,0)),"Unknown")</f>
        <v>TrendMart Guntur Outlet</v>
      </c>
      <c r="Y1319" t="str">
        <f>IFERROR(INDEX(Stores!$E:$E,MATCH(E1319,Stores!$A:$A,0)),"Unknown")</f>
        <v>South Zone 3</v>
      </c>
      <c r="Z1319" t="str">
        <f>IFERROR(INDEX(Customers!$J:$J,MATCH(C1319,Customers!$A:$A,0)),"Unknown")</f>
        <v>Silver</v>
      </c>
      <c r="AA1319" t="str">
        <f t="shared" si="20"/>
        <v>2024-08</v>
      </c>
      <c r="AB1319" t="str">
        <f>IFERROR(INDEX(Products!$I:$I,MATCH(D1319,Products!$A:$A,0)),"Unknown")</f>
        <v>SUP029</v>
      </c>
    </row>
    <row r="1320" spans="1:28" x14ac:dyDescent="0.25">
      <c r="A1320" t="s">
        <v>3145</v>
      </c>
      <c r="B1320" s="20">
        <v>45383</v>
      </c>
      <c r="C1320" t="s">
        <v>943</v>
      </c>
      <c r="D1320" t="s">
        <v>1140</v>
      </c>
      <c r="E1320" t="s">
        <v>88</v>
      </c>
      <c r="F1320" t="s">
        <v>211</v>
      </c>
      <c r="G1320">
        <v>4</v>
      </c>
      <c r="H1320" s="21">
        <v>1327.96</v>
      </c>
      <c r="I1320">
        <v>5</v>
      </c>
      <c r="J1320" s="21">
        <v>265.58999999999997</v>
      </c>
      <c r="K1320">
        <v>12</v>
      </c>
      <c r="L1320" s="21">
        <v>605.54999999999995</v>
      </c>
      <c r="M1320" s="21">
        <v>5651.8</v>
      </c>
      <c r="N1320" s="21">
        <v>3578.72</v>
      </c>
      <c r="O1320" s="21">
        <v>1467.53</v>
      </c>
      <c r="P1320" t="s">
        <v>125</v>
      </c>
      <c r="Q1320" t="s">
        <v>120</v>
      </c>
      <c r="R1320" t="s">
        <v>151</v>
      </c>
      <c r="S1320" t="s">
        <v>941</v>
      </c>
      <c r="T1320" t="s">
        <v>153</v>
      </c>
      <c r="U1320" t="s">
        <v>154</v>
      </c>
      <c r="V1320" t="str">
        <f>IFERROR(INDEX(Products!$C:$C,MATCH(D1320,Products!$A:$A,0)),"Unknown")</f>
        <v>Sportswear</v>
      </c>
      <c r="W1320" t="str">
        <f>IFERROR(INDEX(Products!$E:$E,MATCH(D1320,Products!$A:$A,0)),"Unknown")</f>
        <v>Bata</v>
      </c>
      <c r="X1320" t="str">
        <f>IFERROR(INDEX(Stores!$B:$B,MATCH(E1320,Stores!$A:$A,0)),"Unknown")</f>
        <v>TrendMart Kozhikode Mall Kiosk</v>
      </c>
      <c r="Y1320" t="str">
        <f>IFERROR(INDEX(Stores!$E:$E,MATCH(E1320,Stores!$A:$A,0)),"Unknown")</f>
        <v>South Zone 1</v>
      </c>
      <c r="Z1320" t="str">
        <f>IFERROR(INDEX(Customers!$J:$J,MATCH(C1320,Customers!$A:$A,0)),"Unknown")</f>
        <v>Silver</v>
      </c>
      <c r="AA1320" t="str">
        <f t="shared" si="20"/>
        <v>2024-04</v>
      </c>
      <c r="AB1320" t="str">
        <f>IFERROR(INDEX(Products!$I:$I,MATCH(D1320,Products!$A:$A,0)),"Unknown")</f>
        <v>SUP065</v>
      </c>
    </row>
    <row r="1321" spans="1:28" x14ac:dyDescent="0.25">
      <c r="A1321" t="s">
        <v>3146</v>
      </c>
      <c r="B1321" s="20">
        <v>45562</v>
      </c>
      <c r="C1321" t="s">
        <v>1459</v>
      </c>
      <c r="D1321" t="s">
        <v>913</v>
      </c>
      <c r="E1321" t="s">
        <v>810</v>
      </c>
      <c r="F1321" t="s">
        <v>170</v>
      </c>
      <c r="G1321">
        <v>1</v>
      </c>
      <c r="H1321" s="21">
        <v>1413.43</v>
      </c>
      <c r="I1321">
        <v>5</v>
      </c>
      <c r="J1321" s="21">
        <v>70.67</v>
      </c>
      <c r="K1321">
        <v>12</v>
      </c>
      <c r="L1321" s="21">
        <v>161.13</v>
      </c>
      <c r="M1321" s="21">
        <v>1503.89</v>
      </c>
      <c r="N1321" s="21">
        <v>1079.47</v>
      </c>
      <c r="O1321" s="21">
        <v>263.29000000000002</v>
      </c>
      <c r="P1321" t="s">
        <v>121</v>
      </c>
      <c r="Q1321" t="s">
        <v>120</v>
      </c>
      <c r="R1321" t="s">
        <v>151</v>
      </c>
      <c r="S1321" t="s">
        <v>1451</v>
      </c>
      <c r="T1321" t="s">
        <v>153</v>
      </c>
      <c r="U1321" t="s">
        <v>154</v>
      </c>
      <c r="V1321" t="str">
        <f>IFERROR(INDEX(Products!$C:$C,MATCH(D1321,Products!$A:$A,0)),"Unknown")</f>
        <v>Sportswear</v>
      </c>
      <c r="W1321" t="str">
        <f>IFERROR(INDEX(Products!$E:$E,MATCH(D1321,Products!$A:$A,0)),"Unknown")</f>
        <v>GRT Jewellers</v>
      </c>
      <c r="X1321" t="str">
        <f>IFERROR(INDEX(Stores!$B:$B,MATCH(E1321,Stores!$A:$A,0)),"Unknown")</f>
        <v>TrendMart Nizamabad Standard</v>
      </c>
      <c r="Y1321" t="str">
        <f>IFERROR(INDEX(Stores!$E:$E,MATCH(E1321,Stores!$A:$A,0)),"Unknown")</f>
        <v>South Zone 2</v>
      </c>
      <c r="Z1321" t="str">
        <f>IFERROR(INDEX(Customers!$J:$J,MATCH(C1321,Customers!$A:$A,0)),"Unknown")</f>
        <v>Gold</v>
      </c>
      <c r="AA1321" t="str">
        <f t="shared" si="20"/>
        <v>2024-09</v>
      </c>
      <c r="AB1321" t="str">
        <f>IFERROR(INDEX(Products!$I:$I,MATCH(D1321,Products!$A:$A,0)),"Unknown")</f>
        <v>SUP072</v>
      </c>
    </row>
    <row r="1322" spans="1:28" x14ac:dyDescent="0.25">
      <c r="A1322" t="s">
        <v>3147</v>
      </c>
      <c r="B1322" s="20">
        <v>45594</v>
      </c>
      <c r="C1322" t="s">
        <v>1447</v>
      </c>
      <c r="D1322" t="s">
        <v>199</v>
      </c>
      <c r="E1322" t="s">
        <v>1163</v>
      </c>
      <c r="F1322" t="s">
        <v>303</v>
      </c>
      <c r="G1322">
        <v>2</v>
      </c>
      <c r="H1322" s="21">
        <v>861.3</v>
      </c>
      <c r="I1322">
        <v>20</v>
      </c>
      <c r="J1322" s="21">
        <v>344.52</v>
      </c>
      <c r="K1322">
        <v>5</v>
      </c>
      <c r="L1322" s="21">
        <v>68.900000000000006</v>
      </c>
      <c r="M1322" s="21">
        <v>1446.98</v>
      </c>
      <c r="N1322" s="21">
        <v>977.2</v>
      </c>
      <c r="O1322" s="21">
        <v>400.88</v>
      </c>
      <c r="P1322" t="s">
        <v>124</v>
      </c>
      <c r="Q1322" t="s">
        <v>122</v>
      </c>
      <c r="R1322" t="s">
        <v>151</v>
      </c>
      <c r="S1322" t="s">
        <v>3148</v>
      </c>
      <c r="T1322" t="s">
        <v>153</v>
      </c>
      <c r="U1322" t="s">
        <v>154</v>
      </c>
      <c r="V1322" t="str">
        <f>IFERROR(INDEX(Products!$C:$C,MATCH(D1322,Products!$A:$A,0)),"Unknown")</f>
        <v>Accessories</v>
      </c>
      <c r="W1322" t="str">
        <f>IFERROR(INDEX(Products!$E:$E,MATCH(D1322,Products!$A:$A,0)),"Unknown")</f>
        <v>Arrow</v>
      </c>
      <c r="X1322" t="str">
        <f>IFERROR(INDEX(Stores!$B:$B,MATCH(E1322,Stores!$A:$A,0)),"Unknown")</f>
        <v>TrendMart Alappuzha Outlet</v>
      </c>
      <c r="Y1322" t="str">
        <f>IFERROR(INDEX(Stores!$E:$E,MATCH(E1322,Stores!$A:$A,0)),"Unknown")</f>
        <v>South Zone 1</v>
      </c>
      <c r="Z1322" t="str">
        <f>IFERROR(INDEX(Customers!$J:$J,MATCH(C1322,Customers!$A:$A,0)),"Unknown")</f>
        <v>Regular</v>
      </c>
      <c r="AA1322" t="str">
        <f t="shared" si="20"/>
        <v>2024-10</v>
      </c>
      <c r="AB1322" t="str">
        <f>IFERROR(INDEX(Products!$I:$I,MATCH(D1322,Products!$A:$A,0)),"Unknown")</f>
        <v>SUP018</v>
      </c>
    </row>
    <row r="1323" spans="1:28" x14ac:dyDescent="0.25">
      <c r="A1323" t="s">
        <v>3149</v>
      </c>
      <c r="B1323" s="20">
        <v>45701</v>
      </c>
      <c r="C1323" t="s">
        <v>2795</v>
      </c>
      <c r="D1323" t="s">
        <v>407</v>
      </c>
      <c r="E1323" t="s">
        <v>490</v>
      </c>
      <c r="F1323" t="s">
        <v>292</v>
      </c>
      <c r="G1323">
        <v>2</v>
      </c>
      <c r="H1323" s="21">
        <v>1191.75</v>
      </c>
      <c r="I1323">
        <v>30</v>
      </c>
      <c r="J1323" s="21">
        <v>715.05</v>
      </c>
      <c r="K1323">
        <v>12</v>
      </c>
      <c r="L1323" s="21">
        <v>200.21</v>
      </c>
      <c r="M1323" s="21">
        <v>1868.66</v>
      </c>
      <c r="N1323" s="21">
        <v>1605.28</v>
      </c>
      <c r="O1323" s="21">
        <v>63.17</v>
      </c>
      <c r="P1323" t="s">
        <v>121</v>
      </c>
      <c r="Q1323" t="s">
        <v>122</v>
      </c>
      <c r="R1323" t="s">
        <v>151</v>
      </c>
      <c r="S1323" t="s">
        <v>2894</v>
      </c>
      <c r="T1323" t="s">
        <v>153</v>
      </c>
      <c r="U1323" t="s">
        <v>154</v>
      </c>
      <c r="V1323" t="str">
        <f>IFERROR(INDEX(Products!$C:$C,MATCH(D1323,Products!$A:$A,0)),"Unknown")</f>
        <v>Winter Wear</v>
      </c>
      <c r="W1323" t="str">
        <f>IFERROR(INDEX(Products!$E:$E,MATCH(D1323,Products!$A:$A,0)),"Unknown")</f>
        <v>Metro Shoes</v>
      </c>
      <c r="X1323" t="str">
        <f>IFERROR(INDEX(Stores!$B:$B,MATCH(E1323,Stores!$A:$A,0)),"Unknown")</f>
        <v>TrendMart Mangaluru Mall Kiosk</v>
      </c>
      <c r="Y1323" t="str">
        <f>IFERROR(INDEX(Stores!$E:$E,MATCH(E1323,Stores!$A:$A,0)),"Unknown")</f>
        <v>South Zone 2</v>
      </c>
      <c r="Z1323" t="str">
        <f>IFERROR(INDEX(Customers!$J:$J,MATCH(C1323,Customers!$A:$A,0)),"Unknown")</f>
        <v>Gold</v>
      </c>
      <c r="AA1323" t="str">
        <f t="shared" si="20"/>
        <v>2025-02</v>
      </c>
      <c r="AB1323" t="str">
        <f>IFERROR(INDEX(Products!$I:$I,MATCH(D1323,Products!$A:$A,0)),"Unknown")</f>
        <v>SUP067</v>
      </c>
    </row>
    <row r="1324" spans="1:28" x14ac:dyDescent="0.25">
      <c r="A1324" t="s">
        <v>3150</v>
      </c>
      <c r="B1324" s="20">
        <v>45431</v>
      </c>
      <c r="C1324" t="s">
        <v>3151</v>
      </c>
      <c r="D1324" t="s">
        <v>650</v>
      </c>
      <c r="E1324" t="s">
        <v>194</v>
      </c>
      <c r="F1324" t="s">
        <v>382</v>
      </c>
      <c r="G1324">
        <v>3</v>
      </c>
      <c r="H1324" s="21">
        <v>1966.06</v>
      </c>
      <c r="I1324">
        <v>0</v>
      </c>
      <c r="J1324" s="21">
        <v>0</v>
      </c>
      <c r="K1324">
        <v>12</v>
      </c>
      <c r="L1324" s="21">
        <v>707.78</v>
      </c>
      <c r="M1324" s="21">
        <v>6605.96</v>
      </c>
      <c r="N1324" s="21">
        <v>4227.3599999999997</v>
      </c>
      <c r="O1324" s="21">
        <v>1670.82</v>
      </c>
      <c r="P1324" t="s">
        <v>123</v>
      </c>
      <c r="Q1324" t="s">
        <v>122</v>
      </c>
      <c r="R1324" t="s">
        <v>151</v>
      </c>
      <c r="S1324" t="s">
        <v>3152</v>
      </c>
      <c r="T1324" t="s">
        <v>161</v>
      </c>
      <c r="U1324" t="s">
        <v>154</v>
      </c>
      <c r="V1324" t="str">
        <f>IFERROR(INDEX(Products!$C:$C,MATCH(D1324,Products!$A:$A,0)),"Unknown")</f>
        <v>Winter Wear</v>
      </c>
      <c r="W1324" t="str">
        <f>IFERROR(INDEX(Products!$E:$E,MATCH(D1324,Products!$A:$A,0)),"Unknown")</f>
        <v>Mufti</v>
      </c>
      <c r="X1324" t="str">
        <f>IFERROR(INDEX(Stores!$B:$B,MATCH(E1324,Stores!$A:$A,0)),"Unknown")</f>
        <v>TrendMart Tirupati High Street</v>
      </c>
      <c r="Y1324" t="str">
        <f>IFERROR(INDEX(Stores!$E:$E,MATCH(E1324,Stores!$A:$A,0)),"Unknown")</f>
        <v>South Zone 3</v>
      </c>
      <c r="Z1324" t="str">
        <f>IFERROR(INDEX(Customers!$J:$J,MATCH(C1324,Customers!$A:$A,0)),"Unknown")</f>
        <v>Platinum</v>
      </c>
      <c r="AA1324" t="str">
        <f t="shared" si="20"/>
        <v>2024-05</v>
      </c>
      <c r="AB1324" t="str">
        <f>IFERROR(INDEX(Products!$I:$I,MATCH(D1324,Products!$A:$A,0)),"Unknown")</f>
        <v>SUP078</v>
      </c>
    </row>
    <row r="1325" spans="1:28" x14ac:dyDescent="0.25">
      <c r="A1325" t="s">
        <v>3153</v>
      </c>
      <c r="B1325" s="20">
        <v>45586</v>
      </c>
      <c r="C1325" t="s">
        <v>2936</v>
      </c>
      <c r="D1325" t="s">
        <v>2006</v>
      </c>
      <c r="E1325" t="s">
        <v>1171</v>
      </c>
      <c r="F1325" t="s">
        <v>170</v>
      </c>
      <c r="G1325">
        <v>1</v>
      </c>
      <c r="H1325" s="21">
        <v>1529.21</v>
      </c>
      <c r="I1325">
        <v>10</v>
      </c>
      <c r="J1325" s="21">
        <v>152.91999999999999</v>
      </c>
      <c r="K1325">
        <v>12</v>
      </c>
      <c r="L1325" s="21">
        <v>165.15</v>
      </c>
      <c r="M1325" s="21">
        <v>1541.44</v>
      </c>
      <c r="N1325" s="21">
        <v>1045.19</v>
      </c>
      <c r="O1325" s="21">
        <v>331.1</v>
      </c>
      <c r="P1325" t="s">
        <v>124</v>
      </c>
      <c r="Q1325" t="s">
        <v>122</v>
      </c>
      <c r="R1325" t="s">
        <v>151</v>
      </c>
      <c r="S1325" t="s">
        <v>3154</v>
      </c>
      <c r="T1325" t="s">
        <v>153</v>
      </c>
      <c r="U1325" t="s">
        <v>154</v>
      </c>
      <c r="V1325" t="str">
        <f>IFERROR(INDEX(Products!$C:$C,MATCH(D1325,Products!$A:$A,0)),"Unknown")</f>
        <v>Winter Wear</v>
      </c>
      <c r="W1325" t="str">
        <f>IFERROR(INDEX(Products!$E:$E,MATCH(D1325,Products!$A:$A,0)),"Unknown")</f>
        <v>Fossil</v>
      </c>
      <c r="X1325" t="str">
        <f>IFERROR(INDEX(Stores!$B:$B,MATCH(E1325,Stores!$A:$A,0)),"Unknown")</f>
        <v>TrendMart Chennai Standard</v>
      </c>
      <c r="Y1325" t="str">
        <f>IFERROR(INDEX(Stores!$E:$E,MATCH(E1325,Stores!$A:$A,0)),"Unknown")</f>
        <v>South Zone 1</v>
      </c>
      <c r="Z1325" t="str">
        <f>IFERROR(INDEX(Customers!$J:$J,MATCH(C1325,Customers!$A:$A,0)),"Unknown")</f>
        <v>Regular</v>
      </c>
      <c r="AA1325" t="str">
        <f t="shared" si="20"/>
        <v>2024-10</v>
      </c>
      <c r="AB1325" t="str">
        <f>IFERROR(INDEX(Products!$I:$I,MATCH(D1325,Products!$A:$A,0)),"Unknown")</f>
        <v>SUP075</v>
      </c>
    </row>
    <row r="1326" spans="1:28" x14ac:dyDescent="0.25">
      <c r="A1326" t="s">
        <v>3155</v>
      </c>
      <c r="B1326" s="20">
        <v>45627</v>
      </c>
      <c r="C1326" t="s">
        <v>3156</v>
      </c>
      <c r="D1326" t="s">
        <v>342</v>
      </c>
      <c r="E1326" t="s">
        <v>810</v>
      </c>
      <c r="F1326" t="s">
        <v>170</v>
      </c>
      <c r="G1326">
        <v>2</v>
      </c>
      <c r="H1326" s="21">
        <v>4914.78</v>
      </c>
      <c r="I1326">
        <v>0</v>
      </c>
      <c r="J1326" s="21">
        <v>0</v>
      </c>
      <c r="K1326">
        <v>12</v>
      </c>
      <c r="L1326" s="21">
        <v>1179.55</v>
      </c>
      <c r="M1326" s="21">
        <v>11009.11</v>
      </c>
      <c r="N1326" s="21">
        <v>7301.1</v>
      </c>
      <c r="O1326" s="21">
        <v>2528.46</v>
      </c>
      <c r="P1326" t="s">
        <v>126</v>
      </c>
      <c r="Q1326" t="s">
        <v>120</v>
      </c>
      <c r="R1326" t="s">
        <v>151</v>
      </c>
      <c r="S1326" t="s">
        <v>177</v>
      </c>
      <c r="T1326" t="s">
        <v>161</v>
      </c>
      <c r="U1326" t="s">
        <v>154</v>
      </c>
      <c r="V1326" t="str">
        <f>IFERROR(INDEX(Products!$C:$C,MATCH(D1326,Products!$A:$A,0)),"Unknown")</f>
        <v>Watches</v>
      </c>
      <c r="W1326" t="str">
        <f>IFERROR(INDEX(Products!$E:$E,MATCH(D1326,Products!$A:$A,0)),"Unknown")</f>
        <v>Pepe Jeans</v>
      </c>
      <c r="X1326" t="str">
        <f>IFERROR(INDEX(Stores!$B:$B,MATCH(E1326,Stores!$A:$A,0)),"Unknown")</f>
        <v>TrendMart Nizamabad Standard</v>
      </c>
      <c r="Y1326" t="str">
        <f>IFERROR(INDEX(Stores!$E:$E,MATCH(E1326,Stores!$A:$A,0)),"Unknown")</f>
        <v>South Zone 2</v>
      </c>
      <c r="Z1326" t="str">
        <f>IFERROR(INDEX(Customers!$J:$J,MATCH(C1326,Customers!$A:$A,0)),"Unknown")</f>
        <v>Silver</v>
      </c>
      <c r="AA1326" t="str">
        <f t="shared" si="20"/>
        <v>2024-12</v>
      </c>
      <c r="AB1326" t="str">
        <f>IFERROR(INDEX(Products!$I:$I,MATCH(D1326,Products!$A:$A,0)),"Unknown")</f>
        <v>SUP052</v>
      </c>
    </row>
    <row r="1327" spans="1:28" x14ac:dyDescent="0.25">
      <c r="A1327" t="s">
        <v>3157</v>
      </c>
      <c r="B1327" s="20">
        <v>45456</v>
      </c>
      <c r="C1327" t="s">
        <v>3158</v>
      </c>
      <c r="D1327" t="s">
        <v>199</v>
      </c>
      <c r="E1327" t="s">
        <v>85</v>
      </c>
      <c r="F1327" t="s">
        <v>550</v>
      </c>
      <c r="G1327">
        <v>1</v>
      </c>
      <c r="H1327" s="21">
        <v>867.64</v>
      </c>
      <c r="I1327">
        <v>10</v>
      </c>
      <c r="J1327" s="21">
        <v>86.76</v>
      </c>
      <c r="K1327">
        <v>5</v>
      </c>
      <c r="L1327" s="21">
        <v>39.04</v>
      </c>
      <c r="M1327" s="21">
        <v>819.92</v>
      </c>
      <c r="N1327" s="21">
        <v>488.6</v>
      </c>
      <c r="O1327" s="21">
        <v>292.27999999999997</v>
      </c>
      <c r="P1327" t="s">
        <v>121</v>
      </c>
      <c r="Q1327" t="s">
        <v>122</v>
      </c>
      <c r="R1327" t="s">
        <v>151</v>
      </c>
      <c r="S1327" t="s">
        <v>2565</v>
      </c>
      <c r="T1327" t="s">
        <v>153</v>
      </c>
      <c r="U1327" t="s">
        <v>154</v>
      </c>
      <c r="V1327" t="str">
        <f>IFERROR(INDEX(Products!$C:$C,MATCH(D1327,Products!$A:$A,0)),"Unknown")</f>
        <v>Accessories</v>
      </c>
      <c r="W1327" t="str">
        <f>IFERROR(INDEX(Products!$E:$E,MATCH(D1327,Products!$A:$A,0)),"Unknown")</f>
        <v>Arrow</v>
      </c>
      <c r="X1327" t="str">
        <f>IFERROR(INDEX(Stores!$B:$B,MATCH(E1327,Stores!$A:$A,0)),"Unknown")</f>
        <v>TrendMart Kalaburagi Mall Kiosk</v>
      </c>
      <c r="Y1327" t="str">
        <f>IFERROR(INDEX(Stores!$E:$E,MATCH(E1327,Stores!$A:$A,0)),"Unknown")</f>
        <v>South Zone 2</v>
      </c>
      <c r="Z1327" t="str">
        <f>IFERROR(INDEX(Customers!$J:$J,MATCH(C1327,Customers!$A:$A,0)),"Unknown")</f>
        <v>Regular</v>
      </c>
      <c r="AA1327" t="str">
        <f t="shared" si="20"/>
        <v>2024-06</v>
      </c>
      <c r="AB1327" t="str">
        <f>IFERROR(INDEX(Products!$I:$I,MATCH(D1327,Products!$A:$A,0)),"Unknown")</f>
        <v>SUP018</v>
      </c>
    </row>
    <row r="1328" spans="1:28" x14ac:dyDescent="0.25">
      <c r="A1328" t="s">
        <v>3159</v>
      </c>
      <c r="B1328" s="20">
        <v>45457</v>
      </c>
      <c r="C1328" t="s">
        <v>1029</v>
      </c>
      <c r="D1328" t="s">
        <v>1041</v>
      </c>
      <c r="E1328" t="s">
        <v>368</v>
      </c>
      <c r="F1328" t="s">
        <v>550</v>
      </c>
      <c r="G1328">
        <v>1</v>
      </c>
      <c r="H1328" s="21">
        <v>1163.8499999999999</v>
      </c>
      <c r="I1328">
        <v>0</v>
      </c>
      <c r="J1328" s="21">
        <v>0</v>
      </c>
      <c r="K1328">
        <v>12</v>
      </c>
      <c r="L1328" s="21">
        <v>139.66</v>
      </c>
      <c r="M1328" s="21">
        <v>1303.51</v>
      </c>
      <c r="N1328" s="21">
        <v>735.85</v>
      </c>
      <c r="O1328" s="21">
        <v>428</v>
      </c>
      <c r="P1328" t="s">
        <v>124</v>
      </c>
      <c r="Q1328" t="s">
        <v>120</v>
      </c>
      <c r="R1328" t="s">
        <v>151</v>
      </c>
      <c r="S1328" t="s">
        <v>1750</v>
      </c>
      <c r="T1328" t="s">
        <v>153</v>
      </c>
      <c r="U1328" t="s">
        <v>154</v>
      </c>
      <c r="V1328" t="str">
        <f>IFERROR(INDEX(Products!$C:$C,MATCH(D1328,Products!$A:$A,0)),"Unknown")</f>
        <v>Sportswear</v>
      </c>
      <c r="W1328" t="str">
        <f>IFERROR(INDEX(Products!$E:$E,MATCH(D1328,Products!$A:$A,0)),"Unknown")</f>
        <v>Blackberrys</v>
      </c>
      <c r="X1328" t="str">
        <f>IFERROR(INDEX(Stores!$B:$B,MATCH(E1328,Stores!$A:$A,0)),"Unknown")</f>
        <v>TrendMart Alappuzha Outlet</v>
      </c>
      <c r="Y1328" t="str">
        <f>IFERROR(INDEX(Stores!$E:$E,MATCH(E1328,Stores!$A:$A,0)),"Unknown")</f>
        <v>South Zone 1</v>
      </c>
      <c r="Z1328" t="str">
        <f>IFERROR(INDEX(Customers!$J:$J,MATCH(C1328,Customers!$A:$A,0)),"Unknown")</f>
        <v>Gold</v>
      </c>
      <c r="AA1328" t="str">
        <f t="shared" si="20"/>
        <v>2024-06</v>
      </c>
      <c r="AB1328" t="str">
        <f>IFERROR(INDEX(Products!$I:$I,MATCH(D1328,Products!$A:$A,0)),"Unknown")</f>
        <v>SUP012</v>
      </c>
    </row>
    <row r="1329" spans="1:28" x14ac:dyDescent="0.25">
      <c r="A1329" t="s">
        <v>3160</v>
      </c>
      <c r="B1329" s="20">
        <v>45512</v>
      </c>
      <c r="C1329" t="s">
        <v>316</v>
      </c>
      <c r="D1329" t="s">
        <v>858</v>
      </c>
      <c r="E1329" t="s">
        <v>806</v>
      </c>
      <c r="F1329" t="s">
        <v>170</v>
      </c>
      <c r="G1329">
        <v>3</v>
      </c>
      <c r="H1329" s="21">
        <v>692.87</v>
      </c>
      <c r="I1329">
        <v>5</v>
      </c>
      <c r="J1329" s="21">
        <v>103.93</v>
      </c>
      <c r="K1329">
        <v>5</v>
      </c>
      <c r="L1329" s="21">
        <v>98.73</v>
      </c>
      <c r="M1329" s="21">
        <v>2073.41</v>
      </c>
      <c r="N1329" s="21">
        <v>1576.35</v>
      </c>
      <c r="O1329" s="21">
        <v>398.33</v>
      </c>
      <c r="P1329" t="s">
        <v>125</v>
      </c>
      <c r="Q1329" t="s">
        <v>122</v>
      </c>
      <c r="R1329" t="s">
        <v>151</v>
      </c>
      <c r="S1329" t="s">
        <v>1391</v>
      </c>
      <c r="T1329" t="s">
        <v>153</v>
      </c>
      <c r="U1329" t="s">
        <v>154</v>
      </c>
      <c r="V1329" t="str">
        <f>IFERROR(INDEX(Products!$C:$C,MATCH(D1329,Products!$A:$A,0)),"Unknown")</f>
        <v>Kids Wear</v>
      </c>
      <c r="W1329" t="str">
        <f>IFERROR(INDEX(Products!$E:$E,MATCH(D1329,Products!$A:$A,0)),"Unknown")</f>
        <v>Sonata</v>
      </c>
      <c r="X1329" t="str">
        <f>IFERROR(INDEX(Stores!$B:$B,MATCH(E1329,Stores!$A:$A,0)),"Unknown")</f>
        <v>TrendMart Tirunelveli Flagship</v>
      </c>
      <c r="Y1329" t="str">
        <f>IFERROR(INDEX(Stores!$E:$E,MATCH(E1329,Stores!$A:$A,0)),"Unknown")</f>
        <v>South Zone 1</v>
      </c>
      <c r="Z1329" t="str">
        <f>IFERROR(INDEX(Customers!$J:$J,MATCH(C1329,Customers!$A:$A,0)),"Unknown")</f>
        <v>Regular</v>
      </c>
      <c r="AA1329" t="str">
        <f t="shared" si="20"/>
        <v>2024-08</v>
      </c>
      <c r="AB1329" t="str">
        <f>IFERROR(INDEX(Products!$I:$I,MATCH(D1329,Products!$A:$A,0)),"Unknown")</f>
        <v>SUP089</v>
      </c>
    </row>
    <row r="1330" spans="1:28" x14ac:dyDescent="0.25">
      <c r="A1330" t="s">
        <v>3161</v>
      </c>
      <c r="B1330" s="20">
        <v>45673</v>
      </c>
      <c r="C1330" t="s">
        <v>2680</v>
      </c>
      <c r="D1330" t="s">
        <v>2597</v>
      </c>
      <c r="E1330" t="s">
        <v>442</v>
      </c>
      <c r="F1330" t="s">
        <v>434</v>
      </c>
      <c r="G1330">
        <v>4</v>
      </c>
      <c r="H1330" s="21">
        <v>807.29</v>
      </c>
      <c r="I1330">
        <v>15</v>
      </c>
      <c r="J1330" s="21">
        <v>484.37</v>
      </c>
      <c r="K1330">
        <v>5</v>
      </c>
      <c r="L1330" s="21">
        <v>137.24</v>
      </c>
      <c r="M1330" s="21">
        <v>2882.03</v>
      </c>
      <c r="N1330" s="21">
        <v>2302.88</v>
      </c>
      <c r="O1330" s="21">
        <v>441.91</v>
      </c>
      <c r="P1330" t="s">
        <v>121</v>
      </c>
      <c r="Q1330" t="s">
        <v>120</v>
      </c>
      <c r="R1330" t="s">
        <v>151</v>
      </c>
      <c r="S1330" t="s">
        <v>1839</v>
      </c>
      <c r="T1330" t="s">
        <v>153</v>
      </c>
      <c r="U1330" t="s">
        <v>154</v>
      </c>
      <c r="V1330" t="str">
        <f>IFERROR(INDEX(Products!$C:$C,MATCH(D1330,Products!$A:$A,0)),"Unknown")</f>
        <v>Men Trousers</v>
      </c>
      <c r="W1330" t="str">
        <f>IFERROR(INDEX(Products!$E:$E,MATCH(D1330,Products!$A:$A,0)),"Unknown")</f>
        <v>Peter England</v>
      </c>
      <c r="X1330" t="str">
        <f>IFERROR(INDEX(Stores!$B:$B,MATCH(E1330,Stores!$A:$A,0)),"Unknown")</f>
        <v>TrendMart Bengaluru Standard</v>
      </c>
      <c r="Y1330" t="str">
        <f>IFERROR(INDEX(Stores!$E:$E,MATCH(E1330,Stores!$A:$A,0)),"Unknown")</f>
        <v>South Zone 2</v>
      </c>
      <c r="Z1330" t="str">
        <f>IFERROR(INDEX(Customers!$J:$J,MATCH(C1330,Customers!$A:$A,0)),"Unknown")</f>
        <v>Silver</v>
      </c>
      <c r="AA1330" t="str">
        <f t="shared" si="20"/>
        <v>2025-01</v>
      </c>
      <c r="AB1330" t="str">
        <f>IFERROR(INDEX(Products!$I:$I,MATCH(D1330,Products!$A:$A,0)),"Unknown")</f>
        <v>SUP008</v>
      </c>
    </row>
    <row r="1331" spans="1:28" x14ac:dyDescent="0.25">
      <c r="A1331" t="s">
        <v>3162</v>
      </c>
      <c r="B1331" s="20">
        <v>45419</v>
      </c>
      <c r="C1331" t="s">
        <v>1119</v>
      </c>
      <c r="D1331" t="s">
        <v>2281</v>
      </c>
      <c r="E1331" t="s">
        <v>823</v>
      </c>
      <c r="F1331" t="s">
        <v>297</v>
      </c>
      <c r="G1331">
        <v>2</v>
      </c>
      <c r="H1331" s="21">
        <v>587.28</v>
      </c>
      <c r="I1331">
        <v>5</v>
      </c>
      <c r="J1331" s="21">
        <v>58.73</v>
      </c>
      <c r="K1331">
        <v>5</v>
      </c>
      <c r="L1331" s="21">
        <v>55.79</v>
      </c>
      <c r="M1331" s="21">
        <v>1171.6199999999999</v>
      </c>
      <c r="N1331" s="21">
        <v>746.54</v>
      </c>
      <c r="O1331" s="21">
        <v>369.29</v>
      </c>
      <c r="P1331" t="s">
        <v>121</v>
      </c>
      <c r="Q1331" t="s">
        <v>120</v>
      </c>
      <c r="R1331" t="s">
        <v>151</v>
      </c>
      <c r="S1331" t="s">
        <v>1901</v>
      </c>
      <c r="T1331" t="s">
        <v>153</v>
      </c>
      <c r="U1331" t="s">
        <v>154</v>
      </c>
      <c r="V1331" t="str">
        <f>IFERROR(INDEX(Products!$C:$C,MATCH(D1331,Products!$A:$A,0)),"Unknown")</f>
        <v>Men T-Shirts</v>
      </c>
      <c r="W1331" t="str">
        <f>IFERROR(INDEX(Products!$E:$E,MATCH(D1331,Products!$A:$A,0)),"Unknown")</f>
        <v>Indian Terrain</v>
      </c>
      <c r="X1331" t="str">
        <f>IFERROR(INDEX(Stores!$B:$B,MATCH(E1331,Stores!$A:$A,0)),"Unknown")</f>
        <v>TrendMart Thoothukudi Mall Kiosk</v>
      </c>
      <c r="Y1331" t="str">
        <f>IFERROR(INDEX(Stores!$E:$E,MATCH(E1331,Stores!$A:$A,0)),"Unknown")</f>
        <v>South Zone 1</v>
      </c>
      <c r="Z1331" t="str">
        <f>IFERROR(INDEX(Customers!$J:$J,MATCH(C1331,Customers!$A:$A,0)),"Unknown")</f>
        <v>Silver</v>
      </c>
      <c r="AA1331" t="str">
        <f t="shared" si="20"/>
        <v>2024-05</v>
      </c>
      <c r="AB1331" t="str">
        <f>IFERROR(INDEX(Products!$I:$I,MATCH(D1331,Products!$A:$A,0)),"Unknown")</f>
        <v>SUP074</v>
      </c>
    </row>
    <row r="1332" spans="1:28" x14ac:dyDescent="0.25">
      <c r="A1332" t="s">
        <v>3163</v>
      </c>
      <c r="B1332" s="20">
        <v>45423</v>
      </c>
      <c r="C1332" t="s">
        <v>3164</v>
      </c>
      <c r="D1332" t="s">
        <v>3165</v>
      </c>
      <c r="E1332" t="s">
        <v>1068</v>
      </c>
      <c r="F1332" t="s">
        <v>170</v>
      </c>
      <c r="G1332">
        <v>3</v>
      </c>
      <c r="H1332" s="21">
        <v>1332.23</v>
      </c>
      <c r="I1332">
        <v>0</v>
      </c>
      <c r="J1332" s="21">
        <v>0</v>
      </c>
      <c r="K1332">
        <v>12</v>
      </c>
      <c r="L1332" s="21">
        <v>479.6</v>
      </c>
      <c r="M1332" s="21">
        <v>4476.29</v>
      </c>
      <c r="N1332" s="21">
        <v>2613.7800000000002</v>
      </c>
      <c r="O1332" s="21">
        <v>1382.91</v>
      </c>
      <c r="P1332" t="s">
        <v>123</v>
      </c>
      <c r="Q1332" t="s">
        <v>120</v>
      </c>
      <c r="R1332" t="s">
        <v>151</v>
      </c>
      <c r="S1332" t="s">
        <v>546</v>
      </c>
      <c r="T1332" t="s">
        <v>161</v>
      </c>
      <c r="U1332" t="s">
        <v>154</v>
      </c>
      <c r="V1332" t="str">
        <f>IFERROR(INDEX(Products!$C:$C,MATCH(D1332,Products!$A:$A,0)),"Unknown")</f>
        <v>Men Trousers</v>
      </c>
      <c r="W1332" t="str">
        <f>IFERROR(INDEX(Products!$E:$E,MATCH(D1332,Products!$A:$A,0)),"Unknown")</f>
        <v>Wrangler</v>
      </c>
      <c r="X1332" t="str">
        <f>IFERROR(INDEX(Stores!$B:$B,MATCH(E1332,Stores!$A:$A,0)),"Unknown")</f>
        <v>TrendMart Tumakuru High Street</v>
      </c>
      <c r="Y1332" t="str">
        <f>IFERROR(INDEX(Stores!$E:$E,MATCH(E1332,Stores!$A:$A,0)),"Unknown")</f>
        <v>South Zone 2</v>
      </c>
      <c r="Z1332" t="str">
        <f>IFERROR(INDEX(Customers!$J:$J,MATCH(C1332,Customers!$A:$A,0)),"Unknown")</f>
        <v>Gold</v>
      </c>
      <c r="AA1332" t="str">
        <f t="shared" si="20"/>
        <v>2024-05</v>
      </c>
      <c r="AB1332" t="str">
        <f>IFERROR(INDEX(Products!$I:$I,MATCH(D1332,Products!$A:$A,0)),"Unknown")</f>
        <v>SUP051</v>
      </c>
    </row>
    <row r="1333" spans="1:28" x14ac:dyDescent="0.25">
      <c r="A1333" t="s">
        <v>3166</v>
      </c>
      <c r="B1333" s="20">
        <v>45414</v>
      </c>
      <c r="C1333" t="s">
        <v>3167</v>
      </c>
      <c r="D1333" t="s">
        <v>531</v>
      </c>
      <c r="E1333" t="s">
        <v>634</v>
      </c>
      <c r="F1333" t="s">
        <v>377</v>
      </c>
      <c r="G1333">
        <v>1</v>
      </c>
      <c r="H1333" s="21">
        <v>3154.56</v>
      </c>
      <c r="I1333">
        <v>20</v>
      </c>
      <c r="J1333" s="21">
        <v>630.91</v>
      </c>
      <c r="K1333">
        <v>12</v>
      </c>
      <c r="L1333" s="21">
        <v>302.83999999999997</v>
      </c>
      <c r="M1333" s="21">
        <v>2826.49</v>
      </c>
      <c r="N1333" s="21">
        <v>2034.01</v>
      </c>
      <c r="O1333" s="21">
        <v>489.64</v>
      </c>
      <c r="P1333" t="s">
        <v>124</v>
      </c>
      <c r="Q1333" t="s">
        <v>120</v>
      </c>
      <c r="R1333" t="s">
        <v>313</v>
      </c>
      <c r="S1333" t="s">
        <v>3168</v>
      </c>
      <c r="T1333" t="s">
        <v>153</v>
      </c>
      <c r="U1333" t="s">
        <v>154</v>
      </c>
      <c r="V1333" t="str">
        <f>IFERROR(INDEX(Products!$C:$C,MATCH(D1333,Products!$A:$A,0)),"Unknown")</f>
        <v>Handbags</v>
      </c>
      <c r="W1333" t="str">
        <f>IFERROR(INDEX(Products!$E:$E,MATCH(D1333,Products!$A:$A,0)),"Unknown")</f>
        <v>GRT Jewellers</v>
      </c>
      <c r="X1333" t="str">
        <f>IFERROR(INDEX(Stores!$B:$B,MATCH(E1333,Stores!$A:$A,0)),"Unknown")</f>
        <v>TrendMart Thrissur High Street</v>
      </c>
      <c r="Y1333" t="str">
        <f>IFERROR(INDEX(Stores!$E:$E,MATCH(E1333,Stores!$A:$A,0)),"Unknown")</f>
        <v>South Zone 1</v>
      </c>
      <c r="Z1333" t="str">
        <f>IFERROR(INDEX(Customers!$J:$J,MATCH(C1333,Customers!$A:$A,0)),"Unknown")</f>
        <v>Platinum</v>
      </c>
      <c r="AA1333" t="str">
        <f t="shared" si="20"/>
        <v>2024-05</v>
      </c>
      <c r="AB1333" t="str">
        <f>IFERROR(INDEX(Products!$I:$I,MATCH(D1333,Products!$A:$A,0)),"Unknown")</f>
        <v>SUP047</v>
      </c>
    </row>
    <row r="1334" spans="1:28" x14ac:dyDescent="0.25">
      <c r="A1334" t="s">
        <v>3169</v>
      </c>
      <c r="B1334" s="20">
        <v>45434</v>
      </c>
      <c r="C1334" t="s">
        <v>3170</v>
      </c>
      <c r="D1334" t="s">
        <v>830</v>
      </c>
      <c r="E1334" t="s">
        <v>752</v>
      </c>
      <c r="F1334" t="s">
        <v>232</v>
      </c>
      <c r="G1334">
        <v>1</v>
      </c>
      <c r="H1334" s="21">
        <v>887.77</v>
      </c>
      <c r="I1334">
        <v>0</v>
      </c>
      <c r="J1334" s="21">
        <v>0</v>
      </c>
      <c r="K1334">
        <v>5</v>
      </c>
      <c r="L1334" s="21">
        <v>44.39</v>
      </c>
      <c r="M1334" s="21">
        <v>932.16</v>
      </c>
      <c r="N1334" s="21">
        <v>570.20000000000005</v>
      </c>
      <c r="O1334" s="21">
        <v>317.57</v>
      </c>
      <c r="P1334" t="s">
        <v>123</v>
      </c>
      <c r="Q1334" t="s">
        <v>120</v>
      </c>
      <c r="R1334" t="s">
        <v>151</v>
      </c>
      <c r="S1334" t="s">
        <v>2516</v>
      </c>
      <c r="T1334" t="s">
        <v>153</v>
      </c>
      <c r="U1334" t="s">
        <v>154</v>
      </c>
      <c r="V1334" t="str">
        <f>IFERROR(INDEX(Products!$C:$C,MATCH(D1334,Products!$A:$A,0)),"Unknown")</f>
        <v>Men Shirts</v>
      </c>
      <c r="W1334" t="str">
        <f>IFERROR(INDEX(Products!$E:$E,MATCH(D1334,Products!$A:$A,0)),"Unknown")</f>
        <v>AND</v>
      </c>
      <c r="X1334" t="str">
        <f>IFERROR(INDEX(Stores!$B:$B,MATCH(E1334,Stores!$A:$A,0)),"Unknown")</f>
        <v>TrendMart Dindigul High Street</v>
      </c>
      <c r="Y1334" t="str">
        <f>IFERROR(INDEX(Stores!$E:$E,MATCH(E1334,Stores!$A:$A,0)),"Unknown")</f>
        <v>South Zone 1</v>
      </c>
      <c r="Z1334" t="str">
        <f>IFERROR(INDEX(Customers!$J:$J,MATCH(C1334,Customers!$A:$A,0)),"Unknown")</f>
        <v>Regular</v>
      </c>
      <c r="AA1334" t="str">
        <f t="shared" si="20"/>
        <v>2024-05</v>
      </c>
      <c r="AB1334" t="str">
        <f>IFERROR(INDEX(Products!$I:$I,MATCH(D1334,Products!$A:$A,0)),"Unknown")</f>
        <v>SUP012</v>
      </c>
    </row>
    <row r="1335" spans="1:28" x14ac:dyDescent="0.25">
      <c r="A1335" t="s">
        <v>3171</v>
      </c>
      <c r="B1335" s="20">
        <v>45696</v>
      </c>
      <c r="C1335" t="s">
        <v>1029</v>
      </c>
      <c r="D1335" t="s">
        <v>599</v>
      </c>
      <c r="E1335" t="s">
        <v>461</v>
      </c>
      <c r="F1335" t="s">
        <v>237</v>
      </c>
      <c r="G1335">
        <v>1</v>
      </c>
      <c r="H1335" s="21">
        <v>1102.53</v>
      </c>
      <c r="I1335">
        <v>30</v>
      </c>
      <c r="J1335" s="21">
        <v>330.76</v>
      </c>
      <c r="K1335">
        <v>12</v>
      </c>
      <c r="L1335" s="21">
        <v>92.61</v>
      </c>
      <c r="M1335" s="21">
        <v>864.38</v>
      </c>
      <c r="N1335" s="21">
        <v>645.59</v>
      </c>
      <c r="O1335" s="21">
        <v>126.18</v>
      </c>
      <c r="P1335" t="s">
        <v>124</v>
      </c>
      <c r="Q1335" t="s">
        <v>122</v>
      </c>
      <c r="R1335" t="s">
        <v>151</v>
      </c>
      <c r="S1335" t="s">
        <v>1469</v>
      </c>
      <c r="T1335" t="s">
        <v>161</v>
      </c>
      <c r="U1335" t="s">
        <v>154</v>
      </c>
      <c r="V1335" t="str">
        <f>IFERROR(INDEX(Products!$C:$C,MATCH(D1335,Products!$A:$A,0)),"Unknown")</f>
        <v>Men Shirts</v>
      </c>
      <c r="W1335" t="str">
        <f>IFERROR(INDEX(Products!$E:$E,MATCH(D1335,Products!$A:$A,0)),"Unknown")</f>
        <v>Van Heusen</v>
      </c>
      <c r="X1335" t="str">
        <f>IFERROR(INDEX(Stores!$B:$B,MATCH(E1335,Stores!$A:$A,0)),"Unknown")</f>
        <v>TrendMart Visakhapatnam High Street</v>
      </c>
      <c r="Y1335" t="str">
        <f>IFERROR(INDEX(Stores!$E:$E,MATCH(E1335,Stores!$A:$A,0)),"Unknown")</f>
        <v>South Zone 3</v>
      </c>
      <c r="Z1335" t="str">
        <f>IFERROR(INDEX(Customers!$J:$J,MATCH(C1335,Customers!$A:$A,0)),"Unknown")</f>
        <v>Gold</v>
      </c>
      <c r="AA1335" t="str">
        <f t="shared" si="20"/>
        <v>2025-02</v>
      </c>
      <c r="AB1335" t="str">
        <f>IFERROR(INDEX(Products!$I:$I,MATCH(D1335,Products!$A:$A,0)),"Unknown")</f>
        <v>SUP084</v>
      </c>
    </row>
    <row r="1336" spans="1:28" x14ac:dyDescent="0.25">
      <c r="A1336" t="s">
        <v>3172</v>
      </c>
      <c r="B1336" s="20">
        <v>45696</v>
      </c>
      <c r="C1336" t="s">
        <v>1851</v>
      </c>
      <c r="D1336" t="s">
        <v>2037</v>
      </c>
      <c r="E1336" t="s">
        <v>442</v>
      </c>
      <c r="F1336" t="s">
        <v>574</v>
      </c>
      <c r="G1336">
        <v>4</v>
      </c>
      <c r="H1336" s="21">
        <v>1782.22</v>
      </c>
      <c r="I1336">
        <v>10</v>
      </c>
      <c r="J1336" s="21">
        <v>712.89</v>
      </c>
      <c r="K1336">
        <v>12</v>
      </c>
      <c r="L1336" s="21">
        <v>769.92</v>
      </c>
      <c r="M1336" s="21">
        <v>7185.91</v>
      </c>
      <c r="N1336" s="21">
        <v>4820.5600000000004</v>
      </c>
      <c r="O1336" s="21">
        <v>1595.43</v>
      </c>
      <c r="P1336" t="s">
        <v>125</v>
      </c>
      <c r="Q1336" t="s">
        <v>120</v>
      </c>
      <c r="R1336" t="s">
        <v>151</v>
      </c>
      <c r="S1336" t="s">
        <v>533</v>
      </c>
      <c r="T1336" t="s">
        <v>161</v>
      </c>
      <c r="U1336" t="s">
        <v>154</v>
      </c>
      <c r="V1336" t="str">
        <f>IFERROR(INDEX(Products!$C:$C,MATCH(D1336,Products!$A:$A,0)),"Unknown")</f>
        <v>Men Ethnic</v>
      </c>
      <c r="W1336" t="str">
        <f>IFERROR(INDEX(Products!$E:$E,MATCH(D1336,Products!$A:$A,0)),"Unknown")</f>
        <v>Skechers</v>
      </c>
      <c r="X1336" t="str">
        <f>IFERROR(INDEX(Stores!$B:$B,MATCH(E1336,Stores!$A:$A,0)),"Unknown")</f>
        <v>TrendMart Bengaluru Standard</v>
      </c>
      <c r="Y1336" t="str">
        <f>IFERROR(INDEX(Stores!$E:$E,MATCH(E1336,Stores!$A:$A,0)),"Unknown")</f>
        <v>South Zone 2</v>
      </c>
      <c r="Z1336" t="str">
        <f>IFERROR(INDEX(Customers!$J:$J,MATCH(C1336,Customers!$A:$A,0)),"Unknown")</f>
        <v>Silver</v>
      </c>
      <c r="AA1336" t="str">
        <f t="shared" si="20"/>
        <v>2025-02</v>
      </c>
      <c r="AB1336" t="str">
        <f>IFERROR(INDEX(Products!$I:$I,MATCH(D1336,Products!$A:$A,0)),"Unknown")</f>
        <v>SUP083</v>
      </c>
    </row>
    <row r="1337" spans="1:28" x14ac:dyDescent="0.25">
      <c r="A1337" t="s">
        <v>3173</v>
      </c>
      <c r="B1337" s="20">
        <v>45507</v>
      </c>
      <c r="C1337" t="s">
        <v>2212</v>
      </c>
      <c r="D1337" t="s">
        <v>2553</v>
      </c>
      <c r="E1337" t="s">
        <v>1074</v>
      </c>
      <c r="F1337" t="s">
        <v>211</v>
      </c>
      <c r="G1337">
        <v>1</v>
      </c>
      <c r="H1337" s="21">
        <v>4221.8900000000003</v>
      </c>
      <c r="I1337">
        <v>5</v>
      </c>
      <c r="J1337" s="21">
        <v>211.09</v>
      </c>
      <c r="K1337">
        <v>12</v>
      </c>
      <c r="L1337" s="21">
        <v>481.3</v>
      </c>
      <c r="M1337" s="21">
        <v>4492.1000000000004</v>
      </c>
      <c r="N1337" s="21">
        <v>2630.84</v>
      </c>
      <c r="O1337" s="21">
        <v>1379.96</v>
      </c>
      <c r="P1337" t="s">
        <v>124</v>
      </c>
      <c r="Q1337" t="s">
        <v>122</v>
      </c>
      <c r="R1337" t="s">
        <v>313</v>
      </c>
      <c r="S1337" t="s">
        <v>770</v>
      </c>
      <c r="T1337" t="s">
        <v>161</v>
      </c>
      <c r="U1337" t="s">
        <v>154</v>
      </c>
      <c r="V1337" t="str">
        <f>IFERROR(INDEX(Products!$C:$C,MATCH(D1337,Products!$A:$A,0)),"Unknown")</f>
        <v>Watches</v>
      </c>
      <c r="W1337" t="str">
        <f>IFERROR(INDEX(Products!$E:$E,MATCH(D1337,Products!$A:$A,0)),"Unknown")</f>
        <v>Reebok</v>
      </c>
      <c r="X1337" t="str">
        <f>IFERROR(INDEX(Stores!$B:$B,MATCH(E1337,Stores!$A:$A,0)),"Unknown")</f>
        <v>TrendMart Hyderabad Standard</v>
      </c>
      <c r="Y1337" t="str">
        <f>IFERROR(INDEX(Stores!$E:$E,MATCH(E1337,Stores!$A:$A,0)),"Unknown")</f>
        <v>South Zone 2</v>
      </c>
      <c r="Z1337" t="str">
        <f>IFERROR(INDEX(Customers!$J:$J,MATCH(C1337,Customers!$A:$A,0)),"Unknown")</f>
        <v>Silver</v>
      </c>
      <c r="AA1337" t="str">
        <f t="shared" si="20"/>
        <v>2024-08</v>
      </c>
      <c r="AB1337" t="str">
        <f>IFERROR(INDEX(Products!$I:$I,MATCH(D1337,Products!$A:$A,0)),"Unknown")</f>
        <v>SUP039</v>
      </c>
    </row>
    <row r="1338" spans="1:28" x14ac:dyDescent="0.25">
      <c r="A1338" t="s">
        <v>3174</v>
      </c>
      <c r="B1338" s="20">
        <v>45462</v>
      </c>
      <c r="C1338" t="s">
        <v>2602</v>
      </c>
      <c r="D1338" t="s">
        <v>481</v>
      </c>
      <c r="E1338" t="s">
        <v>396</v>
      </c>
      <c r="F1338" t="s">
        <v>532</v>
      </c>
      <c r="G1338">
        <v>1</v>
      </c>
      <c r="H1338" s="21">
        <v>921.16</v>
      </c>
      <c r="I1338">
        <v>30</v>
      </c>
      <c r="J1338" s="21">
        <v>276.35000000000002</v>
      </c>
      <c r="K1338">
        <v>5</v>
      </c>
      <c r="L1338" s="21">
        <v>32.24</v>
      </c>
      <c r="M1338" s="21">
        <v>677.05</v>
      </c>
      <c r="N1338" s="21">
        <v>698.08</v>
      </c>
      <c r="O1338" s="21">
        <v>-53.27</v>
      </c>
      <c r="P1338" t="s">
        <v>121</v>
      </c>
      <c r="Q1338" t="s">
        <v>120</v>
      </c>
      <c r="R1338" t="s">
        <v>151</v>
      </c>
      <c r="S1338" t="s">
        <v>1485</v>
      </c>
      <c r="T1338" t="s">
        <v>153</v>
      </c>
      <c r="U1338" t="s">
        <v>184</v>
      </c>
      <c r="V1338" t="str">
        <f>IFERROR(INDEX(Products!$C:$C,MATCH(D1338,Products!$A:$A,0)),"Unknown")</f>
        <v>Women Dresses</v>
      </c>
      <c r="W1338" t="str">
        <f>IFERROR(INDEX(Products!$E:$E,MATCH(D1338,Products!$A:$A,0)),"Unknown")</f>
        <v>Jack &amp; Jones</v>
      </c>
      <c r="X1338" t="str">
        <f>IFERROR(INDEX(Stores!$B:$B,MATCH(E1338,Stores!$A:$A,0)),"Unknown")</f>
        <v>TrendMart Davanagere High Street</v>
      </c>
      <c r="Y1338" t="str">
        <f>IFERROR(INDEX(Stores!$E:$E,MATCH(E1338,Stores!$A:$A,0)),"Unknown")</f>
        <v>South Zone 2</v>
      </c>
      <c r="Z1338" t="str">
        <f>IFERROR(INDEX(Customers!$J:$J,MATCH(C1338,Customers!$A:$A,0)),"Unknown")</f>
        <v>Platinum</v>
      </c>
      <c r="AA1338" t="str">
        <f t="shared" si="20"/>
        <v>2024-06</v>
      </c>
      <c r="AB1338" t="str">
        <f>IFERROR(INDEX(Products!$I:$I,MATCH(D1338,Products!$A:$A,0)),"Unknown")</f>
        <v>SUP069</v>
      </c>
    </row>
    <row r="1339" spans="1:28" x14ac:dyDescent="0.25">
      <c r="A1339" t="s">
        <v>3175</v>
      </c>
      <c r="B1339" s="20">
        <v>45423</v>
      </c>
      <c r="C1339" t="s">
        <v>1754</v>
      </c>
      <c r="D1339" t="s">
        <v>830</v>
      </c>
      <c r="E1339" t="s">
        <v>490</v>
      </c>
      <c r="F1339" t="s">
        <v>263</v>
      </c>
      <c r="G1339">
        <v>1</v>
      </c>
      <c r="H1339" s="21">
        <v>873.22</v>
      </c>
      <c r="I1339">
        <v>0</v>
      </c>
      <c r="J1339" s="21">
        <v>0</v>
      </c>
      <c r="K1339">
        <v>5</v>
      </c>
      <c r="L1339" s="21">
        <v>43.66</v>
      </c>
      <c r="M1339" s="21">
        <v>916.88</v>
      </c>
      <c r="N1339" s="21">
        <v>570.20000000000005</v>
      </c>
      <c r="O1339" s="21">
        <v>303.02</v>
      </c>
      <c r="P1339" t="s">
        <v>121</v>
      </c>
      <c r="Q1339" t="s">
        <v>120</v>
      </c>
      <c r="R1339" t="s">
        <v>151</v>
      </c>
      <c r="S1339" t="s">
        <v>562</v>
      </c>
      <c r="T1339" t="s">
        <v>161</v>
      </c>
      <c r="U1339" t="s">
        <v>154</v>
      </c>
      <c r="V1339" t="str">
        <f>IFERROR(INDEX(Products!$C:$C,MATCH(D1339,Products!$A:$A,0)),"Unknown")</f>
        <v>Men Shirts</v>
      </c>
      <c r="W1339" t="str">
        <f>IFERROR(INDEX(Products!$E:$E,MATCH(D1339,Products!$A:$A,0)),"Unknown")</f>
        <v>AND</v>
      </c>
      <c r="X1339" t="str">
        <f>IFERROR(INDEX(Stores!$B:$B,MATCH(E1339,Stores!$A:$A,0)),"Unknown")</f>
        <v>TrendMart Mangaluru Mall Kiosk</v>
      </c>
      <c r="Y1339" t="str">
        <f>IFERROR(INDEX(Stores!$E:$E,MATCH(E1339,Stores!$A:$A,0)),"Unknown")</f>
        <v>South Zone 2</v>
      </c>
      <c r="Z1339" t="str">
        <f>IFERROR(INDEX(Customers!$J:$J,MATCH(C1339,Customers!$A:$A,0)),"Unknown")</f>
        <v>Silver</v>
      </c>
      <c r="AA1339" t="str">
        <f t="shared" si="20"/>
        <v>2024-05</v>
      </c>
      <c r="AB1339" t="str">
        <f>IFERROR(INDEX(Products!$I:$I,MATCH(D1339,Products!$A:$A,0)),"Unknown")</f>
        <v>SUP012</v>
      </c>
    </row>
    <row r="1340" spans="1:28" x14ac:dyDescent="0.25">
      <c r="A1340" t="s">
        <v>3176</v>
      </c>
      <c r="B1340" s="20">
        <v>45536</v>
      </c>
      <c r="C1340" t="s">
        <v>1183</v>
      </c>
      <c r="D1340" t="s">
        <v>805</v>
      </c>
      <c r="E1340" t="s">
        <v>89</v>
      </c>
      <c r="F1340" t="s">
        <v>382</v>
      </c>
      <c r="G1340">
        <v>1</v>
      </c>
      <c r="H1340" s="21">
        <v>1219.1600000000001</v>
      </c>
      <c r="I1340">
        <v>10</v>
      </c>
      <c r="J1340" s="21">
        <v>121.92</v>
      </c>
      <c r="K1340">
        <v>12</v>
      </c>
      <c r="L1340" s="21">
        <v>131.66999999999999</v>
      </c>
      <c r="M1340" s="21">
        <v>1228.9100000000001</v>
      </c>
      <c r="N1340" s="21">
        <v>583.86</v>
      </c>
      <c r="O1340" s="21">
        <v>513.38</v>
      </c>
      <c r="P1340" t="s">
        <v>121</v>
      </c>
      <c r="Q1340" t="s">
        <v>120</v>
      </c>
      <c r="R1340" t="s">
        <v>151</v>
      </c>
      <c r="S1340" t="s">
        <v>1788</v>
      </c>
      <c r="T1340" t="s">
        <v>161</v>
      </c>
      <c r="U1340" t="s">
        <v>154</v>
      </c>
      <c r="V1340" t="str">
        <f>IFERROR(INDEX(Products!$C:$C,MATCH(D1340,Products!$A:$A,0)),"Unknown")</f>
        <v>Accessories</v>
      </c>
      <c r="W1340" t="str">
        <f>IFERROR(INDEX(Products!$E:$E,MATCH(D1340,Products!$A:$A,0)),"Unknown")</f>
        <v>Being Human</v>
      </c>
      <c r="X1340" t="str">
        <f>IFERROR(INDEX(Stores!$B:$B,MATCH(E1340,Stores!$A:$A,0)),"Unknown")</f>
        <v>TrendMart Kochi Standard</v>
      </c>
      <c r="Y1340" t="str">
        <f>IFERROR(INDEX(Stores!$E:$E,MATCH(E1340,Stores!$A:$A,0)),"Unknown")</f>
        <v>South Zone 1</v>
      </c>
      <c r="Z1340" t="str">
        <f>IFERROR(INDEX(Customers!$J:$J,MATCH(C1340,Customers!$A:$A,0)),"Unknown")</f>
        <v>Silver</v>
      </c>
      <c r="AA1340" t="str">
        <f t="shared" si="20"/>
        <v>2024-09</v>
      </c>
      <c r="AB1340" t="str">
        <f>IFERROR(INDEX(Products!$I:$I,MATCH(D1340,Products!$A:$A,0)),"Unknown")</f>
        <v>SUP069</v>
      </c>
    </row>
    <row r="1341" spans="1:28" x14ac:dyDescent="0.25">
      <c r="A1341" t="s">
        <v>3177</v>
      </c>
      <c r="B1341" s="20">
        <v>45590</v>
      </c>
      <c r="C1341" t="s">
        <v>3178</v>
      </c>
      <c r="D1341" t="s">
        <v>1709</v>
      </c>
      <c r="E1341" t="s">
        <v>200</v>
      </c>
      <c r="F1341" t="s">
        <v>159</v>
      </c>
      <c r="G1341">
        <v>2</v>
      </c>
      <c r="H1341" s="21">
        <v>421.39</v>
      </c>
      <c r="I1341">
        <v>0</v>
      </c>
      <c r="J1341" s="21">
        <v>0</v>
      </c>
      <c r="K1341">
        <v>5</v>
      </c>
      <c r="L1341" s="21">
        <v>42.14</v>
      </c>
      <c r="M1341" s="21">
        <v>884.92</v>
      </c>
      <c r="N1341" s="21">
        <v>654.72</v>
      </c>
      <c r="O1341" s="21">
        <v>188.06</v>
      </c>
      <c r="P1341" t="s">
        <v>125</v>
      </c>
      <c r="Q1341" t="s">
        <v>120</v>
      </c>
      <c r="R1341" t="s">
        <v>313</v>
      </c>
      <c r="S1341" t="s">
        <v>640</v>
      </c>
      <c r="T1341" t="s">
        <v>153</v>
      </c>
      <c r="U1341" t="s">
        <v>154</v>
      </c>
      <c r="V1341" t="str">
        <f>IFERROR(INDEX(Products!$C:$C,MATCH(D1341,Products!$A:$A,0)),"Unknown")</f>
        <v>Kids Wear</v>
      </c>
      <c r="W1341" t="str">
        <f>IFERROR(INDEX(Products!$E:$E,MATCH(D1341,Products!$A:$A,0)),"Unknown")</f>
        <v>Aurelia</v>
      </c>
      <c r="X1341" t="str">
        <f>IFERROR(INDEX(Stores!$B:$B,MATCH(E1341,Stores!$A:$A,0)),"Unknown")</f>
        <v>TrendMart Kozhikode Standard</v>
      </c>
      <c r="Y1341" t="str">
        <f>IFERROR(INDEX(Stores!$E:$E,MATCH(E1341,Stores!$A:$A,0)),"Unknown")</f>
        <v>South Zone 1</v>
      </c>
      <c r="Z1341" t="str">
        <f>IFERROR(INDEX(Customers!$J:$J,MATCH(C1341,Customers!$A:$A,0)),"Unknown")</f>
        <v>Regular</v>
      </c>
      <c r="AA1341" t="str">
        <f t="shared" si="20"/>
        <v>2024-10</v>
      </c>
      <c r="AB1341" t="str">
        <f>IFERROR(INDEX(Products!$I:$I,MATCH(D1341,Products!$A:$A,0)),"Unknown")</f>
        <v>SUP055</v>
      </c>
    </row>
    <row r="1342" spans="1:28" x14ac:dyDescent="0.25">
      <c r="A1342" t="s">
        <v>3179</v>
      </c>
      <c r="B1342" s="20">
        <v>45628</v>
      </c>
      <c r="C1342" t="s">
        <v>946</v>
      </c>
      <c r="D1342" t="s">
        <v>169</v>
      </c>
      <c r="E1342" t="s">
        <v>318</v>
      </c>
      <c r="F1342" t="s">
        <v>443</v>
      </c>
      <c r="G1342">
        <v>1</v>
      </c>
      <c r="H1342" s="21">
        <v>4825.74</v>
      </c>
      <c r="I1342">
        <v>0</v>
      </c>
      <c r="J1342" s="21">
        <v>0</v>
      </c>
      <c r="K1342">
        <v>12</v>
      </c>
      <c r="L1342" s="21">
        <v>579.09</v>
      </c>
      <c r="M1342" s="21">
        <v>5404.83</v>
      </c>
      <c r="N1342" s="21">
        <v>3370.8</v>
      </c>
      <c r="O1342" s="21">
        <v>1454.94</v>
      </c>
      <c r="P1342" t="s">
        <v>121</v>
      </c>
      <c r="Q1342" t="s">
        <v>122</v>
      </c>
      <c r="R1342" t="s">
        <v>151</v>
      </c>
      <c r="S1342" t="s">
        <v>1122</v>
      </c>
      <c r="T1342" t="s">
        <v>153</v>
      </c>
      <c r="U1342" t="s">
        <v>154</v>
      </c>
      <c r="V1342" t="str">
        <f>IFERROR(INDEX(Products!$C:$C,MATCH(D1342,Products!$A:$A,0)),"Unknown")</f>
        <v>Women Sarees</v>
      </c>
      <c r="W1342" t="str">
        <f>IFERROR(INDEX(Products!$E:$E,MATCH(D1342,Products!$A:$A,0)),"Unknown")</f>
        <v>Max Fashion</v>
      </c>
      <c r="X1342" t="str">
        <f>IFERROR(INDEX(Stores!$B:$B,MATCH(E1342,Stores!$A:$A,0)),"Unknown")</f>
        <v>TrendMart Guntur Outlet</v>
      </c>
      <c r="Y1342" t="str">
        <f>IFERROR(INDEX(Stores!$E:$E,MATCH(E1342,Stores!$A:$A,0)),"Unknown")</f>
        <v>South Zone 3</v>
      </c>
      <c r="Z1342" t="str">
        <f>IFERROR(INDEX(Customers!$J:$J,MATCH(C1342,Customers!$A:$A,0)),"Unknown")</f>
        <v>Silver</v>
      </c>
      <c r="AA1342" t="str">
        <f t="shared" si="20"/>
        <v>2024-12</v>
      </c>
      <c r="AB1342" t="str">
        <f>IFERROR(INDEX(Products!$I:$I,MATCH(D1342,Products!$A:$A,0)),"Unknown")</f>
        <v>SUP084</v>
      </c>
    </row>
    <row r="1343" spans="1:28" x14ac:dyDescent="0.25">
      <c r="A1343" t="s">
        <v>3180</v>
      </c>
      <c r="B1343" s="20">
        <v>45433</v>
      </c>
      <c r="C1343" t="s">
        <v>3181</v>
      </c>
      <c r="D1343" t="s">
        <v>801</v>
      </c>
      <c r="E1343" t="s">
        <v>86</v>
      </c>
      <c r="F1343" t="s">
        <v>159</v>
      </c>
      <c r="G1343">
        <v>3</v>
      </c>
      <c r="H1343" s="21">
        <v>609.76</v>
      </c>
      <c r="I1343">
        <v>30</v>
      </c>
      <c r="J1343" s="21">
        <v>548.78</v>
      </c>
      <c r="K1343">
        <v>5</v>
      </c>
      <c r="L1343" s="21">
        <v>64.03</v>
      </c>
      <c r="M1343" s="21">
        <v>1344.53</v>
      </c>
      <c r="N1343" s="21">
        <v>1274.28</v>
      </c>
      <c r="O1343" s="21">
        <v>6.22</v>
      </c>
      <c r="P1343" t="s">
        <v>121</v>
      </c>
      <c r="Q1343" t="s">
        <v>120</v>
      </c>
      <c r="R1343" t="s">
        <v>151</v>
      </c>
      <c r="S1343" t="s">
        <v>3182</v>
      </c>
      <c r="T1343" t="s">
        <v>153</v>
      </c>
      <c r="U1343" t="s">
        <v>154</v>
      </c>
      <c r="V1343" t="str">
        <f>IFERROR(INDEX(Products!$C:$C,MATCH(D1343,Products!$A:$A,0)),"Unknown")</f>
        <v>Kids Wear</v>
      </c>
      <c r="W1343" t="str">
        <f>IFERROR(INDEX(Products!$E:$E,MATCH(D1343,Products!$A:$A,0)),"Unknown")</f>
        <v>Being Human</v>
      </c>
      <c r="X1343" t="str">
        <f>IFERROR(INDEX(Stores!$B:$B,MATCH(E1343,Stores!$A:$A,0)),"Unknown")</f>
        <v>TrendMart Warangal High Street</v>
      </c>
      <c r="Y1343" t="str">
        <f>IFERROR(INDEX(Stores!$E:$E,MATCH(E1343,Stores!$A:$A,0)),"Unknown")</f>
        <v>South Zone 2</v>
      </c>
      <c r="Z1343" t="str">
        <f>IFERROR(INDEX(Customers!$J:$J,MATCH(C1343,Customers!$A:$A,0)),"Unknown")</f>
        <v>Silver</v>
      </c>
      <c r="AA1343" t="str">
        <f t="shared" si="20"/>
        <v>2024-05</v>
      </c>
      <c r="AB1343" t="str">
        <f>IFERROR(INDEX(Products!$I:$I,MATCH(D1343,Products!$A:$A,0)),"Unknown")</f>
        <v>SUP063</v>
      </c>
    </row>
    <row r="1344" spans="1:28" x14ac:dyDescent="0.25">
      <c r="A1344" t="s">
        <v>3183</v>
      </c>
      <c r="B1344" s="20">
        <v>45410</v>
      </c>
      <c r="C1344" t="s">
        <v>1079</v>
      </c>
      <c r="D1344" t="s">
        <v>1972</v>
      </c>
      <c r="E1344" t="s">
        <v>1023</v>
      </c>
      <c r="F1344" t="s">
        <v>170</v>
      </c>
      <c r="G1344">
        <v>2</v>
      </c>
      <c r="H1344" s="21">
        <v>1125.93</v>
      </c>
      <c r="I1344">
        <v>10</v>
      </c>
      <c r="J1344" s="21">
        <v>225.19</v>
      </c>
      <c r="K1344">
        <v>12</v>
      </c>
      <c r="L1344" s="21">
        <v>243.2</v>
      </c>
      <c r="M1344" s="21">
        <v>2269.87</v>
      </c>
      <c r="N1344" s="21">
        <v>1444.8</v>
      </c>
      <c r="O1344" s="21">
        <v>581.87</v>
      </c>
      <c r="P1344" t="s">
        <v>126</v>
      </c>
      <c r="Q1344" t="s">
        <v>122</v>
      </c>
      <c r="R1344" t="s">
        <v>151</v>
      </c>
      <c r="S1344" t="s">
        <v>1950</v>
      </c>
      <c r="T1344" t="s">
        <v>161</v>
      </c>
      <c r="U1344" t="s">
        <v>154</v>
      </c>
      <c r="V1344" t="str">
        <f>IFERROR(INDEX(Products!$C:$C,MATCH(D1344,Products!$A:$A,0)),"Unknown")</f>
        <v>Women Jeans</v>
      </c>
      <c r="W1344" t="str">
        <f>IFERROR(INDEX(Products!$E:$E,MATCH(D1344,Products!$A:$A,0)),"Unknown")</f>
        <v>Spykar</v>
      </c>
      <c r="X1344" t="str">
        <f>IFERROR(INDEX(Stores!$B:$B,MATCH(E1344,Stores!$A:$A,0)),"Unknown")</f>
        <v>TrendMart Kochi High Street</v>
      </c>
      <c r="Y1344" t="str">
        <f>IFERROR(INDEX(Stores!$E:$E,MATCH(E1344,Stores!$A:$A,0)),"Unknown")</f>
        <v>South Zone 1</v>
      </c>
      <c r="Z1344" t="str">
        <f>IFERROR(INDEX(Customers!$J:$J,MATCH(C1344,Customers!$A:$A,0)),"Unknown")</f>
        <v>Gold</v>
      </c>
      <c r="AA1344" t="str">
        <f t="shared" si="20"/>
        <v>2024-04</v>
      </c>
      <c r="AB1344" t="str">
        <f>IFERROR(INDEX(Products!$I:$I,MATCH(D1344,Products!$A:$A,0)),"Unknown")</f>
        <v>SUP087</v>
      </c>
    </row>
    <row r="1345" spans="1:28" x14ac:dyDescent="0.25">
      <c r="A1345" t="s">
        <v>3184</v>
      </c>
      <c r="B1345" s="20">
        <v>45704</v>
      </c>
      <c r="C1345" t="s">
        <v>2692</v>
      </c>
      <c r="D1345" t="s">
        <v>2959</v>
      </c>
      <c r="E1345" t="s">
        <v>617</v>
      </c>
      <c r="F1345" t="s">
        <v>618</v>
      </c>
      <c r="G1345">
        <v>1</v>
      </c>
      <c r="H1345" s="21">
        <v>505.12</v>
      </c>
      <c r="I1345">
        <v>0</v>
      </c>
      <c r="J1345" s="21">
        <v>0</v>
      </c>
      <c r="K1345">
        <v>5</v>
      </c>
      <c r="L1345" s="21">
        <v>25.26</v>
      </c>
      <c r="M1345" s="21">
        <v>530.38</v>
      </c>
      <c r="N1345" s="21">
        <v>367.86</v>
      </c>
      <c r="O1345" s="21">
        <v>137.26</v>
      </c>
      <c r="P1345" t="s">
        <v>124</v>
      </c>
      <c r="Q1345" t="s">
        <v>120</v>
      </c>
      <c r="R1345" t="s">
        <v>151</v>
      </c>
      <c r="S1345" t="s">
        <v>1910</v>
      </c>
      <c r="T1345" t="s">
        <v>161</v>
      </c>
      <c r="U1345" t="s">
        <v>154</v>
      </c>
      <c r="V1345" t="str">
        <f>IFERROR(INDEX(Products!$C:$C,MATCH(D1345,Products!$A:$A,0)),"Unknown")</f>
        <v>Wallets</v>
      </c>
      <c r="W1345" t="str">
        <f>IFERROR(INDEX(Products!$E:$E,MATCH(D1345,Products!$A:$A,0)),"Unknown")</f>
        <v>Biba</v>
      </c>
      <c r="X1345" t="str">
        <f>IFERROR(INDEX(Stores!$B:$B,MATCH(E1345,Stores!$A:$A,0)),"Unknown")</f>
        <v>TrendMart Mangaluru High Street</v>
      </c>
      <c r="Y1345" t="str">
        <f>IFERROR(INDEX(Stores!$E:$E,MATCH(E1345,Stores!$A:$A,0)),"Unknown")</f>
        <v>South Zone 2</v>
      </c>
      <c r="Z1345" t="str">
        <f>IFERROR(INDEX(Customers!$J:$J,MATCH(C1345,Customers!$A:$A,0)),"Unknown")</f>
        <v>Regular</v>
      </c>
      <c r="AA1345" t="str">
        <f t="shared" si="20"/>
        <v>2025-02</v>
      </c>
      <c r="AB1345" t="str">
        <f>IFERROR(INDEX(Products!$I:$I,MATCH(D1345,Products!$A:$A,0)),"Unknown")</f>
        <v>SUP075</v>
      </c>
    </row>
    <row r="1346" spans="1:28" x14ac:dyDescent="0.25">
      <c r="A1346" t="s">
        <v>3185</v>
      </c>
      <c r="B1346" s="20">
        <v>45702</v>
      </c>
      <c r="C1346" t="s">
        <v>3181</v>
      </c>
      <c r="D1346" t="s">
        <v>1026</v>
      </c>
      <c r="E1346" t="s">
        <v>806</v>
      </c>
      <c r="F1346" t="s">
        <v>253</v>
      </c>
      <c r="G1346">
        <v>1</v>
      </c>
      <c r="H1346" s="21">
        <v>1309.46</v>
      </c>
      <c r="I1346">
        <v>5</v>
      </c>
      <c r="J1346" s="21">
        <v>65.47</v>
      </c>
      <c r="K1346">
        <v>12</v>
      </c>
      <c r="L1346" s="21">
        <v>149.28</v>
      </c>
      <c r="M1346" s="21">
        <v>1393.27</v>
      </c>
      <c r="N1346" s="21">
        <v>962.17</v>
      </c>
      <c r="O1346" s="21">
        <v>281.82</v>
      </c>
      <c r="P1346" t="s">
        <v>121</v>
      </c>
      <c r="Q1346" t="s">
        <v>120</v>
      </c>
      <c r="R1346" t="s">
        <v>151</v>
      </c>
      <c r="S1346" t="s">
        <v>1053</v>
      </c>
      <c r="T1346" t="s">
        <v>153</v>
      </c>
      <c r="U1346" t="s">
        <v>154</v>
      </c>
      <c r="V1346" t="str">
        <f>IFERROR(INDEX(Products!$C:$C,MATCH(D1346,Products!$A:$A,0)),"Unknown")</f>
        <v>Women Sarees</v>
      </c>
      <c r="W1346" t="str">
        <f>IFERROR(INDEX(Products!$E:$E,MATCH(D1346,Products!$A:$A,0)),"Unknown")</f>
        <v>Spykar</v>
      </c>
      <c r="X1346" t="str">
        <f>IFERROR(INDEX(Stores!$B:$B,MATCH(E1346,Stores!$A:$A,0)),"Unknown")</f>
        <v>TrendMart Tirunelveli Flagship</v>
      </c>
      <c r="Y1346" t="str">
        <f>IFERROR(INDEX(Stores!$E:$E,MATCH(E1346,Stores!$A:$A,0)),"Unknown")</f>
        <v>South Zone 1</v>
      </c>
      <c r="Z1346" t="str">
        <f>IFERROR(INDEX(Customers!$J:$J,MATCH(C1346,Customers!$A:$A,0)),"Unknown")</f>
        <v>Silver</v>
      </c>
      <c r="AA1346" t="str">
        <f t="shared" ref="AA1346:AA1409" si="21">TEXT(B1346,"YYYY-MM")</f>
        <v>2025-02</v>
      </c>
      <c r="AB1346" t="str">
        <f>IFERROR(INDEX(Products!$I:$I,MATCH(D1346,Products!$A:$A,0)),"Unknown")</f>
        <v>SUP001</v>
      </c>
    </row>
    <row r="1347" spans="1:28" x14ac:dyDescent="0.25">
      <c r="A1347" t="s">
        <v>3186</v>
      </c>
      <c r="B1347" s="20">
        <v>45627</v>
      </c>
      <c r="C1347" t="s">
        <v>2391</v>
      </c>
      <c r="D1347" t="s">
        <v>220</v>
      </c>
      <c r="E1347" t="s">
        <v>90</v>
      </c>
      <c r="F1347" t="s">
        <v>253</v>
      </c>
      <c r="G1347">
        <v>2</v>
      </c>
      <c r="H1347" s="21">
        <v>6106.61</v>
      </c>
      <c r="I1347">
        <v>5</v>
      </c>
      <c r="J1347" s="21">
        <v>610.66</v>
      </c>
      <c r="K1347">
        <v>12</v>
      </c>
      <c r="L1347" s="21">
        <v>1392.31</v>
      </c>
      <c r="M1347" s="21">
        <v>12994.87</v>
      </c>
      <c r="N1347" s="21">
        <v>7941.72</v>
      </c>
      <c r="O1347" s="21">
        <v>3660.84</v>
      </c>
      <c r="P1347" t="s">
        <v>121</v>
      </c>
      <c r="Q1347" t="s">
        <v>120</v>
      </c>
      <c r="R1347" t="s">
        <v>151</v>
      </c>
      <c r="S1347" t="s">
        <v>2885</v>
      </c>
      <c r="T1347" t="s">
        <v>161</v>
      </c>
      <c r="U1347" t="s">
        <v>154</v>
      </c>
      <c r="V1347" t="str">
        <f>IFERROR(INDEX(Products!$C:$C,MATCH(D1347,Products!$A:$A,0)),"Unknown")</f>
        <v>Watches</v>
      </c>
      <c r="W1347" t="str">
        <f>IFERROR(INDEX(Products!$E:$E,MATCH(D1347,Products!$A:$A,0)),"Unknown")</f>
        <v>Global Desi</v>
      </c>
      <c r="X1347" t="str">
        <f>IFERROR(INDEX(Stores!$B:$B,MATCH(E1347,Stores!$A:$A,0)),"Unknown")</f>
        <v>TrendMart Thoothukudi Mall Kiosk</v>
      </c>
      <c r="Y1347" t="str">
        <f>IFERROR(INDEX(Stores!$E:$E,MATCH(E1347,Stores!$A:$A,0)),"Unknown")</f>
        <v>South Zone 1</v>
      </c>
      <c r="Z1347" t="str">
        <f>IFERROR(INDEX(Customers!$J:$J,MATCH(C1347,Customers!$A:$A,0)),"Unknown")</f>
        <v>Silver</v>
      </c>
      <c r="AA1347" t="str">
        <f t="shared" si="21"/>
        <v>2024-12</v>
      </c>
      <c r="AB1347" t="str">
        <f>IFERROR(INDEX(Products!$I:$I,MATCH(D1347,Products!$A:$A,0)),"Unknown")</f>
        <v>SUP055</v>
      </c>
    </row>
    <row r="1348" spans="1:28" x14ac:dyDescent="0.25">
      <c r="A1348" t="s">
        <v>3187</v>
      </c>
      <c r="B1348" s="20">
        <v>45396</v>
      </c>
      <c r="C1348" t="s">
        <v>1263</v>
      </c>
      <c r="D1348" t="s">
        <v>531</v>
      </c>
      <c r="E1348" t="s">
        <v>391</v>
      </c>
      <c r="F1348" t="s">
        <v>516</v>
      </c>
      <c r="G1348">
        <v>1</v>
      </c>
      <c r="H1348" s="21">
        <v>3244.07</v>
      </c>
      <c r="I1348">
        <v>0</v>
      </c>
      <c r="J1348" s="21">
        <v>0</v>
      </c>
      <c r="K1348">
        <v>12</v>
      </c>
      <c r="L1348" s="21">
        <v>389.29</v>
      </c>
      <c r="M1348" s="21">
        <v>3633.36</v>
      </c>
      <c r="N1348" s="21">
        <v>2034.01</v>
      </c>
      <c r="O1348" s="21">
        <v>1210.06</v>
      </c>
      <c r="P1348" t="s">
        <v>121</v>
      </c>
      <c r="Q1348" t="s">
        <v>120</v>
      </c>
      <c r="R1348" t="s">
        <v>313</v>
      </c>
      <c r="S1348" t="s">
        <v>647</v>
      </c>
      <c r="T1348" t="s">
        <v>161</v>
      </c>
      <c r="U1348" t="s">
        <v>154</v>
      </c>
      <c r="V1348" t="str">
        <f>IFERROR(INDEX(Products!$C:$C,MATCH(D1348,Products!$A:$A,0)),"Unknown")</f>
        <v>Handbags</v>
      </c>
      <c r="W1348" t="str">
        <f>IFERROR(INDEX(Products!$E:$E,MATCH(D1348,Products!$A:$A,0)),"Unknown")</f>
        <v>GRT Jewellers</v>
      </c>
      <c r="X1348" t="str">
        <f>IFERROR(INDEX(Stores!$B:$B,MATCH(E1348,Stores!$A:$A,0)),"Unknown")</f>
        <v>TrendMart Warangal High Street</v>
      </c>
      <c r="Y1348" t="str">
        <f>IFERROR(INDEX(Stores!$E:$E,MATCH(E1348,Stores!$A:$A,0)),"Unknown")</f>
        <v>South Zone 2</v>
      </c>
      <c r="Z1348" t="str">
        <f>IFERROR(INDEX(Customers!$J:$J,MATCH(C1348,Customers!$A:$A,0)),"Unknown")</f>
        <v>Silver</v>
      </c>
      <c r="AA1348" t="str">
        <f t="shared" si="21"/>
        <v>2024-04</v>
      </c>
      <c r="AB1348" t="str">
        <f>IFERROR(INDEX(Products!$I:$I,MATCH(D1348,Products!$A:$A,0)),"Unknown")</f>
        <v>SUP047</v>
      </c>
    </row>
    <row r="1349" spans="1:28" x14ac:dyDescent="0.25">
      <c r="A1349" t="s">
        <v>3188</v>
      </c>
      <c r="B1349" s="20">
        <v>45575</v>
      </c>
      <c r="C1349" t="s">
        <v>2610</v>
      </c>
      <c r="D1349" t="s">
        <v>489</v>
      </c>
      <c r="E1349" t="s">
        <v>85</v>
      </c>
      <c r="F1349" t="s">
        <v>182</v>
      </c>
      <c r="G1349">
        <v>1</v>
      </c>
      <c r="H1349" s="21">
        <v>1419.88</v>
      </c>
      <c r="I1349">
        <v>30</v>
      </c>
      <c r="J1349" s="21">
        <v>425.96</v>
      </c>
      <c r="K1349">
        <v>12</v>
      </c>
      <c r="L1349" s="21">
        <v>119.27</v>
      </c>
      <c r="M1349" s="21">
        <v>1113.19</v>
      </c>
      <c r="N1349" s="21">
        <v>1048.71</v>
      </c>
      <c r="O1349" s="21">
        <v>-54.79</v>
      </c>
      <c r="P1349" t="s">
        <v>121</v>
      </c>
      <c r="Q1349" t="s">
        <v>122</v>
      </c>
      <c r="R1349" t="s">
        <v>151</v>
      </c>
      <c r="S1349" t="s">
        <v>1595</v>
      </c>
      <c r="T1349" t="s">
        <v>153</v>
      </c>
      <c r="U1349" t="s">
        <v>184</v>
      </c>
      <c r="V1349" t="str">
        <f>IFERROR(INDEX(Products!$C:$C,MATCH(D1349,Products!$A:$A,0)),"Unknown")</f>
        <v>Women Jeans</v>
      </c>
      <c r="W1349" t="str">
        <f>IFERROR(INDEX(Products!$E:$E,MATCH(D1349,Products!$A:$A,0)),"Unknown")</f>
        <v>Woodland</v>
      </c>
      <c r="X1349" t="str">
        <f>IFERROR(INDEX(Stores!$B:$B,MATCH(E1349,Stores!$A:$A,0)),"Unknown")</f>
        <v>TrendMart Kalaburagi Mall Kiosk</v>
      </c>
      <c r="Y1349" t="str">
        <f>IFERROR(INDEX(Stores!$E:$E,MATCH(E1349,Stores!$A:$A,0)),"Unknown")</f>
        <v>South Zone 2</v>
      </c>
      <c r="Z1349" t="str">
        <f>IFERROR(INDEX(Customers!$J:$J,MATCH(C1349,Customers!$A:$A,0)),"Unknown")</f>
        <v>Regular</v>
      </c>
      <c r="AA1349" t="str">
        <f t="shared" si="21"/>
        <v>2024-10</v>
      </c>
      <c r="AB1349" t="str">
        <f>IFERROR(INDEX(Products!$I:$I,MATCH(D1349,Products!$A:$A,0)),"Unknown")</f>
        <v>SUP015</v>
      </c>
    </row>
    <row r="1350" spans="1:28" x14ac:dyDescent="0.25">
      <c r="A1350" t="s">
        <v>3189</v>
      </c>
      <c r="B1350" s="20">
        <v>45468</v>
      </c>
      <c r="C1350" t="s">
        <v>3190</v>
      </c>
      <c r="D1350" t="s">
        <v>407</v>
      </c>
      <c r="E1350" t="s">
        <v>231</v>
      </c>
      <c r="F1350" t="s">
        <v>532</v>
      </c>
      <c r="G1350">
        <v>2</v>
      </c>
      <c r="H1350" s="21">
        <v>1271.5999999999999</v>
      </c>
      <c r="I1350">
        <v>30</v>
      </c>
      <c r="J1350" s="21">
        <v>762.96</v>
      </c>
      <c r="K1350">
        <v>12</v>
      </c>
      <c r="L1350" s="21">
        <v>213.63</v>
      </c>
      <c r="M1350" s="21">
        <v>1993.87</v>
      </c>
      <c r="N1350" s="21">
        <v>1605.28</v>
      </c>
      <c r="O1350" s="21">
        <v>174.96</v>
      </c>
      <c r="P1350" t="s">
        <v>127</v>
      </c>
      <c r="Q1350" t="s">
        <v>122</v>
      </c>
      <c r="R1350" t="s">
        <v>151</v>
      </c>
      <c r="S1350" t="s">
        <v>757</v>
      </c>
      <c r="T1350" t="s">
        <v>153</v>
      </c>
      <c r="U1350" t="s">
        <v>154</v>
      </c>
      <c r="V1350" t="str">
        <f>IFERROR(INDEX(Products!$C:$C,MATCH(D1350,Products!$A:$A,0)),"Unknown")</f>
        <v>Winter Wear</v>
      </c>
      <c r="W1350" t="str">
        <f>IFERROR(INDEX(Products!$E:$E,MATCH(D1350,Products!$A:$A,0)),"Unknown")</f>
        <v>Metro Shoes</v>
      </c>
      <c r="X1350" t="str">
        <f>IFERROR(INDEX(Stores!$B:$B,MATCH(E1350,Stores!$A:$A,0)),"Unknown")</f>
        <v>TrendMart Warangal Outlet</v>
      </c>
      <c r="Y1350" t="str">
        <f>IFERROR(INDEX(Stores!$E:$E,MATCH(E1350,Stores!$A:$A,0)),"Unknown")</f>
        <v>South Zone 2</v>
      </c>
      <c r="Z1350" t="str">
        <f>IFERROR(INDEX(Customers!$J:$J,MATCH(C1350,Customers!$A:$A,0)),"Unknown")</f>
        <v>Regular</v>
      </c>
      <c r="AA1350" t="str">
        <f t="shared" si="21"/>
        <v>2024-06</v>
      </c>
      <c r="AB1350" t="str">
        <f>IFERROR(INDEX(Products!$I:$I,MATCH(D1350,Products!$A:$A,0)),"Unknown")</f>
        <v>SUP067</v>
      </c>
    </row>
    <row r="1351" spans="1:28" x14ac:dyDescent="0.25">
      <c r="A1351" t="s">
        <v>3191</v>
      </c>
      <c r="B1351" s="20">
        <v>45539</v>
      </c>
      <c r="C1351" t="s">
        <v>3192</v>
      </c>
      <c r="D1351" t="s">
        <v>1292</v>
      </c>
      <c r="E1351" t="s">
        <v>226</v>
      </c>
      <c r="F1351" t="s">
        <v>532</v>
      </c>
      <c r="G1351">
        <v>3</v>
      </c>
      <c r="H1351" s="21">
        <v>535.89</v>
      </c>
      <c r="I1351">
        <v>15</v>
      </c>
      <c r="J1351" s="21">
        <v>241.15</v>
      </c>
      <c r="K1351">
        <v>5</v>
      </c>
      <c r="L1351" s="21">
        <v>68.33</v>
      </c>
      <c r="M1351" s="21">
        <v>1434.85</v>
      </c>
      <c r="N1351" s="21">
        <v>1046.25</v>
      </c>
      <c r="O1351" s="21">
        <v>320.27</v>
      </c>
      <c r="P1351" t="s">
        <v>121</v>
      </c>
      <c r="Q1351" t="s">
        <v>120</v>
      </c>
      <c r="R1351" t="s">
        <v>151</v>
      </c>
      <c r="S1351" t="s">
        <v>3193</v>
      </c>
      <c r="T1351" t="s">
        <v>153</v>
      </c>
      <c r="U1351" t="s">
        <v>154</v>
      </c>
      <c r="V1351" t="str">
        <f>IFERROR(INDEX(Products!$C:$C,MATCH(D1351,Products!$A:$A,0)),"Unknown")</f>
        <v>Men T-Shirts</v>
      </c>
      <c r="W1351" t="str">
        <f>IFERROR(INDEX(Products!$E:$E,MATCH(D1351,Products!$A:$A,0)),"Unknown")</f>
        <v>Metro Shoes</v>
      </c>
      <c r="X1351" t="str">
        <f>IFERROR(INDEX(Stores!$B:$B,MATCH(E1351,Stores!$A:$A,0)),"Unknown")</f>
        <v>TrendMart Kurnool Standard</v>
      </c>
      <c r="Y1351" t="str">
        <f>IFERROR(INDEX(Stores!$E:$E,MATCH(E1351,Stores!$A:$A,0)),"Unknown")</f>
        <v>South Zone 3</v>
      </c>
      <c r="Z1351" t="str">
        <f>IFERROR(INDEX(Customers!$J:$J,MATCH(C1351,Customers!$A:$A,0)),"Unknown")</f>
        <v>Regular</v>
      </c>
      <c r="AA1351" t="str">
        <f t="shared" si="21"/>
        <v>2024-09</v>
      </c>
      <c r="AB1351" t="str">
        <f>IFERROR(INDEX(Products!$I:$I,MATCH(D1351,Products!$A:$A,0)),"Unknown")</f>
        <v>SUP024</v>
      </c>
    </row>
    <row r="1352" spans="1:28" x14ac:dyDescent="0.25">
      <c r="A1352" t="s">
        <v>3194</v>
      </c>
      <c r="B1352" s="20">
        <v>45528</v>
      </c>
      <c r="C1352" t="s">
        <v>3151</v>
      </c>
      <c r="D1352" t="s">
        <v>549</v>
      </c>
      <c r="E1352" t="s">
        <v>88</v>
      </c>
      <c r="F1352" t="s">
        <v>275</v>
      </c>
      <c r="G1352">
        <v>1</v>
      </c>
      <c r="H1352" s="21">
        <v>1341.72</v>
      </c>
      <c r="I1352">
        <v>0</v>
      </c>
      <c r="J1352" s="21">
        <v>0</v>
      </c>
      <c r="K1352">
        <v>12</v>
      </c>
      <c r="L1352" s="21">
        <v>161.01</v>
      </c>
      <c r="M1352" s="21">
        <v>1502.73</v>
      </c>
      <c r="N1352" s="21">
        <v>854.85</v>
      </c>
      <c r="O1352" s="21">
        <v>486.87</v>
      </c>
      <c r="P1352" t="s">
        <v>123</v>
      </c>
      <c r="Q1352" t="s">
        <v>120</v>
      </c>
      <c r="R1352" t="s">
        <v>151</v>
      </c>
      <c r="S1352" t="s">
        <v>3195</v>
      </c>
      <c r="T1352" t="s">
        <v>161</v>
      </c>
      <c r="U1352" t="s">
        <v>154</v>
      </c>
      <c r="V1352" t="str">
        <f>IFERROR(INDEX(Products!$C:$C,MATCH(D1352,Products!$A:$A,0)),"Unknown")</f>
        <v>Footwear</v>
      </c>
      <c r="W1352" t="str">
        <f>IFERROR(INDEX(Products!$E:$E,MATCH(D1352,Products!$A:$A,0)),"Unknown")</f>
        <v>Joyalukkas</v>
      </c>
      <c r="X1352" t="str">
        <f>IFERROR(INDEX(Stores!$B:$B,MATCH(E1352,Stores!$A:$A,0)),"Unknown")</f>
        <v>TrendMart Kozhikode Mall Kiosk</v>
      </c>
      <c r="Y1352" t="str">
        <f>IFERROR(INDEX(Stores!$E:$E,MATCH(E1352,Stores!$A:$A,0)),"Unknown")</f>
        <v>South Zone 1</v>
      </c>
      <c r="Z1352" t="str">
        <f>IFERROR(INDEX(Customers!$J:$J,MATCH(C1352,Customers!$A:$A,0)),"Unknown")</f>
        <v>Platinum</v>
      </c>
      <c r="AA1352" t="str">
        <f t="shared" si="21"/>
        <v>2024-08</v>
      </c>
      <c r="AB1352" t="str">
        <f>IFERROR(INDEX(Products!$I:$I,MATCH(D1352,Products!$A:$A,0)),"Unknown")</f>
        <v>SUP016</v>
      </c>
    </row>
    <row r="1353" spans="1:28" x14ac:dyDescent="0.25">
      <c r="A1353" t="s">
        <v>3196</v>
      </c>
      <c r="B1353" s="20">
        <v>45399</v>
      </c>
      <c r="C1353" t="s">
        <v>1613</v>
      </c>
      <c r="D1353" t="s">
        <v>1073</v>
      </c>
      <c r="E1353" t="s">
        <v>396</v>
      </c>
      <c r="F1353" t="s">
        <v>258</v>
      </c>
      <c r="G1353">
        <v>1</v>
      </c>
      <c r="H1353" s="21">
        <v>3128.02</v>
      </c>
      <c r="I1353">
        <v>0</v>
      </c>
      <c r="J1353" s="21">
        <v>0</v>
      </c>
      <c r="K1353">
        <v>12</v>
      </c>
      <c r="L1353" s="21">
        <v>375.36</v>
      </c>
      <c r="M1353" s="21">
        <v>3503.38</v>
      </c>
      <c r="N1353" s="21">
        <v>2340.46</v>
      </c>
      <c r="O1353" s="21">
        <v>787.56</v>
      </c>
      <c r="P1353" t="s">
        <v>125</v>
      </c>
      <c r="Q1353" t="s">
        <v>122</v>
      </c>
      <c r="R1353" t="s">
        <v>151</v>
      </c>
      <c r="S1353" t="s">
        <v>3197</v>
      </c>
      <c r="T1353" t="s">
        <v>153</v>
      </c>
      <c r="U1353" t="s">
        <v>154</v>
      </c>
      <c r="V1353" t="str">
        <f>IFERROR(INDEX(Products!$C:$C,MATCH(D1353,Products!$A:$A,0)),"Unknown")</f>
        <v>Women Sarees</v>
      </c>
      <c r="W1353" t="str">
        <f>IFERROR(INDEX(Products!$E:$E,MATCH(D1353,Products!$A:$A,0)),"Unknown")</f>
        <v>W for Woman</v>
      </c>
      <c r="X1353" t="str">
        <f>IFERROR(INDEX(Stores!$B:$B,MATCH(E1353,Stores!$A:$A,0)),"Unknown")</f>
        <v>TrendMart Davanagere High Street</v>
      </c>
      <c r="Y1353" t="str">
        <f>IFERROR(INDEX(Stores!$E:$E,MATCH(E1353,Stores!$A:$A,0)),"Unknown")</f>
        <v>South Zone 2</v>
      </c>
      <c r="Z1353" t="str">
        <f>IFERROR(INDEX(Customers!$J:$J,MATCH(C1353,Customers!$A:$A,0)),"Unknown")</f>
        <v>Regular</v>
      </c>
      <c r="AA1353" t="str">
        <f t="shared" si="21"/>
        <v>2024-04</v>
      </c>
      <c r="AB1353" t="str">
        <f>IFERROR(INDEX(Products!$I:$I,MATCH(D1353,Products!$A:$A,0)),"Unknown")</f>
        <v>SUP012</v>
      </c>
    </row>
    <row r="1354" spans="1:28" x14ac:dyDescent="0.25">
      <c r="A1354" t="s">
        <v>3198</v>
      </c>
      <c r="B1354" s="20">
        <v>45637</v>
      </c>
      <c r="C1354" t="s">
        <v>739</v>
      </c>
      <c r="D1354" t="s">
        <v>1280</v>
      </c>
      <c r="E1354" t="s">
        <v>515</v>
      </c>
      <c r="F1354" t="s">
        <v>165</v>
      </c>
      <c r="G1354">
        <v>1</v>
      </c>
      <c r="H1354" s="21">
        <v>1096.22</v>
      </c>
      <c r="I1354">
        <v>30</v>
      </c>
      <c r="J1354" s="21">
        <v>328.87</v>
      </c>
      <c r="K1354">
        <v>12</v>
      </c>
      <c r="L1354" s="21">
        <v>92.08</v>
      </c>
      <c r="M1354" s="21">
        <v>859.43</v>
      </c>
      <c r="N1354" s="21">
        <v>754.73</v>
      </c>
      <c r="O1354" s="21">
        <v>12.62</v>
      </c>
      <c r="P1354" t="s">
        <v>125</v>
      </c>
      <c r="Q1354" t="s">
        <v>120</v>
      </c>
      <c r="R1354" t="s">
        <v>151</v>
      </c>
      <c r="S1354" t="s">
        <v>3199</v>
      </c>
      <c r="T1354" t="s">
        <v>153</v>
      </c>
      <c r="U1354" t="s">
        <v>154</v>
      </c>
      <c r="V1354" t="str">
        <f>IFERROR(INDEX(Products!$C:$C,MATCH(D1354,Products!$A:$A,0)),"Unknown")</f>
        <v>Men Jeans</v>
      </c>
      <c r="W1354" t="str">
        <f>IFERROR(INDEX(Products!$E:$E,MATCH(D1354,Products!$A:$A,0)),"Unknown")</f>
        <v>Jack &amp; Jones</v>
      </c>
      <c r="X1354" t="str">
        <f>IFERROR(INDEX(Stores!$B:$B,MATCH(E1354,Stores!$A:$A,0)),"Unknown")</f>
        <v>TrendMart Kochi High Street</v>
      </c>
      <c r="Y1354" t="str">
        <f>IFERROR(INDEX(Stores!$E:$E,MATCH(E1354,Stores!$A:$A,0)),"Unknown")</f>
        <v>South Zone 1</v>
      </c>
      <c r="Z1354" t="str">
        <f>IFERROR(INDEX(Customers!$J:$J,MATCH(C1354,Customers!$A:$A,0)),"Unknown")</f>
        <v>Silver</v>
      </c>
      <c r="AA1354" t="str">
        <f t="shared" si="21"/>
        <v>2024-12</v>
      </c>
      <c r="AB1354" t="str">
        <f>IFERROR(INDEX(Products!$I:$I,MATCH(D1354,Products!$A:$A,0)),"Unknown")</f>
        <v>SUP072</v>
      </c>
    </row>
    <row r="1355" spans="1:28" x14ac:dyDescent="0.25">
      <c r="A1355" t="s">
        <v>3200</v>
      </c>
      <c r="B1355" s="20">
        <v>45457</v>
      </c>
      <c r="C1355" t="s">
        <v>2802</v>
      </c>
      <c r="D1355" t="s">
        <v>520</v>
      </c>
      <c r="E1355" t="s">
        <v>97</v>
      </c>
      <c r="F1355" t="s">
        <v>308</v>
      </c>
      <c r="G1355">
        <v>2</v>
      </c>
      <c r="H1355" s="21">
        <v>1347.06</v>
      </c>
      <c r="I1355">
        <v>0</v>
      </c>
      <c r="J1355" s="21">
        <v>0</v>
      </c>
      <c r="K1355">
        <v>12</v>
      </c>
      <c r="L1355" s="21">
        <v>323.29000000000002</v>
      </c>
      <c r="M1355" s="21">
        <v>3017.41</v>
      </c>
      <c r="N1355" s="21">
        <v>1806.6</v>
      </c>
      <c r="O1355" s="21">
        <v>887.52</v>
      </c>
      <c r="P1355" t="s">
        <v>125</v>
      </c>
      <c r="Q1355" t="s">
        <v>122</v>
      </c>
      <c r="R1355" t="s">
        <v>151</v>
      </c>
      <c r="S1355" t="s">
        <v>2288</v>
      </c>
      <c r="T1355" t="s">
        <v>153</v>
      </c>
      <c r="U1355" t="s">
        <v>154</v>
      </c>
      <c r="V1355" t="str">
        <f>IFERROR(INDEX(Products!$C:$C,MATCH(D1355,Products!$A:$A,0)),"Unknown")</f>
        <v>Wallets</v>
      </c>
      <c r="W1355" t="str">
        <f>IFERROR(INDEX(Products!$E:$E,MATCH(D1355,Products!$A:$A,0)),"Unknown")</f>
        <v>Nike</v>
      </c>
      <c r="X1355" t="str">
        <f>IFERROR(INDEX(Stores!$B:$B,MATCH(E1355,Stores!$A:$A,0)),"Unknown")</f>
        <v>TrendMart Guntur Flagship</v>
      </c>
      <c r="Y1355" t="str">
        <f>IFERROR(INDEX(Stores!$E:$E,MATCH(E1355,Stores!$A:$A,0)),"Unknown")</f>
        <v>South Zone 3</v>
      </c>
      <c r="Z1355" t="str">
        <f>IFERROR(INDEX(Customers!$J:$J,MATCH(C1355,Customers!$A:$A,0)),"Unknown")</f>
        <v>Regular</v>
      </c>
      <c r="AA1355" t="str">
        <f t="shared" si="21"/>
        <v>2024-06</v>
      </c>
      <c r="AB1355" t="str">
        <f>IFERROR(INDEX(Products!$I:$I,MATCH(D1355,Products!$A:$A,0)),"Unknown")</f>
        <v>SUP027</v>
      </c>
    </row>
    <row r="1356" spans="1:28" x14ac:dyDescent="0.25">
      <c r="A1356" t="s">
        <v>3201</v>
      </c>
      <c r="B1356" s="20">
        <v>45588</v>
      </c>
      <c r="C1356" t="s">
        <v>739</v>
      </c>
      <c r="D1356" t="s">
        <v>2759</v>
      </c>
      <c r="E1356" t="s">
        <v>86</v>
      </c>
      <c r="F1356" t="s">
        <v>462</v>
      </c>
      <c r="G1356">
        <v>3</v>
      </c>
      <c r="H1356" s="21">
        <v>705.41</v>
      </c>
      <c r="I1356">
        <v>0</v>
      </c>
      <c r="J1356" s="21">
        <v>0</v>
      </c>
      <c r="K1356">
        <v>5</v>
      </c>
      <c r="L1356" s="21">
        <v>105.81</v>
      </c>
      <c r="M1356" s="21">
        <v>2222.04</v>
      </c>
      <c r="N1356" s="21">
        <v>1211.7</v>
      </c>
      <c r="O1356" s="21">
        <v>904.53</v>
      </c>
      <c r="P1356" t="s">
        <v>125</v>
      </c>
      <c r="Q1356" t="s">
        <v>120</v>
      </c>
      <c r="R1356" t="s">
        <v>151</v>
      </c>
      <c r="S1356" t="s">
        <v>2948</v>
      </c>
      <c r="T1356" t="s">
        <v>153</v>
      </c>
      <c r="U1356" t="s">
        <v>154</v>
      </c>
      <c r="V1356" t="str">
        <f>IFERROR(INDEX(Products!$C:$C,MATCH(D1356,Products!$A:$A,0)),"Unknown")</f>
        <v>Men T-Shirts</v>
      </c>
      <c r="W1356" t="str">
        <f>IFERROR(INDEX(Products!$E:$E,MATCH(D1356,Products!$A:$A,0)),"Unknown")</f>
        <v>Libas</v>
      </c>
      <c r="X1356" t="str">
        <f>IFERROR(INDEX(Stores!$B:$B,MATCH(E1356,Stores!$A:$A,0)),"Unknown")</f>
        <v>TrendMart Warangal High Street</v>
      </c>
      <c r="Y1356" t="str">
        <f>IFERROR(INDEX(Stores!$E:$E,MATCH(E1356,Stores!$A:$A,0)),"Unknown")</f>
        <v>South Zone 2</v>
      </c>
      <c r="Z1356" t="str">
        <f>IFERROR(INDEX(Customers!$J:$J,MATCH(C1356,Customers!$A:$A,0)),"Unknown")</f>
        <v>Silver</v>
      </c>
      <c r="AA1356" t="str">
        <f t="shared" si="21"/>
        <v>2024-10</v>
      </c>
      <c r="AB1356" t="str">
        <f>IFERROR(INDEX(Products!$I:$I,MATCH(D1356,Products!$A:$A,0)),"Unknown")</f>
        <v>SUP041</v>
      </c>
    </row>
    <row r="1357" spans="1:28" x14ac:dyDescent="0.25">
      <c r="A1357" t="s">
        <v>3202</v>
      </c>
      <c r="B1357" s="20">
        <v>45527</v>
      </c>
      <c r="C1357" t="s">
        <v>3203</v>
      </c>
      <c r="D1357" t="s">
        <v>498</v>
      </c>
      <c r="E1357" t="s">
        <v>88</v>
      </c>
      <c r="F1357" t="s">
        <v>269</v>
      </c>
      <c r="G1357">
        <v>2</v>
      </c>
      <c r="H1357" s="21">
        <v>423.9</v>
      </c>
      <c r="I1357">
        <v>10</v>
      </c>
      <c r="J1357" s="21">
        <v>84.78</v>
      </c>
      <c r="K1357">
        <v>5</v>
      </c>
      <c r="L1357" s="21">
        <v>38.15</v>
      </c>
      <c r="M1357" s="21">
        <v>801.17</v>
      </c>
      <c r="N1357" s="21">
        <v>630.26</v>
      </c>
      <c r="O1357" s="21">
        <v>132.76</v>
      </c>
      <c r="P1357" t="s">
        <v>125</v>
      </c>
      <c r="Q1357" t="s">
        <v>122</v>
      </c>
      <c r="R1357" t="s">
        <v>151</v>
      </c>
      <c r="S1357" t="s">
        <v>190</v>
      </c>
      <c r="T1357" t="s">
        <v>153</v>
      </c>
      <c r="U1357" t="s">
        <v>154</v>
      </c>
      <c r="V1357" t="str">
        <f>IFERROR(INDEX(Products!$C:$C,MATCH(D1357,Products!$A:$A,0)),"Unknown")</f>
        <v>Belts</v>
      </c>
      <c r="W1357" t="str">
        <f>IFERROR(INDEX(Products!$E:$E,MATCH(D1357,Products!$A:$A,0)),"Unknown")</f>
        <v>Nike</v>
      </c>
      <c r="X1357" t="str">
        <f>IFERROR(INDEX(Stores!$B:$B,MATCH(E1357,Stores!$A:$A,0)),"Unknown")</f>
        <v>TrendMart Kozhikode Mall Kiosk</v>
      </c>
      <c r="Y1357" t="str">
        <f>IFERROR(INDEX(Stores!$E:$E,MATCH(E1357,Stores!$A:$A,0)),"Unknown")</f>
        <v>South Zone 1</v>
      </c>
      <c r="Z1357" t="str">
        <f>IFERROR(INDEX(Customers!$J:$J,MATCH(C1357,Customers!$A:$A,0)),"Unknown")</f>
        <v>Regular</v>
      </c>
      <c r="AA1357" t="str">
        <f t="shared" si="21"/>
        <v>2024-08</v>
      </c>
      <c r="AB1357" t="str">
        <f>IFERROR(INDEX(Products!$I:$I,MATCH(D1357,Products!$A:$A,0)),"Unknown")</f>
        <v>SUP071</v>
      </c>
    </row>
    <row r="1358" spans="1:28" x14ac:dyDescent="0.25">
      <c r="A1358" t="s">
        <v>3204</v>
      </c>
      <c r="B1358" s="20">
        <v>45551</v>
      </c>
      <c r="C1358" t="s">
        <v>1819</v>
      </c>
      <c r="D1358" t="s">
        <v>1026</v>
      </c>
      <c r="E1358" t="s">
        <v>200</v>
      </c>
      <c r="F1358" t="s">
        <v>574</v>
      </c>
      <c r="G1358">
        <v>2</v>
      </c>
      <c r="H1358" s="21">
        <v>1321.87</v>
      </c>
      <c r="I1358">
        <v>10</v>
      </c>
      <c r="J1358" s="21">
        <v>264.37</v>
      </c>
      <c r="K1358">
        <v>12</v>
      </c>
      <c r="L1358" s="21">
        <v>285.52</v>
      </c>
      <c r="M1358" s="21">
        <v>2664.89</v>
      </c>
      <c r="N1358" s="21">
        <v>1924.34</v>
      </c>
      <c r="O1358" s="21">
        <v>455.03</v>
      </c>
      <c r="P1358" t="s">
        <v>125</v>
      </c>
      <c r="Q1358" t="s">
        <v>122</v>
      </c>
      <c r="R1358" t="s">
        <v>151</v>
      </c>
      <c r="S1358" t="s">
        <v>2318</v>
      </c>
      <c r="T1358" t="s">
        <v>153</v>
      </c>
      <c r="U1358" t="s">
        <v>154</v>
      </c>
      <c r="V1358" t="str">
        <f>IFERROR(INDEX(Products!$C:$C,MATCH(D1358,Products!$A:$A,0)),"Unknown")</f>
        <v>Women Sarees</v>
      </c>
      <c r="W1358" t="str">
        <f>IFERROR(INDEX(Products!$E:$E,MATCH(D1358,Products!$A:$A,0)),"Unknown")</f>
        <v>Spykar</v>
      </c>
      <c r="X1358" t="str">
        <f>IFERROR(INDEX(Stores!$B:$B,MATCH(E1358,Stores!$A:$A,0)),"Unknown")</f>
        <v>TrendMart Kozhikode Standard</v>
      </c>
      <c r="Y1358" t="str">
        <f>IFERROR(INDEX(Stores!$E:$E,MATCH(E1358,Stores!$A:$A,0)),"Unknown")</f>
        <v>South Zone 1</v>
      </c>
      <c r="Z1358" t="str">
        <f>IFERROR(INDEX(Customers!$J:$J,MATCH(C1358,Customers!$A:$A,0)),"Unknown")</f>
        <v>Regular</v>
      </c>
      <c r="AA1358" t="str">
        <f t="shared" si="21"/>
        <v>2024-09</v>
      </c>
      <c r="AB1358" t="str">
        <f>IFERROR(INDEX(Products!$I:$I,MATCH(D1358,Products!$A:$A,0)),"Unknown")</f>
        <v>SUP001</v>
      </c>
    </row>
    <row r="1359" spans="1:28" x14ac:dyDescent="0.25">
      <c r="A1359" t="s">
        <v>3205</v>
      </c>
      <c r="B1359" s="20">
        <v>45471</v>
      </c>
      <c r="C1359" t="s">
        <v>2158</v>
      </c>
      <c r="D1359" t="s">
        <v>2759</v>
      </c>
      <c r="E1359" t="s">
        <v>241</v>
      </c>
      <c r="F1359" t="s">
        <v>344</v>
      </c>
      <c r="G1359">
        <v>6</v>
      </c>
      <c r="H1359" s="21">
        <v>691.96</v>
      </c>
      <c r="I1359">
        <v>0</v>
      </c>
      <c r="J1359" s="21">
        <v>0</v>
      </c>
      <c r="K1359">
        <v>5</v>
      </c>
      <c r="L1359" s="21">
        <v>207.59</v>
      </c>
      <c r="M1359" s="21">
        <v>4359.3500000000004</v>
      </c>
      <c r="N1359" s="21">
        <v>2423.4</v>
      </c>
      <c r="O1359" s="21">
        <v>1728.36</v>
      </c>
      <c r="P1359" t="s">
        <v>123</v>
      </c>
      <c r="Q1359" t="s">
        <v>120</v>
      </c>
      <c r="R1359" t="s">
        <v>151</v>
      </c>
      <c r="S1359" t="s">
        <v>3206</v>
      </c>
      <c r="T1359" t="s">
        <v>153</v>
      </c>
      <c r="U1359" t="s">
        <v>154</v>
      </c>
      <c r="V1359" t="str">
        <f>IFERROR(INDEX(Products!$C:$C,MATCH(D1359,Products!$A:$A,0)),"Unknown")</f>
        <v>Men T-Shirts</v>
      </c>
      <c r="W1359" t="str">
        <f>IFERROR(INDEX(Products!$E:$E,MATCH(D1359,Products!$A:$A,0)),"Unknown")</f>
        <v>Libas</v>
      </c>
      <c r="X1359" t="str">
        <f>IFERROR(INDEX(Stores!$B:$B,MATCH(E1359,Stores!$A:$A,0)),"Unknown")</f>
        <v>TrendMart Nizamabad Mall Kiosk</v>
      </c>
      <c r="Y1359" t="str">
        <f>IFERROR(INDEX(Stores!$E:$E,MATCH(E1359,Stores!$A:$A,0)),"Unknown")</f>
        <v>South Zone 2</v>
      </c>
      <c r="Z1359" t="str">
        <f>IFERROR(INDEX(Customers!$J:$J,MATCH(C1359,Customers!$A:$A,0)),"Unknown")</f>
        <v>Gold</v>
      </c>
      <c r="AA1359" t="str">
        <f t="shared" si="21"/>
        <v>2024-06</v>
      </c>
      <c r="AB1359" t="str">
        <f>IFERROR(INDEX(Products!$I:$I,MATCH(D1359,Products!$A:$A,0)),"Unknown")</f>
        <v>SUP041</v>
      </c>
    </row>
    <row r="1360" spans="1:28" x14ac:dyDescent="0.25">
      <c r="A1360" t="s">
        <v>3207</v>
      </c>
      <c r="B1360" s="20">
        <v>45593</v>
      </c>
      <c r="C1360" t="s">
        <v>2117</v>
      </c>
      <c r="D1360" t="s">
        <v>763</v>
      </c>
      <c r="E1360" t="s">
        <v>823</v>
      </c>
      <c r="F1360" t="s">
        <v>550</v>
      </c>
      <c r="G1360">
        <v>2</v>
      </c>
      <c r="H1360" s="21">
        <v>1034.8399999999999</v>
      </c>
      <c r="I1360">
        <v>20</v>
      </c>
      <c r="J1360" s="21">
        <v>413.94</v>
      </c>
      <c r="K1360">
        <v>12</v>
      </c>
      <c r="L1360" s="21">
        <v>198.69</v>
      </c>
      <c r="M1360" s="21">
        <v>1854.43</v>
      </c>
      <c r="N1360" s="21">
        <v>1630.92</v>
      </c>
      <c r="O1360" s="21">
        <v>24.82</v>
      </c>
      <c r="P1360" t="s">
        <v>121</v>
      </c>
      <c r="Q1360" t="s">
        <v>122</v>
      </c>
      <c r="R1360" t="s">
        <v>151</v>
      </c>
      <c r="S1360" t="s">
        <v>589</v>
      </c>
      <c r="T1360" t="s">
        <v>153</v>
      </c>
      <c r="U1360" t="s">
        <v>154</v>
      </c>
      <c r="V1360" t="str">
        <f>IFERROR(INDEX(Products!$C:$C,MATCH(D1360,Products!$A:$A,0)),"Unknown")</f>
        <v>Watches</v>
      </c>
      <c r="W1360" t="str">
        <f>IFERROR(INDEX(Products!$E:$E,MATCH(D1360,Products!$A:$A,0)),"Unknown")</f>
        <v>Libas</v>
      </c>
      <c r="X1360" t="str">
        <f>IFERROR(INDEX(Stores!$B:$B,MATCH(E1360,Stores!$A:$A,0)),"Unknown")</f>
        <v>TrendMart Thoothukudi Mall Kiosk</v>
      </c>
      <c r="Y1360" t="str">
        <f>IFERROR(INDEX(Stores!$E:$E,MATCH(E1360,Stores!$A:$A,0)),"Unknown")</f>
        <v>South Zone 1</v>
      </c>
      <c r="Z1360" t="str">
        <f>IFERROR(INDEX(Customers!$J:$J,MATCH(C1360,Customers!$A:$A,0)),"Unknown")</f>
        <v>Regular</v>
      </c>
      <c r="AA1360" t="str">
        <f t="shared" si="21"/>
        <v>2024-10</v>
      </c>
      <c r="AB1360" t="str">
        <f>IFERROR(INDEX(Products!$I:$I,MATCH(D1360,Products!$A:$A,0)),"Unknown")</f>
        <v>SUP047</v>
      </c>
    </row>
    <row r="1361" spans="1:28" x14ac:dyDescent="0.25">
      <c r="A1361" t="s">
        <v>3208</v>
      </c>
      <c r="B1361" s="20">
        <v>45438</v>
      </c>
      <c r="C1361" t="s">
        <v>568</v>
      </c>
      <c r="D1361" t="s">
        <v>531</v>
      </c>
      <c r="E1361" t="s">
        <v>1591</v>
      </c>
      <c r="F1361" t="s">
        <v>269</v>
      </c>
      <c r="G1361">
        <v>1</v>
      </c>
      <c r="H1361" s="21">
        <v>3496.6</v>
      </c>
      <c r="I1361">
        <v>10</v>
      </c>
      <c r="J1361" s="21">
        <v>349.66</v>
      </c>
      <c r="K1361">
        <v>12</v>
      </c>
      <c r="L1361" s="21">
        <v>377.63</v>
      </c>
      <c r="M1361" s="21">
        <v>3524.57</v>
      </c>
      <c r="N1361" s="21">
        <v>2034.01</v>
      </c>
      <c r="O1361" s="21">
        <v>1112.93</v>
      </c>
      <c r="P1361" t="s">
        <v>126</v>
      </c>
      <c r="Q1361" t="s">
        <v>120</v>
      </c>
      <c r="R1361" t="s">
        <v>313</v>
      </c>
      <c r="S1361" t="s">
        <v>882</v>
      </c>
      <c r="T1361" t="s">
        <v>161</v>
      </c>
      <c r="U1361" t="s">
        <v>154</v>
      </c>
      <c r="V1361" t="str">
        <f>IFERROR(INDEX(Products!$C:$C,MATCH(D1361,Products!$A:$A,0)),"Unknown")</f>
        <v>Handbags</v>
      </c>
      <c r="W1361" t="str">
        <f>IFERROR(INDEX(Products!$E:$E,MATCH(D1361,Products!$A:$A,0)),"Unknown")</f>
        <v>GRT Jewellers</v>
      </c>
      <c r="X1361" t="str">
        <f>IFERROR(INDEX(Stores!$B:$B,MATCH(E1361,Stores!$A:$A,0)),"Unknown")</f>
        <v>TrendMart Guntur Standard</v>
      </c>
      <c r="Y1361" t="str">
        <f>IFERROR(INDEX(Stores!$E:$E,MATCH(E1361,Stores!$A:$A,0)),"Unknown")</f>
        <v>South Zone 3</v>
      </c>
      <c r="Z1361" t="str">
        <f>IFERROR(INDEX(Customers!$J:$J,MATCH(C1361,Customers!$A:$A,0)),"Unknown")</f>
        <v>Regular</v>
      </c>
      <c r="AA1361" t="str">
        <f t="shared" si="21"/>
        <v>2024-05</v>
      </c>
      <c r="AB1361" t="str">
        <f>IFERROR(INDEX(Products!$I:$I,MATCH(D1361,Products!$A:$A,0)),"Unknown")</f>
        <v>SUP047</v>
      </c>
    </row>
    <row r="1362" spans="1:28" x14ac:dyDescent="0.25">
      <c r="A1362" t="s">
        <v>3209</v>
      </c>
      <c r="B1362" s="20">
        <v>45574</v>
      </c>
      <c r="C1362" t="s">
        <v>992</v>
      </c>
      <c r="D1362" t="s">
        <v>814</v>
      </c>
      <c r="E1362" t="s">
        <v>175</v>
      </c>
      <c r="F1362" t="s">
        <v>269</v>
      </c>
      <c r="G1362">
        <v>2</v>
      </c>
      <c r="H1362" s="21">
        <v>635.15</v>
      </c>
      <c r="I1362">
        <v>0</v>
      </c>
      <c r="J1362" s="21">
        <v>0</v>
      </c>
      <c r="K1362">
        <v>5</v>
      </c>
      <c r="L1362" s="21">
        <v>63.52</v>
      </c>
      <c r="M1362" s="21">
        <v>1333.82</v>
      </c>
      <c r="N1362" s="21">
        <v>729.22</v>
      </c>
      <c r="O1362" s="21">
        <v>541.08000000000004</v>
      </c>
      <c r="P1362" t="s">
        <v>123</v>
      </c>
      <c r="Q1362" t="s">
        <v>122</v>
      </c>
      <c r="R1362" t="s">
        <v>151</v>
      </c>
      <c r="S1362" t="s">
        <v>1832</v>
      </c>
      <c r="T1362" t="s">
        <v>153</v>
      </c>
      <c r="U1362" t="s">
        <v>154</v>
      </c>
      <c r="V1362" t="str">
        <f>IFERROR(INDEX(Products!$C:$C,MATCH(D1362,Products!$A:$A,0)),"Unknown")</f>
        <v>Men T-Shirts</v>
      </c>
      <c r="W1362" t="str">
        <f>IFERROR(INDEX(Products!$E:$E,MATCH(D1362,Products!$A:$A,0)),"Unknown")</f>
        <v>Woodland</v>
      </c>
      <c r="X1362" t="str">
        <f>IFERROR(INDEX(Stores!$B:$B,MATCH(E1362,Stores!$A:$A,0)),"Unknown")</f>
        <v>TrendMart Thoothukudi Flagship</v>
      </c>
      <c r="Y1362" t="str">
        <f>IFERROR(INDEX(Stores!$E:$E,MATCH(E1362,Stores!$A:$A,0)),"Unknown")</f>
        <v>South Zone 1</v>
      </c>
      <c r="Z1362" t="str">
        <f>IFERROR(INDEX(Customers!$J:$J,MATCH(C1362,Customers!$A:$A,0)),"Unknown")</f>
        <v>Regular</v>
      </c>
      <c r="AA1362" t="str">
        <f t="shared" si="21"/>
        <v>2024-10</v>
      </c>
      <c r="AB1362" t="str">
        <f>IFERROR(INDEX(Products!$I:$I,MATCH(D1362,Products!$A:$A,0)),"Unknown")</f>
        <v>SUP051</v>
      </c>
    </row>
    <row r="1363" spans="1:28" x14ac:dyDescent="0.25">
      <c r="A1363" t="s">
        <v>3210</v>
      </c>
      <c r="B1363" s="20">
        <v>45689</v>
      </c>
      <c r="C1363" t="s">
        <v>328</v>
      </c>
      <c r="D1363" t="s">
        <v>2392</v>
      </c>
      <c r="E1363" t="s">
        <v>1023</v>
      </c>
      <c r="F1363" t="s">
        <v>159</v>
      </c>
      <c r="G1363">
        <v>1</v>
      </c>
      <c r="H1363" s="21">
        <v>1253.93</v>
      </c>
      <c r="I1363">
        <v>15</v>
      </c>
      <c r="J1363" s="21">
        <v>188.09</v>
      </c>
      <c r="K1363">
        <v>12</v>
      </c>
      <c r="L1363" s="21">
        <v>127.9</v>
      </c>
      <c r="M1363" s="21">
        <v>1193.74</v>
      </c>
      <c r="N1363" s="21">
        <v>744</v>
      </c>
      <c r="O1363" s="21">
        <v>321.83999999999997</v>
      </c>
      <c r="P1363" t="s">
        <v>126</v>
      </c>
      <c r="Q1363" t="s">
        <v>120</v>
      </c>
      <c r="R1363" t="s">
        <v>151</v>
      </c>
      <c r="S1363" t="s">
        <v>935</v>
      </c>
      <c r="T1363" t="s">
        <v>161</v>
      </c>
      <c r="U1363" t="s">
        <v>154</v>
      </c>
      <c r="V1363" t="str">
        <f>IFERROR(INDEX(Products!$C:$C,MATCH(D1363,Products!$A:$A,0)),"Unknown")</f>
        <v>Women Kurtis</v>
      </c>
      <c r="W1363" t="str">
        <f>IFERROR(INDEX(Products!$E:$E,MATCH(D1363,Products!$A:$A,0)),"Unknown")</f>
        <v>Reebok</v>
      </c>
      <c r="X1363" t="str">
        <f>IFERROR(INDEX(Stores!$B:$B,MATCH(E1363,Stores!$A:$A,0)),"Unknown")</f>
        <v>TrendMart Kochi High Street</v>
      </c>
      <c r="Y1363" t="str">
        <f>IFERROR(INDEX(Stores!$E:$E,MATCH(E1363,Stores!$A:$A,0)),"Unknown")</f>
        <v>South Zone 1</v>
      </c>
      <c r="Z1363" t="str">
        <f>IFERROR(INDEX(Customers!$J:$J,MATCH(C1363,Customers!$A:$A,0)),"Unknown")</f>
        <v>Platinum</v>
      </c>
      <c r="AA1363" t="str">
        <f t="shared" si="21"/>
        <v>2025-02</v>
      </c>
      <c r="AB1363" t="str">
        <f>IFERROR(INDEX(Products!$I:$I,MATCH(D1363,Products!$A:$A,0)),"Unknown")</f>
        <v>SUP029</v>
      </c>
    </row>
    <row r="1364" spans="1:28" x14ac:dyDescent="0.25">
      <c r="A1364" t="s">
        <v>3211</v>
      </c>
      <c r="B1364" s="20">
        <v>45719</v>
      </c>
      <c r="C1364" t="s">
        <v>2310</v>
      </c>
      <c r="D1364" t="s">
        <v>1920</v>
      </c>
      <c r="E1364" t="s">
        <v>241</v>
      </c>
      <c r="F1364" t="s">
        <v>263</v>
      </c>
      <c r="G1364">
        <v>2</v>
      </c>
      <c r="H1364" s="21">
        <v>891.98</v>
      </c>
      <c r="I1364">
        <v>0</v>
      </c>
      <c r="J1364" s="21">
        <v>0</v>
      </c>
      <c r="K1364">
        <v>5</v>
      </c>
      <c r="L1364" s="21">
        <v>89.2</v>
      </c>
      <c r="M1364" s="21">
        <v>1873.16</v>
      </c>
      <c r="N1364" s="21">
        <v>1070.94</v>
      </c>
      <c r="O1364" s="21">
        <v>713.02</v>
      </c>
      <c r="P1364" t="s">
        <v>124</v>
      </c>
      <c r="Q1364" t="s">
        <v>122</v>
      </c>
      <c r="R1364" t="s">
        <v>151</v>
      </c>
      <c r="S1364" t="s">
        <v>3212</v>
      </c>
      <c r="T1364" t="s">
        <v>153</v>
      </c>
      <c r="U1364" t="s">
        <v>154</v>
      </c>
      <c r="V1364" t="str">
        <f>IFERROR(INDEX(Products!$C:$C,MATCH(D1364,Products!$A:$A,0)),"Unknown")</f>
        <v>Accessories</v>
      </c>
      <c r="W1364" t="str">
        <f>IFERROR(INDEX(Products!$E:$E,MATCH(D1364,Products!$A:$A,0)),"Unknown")</f>
        <v>Metro Shoes</v>
      </c>
      <c r="X1364" t="str">
        <f>IFERROR(INDEX(Stores!$B:$B,MATCH(E1364,Stores!$A:$A,0)),"Unknown")</f>
        <v>TrendMart Nizamabad Mall Kiosk</v>
      </c>
      <c r="Y1364" t="str">
        <f>IFERROR(INDEX(Stores!$E:$E,MATCH(E1364,Stores!$A:$A,0)),"Unknown")</f>
        <v>South Zone 2</v>
      </c>
      <c r="Z1364" t="str">
        <f>IFERROR(INDEX(Customers!$J:$J,MATCH(C1364,Customers!$A:$A,0)),"Unknown")</f>
        <v>Platinum</v>
      </c>
      <c r="AA1364" t="str">
        <f t="shared" si="21"/>
        <v>2025-03</v>
      </c>
      <c r="AB1364" t="str">
        <f>IFERROR(INDEX(Products!$I:$I,MATCH(D1364,Products!$A:$A,0)),"Unknown")</f>
        <v>SUP003</v>
      </c>
    </row>
    <row r="1365" spans="1:28" x14ac:dyDescent="0.25">
      <c r="A1365" t="s">
        <v>3213</v>
      </c>
      <c r="B1365" s="20">
        <v>45450</v>
      </c>
      <c r="C1365" t="s">
        <v>3214</v>
      </c>
      <c r="D1365" t="s">
        <v>1302</v>
      </c>
      <c r="E1365" t="s">
        <v>99</v>
      </c>
      <c r="F1365" t="s">
        <v>434</v>
      </c>
      <c r="G1365">
        <v>3</v>
      </c>
      <c r="H1365" s="21">
        <v>1116.67</v>
      </c>
      <c r="I1365">
        <v>0</v>
      </c>
      <c r="J1365" s="21">
        <v>0</v>
      </c>
      <c r="K1365">
        <v>12</v>
      </c>
      <c r="L1365" s="21">
        <v>402</v>
      </c>
      <c r="M1365" s="21">
        <v>3752.01</v>
      </c>
      <c r="N1365" s="21">
        <v>2312.19</v>
      </c>
      <c r="O1365" s="21">
        <v>1037.82</v>
      </c>
      <c r="P1365" t="s">
        <v>126</v>
      </c>
      <c r="Q1365" t="s">
        <v>120</v>
      </c>
      <c r="R1365" t="s">
        <v>151</v>
      </c>
      <c r="S1365" t="s">
        <v>597</v>
      </c>
      <c r="T1365" t="s">
        <v>153</v>
      </c>
      <c r="U1365" t="s">
        <v>154</v>
      </c>
      <c r="V1365" t="str">
        <f>IFERROR(INDEX(Products!$C:$C,MATCH(D1365,Products!$A:$A,0)),"Unknown")</f>
        <v>Women Kurtis</v>
      </c>
      <c r="W1365" t="str">
        <f>IFERROR(INDEX(Products!$E:$E,MATCH(D1365,Products!$A:$A,0)),"Unknown")</f>
        <v>Fabindia</v>
      </c>
      <c r="X1365" t="str">
        <f>IFERROR(INDEX(Stores!$B:$B,MATCH(E1365,Stores!$A:$A,0)),"Unknown")</f>
        <v>TrendMart Hubballi Standard</v>
      </c>
      <c r="Y1365" t="str">
        <f>IFERROR(INDEX(Stores!$E:$E,MATCH(E1365,Stores!$A:$A,0)),"Unknown")</f>
        <v>South Zone 2</v>
      </c>
      <c r="Z1365" t="str">
        <f>IFERROR(INDEX(Customers!$J:$J,MATCH(C1365,Customers!$A:$A,0)),"Unknown")</f>
        <v>Regular</v>
      </c>
      <c r="AA1365" t="str">
        <f t="shared" si="21"/>
        <v>2024-06</v>
      </c>
      <c r="AB1365" t="str">
        <f>IFERROR(INDEX(Products!$I:$I,MATCH(D1365,Products!$A:$A,0)),"Unknown")</f>
        <v>SUP059</v>
      </c>
    </row>
    <row r="1366" spans="1:28" x14ac:dyDescent="0.25">
      <c r="A1366" t="s">
        <v>3215</v>
      </c>
      <c r="B1366" s="20">
        <v>45705</v>
      </c>
      <c r="C1366" t="s">
        <v>1398</v>
      </c>
      <c r="D1366" t="s">
        <v>257</v>
      </c>
      <c r="E1366" t="s">
        <v>1187</v>
      </c>
      <c r="F1366" t="s">
        <v>377</v>
      </c>
      <c r="G1366">
        <v>3</v>
      </c>
      <c r="H1366" s="21">
        <v>988.23</v>
      </c>
      <c r="I1366">
        <v>20</v>
      </c>
      <c r="J1366" s="21">
        <v>592.94000000000005</v>
      </c>
      <c r="K1366">
        <v>5</v>
      </c>
      <c r="L1366" s="21">
        <v>118.59</v>
      </c>
      <c r="M1366" s="21">
        <v>2490.34</v>
      </c>
      <c r="N1366" s="21">
        <v>2163.66</v>
      </c>
      <c r="O1366" s="21">
        <v>208.09</v>
      </c>
      <c r="P1366" t="s">
        <v>121</v>
      </c>
      <c r="Q1366" t="s">
        <v>122</v>
      </c>
      <c r="R1366" t="s">
        <v>151</v>
      </c>
      <c r="S1366" t="s">
        <v>1871</v>
      </c>
      <c r="T1366" t="s">
        <v>153</v>
      </c>
      <c r="U1366" t="s">
        <v>154</v>
      </c>
      <c r="V1366" t="str">
        <f>IFERROR(INDEX(Products!$C:$C,MATCH(D1366,Products!$A:$A,0)),"Unknown")</f>
        <v>Men Shirts</v>
      </c>
      <c r="W1366" t="str">
        <f>IFERROR(INDEX(Products!$E:$E,MATCH(D1366,Products!$A:$A,0)),"Unknown")</f>
        <v>Indian Terrain</v>
      </c>
      <c r="X1366" t="str">
        <f>IFERROR(INDEX(Stores!$B:$B,MATCH(E1366,Stores!$A:$A,0)),"Unknown")</f>
        <v>TrendMart Vijayawada Mall Kiosk</v>
      </c>
      <c r="Y1366" t="str">
        <f>IFERROR(INDEX(Stores!$E:$E,MATCH(E1366,Stores!$A:$A,0)),"Unknown")</f>
        <v>South Zone 3</v>
      </c>
      <c r="Z1366" t="str">
        <f>IFERROR(INDEX(Customers!$J:$J,MATCH(C1366,Customers!$A:$A,0)),"Unknown")</f>
        <v>Silver</v>
      </c>
      <c r="AA1366" t="str">
        <f t="shared" si="21"/>
        <v>2025-02</v>
      </c>
      <c r="AB1366" t="str">
        <f>IFERROR(INDEX(Products!$I:$I,MATCH(D1366,Products!$A:$A,0)),"Unknown")</f>
        <v>SUP080</v>
      </c>
    </row>
    <row r="1367" spans="1:28" x14ac:dyDescent="0.25">
      <c r="A1367" t="s">
        <v>3216</v>
      </c>
      <c r="B1367" s="20">
        <v>45734</v>
      </c>
      <c r="C1367" t="s">
        <v>2537</v>
      </c>
      <c r="D1367" t="s">
        <v>199</v>
      </c>
      <c r="E1367" t="s">
        <v>927</v>
      </c>
      <c r="F1367" t="s">
        <v>232</v>
      </c>
      <c r="G1367">
        <v>1</v>
      </c>
      <c r="H1367" s="21">
        <v>855.17</v>
      </c>
      <c r="I1367">
        <v>5</v>
      </c>
      <c r="J1367" s="21">
        <v>42.76</v>
      </c>
      <c r="K1367">
        <v>5</v>
      </c>
      <c r="L1367" s="21">
        <v>40.619999999999997</v>
      </c>
      <c r="M1367" s="21">
        <v>853.03</v>
      </c>
      <c r="N1367" s="21">
        <v>488.6</v>
      </c>
      <c r="O1367" s="21">
        <v>323.81</v>
      </c>
      <c r="P1367" t="s">
        <v>123</v>
      </c>
      <c r="Q1367" t="s">
        <v>120</v>
      </c>
      <c r="R1367" t="s">
        <v>151</v>
      </c>
      <c r="S1367" t="s">
        <v>457</v>
      </c>
      <c r="T1367" t="s">
        <v>153</v>
      </c>
      <c r="U1367" t="s">
        <v>154</v>
      </c>
      <c r="V1367" t="str">
        <f>IFERROR(INDEX(Products!$C:$C,MATCH(D1367,Products!$A:$A,0)),"Unknown")</f>
        <v>Accessories</v>
      </c>
      <c r="W1367" t="str">
        <f>IFERROR(INDEX(Products!$E:$E,MATCH(D1367,Products!$A:$A,0)),"Unknown")</f>
        <v>Arrow</v>
      </c>
      <c r="X1367" t="str">
        <f>IFERROR(INDEX(Stores!$B:$B,MATCH(E1367,Stores!$A:$A,0)),"Unknown")</f>
        <v>TrendMart Kochi Mall Kiosk</v>
      </c>
      <c r="Y1367" t="str">
        <f>IFERROR(INDEX(Stores!$E:$E,MATCH(E1367,Stores!$A:$A,0)),"Unknown")</f>
        <v>South Zone 1</v>
      </c>
      <c r="Z1367" t="str">
        <f>IFERROR(INDEX(Customers!$J:$J,MATCH(C1367,Customers!$A:$A,0)),"Unknown")</f>
        <v>Gold</v>
      </c>
      <c r="AA1367" t="str">
        <f t="shared" si="21"/>
        <v>2025-03</v>
      </c>
      <c r="AB1367" t="str">
        <f>IFERROR(INDEX(Products!$I:$I,MATCH(D1367,Products!$A:$A,0)),"Unknown")</f>
        <v>SUP018</v>
      </c>
    </row>
    <row r="1368" spans="1:28" x14ac:dyDescent="0.25">
      <c r="A1368" t="s">
        <v>3217</v>
      </c>
      <c r="B1368" s="20">
        <v>45390</v>
      </c>
      <c r="C1368" t="s">
        <v>509</v>
      </c>
      <c r="D1368" t="s">
        <v>531</v>
      </c>
      <c r="E1368" t="s">
        <v>681</v>
      </c>
      <c r="F1368" t="s">
        <v>221</v>
      </c>
      <c r="G1368">
        <v>3</v>
      </c>
      <c r="H1368" s="21">
        <v>3096.12</v>
      </c>
      <c r="I1368">
        <v>10</v>
      </c>
      <c r="J1368" s="21">
        <v>928.84</v>
      </c>
      <c r="K1368">
        <v>12</v>
      </c>
      <c r="L1368" s="21">
        <v>1003.14</v>
      </c>
      <c r="M1368" s="21">
        <v>9362.66</v>
      </c>
      <c r="N1368" s="21">
        <v>6102.03</v>
      </c>
      <c r="O1368" s="21">
        <v>2257.4899999999998</v>
      </c>
      <c r="P1368" t="s">
        <v>123</v>
      </c>
      <c r="Q1368" t="s">
        <v>120</v>
      </c>
      <c r="R1368" t="s">
        <v>313</v>
      </c>
      <c r="S1368" t="s">
        <v>1950</v>
      </c>
      <c r="T1368" t="s">
        <v>153</v>
      </c>
      <c r="U1368" t="s">
        <v>154</v>
      </c>
      <c r="V1368" t="str">
        <f>IFERROR(INDEX(Products!$C:$C,MATCH(D1368,Products!$A:$A,0)),"Unknown")</f>
        <v>Handbags</v>
      </c>
      <c r="W1368" t="str">
        <f>IFERROR(INDEX(Products!$E:$E,MATCH(D1368,Products!$A:$A,0)),"Unknown")</f>
        <v>GRT Jewellers</v>
      </c>
      <c r="X1368" t="str">
        <f>IFERROR(INDEX(Stores!$B:$B,MATCH(E1368,Stores!$A:$A,0)),"Unknown")</f>
        <v>TrendMart Shivamogga Mall Kiosk</v>
      </c>
      <c r="Y1368" t="str">
        <f>IFERROR(INDEX(Stores!$E:$E,MATCH(E1368,Stores!$A:$A,0)),"Unknown")</f>
        <v>South Zone 2</v>
      </c>
      <c r="Z1368" t="str">
        <f>IFERROR(INDEX(Customers!$J:$J,MATCH(C1368,Customers!$A:$A,0)),"Unknown")</f>
        <v>Gold</v>
      </c>
      <c r="AA1368" t="str">
        <f t="shared" si="21"/>
        <v>2024-04</v>
      </c>
      <c r="AB1368" t="str">
        <f>IFERROR(INDEX(Products!$I:$I,MATCH(D1368,Products!$A:$A,0)),"Unknown")</f>
        <v>SUP047</v>
      </c>
    </row>
    <row r="1369" spans="1:28" x14ac:dyDescent="0.25">
      <c r="A1369" t="s">
        <v>3218</v>
      </c>
      <c r="B1369" s="20">
        <v>45579</v>
      </c>
      <c r="C1369" t="s">
        <v>476</v>
      </c>
      <c r="D1369" t="s">
        <v>329</v>
      </c>
      <c r="E1369" t="s">
        <v>175</v>
      </c>
      <c r="F1369" t="s">
        <v>403</v>
      </c>
      <c r="G1369">
        <v>4</v>
      </c>
      <c r="H1369" s="21">
        <v>672.67</v>
      </c>
      <c r="I1369">
        <v>30</v>
      </c>
      <c r="J1369" s="21">
        <v>807.2</v>
      </c>
      <c r="K1369">
        <v>5</v>
      </c>
      <c r="L1369" s="21">
        <v>94.17</v>
      </c>
      <c r="M1369" s="21">
        <v>1977.65</v>
      </c>
      <c r="N1369" s="21">
        <v>1677.12</v>
      </c>
      <c r="O1369" s="21">
        <v>206.36</v>
      </c>
      <c r="P1369" t="s">
        <v>121</v>
      </c>
      <c r="Q1369" t="s">
        <v>122</v>
      </c>
      <c r="R1369" t="s">
        <v>151</v>
      </c>
      <c r="S1369" t="s">
        <v>3219</v>
      </c>
      <c r="T1369" t="s">
        <v>153</v>
      </c>
      <c r="U1369" t="s">
        <v>154</v>
      </c>
      <c r="V1369" t="str">
        <f>IFERROR(INDEX(Products!$C:$C,MATCH(D1369,Products!$A:$A,0)),"Unknown")</f>
        <v>Men T-Shirts</v>
      </c>
      <c r="W1369" t="str">
        <f>IFERROR(INDEX(Products!$E:$E,MATCH(D1369,Products!$A:$A,0)),"Unknown")</f>
        <v>Peter England</v>
      </c>
      <c r="X1369" t="str">
        <f>IFERROR(INDEX(Stores!$B:$B,MATCH(E1369,Stores!$A:$A,0)),"Unknown")</f>
        <v>TrendMart Thoothukudi Flagship</v>
      </c>
      <c r="Y1369" t="str">
        <f>IFERROR(INDEX(Stores!$E:$E,MATCH(E1369,Stores!$A:$A,0)),"Unknown")</f>
        <v>South Zone 1</v>
      </c>
      <c r="Z1369" t="str">
        <f>IFERROR(INDEX(Customers!$J:$J,MATCH(C1369,Customers!$A:$A,0)),"Unknown")</f>
        <v>Silver</v>
      </c>
      <c r="AA1369" t="str">
        <f t="shared" si="21"/>
        <v>2024-10</v>
      </c>
      <c r="AB1369" t="str">
        <f>IFERROR(INDEX(Products!$I:$I,MATCH(D1369,Products!$A:$A,0)),"Unknown")</f>
        <v>SUP071</v>
      </c>
    </row>
    <row r="1370" spans="1:28" x14ac:dyDescent="0.25">
      <c r="A1370" t="s">
        <v>3220</v>
      </c>
      <c r="B1370" s="20">
        <v>45577</v>
      </c>
      <c r="C1370" t="s">
        <v>3221</v>
      </c>
      <c r="D1370" t="s">
        <v>376</v>
      </c>
      <c r="E1370" t="s">
        <v>84</v>
      </c>
      <c r="F1370" t="s">
        <v>618</v>
      </c>
      <c r="G1370">
        <v>2</v>
      </c>
      <c r="H1370" s="21">
        <v>1411.02</v>
      </c>
      <c r="I1370">
        <v>10</v>
      </c>
      <c r="J1370" s="21">
        <v>282.2</v>
      </c>
      <c r="K1370">
        <v>12</v>
      </c>
      <c r="L1370" s="21">
        <v>304.77999999999997</v>
      </c>
      <c r="M1370" s="21">
        <v>2844.62</v>
      </c>
      <c r="N1370" s="21">
        <v>2050.48</v>
      </c>
      <c r="O1370" s="21">
        <v>489.36</v>
      </c>
      <c r="P1370" t="s">
        <v>123</v>
      </c>
      <c r="Q1370" t="s">
        <v>122</v>
      </c>
      <c r="R1370" t="s">
        <v>151</v>
      </c>
      <c r="S1370" t="s">
        <v>2770</v>
      </c>
      <c r="T1370" t="s">
        <v>161</v>
      </c>
      <c r="U1370" t="s">
        <v>154</v>
      </c>
      <c r="V1370" t="str">
        <f>IFERROR(INDEX(Products!$C:$C,MATCH(D1370,Products!$A:$A,0)),"Unknown")</f>
        <v>Women Jeans</v>
      </c>
      <c r="W1370" t="str">
        <f>IFERROR(INDEX(Products!$E:$E,MATCH(D1370,Products!$A:$A,0)),"Unknown")</f>
        <v>Pothys</v>
      </c>
      <c r="X1370" t="str">
        <f>IFERROR(INDEX(Stores!$B:$B,MATCH(E1370,Stores!$A:$A,0)),"Unknown")</f>
        <v>TrendMart Tirupati Standard</v>
      </c>
      <c r="Y1370" t="str">
        <f>IFERROR(INDEX(Stores!$E:$E,MATCH(E1370,Stores!$A:$A,0)),"Unknown")</f>
        <v>South Zone 3</v>
      </c>
      <c r="Z1370" t="str">
        <f>IFERROR(INDEX(Customers!$J:$J,MATCH(C1370,Customers!$A:$A,0)),"Unknown")</f>
        <v>Silver</v>
      </c>
      <c r="AA1370" t="str">
        <f t="shared" si="21"/>
        <v>2024-10</v>
      </c>
      <c r="AB1370" t="str">
        <f>IFERROR(INDEX(Products!$I:$I,MATCH(D1370,Products!$A:$A,0)),"Unknown")</f>
        <v>SUP015</v>
      </c>
    </row>
    <row r="1371" spans="1:28" x14ac:dyDescent="0.25">
      <c r="A1371" t="s">
        <v>3222</v>
      </c>
      <c r="B1371" s="20">
        <v>45459</v>
      </c>
      <c r="C1371" t="s">
        <v>2360</v>
      </c>
      <c r="D1371" t="s">
        <v>1780</v>
      </c>
      <c r="E1371" t="s">
        <v>537</v>
      </c>
      <c r="F1371" t="s">
        <v>253</v>
      </c>
      <c r="G1371">
        <v>1</v>
      </c>
      <c r="H1371" s="21">
        <v>1271</v>
      </c>
      <c r="I1371">
        <v>0</v>
      </c>
      <c r="J1371" s="21">
        <v>0</v>
      </c>
      <c r="K1371">
        <v>3</v>
      </c>
      <c r="L1371" s="21">
        <v>38.130000000000003</v>
      </c>
      <c r="M1371" s="21">
        <v>1309.1300000000001</v>
      </c>
      <c r="N1371" s="21">
        <v>910.46</v>
      </c>
      <c r="O1371" s="21">
        <v>360.54</v>
      </c>
      <c r="P1371" t="s">
        <v>121</v>
      </c>
      <c r="Q1371" t="s">
        <v>122</v>
      </c>
      <c r="R1371" t="s">
        <v>151</v>
      </c>
      <c r="S1371" t="s">
        <v>1791</v>
      </c>
      <c r="T1371" t="s">
        <v>161</v>
      </c>
      <c r="U1371" t="s">
        <v>154</v>
      </c>
      <c r="V1371" t="str">
        <f>IFERROR(INDEX(Products!$C:$C,MATCH(D1371,Products!$A:$A,0)),"Unknown")</f>
        <v>Jewellery</v>
      </c>
      <c r="W1371" t="str">
        <f>IFERROR(INDEX(Products!$E:$E,MATCH(D1371,Products!$A:$A,0)),"Unknown")</f>
        <v>Flying Machine</v>
      </c>
      <c r="X1371" t="str">
        <f>IFERROR(INDEX(Stores!$B:$B,MATCH(E1371,Stores!$A:$A,0)),"Unknown")</f>
        <v>TrendMart Thrissur High Street</v>
      </c>
      <c r="Y1371" t="str">
        <f>IFERROR(INDEX(Stores!$E:$E,MATCH(E1371,Stores!$A:$A,0)),"Unknown")</f>
        <v>South Zone 1</v>
      </c>
      <c r="Z1371" t="str">
        <f>IFERROR(INDEX(Customers!$J:$J,MATCH(C1371,Customers!$A:$A,0)),"Unknown")</f>
        <v>Regular</v>
      </c>
      <c r="AA1371" t="str">
        <f t="shared" si="21"/>
        <v>2024-06</v>
      </c>
      <c r="AB1371" t="str">
        <f>IFERROR(INDEX(Products!$I:$I,MATCH(D1371,Products!$A:$A,0)),"Unknown")</f>
        <v>SUP039</v>
      </c>
    </row>
    <row r="1372" spans="1:28" x14ac:dyDescent="0.25">
      <c r="A1372" t="s">
        <v>3223</v>
      </c>
      <c r="B1372" s="20">
        <v>45587</v>
      </c>
      <c r="C1372" t="s">
        <v>3224</v>
      </c>
      <c r="D1372" t="s">
        <v>1156</v>
      </c>
      <c r="E1372" t="s">
        <v>83</v>
      </c>
      <c r="F1372" t="s">
        <v>150</v>
      </c>
      <c r="G1372">
        <v>4</v>
      </c>
      <c r="H1372" s="21">
        <v>643.58000000000004</v>
      </c>
      <c r="I1372">
        <v>0</v>
      </c>
      <c r="J1372" s="21">
        <v>0</v>
      </c>
      <c r="K1372">
        <v>5</v>
      </c>
      <c r="L1372" s="21">
        <v>128.72</v>
      </c>
      <c r="M1372" s="21">
        <v>2703.04</v>
      </c>
      <c r="N1372" s="21">
        <v>2037.76</v>
      </c>
      <c r="O1372" s="21">
        <v>536.55999999999995</v>
      </c>
      <c r="P1372" t="s">
        <v>123</v>
      </c>
      <c r="Q1372" t="s">
        <v>120</v>
      </c>
      <c r="R1372" t="s">
        <v>151</v>
      </c>
      <c r="S1372" t="s">
        <v>2079</v>
      </c>
      <c r="T1372" t="s">
        <v>153</v>
      </c>
      <c r="U1372" t="s">
        <v>154</v>
      </c>
      <c r="V1372" t="str">
        <f>IFERROR(INDEX(Products!$C:$C,MATCH(D1372,Products!$A:$A,0)),"Unknown")</f>
        <v>Kids Wear</v>
      </c>
      <c r="W1372" t="str">
        <f>IFERROR(INDEX(Products!$E:$E,MATCH(D1372,Products!$A:$A,0)),"Unknown")</f>
        <v>Allen Solly</v>
      </c>
      <c r="X1372" t="str">
        <f>IFERROR(INDEX(Stores!$B:$B,MATCH(E1372,Stores!$A:$A,0)),"Unknown")</f>
        <v>TrendMart Vellore Standard</v>
      </c>
      <c r="Y1372" t="str">
        <f>IFERROR(INDEX(Stores!$E:$E,MATCH(E1372,Stores!$A:$A,0)),"Unknown")</f>
        <v>South Zone 1</v>
      </c>
      <c r="Z1372" t="str">
        <f>IFERROR(INDEX(Customers!$J:$J,MATCH(C1372,Customers!$A:$A,0)),"Unknown")</f>
        <v>Regular</v>
      </c>
      <c r="AA1372" t="str">
        <f t="shared" si="21"/>
        <v>2024-10</v>
      </c>
      <c r="AB1372" t="str">
        <f>IFERROR(INDEX(Products!$I:$I,MATCH(D1372,Products!$A:$A,0)),"Unknown")</f>
        <v>SUP026</v>
      </c>
    </row>
    <row r="1373" spans="1:28" x14ac:dyDescent="0.25">
      <c r="A1373" t="s">
        <v>3225</v>
      </c>
      <c r="B1373" s="20">
        <v>45720</v>
      </c>
      <c r="C1373" t="s">
        <v>1913</v>
      </c>
      <c r="D1373" t="s">
        <v>1691</v>
      </c>
      <c r="E1373" t="s">
        <v>934</v>
      </c>
      <c r="F1373" t="s">
        <v>574</v>
      </c>
      <c r="G1373">
        <v>2</v>
      </c>
      <c r="H1373" s="21">
        <v>981.09</v>
      </c>
      <c r="I1373">
        <v>10</v>
      </c>
      <c r="J1373" s="21">
        <v>196.22</v>
      </c>
      <c r="K1373">
        <v>5</v>
      </c>
      <c r="L1373" s="21">
        <v>88.3</v>
      </c>
      <c r="M1373" s="21">
        <v>1854.26</v>
      </c>
      <c r="N1373" s="21">
        <v>1401.86</v>
      </c>
      <c r="O1373" s="21">
        <v>364.1</v>
      </c>
      <c r="P1373" t="s">
        <v>121</v>
      </c>
      <c r="Q1373" t="s">
        <v>120</v>
      </c>
      <c r="R1373" t="s">
        <v>151</v>
      </c>
      <c r="S1373" t="s">
        <v>1335</v>
      </c>
      <c r="T1373" t="s">
        <v>153</v>
      </c>
      <c r="U1373" t="s">
        <v>154</v>
      </c>
      <c r="V1373" t="str">
        <f>IFERROR(INDEX(Products!$C:$C,MATCH(D1373,Products!$A:$A,0)),"Unknown")</f>
        <v>Women Jeans</v>
      </c>
      <c r="W1373" t="str">
        <f>IFERROR(INDEX(Products!$E:$E,MATCH(D1373,Products!$A:$A,0)),"Unknown")</f>
        <v>Global Desi</v>
      </c>
      <c r="X1373" t="str">
        <f>IFERROR(INDEX(Stores!$B:$B,MATCH(E1373,Stores!$A:$A,0)),"Unknown")</f>
        <v>TrendMart Bengaluru High Street</v>
      </c>
      <c r="Y1373" t="str">
        <f>IFERROR(INDEX(Stores!$E:$E,MATCH(E1373,Stores!$A:$A,0)),"Unknown")</f>
        <v>South Zone 2</v>
      </c>
      <c r="Z1373" t="str">
        <f>IFERROR(INDEX(Customers!$J:$J,MATCH(C1373,Customers!$A:$A,0)),"Unknown")</f>
        <v>Regular</v>
      </c>
      <c r="AA1373" t="str">
        <f t="shared" si="21"/>
        <v>2025-03</v>
      </c>
      <c r="AB1373" t="str">
        <f>IFERROR(INDEX(Products!$I:$I,MATCH(D1373,Products!$A:$A,0)),"Unknown")</f>
        <v>SUP015</v>
      </c>
    </row>
    <row r="1374" spans="1:28" x14ac:dyDescent="0.25">
      <c r="A1374" t="s">
        <v>3226</v>
      </c>
      <c r="B1374" s="20">
        <v>45521</v>
      </c>
      <c r="C1374" t="s">
        <v>2735</v>
      </c>
      <c r="D1374" t="s">
        <v>498</v>
      </c>
      <c r="E1374" t="s">
        <v>1522</v>
      </c>
      <c r="F1374" t="s">
        <v>403</v>
      </c>
      <c r="G1374">
        <v>1</v>
      </c>
      <c r="H1374" s="21">
        <v>456.84</v>
      </c>
      <c r="I1374">
        <v>25</v>
      </c>
      <c r="J1374" s="21">
        <v>114.21</v>
      </c>
      <c r="K1374">
        <v>5</v>
      </c>
      <c r="L1374" s="21">
        <v>17.13</v>
      </c>
      <c r="M1374" s="21">
        <v>359.76</v>
      </c>
      <c r="N1374" s="21">
        <v>315.13</v>
      </c>
      <c r="O1374" s="21">
        <v>27.5</v>
      </c>
      <c r="P1374" t="s">
        <v>123</v>
      </c>
      <c r="Q1374" t="s">
        <v>120</v>
      </c>
      <c r="R1374" t="s">
        <v>151</v>
      </c>
      <c r="S1374" t="s">
        <v>512</v>
      </c>
      <c r="T1374" t="s">
        <v>161</v>
      </c>
      <c r="U1374" t="s">
        <v>154</v>
      </c>
      <c r="V1374" t="str">
        <f>IFERROR(INDEX(Products!$C:$C,MATCH(D1374,Products!$A:$A,0)),"Unknown")</f>
        <v>Belts</v>
      </c>
      <c r="W1374" t="str">
        <f>IFERROR(INDEX(Products!$E:$E,MATCH(D1374,Products!$A:$A,0)),"Unknown")</f>
        <v>Nike</v>
      </c>
      <c r="X1374" t="str">
        <f>IFERROR(INDEX(Stores!$B:$B,MATCH(E1374,Stores!$A:$A,0)),"Unknown")</f>
        <v>TrendMart Guntur High Street</v>
      </c>
      <c r="Y1374" t="str">
        <f>IFERROR(INDEX(Stores!$E:$E,MATCH(E1374,Stores!$A:$A,0)),"Unknown")</f>
        <v>South Zone 3</v>
      </c>
      <c r="Z1374" t="str">
        <f>IFERROR(INDEX(Customers!$J:$J,MATCH(C1374,Customers!$A:$A,0)),"Unknown")</f>
        <v>Silver</v>
      </c>
      <c r="AA1374" t="str">
        <f t="shared" si="21"/>
        <v>2024-08</v>
      </c>
      <c r="AB1374" t="str">
        <f>IFERROR(INDEX(Products!$I:$I,MATCH(D1374,Products!$A:$A,0)),"Unknown")</f>
        <v>SUP071</v>
      </c>
    </row>
    <row r="1375" spans="1:28" x14ac:dyDescent="0.25">
      <c r="A1375" t="s">
        <v>3227</v>
      </c>
      <c r="B1375" s="20">
        <v>45385</v>
      </c>
      <c r="C1375" t="s">
        <v>2631</v>
      </c>
      <c r="D1375" t="s">
        <v>629</v>
      </c>
      <c r="E1375" t="s">
        <v>216</v>
      </c>
      <c r="F1375" t="s">
        <v>253</v>
      </c>
      <c r="G1375">
        <v>1</v>
      </c>
      <c r="H1375" s="21">
        <v>6606.86</v>
      </c>
      <c r="I1375">
        <v>0</v>
      </c>
      <c r="J1375" s="21">
        <v>0</v>
      </c>
      <c r="K1375">
        <v>3</v>
      </c>
      <c r="L1375" s="21">
        <v>198.21</v>
      </c>
      <c r="M1375" s="21">
        <v>6805.07</v>
      </c>
      <c r="N1375" s="21">
        <v>4867.21</v>
      </c>
      <c r="O1375" s="21">
        <v>1739.65</v>
      </c>
      <c r="P1375" t="s">
        <v>121</v>
      </c>
      <c r="Q1375" t="s">
        <v>120</v>
      </c>
      <c r="R1375" t="s">
        <v>151</v>
      </c>
      <c r="S1375" t="s">
        <v>1992</v>
      </c>
      <c r="T1375" t="s">
        <v>153</v>
      </c>
      <c r="U1375" t="s">
        <v>154</v>
      </c>
      <c r="V1375" t="str">
        <f>IFERROR(INDEX(Products!$C:$C,MATCH(D1375,Products!$A:$A,0)),"Unknown")</f>
        <v>Jewellery</v>
      </c>
      <c r="W1375" t="str">
        <f>IFERROR(INDEX(Products!$E:$E,MATCH(D1375,Products!$A:$A,0)),"Unknown")</f>
        <v>Global Desi</v>
      </c>
      <c r="X1375" t="str">
        <f>IFERROR(INDEX(Stores!$B:$B,MATCH(E1375,Stores!$A:$A,0)),"Unknown")</f>
        <v>TrendMart Madurai Mall Kiosk</v>
      </c>
      <c r="Y1375" t="str">
        <f>IFERROR(INDEX(Stores!$E:$E,MATCH(E1375,Stores!$A:$A,0)),"Unknown")</f>
        <v>South Zone 1</v>
      </c>
      <c r="Z1375" t="str">
        <f>IFERROR(INDEX(Customers!$J:$J,MATCH(C1375,Customers!$A:$A,0)),"Unknown")</f>
        <v>Gold</v>
      </c>
      <c r="AA1375" t="str">
        <f t="shared" si="21"/>
        <v>2024-04</v>
      </c>
      <c r="AB1375" t="str">
        <f>IFERROR(INDEX(Products!$I:$I,MATCH(D1375,Products!$A:$A,0)),"Unknown")</f>
        <v>SUP066</v>
      </c>
    </row>
    <row r="1376" spans="1:28" x14ac:dyDescent="0.25">
      <c r="A1376" t="s">
        <v>3228</v>
      </c>
      <c r="B1376" s="20">
        <v>45552</v>
      </c>
      <c r="C1376" t="s">
        <v>826</v>
      </c>
      <c r="D1376" t="s">
        <v>2129</v>
      </c>
      <c r="E1376" t="s">
        <v>83</v>
      </c>
      <c r="F1376" t="s">
        <v>618</v>
      </c>
      <c r="G1376">
        <v>1</v>
      </c>
      <c r="H1376" s="21">
        <v>2584.29</v>
      </c>
      <c r="I1376">
        <v>5</v>
      </c>
      <c r="J1376" s="21">
        <v>129.21</v>
      </c>
      <c r="K1376">
        <v>12</v>
      </c>
      <c r="L1376" s="21">
        <v>294.61</v>
      </c>
      <c r="M1376" s="21">
        <v>2749.69</v>
      </c>
      <c r="N1376" s="21">
        <v>1888.29</v>
      </c>
      <c r="O1376" s="21">
        <v>566.79</v>
      </c>
      <c r="P1376" t="s">
        <v>125</v>
      </c>
      <c r="Q1376" t="s">
        <v>120</v>
      </c>
      <c r="R1376" t="s">
        <v>151</v>
      </c>
      <c r="S1376" t="s">
        <v>1583</v>
      </c>
      <c r="T1376" t="s">
        <v>153</v>
      </c>
      <c r="U1376" t="s">
        <v>154</v>
      </c>
      <c r="V1376" t="str">
        <f>IFERROR(INDEX(Products!$C:$C,MATCH(D1376,Products!$A:$A,0)),"Unknown")</f>
        <v>Men Ethnic</v>
      </c>
      <c r="W1376" t="str">
        <f>IFERROR(INDEX(Products!$E:$E,MATCH(D1376,Products!$A:$A,0)),"Unknown")</f>
        <v>Reebok</v>
      </c>
      <c r="X1376" t="str">
        <f>IFERROR(INDEX(Stores!$B:$B,MATCH(E1376,Stores!$A:$A,0)),"Unknown")</f>
        <v>TrendMart Vellore Standard</v>
      </c>
      <c r="Y1376" t="str">
        <f>IFERROR(INDEX(Stores!$E:$E,MATCH(E1376,Stores!$A:$A,0)),"Unknown")</f>
        <v>South Zone 1</v>
      </c>
      <c r="Z1376" t="str">
        <f>IFERROR(INDEX(Customers!$J:$J,MATCH(C1376,Customers!$A:$A,0)),"Unknown")</f>
        <v>Platinum</v>
      </c>
      <c r="AA1376" t="str">
        <f t="shared" si="21"/>
        <v>2024-09</v>
      </c>
      <c r="AB1376" t="str">
        <f>IFERROR(INDEX(Products!$I:$I,MATCH(D1376,Products!$A:$A,0)),"Unknown")</f>
        <v>SUP029</v>
      </c>
    </row>
    <row r="1377" spans="1:28" x14ac:dyDescent="0.25">
      <c r="A1377" t="s">
        <v>3229</v>
      </c>
      <c r="B1377" s="20">
        <v>45723</v>
      </c>
      <c r="C1377" t="s">
        <v>2793</v>
      </c>
      <c r="D1377" t="s">
        <v>3068</v>
      </c>
      <c r="E1377" t="s">
        <v>613</v>
      </c>
      <c r="F1377" t="s">
        <v>550</v>
      </c>
      <c r="G1377">
        <v>2</v>
      </c>
      <c r="H1377" s="21">
        <v>3026.92</v>
      </c>
      <c r="I1377">
        <v>20</v>
      </c>
      <c r="J1377" s="21">
        <v>1210.77</v>
      </c>
      <c r="K1377">
        <v>12</v>
      </c>
      <c r="L1377" s="21">
        <v>581.16999999999996</v>
      </c>
      <c r="M1377" s="21">
        <v>5424.24</v>
      </c>
      <c r="N1377" s="21">
        <v>4299.3999999999996</v>
      </c>
      <c r="O1377" s="21">
        <v>543.66999999999996</v>
      </c>
      <c r="P1377" t="s">
        <v>123</v>
      </c>
      <c r="Q1377" t="s">
        <v>120</v>
      </c>
      <c r="R1377" t="s">
        <v>151</v>
      </c>
      <c r="S1377" t="s">
        <v>1102</v>
      </c>
      <c r="T1377" t="s">
        <v>153</v>
      </c>
      <c r="U1377" t="s">
        <v>154</v>
      </c>
      <c r="V1377" t="str">
        <f>IFERROR(INDEX(Products!$C:$C,MATCH(D1377,Products!$A:$A,0)),"Unknown")</f>
        <v>Footwear</v>
      </c>
      <c r="W1377" t="str">
        <f>IFERROR(INDEX(Products!$E:$E,MATCH(D1377,Products!$A:$A,0)),"Unknown")</f>
        <v>Bata</v>
      </c>
      <c r="X1377" t="str">
        <f>IFERROR(INDEX(Stores!$B:$B,MATCH(E1377,Stores!$A:$A,0)),"Unknown")</f>
        <v>TrendMart Kochi Mall Kiosk</v>
      </c>
      <c r="Y1377" t="str">
        <f>IFERROR(INDEX(Stores!$E:$E,MATCH(E1377,Stores!$A:$A,0)),"Unknown")</f>
        <v>South Zone 1</v>
      </c>
      <c r="Z1377" t="str">
        <f>IFERROR(INDEX(Customers!$J:$J,MATCH(C1377,Customers!$A:$A,0)),"Unknown")</f>
        <v>Platinum</v>
      </c>
      <c r="AA1377" t="str">
        <f t="shared" si="21"/>
        <v>2025-03</v>
      </c>
      <c r="AB1377" t="str">
        <f>IFERROR(INDEX(Products!$I:$I,MATCH(D1377,Products!$A:$A,0)),"Unknown")</f>
        <v>SUP074</v>
      </c>
    </row>
    <row r="1378" spans="1:28" x14ac:dyDescent="0.25">
      <c r="A1378" t="s">
        <v>3230</v>
      </c>
      <c r="B1378" s="20">
        <v>45586</v>
      </c>
      <c r="C1378" t="s">
        <v>1582</v>
      </c>
      <c r="D1378" t="s">
        <v>751</v>
      </c>
      <c r="E1378" t="s">
        <v>1141</v>
      </c>
      <c r="F1378" t="s">
        <v>382</v>
      </c>
      <c r="G1378">
        <v>2</v>
      </c>
      <c r="H1378" s="21">
        <v>1288.1099999999999</v>
      </c>
      <c r="I1378">
        <v>10</v>
      </c>
      <c r="J1378" s="21">
        <v>257.62</v>
      </c>
      <c r="K1378">
        <v>12</v>
      </c>
      <c r="L1378" s="21">
        <v>278.23</v>
      </c>
      <c r="M1378" s="21">
        <v>2596.83</v>
      </c>
      <c r="N1378" s="21">
        <v>1878.26</v>
      </c>
      <c r="O1378" s="21">
        <v>440.34</v>
      </c>
      <c r="P1378" t="s">
        <v>125</v>
      </c>
      <c r="Q1378" t="s">
        <v>120</v>
      </c>
      <c r="R1378" t="s">
        <v>151</v>
      </c>
      <c r="S1378" t="s">
        <v>2046</v>
      </c>
      <c r="T1378" t="s">
        <v>153</v>
      </c>
      <c r="U1378" t="s">
        <v>154</v>
      </c>
      <c r="V1378" t="str">
        <f>IFERROR(INDEX(Products!$C:$C,MATCH(D1378,Products!$A:$A,0)),"Unknown")</f>
        <v>Wallets</v>
      </c>
      <c r="W1378" t="str">
        <f>IFERROR(INDEX(Products!$E:$E,MATCH(D1378,Products!$A:$A,0)),"Unknown")</f>
        <v>Numero Uno</v>
      </c>
      <c r="X1378" t="str">
        <f>IFERROR(INDEX(Stores!$B:$B,MATCH(E1378,Stores!$A:$A,0)),"Unknown")</f>
        <v>TrendMart Kochi Standard</v>
      </c>
      <c r="Y1378" t="str">
        <f>IFERROR(INDEX(Stores!$E:$E,MATCH(E1378,Stores!$A:$A,0)),"Unknown")</f>
        <v>South Zone 1</v>
      </c>
      <c r="Z1378" t="str">
        <f>IFERROR(INDEX(Customers!$J:$J,MATCH(C1378,Customers!$A:$A,0)),"Unknown")</f>
        <v>Gold</v>
      </c>
      <c r="AA1378" t="str">
        <f t="shared" si="21"/>
        <v>2024-10</v>
      </c>
      <c r="AB1378" t="str">
        <f>IFERROR(INDEX(Products!$I:$I,MATCH(D1378,Products!$A:$A,0)),"Unknown")</f>
        <v>SUP029</v>
      </c>
    </row>
    <row r="1379" spans="1:28" x14ac:dyDescent="0.25">
      <c r="A1379" t="s">
        <v>3231</v>
      </c>
      <c r="B1379" s="20">
        <v>45700</v>
      </c>
      <c r="C1379" t="s">
        <v>3232</v>
      </c>
      <c r="D1379" t="s">
        <v>646</v>
      </c>
      <c r="E1379" t="s">
        <v>99</v>
      </c>
      <c r="F1379" t="s">
        <v>596</v>
      </c>
      <c r="G1379">
        <v>4</v>
      </c>
      <c r="H1379" s="21">
        <v>830.26</v>
      </c>
      <c r="I1379">
        <v>30</v>
      </c>
      <c r="J1379" s="21">
        <v>996.31</v>
      </c>
      <c r="K1379">
        <v>5</v>
      </c>
      <c r="L1379" s="21">
        <v>116.24</v>
      </c>
      <c r="M1379" s="21">
        <v>2440.9699999999998</v>
      </c>
      <c r="N1379" s="21">
        <v>2048.44</v>
      </c>
      <c r="O1379" s="21">
        <v>276.29000000000002</v>
      </c>
      <c r="P1379" t="s">
        <v>124</v>
      </c>
      <c r="Q1379" t="s">
        <v>120</v>
      </c>
      <c r="R1379" t="s">
        <v>151</v>
      </c>
      <c r="S1379" t="s">
        <v>1109</v>
      </c>
      <c r="T1379" t="s">
        <v>153</v>
      </c>
      <c r="U1379" t="s">
        <v>154</v>
      </c>
      <c r="V1379" t="str">
        <f>IFERROR(INDEX(Products!$C:$C,MATCH(D1379,Products!$A:$A,0)),"Unknown")</f>
        <v>Sportswear</v>
      </c>
      <c r="W1379" t="str">
        <f>IFERROR(INDEX(Products!$E:$E,MATCH(D1379,Products!$A:$A,0)),"Unknown")</f>
        <v>Fabindia</v>
      </c>
      <c r="X1379" t="str">
        <f>IFERROR(INDEX(Stores!$B:$B,MATCH(E1379,Stores!$A:$A,0)),"Unknown")</f>
        <v>TrendMart Hubballi Standard</v>
      </c>
      <c r="Y1379" t="str">
        <f>IFERROR(INDEX(Stores!$E:$E,MATCH(E1379,Stores!$A:$A,0)),"Unknown")</f>
        <v>South Zone 2</v>
      </c>
      <c r="Z1379" t="str">
        <f>IFERROR(INDEX(Customers!$J:$J,MATCH(C1379,Customers!$A:$A,0)),"Unknown")</f>
        <v>Regular</v>
      </c>
      <c r="AA1379" t="str">
        <f t="shared" si="21"/>
        <v>2025-02</v>
      </c>
      <c r="AB1379" t="str">
        <f>IFERROR(INDEX(Products!$I:$I,MATCH(D1379,Products!$A:$A,0)),"Unknown")</f>
        <v>SUP087</v>
      </c>
    </row>
    <row r="1380" spans="1:28" x14ac:dyDescent="0.25">
      <c r="A1380" t="s">
        <v>3233</v>
      </c>
      <c r="B1380" s="20">
        <v>45571</v>
      </c>
      <c r="C1380" t="s">
        <v>755</v>
      </c>
      <c r="D1380" t="s">
        <v>285</v>
      </c>
      <c r="E1380" t="s">
        <v>1187</v>
      </c>
      <c r="F1380" t="s">
        <v>344</v>
      </c>
      <c r="G1380">
        <v>1</v>
      </c>
      <c r="H1380" s="21">
        <v>761.12</v>
      </c>
      <c r="I1380">
        <v>25</v>
      </c>
      <c r="J1380" s="21">
        <v>190.28</v>
      </c>
      <c r="K1380">
        <v>5</v>
      </c>
      <c r="L1380" s="21">
        <v>28.54</v>
      </c>
      <c r="M1380" s="21">
        <v>599.38</v>
      </c>
      <c r="N1380" s="21">
        <v>499.31</v>
      </c>
      <c r="O1380" s="21">
        <v>71.53</v>
      </c>
      <c r="P1380" t="s">
        <v>124</v>
      </c>
      <c r="Q1380" t="s">
        <v>120</v>
      </c>
      <c r="R1380" t="s">
        <v>151</v>
      </c>
      <c r="S1380" t="s">
        <v>2964</v>
      </c>
      <c r="T1380" t="s">
        <v>161</v>
      </c>
      <c r="U1380" t="s">
        <v>154</v>
      </c>
      <c r="V1380" t="str">
        <f>IFERROR(INDEX(Products!$C:$C,MATCH(D1380,Products!$A:$A,0)),"Unknown")</f>
        <v>Kids Wear</v>
      </c>
      <c r="W1380" t="str">
        <f>IFERROR(INDEX(Products!$E:$E,MATCH(D1380,Products!$A:$A,0)),"Unknown")</f>
        <v>Global Desi</v>
      </c>
      <c r="X1380" t="str">
        <f>IFERROR(INDEX(Stores!$B:$B,MATCH(E1380,Stores!$A:$A,0)),"Unknown")</f>
        <v>TrendMart Vijayawada Mall Kiosk</v>
      </c>
      <c r="Y1380" t="str">
        <f>IFERROR(INDEX(Stores!$E:$E,MATCH(E1380,Stores!$A:$A,0)),"Unknown")</f>
        <v>South Zone 3</v>
      </c>
      <c r="Z1380" t="str">
        <f>IFERROR(INDEX(Customers!$J:$J,MATCH(C1380,Customers!$A:$A,0)),"Unknown")</f>
        <v>Regular</v>
      </c>
      <c r="AA1380" t="str">
        <f t="shared" si="21"/>
        <v>2024-10</v>
      </c>
      <c r="AB1380" t="str">
        <f>IFERROR(INDEX(Products!$I:$I,MATCH(D1380,Products!$A:$A,0)),"Unknown")</f>
        <v>SUP008</v>
      </c>
    </row>
    <row r="1381" spans="1:28" x14ac:dyDescent="0.25">
      <c r="A1381" t="s">
        <v>3234</v>
      </c>
      <c r="B1381" s="20">
        <v>45591</v>
      </c>
      <c r="C1381" t="s">
        <v>1001</v>
      </c>
      <c r="D1381" t="s">
        <v>1256</v>
      </c>
      <c r="E1381" t="s">
        <v>810</v>
      </c>
      <c r="F1381" t="s">
        <v>308</v>
      </c>
      <c r="G1381">
        <v>1</v>
      </c>
      <c r="H1381" s="21">
        <v>907.43</v>
      </c>
      <c r="I1381">
        <v>10</v>
      </c>
      <c r="J1381" s="21">
        <v>90.74</v>
      </c>
      <c r="K1381">
        <v>5</v>
      </c>
      <c r="L1381" s="21">
        <v>40.83</v>
      </c>
      <c r="M1381" s="21">
        <v>857.52</v>
      </c>
      <c r="N1381" s="21">
        <v>637.27</v>
      </c>
      <c r="O1381" s="21">
        <v>179.42</v>
      </c>
      <c r="P1381" t="s">
        <v>125</v>
      </c>
      <c r="Q1381" t="s">
        <v>122</v>
      </c>
      <c r="R1381" t="s">
        <v>151</v>
      </c>
      <c r="S1381" t="s">
        <v>2265</v>
      </c>
      <c r="T1381" t="s">
        <v>161</v>
      </c>
      <c r="U1381" t="s">
        <v>154</v>
      </c>
      <c r="V1381" t="str">
        <f>IFERROR(INDEX(Products!$C:$C,MATCH(D1381,Products!$A:$A,0)),"Unknown")</f>
        <v>Women Jeans</v>
      </c>
      <c r="W1381" t="str">
        <f>IFERROR(INDEX(Products!$E:$E,MATCH(D1381,Products!$A:$A,0)),"Unknown")</f>
        <v>Biba</v>
      </c>
      <c r="X1381" t="str">
        <f>IFERROR(INDEX(Stores!$B:$B,MATCH(E1381,Stores!$A:$A,0)),"Unknown")</f>
        <v>TrendMart Nizamabad Standard</v>
      </c>
      <c r="Y1381" t="str">
        <f>IFERROR(INDEX(Stores!$E:$E,MATCH(E1381,Stores!$A:$A,0)),"Unknown")</f>
        <v>South Zone 2</v>
      </c>
      <c r="Z1381" t="str">
        <f>IFERROR(INDEX(Customers!$J:$J,MATCH(C1381,Customers!$A:$A,0)),"Unknown")</f>
        <v>Silver</v>
      </c>
      <c r="AA1381" t="str">
        <f t="shared" si="21"/>
        <v>2024-10</v>
      </c>
      <c r="AB1381" t="str">
        <f>IFERROR(INDEX(Products!$I:$I,MATCH(D1381,Products!$A:$A,0)),"Unknown")</f>
        <v>SUP040</v>
      </c>
    </row>
    <row r="1382" spans="1:28" x14ac:dyDescent="0.25">
      <c r="A1382" t="s">
        <v>3235</v>
      </c>
      <c r="B1382" s="20">
        <v>45389</v>
      </c>
      <c r="C1382" t="s">
        <v>3236</v>
      </c>
      <c r="D1382" t="s">
        <v>1044</v>
      </c>
      <c r="E1382" t="s">
        <v>181</v>
      </c>
      <c r="F1382" t="s">
        <v>201</v>
      </c>
      <c r="G1382">
        <v>3</v>
      </c>
      <c r="H1382" s="21">
        <v>599.1</v>
      </c>
      <c r="I1382">
        <v>0</v>
      </c>
      <c r="J1382" s="21">
        <v>0</v>
      </c>
      <c r="K1382">
        <v>5</v>
      </c>
      <c r="L1382" s="21">
        <v>89.86</v>
      </c>
      <c r="M1382" s="21">
        <v>1887.16</v>
      </c>
      <c r="N1382" s="21">
        <v>1005.45</v>
      </c>
      <c r="O1382" s="21">
        <v>791.85</v>
      </c>
      <c r="P1382" t="s">
        <v>125</v>
      </c>
      <c r="Q1382" t="s">
        <v>122</v>
      </c>
      <c r="R1382" t="s">
        <v>151</v>
      </c>
      <c r="S1382" t="s">
        <v>1829</v>
      </c>
      <c r="T1382" t="s">
        <v>161</v>
      </c>
      <c r="U1382" t="s">
        <v>154</v>
      </c>
      <c r="V1382" t="str">
        <f>IFERROR(INDEX(Products!$C:$C,MATCH(D1382,Products!$A:$A,0)),"Unknown")</f>
        <v>Men T-Shirts</v>
      </c>
      <c r="W1382" t="str">
        <f>IFERROR(INDEX(Products!$E:$E,MATCH(D1382,Products!$A:$A,0)),"Unknown")</f>
        <v>Mufti</v>
      </c>
      <c r="X1382" t="str">
        <f>IFERROR(INDEX(Stores!$B:$B,MATCH(E1382,Stores!$A:$A,0)),"Unknown")</f>
        <v>TrendMart Kurnool High Street</v>
      </c>
      <c r="Y1382" t="str">
        <f>IFERROR(INDEX(Stores!$E:$E,MATCH(E1382,Stores!$A:$A,0)),"Unknown")</f>
        <v>South Zone 3</v>
      </c>
      <c r="Z1382" t="str">
        <f>IFERROR(INDEX(Customers!$J:$J,MATCH(C1382,Customers!$A:$A,0)),"Unknown")</f>
        <v>Regular</v>
      </c>
      <c r="AA1382" t="str">
        <f t="shared" si="21"/>
        <v>2024-04</v>
      </c>
      <c r="AB1382" t="str">
        <f>IFERROR(INDEX(Products!$I:$I,MATCH(D1382,Products!$A:$A,0)),"Unknown")</f>
        <v>SUP042</v>
      </c>
    </row>
    <row r="1383" spans="1:28" x14ac:dyDescent="0.25">
      <c r="A1383" t="s">
        <v>3237</v>
      </c>
      <c r="B1383" s="20">
        <v>45566</v>
      </c>
      <c r="C1383" t="s">
        <v>2212</v>
      </c>
      <c r="D1383" t="s">
        <v>1407</v>
      </c>
      <c r="E1383" t="s">
        <v>280</v>
      </c>
      <c r="F1383" t="s">
        <v>232</v>
      </c>
      <c r="G1383">
        <v>2</v>
      </c>
      <c r="H1383" s="21">
        <v>1129.44</v>
      </c>
      <c r="I1383">
        <v>0</v>
      </c>
      <c r="J1383" s="21">
        <v>0</v>
      </c>
      <c r="K1383">
        <v>12</v>
      </c>
      <c r="L1383" s="21">
        <v>271.07</v>
      </c>
      <c r="M1383" s="21">
        <v>2529.9499999999998</v>
      </c>
      <c r="N1383" s="21">
        <v>1530.46</v>
      </c>
      <c r="O1383" s="21">
        <v>728.42</v>
      </c>
      <c r="P1383" t="s">
        <v>121</v>
      </c>
      <c r="Q1383" t="s">
        <v>122</v>
      </c>
      <c r="R1383" t="s">
        <v>151</v>
      </c>
      <c r="S1383" t="s">
        <v>2512</v>
      </c>
      <c r="T1383" t="s">
        <v>153</v>
      </c>
      <c r="U1383" t="s">
        <v>154</v>
      </c>
      <c r="V1383" t="str">
        <f>IFERROR(INDEX(Products!$C:$C,MATCH(D1383,Products!$A:$A,0)),"Unknown")</f>
        <v>Belts</v>
      </c>
      <c r="W1383" t="str">
        <f>IFERROR(INDEX(Products!$E:$E,MATCH(D1383,Products!$A:$A,0)),"Unknown")</f>
        <v>Pantaloons</v>
      </c>
      <c r="X1383" t="str">
        <f>IFERROR(INDEX(Stores!$B:$B,MATCH(E1383,Stores!$A:$A,0)),"Unknown")</f>
        <v>TrendMart Chennai Standard</v>
      </c>
      <c r="Y1383" t="str">
        <f>IFERROR(INDEX(Stores!$E:$E,MATCH(E1383,Stores!$A:$A,0)),"Unknown")</f>
        <v>South Zone 1</v>
      </c>
      <c r="Z1383" t="str">
        <f>IFERROR(INDEX(Customers!$J:$J,MATCH(C1383,Customers!$A:$A,0)),"Unknown")</f>
        <v>Silver</v>
      </c>
      <c r="AA1383" t="str">
        <f t="shared" si="21"/>
        <v>2024-10</v>
      </c>
      <c r="AB1383" t="str">
        <f>IFERROR(INDEX(Products!$I:$I,MATCH(D1383,Products!$A:$A,0)),"Unknown")</f>
        <v>SUP030</v>
      </c>
    </row>
    <row r="1384" spans="1:28" x14ac:dyDescent="0.25">
      <c r="A1384" t="s">
        <v>3238</v>
      </c>
      <c r="B1384" s="20">
        <v>45506</v>
      </c>
      <c r="C1384" t="s">
        <v>788</v>
      </c>
      <c r="D1384" t="s">
        <v>1278</v>
      </c>
      <c r="E1384" t="s">
        <v>391</v>
      </c>
      <c r="F1384" t="s">
        <v>297</v>
      </c>
      <c r="G1384">
        <v>1</v>
      </c>
      <c r="H1384" s="21">
        <v>5100.32</v>
      </c>
      <c r="I1384">
        <v>5</v>
      </c>
      <c r="J1384" s="21">
        <v>255.02</v>
      </c>
      <c r="K1384">
        <v>12</v>
      </c>
      <c r="L1384" s="21">
        <v>581.44000000000005</v>
      </c>
      <c r="M1384" s="21">
        <v>5426.74</v>
      </c>
      <c r="N1384" s="21">
        <v>3850.97</v>
      </c>
      <c r="O1384" s="21">
        <v>994.33</v>
      </c>
      <c r="P1384" t="s">
        <v>124</v>
      </c>
      <c r="Q1384" t="s">
        <v>120</v>
      </c>
      <c r="R1384" t="s">
        <v>151</v>
      </c>
      <c r="S1384" t="s">
        <v>3239</v>
      </c>
      <c r="T1384" t="s">
        <v>153</v>
      </c>
      <c r="U1384" t="s">
        <v>154</v>
      </c>
      <c r="V1384" t="str">
        <f>IFERROR(INDEX(Products!$C:$C,MATCH(D1384,Products!$A:$A,0)),"Unknown")</f>
        <v>Watches</v>
      </c>
      <c r="W1384" t="str">
        <f>IFERROR(INDEX(Products!$E:$E,MATCH(D1384,Products!$A:$A,0)),"Unknown")</f>
        <v>Aurelia</v>
      </c>
      <c r="X1384" t="str">
        <f>IFERROR(INDEX(Stores!$B:$B,MATCH(E1384,Stores!$A:$A,0)),"Unknown")</f>
        <v>TrendMart Warangal High Street</v>
      </c>
      <c r="Y1384" t="str">
        <f>IFERROR(INDEX(Stores!$E:$E,MATCH(E1384,Stores!$A:$A,0)),"Unknown")</f>
        <v>South Zone 2</v>
      </c>
      <c r="Z1384" t="str">
        <f>IFERROR(INDEX(Customers!$J:$J,MATCH(C1384,Customers!$A:$A,0)),"Unknown")</f>
        <v>Silver</v>
      </c>
      <c r="AA1384" t="str">
        <f t="shared" si="21"/>
        <v>2024-08</v>
      </c>
      <c r="AB1384" t="str">
        <f>IFERROR(INDEX(Products!$I:$I,MATCH(D1384,Products!$A:$A,0)),"Unknown")</f>
        <v>SUP079</v>
      </c>
    </row>
    <row r="1385" spans="1:28" x14ac:dyDescent="0.25">
      <c r="A1385" t="s">
        <v>3240</v>
      </c>
      <c r="B1385" s="20">
        <v>45621</v>
      </c>
      <c r="C1385" t="s">
        <v>1410</v>
      </c>
      <c r="D1385" t="s">
        <v>531</v>
      </c>
      <c r="E1385" t="s">
        <v>1962</v>
      </c>
      <c r="F1385" t="s">
        <v>335</v>
      </c>
      <c r="G1385">
        <v>3</v>
      </c>
      <c r="H1385" s="21">
        <v>3226.21</v>
      </c>
      <c r="I1385">
        <v>10</v>
      </c>
      <c r="J1385" s="21">
        <v>967.86</v>
      </c>
      <c r="K1385">
        <v>12</v>
      </c>
      <c r="L1385" s="21">
        <v>1045.29</v>
      </c>
      <c r="M1385" s="21">
        <v>9756.06</v>
      </c>
      <c r="N1385" s="21">
        <v>6102.03</v>
      </c>
      <c r="O1385" s="21">
        <v>2608.7399999999998</v>
      </c>
      <c r="P1385" t="s">
        <v>121</v>
      </c>
      <c r="Q1385" t="s">
        <v>122</v>
      </c>
      <c r="R1385" t="s">
        <v>313</v>
      </c>
      <c r="S1385" t="s">
        <v>3034</v>
      </c>
      <c r="T1385" t="s">
        <v>153</v>
      </c>
      <c r="U1385" t="s">
        <v>154</v>
      </c>
      <c r="V1385" t="str">
        <f>IFERROR(INDEX(Products!$C:$C,MATCH(D1385,Products!$A:$A,0)),"Unknown")</f>
        <v>Handbags</v>
      </c>
      <c r="W1385" t="str">
        <f>IFERROR(INDEX(Products!$E:$E,MATCH(D1385,Products!$A:$A,0)),"Unknown")</f>
        <v>GRT Jewellers</v>
      </c>
      <c r="X1385" t="str">
        <f>IFERROR(INDEX(Stores!$B:$B,MATCH(E1385,Stores!$A:$A,0)),"Unknown")</f>
        <v>TrendMart Guntur High Street</v>
      </c>
      <c r="Y1385" t="str">
        <f>IFERROR(INDEX(Stores!$E:$E,MATCH(E1385,Stores!$A:$A,0)),"Unknown")</f>
        <v>South Zone 3</v>
      </c>
      <c r="Z1385" t="str">
        <f>IFERROR(INDEX(Customers!$J:$J,MATCH(C1385,Customers!$A:$A,0)),"Unknown")</f>
        <v>Gold</v>
      </c>
      <c r="AA1385" t="str">
        <f t="shared" si="21"/>
        <v>2024-11</v>
      </c>
      <c r="AB1385" t="str">
        <f>IFERROR(INDEX(Products!$I:$I,MATCH(D1385,Products!$A:$A,0)),"Unknown")</f>
        <v>SUP047</v>
      </c>
    </row>
    <row r="1386" spans="1:28" x14ac:dyDescent="0.25">
      <c r="A1386" t="s">
        <v>3241</v>
      </c>
      <c r="B1386" s="20">
        <v>45548</v>
      </c>
      <c r="C1386" t="s">
        <v>2228</v>
      </c>
      <c r="D1386" t="s">
        <v>926</v>
      </c>
      <c r="E1386" t="s">
        <v>752</v>
      </c>
      <c r="F1386" t="s">
        <v>232</v>
      </c>
      <c r="G1386">
        <v>1</v>
      </c>
      <c r="H1386" s="21">
        <v>1168.8699999999999</v>
      </c>
      <c r="I1386">
        <v>5</v>
      </c>
      <c r="J1386" s="21">
        <v>58.44</v>
      </c>
      <c r="K1386">
        <v>12</v>
      </c>
      <c r="L1386" s="21">
        <v>133.25</v>
      </c>
      <c r="M1386" s="21">
        <v>1243.68</v>
      </c>
      <c r="N1386" s="21">
        <v>810.62</v>
      </c>
      <c r="O1386" s="21">
        <v>299.81</v>
      </c>
      <c r="P1386" t="s">
        <v>123</v>
      </c>
      <c r="Q1386" t="s">
        <v>122</v>
      </c>
      <c r="R1386" t="s">
        <v>151</v>
      </c>
      <c r="S1386" t="s">
        <v>2072</v>
      </c>
      <c r="T1386" t="s">
        <v>153</v>
      </c>
      <c r="U1386" t="s">
        <v>154</v>
      </c>
      <c r="V1386" t="str">
        <f>IFERROR(INDEX(Products!$C:$C,MATCH(D1386,Products!$A:$A,0)),"Unknown")</f>
        <v>Women Dresses</v>
      </c>
      <c r="W1386" t="str">
        <f>IFERROR(INDEX(Products!$E:$E,MATCH(D1386,Products!$A:$A,0)),"Unknown")</f>
        <v>Fabindia</v>
      </c>
      <c r="X1386" t="str">
        <f>IFERROR(INDEX(Stores!$B:$B,MATCH(E1386,Stores!$A:$A,0)),"Unknown")</f>
        <v>TrendMart Dindigul High Street</v>
      </c>
      <c r="Y1386" t="str">
        <f>IFERROR(INDEX(Stores!$E:$E,MATCH(E1386,Stores!$A:$A,0)),"Unknown")</f>
        <v>South Zone 1</v>
      </c>
      <c r="Z1386" t="str">
        <f>IFERROR(INDEX(Customers!$J:$J,MATCH(C1386,Customers!$A:$A,0)),"Unknown")</f>
        <v>Regular</v>
      </c>
      <c r="AA1386" t="str">
        <f t="shared" si="21"/>
        <v>2024-09</v>
      </c>
      <c r="AB1386" t="str">
        <f>IFERROR(INDEX(Products!$I:$I,MATCH(D1386,Products!$A:$A,0)),"Unknown")</f>
        <v>SUP059</v>
      </c>
    </row>
    <row r="1387" spans="1:28" x14ac:dyDescent="0.25">
      <c r="A1387" t="s">
        <v>3242</v>
      </c>
      <c r="B1387" s="20">
        <v>45582</v>
      </c>
      <c r="C1387" t="s">
        <v>3243</v>
      </c>
      <c r="D1387" t="s">
        <v>1321</v>
      </c>
      <c r="E1387" t="s">
        <v>351</v>
      </c>
      <c r="F1387" t="s">
        <v>286</v>
      </c>
      <c r="G1387">
        <v>2</v>
      </c>
      <c r="H1387" s="21">
        <v>2529.58</v>
      </c>
      <c r="I1387">
        <v>15</v>
      </c>
      <c r="J1387" s="21">
        <v>758.87</v>
      </c>
      <c r="K1387">
        <v>12</v>
      </c>
      <c r="L1387" s="21">
        <v>516.03</v>
      </c>
      <c r="M1387" s="21">
        <v>4816.32</v>
      </c>
      <c r="N1387" s="21">
        <v>3459.44</v>
      </c>
      <c r="O1387" s="21">
        <v>840.85</v>
      </c>
      <c r="P1387" t="s">
        <v>121</v>
      </c>
      <c r="Q1387" t="s">
        <v>122</v>
      </c>
      <c r="R1387" t="s">
        <v>151</v>
      </c>
      <c r="S1387" t="s">
        <v>2149</v>
      </c>
      <c r="T1387" t="s">
        <v>153</v>
      </c>
      <c r="U1387" t="s">
        <v>154</v>
      </c>
      <c r="V1387" t="str">
        <f>IFERROR(INDEX(Products!$C:$C,MATCH(D1387,Products!$A:$A,0)),"Unknown")</f>
        <v>Men Ethnic</v>
      </c>
      <c r="W1387" t="str">
        <f>IFERROR(INDEX(Products!$E:$E,MATCH(D1387,Products!$A:$A,0)),"Unknown")</f>
        <v>Nalli Silks</v>
      </c>
      <c r="X1387" t="str">
        <f>IFERROR(INDEX(Stores!$B:$B,MATCH(E1387,Stores!$A:$A,0)),"Unknown")</f>
        <v>TrendMart Kozhikode High Street</v>
      </c>
      <c r="Y1387" t="str">
        <f>IFERROR(INDEX(Stores!$E:$E,MATCH(E1387,Stores!$A:$A,0)),"Unknown")</f>
        <v>South Zone 1</v>
      </c>
      <c r="Z1387" t="str">
        <f>IFERROR(INDEX(Customers!$J:$J,MATCH(C1387,Customers!$A:$A,0)),"Unknown")</f>
        <v>Gold</v>
      </c>
      <c r="AA1387" t="str">
        <f t="shared" si="21"/>
        <v>2024-10</v>
      </c>
      <c r="AB1387" t="str">
        <f>IFERROR(INDEX(Products!$I:$I,MATCH(D1387,Products!$A:$A,0)),"Unknown")</f>
        <v>SUP018</v>
      </c>
    </row>
    <row r="1388" spans="1:28" x14ac:dyDescent="0.25">
      <c r="A1388" t="s">
        <v>3244</v>
      </c>
      <c r="B1388" s="20">
        <v>45632</v>
      </c>
      <c r="C1388" t="s">
        <v>3245</v>
      </c>
      <c r="D1388" t="s">
        <v>494</v>
      </c>
      <c r="E1388" t="s">
        <v>416</v>
      </c>
      <c r="F1388" t="s">
        <v>297</v>
      </c>
      <c r="G1388">
        <v>2</v>
      </c>
      <c r="H1388" s="21">
        <v>1691.03</v>
      </c>
      <c r="I1388">
        <v>20</v>
      </c>
      <c r="J1388" s="21">
        <v>676.41</v>
      </c>
      <c r="K1388">
        <v>12</v>
      </c>
      <c r="L1388" s="21">
        <v>324.68</v>
      </c>
      <c r="M1388" s="21">
        <v>3030.33</v>
      </c>
      <c r="N1388" s="21">
        <v>2281.8000000000002</v>
      </c>
      <c r="O1388" s="21">
        <v>423.85</v>
      </c>
      <c r="P1388" t="s">
        <v>125</v>
      </c>
      <c r="Q1388" t="s">
        <v>120</v>
      </c>
      <c r="R1388" t="s">
        <v>151</v>
      </c>
      <c r="S1388" t="s">
        <v>207</v>
      </c>
      <c r="T1388" t="s">
        <v>153</v>
      </c>
      <c r="U1388" t="s">
        <v>154</v>
      </c>
      <c r="V1388" t="str">
        <f>IFERROR(INDEX(Products!$C:$C,MATCH(D1388,Products!$A:$A,0)),"Unknown")</f>
        <v>Women Dresses</v>
      </c>
      <c r="W1388" t="str">
        <f>IFERROR(INDEX(Products!$E:$E,MATCH(D1388,Products!$A:$A,0)),"Unknown")</f>
        <v>Reebok</v>
      </c>
      <c r="X1388" t="str">
        <f>IFERROR(INDEX(Stores!$B:$B,MATCH(E1388,Stores!$A:$A,0)),"Unknown")</f>
        <v>TrendMart Dindigul Standard</v>
      </c>
      <c r="Y1388" t="str">
        <f>IFERROR(INDEX(Stores!$E:$E,MATCH(E1388,Stores!$A:$A,0)),"Unknown")</f>
        <v>South Zone 1</v>
      </c>
      <c r="Z1388" t="str">
        <f>IFERROR(INDEX(Customers!$J:$J,MATCH(C1388,Customers!$A:$A,0)),"Unknown")</f>
        <v>Silver</v>
      </c>
      <c r="AA1388" t="str">
        <f t="shared" si="21"/>
        <v>2024-12</v>
      </c>
      <c r="AB1388" t="str">
        <f>IFERROR(INDEX(Products!$I:$I,MATCH(D1388,Products!$A:$A,0)),"Unknown")</f>
        <v>SUP085</v>
      </c>
    </row>
    <row r="1389" spans="1:28" x14ac:dyDescent="0.25">
      <c r="A1389" t="s">
        <v>3246</v>
      </c>
      <c r="B1389" s="20">
        <v>45712</v>
      </c>
      <c r="C1389" t="s">
        <v>423</v>
      </c>
      <c r="D1389" t="s">
        <v>1160</v>
      </c>
      <c r="E1389" t="s">
        <v>934</v>
      </c>
      <c r="F1389" t="s">
        <v>281</v>
      </c>
      <c r="G1389">
        <v>2</v>
      </c>
      <c r="H1389" s="21">
        <v>1375.51</v>
      </c>
      <c r="I1389">
        <v>20</v>
      </c>
      <c r="J1389" s="21">
        <v>550.20000000000005</v>
      </c>
      <c r="K1389">
        <v>12</v>
      </c>
      <c r="L1389" s="21">
        <v>264.10000000000002</v>
      </c>
      <c r="M1389" s="21">
        <v>2464.92</v>
      </c>
      <c r="N1389" s="21">
        <v>1950.72</v>
      </c>
      <c r="O1389" s="21">
        <v>250.1</v>
      </c>
      <c r="P1389" t="s">
        <v>121</v>
      </c>
      <c r="Q1389" t="s">
        <v>120</v>
      </c>
      <c r="R1389" t="s">
        <v>151</v>
      </c>
      <c r="S1389" t="s">
        <v>217</v>
      </c>
      <c r="T1389" t="s">
        <v>153</v>
      </c>
      <c r="U1389" t="s">
        <v>154</v>
      </c>
      <c r="V1389" t="str">
        <f>IFERROR(INDEX(Products!$C:$C,MATCH(D1389,Products!$A:$A,0)),"Unknown")</f>
        <v>Men Jeans</v>
      </c>
      <c r="W1389" t="str">
        <f>IFERROR(INDEX(Products!$E:$E,MATCH(D1389,Products!$A:$A,0)),"Unknown")</f>
        <v>Skechers</v>
      </c>
      <c r="X1389" t="str">
        <f>IFERROR(INDEX(Stores!$B:$B,MATCH(E1389,Stores!$A:$A,0)),"Unknown")</f>
        <v>TrendMart Bengaluru High Street</v>
      </c>
      <c r="Y1389" t="str">
        <f>IFERROR(INDEX(Stores!$E:$E,MATCH(E1389,Stores!$A:$A,0)),"Unknown")</f>
        <v>South Zone 2</v>
      </c>
      <c r="Z1389" t="str">
        <f>IFERROR(INDEX(Customers!$J:$J,MATCH(C1389,Customers!$A:$A,0)),"Unknown")</f>
        <v>Gold</v>
      </c>
      <c r="AA1389" t="str">
        <f t="shared" si="21"/>
        <v>2025-02</v>
      </c>
      <c r="AB1389" t="str">
        <f>IFERROR(INDEX(Products!$I:$I,MATCH(D1389,Products!$A:$A,0)),"Unknown")</f>
        <v>SUP013</v>
      </c>
    </row>
    <row r="1390" spans="1:28" x14ac:dyDescent="0.25">
      <c r="A1390" t="s">
        <v>3247</v>
      </c>
      <c r="B1390" s="20">
        <v>45438</v>
      </c>
      <c r="C1390" t="s">
        <v>3248</v>
      </c>
      <c r="D1390" t="s">
        <v>420</v>
      </c>
      <c r="E1390" t="s">
        <v>1002</v>
      </c>
      <c r="F1390" t="s">
        <v>403</v>
      </c>
      <c r="G1390">
        <v>2</v>
      </c>
      <c r="H1390" s="21">
        <v>1176.08</v>
      </c>
      <c r="I1390">
        <v>0</v>
      </c>
      <c r="J1390" s="21">
        <v>0</v>
      </c>
      <c r="K1390">
        <v>12</v>
      </c>
      <c r="L1390" s="21">
        <v>282.26</v>
      </c>
      <c r="M1390" s="21">
        <v>2634.42</v>
      </c>
      <c r="N1390" s="21">
        <v>1732.12</v>
      </c>
      <c r="O1390" s="21">
        <v>620.04</v>
      </c>
      <c r="P1390" t="s">
        <v>126</v>
      </c>
      <c r="Q1390" t="s">
        <v>120</v>
      </c>
      <c r="R1390" t="s">
        <v>151</v>
      </c>
      <c r="S1390" t="s">
        <v>1179</v>
      </c>
      <c r="T1390" t="s">
        <v>161</v>
      </c>
      <c r="U1390" t="s">
        <v>154</v>
      </c>
      <c r="V1390" t="str">
        <f>IFERROR(INDEX(Products!$C:$C,MATCH(D1390,Products!$A:$A,0)),"Unknown")</f>
        <v>Men Jeans</v>
      </c>
      <c r="W1390" t="str">
        <f>IFERROR(INDEX(Products!$E:$E,MATCH(D1390,Products!$A:$A,0)),"Unknown")</f>
        <v>Raymond</v>
      </c>
      <c r="X1390" t="str">
        <f>IFERROR(INDEX(Stores!$B:$B,MATCH(E1390,Stores!$A:$A,0)),"Unknown")</f>
        <v>TrendMart Coimbatore Mall Kiosk</v>
      </c>
      <c r="Y1390" t="str">
        <f>IFERROR(INDEX(Stores!$E:$E,MATCH(E1390,Stores!$A:$A,0)),"Unknown")</f>
        <v>South Zone 1</v>
      </c>
      <c r="Z1390" t="str">
        <f>IFERROR(INDEX(Customers!$J:$J,MATCH(C1390,Customers!$A:$A,0)),"Unknown")</f>
        <v>Platinum</v>
      </c>
      <c r="AA1390" t="str">
        <f t="shared" si="21"/>
        <v>2024-05</v>
      </c>
      <c r="AB1390" t="str">
        <f>IFERROR(INDEX(Products!$I:$I,MATCH(D1390,Products!$A:$A,0)),"Unknown")</f>
        <v>SUP060</v>
      </c>
    </row>
    <row r="1391" spans="1:28" x14ac:dyDescent="0.25">
      <c r="A1391" t="s">
        <v>3249</v>
      </c>
      <c r="B1391" s="20">
        <v>45388</v>
      </c>
      <c r="C1391" t="s">
        <v>2391</v>
      </c>
      <c r="D1391" t="s">
        <v>1052</v>
      </c>
      <c r="E1391" t="s">
        <v>241</v>
      </c>
      <c r="F1391" t="s">
        <v>286</v>
      </c>
      <c r="G1391">
        <v>3</v>
      </c>
      <c r="H1391" s="21">
        <v>2735.99</v>
      </c>
      <c r="I1391">
        <v>15</v>
      </c>
      <c r="J1391" s="21">
        <v>1231.2</v>
      </c>
      <c r="K1391">
        <v>12</v>
      </c>
      <c r="L1391" s="21">
        <v>837.21</v>
      </c>
      <c r="M1391" s="21">
        <v>7813.98</v>
      </c>
      <c r="N1391" s="21">
        <v>5640.42</v>
      </c>
      <c r="O1391" s="21">
        <v>1336.35</v>
      </c>
      <c r="P1391" t="s">
        <v>121</v>
      </c>
      <c r="Q1391" t="s">
        <v>120</v>
      </c>
      <c r="R1391" t="s">
        <v>151</v>
      </c>
      <c r="S1391" t="s">
        <v>1460</v>
      </c>
      <c r="T1391" t="s">
        <v>161</v>
      </c>
      <c r="U1391" t="s">
        <v>154</v>
      </c>
      <c r="V1391" t="str">
        <f>IFERROR(INDEX(Products!$C:$C,MATCH(D1391,Products!$A:$A,0)),"Unknown")</f>
        <v>Men Ethnic</v>
      </c>
      <c r="W1391" t="str">
        <f>IFERROR(INDEX(Products!$E:$E,MATCH(D1391,Products!$A:$A,0)),"Unknown")</f>
        <v>Blackberrys</v>
      </c>
      <c r="X1391" t="str">
        <f>IFERROR(INDEX(Stores!$B:$B,MATCH(E1391,Stores!$A:$A,0)),"Unknown")</f>
        <v>TrendMart Nizamabad Mall Kiosk</v>
      </c>
      <c r="Y1391" t="str">
        <f>IFERROR(INDEX(Stores!$E:$E,MATCH(E1391,Stores!$A:$A,0)),"Unknown")</f>
        <v>South Zone 2</v>
      </c>
      <c r="Z1391" t="str">
        <f>IFERROR(INDEX(Customers!$J:$J,MATCH(C1391,Customers!$A:$A,0)),"Unknown")</f>
        <v>Silver</v>
      </c>
      <c r="AA1391" t="str">
        <f t="shared" si="21"/>
        <v>2024-04</v>
      </c>
      <c r="AB1391" t="str">
        <f>IFERROR(INDEX(Products!$I:$I,MATCH(D1391,Products!$A:$A,0)),"Unknown")</f>
        <v>SUP020</v>
      </c>
    </row>
    <row r="1392" spans="1:28" x14ac:dyDescent="0.25">
      <c r="A1392" t="s">
        <v>3250</v>
      </c>
      <c r="B1392" s="20">
        <v>45486</v>
      </c>
      <c r="C1392" t="s">
        <v>2471</v>
      </c>
      <c r="D1392" t="s">
        <v>1278</v>
      </c>
      <c r="E1392" t="s">
        <v>515</v>
      </c>
      <c r="F1392" t="s">
        <v>182</v>
      </c>
      <c r="G1392">
        <v>2</v>
      </c>
      <c r="H1392" s="21">
        <v>5478.34</v>
      </c>
      <c r="I1392">
        <v>0</v>
      </c>
      <c r="J1392" s="21">
        <v>0</v>
      </c>
      <c r="K1392">
        <v>12</v>
      </c>
      <c r="L1392" s="21">
        <v>1314.8</v>
      </c>
      <c r="M1392" s="21">
        <v>12271.48</v>
      </c>
      <c r="N1392" s="21">
        <v>7701.94</v>
      </c>
      <c r="O1392" s="21">
        <v>3254.74</v>
      </c>
      <c r="P1392" t="s">
        <v>123</v>
      </c>
      <c r="Q1392" t="s">
        <v>122</v>
      </c>
      <c r="R1392" t="s">
        <v>151</v>
      </c>
      <c r="S1392" t="s">
        <v>2288</v>
      </c>
      <c r="T1392" t="s">
        <v>161</v>
      </c>
      <c r="U1392" t="s">
        <v>154</v>
      </c>
      <c r="V1392" t="str">
        <f>IFERROR(INDEX(Products!$C:$C,MATCH(D1392,Products!$A:$A,0)),"Unknown")</f>
        <v>Watches</v>
      </c>
      <c r="W1392" t="str">
        <f>IFERROR(INDEX(Products!$E:$E,MATCH(D1392,Products!$A:$A,0)),"Unknown")</f>
        <v>Aurelia</v>
      </c>
      <c r="X1392" t="str">
        <f>IFERROR(INDEX(Stores!$B:$B,MATCH(E1392,Stores!$A:$A,0)),"Unknown")</f>
        <v>TrendMart Kochi High Street</v>
      </c>
      <c r="Y1392" t="str">
        <f>IFERROR(INDEX(Stores!$E:$E,MATCH(E1392,Stores!$A:$A,0)),"Unknown")</f>
        <v>South Zone 1</v>
      </c>
      <c r="Z1392" t="str">
        <f>IFERROR(INDEX(Customers!$J:$J,MATCH(C1392,Customers!$A:$A,0)),"Unknown")</f>
        <v>Regular</v>
      </c>
      <c r="AA1392" t="str">
        <f t="shared" si="21"/>
        <v>2024-07</v>
      </c>
      <c r="AB1392" t="str">
        <f>IFERROR(INDEX(Products!$I:$I,MATCH(D1392,Products!$A:$A,0)),"Unknown")</f>
        <v>SUP079</v>
      </c>
    </row>
    <row r="1393" spans="1:28" x14ac:dyDescent="0.25">
      <c r="A1393" t="s">
        <v>3251</v>
      </c>
      <c r="B1393" s="20">
        <v>45551</v>
      </c>
      <c r="C1393" t="s">
        <v>1770</v>
      </c>
      <c r="D1393" t="s">
        <v>2402</v>
      </c>
      <c r="E1393" t="s">
        <v>83</v>
      </c>
      <c r="F1393" t="s">
        <v>303</v>
      </c>
      <c r="G1393">
        <v>2</v>
      </c>
      <c r="H1393" s="21">
        <v>1915.52</v>
      </c>
      <c r="I1393">
        <v>25</v>
      </c>
      <c r="J1393" s="21">
        <v>957.76</v>
      </c>
      <c r="K1393">
        <v>12</v>
      </c>
      <c r="L1393" s="21">
        <v>344.79</v>
      </c>
      <c r="M1393" s="21">
        <v>3218.07</v>
      </c>
      <c r="N1393" s="21">
        <v>2731.3</v>
      </c>
      <c r="O1393" s="21">
        <v>141.97999999999999</v>
      </c>
      <c r="P1393" t="s">
        <v>123</v>
      </c>
      <c r="Q1393" t="s">
        <v>122</v>
      </c>
      <c r="R1393" t="s">
        <v>151</v>
      </c>
      <c r="S1393" t="s">
        <v>478</v>
      </c>
      <c r="T1393" t="s">
        <v>153</v>
      </c>
      <c r="U1393" t="s">
        <v>154</v>
      </c>
      <c r="V1393" t="str">
        <f>IFERROR(INDEX(Products!$C:$C,MATCH(D1393,Products!$A:$A,0)),"Unknown")</f>
        <v>Handbags</v>
      </c>
      <c r="W1393" t="str">
        <f>IFERROR(INDEX(Products!$E:$E,MATCH(D1393,Products!$A:$A,0)),"Unknown")</f>
        <v>Allen Solly</v>
      </c>
      <c r="X1393" t="str">
        <f>IFERROR(INDEX(Stores!$B:$B,MATCH(E1393,Stores!$A:$A,0)),"Unknown")</f>
        <v>TrendMart Vellore Standard</v>
      </c>
      <c r="Y1393" t="str">
        <f>IFERROR(INDEX(Stores!$E:$E,MATCH(E1393,Stores!$A:$A,0)),"Unknown")</f>
        <v>South Zone 1</v>
      </c>
      <c r="Z1393" t="str">
        <f>IFERROR(INDEX(Customers!$J:$J,MATCH(C1393,Customers!$A:$A,0)),"Unknown")</f>
        <v>Silver</v>
      </c>
      <c r="AA1393" t="str">
        <f t="shared" si="21"/>
        <v>2024-09</v>
      </c>
      <c r="AB1393" t="str">
        <f>IFERROR(INDEX(Products!$I:$I,MATCH(D1393,Products!$A:$A,0)),"Unknown")</f>
        <v>SUP043</v>
      </c>
    </row>
    <row r="1394" spans="1:28" x14ac:dyDescent="0.25">
      <c r="A1394" t="s">
        <v>3252</v>
      </c>
      <c r="B1394" s="20">
        <v>45645</v>
      </c>
      <c r="C1394" t="s">
        <v>2534</v>
      </c>
      <c r="D1394" t="s">
        <v>317</v>
      </c>
      <c r="E1394" t="s">
        <v>81</v>
      </c>
      <c r="F1394" t="s">
        <v>242</v>
      </c>
      <c r="G1394">
        <v>3</v>
      </c>
      <c r="H1394" s="21">
        <v>2219.1</v>
      </c>
      <c r="I1394">
        <v>10</v>
      </c>
      <c r="J1394" s="21">
        <v>665.73</v>
      </c>
      <c r="K1394">
        <v>12</v>
      </c>
      <c r="L1394" s="21">
        <v>718.99</v>
      </c>
      <c r="M1394" s="21">
        <v>6710.56</v>
      </c>
      <c r="N1394" s="21">
        <v>4385.1899999999996</v>
      </c>
      <c r="O1394" s="21">
        <v>1606.38</v>
      </c>
      <c r="P1394" t="s">
        <v>121</v>
      </c>
      <c r="Q1394" t="s">
        <v>120</v>
      </c>
      <c r="R1394" t="s">
        <v>151</v>
      </c>
      <c r="S1394" t="s">
        <v>3253</v>
      </c>
      <c r="T1394" t="s">
        <v>153</v>
      </c>
      <c r="U1394" t="s">
        <v>154</v>
      </c>
      <c r="V1394" t="str">
        <f>IFERROR(INDEX(Products!$C:$C,MATCH(D1394,Products!$A:$A,0)),"Unknown")</f>
        <v>Handbags</v>
      </c>
      <c r="W1394" t="str">
        <f>IFERROR(INDEX(Products!$E:$E,MATCH(D1394,Products!$A:$A,0)),"Unknown")</f>
        <v>Titan</v>
      </c>
      <c r="X1394" t="str">
        <f>IFERROR(INDEX(Stores!$B:$B,MATCH(E1394,Stores!$A:$A,0)),"Unknown")</f>
        <v>TrendMart Vijayawada High Street</v>
      </c>
      <c r="Y1394" t="str">
        <f>IFERROR(INDEX(Stores!$E:$E,MATCH(E1394,Stores!$A:$A,0)),"Unknown")</f>
        <v>South Zone 3</v>
      </c>
      <c r="Z1394" t="str">
        <f>IFERROR(INDEX(Customers!$J:$J,MATCH(C1394,Customers!$A:$A,0)),"Unknown")</f>
        <v>Gold</v>
      </c>
      <c r="AA1394" t="str">
        <f t="shared" si="21"/>
        <v>2024-12</v>
      </c>
      <c r="AB1394" t="str">
        <f>IFERROR(INDEX(Products!$I:$I,MATCH(D1394,Products!$A:$A,0)),"Unknown")</f>
        <v>SUP027</v>
      </c>
    </row>
    <row r="1395" spans="1:28" x14ac:dyDescent="0.25">
      <c r="A1395" t="s">
        <v>3254</v>
      </c>
      <c r="B1395" s="20">
        <v>45672</v>
      </c>
      <c r="C1395" t="s">
        <v>2722</v>
      </c>
      <c r="D1395" t="s">
        <v>1569</v>
      </c>
      <c r="E1395" t="s">
        <v>1163</v>
      </c>
      <c r="F1395" t="s">
        <v>221</v>
      </c>
      <c r="G1395">
        <v>3</v>
      </c>
      <c r="H1395" s="21">
        <v>1195.1099999999999</v>
      </c>
      <c r="I1395">
        <v>20</v>
      </c>
      <c r="J1395" s="21">
        <v>717.07</v>
      </c>
      <c r="K1395">
        <v>12</v>
      </c>
      <c r="L1395" s="21">
        <v>344.19</v>
      </c>
      <c r="M1395" s="21">
        <v>3212.45</v>
      </c>
      <c r="N1395" s="21">
        <v>2426.9699999999998</v>
      </c>
      <c r="O1395" s="21">
        <v>441.29</v>
      </c>
      <c r="P1395" t="s">
        <v>123</v>
      </c>
      <c r="Q1395" t="s">
        <v>120</v>
      </c>
      <c r="R1395" t="s">
        <v>313</v>
      </c>
      <c r="S1395" t="s">
        <v>2090</v>
      </c>
      <c r="T1395" t="s">
        <v>153</v>
      </c>
      <c r="U1395" t="s">
        <v>154</v>
      </c>
      <c r="V1395" t="str">
        <f>IFERROR(INDEX(Products!$C:$C,MATCH(D1395,Products!$A:$A,0)),"Unknown")</f>
        <v>Women Kurtis</v>
      </c>
      <c r="W1395" t="str">
        <f>IFERROR(INDEX(Products!$E:$E,MATCH(D1395,Products!$A:$A,0)),"Unknown")</f>
        <v>Liberty</v>
      </c>
      <c r="X1395" t="str">
        <f>IFERROR(INDEX(Stores!$B:$B,MATCH(E1395,Stores!$A:$A,0)),"Unknown")</f>
        <v>TrendMart Alappuzha Outlet</v>
      </c>
      <c r="Y1395" t="str">
        <f>IFERROR(INDEX(Stores!$E:$E,MATCH(E1395,Stores!$A:$A,0)),"Unknown")</f>
        <v>South Zone 1</v>
      </c>
      <c r="Z1395" t="str">
        <f>IFERROR(INDEX(Customers!$J:$J,MATCH(C1395,Customers!$A:$A,0)),"Unknown")</f>
        <v>Gold</v>
      </c>
      <c r="AA1395" t="str">
        <f t="shared" si="21"/>
        <v>2025-01</v>
      </c>
      <c r="AB1395" t="str">
        <f>IFERROR(INDEX(Products!$I:$I,MATCH(D1395,Products!$A:$A,0)),"Unknown")</f>
        <v>SUP079</v>
      </c>
    </row>
    <row r="1396" spans="1:28" x14ac:dyDescent="0.25">
      <c r="A1396" t="s">
        <v>3255</v>
      </c>
      <c r="B1396" s="20">
        <v>45568</v>
      </c>
      <c r="C1396" t="s">
        <v>1770</v>
      </c>
      <c r="D1396" t="s">
        <v>622</v>
      </c>
      <c r="E1396" t="s">
        <v>1141</v>
      </c>
      <c r="F1396" t="s">
        <v>286</v>
      </c>
      <c r="G1396">
        <v>1</v>
      </c>
      <c r="H1396" s="21">
        <v>2620.59</v>
      </c>
      <c r="I1396">
        <v>10</v>
      </c>
      <c r="J1396" s="21">
        <v>262.06</v>
      </c>
      <c r="K1396">
        <v>12</v>
      </c>
      <c r="L1396" s="21">
        <v>283.02</v>
      </c>
      <c r="M1396" s="21">
        <v>2641.55</v>
      </c>
      <c r="N1396" s="21">
        <v>1853.14</v>
      </c>
      <c r="O1396" s="21">
        <v>505.39</v>
      </c>
      <c r="P1396" t="s">
        <v>123</v>
      </c>
      <c r="Q1396" t="s">
        <v>120</v>
      </c>
      <c r="R1396" t="s">
        <v>151</v>
      </c>
      <c r="S1396" t="s">
        <v>1895</v>
      </c>
      <c r="T1396" t="s">
        <v>153</v>
      </c>
      <c r="U1396" t="s">
        <v>154</v>
      </c>
      <c r="V1396" t="str">
        <f>IFERROR(INDEX(Products!$C:$C,MATCH(D1396,Products!$A:$A,0)),"Unknown")</f>
        <v>Women Sarees</v>
      </c>
      <c r="W1396" t="str">
        <f>IFERROR(INDEX(Products!$E:$E,MATCH(D1396,Products!$A:$A,0)),"Unknown")</f>
        <v>Sparx</v>
      </c>
      <c r="X1396" t="str">
        <f>IFERROR(INDEX(Stores!$B:$B,MATCH(E1396,Stores!$A:$A,0)),"Unknown")</f>
        <v>TrendMart Kochi Standard</v>
      </c>
      <c r="Y1396" t="str">
        <f>IFERROR(INDEX(Stores!$E:$E,MATCH(E1396,Stores!$A:$A,0)),"Unknown")</f>
        <v>South Zone 1</v>
      </c>
      <c r="Z1396" t="str">
        <f>IFERROR(INDEX(Customers!$J:$J,MATCH(C1396,Customers!$A:$A,0)),"Unknown")</f>
        <v>Silver</v>
      </c>
      <c r="AA1396" t="str">
        <f t="shared" si="21"/>
        <v>2024-10</v>
      </c>
      <c r="AB1396" t="str">
        <f>IFERROR(INDEX(Products!$I:$I,MATCH(D1396,Products!$A:$A,0)),"Unknown")</f>
        <v>SUP080</v>
      </c>
    </row>
    <row r="1397" spans="1:28" x14ac:dyDescent="0.25">
      <c r="A1397" t="s">
        <v>3256</v>
      </c>
      <c r="B1397" s="20">
        <v>45547</v>
      </c>
      <c r="C1397" t="s">
        <v>324</v>
      </c>
      <c r="D1397" t="s">
        <v>773</v>
      </c>
      <c r="E1397" t="s">
        <v>216</v>
      </c>
      <c r="F1397" t="s">
        <v>292</v>
      </c>
      <c r="G1397">
        <v>1</v>
      </c>
      <c r="H1397" s="21">
        <v>3441.1</v>
      </c>
      <c r="I1397">
        <v>5</v>
      </c>
      <c r="J1397" s="21">
        <v>172.06</v>
      </c>
      <c r="K1397">
        <v>12</v>
      </c>
      <c r="L1397" s="21">
        <v>392.28</v>
      </c>
      <c r="M1397" s="21">
        <v>3661.32</v>
      </c>
      <c r="N1397" s="21">
        <v>2710.05</v>
      </c>
      <c r="O1397" s="21">
        <v>558.99</v>
      </c>
      <c r="P1397" t="s">
        <v>123</v>
      </c>
      <c r="Q1397" t="s">
        <v>120</v>
      </c>
      <c r="R1397" t="s">
        <v>151</v>
      </c>
      <c r="S1397" t="s">
        <v>3257</v>
      </c>
      <c r="T1397" t="s">
        <v>153</v>
      </c>
      <c r="U1397" t="s">
        <v>154</v>
      </c>
      <c r="V1397" t="str">
        <f>IFERROR(INDEX(Products!$C:$C,MATCH(D1397,Products!$A:$A,0)),"Unknown")</f>
        <v>Women Sarees</v>
      </c>
      <c r="W1397" t="str">
        <f>IFERROR(INDEX(Products!$E:$E,MATCH(D1397,Products!$A:$A,0)),"Unknown")</f>
        <v>Bata</v>
      </c>
      <c r="X1397" t="str">
        <f>IFERROR(INDEX(Stores!$B:$B,MATCH(E1397,Stores!$A:$A,0)),"Unknown")</f>
        <v>TrendMart Madurai Mall Kiosk</v>
      </c>
      <c r="Y1397" t="str">
        <f>IFERROR(INDEX(Stores!$E:$E,MATCH(E1397,Stores!$A:$A,0)),"Unknown")</f>
        <v>South Zone 1</v>
      </c>
      <c r="Z1397" t="str">
        <f>IFERROR(INDEX(Customers!$J:$J,MATCH(C1397,Customers!$A:$A,0)),"Unknown")</f>
        <v>Regular</v>
      </c>
      <c r="AA1397" t="str">
        <f t="shared" si="21"/>
        <v>2024-09</v>
      </c>
      <c r="AB1397" t="str">
        <f>IFERROR(INDEX(Products!$I:$I,MATCH(D1397,Products!$A:$A,0)),"Unknown")</f>
        <v>SUP086</v>
      </c>
    </row>
    <row r="1398" spans="1:28" x14ac:dyDescent="0.25">
      <c r="A1398" t="s">
        <v>3258</v>
      </c>
      <c r="B1398" s="20">
        <v>45432</v>
      </c>
      <c r="C1398" t="s">
        <v>3259</v>
      </c>
      <c r="D1398" t="s">
        <v>1661</v>
      </c>
      <c r="E1398" t="s">
        <v>355</v>
      </c>
      <c r="F1398" t="s">
        <v>596</v>
      </c>
      <c r="G1398">
        <v>2</v>
      </c>
      <c r="H1398" s="21">
        <v>816</v>
      </c>
      <c r="I1398">
        <v>0</v>
      </c>
      <c r="J1398" s="21">
        <v>0</v>
      </c>
      <c r="K1398">
        <v>5</v>
      </c>
      <c r="L1398" s="21">
        <v>81.599999999999994</v>
      </c>
      <c r="M1398" s="21">
        <v>1713.6</v>
      </c>
      <c r="N1398" s="21">
        <v>1322.68</v>
      </c>
      <c r="O1398" s="21">
        <v>309.32</v>
      </c>
      <c r="P1398" t="s">
        <v>124</v>
      </c>
      <c r="Q1398" t="s">
        <v>122</v>
      </c>
      <c r="R1398" t="s">
        <v>151</v>
      </c>
      <c r="S1398" t="s">
        <v>1692</v>
      </c>
      <c r="T1398" t="s">
        <v>153</v>
      </c>
      <c r="U1398" t="s">
        <v>154</v>
      </c>
      <c r="V1398" t="str">
        <f>IFERROR(INDEX(Products!$C:$C,MATCH(D1398,Products!$A:$A,0)),"Unknown")</f>
        <v>Men Jeans</v>
      </c>
      <c r="W1398" t="str">
        <f>IFERROR(INDEX(Products!$E:$E,MATCH(D1398,Products!$A:$A,0)),"Unknown")</f>
        <v>Aurelia</v>
      </c>
      <c r="X1398" t="str">
        <f>IFERROR(INDEX(Stores!$B:$B,MATCH(E1398,Stores!$A:$A,0)),"Unknown")</f>
        <v>TrendMart Thiruvananthapuram High Street</v>
      </c>
      <c r="Y1398" t="str">
        <f>IFERROR(INDEX(Stores!$E:$E,MATCH(E1398,Stores!$A:$A,0)),"Unknown")</f>
        <v>South Zone 1</v>
      </c>
      <c r="Z1398" t="str">
        <f>IFERROR(INDEX(Customers!$J:$J,MATCH(C1398,Customers!$A:$A,0)),"Unknown")</f>
        <v>Regular</v>
      </c>
      <c r="AA1398" t="str">
        <f t="shared" si="21"/>
        <v>2024-05</v>
      </c>
      <c r="AB1398" t="str">
        <f>IFERROR(INDEX(Products!$I:$I,MATCH(D1398,Products!$A:$A,0)),"Unknown")</f>
        <v>SUP053</v>
      </c>
    </row>
    <row r="1399" spans="1:28" x14ac:dyDescent="0.25">
      <c r="A1399" t="s">
        <v>3260</v>
      </c>
      <c r="B1399" s="20">
        <v>45597</v>
      </c>
      <c r="C1399" t="s">
        <v>419</v>
      </c>
      <c r="D1399" t="s">
        <v>1590</v>
      </c>
      <c r="E1399" t="s">
        <v>175</v>
      </c>
      <c r="F1399" t="s">
        <v>532</v>
      </c>
      <c r="G1399">
        <v>1</v>
      </c>
      <c r="H1399" s="21">
        <v>502.29</v>
      </c>
      <c r="I1399">
        <v>0</v>
      </c>
      <c r="J1399" s="21">
        <v>0</v>
      </c>
      <c r="K1399">
        <v>5</v>
      </c>
      <c r="L1399" s="21">
        <v>25.11</v>
      </c>
      <c r="M1399" s="21">
        <v>527.4</v>
      </c>
      <c r="N1399" s="21">
        <v>337.09</v>
      </c>
      <c r="O1399" s="21">
        <v>165.2</v>
      </c>
      <c r="P1399" t="s">
        <v>125</v>
      </c>
      <c r="Q1399" t="s">
        <v>122</v>
      </c>
      <c r="R1399" t="s">
        <v>151</v>
      </c>
      <c r="S1399" t="s">
        <v>2915</v>
      </c>
      <c r="T1399" t="s">
        <v>153</v>
      </c>
      <c r="U1399" t="s">
        <v>154</v>
      </c>
      <c r="V1399" t="str">
        <f>IFERROR(INDEX(Products!$C:$C,MATCH(D1399,Products!$A:$A,0)),"Unknown")</f>
        <v>Kids Wear</v>
      </c>
      <c r="W1399" t="str">
        <f>IFERROR(INDEX(Products!$E:$E,MATCH(D1399,Products!$A:$A,0)),"Unknown")</f>
        <v>Peter England</v>
      </c>
      <c r="X1399" t="str">
        <f>IFERROR(INDEX(Stores!$B:$B,MATCH(E1399,Stores!$A:$A,0)),"Unknown")</f>
        <v>TrendMart Thoothukudi Flagship</v>
      </c>
      <c r="Y1399" t="str">
        <f>IFERROR(INDEX(Stores!$E:$E,MATCH(E1399,Stores!$A:$A,0)),"Unknown")</f>
        <v>South Zone 1</v>
      </c>
      <c r="Z1399" t="str">
        <f>IFERROR(INDEX(Customers!$J:$J,MATCH(C1399,Customers!$A:$A,0)),"Unknown")</f>
        <v>Regular</v>
      </c>
      <c r="AA1399" t="str">
        <f t="shared" si="21"/>
        <v>2024-11</v>
      </c>
      <c r="AB1399" t="str">
        <f>IFERROR(INDEX(Products!$I:$I,MATCH(D1399,Products!$A:$A,0)),"Unknown")</f>
        <v>SUP065</v>
      </c>
    </row>
    <row r="1400" spans="1:28" x14ac:dyDescent="0.25">
      <c r="A1400" t="s">
        <v>3261</v>
      </c>
      <c r="B1400" s="20">
        <v>45571</v>
      </c>
      <c r="C1400" t="s">
        <v>2201</v>
      </c>
      <c r="D1400" t="s">
        <v>654</v>
      </c>
      <c r="E1400" t="s">
        <v>318</v>
      </c>
      <c r="F1400" t="s">
        <v>532</v>
      </c>
      <c r="G1400">
        <v>1</v>
      </c>
      <c r="H1400" s="21">
        <v>1307.26</v>
      </c>
      <c r="I1400">
        <v>20</v>
      </c>
      <c r="J1400" s="21">
        <v>261.45</v>
      </c>
      <c r="K1400">
        <v>12</v>
      </c>
      <c r="L1400" s="21">
        <v>125.5</v>
      </c>
      <c r="M1400" s="21">
        <v>1171.31</v>
      </c>
      <c r="N1400" s="21">
        <v>865.42</v>
      </c>
      <c r="O1400" s="21">
        <v>180.39</v>
      </c>
      <c r="P1400" t="s">
        <v>123</v>
      </c>
      <c r="Q1400" t="s">
        <v>120</v>
      </c>
      <c r="R1400" t="s">
        <v>151</v>
      </c>
      <c r="S1400" t="s">
        <v>1225</v>
      </c>
      <c r="T1400" t="s">
        <v>161</v>
      </c>
      <c r="U1400" t="s">
        <v>154</v>
      </c>
      <c r="V1400" t="str">
        <f>IFERROR(INDEX(Products!$C:$C,MATCH(D1400,Products!$A:$A,0)),"Unknown")</f>
        <v>Women Dresses</v>
      </c>
      <c r="W1400" t="str">
        <f>IFERROR(INDEX(Products!$E:$E,MATCH(D1400,Products!$A:$A,0)),"Unknown")</f>
        <v>Indian Terrain</v>
      </c>
      <c r="X1400" t="str">
        <f>IFERROR(INDEX(Stores!$B:$B,MATCH(E1400,Stores!$A:$A,0)),"Unknown")</f>
        <v>TrendMart Guntur Outlet</v>
      </c>
      <c r="Y1400" t="str">
        <f>IFERROR(INDEX(Stores!$E:$E,MATCH(E1400,Stores!$A:$A,0)),"Unknown")</f>
        <v>South Zone 3</v>
      </c>
      <c r="Z1400" t="str">
        <f>IFERROR(INDEX(Customers!$J:$J,MATCH(C1400,Customers!$A:$A,0)),"Unknown")</f>
        <v>Silver</v>
      </c>
      <c r="AA1400" t="str">
        <f t="shared" si="21"/>
        <v>2024-10</v>
      </c>
      <c r="AB1400" t="str">
        <f>IFERROR(INDEX(Products!$I:$I,MATCH(D1400,Products!$A:$A,0)),"Unknown")</f>
        <v>SUP049</v>
      </c>
    </row>
    <row r="1401" spans="1:28" x14ac:dyDescent="0.25">
      <c r="A1401" t="s">
        <v>3262</v>
      </c>
      <c r="B1401" s="20">
        <v>45571</v>
      </c>
      <c r="C1401" t="s">
        <v>1239</v>
      </c>
      <c r="D1401" t="s">
        <v>2353</v>
      </c>
      <c r="E1401" t="s">
        <v>368</v>
      </c>
      <c r="F1401" t="s">
        <v>263</v>
      </c>
      <c r="G1401">
        <v>3</v>
      </c>
      <c r="H1401" s="21">
        <v>833.06</v>
      </c>
      <c r="I1401">
        <v>20</v>
      </c>
      <c r="J1401" s="21">
        <v>499.84</v>
      </c>
      <c r="K1401">
        <v>5</v>
      </c>
      <c r="L1401" s="21">
        <v>99.97</v>
      </c>
      <c r="M1401" s="21">
        <v>2099.31</v>
      </c>
      <c r="N1401" s="21">
        <v>1512.15</v>
      </c>
      <c r="O1401" s="21">
        <v>487.19</v>
      </c>
      <c r="P1401" t="s">
        <v>126</v>
      </c>
      <c r="Q1401" t="s">
        <v>122</v>
      </c>
      <c r="R1401" t="s">
        <v>151</v>
      </c>
      <c r="S1401" t="s">
        <v>958</v>
      </c>
      <c r="T1401" t="s">
        <v>161</v>
      </c>
      <c r="U1401" t="s">
        <v>154</v>
      </c>
      <c r="V1401" t="str">
        <f>IFERROR(INDEX(Products!$C:$C,MATCH(D1401,Products!$A:$A,0)),"Unknown")</f>
        <v>Sportswear</v>
      </c>
      <c r="W1401" t="str">
        <f>IFERROR(INDEX(Products!$E:$E,MATCH(D1401,Products!$A:$A,0)),"Unknown")</f>
        <v>Mufti</v>
      </c>
      <c r="X1401" t="str">
        <f>IFERROR(INDEX(Stores!$B:$B,MATCH(E1401,Stores!$A:$A,0)),"Unknown")</f>
        <v>TrendMart Alappuzha Outlet</v>
      </c>
      <c r="Y1401" t="str">
        <f>IFERROR(INDEX(Stores!$E:$E,MATCH(E1401,Stores!$A:$A,0)),"Unknown")</f>
        <v>South Zone 1</v>
      </c>
      <c r="Z1401" t="str">
        <f>IFERROR(INDEX(Customers!$J:$J,MATCH(C1401,Customers!$A:$A,0)),"Unknown")</f>
        <v>Silver</v>
      </c>
      <c r="AA1401" t="str">
        <f t="shared" si="21"/>
        <v>2024-10</v>
      </c>
      <c r="AB1401" t="str">
        <f>IFERROR(INDEX(Products!$I:$I,MATCH(D1401,Products!$A:$A,0)),"Unknown")</f>
        <v>SUP020</v>
      </c>
    </row>
    <row r="1402" spans="1:28" x14ac:dyDescent="0.25">
      <c r="A1402" t="s">
        <v>3263</v>
      </c>
      <c r="B1402" s="20">
        <v>45438</v>
      </c>
      <c r="C1402" t="s">
        <v>3264</v>
      </c>
      <c r="D1402" t="s">
        <v>1616</v>
      </c>
      <c r="E1402" t="s">
        <v>425</v>
      </c>
      <c r="F1402" t="s">
        <v>532</v>
      </c>
      <c r="G1402">
        <v>1</v>
      </c>
      <c r="H1402" s="21">
        <v>4970.32</v>
      </c>
      <c r="I1402">
        <v>10</v>
      </c>
      <c r="J1402" s="21">
        <v>497.03</v>
      </c>
      <c r="K1402">
        <v>12</v>
      </c>
      <c r="L1402" s="21">
        <v>536.79</v>
      </c>
      <c r="M1402" s="21">
        <v>5010.08</v>
      </c>
      <c r="N1402" s="21">
        <v>3023.13</v>
      </c>
      <c r="O1402" s="21">
        <v>1450.16</v>
      </c>
      <c r="P1402" t="s">
        <v>123</v>
      </c>
      <c r="Q1402" t="s">
        <v>120</v>
      </c>
      <c r="R1402" t="s">
        <v>151</v>
      </c>
      <c r="S1402" t="s">
        <v>2022</v>
      </c>
      <c r="T1402" t="s">
        <v>161</v>
      </c>
      <c r="U1402" t="s">
        <v>154</v>
      </c>
      <c r="V1402" t="str">
        <f>IFERROR(INDEX(Products!$C:$C,MATCH(D1402,Products!$A:$A,0)),"Unknown")</f>
        <v>Women Sarees</v>
      </c>
      <c r="W1402" t="str">
        <f>IFERROR(INDEX(Products!$E:$E,MATCH(D1402,Products!$A:$A,0)),"Unknown")</f>
        <v>Max Fashion</v>
      </c>
      <c r="X1402" t="str">
        <f>IFERROR(INDEX(Stores!$B:$B,MATCH(E1402,Stores!$A:$A,0)),"Unknown")</f>
        <v>TrendMart Kozhikode Outlet</v>
      </c>
      <c r="Y1402" t="str">
        <f>IFERROR(INDEX(Stores!$E:$E,MATCH(E1402,Stores!$A:$A,0)),"Unknown")</f>
        <v>South Zone 1</v>
      </c>
      <c r="Z1402" t="str">
        <f>IFERROR(INDEX(Customers!$J:$J,MATCH(C1402,Customers!$A:$A,0)),"Unknown")</f>
        <v>Silver</v>
      </c>
      <c r="AA1402" t="str">
        <f t="shared" si="21"/>
        <v>2024-05</v>
      </c>
      <c r="AB1402" t="str">
        <f>IFERROR(INDEX(Products!$I:$I,MATCH(D1402,Products!$A:$A,0)),"Unknown")</f>
        <v>SUP047</v>
      </c>
    </row>
    <row r="1403" spans="1:28" x14ac:dyDescent="0.25">
      <c r="A1403" t="s">
        <v>3265</v>
      </c>
      <c r="B1403" s="20">
        <v>45504</v>
      </c>
      <c r="C1403" t="s">
        <v>2246</v>
      </c>
      <c r="D1403" t="s">
        <v>279</v>
      </c>
      <c r="E1403" t="s">
        <v>607</v>
      </c>
      <c r="F1403" t="s">
        <v>434</v>
      </c>
      <c r="G1403">
        <v>1</v>
      </c>
      <c r="H1403" s="21">
        <v>3189.81</v>
      </c>
      <c r="I1403">
        <v>30</v>
      </c>
      <c r="J1403" s="21">
        <v>956.94</v>
      </c>
      <c r="K1403">
        <v>12</v>
      </c>
      <c r="L1403" s="21">
        <v>267.94</v>
      </c>
      <c r="M1403" s="21">
        <v>2500.81</v>
      </c>
      <c r="N1403" s="21">
        <v>2069.33</v>
      </c>
      <c r="O1403" s="21">
        <v>163.54</v>
      </c>
      <c r="P1403" t="s">
        <v>125</v>
      </c>
      <c r="Q1403" t="s">
        <v>120</v>
      </c>
      <c r="R1403" t="s">
        <v>151</v>
      </c>
      <c r="S1403" t="s">
        <v>177</v>
      </c>
      <c r="T1403" t="s">
        <v>153</v>
      </c>
      <c r="U1403" t="s">
        <v>154</v>
      </c>
      <c r="V1403" t="str">
        <f>IFERROR(INDEX(Products!$C:$C,MATCH(D1403,Products!$A:$A,0)),"Unknown")</f>
        <v>Handbags</v>
      </c>
      <c r="W1403" t="str">
        <f>IFERROR(INDEX(Products!$E:$E,MATCH(D1403,Products!$A:$A,0)),"Unknown")</f>
        <v>Westside</v>
      </c>
      <c r="X1403" t="str">
        <f>IFERROR(INDEX(Stores!$B:$B,MATCH(E1403,Stores!$A:$A,0)),"Unknown")</f>
        <v>TrendMart Thiruvananthapuram Standard</v>
      </c>
      <c r="Y1403" t="str">
        <f>IFERROR(INDEX(Stores!$E:$E,MATCH(E1403,Stores!$A:$A,0)),"Unknown")</f>
        <v>South Zone 1</v>
      </c>
      <c r="Z1403" t="str">
        <f>IFERROR(INDEX(Customers!$J:$J,MATCH(C1403,Customers!$A:$A,0)),"Unknown")</f>
        <v>Gold</v>
      </c>
      <c r="AA1403" t="str">
        <f t="shared" si="21"/>
        <v>2024-07</v>
      </c>
      <c r="AB1403" t="str">
        <f>IFERROR(INDEX(Products!$I:$I,MATCH(D1403,Products!$A:$A,0)),"Unknown")</f>
        <v>SUP066</v>
      </c>
    </row>
    <row r="1404" spans="1:28" x14ac:dyDescent="0.25">
      <c r="A1404" t="s">
        <v>3266</v>
      </c>
      <c r="B1404" s="20">
        <v>45594</v>
      </c>
      <c r="C1404" t="s">
        <v>922</v>
      </c>
      <c r="D1404" t="s">
        <v>401</v>
      </c>
      <c r="E1404" t="s">
        <v>490</v>
      </c>
      <c r="F1404" t="s">
        <v>242</v>
      </c>
      <c r="G1404">
        <v>3</v>
      </c>
      <c r="H1404" s="21">
        <v>1170.44</v>
      </c>
      <c r="I1404">
        <v>15</v>
      </c>
      <c r="J1404" s="21">
        <v>526.70000000000005</v>
      </c>
      <c r="K1404">
        <v>12</v>
      </c>
      <c r="L1404" s="21">
        <v>358.15</v>
      </c>
      <c r="M1404" s="21">
        <v>3342.77</v>
      </c>
      <c r="N1404" s="21">
        <v>2303.4899999999998</v>
      </c>
      <c r="O1404" s="21">
        <v>681.13</v>
      </c>
      <c r="P1404" t="s">
        <v>123</v>
      </c>
      <c r="Q1404" t="s">
        <v>122</v>
      </c>
      <c r="R1404" t="s">
        <v>151</v>
      </c>
      <c r="S1404" t="s">
        <v>507</v>
      </c>
      <c r="T1404" t="s">
        <v>153</v>
      </c>
      <c r="U1404" t="s">
        <v>154</v>
      </c>
      <c r="V1404" t="str">
        <f>IFERROR(INDEX(Products!$C:$C,MATCH(D1404,Products!$A:$A,0)),"Unknown")</f>
        <v>Women Jeans</v>
      </c>
      <c r="W1404" t="str">
        <f>IFERROR(INDEX(Products!$E:$E,MATCH(D1404,Products!$A:$A,0)),"Unknown")</f>
        <v>Being Human</v>
      </c>
      <c r="X1404" t="str">
        <f>IFERROR(INDEX(Stores!$B:$B,MATCH(E1404,Stores!$A:$A,0)),"Unknown")</f>
        <v>TrendMart Mangaluru Mall Kiosk</v>
      </c>
      <c r="Y1404" t="str">
        <f>IFERROR(INDEX(Stores!$E:$E,MATCH(E1404,Stores!$A:$A,0)),"Unknown")</f>
        <v>South Zone 2</v>
      </c>
      <c r="Z1404" t="str">
        <f>IFERROR(INDEX(Customers!$J:$J,MATCH(C1404,Customers!$A:$A,0)),"Unknown")</f>
        <v>Regular</v>
      </c>
      <c r="AA1404" t="str">
        <f t="shared" si="21"/>
        <v>2024-10</v>
      </c>
      <c r="AB1404" t="str">
        <f>IFERROR(INDEX(Products!$I:$I,MATCH(D1404,Products!$A:$A,0)),"Unknown")</f>
        <v>SUP013</v>
      </c>
    </row>
    <row r="1405" spans="1:28" x14ac:dyDescent="0.25">
      <c r="A1405" t="s">
        <v>3267</v>
      </c>
      <c r="B1405" s="20">
        <v>45537</v>
      </c>
      <c r="C1405" t="s">
        <v>3164</v>
      </c>
      <c r="D1405" t="s">
        <v>1044</v>
      </c>
      <c r="E1405" t="s">
        <v>252</v>
      </c>
      <c r="F1405" t="s">
        <v>344</v>
      </c>
      <c r="G1405">
        <v>4</v>
      </c>
      <c r="H1405" s="21">
        <v>550.08000000000004</v>
      </c>
      <c r="I1405">
        <v>0</v>
      </c>
      <c r="J1405" s="21">
        <v>0</v>
      </c>
      <c r="K1405">
        <v>5</v>
      </c>
      <c r="L1405" s="21">
        <v>110.02</v>
      </c>
      <c r="M1405" s="21">
        <v>2310.34</v>
      </c>
      <c r="N1405" s="21">
        <v>1340.6</v>
      </c>
      <c r="O1405" s="21">
        <v>859.72</v>
      </c>
      <c r="P1405" t="s">
        <v>124</v>
      </c>
      <c r="Q1405" t="s">
        <v>120</v>
      </c>
      <c r="R1405" t="s">
        <v>151</v>
      </c>
      <c r="S1405" t="s">
        <v>348</v>
      </c>
      <c r="T1405" t="s">
        <v>153</v>
      </c>
      <c r="U1405" t="s">
        <v>154</v>
      </c>
      <c r="V1405" t="str">
        <f>IFERROR(INDEX(Products!$C:$C,MATCH(D1405,Products!$A:$A,0)),"Unknown")</f>
        <v>Men T-Shirts</v>
      </c>
      <c r="W1405" t="str">
        <f>IFERROR(INDEX(Products!$E:$E,MATCH(D1405,Products!$A:$A,0)),"Unknown")</f>
        <v>Mufti</v>
      </c>
      <c r="X1405" t="str">
        <f>IFERROR(INDEX(Stores!$B:$B,MATCH(E1405,Stores!$A:$A,0)),"Unknown")</f>
        <v>TrendMart Nellore Standard</v>
      </c>
      <c r="Y1405" t="str">
        <f>IFERROR(INDEX(Stores!$E:$E,MATCH(E1405,Stores!$A:$A,0)),"Unknown")</f>
        <v>South Zone 3</v>
      </c>
      <c r="Z1405" t="str">
        <f>IFERROR(INDEX(Customers!$J:$J,MATCH(C1405,Customers!$A:$A,0)),"Unknown")</f>
        <v>Gold</v>
      </c>
      <c r="AA1405" t="str">
        <f t="shared" si="21"/>
        <v>2024-09</v>
      </c>
      <c r="AB1405" t="str">
        <f>IFERROR(INDEX(Products!$I:$I,MATCH(D1405,Products!$A:$A,0)),"Unknown")</f>
        <v>SUP042</v>
      </c>
    </row>
    <row r="1406" spans="1:28" x14ac:dyDescent="0.25">
      <c r="A1406" t="s">
        <v>3268</v>
      </c>
      <c r="B1406" s="20">
        <v>45601</v>
      </c>
      <c r="C1406" t="s">
        <v>3269</v>
      </c>
      <c r="D1406" t="s">
        <v>1256</v>
      </c>
      <c r="E1406" t="s">
        <v>92</v>
      </c>
      <c r="F1406" t="s">
        <v>275</v>
      </c>
      <c r="G1406">
        <v>1</v>
      </c>
      <c r="H1406" s="21">
        <v>839.08</v>
      </c>
      <c r="I1406">
        <v>10</v>
      </c>
      <c r="J1406" s="21">
        <v>83.91</v>
      </c>
      <c r="K1406">
        <v>5</v>
      </c>
      <c r="L1406" s="21">
        <v>37.76</v>
      </c>
      <c r="M1406" s="21">
        <v>792.93</v>
      </c>
      <c r="N1406" s="21">
        <v>637.27</v>
      </c>
      <c r="O1406" s="21">
        <v>117.9</v>
      </c>
      <c r="P1406" t="s">
        <v>124</v>
      </c>
      <c r="Q1406" t="s">
        <v>122</v>
      </c>
      <c r="R1406" t="s">
        <v>151</v>
      </c>
      <c r="S1406" t="s">
        <v>2606</v>
      </c>
      <c r="T1406" t="s">
        <v>153</v>
      </c>
      <c r="U1406" t="s">
        <v>154</v>
      </c>
      <c r="V1406" t="str">
        <f>IFERROR(INDEX(Products!$C:$C,MATCH(D1406,Products!$A:$A,0)),"Unknown")</f>
        <v>Women Jeans</v>
      </c>
      <c r="W1406" t="str">
        <f>IFERROR(INDEX(Products!$E:$E,MATCH(D1406,Products!$A:$A,0)),"Unknown")</f>
        <v>Biba</v>
      </c>
      <c r="X1406" t="str">
        <f>IFERROR(INDEX(Stores!$B:$B,MATCH(E1406,Stores!$A:$A,0)),"Unknown")</f>
        <v>TrendMart Guntur High Street</v>
      </c>
      <c r="Y1406" t="str">
        <f>IFERROR(INDEX(Stores!$E:$E,MATCH(E1406,Stores!$A:$A,0)),"Unknown")</f>
        <v>South Zone 3</v>
      </c>
      <c r="Z1406" t="str">
        <f>IFERROR(INDEX(Customers!$J:$J,MATCH(C1406,Customers!$A:$A,0)),"Unknown")</f>
        <v>Regular</v>
      </c>
      <c r="AA1406" t="str">
        <f t="shared" si="21"/>
        <v>2024-11</v>
      </c>
      <c r="AB1406" t="str">
        <f>IFERROR(INDEX(Products!$I:$I,MATCH(D1406,Products!$A:$A,0)),"Unknown")</f>
        <v>SUP040</v>
      </c>
    </row>
    <row r="1407" spans="1:28" x14ac:dyDescent="0.25">
      <c r="A1407" t="s">
        <v>3270</v>
      </c>
      <c r="B1407" s="20">
        <v>45689</v>
      </c>
      <c r="C1407" t="s">
        <v>3032</v>
      </c>
      <c r="D1407" t="s">
        <v>466</v>
      </c>
      <c r="E1407" t="s">
        <v>1962</v>
      </c>
      <c r="F1407" t="s">
        <v>574</v>
      </c>
      <c r="G1407">
        <v>2</v>
      </c>
      <c r="H1407" s="21">
        <v>928.13</v>
      </c>
      <c r="I1407">
        <v>15</v>
      </c>
      <c r="J1407" s="21">
        <v>278.44</v>
      </c>
      <c r="K1407">
        <v>5</v>
      </c>
      <c r="L1407" s="21">
        <v>78.89</v>
      </c>
      <c r="M1407" s="21">
        <v>1656.71</v>
      </c>
      <c r="N1407" s="21">
        <v>1142.18</v>
      </c>
      <c r="O1407" s="21">
        <v>435.64</v>
      </c>
      <c r="P1407" t="s">
        <v>121</v>
      </c>
      <c r="Q1407" t="s">
        <v>122</v>
      </c>
      <c r="R1407" t="s">
        <v>151</v>
      </c>
      <c r="S1407" t="s">
        <v>2162</v>
      </c>
      <c r="T1407" t="s">
        <v>161</v>
      </c>
      <c r="U1407" t="s">
        <v>154</v>
      </c>
      <c r="V1407" t="str">
        <f>IFERROR(INDEX(Products!$C:$C,MATCH(D1407,Products!$A:$A,0)),"Unknown")</f>
        <v>Women Kurtis</v>
      </c>
      <c r="W1407" t="str">
        <f>IFERROR(INDEX(Products!$E:$E,MATCH(D1407,Products!$A:$A,0)),"Unknown")</f>
        <v>Fabindia</v>
      </c>
      <c r="X1407" t="str">
        <f>IFERROR(INDEX(Stores!$B:$B,MATCH(E1407,Stores!$A:$A,0)),"Unknown")</f>
        <v>TrendMart Guntur High Street</v>
      </c>
      <c r="Y1407" t="str">
        <f>IFERROR(INDEX(Stores!$E:$E,MATCH(E1407,Stores!$A:$A,0)),"Unknown")</f>
        <v>South Zone 3</v>
      </c>
      <c r="Z1407" t="str">
        <f>IFERROR(INDEX(Customers!$J:$J,MATCH(C1407,Customers!$A:$A,0)),"Unknown")</f>
        <v>Platinum</v>
      </c>
      <c r="AA1407" t="str">
        <f t="shared" si="21"/>
        <v>2025-02</v>
      </c>
      <c r="AB1407" t="str">
        <f>IFERROR(INDEX(Products!$I:$I,MATCH(D1407,Products!$A:$A,0)),"Unknown")</f>
        <v>SUP017</v>
      </c>
    </row>
    <row r="1408" spans="1:28" x14ac:dyDescent="0.25">
      <c r="A1408" t="s">
        <v>3271</v>
      </c>
      <c r="B1408" s="20">
        <v>45568</v>
      </c>
      <c r="C1408" t="s">
        <v>2204</v>
      </c>
      <c r="D1408" t="s">
        <v>1642</v>
      </c>
      <c r="E1408" t="s">
        <v>82</v>
      </c>
      <c r="F1408" t="s">
        <v>382</v>
      </c>
      <c r="G1408">
        <v>1</v>
      </c>
      <c r="H1408" s="21">
        <v>5151.49</v>
      </c>
      <c r="I1408">
        <v>20</v>
      </c>
      <c r="J1408" s="21">
        <v>1030.3</v>
      </c>
      <c r="K1408">
        <v>12</v>
      </c>
      <c r="L1408" s="21">
        <v>494.54</v>
      </c>
      <c r="M1408" s="21">
        <v>4615.7299999999996</v>
      </c>
      <c r="N1408" s="21">
        <v>3837</v>
      </c>
      <c r="O1408" s="21">
        <v>284.19</v>
      </c>
      <c r="P1408" t="s">
        <v>123</v>
      </c>
      <c r="Q1408" t="s">
        <v>120</v>
      </c>
      <c r="R1408" t="s">
        <v>151</v>
      </c>
      <c r="S1408" t="s">
        <v>1706</v>
      </c>
      <c r="T1408" t="s">
        <v>153</v>
      </c>
      <c r="U1408" t="s">
        <v>154</v>
      </c>
      <c r="V1408" t="str">
        <f>IFERROR(INDEX(Products!$C:$C,MATCH(D1408,Products!$A:$A,0)),"Unknown")</f>
        <v>Watches</v>
      </c>
      <c r="W1408" t="str">
        <f>IFERROR(INDEX(Products!$E:$E,MATCH(D1408,Products!$A:$A,0)),"Unknown")</f>
        <v>Levi's</v>
      </c>
      <c r="X1408" t="str">
        <f>IFERROR(INDEX(Stores!$B:$B,MATCH(E1408,Stores!$A:$A,0)),"Unknown")</f>
        <v>TrendMart Kochi High Street</v>
      </c>
      <c r="Y1408" t="str">
        <f>IFERROR(INDEX(Stores!$E:$E,MATCH(E1408,Stores!$A:$A,0)),"Unknown")</f>
        <v>South Zone 1</v>
      </c>
      <c r="Z1408" t="str">
        <f>IFERROR(INDEX(Customers!$J:$J,MATCH(C1408,Customers!$A:$A,0)),"Unknown")</f>
        <v>Silver</v>
      </c>
      <c r="AA1408" t="str">
        <f t="shared" si="21"/>
        <v>2024-10</v>
      </c>
      <c r="AB1408" t="str">
        <f>IFERROR(INDEX(Products!$I:$I,MATCH(D1408,Products!$A:$A,0)),"Unknown")</f>
        <v>SUP055</v>
      </c>
    </row>
    <row r="1409" spans="1:28" x14ac:dyDescent="0.25">
      <c r="A1409" t="s">
        <v>3272</v>
      </c>
      <c r="B1409" s="20">
        <v>45409</v>
      </c>
      <c r="C1409" t="s">
        <v>813</v>
      </c>
      <c r="D1409" t="s">
        <v>157</v>
      </c>
      <c r="E1409" t="s">
        <v>97</v>
      </c>
      <c r="F1409" t="s">
        <v>574</v>
      </c>
      <c r="G1409">
        <v>2</v>
      </c>
      <c r="H1409" s="21">
        <v>853.48</v>
      </c>
      <c r="I1409">
        <v>0</v>
      </c>
      <c r="J1409" s="21">
        <v>0</v>
      </c>
      <c r="K1409">
        <v>5</v>
      </c>
      <c r="L1409" s="21">
        <v>85.35</v>
      </c>
      <c r="M1409" s="21">
        <v>1792.31</v>
      </c>
      <c r="N1409" s="21">
        <v>984.22</v>
      </c>
      <c r="O1409" s="21">
        <v>722.74</v>
      </c>
      <c r="P1409" t="s">
        <v>121</v>
      </c>
      <c r="Q1409" t="s">
        <v>122</v>
      </c>
      <c r="R1409" t="s">
        <v>151</v>
      </c>
      <c r="S1409" t="s">
        <v>3154</v>
      </c>
      <c r="T1409" t="s">
        <v>161</v>
      </c>
      <c r="U1409" t="s">
        <v>154</v>
      </c>
      <c r="V1409" t="str">
        <f>IFERROR(INDEX(Products!$C:$C,MATCH(D1409,Products!$A:$A,0)),"Unknown")</f>
        <v>Men T-Shirts</v>
      </c>
      <c r="W1409" t="str">
        <f>IFERROR(INDEX(Products!$E:$E,MATCH(D1409,Products!$A:$A,0)),"Unknown")</f>
        <v>Reebok</v>
      </c>
      <c r="X1409" t="str">
        <f>IFERROR(INDEX(Stores!$B:$B,MATCH(E1409,Stores!$A:$A,0)),"Unknown")</f>
        <v>TrendMart Guntur Flagship</v>
      </c>
      <c r="Y1409" t="str">
        <f>IFERROR(INDEX(Stores!$E:$E,MATCH(E1409,Stores!$A:$A,0)),"Unknown")</f>
        <v>South Zone 3</v>
      </c>
      <c r="Z1409" t="str">
        <f>IFERROR(INDEX(Customers!$J:$J,MATCH(C1409,Customers!$A:$A,0)),"Unknown")</f>
        <v>Regular</v>
      </c>
      <c r="AA1409" t="str">
        <f t="shared" si="21"/>
        <v>2024-04</v>
      </c>
      <c r="AB1409" t="str">
        <f>IFERROR(INDEX(Products!$I:$I,MATCH(D1409,Products!$A:$A,0)),"Unknown")</f>
        <v>SUP073</v>
      </c>
    </row>
    <row r="1410" spans="1:28" x14ac:dyDescent="0.25">
      <c r="A1410" t="s">
        <v>3273</v>
      </c>
      <c r="B1410" s="20">
        <v>45745</v>
      </c>
      <c r="C1410" t="s">
        <v>586</v>
      </c>
      <c r="D1410" t="s">
        <v>381</v>
      </c>
      <c r="E1410" t="s">
        <v>477</v>
      </c>
      <c r="F1410" t="s">
        <v>335</v>
      </c>
      <c r="G1410">
        <v>2</v>
      </c>
      <c r="H1410" s="21">
        <v>832.66</v>
      </c>
      <c r="I1410">
        <v>20</v>
      </c>
      <c r="J1410" s="21">
        <v>333.06</v>
      </c>
      <c r="K1410">
        <v>5</v>
      </c>
      <c r="L1410" s="21">
        <v>66.61</v>
      </c>
      <c r="M1410" s="21">
        <v>1398.87</v>
      </c>
      <c r="N1410" s="21">
        <v>1027.68</v>
      </c>
      <c r="O1410" s="21">
        <v>304.58</v>
      </c>
      <c r="P1410" t="s">
        <v>123</v>
      </c>
      <c r="Q1410" t="s">
        <v>122</v>
      </c>
      <c r="R1410" t="s">
        <v>151</v>
      </c>
      <c r="S1410" t="s">
        <v>3197</v>
      </c>
      <c r="T1410" t="s">
        <v>161</v>
      </c>
      <c r="U1410" t="s">
        <v>154</v>
      </c>
      <c r="V1410" t="str">
        <f>IFERROR(INDEX(Products!$C:$C,MATCH(D1410,Products!$A:$A,0)),"Unknown")</f>
        <v>Wallets</v>
      </c>
      <c r="W1410" t="str">
        <f>IFERROR(INDEX(Products!$E:$E,MATCH(D1410,Products!$A:$A,0)),"Unknown")</f>
        <v>Tanishq</v>
      </c>
      <c r="X1410" t="str">
        <f>IFERROR(INDEX(Stores!$B:$B,MATCH(E1410,Stores!$A:$A,0)),"Unknown")</f>
        <v>TrendMart Hubballi Standard</v>
      </c>
      <c r="Y1410" t="str">
        <f>IFERROR(INDEX(Stores!$E:$E,MATCH(E1410,Stores!$A:$A,0)),"Unknown")</f>
        <v>South Zone 2</v>
      </c>
      <c r="Z1410" t="str">
        <f>IFERROR(INDEX(Customers!$J:$J,MATCH(C1410,Customers!$A:$A,0)),"Unknown")</f>
        <v>Gold</v>
      </c>
      <c r="AA1410" t="str">
        <f t="shared" ref="AA1410:AA1473" si="22">TEXT(B1410,"YYYY-MM")</f>
        <v>2025-03</v>
      </c>
      <c r="AB1410" t="str">
        <f>IFERROR(INDEX(Products!$I:$I,MATCH(D1410,Products!$A:$A,0)),"Unknown")</f>
        <v>SUP007</v>
      </c>
    </row>
    <row r="1411" spans="1:28" x14ac:dyDescent="0.25">
      <c r="A1411" t="s">
        <v>3274</v>
      </c>
      <c r="B1411" s="20">
        <v>45627</v>
      </c>
      <c r="C1411" t="s">
        <v>2105</v>
      </c>
      <c r="D1411" t="s">
        <v>854</v>
      </c>
      <c r="E1411" t="s">
        <v>88</v>
      </c>
      <c r="F1411" t="s">
        <v>189</v>
      </c>
      <c r="G1411">
        <v>2</v>
      </c>
      <c r="H1411" s="21">
        <v>1316.43</v>
      </c>
      <c r="I1411">
        <v>0</v>
      </c>
      <c r="J1411" s="21">
        <v>0</v>
      </c>
      <c r="K1411">
        <v>3</v>
      </c>
      <c r="L1411" s="21">
        <v>78.989999999999995</v>
      </c>
      <c r="M1411" s="21">
        <v>2711.85</v>
      </c>
      <c r="N1411" s="21">
        <v>1908.08</v>
      </c>
      <c r="O1411" s="21">
        <v>724.78</v>
      </c>
      <c r="P1411" t="s">
        <v>124</v>
      </c>
      <c r="Q1411" t="s">
        <v>122</v>
      </c>
      <c r="R1411" t="s">
        <v>151</v>
      </c>
      <c r="S1411" t="s">
        <v>3257</v>
      </c>
      <c r="T1411" t="s">
        <v>161</v>
      </c>
      <c r="U1411" t="s">
        <v>154</v>
      </c>
      <c r="V1411" t="str">
        <f>IFERROR(INDEX(Products!$C:$C,MATCH(D1411,Products!$A:$A,0)),"Unknown")</f>
        <v>Jewellery</v>
      </c>
      <c r="W1411" t="str">
        <f>IFERROR(INDEX(Products!$E:$E,MATCH(D1411,Products!$A:$A,0)),"Unknown")</f>
        <v>W for Woman</v>
      </c>
      <c r="X1411" t="str">
        <f>IFERROR(INDEX(Stores!$B:$B,MATCH(E1411,Stores!$A:$A,0)),"Unknown")</f>
        <v>TrendMart Kozhikode Mall Kiosk</v>
      </c>
      <c r="Y1411" t="str">
        <f>IFERROR(INDEX(Stores!$E:$E,MATCH(E1411,Stores!$A:$A,0)),"Unknown")</f>
        <v>South Zone 1</v>
      </c>
      <c r="Z1411" t="str">
        <f>IFERROR(INDEX(Customers!$J:$J,MATCH(C1411,Customers!$A:$A,0)),"Unknown")</f>
        <v>Regular</v>
      </c>
      <c r="AA1411" t="str">
        <f t="shared" si="22"/>
        <v>2024-12</v>
      </c>
      <c r="AB1411" t="str">
        <f>IFERROR(INDEX(Products!$I:$I,MATCH(D1411,Products!$A:$A,0)),"Unknown")</f>
        <v>SUP006</v>
      </c>
    </row>
    <row r="1412" spans="1:28" x14ac:dyDescent="0.25">
      <c r="A1412" t="s">
        <v>3275</v>
      </c>
      <c r="B1412" s="20">
        <v>45582</v>
      </c>
      <c r="C1412" t="s">
        <v>1420</v>
      </c>
      <c r="D1412" t="s">
        <v>1130</v>
      </c>
      <c r="E1412" t="s">
        <v>1825</v>
      </c>
      <c r="F1412" t="s">
        <v>303</v>
      </c>
      <c r="G1412">
        <v>1</v>
      </c>
      <c r="H1412" s="21">
        <v>3644.95</v>
      </c>
      <c r="I1412">
        <v>15</v>
      </c>
      <c r="J1412" s="21">
        <v>546.74</v>
      </c>
      <c r="K1412">
        <v>12</v>
      </c>
      <c r="L1412" s="21">
        <v>371.79</v>
      </c>
      <c r="M1412" s="21">
        <v>3470</v>
      </c>
      <c r="N1412" s="21">
        <v>2732.31</v>
      </c>
      <c r="O1412" s="21">
        <v>365.9</v>
      </c>
      <c r="P1412" t="s">
        <v>125</v>
      </c>
      <c r="Q1412" t="s">
        <v>120</v>
      </c>
      <c r="R1412" t="s">
        <v>151</v>
      </c>
      <c r="S1412" t="s">
        <v>2798</v>
      </c>
      <c r="T1412" t="s">
        <v>153</v>
      </c>
      <c r="U1412" t="s">
        <v>154</v>
      </c>
      <c r="V1412" t="str">
        <f>IFERROR(INDEX(Products!$C:$C,MATCH(D1412,Products!$A:$A,0)),"Unknown")</f>
        <v>Women Sarees</v>
      </c>
      <c r="W1412" t="str">
        <f>IFERROR(INDEX(Products!$E:$E,MATCH(D1412,Products!$A:$A,0)),"Unknown")</f>
        <v>Sparx</v>
      </c>
      <c r="X1412" t="str">
        <f>IFERROR(INDEX(Stores!$B:$B,MATCH(E1412,Stores!$A:$A,0)),"Unknown")</f>
        <v>TrendMart Vijayawada Outlet</v>
      </c>
      <c r="Y1412" t="str">
        <f>IFERROR(INDEX(Stores!$E:$E,MATCH(E1412,Stores!$A:$A,0)),"Unknown")</f>
        <v>South Zone 3</v>
      </c>
      <c r="Z1412" t="str">
        <f>IFERROR(INDEX(Customers!$J:$J,MATCH(C1412,Customers!$A:$A,0)),"Unknown")</f>
        <v>Regular</v>
      </c>
      <c r="AA1412" t="str">
        <f t="shared" si="22"/>
        <v>2024-10</v>
      </c>
      <c r="AB1412" t="str">
        <f>IFERROR(INDEX(Products!$I:$I,MATCH(D1412,Products!$A:$A,0)),"Unknown")</f>
        <v>SUP069</v>
      </c>
    </row>
    <row r="1413" spans="1:28" x14ac:dyDescent="0.25">
      <c r="A1413" t="s">
        <v>3276</v>
      </c>
      <c r="B1413" s="20">
        <v>45414</v>
      </c>
      <c r="C1413" t="s">
        <v>3277</v>
      </c>
      <c r="D1413" t="s">
        <v>599</v>
      </c>
      <c r="E1413" t="s">
        <v>701</v>
      </c>
      <c r="F1413" t="s">
        <v>159</v>
      </c>
      <c r="G1413">
        <v>2</v>
      </c>
      <c r="H1413" s="21">
        <v>1011.94</v>
      </c>
      <c r="I1413">
        <v>25</v>
      </c>
      <c r="J1413" s="21">
        <v>505.97</v>
      </c>
      <c r="K1413">
        <v>12</v>
      </c>
      <c r="L1413" s="21">
        <v>182.15</v>
      </c>
      <c r="M1413" s="21">
        <v>1700.06</v>
      </c>
      <c r="N1413" s="21">
        <v>1291.18</v>
      </c>
      <c r="O1413" s="21">
        <v>226.73</v>
      </c>
      <c r="P1413" t="s">
        <v>121</v>
      </c>
      <c r="Q1413" t="s">
        <v>122</v>
      </c>
      <c r="R1413" t="s">
        <v>151</v>
      </c>
      <c r="S1413" t="s">
        <v>3278</v>
      </c>
      <c r="T1413" t="s">
        <v>153</v>
      </c>
      <c r="U1413" t="s">
        <v>154</v>
      </c>
      <c r="V1413" t="str">
        <f>IFERROR(INDEX(Products!$C:$C,MATCH(D1413,Products!$A:$A,0)),"Unknown")</f>
        <v>Men Shirts</v>
      </c>
      <c r="W1413" t="str">
        <f>IFERROR(INDEX(Products!$E:$E,MATCH(D1413,Products!$A:$A,0)),"Unknown")</f>
        <v>Van Heusen</v>
      </c>
      <c r="X1413" t="str">
        <f>IFERROR(INDEX(Stores!$B:$B,MATCH(E1413,Stores!$A:$A,0)),"Unknown")</f>
        <v>TrendMart Vijayawada Mall Kiosk</v>
      </c>
      <c r="Y1413" t="str">
        <f>IFERROR(INDEX(Stores!$E:$E,MATCH(E1413,Stores!$A:$A,0)),"Unknown")</f>
        <v>South Zone 3</v>
      </c>
      <c r="Z1413" t="str">
        <f>IFERROR(INDEX(Customers!$J:$J,MATCH(C1413,Customers!$A:$A,0)),"Unknown")</f>
        <v>Gold</v>
      </c>
      <c r="AA1413" t="str">
        <f t="shared" si="22"/>
        <v>2024-05</v>
      </c>
      <c r="AB1413" t="str">
        <f>IFERROR(INDEX(Products!$I:$I,MATCH(D1413,Products!$A:$A,0)),"Unknown")</f>
        <v>SUP084</v>
      </c>
    </row>
    <row r="1414" spans="1:28" x14ac:dyDescent="0.25">
      <c r="A1414" t="s">
        <v>3279</v>
      </c>
      <c r="B1414" s="20">
        <v>45578</v>
      </c>
      <c r="C1414" t="s">
        <v>2842</v>
      </c>
      <c r="D1414" t="s">
        <v>290</v>
      </c>
      <c r="E1414" t="s">
        <v>88</v>
      </c>
      <c r="F1414" t="s">
        <v>303</v>
      </c>
      <c r="G1414">
        <v>2</v>
      </c>
      <c r="H1414" s="21">
        <v>6354.88</v>
      </c>
      <c r="I1414">
        <v>0</v>
      </c>
      <c r="J1414" s="21">
        <v>0</v>
      </c>
      <c r="K1414">
        <v>3</v>
      </c>
      <c r="L1414" s="21">
        <v>381.29</v>
      </c>
      <c r="M1414" s="21">
        <v>13091.05</v>
      </c>
      <c r="N1414" s="21">
        <v>9430.2000000000007</v>
      </c>
      <c r="O1414" s="21">
        <v>3279.56</v>
      </c>
      <c r="P1414" t="s">
        <v>121</v>
      </c>
      <c r="Q1414" t="s">
        <v>122</v>
      </c>
      <c r="R1414" t="s">
        <v>151</v>
      </c>
      <c r="S1414" t="s">
        <v>3280</v>
      </c>
      <c r="T1414" t="s">
        <v>161</v>
      </c>
      <c r="U1414" t="s">
        <v>154</v>
      </c>
      <c r="V1414" t="str">
        <f>IFERROR(INDEX(Products!$C:$C,MATCH(D1414,Products!$A:$A,0)),"Unknown")</f>
        <v>Jewellery</v>
      </c>
      <c r="W1414" t="str">
        <f>IFERROR(INDEX(Products!$E:$E,MATCH(D1414,Products!$A:$A,0)),"Unknown")</f>
        <v>Nike</v>
      </c>
      <c r="X1414" t="str">
        <f>IFERROR(INDEX(Stores!$B:$B,MATCH(E1414,Stores!$A:$A,0)),"Unknown")</f>
        <v>TrendMart Kozhikode Mall Kiosk</v>
      </c>
      <c r="Y1414" t="str">
        <f>IFERROR(INDEX(Stores!$E:$E,MATCH(E1414,Stores!$A:$A,0)),"Unknown")</f>
        <v>South Zone 1</v>
      </c>
      <c r="Z1414" t="str">
        <f>IFERROR(INDEX(Customers!$J:$J,MATCH(C1414,Customers!$A:$A,0)),"Unknown")</f>
        <v>Regular</v>
      </c>
      <c r="AA1414" t="str">
        <f t="shared" si="22"/>
        <v>2024-10</v>
      </c>
      <c r="AB1414" t="str">
        <f>IFERROR(INDEX(Products!$I:$I,MATCH(D1414,Products!$A:$A,0)),"Unknown")</f>
        <v>SUP041</v>
      </c>
    </row>
    <row r="1415" spans="1:28" x14ac:dyDescent="0.25">
      <c r="A1415" t="s">
        <v>3281</v>
      </c>
      <c r="B1415" s="20">
        <v>45595</v>
      </c>
      <c r="C1415" t="s">
        <v>3282</v>
      </c>
      <c r="D1415" t="s">
        <v>1016</v>
      </c>
      <c r="E1415" t="s">
        <v>1141</v>
      </c>
      <c r="F1415" t="s">
        <v>335</v>
      </c>
      <c r="G1415">
        <v>2</v>
      </c>
      <c r="H1415" s="21">
        <v>5500.52</v>
      </c>
      <c r="I1415">
        <v>0</v>
      </c>
      <c r="J1415" s="21">
        <v>0</v>
      </c>
      <c r="K1415">
        <v>12</v>
      </c>
      <c r="L1415" s="21">
        <v>1320.12</v>
      </c>
      <c r="M1415" s="21">
        <v>12321.16</v>
      </c>
      <c r="N1415" s="21">
        <v>7324.74</v>
      </c>
      <c r="O1415" s="21">
        <v>3676.3</v>
      </c>
      <c r="P1415" t="s">
        <v>124</v>
      </c>
      <c r="Q1415" t="s">
        <v>122</v>
      </c>
      <c r="R1415" t="s">
        <v>151</v>
      </c>
      <c r="S1415" t="s">
        <v>3280</v>
      </c>
      <c r="T1415" t="s">
        <v>153</v>
      </c>
      <c r="U1415" t="s">
        <v>154</v>
      </c>
      <c r="V1415" t="str">
        <f>IFERROR(INDEX(Products!$C:$C,MATCH(D1415,Products!$A:$A,0)),"Unknown")</f>
        <v>Watches</v>
      </c>
      <c r="W1415" t="str">
        <f>IFERROR(INDEX(Products!$E:$E,MATCH(D1415,Products!$A:$A,0)),"Unknown")</f>
        <v>Pantaloons</v>
      </c>
      <c r="X1415" t="str">
        <f>IFERROR(INDEX(Stores!$B:$B,MATCH(E1415,Stores!$A:$A,0)),"Unknown")</f>
        <v>TrendMart Kochi Standard</v>
      </c>
      <c r="Y1415" t="str">
        <f>IFERROR(INDEX(Stores!$E:$E,MATCH(E1415,Stores!$A:$A,0)),"Unknown")</f>
        <v>South Zone 1</v>
      </c>
      <c r="Z1415" t="str">
        <f>IFERROR(INDEX(Customers!$J:$J,MATCH(C1415,Customers!$A:$A,0)),"Unknown")</f>
        <v>Regular</v>
      </c>
      <c r="AA1415" t="str">
        <f t="shared" si="22"/>
        <v>2024-10</v>
      </c>
      <c r="AB1415" t="str">
        <f>IFERROR(INDEX(Products!$I:$I,MATCH(D1415,Products!$A:$A,0)),"Unknown")</f>
        <v>SUP007</v>
      </c>
    </row>
    <row r="1416" spans="1:28" x14ac:dyDescent="0.25">
      <c r="A1416" t="s">
        <v>3283</v>
      </c>
      <c r="B1416" s="20">
        <v>45740</v>
      </c>
      <c r="C1416" t="s">
        <v>3284</v>
      </c>
      <c r="D1416" t="s">
        <v>666</v>
      </c>
      <c r="E1416" t="s">
        <v>351</v>
      </c>
      <c r="F1416" t="s">
        <v>382</v>
      </c>
      <c r="G1416">
        <v>4</v>
      </c>
      <c r="H1416" s="21">
        <v>1371.21</v>
      </c>
      <c r="I1416">
        <v>20</v>
      </c>
      <c r="J1416" s="21">
        <v>1096.97</v>
      </c>
      <c r="K1416">
        <v>12</v>
      </c>
      <c r="L1416" s="21">
        <v>526.54</v>
      </c>
      <c r="M1416" s="21">
        <v>4914.41</v>
      </c>
      <c r="N1416" s="21">
        <v>3616.84</v>
      </c>
      <c r="O1416" s="21">
        <v>771.03</v>
      </c>
      <c r="P1416" t="s">
        <v>123</v>
      </c>
      <c r="Q1416" t="s">
        <v>120</v>
      </c>
      <c r="R1416" t="s">
        <v>151</v>
      </c>
      <c r="S1416" t="s">
        <v>3285</v>
      </c>
      <c r="T1416" t="s">
        <v>153</v>
      </c>
      <c r="U1416" t="s">
        <v>154</v>
      </c>
      <c r="V1416" t="str">
        <f>IFERROR(INDEX(Products!$C:$C,MATCH(D1416,Products!$A:$A,0)),"Unknown")</f>
        <v>Wallets</v>
      </c>
      <c r="W1416" t="str">
        <f>IFERROR(INDEX(Products!$E:$E,MATCH(D1416,Products!$A:$A,0)),"Unknown")</f>
        <v>Louis Philippe</v>
      </c>
      <c r="X1416" t="str">
        <f>IFERROR(INDEX(Stores!$B:$B,MATCH(E1416,Stores!$A:$A,0)),"Unknown")</f>
        <v>TrendMart Kozhikode High Street</v>
      </c>
      <c r="Y1416" t="str">
        <f>IFERROR(INDEX(Stores!$E:$E,MATCH(E1416,Stores!$A:$A,0)),"Unknown")</f>
        <v>South Zone 1</v>
      </c>
      <c r="Z1416" t="str">
        <f>IFERROR(INDEX(Customers!$J:$J,MATCH(C1416,Customers!$A:$A,0)),"Unknown")</f>
        <v>Regular</v>
      </c>
      <c r="AA1416" t="str">
        <f t="shared" si="22"/>
        <v>2025-03</v>
      </c>
      <c r="AB1416" t="str">
        <f>IFERROR(INDEX(Products!$I:$I,MATCH(D1416,Products!$A:$A,0)),"Unknown")</f>
        <v>SUP039</v>
      </c>
    </row>
    <row r="1417" spans="1:28" x14ac:dyDescent="0.25">
      <c r="A1417" t="s">
        <v>3286</v>
      </c>
      <c r="B1417" s="20">
        <v>45547</v>
      </c>
      <c r="C1417" t="s">
        <v>2197</v>
      </c>
      <c r="D1417" t="s">
        <v>494</v>
      </c>
      <c r="E1417" t="s">
        <v>848</v>
      </c>
      <c r="F1417" t="s">
        <v>211</v>
      </c>
      <c r="G1417">
        <v>1</v>
      </c>
      <c r="H1417" s="21">
        <v>1718.61</v>
      </c>
      <c r="I1417">
        <v>0</v>
      </c>
      <c r="J1417" s="21">
        <v>0</v>
      </c>
      <c r="K1417">
        <v>12</v>
      </c>
      <c r="L1417" s="21">
        <v>206.23</v>
      </c>
      <c r="M1417" s="21">
        <v>1924.84</v>
      </c>
      <c r="N1417" s="21">
        <v>1140.9000000000001</v>
      </c>
      <c r="O1417" s="21">
        <v>577.71</v>
      </c>
      <c r="P1417" t="s">
        <v>124</v>
      </c>
      <c r="Q1417" t="s">
        <v>120</v>
      </c>
      <c r="R1417" t="s">
        <v>151</v>
      </c>
      <c r="S1417" t="s">
        <v>2234</v>
      </c>
      <c r="T1417" t="s">
        <v>153</v>
      </c>
      <c r="U1417" t="s">
        <v>154</v>
      </c>
      <c r="V1417" t="str">
        <f>IFERROR(INDEX(Products!$C:$C,MATCH(D1417,Products!$A:$A,0)),"Unknown")</f>
        <v>Women Dresses</v>
      </c>
      <c r="W1417" t="str">
        <f>IFERROR(INDEX(Products!$E:$E,MATCH(D1417,Products!$A:$A,0)),"Unknown")</f>
        <v>Reebok</v>
      </c>
      <c r="X1417" t="str">
        <f>IFERROR(INDEX(Stores!$B:$B,MATCH(E1417,Stores!$A:$A,0)),"Unknown")</f>
        <v>TrendMart Shivamogga Standard</v>
      </c>
      <c r="Y1417" t="str">
        <f>IFERROR(INDEX(Stores!$E:$E,MATCH(E1417,Stores!$A:$A,0)),"Unknown")</f>
        <v>South Zone 2</v>
      </c>
      <c r="Z1417" t="str">
        <f>IFERROR(INDEX(Customers!$J:$J,MATCH(C1417,Customers!$A:$A,0)),"Unknown")</f>
        <v>Silver</v>
      </c>
      <c r="AA1417" t="str">
        <f t="shared" si="22"/>
        <v>2024-09</v>
      </c>
      <c r="AB1417" t="str">
        <f>IFERROR(INDEX(Products!$I:$I,MATCH(D1417,Products!$A:$A,0)),"Unknown")</f>
        <v>SUP085</v>
      </c>
    </row>
    <row r="1418" spans="1:28" x14ac:dyDescent="0.25">
      <c r="A1418" t="s">
        <v>3287</v>
      </c>
      <c r="B1418" s="20">
        <v>45644</v>
      </c>
      <c r="C1418" t="s">
        <v>3073</v>
      </c>
      <c r="D1418" t="s">
        <v>763</v>
      </c>
      <c r="E1418" t="s">
        <v>617</v>
      </c>
      <c r="F1418" t="s">
        <v>532</v>
      </c>
      <c r="G1418">
        <v>1</v>
      </c>
      <c r="H1418" s="21">
        <v>1116.95</v>
      </c>
      <c r="I1418">
        <v>5</v>
      </c>
      <c r="J1418" s="21">
        <v>55.85</v>
      </c>
      <c r="K1418">
        <v>12</v>
      </c>
      <c r="L1418" s="21">
        <v>127.33</v>
      </c>
      <c r="M1418" s="21">
        <v>1188.43</v>
      </c>
      <c r="N1418" s="21">
        <v>815.46</v>
      </c>
      <c r="O1418" s="21">
        <v>245.64</v>
      </c>
      <c r="P1418" t="s">
        <v>123</v>
      </c>
      <c r="Q1418" t="s">
        <v>120</v>
      </c>
      <c r="R1418" t="s">
        <v>151</v>
      </c>
      <c r="S1418" t="s">
        <v>997</v>
      </c>
      <c r="T1418" t="s">
        <v>153</v>
      </c>
      <c r="U1418" t="s">
        <v>154</v>
      </c>
      <c r="V1418" t="str">
        <f>IFERROR(INDEX(Products!$C:$C,MATCH(D1418,Products!$A:$A,0)),"Unknown")</f>
        <v>Watches</v>
      </c>
      <c r="W1418" t="str">
        <f>IFERROR(INDEX(Products!$E:$E,MATCH(D1418,Products!$A:$A,0)),"Unknown")</f>
        <v>Libas</v>
      </c>
      <c r="X1418" t="str">
        <f>IFERROR(INDEX(Stores!$B:$B,MATCH(E1418,Stores!$A:$A,0)),"Unknown")</f>
        <v>TrendMart Mangaluru High Street</v>
      </c>
      <c r="Y1418" t="str">
        <f>IFERROR(INDEX(Stores!$E:$E,MATCH(E1418,Stores!$A:$A,0)),"Unknown")</f>
        <v>South Zone 2</v>
      </c>
      <c r="Z1418" t="str">
        <f>IFERROR(INDEX(Customers!$J:$J,MATCH(C1418,Customers!$A:$A,0)),"Unknown")</f>
        <v>Regular</v>
      </c>
      <c r="AA1418" t="str">
        <f t="shared" si="22"/>
        <v>2024-12</v>
      </c>
      <c r="AB1418" t="str">
        <f>IFERROR(INDEX(Products!$I:$I,MATCH(D1418,Products!$A:$A,0)),"Unknown")</f>
        <v>SUP047</v>
      </c>
    </row>
    <row r="1419" spans="1:28" x14ac:dyDescent="0.25">
      <c r="A1419" t="s">
        <v>3288</v>
      </c>
      <c r="B1419" s="20">
        <v>45465</v>
      </c>
      <c r="C1419" t="s">
        <v>3028</v>
      </c>
      <c r="D1419" t="s">
        <v>573</v>
      </c>
      <c r="E1419" t="s">
        <v>391</v>
      </c>
      <c r="F1419" t="s">
        <v>165</v>
      </c>
      <c r="G1419">
        <v>3</v>
      </c>
      <c r="H1419" s="21">
        <v>1119.32</v>
      </c>
      <c r="I1419">
        <v>0</v>
      </c>
      <c r="J1419" s="21">
        <v>0</v>
      </c>
      <c r="K1419">
        <v>12</v>
      </c>
      <c r="L1419" s="21">
        <v>402.96</v>
      </c>
      <c r="M1419" s="21">
        <v>3760.92</v>
      </c>
      <c r="N1419" s="21">
        <v>2161.59</v>
      </c>
      <c r="O1419" s="21">
        <v>1196.3699999999999</v>
      </c>
      <c r="P1419" t="s">
        <v>123</v>
      </c>
      <c r="Q1419" t="s">
        <v>120</v>
      </c>
      <c r="R1419" t="s">
        <v>151</v>
      </c>
      <c r="S1419" t="s">
        <v>3289</v>
      </c>
      <c r="T1419" t="s">
        <v>161</v>
      </c>
      <c r="U1419" t="s">
        <v>154</v>
      </c>
      <c r="V1419" t="str">
        <f>IFERROR(INDEX(Products!$C:$C,MATCH(D1419,Products!$A:$A,0)),"Unknown")</f>
        <v>Women Jeans</v>
      </c>
      <c r="W1419" t="str">
        <f>IFERROR(INDEX(Products!$E:$E,MATCH(D1419,Products!$A:$A,0)),"Unknown")</f>
        <v>Sonata</v>
      </c>
      <c r="X1419" t="str">
        <f>IFERROR(INDEX(Stores!$B:$B,MATCH(E1419,Stores!$A:$A,0)),"Unknown")</f>
        <v>TrendMart Warangal High Street</v>
      </c>
      <c r="Y1419" t="str">
        <f>IFERROR(INDEX(Stores!$E:$E,MATCH(E1419,Stores!$A:$A,0)),"Unknown")</f>
        <v>South Zone 2</v>
      </c>
      <c r="Z1419" t="str">
        <f>IFERROR(INDEX(Customers!$J:$J,MATCH(C1419,Customers!$A:$A,0)),"Unknown")</f>
        <v>Gold</v>
      </c>
      <c r="AA1419" t="str">
        <f t="shared" si="22"/>
        <v>2024-06</v>
      </c>
      <c r="AB1419" t="str">
        <f>IFERROR(INDEX(Products!$I:$I,MATCH(D1419,Products!$A:$A,0)),"Unknown")</f>
        <v>SUP017</v>
      </c>
    </row>
    <row r="1420" spans="1:28" x14ac:dyDescent="0.25">
      <c r="A1420" t="s">
        <v>3290</v>
      </c>
      <c r="B1420" s="20">
        <v>45618</v>
      </c>
      <c r="C1420" t="s">
        <v>1800</v>
      </c>
      <c r="D1420" t="s">
        <v>689</v>
      </c>
      <c r="E1420" t="s">
        <v>262</v>
      </c>
      <c r="F1420" t="s">
        <v>596</v>
      </c>
      <c r="G1420">
        <v>2</v>
      </c>
      <c r="H1420" s="21">
        <v>785.84</v>
      </c>
      <c r="I1420">
        <v>15</v>
      </c>
      <c r="J1420" s="21">
        <v>235.75</v>
      </c>
      <c r="K1420">
        <v>5</v>
      </c>
      <c r="L1420" s="21">
        <v>66.8</v>
      </c>
      <c r="M1420" s="21">
        <v>1402.73</v>
      </c>
      <c r="N1420" s="21">
        <v>1182.76</v>
      </c>
      <c r="O1420" s="21">
        <v>153.16999999999999</v>
      </c>
      <c r="P1420" t="s">
        <v>124</v>
      </c>
      <c r="Q1420" t="s">
        <v>120</v>
      </c>
      <c r="R1420" t="s">
        <v>151</v>
      </c>
      <c r="S1420" t="s">
        <v>3291</v>
      </c>
      <c r="T1420" t="s">
        <v>153</v>
      </c>
      <c r="U1420" t="s">
        <v>154</v>
      </c>
      <c r="V1420" t="str">
        <f>IFERROR(INDEX(Products!$C:$C,MATCH(D1420,Products!$A:$A,0)),"Unknown")</f>
        <v>Kids Wear</v>
      </c>
      <c r="W1420" t="str">
        <f>IFERROR(INDEX(Products!$E:$E,MATCH(D1420,Products!$A:$A,0)),"Unknown")</f>
        <v>Libas</v>
      </c>
      <c r="X1420" t="str">
        <f>IFERROR(INDEX(Stores!$B:$B,MATCH(E1420,Stores!$A:$A,0)),"Unknown")</f>
        <v>TrendMart Thoothukudi Outlet</v>
      </c>
      <c r="Y1420" t="str">
        <f>IFERROR(INDEX(Stores!$E:$E,MATCH(E1420,Stores!$A:$A,0)),"Unknown")</f>
        <v>South Zone 1</v>
      </c>
      <c r="Z1420" t="str">
        <f>IFERROR(INDEX(Customers!$J:$J,MATCH(C1420,Customers!$A:$A,0)),"Unknown")</f>
        <v>Platinum</v>
      </c>
      <c r="AA1420" t="str">
        <f t="shared" si="22"/>
        <v>2024-11</v>
      </c>
      <c r="AB1420" t="str">
        <f>IFERROR(INDEX(Products!$I:$I,MATCH(D1420,Products!$A:$A,0)),"Unknown")</f>
        <v>SUP031</v>
      </c>
    </row>
    <row r="1421" spans="1:28" x14ac:dyDescent="0.25">
      <c r="A1421" t="s">
        <v>3292</v>
      </c>
      <c r="B1421" s="20">
        <v>45710</v>
      </c>
      <c r="C1421" t="s">
        <v>2650</v>
      </c>
      <c r="D1421" t="s">
        <v>251</v>
      </c>
      <c r="E1421" t="s">
        <v>88</v>
      </c>
      <c r="F1421" t="s">
        <v>211</v>
      </c>
      <c r="G1421">
        <v>3</v>
      </c>
      <c r="H1421" s="21">
        <v>942.55</v>
      </c>
      <c r="I1421">
        <v>10</v>
      </c>
      <c r="J1421" s="21">
        <v>282.76</v>
      </c>
      <c r="K1421">
        <v>5</v>
      </c>
      <c r="L1421" s="21">
        <v>127.24</v>
      </c>
      <c r="M1421" s="21">
        <v>2672.13</v>
      </c>
      <c r="N1421" s="21">
        <v>1604.43</v>
      </c>
      <c r="O1421" s="21">
        <v>940.46</v>
      </c>
      <c r="P1421" t="s">
        <v>124</v>
      </c>
      <c r="Q1421" t="s">
        <v>120</v>
      </c>
      <c r="R1421" t="s">
        <v>151</v>
      </c>
      <c r="S1421" t="s">
        <v>2948</v>
      </c>
      <c r="T1421" t="s">
        <v>161</v>
      </c>
      <c r="U1421" t="s">
        <v>154</v>
      </c>
      <c r="V1421" t="str">
        <f>IFERROR(INDEX(Products!$C:$C,MATCH(D1421,Products!$A:$A,0)),"Unknown")</f>
        <v>Women Tops</v>
      </c>
      <c r="W1421" t="str">
        <f>IFERROR(INDEX(Products!$E:$E,MATCH(D1421,Products!$A:$A,0)),"Unknown")</f>
        <v>US Polo Assn</v>
      </c>
      <c r="X1421" t="str">
        <f>IFERROR(INDEX(Stores!$B:$B,MATCH(E1421,Stores!$A:$A,0)),"Unknown")</f>
        <v>TrendMart Kozhikode Mall Kiosk</v>
      </c>
      <c r="Y1421" t="str">
        <f>IFERROR(INDEX(Stores!$E:$E,MATCH(E1421,Stores!$A:$A,0)),"Unknown")</f>
        <v>South Zone 1</v>
      </c>
      <c r="Z1421" t="str">
        <f>IFERROR(INDEX(Customers!$J:$J,MATCH(C1421,Customers!$A:$A,0)),"Unknown")</f>
        <v>Platinum</v>
      </c>
      <c r="AA1421" t="str">
        <f t="shared" si="22"/>
        <v>2025-02</v>
      </c>
      <c r="AB1421" t="str">
        <f>IFERROR(INDEX(Products!$I:$I,MATCH(D1421,Products!$A:$A,0)),"Unknown")</f>
        <v>SUP039</v>
      </c>
    </row>
    <row r="1422" spans="1:28" x14ac:dyDescent="0.25">
      <c r="A1422" t="s">
        <v>3293</v>
      </c>
      <c r="B1422" s="20">
        <v>45581</v>
      </c>
      <c r="C1422" t="s">
        <v>710</v>
      </c>
      <c r="D1422" t="s">
        <v>2853</v>
      </c>
      <c r="E1422" t="s">
        <v>1171</v>
      </c>
      <c r="F1422" t="s">
        <v>221</v>
      </c>
      <c r="G1422">
        <v>3</v>
      </c>
      <c r="H1422" s="21">
        <v>1128.23</v>
      </c>
      <c r="I1422">
        <v>0</v>
      </c>
      <c r="J1422" s="21">
        <v>0</v>
      </c>
      <c r="K1422">
        <v>12</v>
      </c>
      <c r="L1422" s="21">
        <v>406.16</v>
      </c>
      <c r="M1422" s="21">
        <v>3790.85</v>
      </c>
      <c r="N1422" s="21">
        <v>2395.38</v>
      </c>
      <c r="O1422" s="21">
        <v>989.31</v>
      </c>
      <c r="P1422" t="s">
        <v>124</v>
      </c>
      <c r="Q1422" t="s">
        <v>120</v>
      </c>
      <c r="R1422" t="s">
        <v>151</v>
      </c>
      <c r="S1422" t="s">
        <v>3294</v>
      </c>
      <c r="T1422" t="s">
        <v>153</v>
      </c>
      <c r="U1422" t="s">
        <v>154</v>
      </c>
      <c r="V1422" t="str">
        <f>IFERROR(INDEX(Products!$C:$C,MATCH(D1422,Products!$A:$A,0)),"Unknown")</f>
        <v>Men Trousers</v>
      </c>
      <c r="W1422" t="str">
        <f>IFERROR(INDEX(Products!$E:$E,MATCH(D1422,Products!$A:$A,0)),"Unknown")</f>
        <v>Arrow</v>
      </c>
      <c r="X1422" t="str">
        <f>IFERROR(INDEX(Stores!$B:$B,MATCH(E1422,Stores!$A:$A,0)),"Unknown")</f>
        <v>TrendMart Chennai Standard</v>
      </c>
      <c r="Y1422" t="str">
        <f>IFERROR(INDEX(Stores!$E:$E,MATCH(E1422,Stores!$A:$A,0)),"Unknown")</f>
        <v>South Zone 1</v>
      </c>
      <c r="Z1422" t="str">
        <f>IFERROR(INDEX(Customers!$J:$J,MATCH(C1422,Customers!$A:$A,0)),"Unknown")</f>
        <v>Gold</v>
      </c>
      <c r="AA1422" t="str">
        <f t="shared" si="22"/>
        <v>2024-10</v>
      </c>
      <c r="AB1422" t="str">
        <f>IFERROR(INDEX(Products!$I:$I,MATCH(D1422,Products!$A:$A,0)),"Unknown")</f>
        <v>SUP050</v>
      </c>
    </row>
    <row r="1423" spans="1:28" x14ac:dyDescent="0.25">
      <c r="A1423" t="s">
        <v>3295</v>
      </c>
      <c r="B1423" s="20">
        <v>45600</v>
      </c>
      <c r="C1423" t="s">
        <v>423</v>
      </c>
      <c r="D1423" t="s">
        <v>329</v>
      </c>
      <c r="E1423" t="s">
        <v>1962</v>
      </c>
      <c r="F1423" t="s">
        <v>286</v>
      </c>
      <c r="G1423">
        <v>5</v>
      </c>
      <c r="H1423" s="21">
        <v>675.69</v>
      </c>
      <c r="I1423">
        <v>20</v>
      </c>
      <c r="J1423" s="21">
        <v>675.69</v>
      </c>
      <c r="K1423">
        <v>5</v>
      </c>
      <c r="L1423" s="21">
        <v>135.13999999999999</v>
      </c>
      <c r="M1423" s="21">
        <v>2837.9</v>
      </c>
      <c r="N1423" s="21">
        <v>2096.4</v>
      </c>
      <c r="O1423" s="21">
        <v>606.36</v>
      </c>
      <c r="P1423" t="s">
        <v>123</v>
      </c>
      <c r="Q1423" t="s">
        <v>120</v>
      </c>
      <c r="R1423" t="s">
        <v>151</v>
      </c>
      <c r="S1423" t="s">
        <v>2350</v>
      </c>
      <c r="T1423" t="s">
        <v>153</v>
      </c>
      <c r="U1423" t="s">
        <v>154</v>
      </c>
      <c r="V1423" t="str">
        <f>IFERROR(INDEX(Products!$C:$C,MATCH(D1423,Products!$A:$A,0)),"Unknown")</f>
        <v>Men T-Shirts</v>
      </c>
      <c r="W1423" t="str">
        <f>IFERROR(INDEX(Products!$E:$E,MATCH(D1423,Products!$A:$A,0)),"Unknown")</f>
        <v>Peter England</v>
      </c>
      <c r="X1423" t="str">
        <f>IFERROR(INDEX(Stores!$B:$B,MATCH(E1423,Stores!$A:$A,0)),"Unknown")</f>
        <v>TrendMart Guntur High Street</v>
      </c>
      <c r="Y1423" t="str">
        <f>IFERROR(INDEX(Stores!$E:$E,MATCH(E1423,Stores!$A:$A,0)),"Unknown")</f>
        <v>South Zone 3</v>
      </c>
      <c r="Z1423" t="str">
        <f>IFERROR(INDEX(Customers!$J:$J,MATCH(C1423,Customers!$A:$A,0)),"Unknown")</f>
        <v>Gold</v>
      </c>
      <c r="AA1423" t="str">
        <f t="shared" si="22"/>
        <v>2024-11</v>
      </c>
      <c r="AB1423" t="str">
        <f>IFERROR(INDEX(Products!$I:$I,MATCH(D1423,Products!$A:$A,0)),"Unknown")</f>
        <v>SUP071</v>
      </c>
    </row>
    <row r="1424" spans="1:28" x14ac:dyDescent="0.25">
      <c r="A1424" t="s">
        <v>3296</v>
      </c>
      <c r="B1424" s="20">
        <v>45741</v>
      </c>
      <c r="C1424" t="s">
        <v>338</v>
      </c>
      <c r="D1424" t="s">
        <v>717</v>
      </c>
      <c r="E1424" t="s">
        <v>94</v>
      </c>
      <c r="F1424" t="s">
        <v>462</v>
      </c>
      <c r="G1424">
        <v>1</v>
      </c>
      <c r="H1424" s="21">
        <v>1723.54</v>
      </c>
      <c r="I1424">
        <v>5</v>
      </c>
      <c r="J1424" s="21">
        <v>86.18</v>
      </c>
      <c r="K1424">
        <v>12</v>
      </c>
      <c r="L1424" s="21">
        <v>196.48</v>
      </c>
      <c r="M1424" s="21">
        <v>1833.84</v>
      </c>
      <c r="N1424" s="21">
        <v>1133.27</v>
      </c>
      <c r="O1424" s="21">
        <v>504.09</v>
      </c>
      <c r="P1424" t="s">
        <v>125</v>
      </c>
      <c r="Q1424" t="s">
        <v>120</v>
      </c>
      <c r="R1424" t="s">
        <v>151</v>
      </c>
      <c r="S1424" t="s">
        <v>1733</v>
      </c>
      <c r="T1424" t="s">
        <v>153</v>
      </c>
      <c r="U1424" t="s">
        <v>154</v>
      </c>
      <c r="V1424" t="str">
        <f>IFERROR(INDEX(Products!$C:$C,MATCH(D1424,Products!$A:$A,0)),"Unknown")</f>
        <v>Women Dresses</v>
      </c>
      <c r="W1424" t="str">
        <f>IFERROR(INDEX(Products!$E:$E,MATCH(D1424,Products!$A:$A,0)),"Unknown")</f>
        <v>Pantaloons</v>
      </c>
      <c r="X1424" t="str">
        <f>IFERROR(INDEX(Stores!$B:$B,MATCH(E1424,Stores!$A:$A,0)),"Unknown")</f>
        <v>TrendMart Bengaluru Mall Kiosk</v>
      </c>
      <c r="Y1424" t="str">
        <f>IFERROR(INDEX(Stores!$E:$E,MATCH(E1424,Stores!$A:$A,0)),"Unknown")</f>
        <v>South Zone 2</v>
      </c>
      <c r="Z1424" t="str">
        <f>IFERROR(INDEX(Customers!$J:$J,MATCH(C1424,Customers!$A:$A,0)),"Unknown")</f>
        <v>Platinum</v>
      </c>
      <c r="AA1424" t="str">
        <f t="shared" si="22"/>
        <v>2025-03</v>
      </c>
      <c r="AB1424" t="str">
        <f>IFERROR(INDEX(Products!$I:$I,MATCH(D1424,Products!$A:$A,0)),"Unknown")</f>
        <v>SUP046</v>
      </c>
    </row>
    <row r="1425" spans="1:28" x14ac:dyDescent="0.25">
      <c r="A1425" t="s">
        <v>3297</v>
      </c>
      <c r="B1425" s="20">
        <v>45569</v>
      </c>
      <c r="C1425" t="s">
        <v>2458</v>
      </c>
      <c r="D1425" t="s">
        <v>1539</v>
      </c>
      <c r="E1425" t="s">
        <v>252</v>
      </c>
      <c r="F1425" t="s">
        <v>618</v>
      </c>
      <c r="G1425">
        <v>1</v>
      </c>
      <c r="H1425" s="21">
        <v>1180.6199999999999</v>
      </c>
      <c r="I1425">
        <v>30</v>
      </c>
      <c r="J1425" s="21">
        <v>354.19</v>
      </c>
      <c r="K1425">
        <v>12</v>
      </c>
      <c r="L1425" s="21">
        <v>99.17</v>
      </c>
      <c r="M1425" s="21">
        <v>925.6</v>
      </c>
      <c r="N1425" s="21">
        <v>917.44</v>
      </c>
      <c r="O1425" s="21">
        <v>-91.01</v>
      </c>
      <c r="P1425" t="s">
        <v>126</v>
      </c>
      <c r="Q1425" t="s">
        <v>122</v>
      </c>
      <c r="R1425" t="s">
        <v>151</v>
      </c>
      <c r="S1425" t="s">
        <v>2844</v>
      </c>
      <c r="T1425" t="s">
        <v>153</v>
      </c>
      <c r="U1425" t="s">
        <v>184</v>
      </c>
      <c r="V1425" t="str">
        <f>IFERROR(INDEX(Products!$C:$C,MATCH(D1425,Products!$A:$A,0)),"Unknown")</f>
        <v>Wallets</v>
      </c>
      <c r="W1425" t="str">
        <f>IFERROR(INDEX(Products!$E:$E,MATCH(D1425,Products!$A:$A,0)),"Unknown")</f>
        <v>Reebok</v>
      </c>
      <c r="X1425" t="str">
        <f>IFERROR(INDEX(Stores!$B:$B,MATCH(E1425,Stores!$A:$A,0)),"Unknown")</f>
        <v>TrendMart Nellore Standard</v>
      </c>
      <c r="Y1425" t="str">
        <f>IFERROR(INDEX(Stores!$E:$E,MATCH(E1425,Stores!$A:$A,0)),"Unknown")</f>
        <v>South Zone 3</v>
      </c>
      <c r="Z1425" t="str">
        <f>IFERROR(INDEX(Customers!$J:$J,MATCH(C1425,Customers!$A:$A,0)),"Unknown")</f>
        <v>Silver</v>
      </c>
      <c r="AA1425" t="str">
        <f t="shared" si="22"/>
        <v>2024-10</v>
      </c>
      <c r="AB1425" t="str">
        <f>IFERROR(INDEX(Products!$I:$I,MATCH(D1425,Products!$A:$A,0)),"Unknown")</f>
        <v>SUP007</v>
      </c>
    </row>
    <row r="1426" spans="1:28" x14ac:dyDescent="0.25">
      <c r="A1426" t="s">
        <v>3298</v>
      </c>
      <c r="B1426" s="20">
        <v>45398</v>
      </c>
      <c r="C1426" t="s">
        <v>3299</v>
      </c>
      <c r="D1426" t="s">
        <v>949</v>
      </c>
      <c r="E1426" t="s">
        <v>914</v>
      </c>
      <c r="F1426" t="s">
        <v>237</v>
      </c>
      <c r="G1426">
        <v>1</v>
      </c>
      <c r="H1426" s="21">
        <v>1514.62</v>
      </c>
      <c r="I1426">
        <v>10</v>
      </c>
      <c r="J1426" s="21">
        <v>151.46</v>
      </c>
      <c r="K1426">
        <v>12</v>
      </c>
      <c r="L1426" s="21">
        <v>163.58000000000001</v>
      </c>
      <c r="M1426" s="21">
        <v>1526.74</v>
      </c>
      <c r="N1426" s="21">
        <v>988.57</v>
      </c>
      <c r="O1426" s="21">
        <v>374.59</v>
      </c>
      <c r="P1426" t="s">
        <v>123</v>
      </c>
      <c r="Q1426" t="s">
        <v>122</v>
      </c>
      <c r="R1426" t="s">
        <v>151</v>
      </c>
      <c r="S1426" t="s">
        <v>1220</v>
      </c>
      <c r="T1426" t="s">
        <v>153</v>
      </c>
      <c r="U1426" t="s">
        <v>154</v>
      </c>
      <c r="V1426" t="str">
        <f>IFERROR(INDEX(Products!$C:$C,MATCH(D1426,Products!$A:$A,0)),"Unknown")</f>
        <v>Handbags</v>
      </c>
      <c r="W1426" t="str">
        <f>IFERROR(INDEX(Products!$E:$E,MATCH(D1426,Products!$A:$A,0)),"Unknown")</f>
        <v>Fastrack</v>
      </c>
      <c r="X1426" t="str">
        <f>IFERROR(INDEX(Stores!$B:$B,MATCH(E1426,Stores!$A:$A,0)),"Unknown")</f>
        <v>TrendMart Thiruvananthapuram Outlet</v>
      </c>
      <c r="Y1426" t="str">
        <f>IFERROR(INDEX(Stores!$E:$E,MATCH(E1426,Stores!$A:$A,0)),"Unknown")</f>
        <v>South Zone 1</v>
      </c>
      <c r="Z1426" t="str">
        <f>IFERROR(INDEX(Customers!$J:$J,MATCH(C1426,Customers!$A:$A,0)),"Unknown")</f>
        <v>Platinum</v>
      </c>
      <c r="AA1426" t="str">
        <f t="shared" si="22"/>
        <v>2024-04</v>
      </c>
      <c r="AB1426" t="str">
        <f>IFERROR(INDEX(Products!$I:$I,MATCH(D1426,Products!$A:$A,0)),"Unknown")</f>
        <v>SUP069</v>
      </c>
    </row>
    <row r="1427" spans="1:28" x14ac:dyDescent="0.25">
      <c r="A1427" t="s">
        <v>3300</v>
      </c>
      <c r="B1427" s="20">
        <v>45417</v>
      </c>
      <c r="C1427" t="s">
        <v>2522</v>
      </c>
      <c r="D1427" t="s">
        <v>169</v>
      </c>
      <c r="E1427" t="s">
        <v>906</v>
      </c>
      <c r="F1427" t="s">
        <v>237</v>
      </c>
      <c r="G1427">
        <v>3</v>
      </c>
      <c r="H1427" s="21">
        <v>4825.01</v>
      </c>
      <c r="I1427">
        <v>25</v>
      </c>
      <c r="J1427" s="21">
        <v>3618.76</v>
      </c>
      <c r="K1427">
        <v>12</v>
      </c>
      <c r="L1427" s="21">
        <v>1302.75</v>
      </c>
      <c r="M1427" s="21">
        <v>12159.02</v>
      </c>
      <c r="N1427" s="21">
        <v>10112.4</v>
      </c>
      <c r="O1427" s="21">
        <v>743.87</v>
      </c>
      <c r="P1427" t="s">
        <v>124</v>
      </c>
      <c r="Q1427" t="s">
        <v>120</v>
      </c>
      <c r="R1427" t="s">
        <v>151</v>
      </c>
      <c r="S1427" t="s">
        <v>2090</v>
      </c>
      <c r="T1427" t="s">
        <v>161</v>
      </c>
      <c r="U1427" t="s">
        <v>154</v>
      </c>
      <c r="V1427" t="str">
        <f>IFERROR(INDEX(Products!$C:$C,MATCH(D1427,Products!$A:$A,0)),"Unknown")</f>
        <v>Women Sarees</v>
      </c>
      <c r="W1427" t="str">
        <f>IFERROR(INDEX(Products!$E:$E,MATCH(D1427,Products!$A:$A,0)),"Unknown")</f>
        <v>Max Fashion</v>
      </c>
      <c r="X1427" t="str">
        <f>IFERROR(INDEX(Stores!$B:$B,MATCH(E1427,Stores!$A:$A,0)),"Unknown")</f>
        <v>TrendMart Vijayawada Standard</v>
      </c>
      <c r="Y1427" t="str">
        <f>IFERROR(INDEX(Stores!$E:$E,MATCH(E1427,Stores!$A:$A,0)),"Unknown")</f>
        <v>South Zone 3</v>
      </c>
      <c r="Z1427" t="str">
        <f>IFERROR(INDEX(Customers!$J:$J,MATCH(C1427,Customers!$A:$A,0)),"Unknown")</f>
        <v>Platinum</v>
      </c>
      <c r="AA1427" t="str">
        <f t="shared" si="22"/>
        <v>2024-05</v>
      </c>
      <c r="AB1427" t="str">
        <f>IFERROR(INDEX(Products!$I:$I,MATCH(D1427,Products!$A:$A,0)),"Unknown")</f>
        <v>SUP084</v>
      </c>
    </row>
    <row r="1428" spans="1:28" x14ac:dyDescent="0.25">
      <c r="A1428" t="s">
        <v>3301</v>
      </c>
      <c r="B1428" s="20">
        <v>45568</v>
      </c>
      <c r="C1428" t="s">
        <v>1855</v>
      </c>
      <c r="D1428" t="s">
        <v>376</v>
      </c>
      <c r="E1428" t="s">
        <v>588</v>
      </c>
      <c r="F1428" t="s">
        <v>242</v>
      </c>
      <c r="G1428">
        <v>1</v>
      </c>
      <c r="H1428" s="21">
        <v>1374.28</v>
      </c>
      <c r="I1428">
        <v>30</v>
      </c>
      <c r="J1428" s="21">
        <v>412.28</v>
      </c>
      <c r="K1428">
        <v>12</v>
      </c>
      <c r="L1428" s="21">
        <v>115.44</v>
      </c>
      <c r="M1428" s="21">
        <v>1077.44</v>
      </c>
      <c r="N1428" s="21">
        <v>1025.24</v>
      </c>
      <c r="O1428" s="21">
        <v>-63.24</v>
      </c>
      <c r="P1428" t="s">
        <v>123</v>
      </c>
      <c r="Q1428" t="s">
        <v>120</v>
      </c>
      <c r="R1428" t="s">
        <v>151</v>
      </c>
      <c r="S1428" t="s">
        <v>592</v>
      </c>
      <c r="T1428" t="s">
        <v>153</v>
      </c>
      <c r="U1428" t="s">
        <v>184</v>
      </c>
      <c r="V1428" t="str">
        <f>IFERROR(INDEX(Products!$C:$C,MATCH(D1428,Products!$A:$A,0)),"Unknown")</f>
        <v>Women Jeans</v>
      </c>
      <c r="W1428" t="str">
        <f>IFERROR(INDEX(Products!$E:$E,MATCH(D1428,Products!$A:$A,0)),"Unknown")</f>
        <v>Pothys</v>
      </c>
      <c r="X1428" t="str">
        <f>IFERROR(INDEX(Stores!$B:$B,MATCH(E1428,Stores!$A:$A,0)),"Unknown")</f>
        <v>TrendMart Nizamabad Standard</v>
      </c>
      <c r="Y1428" t="str">
        <f>IFERROR(INDEX(Stores!$E:$E,MATCH(E1428,Stores!$A:$A,0)),"Unknown")</f>
        <v>South Zone 2</v>
      </c>
      <c r="Z1428" t="str">
        <f>IFERROR(INDEX(Customers!$J:$J,MATCH(C1428,Customers!$A:$A,0)),"Unknown")</f>
        <v>Platinum</v>
      </c>
      <c r="AA1428" t="str">
        <f t="shared" si="22"/>
        <v>2024-10</v>
      </c>
      <c r="AB1428" t="str">
        <f>IFERROR(INDEX(Products!$I:$I,MATCH(D1428,Products!$A:$A,0)),"Unknown")</f>
        <v>SUP015</v>
      </c>
    </row>
    <row r="1429" spans="1:28" x14ac:dyDescent="0.25">
      <c r="A1429" t="s">
        <v>3302</v>
      </c>
      <c r="B1429" s="20">
        <v>45651</v>
      </c>
      <c r="C1429" t="s">
        <v>990</v>
      </c>
      <c r="D1429" t="s">
        <v>558</v>
      </c>
      <c r="E1429" t="s">
        <v>241</v>
      </c>
      <c r="F1429" t="s">
        <v>443</v>
      </c>
      <c r="G1429">
        <v>1</v>
      </c>
      <c r="H1429" s="21">
        <v>663.42</v>
      </c>
      <c r="I1429">
        <v>0</v>
      </c>
      <c r="J1429" s="21">
        <v>0</v>
      </c>
      <c r="K1429">
        <v>5</v>
      </c>
      <c r="L1429" s="21">
        <v>33.17</v>
      </c>
      <c r="M1429" s="21">
        <v>696.59</v>
      </c>
      <c r="N1429" s="21">
        <v>457.16</v>
      </c>
      <c r="O1429" s="21">
        <v>206.26</v>
      </c>
      <c r="P1429" t="s">
        <v>124</v>
      </c>
      <c r="Q1429" t="s">
        <v>120</v>
      </c>
      <c r="R1429" t="s">
        <v>151</v>
      </c>
      <c r="S1429" t="s">
        <v>160</v>
      </c>
      <c r="T1429" t="s">
        <v>153</v>
      </c>
      <c r="U1429" t="s">
        <v>154</v>
      </c>
      <c r="V1429" t="str">
        <f>IFERROR(INDEX(Products!$C:$C,MATCH(D1429,Products!$A:$A,0)),"Unknown")</f>
        <v>Women Tops</v>
      </c>
      <c r="W1429" t="str">
        <f>IFERROR(INDEX(Products!$E:$E,MATCH(D1429,Products!$A:$A,0)),"Unknown")</f>
        <v>Aurelia</v>
      </c>
      <c r="X1429" t="str">
        <f>IFERROR(INDEX(Stores!$B:$B,MATCH(E1429,Stores!$A:$A,0)),"Unknown")</f>
        <v>TrendMart Nizamabad Mall Kiosk</v>
      </c>
      <c r="Y1429" t="str">
        <f>IFERROR(INDEX(Stores!$E:$E,MATCH(E1429,Stores!$A:$A,0)),"Unknown")</f>
        <v>South Zone 2</v>
      </c>
      <c r="Z1429" t="str">
        <f>IFERROR(INDEX(Customers!$J:$J,MATCH(C1429,Customers!$A:$A,0)),"Unknown")</f>
        <v>Silver</v>
      </c>
      <c r="AA1429" t="str">
        <f t="shared" si="22"/>
        <v>2024-12</v>
      </c>
      <c r="AB1429" t="str">
        <f>IFERROR(INDEX(Products!$I:$I,MATCH(D1429,Products!$A:$A,0)),"Unknown")</f>
        <v>SUP055</v>
      </c>
    </row>
    <row r="1430" spans="1:28" x14ac:dyDescent="0.25">
      <c r="A1430" t="s">
        <v>3303</v>
      </c>
      <c r="B1430" s="20">
        <v>45699</v>
      </c>
      <c r="C1430" t="s">
        <v>3304</v>
      </c>
      <c r="D1430" t="s">
        <v>386</v>
      </c>
      <c r="E1430" t="s">
        <v>94</v>
      </c>
      <c r="F1430" t="s">
        <v>232</v>
      </c>
      <c r="G1430">
        <v>2</v>
      </c>
      <c r="H1430" s="21">
        <v>1503.49</v>
      </c>
      <c r="I1430">
        <v>10</v>
      </c>
      <c r="J1430" s="21">
        <v>300.7</v>
      </c>
      <c r="K1430">
        <v>12</v>
      </c>
      <c r="L1430" s="21">
        <v>324.75</v>
      </c>
      <c r="M1430" s="21">
        <v>3031.03</v>
      </c>
      <c r="N1430" s="21">
        <v>2026.52</v>
      </c>
      <c r="O1430" s="21">
        <v>679.76</v>
      </c>
      <c r="P1430" t="s">
        <v>124</v>
      </c>
      <c r="Q1430" t="s">
        <v>120</v>
      </c>
      <c r="R1430" t="s">
        <v>151</v>
      </c>
      <c r="S1430" t="s">
        <v>3305</v>
      </c>
      <c r="T1430" t="s">
        <v>153</v>
      </c>
      <c r="U1430" t="s">
        <v>154</v>
      </c>
      <c r="V1430" t="str">
        <f>IFERROR(INDEX(Products!$C:$C,MATCH(D1430,Products!$A:$A,0)),"Unknown")</f>
        <v>Winter Wear</v>
      </c>
      <c r="W1430" t="str">
        <f>IFERROR(INDEX(Products!$E:$E,MATCH(D1430,Products!$A:$A,0)),"Unknown")</f>
        <v>Blackberrys</v>
      </c>
      <c r="X1430" t="str">
        <f>IFERROR(INDEX(Stores!$B:$B,MATCH(E1430,Stores!$A:$A,0)),"Unknown")</f>
        <v>TrendMart Bengaluru Mall Kiosk</v>
      </c>
      <c r="Y1430" t="str">
        <f>IFERROR(INDEX(Stores!$E:$E,MATCH(E1430,Stores!$A:$A,0)),"Unknown")</f>
        <v>South Zone 2</v>
      </c>
      <c r="Z1430" t="str">
        <f>IFERROR(INDEX(Customers!$J:$J,MATCH(C1430,Customers!$A:$A,0)),"Unknown")</f>
        <v>Gold</v>
      </c>
      <c r="AA1430" t="str">
        <f t="shared" si="22"/>
        <v>2025-02</v>
      </c>
      <c r="AB1430" t="str">
        <f>IFERROR(INDEX(Products!$I:$I,MATCH(D1430,Products!$A:$A,0)),"Unknown")</f>
        <v>SUP051</v>
      </c>
    </row>
    <row r="1431" spans="1:28" x14ac:dyDescent="0.25">
      <c r="A1431" t="s">
        <v>3306</v>
      </c>
      <c r="B1431" s="20">
        <v>45668</v>
      </c>
      <c r="C1431" t="s">
        <v>3307</v>
      </c>
      <c r="D1431" t="s">
        <v>1920</v>
      </c>
      <c r="E1431" t="s">
        <v>1187</v>
      </c>
      <c r="F1431" t="s">
        <v>516</v>
      </c>
      <c r="G1431">
        <v>1</v>
      </c>
      <c r="H1431" s="21">
        <v>930.43</v>
      </c>
      <c r="I1431">
        <v>30</v>
      </c>
      <c r="J1431" s="21">
        <v>279.13</v>
      </c>
      <c r="K1431">
        <v>5</v>
      </c>
      <c r="L1431" s="21">
        <v>32.56</v>
      </c>
      <c r="M1431" s="21">
        <v>683.86</v>
      </c>
      <c r="N1431" s="21">
        <v>535.47</v>
      </c>
      <c r="O1431" s="21">
        <v>115.83</v>
      </c>
      <c r="P1431" t="s">
        <v>121</v>
      </c>
      <c r="Q1431" t="s">
        <v>122</v>
      </c>
      <c r="R1431" t="s">
        <v>151</v>
      </c>
      <c r="S1431" t="s">
        <v>2938</v>
      </c>
      <c r="T1431" t="s">
        <v>161</v>
      </c>
      <c r="U1431" t="s">
        <v>154</v>
      </c>
      <c r="V1431" t="str">
        <f>IFERROR(INDEX(Products!$C:$C,MATCH(D1431,Products!$A:$A,0)),"Unknown")</f>
        <v>Accessories</v>
      </c>
      <c r="W1431" t="str">
        <f>IFERROR(INDEX(Products!$E:$E,MATCH(D1431,Products!$A:$A,0)),"Unknown")</f>
        <v>Metro Shoes</v>
      </c>
      <c r="X1431" t="str">
        <f>IFERROR(INDEX(Stores!$B:$B,MATCH(E1431,Stores!$A:$A,0)),"Unknown")</f>
        <v>TrendMart Vijayawada Mall Kiosk</v>
      </c>
      <c r="Y1431" t="str">
        <f>IFERROR(INDEX(Stores!$E:$E,MATCH(E1431,Stores!$A:$A,0)),"Unknown")</f>
        <v>South Zone 3</v>
      </c>
      <c r="Z1431" t="str">
        <f>IFERROR(INDEX(Customers!$J:$J,MATCH(C1431,Customers!$A:$A,0)),"Unknown")</f>
        <v>Silver</v>
      </c>
      <c r="AA1431" t="str">
        <f t="shared" si="22"/>
        <v>2025-01</v>
      </c>
      <c r="AB1431" t="str">
        <f>IFERROR(INDEX(Products!$I:$I,MATCH(D1431,Products!$A:$A,0)),"Unknown")</f>
        <v>SUP003</v>
      </c>
    </row>
    <row r="1432" spans="1:28" x14ac:dyDescent="0.25">
      <c r="A1432" t="s">
        <v>3308</v>
      </c>
      <c r="B1432" s="20">
        <v>45560</v>
      </c>
      <c r="C1432" t="s">
        <v>1793</v>
      </c>
      <c r="D1432" t="s">
        <v>1026</v>
      </c>
      <c r="E1432" t="s">
        <v>1442</v>
      </c>
      <c r="F1432" t="s">
        <v>286</v>
      </c>
      <c r="G1432">
        <v>2</v>
      </c>
      <c r="H1432" s="21">
        <v>1350.08</v>
      </c>
      <c r="I1432">
        <v>0</v>
      </c>
      <c r="J1432" s="21">
        <v>0</v>
      </c>
      <c r="K1432">
        <v>12</v>
      </c>
      <c r="L1432" s="21">
        <v>324.02</v>
      </c>
      <c r="M1432" s="21">
        <v>3024.18</v>
      </c>
      <c r="N1432" s="21">
        <v>1924.34</v>
      </c>
      <c r="O1432" s="21">
        <v>775.82</v>
      </c>
      <c r="P1432" t="s">
        <v>121</v>
      </c>
      <c r="Q1432" t="s">
        <v>120</v>
      </c>
      <c r="R1432" t="s">
        <v>151</v>
      </c>
      <c r="S1432" t="s">
        <v>1018</v>
      </c>
      <c r="T1432" t="s">
        <v>153</v>
      </c>
      <c r="U1432" t="s">
        <v>154</v>
      </c>
      <c r="V1432" t="str">
        <f>IFERROR(INDEX(Products!$C:$C,MATCH(D1432,Products!$A:$A,0)),"Unknown")</f>
        <v>Women Sarees</v>
      </c>
      <c r="W1432" t="str">
        <f>IFERROR(INDEX(Products!$E:$E,MATCH(D1432,Products!$A:$A,0)),"Unknown")</f>
        <v>Spykar</v>
      </c>
      <c r="X1432" t="str">
        <f>IFERROR(INDEX(Stores!$B:$B,MATCH(E1432,Stores!$A:$A,0)),"Unknown")</f>
        <v>TrendMart Vellore High Street</v>
      </c>
      <c r="Y1432" t="str">
        <f>IFERROR(INDEX(Stores!$E:$E,MATCH(E1432,Stores!$A:$A,0)),"Unknown")</f>
        <v>South Zone 1</v>
      </c>
      <c r="Z1432" t="str">
        <f>IFERROR(INDEX(Customers!$J:$J,MATCH(C1432,Customers!$A:$A,0)),"Unknown")</f>
        <v>Gold</v>
      </c>
      <c r="AA1432" t="str">
        <f t="shared" si="22"/>
        <v>2024-09</v>
      </c>
      <c r="AB1432" t="str">
        <f>IFERROR(INDEX(Products!$I:$I,MATCH(D1432,Products!$A:$A,0)),"Unknown")</f>
        <v>SUP001</v>
      </c>
    </row>
    <row r="1433" spans="1:28" x14ac:dyDescent="0.25">
      <c r="A1433" t="s">
        <v>3309</v>
      </c>
      <c r="B1433" s="20">
        <v>45592</v>
      </c>
      <c r="C1433" t="s">
        <v>2976</v>
      </c>
      <c r="D1433" t="s">
        <v>888</v>
      </c>
      <c r="E1433" t="s">
        <v>252</v>
      </c>
      <c r="F1433" t="s">
        <v>189</v>
      </c>
      <c r="G1433">
        <v>2</v>
      </c>
      <c r="H1433" s="21">
        <v>6897.11</v>
      </c>
      <c r="I1433">
        <v>20</v>
      </c>
      <c r="J1433" s="21">
        <v>2758.84</v>
      </c>
      <c r="K1433">
        <v>3</v>
      </c>
      <c r="L1433" s="21">
        <v>331.06</v>
      </c>
      <c r="M1433" s="21">
        <v>11366.44</v>
      </c>
      <c r="N1433" s="21">
        <v>9525.52</v>
      </c>
      <c r="O1433" s="21">
        <v>1509.86</v>
      </c>
      <c r="P1433" t="s">
        <v>125</v>
      </c>
      <c r="Q1433" t="s">
        <v>120</v>
      </c>
      <c r="R1433" t="s">
        <v>151</v>
      </c>
      <c r="S1433" t="s">
        <v>207</v>
      </c>
      <c r="T1433" t="s">
        <v>161</v>
      </c>
      <c r="U1433" t="s">
        <v>154</v>
      </c>
      <c r="V1433" t="str">
        <f>IFERROR(INDEX(Products!$C:$C,MATCH(D1433,Products!$A:$A,0)),"Unknown")</f>
        <v>Jewellery</v>
      </c>
      <c r="W1433" t="str">
        <f>IFERROR(INDEX(Products!$E:$E,MATCH(D1433,Products!$A:$A,0)),"Unknown")</f>
        <v>Aurelia</v>
      </c>
      <c r="X1433" t="str">
        <f>IFERROR(INDEX(Stores!$B:$B,MATCH(E1433,Stores!$A:$A,0)),"Unknown")</f>
        <v>TrendMart Nellore Standard</v>
      </c>
      <c r="Y1433" t="str">
        <f>IFERROR(INDEX(Stores!$E:$E,MATCH(E1433,Stores!$A:$A,0)),"Unknown")</f>
        <v>South Zone 3</v>
      </c>
      <c r="Z1433" t="str">
        <f>IFERROR(INDEX(Customers!$J:$J,MATCH(C1433,Customers!$A:$A,0)),"Unknown")</f>
        <v>Silver</v>
      </c>
      <c r="AA1433" t="str">
        <f t="shared" si="22"/>
        <v>2024-10</v>
      </c>
      <c r="AB1433" t="str">
        <f>IFERROR(INDEX(Products!$I:$I,MATCH(D1433,Products!$A:$A,0)),"Unknown")</f>
        <v>SUP038</v>
      </c>
    </row>
    <row r="1434" spans="1:28" x14ac:dyDescent="0.25">
      <c r="A1434" t="s">
        <v>3310</v>
      </c>
      <c r="B1434" s="20">
        <v>45406</v>
      </c>
      <c r="C1434" t="s">
        <v>3311</v>
      </c>
      <c r="D1434" t="s">
        <v>401</v>
      </c>
      <c r="E1434" t="s">
        <v>1023</v>
      </c>
      <c r="F1434" t="s">
        <v>269</v>
      </c>
      <c r="G1434">
        <v>1</v>
      </c>
      <c r="H1434" s="21">
        <v>1232.81</v>
      </c>
      <c r="I1434">
        <v>15</v>
      </c>
      <c r="J1434" s="21">
        <v>184.92</v>
      </c>
      <c r="K1434">
        <v>12</v>
      </c>
      <c r="L1434" s="21">
        <v>125.75</v>
      </c>
      <c r="M1434" s="21">
        <v>1173.6400000000001</v>
      </c>
      <c r="N1434" s="21">
        <v>767.83</v>
      </c>
      <c r="O1434" s="21">
        <v>280.06</v>
      </c>
      <c r="P1434" t="s">
        <v>121</v>
      </c>
      <c r="Q1434" t="s">
        <v>120</v>
      </c>
      <c r="R1434" t="s">
        <v>151</v>
      </c>
      <c r="S1434" t="s">
        <v>1735</v>
      </c>
      <c r="T1434" t="s">
        <v>153</v>
      </c>
      <c r="U1434" t="s">
        <v>154</v>
      </c>
      <c r="V1434" t="str">
        <f>IFERROR(INDEX(Products!$C:$C,MATCH(D1434,Products!$A:$A,0)),"Unknown")</f>
        <v>Women Jeans</v>
      </c>
      <c r="W1434" t="str">
        <f>IFERROR(INDEX(Products!$E:$E,MATCH(D1434,Products!$A:$A,0)),"Unknown")</f>
        <v>Being Human</v>
      </c>
      <c r="X1434" t="str">
        <f>IFERROR(INDEX(Stores!$B:$B,MATCH(E1434,Stores!$A:$A,0)),"Unknown")</f>
        <v>TrendMart Kochi High Street</v>
      </c>
      <c r="Y1434" t="str">
        <f>IFERROR(INDEX(Stores!$E:$E,MATCH(E1434,Stores!$A:$A,0)),"Unknown")</f>
        <v>South Zone 1</v>
      </c>
      <c r="Z1434" t="str">
        <f>IFERROR(INDEX(Customers!$J:$J,MATCH(C1434,Customers!$A:$A,0)),"Unknown")</f>
        <v>Gold</v>
      </c>
      <c r="AA1434" t="str">
        <f t="shared" si="22"/>
        <v>2024-04</v>
      </c>
      <c r="AB1434" t="str">
        <f>IFERROR(INDEX(Products!$I:$I,MATCH(D1434,Products!$A:$A,0)),"Unknown")</f>
        <v>SUP013</v>
      </c>
    </row>
    <row r="1435" spans="1:28" x14ac:dyDescent="0.25">
      <c r="A1435" t="s">
        <v>3312</v>
      </c>
      <c r="B1435" s="20">
        <v>45546</v>
      </c>
      <c r="C1435" t="s">
        <v>465</v>
      </c>
      <c r="D1435" t="s">
        <v>680</v>
      </c>
      <c r="E1435" t="s">
        <v>701</v>
      </c>
      <c r="F1435" t="s">
        <v>434</v>
      </c>
      <c r="G1435">
        <v>2</v>
      </c>
      <c r="H1435" s="21">
        <v>690.3</v>
      </c>
      <c r="I1435">
        <v>0</v>
      </c>
      <c r="J1435" s="21">
        <v>0</v>
      </c>
      <c r="K1435">
        <v>5</v>
      </c>
      <c r="L1435" s="21">
        <v>69.03</v>
      </c>
      <c r="M1435" s="21">
        <v>1449.63</v>
      </c>
      <c r="N1435" s="21">
        <v>807.42</v>
      </c>
      <c r="O1435" s="21">
        <v>573.17999999999995</v>
      </c>
      <c r="P1435" t="s">
        <v>123</v>
      </c>
      <c r="Q1435" t="s">
        <v>120</v>
      </c>
      <c r="R1435" t="s">
        <v>151</v>
      </c>
      <c r="S1435" t="s">
        <v>3197</v>
      </c>
      <c r="T1435" t="s">
        <v>153</v>
      </c>
      <c r="U1435" t="s">
        <v>154</v>
      </c>
      <c r="V1435" t="str">
        <f>IFERROR(INDEX(Products!$C:$C,MATCH(D1435,Products!$A:$A,0)),"Unknown")</f>
        <v>Accessories</v>
      </c>
      <c r="W1435" t="str">
        <f>IFERROR(INDEX(Products!$E:$E,MATCH(D1435,Products!$A:$A,0)),"Unknown")</f>
        <v>Westside</v>
      </c>
      <c r="X1435" t="str">
        <f>IFERROR(INDEX(Stores!$B:$B,MATCH(E1435,Stores!$A:$A,0)),"Unknown")</f>
        <v>TrendMart Vijayawada Mall Kiosk</v>
      </c>
      <c r="Y1435" t="str">
        <f>IFERROR(INDEX(Stores!$E:$E,MATCH(E1435,Stores!$A:$A,0)),"Unknown")</f>
        <v>South Zone 3</v>
      </c>
      <c r="Z1435" t="str">
        <f>IFERROR(INDEX(Customers!$J:$J,MATCH(C1435,Customers!$A:$A,0)),"Unknown")</f>
        <v>Regular</v>
      </c>
      <c r="AA1435" t="str">
        <f t="shared" si="22"/>
        <v>2024-09</v>
      </c>
      <c r="AB1435" t="str">
        <f>IFERROR(INDEX(Products!$I:$I,MATCH(D1435,Products!$A:$A,0)),"Unknown")</f>
        <v>SUP064</v>
      </c>
    </row>
    <row r="1436" spans="1:28" x14ac:dyDescent="0.25">
      <c r="A1436" t="s">
        <v>3313</v>
      </c>
      <c r="B1436" s="20">
        <v>45549</v>
      </c>
      <c r="C1436" t="s">
        <v>2957</v>
      </c>
      <c r="D1436" t="s">
        <v>666</v>
      </c>
      <c r="E1436" t="s">
        <v>607</v>
      </c>
      <c r="F1436" t="s">
        <v>532</v>
      </c>
      <c r="G1436">
        <v>2</v>
      </c>
      <c r="H1436" s="21">
        <v>1325.77</v>
      </c>
      <c r="I1436">
        <v>0</v>
      </c>
      <c r="J1436" s="21">
        <v>0</v>
      </c>
      <c r="K1436">
        <v>12</v>
      </c>
      <c r="L1436" s="21">
        <v>318.18</v>
      </c>
      <c r="M1436" s="21">
        <v>2969.72</v>
      </c>
      <c r="N1436" s="21">
        <v>1808.42</v>
      </c>
      <c r="O1436" s="21">
        <v>843.12</v>
      </c>
      <c r="P1436" t="s">
        <v>123</v>
      </c>
      <c r="Q1436" t="s">
        <v>120</v>
      </c>
      <c r="R1436" t="s">
        <v>313</v>
      </c>
      <c r="S1436" t="s">
        <v>1344</v>
      </c>
      <c r="T1436" t="s">
        <v>161</v>
      </c>
      <c r="U1436" t="s">
        <v>154</v>
      </c>
      <c r="V1436" t="str">
        <f>IFERROR(INDEX(Products!$C:$C,MATCH(D1436,Products!$A:$A,0)),"Unknown")</f>
        <v>Wallets</v>
      </c>
      <c r="W1436" t="str">
        <f>IFERROR(INDEX(Products!$E:$E,MATCH(D1436,Products!$A:$A,0)),"Unknown")</f>
        <v>Louis Philippe</v>
      </c>
      <c r="X1436" t="str">
        <f>IFERROR(INDEX(Stores!$B:$B,MATCH(E1436,Stores!$A:$A,0)),"Unknown")</f>
        <v>TrendMart Thiruvananthapuram Standard</v>
      </c>
      <c r="Y1436" t="str">
        <f>IFERROR(INDEX(Stores!$E:$E,MATCH(E1436,Stores!$A:$A,0)),"Unknown")</f>
        <v>South Zone 1</v>
      </c>
      <c r="Z1436" t="str">
        <f>IFERROR(INDEX(Customers!$J:$J,MATCH(C1436,Customers!$A:$A,0)),"Unknown")</f>
        <v>Silver</v>
      </c>
      <c r="AA1436" t="str">
        <f t="shared" si="22"/>
        <v>2024-09</v>
      </c>
      <c r="AB1436" t="str">
        <f>IFERROR(INDEX(Products!$I:$I,MATCH(D1436,Products!$A:$A,0)),"Unknown")</f>
        <v>SUP039</v>
      </c>
    </row>
    <row r="1437" spans="1:28" x14ac:dyDescent="0.25">
      <c r="A1437" t="s">
        <v>3314</v>
      </c>
      <c r="B1437" s="20">
        <v>45605</v>
      </c>
      <c r="C1437" t="s">
        <v>3315</v>
      </c>
      <c r="D1437" t="s">
        <v>386</v>
      </c>
      <c r="E1437" t="s">
        <v>745</v>
      </c>
      <c r="F1437" t="s">
        <v>159</v>
      </c>
      <c r="G1437">
        <v>3</v>
      </c>
      <c r="H1437" s="21">
        <v>1606.36</v>
      </c>
      <c r="I1437">
        <v>15</v>
      </c>
      <c r="J1437" s="21">
        <v>722.86</v>
      </c>
      <c r="K1437">
        <v>12</v>
      </c>
      <c r="L1437" s="21">
        <v>491.55</v>
      </c>
      <c r="M1437" s="21">
        <v>4587.7700000000004</v>
      </c>
      <c r="N1437" s="21">
        <v>3039.78</v>
      </c>
      <c r="O1437" s="21">
        <v>1056.44</v>
      </c>
      <c r="P1437" t="s">
        <v>121</v>
      </c>
      <c r="Q1437" t="s">
        <v>122</v>
      </c>
      <c r="R1437" t="s">
        <v>151</v>
      </c>
      <c r="S1437" t="s">
        <v>1018</v>
      </c>
      <c r="T1437" t="s">
        <v>161</v>
      </c>
      <c r="U1437" t="s">
        <v>154</v>
      </c>
      <c r="V1437" t="str">
        <f>IFERROR(INDEX(Products!$C:$C,MATCH(D1437,Products!$A:$A,0)),"Unknown")</f>
        <v>Winter Wear</v>
      </c>
      <c r="W1437" t="str">
        <f>IFERROR(INDEX(Products!$E:$E,MATCH(D1437,Products!$A:$A,0)),"Unknown")</f>
        <v>Blackberrys</v>
      </c>
      <c r="X1437" t="str">
        <f>IFERROR(INDEX(Stores!$B:$B,MATCH(E1437,Stores!$A:$A,0)),"Unknown")</f>
        <v>TrendMart Thiruvananthapuram Outlet</v>
      </c>
      <c r="Y1437" t="str">
        <f>IFERROR(INDEX(Stores!$E:$E,MATCH(E1437,Stores!$A:$A,0)),"Unknown")</f>
        <v>South Zone 1</v>
      </c>
      <c r="Z1437" t="str">
        <f>IFERROR(INDEX(Customers!$J:$J,MATCH(C1437,Customers!$A:$A,0)),"Unknown")</f>
        <v>Platinum</v>
      </c>
      <c r="AA1437" t="str">
        <f t="shared" si="22"/>
        <v>2024-11</v>
      </c>
      <c r="AB1437" t="str">
        <f>IFERROR(INDEX(Products!$I:$I,MATCH(D1437,Products!$A:$A,0)),"Unknown")</f>
        <v>SUP051</v>
      </c>
    </row>
    <row r="1438" spans="1:28" x14ac:dyDescent="0.25">
      <c r="A1438" t="s">
        <v>3316</v>
      </c>
      <c r="B1438" s="20">
        <v>45595</v>
      </c>
      <c r="C1438" t="s">
        <v>1453</v>
      </c>
      <c r="D1438" t="s">
        <v>858</v>
      </c>
      <c r="E1438" t="s">
        <v>175</v>
      </c>
      <c r="F1438" t="s">
        <v>275</v>
      </c>
      <c r="G1438">
        <v>1</v>
      </c>
      <c r="H1438" s="21">
        <v>683.28</v>
      </c>
      <c r="I1438">
        <v>20</v>
      </c>
      <c r="J1438" s="21">
        <v>136.66</v>
      </c>
      <c r="K1438">
        <v>5</v>
      </c>
      <c r="L1438" s="21">
        <v>27.33</v>
      </c>
      <c r="M1438" s="21">
        <v>573.95000000000005</v>
      </c>
      <c r="N1438" s="21">
        <v>525.45000000000005</v>
      </c>
      <c r="O1438" s="21">
        <v>21.17</v>
      </c>
      <c r="P1438" t="s">
        <v>121</v>
      </c>
      <c r="Q1438" t="s">
        <v>122</v>
      </c>
      <c r="R1438" t="s">
        <v>151</v>
      </c>
      <c r="S1438" t="s">
        <v>1387</v>
      </c>
      <c r="T1438" t="s">
        <v>153</v>
      </c>
      <c r="U1438" t="s">
        <v>154</v>
      </c>
      <c r="V1438" t="str">
        <f>IFERROR(INDEX(Products!$C:$C,MATCH(D1438,Products!$A:$A,0)),"Unknown")</f>
        <v>Kids Wear</v>
      </c>
      <c r="W1438" t="str">
        <f>IFERROR(INDEX(Products!$E:$E,MATCH(D1438,Products!$A:$A,0)),"Unknown")</f>
        <v>Sonata</v>
      </c>
      <c r="X1438" t="str">
        <f>IFERROR(INDEX(Stores!$B:$B,MATCH(E1438,Stores!$A:$A,0)),"Unknown")</f>
        <v>TrendMart Thoothukudi Flagship</v>
      </c>
      <c r="Y1438" t="str">
        <f>IFERROR(INDEX(Stores!$E:$E,MATCH(E1438,Stores!$A:$A,0)),"Unknown")</f>
        <v>South Zone 1</v>
      </c>
      <c r="Z1438" t="str">
        <f>IFERROR(INDEX(Customers!$J:$J,MATCH(C1438,Customers!$A:$A,0)),"Unknown")</f>
        <v>Silver</v>
      </c>
      <c r="AA1438" t="str">
        <f t="shared" si="22"/>
        <v>2024-10</v>
      </c>
      <c r="AB1438" t="str">
        <f>IFERROR(INDEX(Products!$I:$I,MATCH(D1438,Products!$A:$A,0)),"Unknown")</f>
        <v>SUP089</v>
      </c>
    </row>
    <row r="1439" spans="1:28" x14ac:dyDescent="0.25">
      <c r="A1439" t="s">
        <v>3317</v>
      </c>
      <c r="B1439" s="20">
        <v>45592</v>
      </c>
      <c r="C1439" t="s">
        <v>661</v>
      </c>
      <c r="D1439" t="s">
        <v>174</v>
      </c>
      <c r="E1439" t="s">
        <v>1017</v>
      </c>
      <c r="F1439" t="s">
        <v>579</v>
      </c>
      <c r="G1439">
        <v>3</v>
      </c>
      <c r="H1439" s="21">
        <v>948.48</v>
      </c>
      <c r="I1439">
        <v>15</v>
      </c>
      <c r="J1439" s="21">
        <v>426.82</v>
      </c>
      <c r="K1439">
        <v>5</v>
      </c>
      <c r="L1439" s="21">
        <v>120.93</v>
      </c>
      <c r="M1439" s="21">
        <v>2539.5500000000002</v>
      </c>
      <c r="N1439" s="21">
        <v>1619.28</v>
      </c>
      <c r="O1439" s="21">
        <v>799.34</v>
      </c>
      <c r="P1439" t="s">
        <v>126</v>
      </c>
      <c r="Q1439" t="s">
        <v>120</v>
      </c>
      <c r="R1439" t="s">
        <v>151</v>
      </c>
      <c r="S1439" t="s">
        <v>835</v>
      </c>
      <c r="T1439" t="s">
        <v>161</v>
      </c>
      <c r="U1439" t="s">
        <v>154</v>
      </c>
      <c r="V1439" t="str">
        <f>IFERROR(INDEX(Products!$C:$C,MATCH(D1439,Products!$A:$A,0)),"Unknown")</f>
        <v>Women Kurtis</v>
      </c>
      <c r="W1439" t="str">
        <f>IFERROR(INDEX(Products!$E:$E,MATCH(D1439,Products!$A:$A,0)),"Unknown")</f>
        <v>Reebok</v>
      </c>
      <c r="X1439" t="str">
        <f>IFERROR(INDEX(Stores!$B:$B,MATCH(E1439,Stores!$A:$A,0)),"Unknown")</f>
        <v>TrendMart Mangaluru Standard</v>
      </c>
      <c r="Y1439" t="str">
        <f>IFERROR(INDEX(Stores!$E:$E,MATCH(E1439,Stores!$A:$A,0)),"Unknown")</f>
        <v>South Zone 2</v>
      </c>
      <c r="Z1439" t="str">
        <f>IFERROR(INDEX(Customers!$J:$J,MATCH(C1439,Customers!$A:$A,0)),"Unknown")</f>
        <v>Silver</v>
      </c>
      <c r="AA1439" t="str">
        <f t="shared" si="22"/>
        <v>2024-10</v>
      </c>
      <c r="AB1439" t="str">
        <f>IFERROR(INDEX(Products!$I:$I,MATCH(D1439,Products!$A:$A,0)),"Unknown")</f>
        <v>SUP012</v>
      </c>
    </row>
    <row r="1440" spans="1:28" x14ac:dyDescent="0.25">
      <c r="A1440" t="s">
        <v>3318</v>
      </c>
      <c r="B1440" s="20">
        <v>45617</v>
      </c>
      <c r="C1440" t="s">
        <v>3319</v>
      </c>
      <c r="D1440" t="s">
        <v>961</v>
      </c>
      <c r="E1440" t="s">
        <v>999</v>
      </c>
      <c r="F1440" t="s">
        <v>258</v>
      </c>
      <c r="G1440">
        <v>2</v>
      </c>
      <c r="H1440" s="21">
        <v>1179.6600000000001</v>
      </c>
      <c r="I1440">
        <v>0</v>
      </c>
      <c r="J1440" s="21">
        <v>0</v>
      </c>
      <c r="K1440">
        <v>12</v>
      </c>
      <c r="L1440" s="21">
        <v>283.12</v>
      </c>
      <c r="M1440" s="21">
        <v>2642.44</v>
      </c>
      <c r="N1440" s="21">
        <v>1763.86</v>
      </c>
      <c r="O1440" s="21">
        <v>595.46</v>
      </c>
      <c r="P1440" t="s">
        <v>127</v>
      </c>
      <c r="Q1440" t="s">
        <v>120</v>
      </c>
      <c r="R1440" t="s">
        <v>151</v>
      </c>
      <c r="S1440" t="s">
        <v>2480</v>
      </c>
      <c r="T1440" t="s">
        <v>153</v>
      </c>
      <c r="U1440" t="s">
        <v>154</v>
      </c>
      <c r="V1440" t="str">
        <f>IFERROR(INDEX(Products!$C:$C,MATCH(D1440,Products!$A:$A,0)),"Unknown")</f>
        <v>Men Trousers</v>
      </c>
      <c r="W1440" t="str">
        <f>IFERROR(INDEX(Products!$E:$E,MATCH(D1440,Products!$A:$A,0)),"Unknown")</f>
        <v>Pepe Jeans</v>
      </c>
      <c r="X1440" t="str">
        <f>IFERROR(INDEX(Stores!$B:$B,MATCH(E1440,Stores!$A:$A,0)),"Unknown")</f>
        <v>TrendMart Tumakuru Standard</v>
      </c>
      <c r="Y1440" t="str">
        <f>IFERROR(INDEX(Stores!$E:$E,MATCH(E1440,Stores!$A:$A,0)),"Unknown")</f>
        <v>South Zone 2</v>
      </c>
      <c r="Z1440" t="str">
        <f>IFERROR(INDEX(Customers!$J:$J,MATCH(C1440,Customers!$A:$A,0)),"Unknown")</f>
        <v>Platinum</v>
      </c>
      <c r="AA1440" t="str">
        <f t="shared" si="22"/>
        <v>2024-11</v>
      </c>
      <c r="AB1440" t="str">
        <f>IFERROR(INDEX(Products!$I:$I,MATCH(D1440,Products!$A:$A,0)),"Unknown")</f>
        <v>SUP071</v>
      </c>
    </row>
    <row r="1441" spans="1:28" x14ac:dyDescent="0.25">
      <c r="A1441" t="s">
        <v>3320</v>
      </c>
      <c r="B1441" s="20">
        <v>45526</v>
      </c>
      <c r="C1441" t="s">
        <v>1897</v>
      </c>
      <c r="D1441" t="s">
        <v>273</v>
      </c>
      <c r="E1441" t="s">
        <v>745</v>
      </c>
      <c r="F1441" t="s">
        <v>211</v>
      </c>
      <c r="G1441">
        <v>3</v>
      </c>
      <c r="H1441" s="21">
        <v>1292.93</v>
      </c>
      <c r="I1441">
        <v>0</v>
      </c>
      <c r="J1441" s="21">
        <v>0</v>
      </c>
      <c r="K1441">
        <v>12</v>
      </c>
      <c r="L1441" s="21">
        <v>465.45</v>
      </c>
      <c r="M1441" s="21">
        <v>4344.24</v>
      </c>
      <c r="N1441" s="21">
        <v>2630.76</v>
      </c>
      <c r="O1441" s="21">
        <v>1248.03</v>
      </c>
      <c r="P1441" t="s">
        <v>123</v>
      </c>
      <c r="Q1441" t="s">
        <v>120</v>
      </c>
      <c r="R1441" t="s">
        <v>151</v>
      </c>
      <c r="S1441" t="s">
        <v>3321</v>
      </c>
      <c r="T1441" t="s">
        <v>153</v>
      </c>
      <c r="U1441" t="s">
        <v>154</v>
      </c>
      <c r="V1441" t="str">
        <f>IFERROR(INDEX(Products!$C:$C,MATCH(D1441,Products!$A:$A,0)),"Unknown")</f>
        <v>Women Kurtis</v>
      </c>
      <c r="W1441" t="str">
        <f>IFERROR(INDEX(Products!$E:$E,MATCH(D1441,Products!$A:$A,0)),"Unknown")</f>
        <v>Indian Terrain</v>
      </c>
      <c r="X1441" t="str">
        <f>IFERROR(INDEX(Stores!$B:$B,MATCH(E1441,Stores!$A:$A,0)),"Unknown")</f>
        <v>TrendMart Thiruvananthapuram Outlet</v>
      </c>
      <c r="Y1441" t="str">
        <f>IFERROR(INDEX(Stores!$E:$E,MATCH(E1441,Stores!$A:$A,0)),"Unknown")</f>
        <v>South Zone 1</v>
      </c>
      <c r="Z1441" t="str">
        <f>IFERROR(INDEX(Customers!$J:$J,MATCH(C1441,Customers!$A:$A,0)),"Unknown")</f>
        <v>Silver</v>
      </c>
      <c r="AA1441" t="str">
        <f t="shared" si="22"/>
        <v>2024-08</v>
      </c>
      <c r="AB1441" t="str">
        <f>IFERROR(INDEX(Products!$I:$I,MATCH(D1441,Products!$A:$A,0)),"Unknown")</f>
        <v>SUP006</v>
      </c>
    </row>
    <row r="1442" spans="1:28" x14ac:dyDescent="0.25">
      <c r="A1442" t="s">
        <v>3322</v>
      </c>
      <c r="B1442" s="20">
        <v>45610</v>
      </c>
      <c r="C1442" t="s">
        <v>3323</v>
      </c>
      <c r="D1442" t="s">
        <v>180</v>
      </c>
      <c r="E1442" t="s">
        <v>85</v>
      </c>
      <c r="F1442" t="s">
        <v>596</v>
      </c>
      <c r="G1442">
        <v>4</v>
      </c>
      <c r="H1442" s="21">
        <v>3085.8</v>
      </c>
      <c r="I1442">
        <v>30</v>
      </c>
      <c r="J1442" s="21">
        <v>3702.96</v>
      </c>
      <c r="K1442">
        <v>12</v>
      </c>
      <c r="L1442" s="21">
        <v>1036.83</v>
      </c>
      <c r="M1442" s="21">
        <v>9677.07</v>
      </c>
      <c r="N1442" s="21">
        <v>9698.48</v>
      </c>
      <c r="O1442" s="21">
        <v>-1058.24</v>
      </c>
      <c r="P1442" t="s">
        <v>124</v>
      </c>
      <c r="Q1442" t="s">
        <v>122</v>
      </c>
      <c r="R1442" t="s">
        <v>151</v>
      </c>
      <c r="S1442" t="s">
        <v>623</v>
      </c>
      <c r="T1442" t="s">
        <v>153</v>
      </c>
      <c r="U1442" t="s">
        <v>184</v>
      </c>
      <c r="V1442" t="str">
        <f>IFERROR(INDEX(Products!$C:$C,MATCH(D1442,Products!$A:$A,0)),"Unknown")</f>
        <v>Footwear</v>
      </c>
      <c r="W1442" t="str">
        <f>IFERROR(INDEX(Products!$E:$E,MATCH(D1442,Products!$A:$A,0)),"Unknown")</f>
        <v>US Polo Assn</v>
      </c>
      <c r="X1442" t="str">
        <f>IFERROR(INDEX(Stores!$B:$B,MATCH(E1442,Stores!$A:$A,0)),"Unknown")</f>
        <v>TrendMart Kalaburagi Mall Kiosk</v>
      </c>
      <c r="Y1442" t="str">
        <f>IFERROR(INDEX(Stores!$E:$E,MATCH(E1442,Stores!$A:$A,0)),"Unknown")</f>
        <v>South Zone 2</v>
      </c>
      <c r="Z1442" t="str">
        <f>IFERROR(INDEX(Customers!$J:$J,MATCH(C1442,Customers!$A:$A,0)),"Unknown")</f>
        <v>Platinum</v>
      </c>
      <c r="AA1442" t="str">
        <f t="shared" si="22"/>
        <v>2024-11</v>
      </c>
      <c r="AB1442" t="str">
        <f>IFERROR(INDEX(Products!$I:$I,MATCH(D1442,Products!$A:$A,0)),"Unknown")</f>
        <v>SUP084</v>
      </c>
    </row>
    <row r="1443" spans="1:28" x14ac:dyDescent="0.25">
      <c r="A1443" t="s">
        <v>3324</v>
      </c>
      <c r="B1443" s="20">
        <v>45546</v>
      </c>
      <c r="C1443" t="s">
        <v>837</v>
      </c>
      <c r="D1443" t="s">
        <v>2281</v>
      </c>
      <c r="E1443" t="s">
        <v>823</v>
      </c>
      <c r="F1443" t="s">
        <v>397</v>
      </c>
      <c r="G1443">
        <v>2</v>
      </c>
      <c r="H1443" s="21">
        <v>593.75</v>
      </c>
      <c r="I1443">
        <v>10</v>
      </c>
      <c r="J1443" s="21">
        <v>118.75</v>
      </c>
      <c r="K1443">
        <v>5</v>
      </c>
      <c r="L1443" s="21">
        <v>53.44</v>
      </c>
      <c r="M1443" s="21">
        <v>1122.19</v>
      </c>
      <c r="N1443" s="21">
        <v>746.54</v>
      </c>
      <c r="O1443" s="21">
        <v>322.20999999999998</v>
      </c>
      <c r="P1443" t="s">
        <v>121</v>
      </c>
      <c r="Q1443" t="s">
        <v>122</v>
      </c>
      <c r="R1443" t="s">
        <v>151</v>
      </c>
      <c r="S1443" t="s">
        <v>3112</v>
      </c>
      <c r="T1443" t="s">
        <v>153</v>
      </c>
      <c r="U1443" t="s">
        <v>154</v>
      </c>
      <c r="V1443" t="str">
        <f>IFERROR(INDEX(Products!$C:$C,MATCH(D1443,Products!$A:$A,0)),"Unknown")</f>
        <v>Men T-Shirts</v>
      </c>
      <c r="W1443" t="str">
        <f>IFERROR(INDEX(Products!$E:$E,MATCH(D1443,Products!$A:$A,0)),"Unknown")</f>
        <v>Indian Terrain</v>
      </c>
      <c r="X1443" t="str">
        <f>IFERROR(INDEX(Stores!$B:$B,MATCH(E1443,Stores!$A:$A,0)),"Unknown")</f>
        <v>TrendMart Thoothukudi Mall Kiosk</v>
      </c>
      <c r="Y1443" t="str">
        <f>IFERROR(INDEX(Stores!$E:$E,MATCH(E1443,Stores!$A:$A,0)),"Unknown")</f>
        <v>South Zone 1</v>
      </c>
      <c r="Z1443" t="str">
        <f>IFERROR(INDEX(Customers!$J:$J,MATCH(C1443,Customers!$A:$A,0)),"Unknown")</f>
        <v>Regular</v>
      </c>
      <c r="AA1443" t="str">
        <f t="shared" si="22"/>
        <v>2024-09</v>
      </c>
      <c r="AB1443" t="str">
        <f>IFERROR(INDEX(Products!$I:$I,MATCH(D1443,Products!$A:$A,0)),"Unknown")</f>
        <v>SUP074</v>
      </c>
    </row>
    <row r="1444" spans="1:28" x14ac:dyDescent="0.25">
      <c r="A1444" t="s">
        <v>3325</v>
      </c>
      <c r="B1444" s="20">
        <v>45589</v>
      </c>
      <c r="C1444" t="s">
        <v>1812</v>
      </c>
      <c r="D1444" t="s">
        <v>599</v>
      </c>
      <c r="E1444" t="s">
        <v>429</v>
      </c>
      <c r="F1444" t="s">
        <v>150</v>
      </c>
      <c r="G1444">
        <v>1</v>
      </c>
      <c r="H1444" s="21">
        <v>955.76</v>
      </c>
      <c r="I1444">
        <v>10</v>
      </c>
      <c r="J1444" s="21">
        <v>95.58</v>
      </c>
      <c r="K1444">
        <v>5</v>
      </c>
      <c r="L1444" s="21">
        <v>43.01</v>
      </c>
      <c r="M1444" s="21">
        <v>903.19</v>
      </c>
      <c r="N1444" s="21">
        <v>645.59</v>
      </c>
      <c r="O1444" s="21">
        <v>214.59</v>
      </c>
      <c r="P1444" t="s">
        <v>125</v>
      </c>
      <c r="Q1444" t="s">
        <v>120</v>
      </c>
      <c r="R1444" t="s">
        <v>151</v>
      </c>
      <c r="S1444" t="s">
        <v>3326</v>
      </c>
      <c r="T1444" t="s">
        <v>153</v>
      </c>
      <c r="U1444" t="s">
        <v>154</v>
      </c>
      <c r="V1444" t="str">
        <f>IFERROR(INDEX(Products!$C:$C,MATCH(D1444,Products!$A:$A,0)),"Unknown")</f>
        <v>Men Shirts</v>
      </c>
      <c r="W1444" t="str">
        <f>IFERROR(INDEX(Products!$E:$E,MATCH(D1444,Products!$A:$A,0)),"Unknown")</f>
        <v>Van Heusen</v>
      </c>
      <c r="X1444" t="str">
        <f>IFERROR(INDEX(Stores!$B:$B,MATCH(E1444,Stores!$A:$A,0)),"Unknown")</f>
        <v>TrendMart Tirunelveli Flagship</v>
      </c>
      <c r="Y1444" t="str">
        <f>IFERROR(INDEX(Stores!$E:$E,MATCH(E1444,Stores!$A:$A,0)),"Unknown")</f>
        <v>South Zone 1</v>
      </c>
      <c r="Z1444" t="str">
        <f>IFERROR(INDEX(Customers!$J:$J,MATCH(C1444,Customers!$A:$A,0)),"Unknown")</f>
        <v>Regular</v>
      </c>
      <c r="AA1444" t="str">
        <f t="shared" si="22"/>
        <v>2024-10</v>
      </c>
      <c r="AB1444" t="str">
        <f>IFERROR(INDEX(Products!$I:$I,MATCH(D1444,Products!$A:$A,0)),"Unknown")</f>
        <v>SUP084</v>
      </c>
    </row>
    <row r="1445" spans="1:28" x14ac:dyDescent="0.25">
      <c r="A1445" t="s">
        <v>3327</v>
      </c>
      <c r="B1445" s="20">
        <v>45615</v>
      </c>
      <c r="C1445" t="s">
        <v>1022</v>
      </c>
      <c r="D1445" t="s">
        <v>1537</v>
      </c>
      <c r="E1445" t="s">
        <v>216</v>
      </c>
      <c r="F1445" t="s">
        <v>550</v>
      </c>
      <c r="G1445">
        <v>1</v>
      </c>
      <c r="H1445" s="21">
        <v>1123.52</v>
      </c>
      <c r="I1445">
        <v>20</v>
      </c>
      <c r="J1445" s="21">
        <v>224.7</v>
      </c>
      <c r="K1445">
        <v>12</v>
      </c>
      <c r="L1445" s="21">
        <v>107.86</v>
      </c>
      <c r="M1445" s="21">
        <v>1006.68</v>
      </c>
      <c r="N1445" s="21">
        <v>915.87</v>
      </c>
      <c r="O1445" s="21">
        <v>-17.05</v>
      </c>
      <c r="P1445" t="s">
        <v>121</v>
      </c>
      <c r="Q1445" t="s">
        <v>122</v>
      </c>
      <c r="R1445" t="s">
        <v>151</v>
      </c>
      <c r="S1445" t="s">
        <v>3328</v>
      </c>
      <c r="T1445" t="s">
        <v>153</v>
      </c>
      <c r="U1445" t="s">
        <v>184</v>
      </c>
      <c r="V1445" t="str">
        <f>IFERROR(INDEX(Products!$C:$C,MATCH(D1445,Products!$A:$A,0)),"Unknown")</f>
        <v>Men Jeans</v>
      </c>
      <c r="W1445" t="str">
        <f>IFERROR(INDEX(Products!$E:$E,MATCH(D1445,Products!$A:$A,0)),"Unknown")</f>
        <v>Fabindia</v>
      </c>
      <c r="X1445" t="str">
        <f>IFERROR(INDEX(Stores!$B:$B,MATCH(E1445,Stores!$A:$A,0)),"Unknown")</f>
        <v>TrendMart Madurai Mall Kiosk</v>
      </c>
      <c r="Y1445" t="str">
        <f>IFERROR(INDEX(Stores!$E:$E,MATCH(E1445,Stores!$A:$A,0)),"Unknown")</f>
        <v>South Zone 1</v>
      </c>
      <c r="Z1445" t="str">
        <f>IFERROR(INDEX(Customers!$J:$J,MATCH(C1445,Customers!$A:$A,0)),"Unknown")</f>
        <v>Gold</v>
      </c>
      <c r="AA1445" t="str">
        <f t="shared" si="22"/>
        <v>2024-11</v>
      </c>
      <c r="AB1445" t="str">
        <f>IFERROR(INDEX(Products!$I:$I,MATCH(D1445,Products!$A:$A,0)),"Unknown")</f>
        <v>SUP044</v>
      </c>
    </row>
    <row r="1446" spans="1:28" x14ac:dyDescent="0.25">
      <c r="A1446" t="s">
        <v>3329</v>
      </c>
      <c r="B1446" s="20">
        <v>45727</v>
      </c>
      <c r="C1446" t="s">
        <v>952</v>
      </c>
      <c r="D1446" t="s">
        <v>1280</v>
      </c>
      <c r="E1446" t="s">
        <v>262</v>
      </c>
      <c r="F1446" t="s">
        <v>263</v>
      </c>
      <c r="G1446">
        <v>0</v>
      </c>
      <c r="H1446" s="21">
        <v>1117.79</v>
      </c>
      <c r="I1446">
        <v>0</v>
      </c>
      <c r="J1446" s="21">
        <v>0</v>
      </c>
      <c r="K1446">
        <v>12</v>
      </c>
      <c r="L1446" s="21">
        <v>0</v>
      </c>
      <c r="M1446" s="21">
        <v>0</v>
      </c>
      <c r="N1446" s="21">
        <v>0</v>
      </c>
      <c r="O1446" s="21">
        <v>0</v>
      </c>
      <c r="P1446" t="s">
        <v>121</v>
      </c>
      <c r="Q1446" t="s">
        <v>120</v>
      </c>
      <c r="R1446" t="s">
        <v>482</v>
      </c>
      <c r="S1446" t="s">
        <v>753</v>
      </c>
      <c r="T1446" t="s">
        <v>153</v>
      </c>
      <c r="U1446" t="s">
        <v>154</v>
      </c>
      <c r="V1446" t="str">
        <f>IFERROR(INDEX(Products!$C:$C,MATCH(D1446,Products!$A:$A,0)),"Unknown")</f>
        <v>Men Jeans</v>
      </c>
      <c r="W1446" t="str">
        <f>IFERROR(INDEX(Products!$E:$E,MATCH(D1446,Products!$A:$A,0)),"Unknown")</f>
        <v>Jack &amp; Jones</v>
      </c>
      <c r="X1446" t="str">
        <f>IFERROR(INDEX(Stores!$B:$B,MATCH(E1446,Stores!$A:$A,0)),"Unknown")</f>
        <v>TrendMart Thoothukudi Outlet</v>
      </c>
      <c r="Y1446" t="str">
        <f>IFERROR(INDEX(Stores!$E:$E,MATCH(E1446,Stores!$A:$A,0)),"Unknown")</f>
        <v>South Zone 1</v>
      </c>
      <c r="Z1446" t="str">
        <f>IFERROR(INDEX(Customers!$J:$J,MATCH(C1446,Customers!$A:$A,0)),"Unknown")</f>
        <v>Regular</v>
      </c>
      <c r="AA1446" t="str">
        <f t="shared" si="22"/>
        <v>2025-03</v>
      </c>
      <c r="AB1446" t="str">
        <f>IFERROR(INDEX(Products!$I:$I,MATCH(D1446,Products!$A:$A,0)),"Unknown")</f>
        <v>SUP072</v>
      </c>
    </row>
    <row r="1447" spans="1:28" x14ac:dyDescent="0.25">
      <c r="A1447" t="s">
        <v>3330</v>
      </c>
      <c r="B1447" s="20">
        <v>45730</v>
      </c>
      <c r="C1447" t="s">
        <v>3331</v>
      </c>
      <c r="D1447" t="s">
        <v>2853</v>
      </c>
      <c r="E1447" t="s">
        <v>98</v>
      </c>
      <c r="F1447" t="s">
        <v>165</v>
      </c>
      <c r="G1447">
        <v>4</v>
      </c>
      <c r="H1447" s="21">
        <v>1221.3599999999999</v>
      </c>
      <c r="I1447">
        <v>0</v>
      </c>
      <c r="J1447" s="21">
        <v>0</v>
      </c>
      <c r="K1447">
        <v>12</v>
      </c>
      <c r="L1447" s="21">
        <v>586.25</v>
      </c>
      <c r="M1447" s="21">
        <v>5471.69</v>
      </c>
      <c r="N1447" s="21">
        <v>3193.84</v>
      </c>
      <c r="O1447" s="21">
        <v>1691.6</v>
      </c>
      <c r="P1447" t="s">
        <v>121</v>
      </c>
      <c r="Q1447" t="s">
        <v>120</v>
      </c>
      <c r="R1447" t="s">
        <v>151</v>
      </c>
      <c r="S1447" t="s">
        <v>2205</v>
      </c>
      <c r="T1447" t="s">
        <v>153</v>
      </c>
      <c r="U1447" t="s">
        <v>154</v>
      </c>
      <c r="V1447" t="str">
        <f>IFERROR(INDEX(Products!$C:$C,MATCH(D1447,Products!$A:$A,0)),"Unknown")</f>
        <v>Men Trousers</v>
      </c>
      <c r="W1447" t="str">
        <f>IFERROR(INDEX(Products!$E:$E,MATCH(D1447,Products!$A:$A,0)),"Unknown")</f>
        <v>Arrow</v>
      </c>
      <c r="X1447" t="str">
        <f>IFERROR(INDEX(Stores!$B:$B,MATCH(E1447,Stores!$A:$A,0)),"Unknown")</f>
        <v>TrendMart Bengaluru Flagship</v>
      </c>
      <c r="Y1447" t="str">
        <f>IFERROR(INDEX(Stores!$E:$E,MATCH(E1447,Stores!$A:$A,0)),"Unknown")</f>
        <v>South Zone 2</v>
      </c>
      <c r="Z1447" t="str">
        <f>IFERROR(INDEX(Customers!$J:$J,MATCH(C1447,Customers!$A:$A,0)),"Unknown")</f>
        <v>Silver</v>
      </c>
      <c r="AA1447" t="str">
        <f t="shared" si="22"/>
        <v>2025-03</v>
      </c>
      <c r="AB1447" t="str">
        <f>IFERROR(INDEX(Products!$I:$I,MATCH(D1447,Products!$A:$A,0)),"Unknown")</f>
        <v>SUP050</v>
      </c>
    </row>
    <row r="1448" spans="1:28" x14ac:dyDescent="0.25">
      <c r="A1448" t="s">
        <v>3332</v>
      </c>
      <c r="B1448" s="20">
        <v>45424</v>
      </c>
      <c r="C1448" t="s">
        <v>726</v>
      </c>
      <c r="D1448" t="s">
        <v>1809</v>
      </c>
      <c r="E1448" t="s">
        <v>241</v>
      </c>
      <c r="F1448" t="s">
        <v>242</v>
      </c>
      <c r="G1448">
        <v>3</v>
      </c>
      <c r="H1448" s="21">
        <v>1039.8800000000001</v>
      </c>
      <c r="I1448">
        <v>0</v>
      </c>
      <c r="J1448" s="21">
        <v>0</v>
      </c>
      <c r="K1448">
        <v>12</v>
      </c>
      <c r="L1448" s="21">
        <v>374.36</v>
      </c>
      <c r="M1448" s="21">
        <v>3494</v>
      </c>
      <c r="N1448" s="21">
        <v>2269.77</v>
      </c>
      <c r="O1448" s="21">
        <v>849.87</v>
      </c>
      <c r="P1448" t="s">
        <v>123</v>
      </c>
      <c r="Q1448" t="s">
        <v>120</v>
      </c>
      <c r="R1448" t="s">
        <v>151</v>
      </c>
      <c r="S1448" t="s">
        <v>270</v>
      </c>
      <c r="T1448" t="s">
        <v>161</v>
      </c>
      <c r="U1448" t="s">
        <v>154</v>
      </c>
      <c r="V1448" t="str">
        <f>IFERROR(INDEX(Products!$C:$C,MATCH(D1448,Products!$A:$A,0)),"Unknown")</f>
        <v>Men Jeans</v>
      </c>
      <c r="W1448" t="str">
        <f>IFERROR(INDEX(Products!$E:$E,MATCH(D1448,Products!$A:$A,0)),"Unknown")</f>
        <v>Mufti</v>
      </c>
      <c r="X1448" t="str">
        <f>IFERROR(INDEX(Stores!$B:$B,MATCH(E1448,Stores!$A:$A,0)),"Unknown")</f>
        <v>TrendMart Nizamabad Mall Kiosk</v>
      </c>
      <c r="Y1448" t="str">
        <f>IFERROR(INDEX(Stores!$E:$E,MATCH(E1448,Stores!$A:$A,0)),"Unknown")</f>
        <v>South Zone 2</v>
      </c>
      <c r="Z1448" t="str">
        <f>IFERROR(INDEX(Customers!$J:$J,MATCH(C1448,Customers!$A:$A,0)),"Unknown")</f>
        <v>Platinum</v>
      </c>
      <c r="AA1448" t="str">
        <f t="shared" si="22"/>
        <v>2024-05</v>
      </c>
      <c r="AB1448" t="str">
        <f>IFERROR(INDEX(Products!$I:$I,MATCH(D1448,Products!$A:$A,0)),"Unknown")</f>
        <v>SUP035</v>
      </c>
    </row>
    <row r="1449" spans="1:28" x14ac:dyDescent="0.25">
      <c r="A1449" t="s">
        <v>3333</v>
      </c>
      <c r="B1449" s="20">
        <v>45567</v>
      </c>
      <c r="C1449" t="s">
        <v>3334</v>
      </c>
      <c r="D1449" t="s">
        <v>225</v>
      </c>
      <c r="E1449" t="s">
        <v>681</v>
      </c>
      <c r="F1449" t="s">
        <v>596</v>
      </c>
      <c r="G1449">
        <v>1</v>
      </c>
      <c r="H1449" s="21">
        <v>1797.13</v>
      </c>
      <c r="I1449">
        <v>25</v>
      </c>
      <c r="J1449" s="21">
        <v>449.28</v>
      </c>
      <c r="K1449">
        <v>12</v>
      </c>
      <c r="L1449" s="21">
        <v>161.74</v>
      </c>
      <c r="M1449" s="21">
        <v>1509.59</v>
      </c>
      <c r="N1449" s="21">
        <v>1407.33</v>
      </c>
      <c r="O1449" s="21">
        <v>-59.48</v>
      </c>
      <c r="P1449" t="s">
        <v>123</v>
      </c>
      <c r="Q1449" t="s">
        <v>120</v>
      </c>
      <c r="R1449" t="s">
        <v>151</v>
      </c>
      <c r="S1449" t="s">
        <v>529</v>
      </c>
      <c r="T1449" t="s">
        <v>153</v>
      </c>
      <c r="U1449" t="s">
        <v>184</v>
      </c>
      <c r="V1449" t="str">
        <f>IFERROR(INDEX(Products!$C:$C,MATCH(D1449,Products!$A:$A,0)),"Unknown")</f>
        <v>Women Dresses</v>
      </c>
      <c r="W1449" t="str">
        <f>IFERROR(INDEX(Products!$E:$E,MATCH(D1449,Products!$A:$A,0)),"Unknown")</f>
        <v>Tanishq</v>
      </c>
      <c r="X1449" t="str">
        <f>IFERROR(INDEX(Stores!$B:$B,MATCH(E1449,Stores!$A:$A,0)),"Unknown")</f>
        <v>TrendMart Shivamogga Mall Kiosk</v>
      </c>
      <c r="Y1449" t="str">
        <f>IFERROR(INDEX(Stores!$E:$E,MATCH(E1449,Stores!$A:$A,0)),"Unknown")</f>
        <v>South Zone 2</v>
      </c>
      <c r="Z1449" t="str">
        <f>IFERROR(INDEX(Customers!$J:$J,MATCH(C1449,Customers!$A:$A,0)),"Unknown")</f>
        <v>Regular</v>
      </c>
      <c r="AA1449" t="str">
        <f t="shared" si="22"/>
        <v>2024-10</v>
      </c>
      <c r="AB1449" t="str">
        <f>IFERROR(INDEX(Products!$I:$I,MATCH(D1449,Products!$A:$A,0)),"Unknown")</f>
        <v>SUP063</v>
      </c>
    </row>
    <row r="1450" spans="1:28" x14ac:dyDescent="0.25">
      <c r="A1450" t="s">
        <v>3335</v>
      </c>
      <c r="B1450" s="20">
        <v>45479</v>
      </c>
      <c r="C1450" t="s">
        <v>1447</v>
      </c>
      <c r="D1450" t="s">
        <v>424</v>
      </c>
      <c r="E1450" t="s">
        <v>391</v>
      </c>
      <c r="F1450" t="s">
        <v>596</v>
      </c>
      <c r="G1450">
        <v>1</v>
      </c>
      <c r="H1450" s="21">
        <v>330.14</v>
      </c>
      <c r="I1450">
        <v>10</v>
      </c>
      <c r="J1450" s="21">
        <v>33.01</v>
      </c>
      <c r="K1450">
        <v>5</v>
      </c>
      <c r="L1450" s="21">
        <v>14.86</v>
      </c>
      <c r="M1450" s="21">
        <v>311.99</v>
      </c>
      <c r="N1450" s="21">
        <v>254.15</v>
      </c>
      <c r="O1450" s="21">
        <v>42.98</v>
      </c>
      <c r="P1450" t="s">
        <v>123</v>
      </c>
      <c r="Q1450" t="s">
        <v>120</v>
      </c>
      <c r="R1450" t="s">
        <v>151</v>
      </c>
      <c r="S1450" t="s">
        <v>1161</v>
      </c>
      <c r="T1450" t="s">
        <v>161</v>
      </c>
      <c r="U1450" t="s">
        <v>154</v>
      </c>
      <c r="V1450" t="str">
        <f>IFERROR(INDEX(Products!$C:$C,MATCH(D1450,Products!$A:$A,0)),"Unknown")</f>
        <v>Belts</v>
      </c>
      <c r="W1450" t="str">
        <f>IFERROR(INDEX(Products!$E:$E,MATCH(D1450,Products!$A:$A,0)),"Unknown")</f>
        <v>Raymond</v>
      </c>
      <c r="X1450" t="str">
        <f>IFERROR(INDEX(Stores!$B:$B,MATCH(E1450,Stores!$A:$A,0)),"Unknown")</f>
        <v>TrendMart Warangal High Street</v>
      </c>
      <c r="Y1450" t="str">
        <f>IFERROR(INDEX(Stores!$E:$E,MATCH(E1450,Stores!$A:$A,0)),"Unknown")</f>
        <v>South Zone 2</v>
      </c>
      <c r="Z1450" t="str">
        <f>IFERROR(INDEX(Customers!$J:$J,MATCH(C1450,Customers!$A:$A,0)),"Unknown")</f>
        <v>Regular</v>
      </c>
      <c r="AA1450" t="str">
        <f t="shared" si="22"/>
        <v>2024-07</v>
      </c>
      <c r="AB1450" t="str">
        <f>IFERROR(INDEX(Products!$I:$I,MATCH(D1450,Products!$A:$A,0)),"Unknown")</f>
        <v>SUP002</v>
      </c>
    </row>
    <row r="1451" spans="1:28" x14ac:dyDescent="0.25">
      <c r="A1451" t="s">
        <v>3336</v>
      </c>
      <c r="B1451" s="20">
        <v>45608</v>
      </c>
      <c r="C1451" t="s">
        <v>1673</v>
      </c>
      <c r="D1451" t="s">
        <v>1661</v>
      </c>
      <c r="E1451" t="s">
        <v>727</v>
      </c>
      <c r="F1451" t="s">
        <v>195</v>
      </c>
      <c r="G1451">
        <v>2</v>
      </c>
      <c r="H1451" s="21">
        <v>811.01</v>
      </c>
      <c r="I1451">
        <v>10</v>
      </c>
      <c r="J1451" s="21">
        <v>162.19999999999999</v>
      </c>
      <c r="K1451">
        <v>5</v>
      </c>
      <c r="L1451" s="21">
        <v>72.989999999999995</v>
      </c>
      <c r="M1451" s="21">
        <v>1532.81</v>
      </c>
      <c r="N1451" s="21">
        <v>1322.68</v>
      </c>
      <c r="O1451" s="21">
        <v>137.13999999999999</v>
      </c>
      <c r="P1451" t="s">
        <v>124</v>
      </c>
      <c r="Q1451" t="s">
        <v>120</v>
      </c>
      <c r="R1451" t="s">
        <v>151</v>
      </c>
      <c r="S1451" t="s">
        <v>1436</v>
      </c>
      <c r="T1451" t="s">
        <v>153</v>
      </c>
      <c r="U1451" t="s">
        <v>154</v>
      </c>
      <c r="V1451" t="str">
        <f>IFERROR(INDEX(Products!$C:$C,MATCH(D1451,Products!$A:$A,0)),"Unknown")</f>
        <v>Men Jeans</v>
      </c>
      <c r="W1451" t="str">
        <f>IFERROR(INDEX(Products!$E:$E,MATCH(D1451,Products!$A:$A,0)),"Unknown")</f>
        <v>Aurelia</v>
      </c>
      <c r="X1451" t="str">
        <f>IFERROR(INDEX(Stores!$B:$B,MATCH(E1451,Stores!$A:$A,0)),"Unknown")</f>
        <v>TrendMart Nizamabad Standard</v>
      </c>
      <c r="Y1451" t="str">
        <f>IFERROR(INDEX(Stores!$E:$E,MATCH(E1451,Stores!$A:$A,0)),"Unknown")</f>
        <v>South Zone 2</v>
      </c>
      <c r="Z1451" t="str">
        <f>IFERROR(INDEX(Customers!$J:$J,MATCH(C1451,Customers!$A:$A,0)),"Unknown")</f>
        <v>Regular</v>
      </c>
      <c r="AA1451" t="str">
        <f t="shared" si="22"/>
        <v>2024-11</v>
      </c>
      <c r="AB1451" t="str">
        <f>IFERROR(INDEX(Products!$I:$I,MATCH(D1451,Products!$A:$A,0)),"Unknown")</f>
        <v>SUP053</v>
      </c>
    </row>
    <row r="1452" spans="1:28" x14ac:dyDescent="0.25">
      <c r="A1452" t="s">
        <v>3337</v>
      </c>
      <c r="B1452" s="20">
        <v>45599</v>
      </c>
      <c r="C1452" t="s">
        <v>1370</v>
      </c>
      <c r="D1452" t="s">
        <v>502</v>
      </c>
      <c r="E1452" t="s">
        <v>752</v>
      </c>
      <c r="F1452" t="s">
        <v>344</v>
      </c>
      <c r="G1452">
        <v>1</v>
      </c>
      <c r="H1452" s="21">
        <v>3383.48</v>
      </c>
      <c r="I1452">
        <v>0</v>
      </c>
      <c r="J1452" s="21">
        <v>0</v>
      </c>
      <c r="K1452">
        <v>12</v>
      </c>
      <c r="L1452" s="21">
        <v>406.02</v>
      </c>
      <c r="M1452" s="21">
        <v>3789.5</v>
      </c>
      <c r="N1452" s="21">
        <v>2151.34</v>
      </c>
      <c r="O1452" s="21">
        <v>1232.1400000000001</v>
      </c>
      <c r="P1452" t="s">
        <v>121</v>
      </c>
      <c r="Q1452" t="s">
        <v>120</v>
      </c>
      <c r="R1452" t="s">
        <v>151</v>
      </c>
      <c r="S1452" t="s">
        <v>3148</v>
      </c>
      <c r="T1452" t="s">
        <v>161</v>
      </c>
      <c r="U1452" t="s">
        <v>154</v>
      </c>
      <c r="V1452" t="str">
        <f>IFERROR(INDEX(Products!$C:$C,MATCH(D1452,Products!$A:$A,0)),"Unknown")</f>
        <v>Handbags</v>
      </c>
      <c r="W1452" t="str">
        <f>IFERROR(INDEX(Products!$E:$E,MATCH(D1452,Products!$A:$A,0)),"Unknown")</f>
        <v>Libas</v>
      </c>
      <c r="X1452" t="str">
        <f>IFERROR(INDEX(Stores!$B:$B,MATCH(E1452,Stores!$A:$A,0)),"Unknown")</f>
        <v>TrendMart Dindigul High Street</v>
      </c>
      <c r="Y1452" t="str">
        <f>IFERROR(INDEX(Stores!$E:$E,MATCH(E1452,Stores!$A:$A,0)),"Unknown")</f>
        <v>South Zone 1</v>
      </c>
      <c r="Z1452" t="str">
        <f>IFERROR(INDEX(Customers!$J:$J,MATCH(C1452,Customers!$A:$A,0)),"Unknown")</f>
        <v>Regular</v>
      </c>
      <c r="AA1452" t="str">
        <f t="shared" si="22"/>
        <v>2024-11</v>
      </c>
      <c r="AB1452" t="str">
        <f>IFERROR(INDEX(Products!$I:$I,MATCH(D1452,Products!$A:$A,0)),"Unknown")</f>
        <v>SUP070</v>
      </c>
    </row>
    <row r="1453" spans="1:28" x14ac:dyDescent="0.25">
      <c r="A1453" t="s">
        <v>3338</v>
      </c>
      <c r="B1453" s="20">
        <v>45551</v>
      </c>
      <c r="C1453" t="s">
        <v>696</v>
      </c>
      <c r="D1453" t="s">
        <v>751</v>
      </c>
      <c r="E1453" t="s">
        <v>99</v>
      </c>
      <c r="F1453" t="s">
        <v>292</v>
      </c>
      <c r="G1453">
        <v>2</v>
      </c>
      <c r="H1453" s="21">
        <v>1234.5999999999999</v>
      </c>
      <c r="I1453">
        <v>25</v>
      </c>
      <c r="J1453" s="21">
        <v>617.29999999999995</v>
      </c>
      <c r="K1453">
        <v>12</v>
      </c>
      <c r="L1453" s="21">
        <v>222.23</v>
      </c>
      <c r="M1453" s="21">
        <v>2074.13</v>
      </c>
      <c r="N1453" s="21">
        <v>1878.26</v>
      </c>
      <c r="O1453" s="21">
        <v>-26.36</v>
      </c>
      <c r="P1453" t="s">
        <v>126</v>
      </c>
      <c r="Q1453" t="s">
        <v>122</v>
      </c>
      <c r="R1453" t="s">
        <v>151</v>
      </c>
      <c r="S1453" t="s">
        <v>1835</v>
      </c>
      <c r="T1453" t="s">
        <v>153</v>
      </c>
      <c r="U1453" t="s">
        <v>184</v>
      </c>
      <c r="V1453" t="str">
        <f>IFERROR(INDEX(Products!$C:$C,MATCH(D1453,Products!$A:$A,0)),"Unknown")</f>
        <v>Wallets</v>
      </c>
      <c r="W1453" t="str">
        <f>IFERROR(INDEX(Products!$E:$E,MATCH(D1453,Products!$A:$A,0)),"Unknown")</f>
        <v>Numero Uno</v>
      </c>
      <c r="X1453" t="str">
        <f>IFERROR(INDEX(Stores!$B:$B,MATCH(E1453,Stores!$A:$A,0)),"Unknown")</f>
        <v>TrendMart Hubballi Standard</v>
      </c>
      <c r="Y1453" t="str">
        <f>IFERROR(INDEX(Stores!$E:$E,MATCH(E1453,Stores!$A:$A,0)),"Unknown")</f>
        <v>South Zone 2</v>
      </c>
      <c r="Z1453" t="str">
        <f>IFERROR(INDEX(Customers!$J:$J,MATCH(C1453,Customers!$A:$A,0)),"Unknown")</f>
        <v>Silver</v>
      </c>
      <c r="AA1453" t="str">
        <f t="shared" si="22"/>
        <v>2024-09</v>
      </c>
      <c r="AB1453" t="str">
        <f>IFERROR(INDEX(Products!$I:$I,MATCH(D1453,Products!$A:$A,0)),"Unknown")</f>
        <v>SUP029</v>
      </c>
    </row>
    <row r="1454" spans="1:28" x14ac:dyDescent="0.25">
      <c r="A1454" t="s">
        <v>3339</v>
      </c>
      <c r="B1454" s="20">
        <v>45389</v>
      </c>
      <c r="C1454" t="s">
        <v>3340</v>
      </c>
      <c r="D1454" t="s">
        <v>1564</v>
      </c>
      <c r="E1454" t="s">
        <v>302</v>
      </c>
      <c r="F1454" t="s">
        <v>275</v>
      </c>
      <c r="G1454">
        <v>4</v>
      </c>
      <c r="H1454" s="21">
        <v>1043.79</v>
      </c>
      <c r="I1454">
        <v>20</v>
      </c>
      <c r="J1454" s="21">
        <v>835.03</v>
      </c>
      <c r="K1454">
        <v>12</v>
      </c>
      <c r="L1454" s="21">
        <v>400.82</v>
      </c>
      <c r="M1454" s="21">
        <v>3740.95</v>
      </c>
      <c r="N1454" s="21">
        <v>2782.68</v>
      </c>
      <c r="O1454" s="21">
        <v>557.45000000000005</v>
      </c>
      <c r="P1454" t="s">
        <v>124</v>
      </c>
      <c r="Q1454" t="s">
        <v>122</v>
      </c>
      <c r="R1454" t="s">
        <v>151</v>
      </c>
      <c r="S1454" t="s">
        <v>1910</v>
      </c>
      <c r="T1454" t="s">
        <v>161</v>
      </c>
      <c r="U1454" t="s">
        <v>154</v>
      </c>
      <c r="V1454" t="str">
        <f>IFERROR(INDEX(Products!$C:$C,MATCH(D1454,Products!$A:$A,0)),"Unknown")</f>
        <v>Handbags</v>
      </c>
      <c r="W1454" t="str">
        <f>IFERROR(INDEX(Products!$E:$E,MATCH(D1454,Products!$A:$A,0)),"Unknown")</f>
        <v>W for Woman</v>
      </c>
      <c r="X1454" t="str">
        <f>IFERROR(INDEX(Stores!$B:$B,MATCH(E1454,Stores!$A:$A,0)),"Unknown")</f>
        <v>TrendMart Visakhapatnam Standard</v>
      </c>
      <c r="Y1454" t="str">
        <f>IFERROR(INDEX(Stores!$E:$E,MATCH(E1454,Stores!$A:$A,0)),"Unknown")</f>
        <v>South Zone 3</v>
      </c>
      <c r="Z1454" t="str">
        <f>IFERROR(INDEX(Customers!$J:$J,MATCH(C1454,Customers!$A:$A,0)),"Unknown")</f>
        <v>Gold</v>
      </c>
      <c r="AA1454" t="str">
        <f t="shared" si="22"/>
        <v>2024-04</v>
      </c>
      <c r="AB1454" t="str">
        <f>IFERROR(INDEX(Products!$I:$I,MATCH(D1454,Products!$A:$A,0)),"Unknown")</f>
        <v>SUP011</v>
      </c>
    </row>
    <row r="1455" spans="1:28" x14ac:dyDescent="0.25">
      <c r="A1455" t="s">
        <v>3341</v>
      </c>
      <c r="B1455" s="20">
        <v>45487</v>
      </c>
      <c r="C1455" t="s">
        <v>2793</v>
      </c>
      <c r="D1455" t="s">
        <v>1931</v>
      </c>
      <c r="E1455" t="s">
        <v>934</v>
      </c>
      <c r="F1455" t="s">
        <v>303</v>
      </c>
      <c r="G1455">
        <v>4</v>
      </c>
      <c r="H1455" s="21">
        <v>947.69</v>
      </c>
      <c r="I1455">
        <v>20</v>
      </c>
      <c r="J1455" s="21">
        <v>758.15</v>
      </c>
      <c r="K1455">
        <v>5</v>
      </c>
      <c r="L1455" s="21">
        <v>151.63</v>
      </c>
      <c r="M1455" s="21">
        <v>3184.24</v>
      </c>
      <c r="N1455" s="21">
        <v>2680.68</v>
      </c>
      <c r="O1455" s="21">
        <v>351.93</v>
      </c>
      <c r="P1455" t="s">
        <v>127</v>
      </c>
      <c r="Q1455" t="s">
        <v>122</v>
      </c>
      <c r="R1455" t="s">
        <v>151</v>
      </c>
      <c r="S1455" t="s">
        <v>1363</v>
      </c>
      <c r="T1455" t="s">
        <v>161</v>
      </c>
      <c r="U1455" t="s">
        <v>154</v>
      </c>
      <c r="V1455" t="str">
        <f>IFERROR(INDEX(Products!$C:$C,MATCH(D1455,Products!$A:$A,0)),"Unknown")</f>
        <v>Men Jeans</v>
      </c>
      <c r="W1455" t="str">
        <f>IFERROR(INDEX(Products!$E:$E,MATCH(D1455,Products!$A:$A,0)),"Unknown")</f>
        <v>Libas</v>
      </c>
      <c r="X1455" t="str">
        <f>IFERROR(INDEX(Stores!$B:$B,MATCH(E1455,Stores!$A:$A,0)),"Unknown")</f>
        <v>TrendMart Bengaluru High Street</v>
      </c>
      <c r="Y1455" t="str">
        <f>IFERROR(INDEX(Stores!$E:$E,MATCH(E1455,Stores!$A:$A,0)),"Unknown")</f>
        <v>South Zone 2</v>
      </c>
      <c r="Z1455" t="str">
        <f>IFERROR(INDEX(Customers!$J:$J,MATCH(C1455,Customers!$A:$A,0)),"Unknown")</f>
        <v>Platinum</v>
      </c>
      <c r="AA1455" t="str">
        <f t="shared" si="22"/>
        <v>2024-07</v>
      </c>
      <c r="AB1455" t="str">
        <f>IFERROR(INDEX(Products!$I:$I,MATCH(D1455,Products!$A:$A,0)),"Unknown")</f>
        <v>SUP018</v>
      </c>
    </row>
    <row r="1456" spans="1:28" x14ac:dyDescent="0.25">
      <c r="A1456" t="s">
        <v>3342</v>
      </c>
      <c r="B1456" s="20">
        <v>45577</v>
      </c>
      <c r="C1456" t="s">
        <v>679</v>
      </c>
      <c r="D1456" t="s">
        <v>830</v>
      </c>
      <c r="E1456" t="s">
        <v>360</v>
      </c>
      <c r="F1456" t="s">
        <v>201</v>
      </c>
      <c r="G1456">
        <v>0</v>
      </c>
      <c r="H1456" s="21">
        <v>919.96</v>
      </c>
      <c r="I1456">
        <v>10</v>
      </c>
      <c r="J1456" s="21">
        <v>0</v>
      </c>
      <c r="K1456">
        <v>5</v>
      </c>
      <c r="L1456" s="21">
        <v>0</v>
      </c>
      <c r="M1456" s="21">
        <v>0</v>
      </c>
      <c r="N1456" s="21">
        <v>0</v>
      </c>
      <c r="O1456" s="21">
        <v>0</v>
      </c>
      <c r="P1456" t="s">
        <v>124</v>
      </c>
      <c r="Q1456" t="s">
        <v>120</v>
      </c>
      <c r="R1456" t="s">
        <v>482</v>
      </c>
      <c r="S1456" t="s">
        <v>789</v>
      </c>
      <c r="T1456" t="s">
        <v>161</v>
      </c>
      <c r="U1456" t="s">
        <v>154</v>
      </c>
      <c r="V1456" t="str">
        <f>IFERROR(INDEX(Products!$C:$C,MATCH(D1456,Products!$A:$A,0)),"Unknown")</f>
        <v>Men Shirts</v>
      </c>
      <c r="W1456" t="str">
        <f>IFERROR(INDEX(Products!$E:$E,MATCH(D1456,Products!$A:$A,0)),"Unknown")</f>
        <v>AND</v>
      </c>
      <c r="X1456" t="str">
        <f>IFERROR(INDEX(Stores!$B:$B,MATCH(E1456,Stores!$A:$A,0)),"Unknown")</f>
        <v>TrendMart Kochi Standard</v>
      </c>
      <c r="Y1456" t="str">
        <f>IFERROR(INDEX(Stores!$E:$E,MATCH(E1456,Stores!$A:$A,0)),"Unknown")</f>
        <v>South Zone 1</v>
      </c>
      <c r="Z1456" t="str">
        <f>IFERROR(INDEX(Customers!$J:$J,MATCH(C1456,Customers!$A:$A,0)),"Unknown")</f>
        <v>Gold</v>
      </c>
      <c r="AA1456" t="str">
        <f t="shared" si="22"/>
        <v>2024-10</v>
      </c>
      <c r="AB1456" t="str">
        <f>IFERROR(INDEX(Products!$I:$I,MATCH(D1456,Products!$A:$A,0)),"Unknown")</f>
        <v>SUP012</v>
      </c>
    </row>
    <row r="1457" spans="1:28" x14ac:dyDescent="0.25">
      <c r="A1457" t="s">
        <v>3343</v>
      </c>
      <c r="B1457" s="20">
        <v>45571</v>
      </c>
      <c r="C1457" t="s">
        <v>1349</v>
      </c>
      <c r="D1457" t="s">
        <v>1709</v>
      </c>
      <c r="E1457" t="s">
        <v>262</v>
      </c>
      <c r="F1457" t="s">
        <v>201</v>
      </c>
      <c r="G1457">
        <v>1</v>
      </c>
      <c r="H1457" s="21">
        <v>492.96</v>
      </c>
      <c r="I1457">
        <v>0</v>
      </c>
      <c r="J1457" s="21">
        <v>0</v>
      </c>
      <c r="K1457">
        <v>5</v>
      </c>
      <c r="L1457" s="21">
        <v>24.65</v>
      </c>
      <c r="M1457" s="21">
        <v>517.61</v>
      </c>
      <c r="N1457" s="21">
        <v>327.36</v>
      </c>
      <c r="O1457" s="21">
        <v>165.6</v>
      </c>
      <c r="P1457" t="s">
        <v>126</v>
      </c>
      <c r="Q1457" t="s">
        <v>120</v>
      </c>
      <c r="R1457" t="s">
        <v>151</v>
      </c>
      <c r="S1457" t="s">
        <v>166</v>
      </c>
      <c r="T1457" t="s">
        <v>161</v>
      </c>
      <c r="U1457" t="s">
        <v>154</v>
      </c>
      <c r="V1457" t="str">
        <f>IFERROR(INDEX(Products!$C:$C,MATCH(D1457,Products!$A:$A,0)),"Unknown")</f>
        <v>Kids Wear</v>
      </c>
      <c r="W1457" t="str">
        <f>IFERROR(INDEX(Products!$E:$E,MATCH(D1457,Products!$A:$A,0)),"Unknown")</f>
        <v>Aurelia</v>
      </c>
      <c r="X1457" t="str">
        <f>IFERROR(INDEX(Stores!$B:$B,MATCH(E1457,Stores!$A:$A,0)),"Unknown")</f>
        <v>TrendMart Thoothukudi Outlet</v>
      </c>
      <c r="Y1457" t="str">
        <f>IFERROR(INDEX(Stores!$E:$E,MATCH(E1457,Stores!$A:$A,0)),"Unknown")</f>
        <v>South Zone 1</v>
      </c>
      <c r="Z1457" t="str">
        <f>IFERROR(INDEX(Customers!$J:$J,MATCH(C1457,Customers!$A:$A,0)),"Unknown")</f>
        <v>Platinum</v>
      </c>
      <c r="AA1457" t="str">
        <f t="shared" si="22"/>
        <v>2024-10</v>
      </c>
      <c r="AB1457" t="str">
        <f>IFERROR(INDEX(Products!$I:$I,MATCH(D1457,Products!$A:$A,0)),"Unknown")</f>
        <v>SUP055</v>
      </c>
    </row>
    <row r="1458" spans="1:28" x14ac:dyDescent="0.25">
      <c r="A1458" t="s">
        <v>3344</v>
      </c>
      <c r="B1458" s="20">
        <v>45466</v>
      </c>
      <c r="C1458" t="s">
        <v>3345</v>
      </c>
      <c r="D1458" t="s">
        <v>926</v>
      </c>
      <c r="E1458" t="s">
        <v>200</v>
      </c>
      <c r="F1458" t="s">
        <v>618</v>
      </c>
      <c r="G1458">
        <v>4</v>
      </c>
      <c r="H1458" s="21">
        <v>1169.81</v>
      </c>
      <c r="I1458">
        <v>30</v>
      </c>
      <c r="J1458" s="21">
        <v>1403.77</v>
      </c>
      <c r="K1458">
        <v>12</v>
      </c>
      <c r="L1458" s="21">
        <v>393.06</v>
      </c>
      <c r="M1458" s="21">
        <v>3668.53</v>
      </c>
      <c r="N1458" s="21">
        <v>3242.48</v>
      </c>
      <c r="O1458" s="21">
        <v>32.99</v>
      </c>
      <c r="P1458" t="s">
        <v>121</v>
      </c>
      <c r="Q1458" t="s">
        <v>122</v>
      </c>
      <c r="R1458" t="s">
        <v>313</v>
      </c>
      <c r="S1458" t="s">
        <v>282</v>
      </c>
      <c r="T1458" t="s">
        <v>161</v>
      </c>
      <c r="U1458" t="s">
        <v>154</v>
      </c>
      <c r="V1458" t="str">
        <f>IFERROR(INDEX(Products!$C:$C,MATCH(D1458,Products!$A:$A,0)),"Unknown")</f>
        <v>Women Dresses</v>
      </c>
      <c r="W1458" t="str">
        <f>IFERROR(INDEX(Products!$E:$E,MATCH(D1458,Products!$A:$A,0)),"Unknown")</f>
        <v>Fabindia</v>
      </c>
      <c r="X1458" t="str">
        <f>IFERROR(INDEX(Stores!$B:$B,MATCH(E1458,Stores!$A:$A,0)),"Unknown")</f>
        <v>TrendMart Kozhikode Standard</v>
      </c>
      <c r="Y1458" t="str">
        <f>IFERROR(INDEX(Stores!$E:$E,MATCH(E1458,Stores!$A:$A,0)),"Unknown")</f>
        <v>South Zone 1</v>
      </c>
      <c r="Z1458" t="str">
        <f>IFERROR(INDEX(Customers!$J:$J,MATCH(C1458,Customers!$A:$A,0)),"Unknown")</f>
        <v>Silver</v>
      </c>
      <c r="AA1458" t="str">
        <f t="shared" si="22"/>
        <v>2024-06</v>
      </c>
      <c r="AB1458" t="str">
        <f>IFERROR(INDEX(Products!$I:$I,MATCH(D1458,Products!$A:$A,0)),"Unknown")</f>
        <v>SUP059</v>
      </c>
    </row>
    <row r="1459" spans="1:28" x14ac:dyDescent="0.25">
      <c r="A1459" t="s">
        <v>3346</v>
      </c>
      <c r="B1459" s="20">
        <v>45616</v>
      </c>
      <c r="C1459" t="s">
        <v>2067</v>
      </c>
      <c r="D1459" t="s">
        <v>587</v>
      </c>
      <c r="E1459" t="s">
        <v>999</v>
      </c>
      <c r="F1459" t="s">
        <v>258</v>
      </c>
      <c r="G1459">
        <v>1</v>
      </c>
      <c r="H1459" s="21">
        <v>3209.89</v>
      </c>
      <c r="I1459">
        <v>15</v>
      </c>
      <c r="J1459" s="21">
        <v>481.48</v>
      </c>
      <c r="K1459">
        <v>12</v>
      </c>
      <c r="L1459" s="21">
        <v>327.41000000000003</v>
      </c>
      <c r="M1459" s="21">
        <v>3055.82</v>
      </c>
      <c r="N1459" s="21">
        <v>2135.85</v>
      </c>
      <c r="O1459" s="21">
        <v>592.55999999999995</v>
      </c>
      <c r="P1459" t="s">
        <v>121</v>
      </c>
      <c r="Q1459" t="s">
        <v>120</v>
      </c>
      <c r="R1459" t="s">
        <v>151</v>
      </c>
      <c r="S1459" t="s">
        <v>1237</v>
      </c>
      <c r="T1459" t="s">
        <v>153</v>
      </c>
      <c r="U1459" t="s">
        <v>154</v>
      </c>
      <c r="V1459" t="str">
        <f>IFERROR(INDEX(Products!$C:$C,MATCH(D1459,Products!$A:$A,0)),"Unknown")</f>
        <v>Handbags</v>
      </c>
      <c r="W1459" t="str">
        <f>IFERROR(INDEX(Products!$E:$E,MATCH(D1459,Products!$A:$A,0)),"Unknown")</f>
        <v>Tanishq</v>
      </c>
      <c r="X1459" t="str">
        <f>IFERROR(INDEX(Stores!$B:$B,MATCH(E1459,Stores!$A:$A,0)),"Unknown")</f>
        <v>TrendMart Tumakuru Standard</v>
      </c>
      <c r="Y1459" t="str">
        <f>IFERROR(INDEX(Stores!$E:$E,MATCH(E1459,Stores!$A:$A,0)),"Unknown")</f>
        <v>South Zone 2</v>
      </c>
      <c r="Z1459" t="str">
        <f>IFERROR(INDEX(Customers!$J:$J,MATCH(C1459,Customers!$A:$A,0)),"Unknown")</f>
        <v>Silver</v>
      </c>
      <c r="AA1459" t="str">
        <f t="shared" si="22"/>
        <v>2024-11</v>
      </c>
      <c r="AB1459" t="str">
        <f>IFERROR(INDEX(Products!$I:$I,MATCH(D1459,Products!$A:$A,0)),"Unknown")</f>
        <v>SUP029</v>
      </c>
    </row>
    <row r="1460" spans="1:28" x14ac:dyDescent="0.25">
      <c r="A1460" t="s">
        <v>3347</v>
      </c>
      <c r="B1460" s="20">
        <v>45695</v>
      </c>
      <c r="C1460" t="s">
        <v>1370</v>
      </c>
      <c r="D1460" t="s">
        <v>1687</v>
      </c>
      <c r="E1460" t="s">
        <v>97</v>
      </c>
      <c r="F1460" t="s">
        <v>221</v>
      </c>
      <c r="G1460">
        <v>1</v>
      </c>
      <c r="H1460" s="21">
        <v>846.34</v>
      </c>
      <c r="I1460">
        <v>0</v>
      </c>
      <c r="J1460" s="21">
        <v>0</v>
      </c>
      <c r="K1460">
        <v>5</v>
      </c>
      <c r="L1460" s="21">
        <v>42.32</v>
      </c>
      <c r="M1460" s="21">
        <v>888.66</v>
      </c>
      <c r="N1460" s="21">
        <v>481.3</v>
      </c>
      <c r="O1460" s="21">
        <v>365.04</v>
      </c>
      <c r="P1460" t="s">
        <v>126</v>
      </c>
      <c r="Q1460" t="s">
        <v>122</v>
      </c>
      <c r="R1460" t="s">
        <v>151</v>
      </c>
      <c r="S1460" t="s">
        <v>3074</v>
      </c>
      <c r="T1460" t="s">
        <v>153</v>
      </c>
      <c r="U1460" t="s">
        <v>154</v>
      </c>
      <c r="V1460" t="str">
        <f>IFERROR(INDEX(Products!$C:$C,MATCH(D1460,Products!$A:$A,0)),"Unknown")</f>
        <v>Accessories</v>
      </c>
      <c r="W1460" t="str">
        <f>IFERROR(INDEX(Products!$E:$E,MATCH(D1460,Products!$A:$A,0)),"Unknown")</f>
        <v>Unknown</v>
      </c>
      <c r="X1460" t="str">
        <f>IFERROR(INDEX(Stores!$B:$B,MATCH(E1460,Stores!$A:$A,0)),"Unknown")</f>
        <v>TrendMart Guntur Flagship</v>
      </c>
      <c r="Y1460" t="str">
        <f>IFERROR(INDEX(Stores!$E:$E,MATCH(E1460,Stores!$A:$A,0)),"Unknown")</f>
        <v>South Zone 3</v>
      </c>
      <c r="Z1460" t="str">
        <f>IFERROR(INDEX(Customers!$J:$J,MATCH(C1460,Customers!$A:$A,0)),"Unknown")</f>
        <v>Regular</v>
      </c>
      <c r="AA1460" t="str">
        <f t="shared" si="22"/>
        <v>2025-02</v>
      </c>
      <c r="AB1460" t="str">
        <f>IFERROR(INDEX(Products!$I:$I,MATCH(D1460,Products!$A:$A,0)),"Unknown")</f>
        <v>SUP023</v>
      </c>
    </row>
    <row r="1461" spans="1:28" x14ac:dyDescent="0.25">
      <c r="A1461" t="s">
        <v>3348</v>
      </c>
      <c r="B1461" s="20">
        <v>45532</v>
      </c>
      <c r="C1461" t="s">
        <v>1766</v>
      </c>
      <c r="D1461" t="s">
        <v>773</v>
      </c>
      <c r="E1461" t="s">
        <v>83</v>
      </c>
      <c r="F1461" t="s">
        <v>195</v>
      </c>
      <c r="G1461">
        <v>3</v>
      </c>
      <c r="H1461" s="21">
        <v>3399.64</v>
      </c>
      <c r="I1461">
        <v>0</v>
      </c>
      <c r="J1461" s="21">
        <v>0</v>
      </c>
      <c r="K1461">
        <v>12</v>
      </c>
      <c r="L1461" s="21">
        <v>1223.8699999999999</v>
      </c>
      <c r="M1461" s="21">
        <v>11422.79</v>
      </c>
      <c r="N1461" s="21">
        <v>8130.15</v>
      </c>
      <c r="O1461" s="21">
        <v>2068.77</v>
      </c>
      <c r="P1461" t="s">
        <v>123</v>
      </c>
      <c r="Q1461" t="s">
        <v>120</v>
      </c>
      <c r="R1461" t="s">
        <v>151</v>
      </c>
      <c r="S1461" t="s">
        <v>3349</v>
      </c>
      <c r="T1461" t="s">
        <v>153</v>
      </c>
      <c r="U1461" t="s">
        <v>154</v>
      </c>
      <c r="V1461" t="str">
        <f>IFERROR(INDEX(Products!$C:$C,MATCH(D1461,Products!$A:$A,0)),"Unknown")</f>
        <v>Women Sarees</v>
      </c>
      <c r="W1461" t="str">
        <f>IFERROR(INDEX(Products!$E:$E,MATCH(D1461,Products!$A:$A,0)),"Unknown")</f>
        <v>Bata</v>
      </c>
      <c r="X1461" t="str">
        <f>IFERROR(INDEX(Stores!$B:$B,MATCH(E1461,Stores!$A:$A,0)),"Unknown")</f>
        <v>TrendMart Vellore Standard</v>
      </c>
      <c r="Y1461" t="str">
        <f>IFERROR(INDEX(Stores!$E:$E,MATCH(E1461,Stores!$A:$A,0)),"Unknown")</f>
        <v>South Zone 1</v>
      </c>
      <c r="Z1461" t="str">
        <f>IFERROR(INDEX(Customers!$J:$J,MATCH(C1461,Customers!$A:$A,0)),"Unknown")</f>
        <v>Gold</v>
      </c>
      <c r="AA1461" t="str">
        <f t="shared" si="22"/>
        <v>2024-08</v>
      </c>
      <c r="AB1461" t="str">
        <f>IFERROR(INDEX(Products!$I:$I,MATCH(D1461,Products!$A:$A,0)),"Unknown")</f>
        <v>SUP086</v>
      </c>
    </row>
    <row r="1462" spans="1:28" x14ac:dyDescent="0.25">
      <c r="A1462" t="s">
        <v>3350</v>
      </c>
      <c r="B1462" s="20">
        <v>45734</v>
      </c>
      <c r="C1462" t="s">
        <v>1315</v>
      </c>
      <c r="D1462" t="s">
        <v>1052</v>
      </c>
      <c r="E1462" t="s">
        <v>274</v>
      </c>
      <c r="F1462" t="s">
        <v>221</v>
      </c>
      <c r="G1462">
        <v>2</v>
      </c>
      <c r="H1462" s="21">
        <v>2584.96</v>
      </c>
      <c r="I1462">
        <v>0</v>
      </c>
      <c r="J1462" s="21">
        <v>0</v>
      </c>
      <c r="K1462">
        <v>12</v>
      </c>
      <c r="L1462" s="21">
        <v>620.39</v>
      </c>
      <c r="M1462" s="21">
        <v>5790.31</v>
      </c>
      <c r="N1462" s="21">
        <v>3760.28</v>
      </c>
      <c r="O1462" s="21">
        <v>1409.64</v>
      </c>
      <c r="P1462" t="s">
        <v>121</v>
      </c>
      <c r="Q1462" t="s">
        <v>120</v>
      </c>
      <c r="R1462" t="s">
        <v>151</v>
      </c>
      <c r="S1462" t="s">
        <v>2326</v>
      </c>
      <c r="T1462" t="s">
        <v>153</v>
      </c>
      <c r="U1462" t="s">
        <v>154</v>
      </c>
      <c r="V1462" t="str">
        <f>IFERROR(INDEX(Products!$C:$C,MATCH(D1462,Products!$A:$A,0)),"Unknown")</f>
        <v>Men Ethnic</v>
      </c>
      <c r="W1462" t="str">
        <f>IFERROR(INDEX(Products!$E:$E,MATCH(D1462,Products!$A:$A,0)),"Unknown")</f>
        <v>Blackberrys</v>
      </c>
      <c r="X1462" t="str">
        <f>IFERROR(INDEX(Stores!$B:$B,MATCH(E1462,Stores!$A:$A,0)),"Unknown")</f>
        <v>TrendMart Mangaluru Standard</v>
      </c>
      <c r="Y1462" t="str">
        <f>IFERROR(INDEX(Stores!$E:$E,MATCH(E1462,Stores!$A:$A,0)),"Unknown")</f>
        <v>South Zone 2</v>
      </c>
      <c r="Z1462" t="str">
        <f>IFERROR(INDEX(Customers!$J:$J,MATCH(C1462,Customers!$A:$A,0)),"Unknown")</f>
        <v>Platinum</v>
      </c>
      <c r="AA1462" t="str">
        <f t="shared" si="22"/>
        <v>2025-03</v>
      </c>
      <c r="AB1462" t="str">
        <f>IFERROR(INDEX(Products!$I:$I,MATCH(D1462,Products!$A:$A,0)),"Unknown")</f>
        <v>SUP020</v>
      </c>
    </row>
    <row r="1463" spans="1:28" x14ac:dyDescent="0.25">
      <c r="A1463" t="s">
        <v>3351</v>
      </c>
      <c r="B1463" s="20">
        <v>45576</v>
      </c>
      <c r="C1463" t="s">
        <v>3352</v>
      </c>
      <c r="D1463" t="s">
        <v>961</v>
      </c>
      <c r="E1463" t="s">
        <v>588</v>
      </c>
      <c r="F1463" t="s">
        <v>189</v>
      </c>
      <c r="G1463">
        <v>2</v>
      </c>
      <c r="H1463" s="21">
        <v>1213.04</v>
      </c>
      <c r="I1463">
        <v>0</v>
      </c>
      <c r="J1463" s="21">
        <v>0</v>
      </c>
      <c r="K1463">
        <v>12</v>
      </c>
      <c r="L1463" s="21">
        <v>291.13</v>
      </c>
      <c r="M1463" s="21">
        <v>2717.21</v>
      </c>
      <c r="N1463" s="21">
        <v>1763.86</v>
      </c>
      <c r="O1463" s="21">
        <v>662.22</v>
      </c>
      <c r="P1463" t="s">
        <v>125</v>
      </c>
      <c r="Q1463" t="s">
        <v>122</v>
      </c>
      <c r="R1463" t="s">
        <v>151</v>
      </c>
      <c r="S1463" t="s">
        <v>3321</v>
      </c>
      <c r="T1463" t="s">
        <v>153</v>
      </c>
      <c r="U1463" t="s">
        <v>154</v>
      </c>
      <c r="V1463" t="str">
        <f>IFERROR(INDEX(Products!$C:$C,MATCH(D1463,Products!$A:$A,0)),"Unknown")</f>
        <v>Men Trousers</v>
      </c>
      <c r="W1463" t="str">
        <f>IFERROR(INDEX(Products!$E:$E,MATCH(D1463,Products!$A:$A,0)),"Unknown")</f>
        <v>Pepe Jeans</v>
      </c>
      <c r="X1463" t="str">
        <f>IFERROR(INDEX(Stores!$B:$B,MATCH(E1463,Stores!$A:$A,0)),"Unknown")</f>
        <v>TrendMart Nizamabad Standard</v>
      </c>
      <c r="Y1463" t="str">
        <f>IFERROR(INDEX(Stores!$E:$E,MATCH(E1463,Stores!$A:$A,0)),"Unknown")</f>
        <v>South Zone 2</v>
      </c>
      <c r="Z1463" t="str">
        <f>IFERROR(INDEX(Customers!$J:$J,MATCH(C1463,Customers!$A:$A,0)),"Unknown")</f>
        <v>Silver</v>
      </c>
      <c r="AA1463" t="str">
        <f t="shared" si="22"/>
        <v>2024-10</v>
      </c>
      <c r="AB1463" t="str">
        <f>IFERROR(INDEX(Products!$I:$I,MATCH(D1463,Products!$A:$A,0)),"Unknown")</f>
        <v>SUP071</v>
      </c>
    </row>
    <row r="1464" spans="1:28" x14ac:dyDescent="0.25">
      <c r="A1464" t="s">
        <v>3353</v>
      </c>
      <c r="B1464" s="20">
        <v>45585</v>
      </c>
      <c r="C1464" t="s">
        <v>1389</v>
      </c>
      <c r="D1464" t="s">
        <v>251</v>
      </c>
      <c r="E1464" t="s">
        <v>1681</v>
      </c>
      <c r="F1464" t="s">
        <v>297</v>
      </c>
      <c r="G1464">
        <v>2</v>
      </c>
      <c r="H1464" s="21">
        <v>861.78</v>
      </c>
      <c r="I1464">
        <v>0</v>
      </c>
      <c r="J1464" s="21">
        <v>0</v>
      </c>
      <c r="K1464">
        <v>5</v>
      </c>
      <c r="L1464" s="21">
        <v>86.18</v>
      </c>
      <c r="M1464" s="21">
        <v>1809.74</v>
      </c>
      <c r="N1464" s="21">
        <v>1069.6199999999999</v>
      </c>
      <c r="O1464" s="21">
        <v>653.94000000000005</v>
      </c>
      <c r="P1464" t="s">
        <v>121</v>
      </c>
      <c r="Q1464" t="s">
        <v>120</v>
      </c>
      <c r="R1464" t="s">
        <v>151</v>
      </c>
      <c r="S1464" t="s">
        <v>2232</v>
      </c>
      <c r="T1464" t="s">
        <v>161</v>
      </c>
      <c r="U1464" t="s">
        <v>154</v>
      </c>
      <c r="V1464" t="str">
        <f>IFERROR(INDEX(Products!$C:$C,MATCH(D1464,Products!$A:$A,0)),"Unknown")</f>
        <v>Women Tops</v>
      </c>
      <c r="W1464" t="str">
        <f>IFERROR(INDEX(Products!$E:$E,MATCH(D1464,Products!$A:$A,0)),"Unknown")</f>
        <v>US Polo Assn</v>
      </c>
      <c r="X1464" t="str">
        <f>IFERROR(INDEX(Stores!$B:$B,MATCH(E1464,Stores!$A:$A,0)),"Unknown")</f>
        <v>TrendMart Warangal Standard</v>
      </c>
      <c r="Y1464" t="str">
        <f>IFERROR(INDEX(Stores!$E:$E,MATCH(E1464,Stores!$A:$A,0)),"Unknown")</f>
        <v>South Zone 2</v>
      </c>
      <c r="Z1464" t="str">
        <f>IFERROR(INDEX(Customers!$J:$J,MATCH(C1464,Customers!$A:$A,0)),"Unknown")</f>
        <v>Regular</v>
      </c>
      <c r="AA1464" t="str">
        <f t="shared" si="22"/>
        <v>2024-10</v>
      </c>
      <c r="AB1464" t="str">
        <f>IFERROR(INDEX(Products!$I:$I,MATCH(D1464,Products!$A:$A,0)),"Unknown")</f>
        <v>SUP039</v>
      </c>
    </row>
    <row r="1465" spans="1:28" x14ac:dyDescent="0.25">
      <c r="A1465" t="s">
        <v>3354</v>
      </c>
      <c r="B1465" s="20">
        <v>45705</v>
      </c>
      <c r="C1465" t="s">
        <v>2851</v>
      </c>
      <c r="D1465" t="s">
        <v>622</v>
      </c>
      <c r="E1465" t="s">
        <v>741</v>
      </c>
      <c r="F1465" t="s">
        <v>377</v>
      </c>
      <c r="G1465">
        <v>3</v>
      </c>
      <c r="H1465" s="21">
        <v>2808.59</v>
      </c>
      <c r="I1465">
        <v>30</v>
      </c>
      <c r="J1465" s="21">
        <v>2527.73</v>
      </c>
      <c r="K1465">
        <v>12</v>
      </c>
      <c r="L1465" s="21">
        <v>707.76</v>
      </c>
      <c r="M1465" s="21">
        <v>6605.8</v>
      </c>
      <c r="N1465" s="21">
        <v>5559.42</v>
      </c>
      <c r="O1465" s="21">
        <v>338.62</v>
      </c>
      <c r="P1465" t="s">
        <v>121</v>
      </c>
      <c r="Q1465" t="s">
        <v>120</v>
      </c>
      <c r="R1465" t="s">
        <v>313</v>
      </c>
      <c r="S1465" t="s">
        <v>2964</v>
      </c>
      <c r="T1465" t="s">
        <v>153</v>
      </c>
      <c r="U1465" t="s">
        <v>154</v>
      </c>
      <c r="V1465" t="str">
        <f>IFERROR(INDEX(Products!$C:$C,MATCH(D1465,Products!$A:$A,0)),"Unknown")</f>
        <v>Women Sarees</v>
      </c>
      <c r="W1465" t="str">
        <f>IFERROR(INDEX(Products!$E:$E,MATCH(D1465,Products!$A:$A,0)),"Unknown")</f>
        <v>Sparx</v>
      </c>
      <c r="X1465" t="str">
        <f>IFERROR(INDEX(Stores!$B:$B,MATCH(E1465,Stores!$A:$A,0)),"Unknown")</f>
        <v>TrendMart Nellore Mall Kiosk</v>
      </c>
      <c r="Y1465" t="str">
        <f>IFERROR(INDEX(Stores!$E:$E,MATCH(E1465,Stores!$A:$A,0)),"Unknown")</f>
        <v>South Zone 3</v>
      </c>
      <c r="Z1465" t="str">
        <f>IFERROR(INDEX(Customers!$J:$J,MATCH(C1465,Customers!$A:$A,0)),"Unknown")</f>
        <v>Regular</v>
      </c>
      <c r="AA1465" t="str">
        <f t="shared" si="22"/>
        <v>2025-02</v>
      </c>
      <c r="AB1465" t="str">
        <f>IFERROR(INDEX(Products!$I:$I,MATCH(D1465,Products!$A:$A,0)),"Unknown")</f>
        <v>SUP080</v>
      </c>
    </row>
    <row r="1466" spans="1:28" x14ac:dyDescent="0.25">
      <c r="A1466" t="s">
        <v>3355</v>
      </c>
      <c r="B1466" s="20">
        <v>45581</v>
      </c>
      <c r="C1466" t="s">
        <v>289</v>
      </c>
      <c r="D1466" t="s">
        <v>1321</v>
      </c>
      <c r="E1466" t="s">
        <v>82</v>
      </c>
      <c r="F1466" t="s">
        <v>344</v>
      </c>
      <c r="G1466">
        <v>2</v>
      </c>
      <c r="H1466" s="21">
        <v>2459.67</v>
      </c>
      <c r="I1466">
        <v>5</v>
      </c>
      <c r="J1466" s="21">
        <v>245.97</v>
      </c>
      <c r="K1466">
        <v>12</v>
      </c>
      <c r="L1466" s="21">
        <v>560.79999999999995</v>
      </c>
      <c r="M1466" s="21">
        <v>5234.17</v>
      </c>
      <c r="N1466" s="21">
        <v>3459.44</v>
      </c>
      <c r="O1466" s="21">
        <v>1213.93</v>
      </c>
      <c r="P1466" t="s">
        <v>123</v>
      </c>
      <c r="Q1466" t="s">
        <v>122</v>
      </c>
      <c r="R1466" t="s">
        <v>151</v>
      </c>
      <c r="S1466" t="s">
        <v>3280</v>
      </c>
      <c r="T1466" t="s">
        <v>153</v>
      </c>
      <c r="U1466" t="s">
        <v>154</v>
      </c>
      <c r="V1466" t="str">
        <f>IFERROR(INDEX(Products!$C:$C,MATCH(D1466,Products!$A:$A,0)),"Unknown")</f>
        <v>Men Ethnic</v>
      </c>
      <c r="W1466" t="str">
        <f>IFERROR(INDEX(Products!$E:$E,MATCH(D1466,Products!$A:$A,0)),"Unknown")</f>
        <v>Nalli Silks</v>
      </c>
      <c r="X1466" t="str">
        <f>IFERROR(INDEX(Stores!$B:$B,MATCH(E1466,Stores!$A:$A,0)),"Unknown")</f>
        <v>TrendMart Kochi High Street</v>
      </c>
      <c r="Y1466" t="str">
        <f>IFERROR(INDEX(Stores!$E:$E,MATCH(E1466,Stores!$A:$A,0)),"Unknown")</f>
        <v>South Zone 1</v>
      </c>
      <c r="Z1466" t="str">
        <f>IFERROR(INDEX(Customers!$J:$J,MATCH(C1466,Customers!$A:$A,0)),"Unknown")</f>
        <v>Silver</v>
      </c>
      <c r="AA1466" t="str">
        <f t="shared" si="22"/>
        <v>2024-10</v>
      </c>
      <c r="AB1466" t="str">
        <f>IFERROR(INDEX(Products!$I:$I,MATCH(D1466,Products!$A:$A,0)),"Unknown")</f>
        <v>SUP018</v>
      </c>
    </row>
    <row r="1467" spans="1:28" x14ac:dyDescent="0.25">
      <c r="A1467" t="s">
        <v>3356</v>
      </c>
      <c r="B1467" s="20">
        <v>45613</v>
      </c>
      <c r="C1467" t="s">
        <v>1450</v>
      </c>
      <c r="D1467" t="s">
        <v>1200</v>
      </c>
      <c r="E1467" t="s">
        <v>291</v>
      </c>
      <c r="F1467" t="s">
        <v>201</v>
      </c>
      <c r="G1467">
        <v>2</v>
      </c>
      <c r="H1467" s="21">
        <v>3505.29</v>
      </c>
      <c r="I1467">
        <v>5</v>
      </c>
      <c r="J1467" s="21">
        <v>350.53</v>
      </c>
      <c r="K1467">
        <v>12</v>
      </c>
      <c r="L1467" s="21">
        <v>799.21</v>
      </c>
      <c r="M1467" s="21">
        <v>7459.26</v>
      </c>
      <c r="N1467" s="21">
        <v>4475.6400000000003</v>
      </c>
      <c r="O1467" s="21">
        <v>2184.41</v>
      </c>
      <c r="P1467" t="s">
        <v>125</v>
      </c>
      <c r="Q1467" t="s">
        <v>120</v>
      </c>
      <c r="R1467" t="s">
        <v>151</v>
      </c>
      <c r="S1467" t="s">
        <v>702</v>
      </c>
      <c r="T1467" t="s">
        <v>161</v>
      </c>
      <c r="U1467" t="s">
        <v>154</v>
      </c>
      <c r="V1467" t="str">
        <f>IFERROR(INDEX(Products!$C:$C,MATCH(D1467,Products!$A:$A,0)),"Unknown")</f>
        <v>Footwear</v>
      </c>
      <c r="W1467" t="str">
        <f>IFERROR(INDEX(Products!$E:$E,MATCH(D1467,Products!$A:$A,0)),"Unknown")</f>
        <v>Kalyan Silks</v>
      </c>
      <c r="X1467" t="str">
        <f>IFERROR(INDEX(Stores!$B:$B,MATCH(E1467,Stores!$A:$A,0)),"Unknown")</f>
        <v>TrendMart Khammam Standard</v>
      </c>
      <c r="Y1467" t="str">
        <f>IFERROR(INDEX(Stores!$E:$E,MATCH(E1467,Stores!$A:$A,0)),"Unknown")</f>
        <v>South Zone 2</v>
      </c>
      <c r="Z1467" t="str">
        <f>IFERROR(INDEX(Customers!$J:$J,MATCH(C1467,Customers!$A:$A,0)),"Unknown")</f>
        <v>Silver</v>
      </c>
      <c r="AA1467" t="str">
        <f t="shared" si="22"/>
        <v>2024-11</v>
      </c>
      <c r="AB1467" t="str">
        <f>IFERROR(INDEX(Products!$I:$I,MATCH(D1467,Products!$A:$A,0)),"Unknown")</f>
        <v>SUP090</v>
      </c>
    </row>
    <row r="1468" spans="1:28" x14ac:dyDescent="0.25">
      <c r="A1468" t="s">
        <v>3357</v>
      </c>
      <c r="B1468" s="20">
        <v>45525</v>
      </c>
      <c r="C1468" t="s">
        <v>1726</v>
      </c>
      <c r="D1468" t="s">
        <v>2699</v>
      </c>
      <c r="E1468" t="s">
        <v>268</v>
      </c>
      <c r="F1468" t="s">
        <v>159</v>
      </c>
      <c r="G1468">
        <v>2</v>
      </c>
      <c r="H1468" s="21">
        <v>1134.79</v>
      </c>
      <c r="I1468">
        <v>20</v>
      </c>
      <c r="J1468" s="21">
        <v>453.92</v>
      </c>
      <c r="K1468">
        <v>12</v>
      </c>
      <c r="L1468" s="21">
        <v>217.88</v>
      </c>
      <c r="M1468" s="21">
        <v>2033.54</v>
      </c>
      <c r="N1468" s="21">
        <v>1719.88</v>
      </c>
      <c r="O1468" s="21">
        <v>95.78</v>
      </c>
      <c r="P1468" t="s">
        <v>124</v>
      </c>
      <c r="Q1468" t="s">
        <v>120</v>
      </c>
      <c r="R1468" t="s">
        <v>151</v>
      </c>
      <c r="S1468" t="s">
        <v>421</v>
      </c>
      <c r="T1468" t="s">
        <v>153</v>
      </c>
      <c r="U1468" t="s">
        <v>154</v>
      </c>
      <c r="V1468" t="str">
        <f>IFERROR(INDEX(Products!$C:$C,MATCH(D1468,Products!$A:$A,0)),"Unknown")</f>
        <v>Women Kurtis</v>
      </c>
      <c r="W1468" t="str">
        <f>IFERROR(INDEX(Products!$E:$E,MATCH(D1468,Products!$A:$A,0)),"Unknown")</f>
        <v>Liberty</v>
      </c>
      <c r="X1468" t="str">
        <f>IFERROR(INDEX(Stores!$B:$B,MATCH(E1468,Stores!$A:$A,0)),"Unknown")</f>
        <v>TrendMart Kochi High Street</v>
      </c>
      <c r="Y1468" t="str">
        <f>IFERROR(INDEX(Stores!$E:$E,MATCH(E1468,Stores!$A:$A,0)),"Unknown")</f>
        <v>South Zone 1</v>
      </c>
      <c r="Z1468" t="str">
        <f>IFERROR(INDEX(Customers!$J:$J,MATCH(C1468,Customers!$A:$A,0)),"Unknown")</f>
        <v>Silver</v>
      </c>
      <c r="AA1468" t="str">
        <f t="shared" si="22"/>
        <v>2024-08</v>
      </c>
      <c r="AB1468" t="str">
        <f>IFERROR(INDEX(Products!$I:$I,MATCH(D1468,Products!$A:$A,0)),"Unknown")</f>
        <v>SUP003</v>
      </c>
    </row>
    <row r="1469" spans="1:28" x14ac:dyDescent="0.25">
      <c r="A1469" t="s">
        <v>3358</v>
      </c>
      <c r="B1469" s="20">
        <v>45628</v>
      </c>
      <c r="C1469" t="s">
        <v>1660</v>
      </c>
      <c r="D1469" t="s">
        <v>1026</v>
      </c>
      <c r="E1469" t="s">
        <v>94</v>
      </c>
      <c r="F1469" t="s">
        <v>281</v>
      </c>
      <c r="G1469">
        <v>2</v>
      </c>
      <c r="H1469" s="21">
        <v>1363.47</v>
      </c>
      <c r="I1469">
        <v>25</v>
      </c>
      <c r="J1469" s="21">
        <v>681.74</v>
      </c>
      <c r="K1469">
        <v>12</v>
      </c>
      <c r="L1469" s="21">
        <v>245.42</v>
      </c>
      <c r="M1469" s="21">
        <v>2290.62</v>
      </c>
      <c r="N1469" s="21">
        <v>1924.34</v>
      </c>
      <c r="O1469" s="21">
        <v>120.86</v>
      </c>
      <c r="P1469" t="s">
        <v>124</v>
      </c>
      <c r="Q1469" t="s">
        <v>120</v>
      </c>
      <c r="R1469" t="s">
        <v>151</v>
      </c>
      <c r="S1469" t="s">
        <v>2182</v>
      </c>
      <c r="T1469" t="s">
        <v>153</v>
      </c>
      <c r="U1469" t="s">
        <v>154</v>
      </c>
      <c r="V1469" t="str">
        <f>IFERROR(INDEX(Products!$C:$C,MATCH(D1469,Products!$A:$A,0)),"Unknown")</f>
        <v>Women Sarees</v>
      </c>
      <c r="W1469" t="str">
        <f>IFERROR(INDEX(Products!$E:$E,MATCH(D1469,Products!$A:$A,0)),"Unknown")</f>
        <v>Spykar</v>
      </c>
      <c r="X1469" t="str">
        <f>IFERROR(INDEX(Stores!$B:$B,MATCH(E1469,Stores!$A:$A,0)),"Unknown")</f>
        <v>TrendMart Bengaluru Mall Kiosk</v>
      </c>
      <c r="Y1469" t="str">
        <f>IFERROR(INDEX(Stores!$E:$E,MATCH(E1469,Stores!$A:$A,0)),"Unknown")</f>
        <v>South Zone 2</v>
      </c>
      <c r="Z1469" t="str">
        <f>IFERROR(INDEX(Customers!$J:$J,MATCH(C1469,Customers!$A:$A,0)),"Unknown")</f>
        <v>Regular</v>
      </c>
      <c r="AA1469" t="str">
        <f t="shared" si="22"/>
        <v>2024-12</v>
      </c>
      <c r="AB1469" t="str">
        <f>IFERROR(INDEX(Products!$I:$I,MATCH(D1469,Products!$A:$A,0)),"Unknown")</f>
        <v>SUP001</v>
      </c>
    </row>
    <row r="1470" spans="1:28" x14ac:dyDescent="0.25">
      <c r="A1470" t="s">
        <v>3359</v>
      </c>
      <c r="B1470" s="20">
        <v>45509</v>
      </c>
      <c r="C1470" t="s">
        <v>2818</v>
      </c>
      <c r="D1470" t="s">
        <v>372</v>
      </c>
      <c r="E1470" t="s">
        <v>1163</v>
      </c>
      <c r="F1470" t="s">
        <v>532</v>
      </c>
      <c r="G1470">
        <v>2</v>
      </c>
      <c r="H1470" s="21">
        <v>637.70000000000005</v>
      </c>
      <c r="I1470">
        <v>25</v>
      </c>
      <c r="J1470" s="21">
        <v>318.85000000000002</v>
      </c>
      <c r="K1470">
        <v>5</v>
      </c>
      <c r="L1470" s="21">
        <v>47.83</v>
      </c>
      <c r="M1470" s="21">
        <v>1004.38</v>
      </c>
      <c r="N1470" s="21">
        <v>826.78</v>
      </c>
      <c r="O1470" s="21">
        <v>129.77000000000001</v>
      </c>
      <c r="P1470" t="s">
        <v>121</v>
      </c>
      <c r="Q1470" t="s">
        <v>122</v>
      </c>
      <c r="R1470" t="s">
        <v>151</v>
      </c>
      <c r="S1470" t="s">
        <v>3022</v>
      </c>
      <c r="T1470" t="s">
        <v>153</v>
      </c>
      <c r="U1470" t="s">
        <v>154</v>
      </c>
      <c r="V1470" t="str">
        <f>IFERROR(INDEX(Products!$C:$C,MATCH(D1470,Products!$A:$A,0)),"Unknown")</f>
        <v>Kids Wear</v>
      </c>
      <c r="W1470" t="str">
        <f>IFERROR(INDEX(Products!$E:$E,MATCH(D1470,Products!$A:$A,0)),"Unknown")</f>
        <v>Jack &amp; Jones</v>
      </c>
      <c r="X1470" t="str">
        <f>IFERROR(INDEX(Stores!$B:$B,MATCH(E1470,Stores!$A:$A,0)),"Unknown")</f>
        <v>TrendMart Alappuzha Outlet</v>
      </c>
      <c r="Y1470" t="str">
        <f>IFERROR(INDEX(Stores!$E:$E,MATCH(E1470,Stores!$A:$A,0)),"Unknown")</f>
        <v>South Zone 1</v>
      </c>
      <c r="Z1470" t="str">
        <f>IFERROR(INDEX(Customers!$J:$J,MATCH(C1470,Customers!$A:$A,0)),"Unknown")</f>
        <v>Gold</v>
      </c>
      <c r="AA1470" t="str">
        <f t="shared" si="22"/>
        <v>2024-08</v>
      </c>
      <c r="AB1470" t="str">
        <f>IFERROR(INDEX(Products!$I:$I,MATCH(D1470,Products!$A:$A,0)),"Unknown")</f>
        <v>SUP065</v>
      </c>
    </row>
    <row r="1471" spans="1:28" x14ac:dyDescent="0.25">
      <c r="A1471" t="s">
        <v>3360</v>
      </c>
      <c r="B1471" s="20">
        <v>45498</v>
      </c>
      <c r="C1471" t="s">
        <v>1459</v>
      </c>
      <c r="D1471" t="s">
        <v>187</v>
      </c>
      <c r="E1471" t="s">
        <v>95</v>
      </c>
      <c r="F1471" t="s">
        <v>275</v>
      </c>
      <c r="G1471">
        <v>1</v>
      </c>
      <c r="H1471" s="21">
        <v>1434.83</v>
      </c>
      <c r="I1471">
        <v>10</v>
      </c>
      <c r="J1471" s="21">
        <v>143.47999999999999</v>
      </c>
      <c r="K1471">
        <v>12</v>
      </c>
      <c r="L1471" s="21">
        <v>154.96</v>
      </c>
      <c r="M1471" s="21">
        <v>1446.31</v>
      </c>
      <c r="N1471" s="21">
        <v>1148.6600000000001</v>
      </c>
      <c r="O1471" s="21">
        <v>142.69</v>
      </c>
      <c r="P1471" t="s">
        <v>124</v>
      </c>
      <c r="Q1471" t="s">
        <v>120</v>
      </c>
      <c r="R1471" t="s">
        <v>151</v>
      </c>
      <c r="S1471" t="s">
        <v>1455</v>
      </c>
      <c r="T1471" t="s">
        <v>153</v>
      </c>
      <c r="U1471" t="s">
        <v>154</v>
      </c>
      <c r="V1471" t="str">
        <f>IFERROR(INDEX(Products!$C:$C,MATCH(D1471,Products!$A:$A,0)),"Unknown")</f>
        <v>Sportswear</v>
      </c>
      <c r="W1471" t="str">
        <f>IFERROR(INDEX(Products!$E:$E,MATCH(D1471,Products!$A:$A,0)),"Unknown")</f>
        <v>US Polo Assn</v>
      </c>
      <c r="X1471" t="str">
        <f>IFERROR(INDEX(Stores!$B:$B,MATCH(E1471,Stores!$A:$A,0)),"Unknown")</f>
        <v>TrendMart Thrissur Standard</v>
      </c>
      <c r="Y1471" t="str">
        <f>IFERROR(INDEX(Stores!$E:$E,MATCH(E1471,Stores!$A:$A,0)),"Unknown")</f>
        <v>South Zone 1</v>
      </c>
      <c r="Z1471" t="str">
        <f>IFERROR(INDEX(Customers!$J:$J,MATCH(C1471,Customers!$A:$A,0)),"Unknown")</f>
        <v>Gold</v>
      </c>
      <c r="AA1471" t="str">
        <f t="shared" si="22"/>
        <v>2024-07</v>
      </c>
      <c r="AB1471" t="str">
        <f>IFERROR(INDEX(Products!$I:$I,MATCH(D1471,Products!$A:$A,0)),"Unknown")</f>
        <v>SUP043</v>
      </c>
    </row>
    <row r="1472" spans="1:28" x14ac:dyDescent="0.25">
      <c r="A1472" t="s">
        <v>3361</v>
      </c>
      <c r="B1472" s="20">
        <v>45460</v>
      </c>
      <c r="C1472" t="s">
        <v>2838</v>
      </c>
      <c r="D1472" t="s">
        <v>654</v>
      </c>
      <c r="E1472" t="s">
        <v>86</v>
      </c>
      <c r="F1472" t="s">
        <v>335</v>
      </c>
      <c r="G1472">
        <v>2</v>
      </c>
      <c r="H1472" s="21">
        <v>1165.56</v>
      </c>
      <c r="I1472">
        <v>20</v>
      </c>
      <c r="J1472" s="21">
        <v>466.22</v>
      </c>
      <c r="K1472">
        <v>12</v>
      </c>
      <c r="L1472" s="21">
        <v>223.79</v>
      </c>
      <c r="M1472" s="21">
        <v>2088.69</v>
      </c>
      <c r="N1472" s="21">
        <v>1730.84</v>
      </c>
      <c r="O1472" s="21">
        <v>134.06</v>
      </c>
      <c r="P1472" t="s">
        <v>125</v>
      </c>
      <c r="Q1472" t="s">
        <v>120</v>
      </c>
      <c r="R1472" t="s">
        <v>151</v>
      </c>
      <c r="S1472" t="s">
        <v>2725</v>
      </c>
      <c r="T1472" t="s">
        <v>153</v>
      </c>
      <c r="U1472" t="s">
        <v>154</v>
      </c>
      <c r="V1472" t="str">
        <f>IFERROR(INDEX(Products!$C:$C,MATCH(D1472,Products!$A:$A,0)),"Unknown")</f>
        <v>Women Dresses</v>
      </c>
      <c r="W1472" t="str">
        <f>IFERROR(INDEX(Products!$E:$E,MATCH(D1472,Products!$A:$A,0)),"Unknown")</f>
        <v>Indian Terrain</v>
      </c>
      <c r="X1472" t="str">
        <f>IFERROR(INDEX(Stores!$B:$B,MATCH(E1472,Stores!$A:$A,0)),"Unknown")</f>
        <v>TrendMart Warangal High Street</v>
      </c>
      <c r="Y1472" t="str">
        <f>IFERROR(INDEX(Stores!$E:$E,MATCH(E1472,Stores!$A:$A,0)),"Unknown")</f>
        <v>South Zone 2</v>
      </c>
      <c r="Z1472" t="str">
        <f>IFERROR(INDEX(Customers!$J:$J,MATCH(C1472,Customers!$A:$A,0)),"Unknown")</f>
        <v>Regular</v>
      </c>
      <c r="AA1472" t="str">
        <f t="shared" si="22"/>
        <v>2024-06</v>
      </c>
      <c r="AB1472" t="str">
        <f>IFERROR(INDEX(Products!$I:$I,MATCH(D1472,Products!$A:$A,0)),"Unknown")</f>
        <v>SUP049</v>
      </c>
    </row>
    <row r="1473" spans="1:28" x14ac:dyDescent="0.25">
      <c r="A1473" t="s">
        <v>3362</v>
      </c>
      <c r="B1473" s="20">
        <v>45504</v>
      </c>
      <c r="C1473" t="s">
        <v>1082</v>
      </c>
      <c r="D1473" t="s">
        <v>438</v>
      </c>
      <c r="E1473" t="s">
        <v>1825</v>
      </c>
      <c r="F1473" t="s">
        <v>408</v>
      </c>
      <c r="G1473">
        <v>1</v>
      </c>
      <c r="H1473" s="21">
        <v>1646.4</v>
      </c>
      <c r="I1473">
        <v>5</v>
      </c>
      <c r="J1473" s="21">
        <v>82.32</v>
      </c>
      <c r="K1473">
        <v>12</v>
      </c>
      <c r="L1473" s="21">
        <v>187.69</v>
      </c>
      <c r="M1473" s="21">
        <v>1751.77</v>
      </c>
      <c r="N1473" s="21">
        <v>1124.48</v>
      </c>
      <c r="O1473" s="21">
        <v>439.6</v>
      </c>
      <c r="P1473" t="s">
        <v>123</v>
      </c>
      <c r="Q1473" t="s">
        <v>122</v>
      </c>
      <c r="R1473" t="s">
        <v>151</v>
      </c>
      <c r="S1473" t="s">
        <v>1698</v>
      </c>
      <c r="T1473" t="s">
        <v>153</v>
      </c>
      <c r="U1473" t="s">
        <v>154</v>
      </c>
      <c r="V1473" t="str">
        <f>IFERROR(INDEX(Products!$C:$C,MATCH(D1473,Products!$A:$A,0)),"Unknown")</f>
        <v>Women Jeans</v>
      </c>
      <c r="W1473" t="str">
        <f>IFERROR(INDEX(Products!$E:$E,MATCH(D1473,Products!$A:$A,0)),"Unknown")</f>
        <v>Ramraj Cotton</v>
      </c>
      <c r="X1473" t="str">
        <f>IFERROR(INDEX(Stores!$B:$B,MATCH(E1473,Stores!$A:$A,0)),"Unknown")</f>
        <v>TrendMart Vijayawada Outlet</v>
      </c>
      <c r="Y1473" t="str">
        <f>IFERROR(INDEX(Stores!$E:$E,MATCH(E1473,Stores!$A:$A,0)),"Unknown")</f>
        <v>South Zone 3</v>
      </c>
      <c r="Z1473" t="str">
        <f>IFERROR(INDEX(Customers!$J:$J,MATCH(C1473,Customers!$A:$A,0)),"Unknown")</f>
        <v>Regular</v>
      </c>
      <c r="AA1473" t="str">
        <f t="shared" si="22"/>
        <v>2024-07</v>
      </c>
      <c r="AB1473" t="str">
        <f>IFERROR(INDEX(Products!$I:$I,MATCH(D1473,Products!$A:$A,0)),"Unknown")</f>
        <v>SUP015</v>
      </c>
    </row>
    <row r="1474" spans="1:28" x14ac:dyDescent="0.25">
      <c r="A1474" t="s">
        <v>3363</v>
      </c>
      <c r="B1474" s="20">
        <v>45483</v>
      </c>
      <c r="C1474" t="s">
        <v>3061</v>
      </c>
      <c r="D1474" t="s">
        <v>251</v>
      </c>
      <c r="E1474" t="s">
        <v>1591</v>
      </c>
      <c r="F1474" t="s">
        <v>189</v>
      </c>
      <c r="G1474">
        <v>1</v>
      </c>
      <c r="H1474" s="21">
        <v>772.33</v>
      </c>
      <c r="I1474">
        <v>10</v>
      </c>
      <c r="J1474" s="21">
        <v>77.23</v>
      </c>
      <c r="K1474">
        <v>5</v>
      </c>
      <c r="L1474" s="21">
        <v>34.76</v>
      </c>
      <c r="M1474" s="21">
        <v>729.86</v>
      </c>
      <c r="N1474" s="21">
        <v>534.80999999999995</v>
      </c>
      <c r="O1474" s="21">
        <v>160.29</v>
      </c>
      <c r="P1474" t="s">
        <v>121</v>
      </c>
      <c r="Q1474" t="s">
        <v>120</v>
      </c>
      <c r="R1474" t="s">
        <v>151</v>
      </c>
      <c r="S1474" t="s">
        <v>1098</v>
      </c>
      <c r="T1474" t="s">
        <v>153</v>
      </c>
      <c r="U1474" t="s">
        <v>154</v>
      </c>
      <c r="V1474" t="str">
        <f>IFERROR(INDEX(Products!$C:$C,MATCH(D1474,Products!$A:$A,0)),"Unknown")</f>
        <v>Women Tops</v>
      </c>
      <c r="W1474" t="str">
        <f>IFERROR(INDEX(Products!$E:$E,MATCH(D1474,Products!$A:$A,0)),"Unknown")</f>
        <v>US Polo Assn</v>
      </c>
      <c r="X1474" t="str">
        <f>IFERROR(INDEX(Stores!$B:$B,MATCH(E1474,Stores!$A:$A,0)),"Unknown")</f>
        <v>TrendMart Guntur Standard</v>
      </c>
      <c r="Y1474" t="str">
        <f>IFERROR(INDEX(Stores!$E:$E,MATCH(E1474,Stores!$A:$A,0)),"Unknown")</f>
        <v>South Zone 3</v>
      </c>
      <c r="Z1474" t="str">
        <f>IFERROR(INDEX(Customers!$J:$J,MATCH(C1474,Customers!$A:$A,0)),"Unknown")</f>
        <v>Regular</v>
      </c>
      <c r="AA1474" t="str">
        <f t="shared" ref="AA1474:AA1537" si="23">TEXT(B1474,"YYYY-MM")</f>
        <v>2024-07</v>
      </c>
      <c r="AB1474" t="str">
        <f>IFERROR(INDEX(Products!$I:$I,MATCH(D1474,Products!$A:$A,0)),"Unknown")</f>
        <v>SUP039</v>
      </c>
    </row>
    <row r="1475" spans="1:28" x14ac:dyDescent="0.25">
      <c r="A1475" t="s">
        <v>3364</v>
      </c>
      <c r="B1475" s="20">
        <v>45609</v>
      </c>
      <c r="C1475" t="s">
        <v>3090</v>
      </c>
      <c r="D1475" t="s">
        <v>2037</v>
      </c>
      <c r="E1475" t="s">
        <v>363</v>
      </c>
      <c r="F1475" t="s">
        <v>434</v>
      </c>
      <c r="G1475">
        <v>2</v>
      </c>
      <c r="H1475" s="21">
        <v>1905.38</v>
      </c>
      <c r="I1475">
        <v>20</v>
      </c>
      <c r="J1475" s="21">
        <v>762.15</v>
      </c>
      <c r="K1475">
        <v>12</v>
      </c>
      <c r="L1475" s="21">
        <v>365.83</v>
      </c>
      <c r="M1475" s="21">
        <v>3414.44</v>
      </c>
      <c r="N1475" s="21">
        <v>2410.2800000000002</v>
      </c>
      <c r="O1475" s="21">
        <v>638.33000000000004</v>
      </c>
      <c r="P1475" t="s">
        <v>125</v>
      </c>
      <c r="Q1475" t="s">
        <v>120</v>
      </c>
      <c r="R1475" t="s">
        <v>151</v>
      </c>
      <c r="S1475" t="s">
        <v>1653</v>
      </c>
      <c r="T1475" t="s">
        <v>153</v>
      </c>
      <c r="U1475" t="s">
        <v>154</v>
      </c>
      <c r="V1475" t="str">
        <f>IFERROR(INDEX(Products!$C:$C,MATCH(D1475,Products!$A:$A,0)),"Unknown")</f>
        <v>Men Ethnic</v>
      </c>
      <c r="W1475" t="str">
        <f>IFERROR(INDEX(Products!$E:$E,MATCH(D1475,Products!$A:$A,0)),"Unknown")</f>
        <v>Skechers</v>
      </c>
      <c r="X1475" t="str">
        <f>IFERROR(INDEX(Stores!$B:$B,MATCH(E1475,Stores!$A:$A,0)),"Unknown")</f>
        <v>TrendMart Thiruvananthapuram High Street</v>
      </c>
      <c r="Y1475" t="str">
        <f>IFERROR(INDEX(Stores!$E:$E,MATCH(E1475,Stores!$A:$A,0)),"Unknown")</f>
        <v>South Zone 1</v>
      </c>
      <c r="Z1475" t="str">
        <f>IFERROR(INDEX(Customers!$J:$J,MATCH(C1475,Customers!$A:$A,0)),"Unknown")</f>
        <v>Silver</v>
      </c>
      <c r="AA1475" t="str">
        <f t="shared" si="23"/>
        <v>2024-11</v>
      </c>
      <c r="AB1475" t="str">
        <f>IFERROR(INDEX(Products!$I:$I,MATCH(D1475,Products!$A:$A,0)),"Unknown")</f>
        <v>SUP083</v>
      </c>
    </row>
    <row r="1476" spans="1:28" x14ac:dyDescent="0.25">
      <c r="A1476" t="s">
        <v>3365</v>
      </c>
      <c r="B1476" s="20">
        <v>45524</v>
      </c>
      <c r="C1476" t="s">
        <v>3366</v>
      </c>
      <c r="D1476" t="s">
        <v>447</v>
      </c>
      <c r="E1476" t="s">
        <v>1512</v>
      </c>
      <c r="F1476" t="s">
        <v>516</v>
      </c>
      <c r="G1476">
        <v>4</v>
      </c>
      <c r="H1476" s="21">
        <v>1330.96</v>
      </c>
      <c r="I1476">
        <v>5</v>
      </c>
      <c r="J1476" s="21">
        <v>266.19</v>
      </c>
      <c r="K1476">
        <v>12</v>
      </c>
      <c r="L1476" s="21">
        <v>606.91999999999996</v>
      </c>
      <c r="M1476" s="21">
        <v>5664.57</v>
      </c>
      <c r="N1476" s="21">
        <v>4293.8</v>
      </c>
      <c r="O1476" s="21">
        <v>763.85</v>
      </c>
      <c r="P1476" t="s">
        <v>125</v>
      </c>
      <c r="Q1476" t="s">
        <v>122</v>
      </c>
      <c r="R1476" t="s">
        <v>151</v>
      </c>
      <c r="S1476" t="s">
        <v>3367</v>
      </c>
      <c r="T1476" t="s">
        <v>153</v>
      </c>
      <c r="U1476" t="s">
        <v>154</v>
      </c>
      <c r="V1476" t="str">
        <f>IFERROR(INDEX(Products!$C:$C,MATCH(D1476,Products!$A:$A,0)),"Unknown")</f>
        <v>Women Jeans</v>
      </c>
      <c r="W1476" t="str">
        <f>IFERROR(INDEX(Products!$E:$E,MATCH(D1476,Products!$A:$A,0)),"Unknown")</f>
        <v>Biba</v>
      </c>
      <c r="X1476" t="str">
        <f>IFERROR(INDEX(Stores!$B:$B,MATCH(E1476,Stores!$A:$A,0)),"Unknown")</f>
        <v>TrendMart Erode Mall Kiosk</v>
      </c>
      <c r="Y1476" t="str">
        <f>IFERROR(INDEX(Stores!$E:$E,MATCH(E1476,Stores!$A:$A,0)),"Unknown")</f>
        <v>South Zone 1</v>
      </c>
      <c r="Z1476" t="str">
        <f>IFERROR(INDEX(Customers!$J:$J,MATCH(C1476,Customers!$A:$A,0)),"Unknown")</f>
        <v>Silver</v>
      </c>
      <c r="AA1476" t="str">
        <f t="shared" si="23"/>
        <v>2024-08</v>
      </c>
      <c r="AB1476" t="str">
        <f>IFERROR(INDEX(Products!$I:$I,MATCH(D1476,Products!$A:$A,0)),"Unknown")</f>
        <v>SUP069</v>
      </c>
    </row>
    <row r="1477" spans="1:28" x14ac:dyDescent="0.25">
      <c r="A1477" t="s">
        <v>3368</v>
      </c>
      <c r="B1477" s="20">
        <v>45712</v>
      </c>
      <c r="C1477" t="s">
        <v>2680</v>
      </c>
      <c r="D1477" t="s">
        <v>415</v>
      </c>
      <c r="E1477" t="s">
        <v>343</v>
      </c>
      <c r="F1477" t="s">
        <v>443</v>
      </c>
      <c r="G1477">
        <v>3</v>
      </c>
      <c r="H1477" s="21">
        <v>1460.44</v>
      </c>
      <c r="I1477">
        <v>20</v>
      </c>
      <c r="J1477" s="21">
        <v>876.26</v>
      </c>
      <c r="K1477">
        <v>12</v>
      </c>
      <c r="L1477" s="21">
        <v>420.61</v>
      </c>
      <c r="M1477" s="21">
        <v>3925.67</v>
      </c>
      <c r="N1477" s="21">
        <v>3142.44</v>
      </c>
      <c r="O1477" s="21">
        <v>362.62</v>
      </c>
      <c r="P1477" t="s">
        <v>125</v>
      </c>
      <c r="Q1477" t="s">
        <v>122</v>
      </c>
      <c r="R1477" t="s">
        <v>151</v>
      </c>
      <c r="S1477" t="s">
        <v>2467</v>
      </c>
      <c r="T1477" t="s">
        <v>153</v>
      </c>
      <c r="U1477" t="s">
        <v>154</v>
      </c>
      <c r="V1477" t="str">
        <f>IFERROR(INDEX(Products!$C:$C,MATCH(D1477,Products!$A:$A,0)),"Unknown")</f>
        <v>Women Jeans</v>
      </c>
      <c r="W1477" t="str">
        <f>IFERROR(INDEX(Products!$E:$E,MATCH(D1477,Products!$A:$A,0)),"Unknown")</f>
        <v>Killer Jeans</v>
      </c>
      <c r="X1477" t="str">
        <f>IFERROR(INDEX(Stores!$B:$B,MATCH(E1477,Stores!$A:$A,0)),"Unknown")</f>
        <v>TrendMart Tumakuru Outlet</v>
      </c>
      <c r="Y1477" t="str">
        <f>IFERROR(INDEX(Stores!$E:$E,MATCH(E1477,Stores!$A:$A,0)),"Unknown")</f>
        <v>South Zone 2</v>
      </c>
      <c r="Z1477" t="str">
        <f>IFERROR(INDEX(Customers!$J:$J,MATCH(C1477,Customers!$A:$A,0)),"Unknown")</f>
        <v>Silver</v>
      </c>
      <c r="AA1477" t="str">
        <f t="shared" si="23"/>
        <v>2025-02</v>
      </c>
      <c r="AB1477" t="str">
        <f>IFERROR(INDEX(Products!$I:$I,MATCH(D1477,Products!$A:$A,0)),"Unknown")</f>
        <v>SUP070</v>
      </c>
    </row>
    <row r="1478" spans="1:28" x14ac:dyDescent="0.25">
      <c r="A1478" t="s">
        <v>3369</v>
      </c>
      <c r="B1478" s="20">
        <v>45585</v>
      </c>
      <c r="C1478" t="s">
        <v>1652</v>
      </c>
      <c r="D1478" t="s">
        <v>1661</v>
      </c>
      <c r="E1478" t="s">
        <v>521</v>
      </c>
      <c r="F1478" t="s">
        <v>221</v>
      </c>
      <c r="G1478">
        <v>4</v>
      </c>
      <c r="H1478" s="21">
        <v>867.43</v>
      </c>
      <c r="I1478">
        <v>10</v>
      </c>
      <c r="J1478" s="21">
        <v>346.97</v>
      </c>
      <c r="K1478">
        <v>5</v>
      </c>
      <c r="L1478" s="21">
        <v>156.13999999999999</v>
      </c>
      <c r="M1478" s="21">
        <v>3278.89</v>
      </c>
      <c r="N1478" s="21">
        <v>2645.36</v>
      </c>
      <c r="O1478" s="21">
        <v>477.39</v>
      </c>
      <c r="P1478" t="s">
        <v>124</v>
      </c>
      <c r="Q1478" t="s">
        <v>120</v>
      </c>
      <c r="R1478" t="s">
        <v>151</v>
      </c>
      <c r="S1478" t="s">
        <v>1565</v>
      </c>
      <c r="T1478" t="s">
        <v>161</v>
      </c>
      <c r="U1478" t="s">
        <v>154</v>
      </c>
      <c r="V1478" t="str">
        <f>IFERROR(INDEX(Products!$C:$C,MATCH(D1478,Products!$A:$A,0)),"Unknown")</f>
        <v>Men Jeans</v>
      </c>
      <c r="W1478" t="str">
        <f>IFERROR(INDEX(Products!$E:$E,MATCH(D1478,Products!$A:$A,0)),"Unknown")</f>
        <v>Aurelia</v>
      </c>
      <c r="X1478" t="str">
        <f>IFERROR(INDEX(Stores!$B:$B,MATCH(E1478,Stores!$A:$A,0)),"Unknown")</f>
        <v>TrendMart Tirupati Standard</v>
      </c>
      <c r="Y1478" t="str">
        <f>IFERROR(INDEX(Stores!$E:$E,MATCH(E1478,Stores!$A:$A,0)),"Unknown")</f>
        <v>South Zone 3</v>
      </c>
      <c r="Z1478" t="str">
        <f>IFERROR(INDEX(Customers!$J:$J,MATCH(C1478,Customers!$A:$A,0)),"Unknown")</f>
        <v>Silver</v>
      </c>
      <c r="AA1478" t="str">
        <f t="shared" si="23"/>
        <v>2024-10</v>
      </c>
      <c r="AB1478" t="str">
        <f>IFERROR(INDEX(Products!$I:$I,MATCH(D1478,Products!$A:$A,0)),"Unknown")</f>
        <v>SUP053</v>
      </c>
    </row>
    <row r="1479" spans="1:28" x14ac:dyDescent="0.25">
      <c r="A1479" t="s">
        <v>3370</v>
      </c>
      <c r="B1479" s="20">
        <v>45610</v>
      </c>
      <c r="C1479" t="s">
        <v>1428</v>
      </c>
      <c r="D1479" t="s">
        <v>372</v>
      </c>
      <c r="E1479" t="s">
        <v>296</v>
      </c>
      <c r="F1479" t="s">
        <v>443</v>
      </c>
      <c r="G1479">
        <v>5</v>
      </c>
      <c r="H1479" s="21">
        <v>618.44000000000005</v>
      </c>
      <c r="I1479">
        <v>30</v>
      </c>
      <c r="J1479" s="21">
        <v>927.66</v>
      </c>
      <c r="K1479">
        <v>5</v>
      </c>
      <c r="L1479" s="21">
        <v>108.23</v>
      </c>
      <c r="M1479" s="21">
        <v>2272.77</v>
      </c>
      <c r="N1479" s="21">
        <v>2066.9499999999998</v>
      </c>
      <c r="O1479" s="21">
        <v>97.59</v>
      </c>
      <c r="P1479" t="s">
        <v>125</v>
      </c>
      <c r="Q1479" t="s">
        <v>120</v>
      </c>
      <c r="R1479" t="s">
        <v>151</v>
      </c>
      <c r="S1479" t="s">
        <v>1416</v>
      </c>
      <c r="T1479" t="s">
        <v>153</v>
      </c>
      <c r="U1479" t="s">
        <v>154</v>
      </c>
      <c r="V1479" t="str">
        <f>IFERROR(INDEX(Products!$C:$C,MATCH(D1479,Products!$A:$A,0)),"Unknown")</f>
        <v>Kids Wear</v>
      </c>
      <c r="W1479" t="str">
        <f>IFERROR(INDEX(Products!$E:$E,MATCH(D1479,Products!$A:$A,0)),"Unknown")</f>
        <v>Jack &amp; Jones</v>
      </c>
      <c r="X1479" t="str">
        <f>IFERROR(INDEX(Stores!$B:$B,MATCH(E1479,Stores!$A:$A,0)),"Unknown")</f>
        <v>TrendMart Kurnool Outlet</v>
      </c>
      <c r="Y1479" t="str">
        <f>IFERROR(INDEX(Stores!$E:$E,MATCH(E1479,Stores!$A:$A,0)),"Unknown")</f>
        <v>South Zone 3</v>
      </c>
      <c r="Z1479" t="str">
        <f>IFERROR(INDEX(Customers!$J:$J,MATCH(C1479,Customers!$A:$A,0)),"Unknown")</f>
        <v>Gold</v>
      </c>
      <c r="AA1479" t="str">
        <f t="shared" si="23"/>
        <v>2024-11</v>
      </c>
      <c r="AB1479" t="str">
        <f>IFERROR(INDEX(Products!$I:$I,MATCH(D1479,Products!$A:$A,0)),"Unknown")</f>
        <v>SUP065</v>
      </c>
    </row>
    <row r="1480" spans="1:28" x14ac:dyDescent="0.25">
      <c r="A1480" t="s">
        <v>3371</v>
      </c>
      <c r="B1480" s="20">
        <v>45546</v>
      </c>
      <c r="C1480" t="s">
        <v>2471</v>
      </c>
      <c r="D1480" t="s">
        <v>633</v>
      </c>
      <c r="E1480" t="s">
        <v>87</v>
      </c>
      <c r="F1480" t="s">
        <v>150</v>
      </c>
      <c r="G1480">
        <v>5</v>
      </c>
      <c r="H1480" s="21">
        <v>688</v>
      </c>
      <c r="I1480">
        <v>10</v>
      </c>
      <c r="J1480" s="21">
        <v>344</v>
      </c>
      <c r="K1480">
        <v>5</v>
      </c>
      <c r="L1480" s="21">
        <v>154.80000000000001</v>
      </c>
      <c r="M1480" s="21">
        <v>3250.8</v>
      </c>
      <c r="N1480" s="21">
        <v>2089.6</v>
      </c>
      <c r="O1480" s="21">
        <v>1006.4</v>
      </c>
      <c r="P1480" t="s">
        <v>123</v>
      </c>
      <c r="Q1480" t="s">
        <v>120</v>
      </c>
      <c r="R1480" t="s">
        <v>151</v>
      </c>
      <c r="S1480" t="s">
        <v>1583</v>
      </c>
      <c r="T1480" t="s">
        <v>153</v>
      </c>
      <c r="U1480" t="s">
        <v>154</v>
      </c>
      <c r="V1480" t="str">
        <f>IFERROR(INDEX(Products!$C:$C,MATCH(D1480,Products!$A:$A,0)),"Unknown")</f>
        <v>Men T-Shirts</v>
      </c>
      <c r="W1480" t="str">
        <f>IFERROR(INDEX(Products!$E:$E,MATCH(D1480,Products!$A:$A,0)),"Unknown")</f>
        <v>Reebok</v>
      </c>
      <c r="X1480" t="str">
        <f>IFERROR(INDEX(Stores!$B:$B,MATCH(E1480,Stores!$A:$A,0)),"Unknown")</f>
        <v>TrendMart Thiruvananthapuram Standard</v>
      </c>
      <c r="Y1480" t="str">
        <f>IFERROR(INDEX(Stores!$E:$E,MATCH(E1480,Stores!$A:$A,0)),"Unknown")</f>
        <v>South Zone 1</v>
      </c>
      <c r="Z1480" t="str">
        <f>IFERROR(INDEX(Customers!$J:$J,MATCH(C1480,Customers!$A:$A,0)),"Unknown")</f>
        <v>Regular</v>
      </c>
      <c r="AA1480" t="str">
        <f t="shared" si="23"/>
        <v>2024-09</v>
      </c>
      <c r="AB1480" t="str">
        <f>IFERROR(INDEX(Products!$I:$I,MATCH(D1480,Products!$A:$A,0)),"Unknown")</f>
        <v>SUP046</v>
      </c>
    </row>
    <row r="1481" spans="1:28" x14ac:dyDescent="0.25">
      <c r="A1481" t="s">
        <v>3372</v>
      </c>
      <c r="B1481" s="20">
        <v>45612</v>
      </c>
      <c r="C1481" t="s">
        <v>548</v>
      </c>
      <c r="D1481" t="s">
        <v>3087</v>
      </c>
      <c r="E1481" t="s">
        <v>280</v>
      </c>
      <c r="F1481" t="s">
        <v>182</v>
      </c>
      <c r="G1481">
        <v>1</v>
      </c>
      <c r="H1481" s="21">
        <v>1124.05</v>
      </c>
      <c r="I1481">
        <v>0</v>
      </c>
      <c r="J1481" s="21">
        <v>0</v>
      </c>
      <c r="K1481">
        <v>12</v>
      </c>
      <c r="L1481" s="21">
        <v>134.88999999999999</v>
      </c>
      <c r="M1481" s="21">
        <v>1258.94</v>
      </c>
      <c r="N1481" s="21">
        <v>706.99</v>
      </c>
      <c r="O1481" s="21">
        <v>417.06</v>
      </c>
      <c r="P1481" t="s">
        <v>121</v>
      </c>
      <c r="Q1481" t="s">
        <v>120</v>
      </c>
      <c r="R1481" t="s">
        <v>151</v>
      </c>
      <c r="S1481" t="s">
        <v>2651</v>
      </c>
      <c r="T1481" t="s">
        <v>161</v>
      </c>
      <c r="U1481" t="s">
        <v>154</v>
      </c>
      <c r="V1481" t="str">
        <f>IFERROR(INDEX(Products!$C:$C,MATCH(D1481,Products!$A:$A,0)),"Unknown")</f>
        <v>Men Trousers</v>
      </c>
      <c r="W1481" t="str">
        <f>IFERROR(INDEX(Products!$E:$E,MATCH(D1481,Products!$A:$A,0)),"Unknown")</f>
        <v>Skechers</v>
      </c>
      <c r="X1481" t="str">
        <f>IFERROR(INDEX(Stores!$B:$B,MATCH(E1481,Stores!$A:$A,0)),"Unknown")</f>
        <v>TrendMart Chennai Standard</v>
      </c>
      <c r="Y1481" t="str">
        <f>IFERROR(INDEX(Stores!$E:$E,MATCH(E1481,Stores!$A:$A,0)),"Unknown")</f>
        <v>South Zone 1</v>
      </c>
      <c r="Z1481" t="str">
        <f>IFERROR(INDEX(Customers!$J:$J,MATCH(C1481,Customers!$A:$A,0)),"Unknown")</f>
        <v>Regular</v>
      </c>
      <c r="AA1481" t="str">
        <f t="shared" si="23"/>
        <v>2024-11</v>
      </c>
      <c r="AB1481" t="str">
        <f>IFERROR(INDEX(Products!$I:$I,MATCH(D1481,Products!$A:$A,0)),"Unknown")</f>
        <v>SUP067</v>
      </c>
    </row>
    <row r="1482" spans="1:28" x14ac:dyDescent="0.25">
      <c r="A1482" t="s">
        <v>3373</v>
      </c>
      <c r="B1482" s="20">
        <v>45580</v>
      </c>
      <c r="C1482" t="s">
        <v>2719</v>
      </c>
      <c r="D1482" t="s">
        <v>1809</v>
      </c>
      <c r="E1482" t="s">
        <v>343</v>
      </c>
      <c r="F1482" t="s">
        <v>297</v>
      </c>
      <c r="G1482">
        <v>3</v>
      </c>
      <c r="H1482" s="21">
        <v>977.48</v>
      </c>
      <c r="I1482">
        <v>10</v>
      </c>
      <c r="J1482" s="21">
        <v>293.24</v>
      </c>
      <c r="K1482">
        <v>5</v>
      </c>
      <c r="L1482" s="21">
        <v>131.96</v>
      </c>
      <c r="M1482" s="21">
        <v>2771.16</v>
      </c>
      <c r="N1482" s="21">
        <v>2269.77</v>
      </c>
      <c r="O1482" s="21">
        <v>369.43</v>
      </c>
      <c r="P1482" t="s">
        <v>125</v>
      </c>
      <c r="Q1482" t="s">
        <v>122</v>
      </c>
      <c r="R1482" t="s">
        <v>151</v>
      </c>
      <c r="S1482" t="s">
        <v>2427</v>
      </c>
      <c r="T1482" t="s">
        <v>153</v>
      </c>
      <c r="U1482" t="s">
        <v>154</v>
      </c>
      <c r="V1482" t="str">
        <f>IFERROR(INDEX(Products!$C:$C,MATCH(D1482,Products!$A:$A,0)),"Unknown")</f>
        <v>Men Jeans</v>
      </c>
      <c r="W1482" t="str">
        <f>IFERROR(INDEX(Products!$E:$E,MATCH(D1482,Products!$A:$A,0)),"Unknown")</f>
        <v>Mufti</v>
      </c>
      <c r="X1482" t="str">
        <f>IFERROR(INDEX(Stores!$B:$B,MATCH(E1482,Stores!$A:$A,0)),"Unknown")</f>
        <v>TrendMart Tumakuru Outlet</v>
      </c>
      <c r="Y1482" t="str">
        <f>IFERROR(INDEX(Stores!$E:$E,MATCH(E1482,Stores!$A:$A,0)),"Unknown")</f>
        <v>South Zone 2</v>
      </c>
      <c r="Z1482" t="str">
        <f>IFERROR(INDEX(Customers!$J:$J,MATCH(C1482,Customers!$A:$A,0)),"Unknown")</f>
        <v>Gold</v>
      </c>
      <c r="AA1482" t="str">
        <f t="shared" si="23"/>
        <v>2024-10</v>
      </c>
      <c r="AB1482" t="str">
        <f>IFERROR(INDEX(Products!$I:$I,MATCH(D1482,Products!$A:$A,0)),"Unknown")</f>
        <v>SUP035</v>
      </c>
    </row>
    <row r="1483" spans="1:28" x14ac:dyDescent="0.25">
      <c r="A1483" t="s">
        <v>3374</v>
      </c>
      <c r="B1483" s="20">
        <v>45598</v>
      </c>
      <c r="C1483" t="s">
        <v>804</v>
      </c>
      <c r="D1483" t="s">
        <v>892</v>
      </c>
      <c r="E1483" t="s">
        <v>87</v>
      </c>
      <c r="F1483" t="s">
        <v>434</v>
      </c>
      <c r="G1483">
        <v>5</v>
      </c>
      <c r="H1483" s="21">
        <v>2890.74</v>
      </c>
      <c r="I1483">
        <v>10</v>
      </c>
      <c r="J1483" s="21">
        <v>1445.37</v>
      </c>
      <c r="K1483">
        <v>12</v>
      </c>
      <c r="L1483" s="21">
        <v>1561</v>
      </c>
      <c r="M1483" s="21">
        <v>14569.33</v>
      </c>
      <c r="N1483" s="21">
        <v>8714.4500000000007</v>
      </c>
      <c r="O1483" s="21">
        <v>4293.88</v>
      </c>
      <c r="P1483" t="s">
        <v>121</v>
      </c>
      <c r="Q1483" t="s">
        <v>122</v>
      </c>
      <c r="R1483" t="s">
        <v>151</v>
      </c>
      <c r="S1483" t="s">
        <v>3285</v>
      </c>
      <c r="T1483" t="s">
        <v>161</v>
      </c>
      <c r="U1483" t="s">
        <v>154</v>
      </c>
      <c r="V1483" t="str">
        <f>IFERROR(INDEX(Products!$C:$C,MATCH(D1483,Products!$A:$A,0)),"Unknown")</f>
        <v>Men Ethnic</v>
      </c>
      <c r="W1483" t="str">
        <f>IFERROR(INDEX(Products!$E:$E,MATCH(D1483,Products!$A:$A,0)),"Unknown")</f>
        <v>Blackberrys</v>
      </c>
      <c r="X1483" t="str">
        <f>IFERROR(INDEX(Stores!$B:$B,MATCH(E1483,Stores!$A:$A,0)),"Unknown")</f>
        <v>TrendMart Thiruvananthapuram Standard</v>
      </c>
      <c r="Y1483" t="str">
        <f>IFERROR(INDEX(Stores!$E:$E,MATCH(E1483,Stores!$A:$A,0)),"Unknown")</f>
        <v>South Zone 1</v>
      </c>
      <c r="Z1483" t="str">
        <f>IFERROR(INDEX(Customers!$J:$J,MATCH(C1483,Customers!$A:$A,0)),"Unknown")</f>
        <v>Gold</v>
      </c>
      <c r="AA1483" t="str">
        <f t="shared" si="23"/>
        <v>2024-11</v>
      </c>
      <c r="AB1483" t="str">
        <f>IFERROR(INDEX(Products!$I:$I,MATCH(D1483,Products!$A:$A,0)),"Unknown")</f>
        <v>SUP084</v>
      </c>
    </row>
    <row r="1484" spans="1:28" x14ac:dyDescent="0.25">
      <c r="A1484" t="s">
        <v>3375</v>
      </c>
      <c r="B1484" s="20">
        <v>45633</v>
      </c>
      <c r="C1484" t="s">
        <v>1341</v>
      </c>
      <c r="D1484" t="s">
        <v>187</v>
      </c>
      <c r="E1484" t="s">
        <v>701</v>
      </c>
      <c r="F1484" t="s">
        <v>237</v>
      </c>
      <c r="G1484">
        <v>2</v>
      </c>
      <c r="H1484" s="21">
        <v>1394.17</v>
      </c>
      <c r="I1484">
        <v>20</v>
      </c>
      <c r="J1484" s="21">
        <v>557.66999999999996</v>
      </c>
      <c r="K1484">
        <v>12</v>
      </c>
      <c r="L1484" s="21">
        <v>267.68</v>
      </c>
      <c r="M1484" s="21">
        <v>2498.35</v>
      </c>
      <c r="N1484" s="21">
        <v>2297.3200000000002</v>
      </c>
      <c r="O1484" s="21">
        <v>-66.650000000000006</v>
      </c>
      <c r="P1484" t="s">
        <v>121</v>
      </c>
      <c r="Q1484" t="s">
        <v>122</v>
      </c>
      <c r="R1484" t="s">
        <v>151</v>
      </c>
      <c r="S1484" t="s">
        <v>1422</v>
      </c>
      <c r="T1484" t="s">
        <v>161</v>
      </c>
      <c r="U1484" t="s">
        <v>184</v>
      </c>
      <c r="V1484" t="str">
        <f>IFERROR(INDEX(Products!$C:$C,MATCH(D1484,Products!$A:$A,0)),"Unknown")</f>
        <v>Sportswear</v>
      </c>
      <c r="W1484" t="str">
        <f>IFERROR(INDEX(Products!$E:$E,MATCH(D1484,Products!$A:$A,0)),"Unknown")</f>
        <v>US Polo Assn</v>
      </c>
      <c r="X1484" t="str">
        <f>IFERROR(INDEX(Stores!$B:$B,MATCH(E1484,Stores!$A:$A,0)),"Unknown")</f>
        <v>TrendMart Vijayawada Mall Kiosk</v>
      </c>
      <c r="Y1484" t="str">
        <f>IFERROR(INDEX(Stores!$E:$E,MATCH(E1484,Stores!$A:$A,0)),"Unknown")</f>
        <v>South Zone 3</v>
      </c>
      <c r="Z1484" t="str">
        <f>IFERROR(INDEX(Customers!$J:$J,MATCH(C1484,Customers!$A:$A,0)),"Unknown")</f>
        <v>Silver</v>
      </c>
      <c r="AA1484" t="str">
        <f t="shared" si="23"/>
        <v>2024-12</v>
      </c>
      <c r="AB1484" t="str">
        <f>IFERROR(INDEX(Products!$I:$I,MATCH(D1484,Products!$A:$A,0)),"Unknown")</f>
        <v>SUP043</v>
      </c>
    </row>
    <row r="1485" spans="1:28" x14ac:dyDescent="0.25">
      <c r="A1485" t="s">
        <v>3376</v>
      </c>
      <c r="B1485" s="20">
        <v>45511</v>
      </c>
      <c r="C1485" t="s">
        <v>3377</v>
      </c>
      <c r="D1485" t="s">
        <v>827</v>
      </c>
      <c r="E1485" t="s">
        <v>83</v>
      </c>
      <c r="F1485" t="s">
        <v>170</v>
      </c>
      <c r="G1485">
        <v>1</v>
      </c>
      <c r="H1485" s="21">
        <v>821.39</v>
      </c>
      <c r="I1485">
        <v>15</v>
      </c>
      <c r="J1485" s="21">
        <v>123.21</v>
      </c>
      <c r="K1485">
        <v>5</v>
      </c>
      <c r="L1485" s="21">
        <v>34.909999999999997</v>
      </c>
      <c r="M1485" s="21">
        <v>733.09</v>
      </c>
      <c r="N1485" s="21">
        <v>559.25</v>
      </c>
      <c r="O1485" s="21">
        <v>138.93</v>
      </c>
      <c r="P1485" t="s">
        <v>121</v>
      </c>
      <c r="Q1485" t="s">
        <v>120</v>
      </c>
      <c r="R1485" t="s">
        <v>151</v>
      </c>
      <c r="S1485" t="s">
        <v>1326</v>
      </c>
      <c r="T1485" t="s">
        <v>153</v>
      </c>
      <c r="U1485" t="s">
        <v>154</v>
      </c>
      <c r="V1485" t="str">
        <f>IFERROR(INDEX(Products!$C:$C,MATCH(D1485,Products!$A:$A,0)),"Unknown")</f>
        <v>Sportswear</v>
      </c>
      <c r="W1485" t="str">
        <f>IFERROR(INDEX(Products!$E:$E,MATCH(D1485,Products!$A:$A,0)),"Unknown")</f>
        <v>Max Fashion</v>
      </c>
      <c r="X1485" t="str">
        <f>IFERROR(INDEX(Stores!$B:$B,MATCH(E1485,Stores!$A:$A,0)),"Unknown")</f>
        <v>TrendMart Vellore Standard</v>
      </c>
      <c r="Y1485" t="str">
        <f>IFERROR(INDEX(Stores!$E:$E,MATCH(E1485,Stores!$A:$A,0)),"Unknown")</f>
        <v>South Zone 1</v>
      </c>
      <c r="Z1485" t="str">
        <f>IFERROR(INDEX(Customers!$J:$J,MATCH(C1485,Customers!$A:$A,0)),"Unknown")</f>
        <v>Silver</v>
      </c>
      <c r="AA1485" t="str">
        <f t="shared" si="23"/>
        <v>2024-08</v>
      </c>
      <c r="AB1485" t="str">
        <f>IFERROR(INDEX(Products!$I:$I,MATCH(D1485,Products!$A:$A,0)),"Unknown")</f>
        <v>SUP043</v>
      </c>
    </row>
    <row r="1486" spans="1:28" x14ac:dyDescent="0.25">
      <c r="A1486" t="s">
        <v>3378</v>
      </c>
      <c r="B1486" s="20">
        <v>45648</v>
      </c>
      <c r="C1486" t="s">
        <v>3379</v>
      </c>
      <c r="D1486" t="s">
        <v>257</v>
      </c>
      <c r="E1486" t="s">
        <v>274</v>
      </c>
      <c r="F1486" t="s">
        <v>232</v>
      </c>
      <c r="G1486">
        <v>2</v>
      </c>
      <c r="H1486" s="21">
        <v>1064.82</v>
      </c>
      <c r="I1486">
        <v>15</v>
      </c>
      <c r="J1486" s="21">
        <v>319.45</v>
      </c>
      <c r="K1486">
        <v>12</v>
      </c>
      <c r="L1486" s="21">
        <v>217.22</v>
      </c>
      <c r="M1486" s="21">
        <v>2027.41</v>
      </c>
      <c r="N1486" s="21">
        <v>1442.44</v>
      </c>
      <c r="O1486" s="21">
        <v>367.75</v>
      </c>
      <c r="P1486" t="s">
        <v>121</v>
      </c>
      <c r="Q1486" t="s">
        <v>120</v>
      </c>
      <c r="R1486" t="s">
        <v>151</v>
      </c>
      <c r="S1486" t="s">
        <v>2950</v>
      </c>
      <c r="T1486" t="s">
        <v>161</v>
      </c>
      <c r="U1486" t="s">
        <v>154</v>
      </c>
      <c r="V1486" t="str">
        <f>IFERROR(INDEX(Products!$C:$C,MATCH(D1486,Products!$A:$A,0)),"Unknown")</f>
        <v>Men Shirts</v>
      </c>
      <c r="W1486" t="str">
        <f>IFERROR(INDEX(Products!$E:$E,MATCH(D1486,Products!$A:$A,0)),"Unknown")</f>
        <v>Indian Terrain</v>
      </c>
      <c r="X1486" t="str">
        <f>IFERROR(INDEX(Stores!$B:$B,MATCH(E1486,Stores!$A:$A,0)),"Unknown")</f>
        <v>TrendMart Mangaluru Standard</v>
      </c>
      <c r="Y1486" t="str">
        <f>IFERROR(INDEX(Stores!$E:$E,MATCH(E1486,Stores!$A:$A,0)),"Unknown")</f>
        <v>South Zone 2</v>
      </c>
      <c r="Z1486" t="str">
        <f>IFERROR(INDEX(Customers!$J:$J,MATCH(C1486,Customers!$A:$A,0)),"Unknown")</f>
        <v>Silver</v>
      </c>
      <c r="AA1486" t="str">
        <f t="shared" si="23"/>
        <v>2024-12</v>
      </c>
      <c r="AB1486" t="str">
        <f>IFERROR(INDEX(Products!$I:$I,MATCH(D1486,Products!$A:$A,0)),"Unknown")</f>
        <v>SUP080</v>
      </c>
    </row>
    <row r="1487" spans="1:28" x14ac:dyDescent="0.25">
      <c r="A1487" t="s">
        <v>3380</v>
      </c>
      <c r="B1487" s="20">
        <v>45552</v>
      </c>
      <c r="C1487" t="s">
        <v>3311</v>
      </c>
      <c r="D1487" t="s">
        <v>339</v>
      </c>
      <c r="E1487" t="s">
        <v>391</v>
      </c>
      <c r="F1487" t="s">
        <v>150</v>
      </c>
      <c r="G1487">
        <v>2</v>
      </c>
      <c r="H1487" s="21">
        <v>886.17</v>
      </c>
      <c r="I1487">
        <v>10</v>
      </c>
      <c r="J1487" s="21">
        <v>177.23</v>
      </c>
      <c r="K1487">
        <v>5</v>
      </c>
      <c r="L1487" s="21">
        <v>79.760000000000005</v>
      </c>
      <c r="M1487" s="21">
        <v>1674.87</v>
      </c>
      <c r="N1487" s="21">
        <v>1137.06</v>
      </c>
      <c r="O1487" s="21">
        <v>458.05</v>
      </c>
      <c r="P1487" t="s">
        <v>121</v>
      </c>
      <c r="Q1487" t="s">
        <v>122</v>
      </c>
      <c r="R1487" t="s">
        <v>151</v>
      </c>
      <c r="S1487" t="s">
        <v>1625</v>
      </c>
      <c r="T1487" t="s">
        <v>153</v>
      </c>
      <c r="U1487" t="s">
        <v>154</v>
      </c>
      <c r="V1487" t="str">
        <f>IFERROR(INDEX(Products!$C:$C,MATCH(D1487,Products!$A:$A,0)),"Unknown")</f>
        <v>Women Kurtis</v>
      </c>
      <c r="W1487" t="str">
        <f>IFERROR(INDEX(Products!$E:$E,MATCH(D1487,Products!$A:$A,0)),"Unknown")</f>
        <v>Allen Solly</v>
      </c>
      <c r="X1487" t="str">
        <f>IFERROR(INDEX(Stores!$B:$B,MATCH(E1487,Stores!$A:$A,0)),"Unknown")</f>
        <v>TrendMart Warangal High Street</v>
      </c>
      <c r="Y1487" t="str">
        <f>IFERROR(INDEX(Stores!$E:$E,MATCH(E1487,Stores!$A:$A,0)),"Unknown")</f>
        <v>South Zone 2</v>
      </c>
      <c r="Z1487" t="str">
        <f>IFERROR(INDEX(Customers!$J:$J,MATCH(C1487,Customers!$A:$A,0)),"Unknown")</f>
        <v>Gold</v>
      </c>
      <c r="AA1487" t="str">
        <f t="shared" si="23"/>
        <v>2024-09</v>
      </c>
      <c r="AB1487" t="str">
        <f>IFERROR(INDEX(Products!$I:$I,MATCH(D1487,Products!$A:$A,0)),"Unknown")</f>
        <v>SUP086</v>
      </c>
    </row>
    <row r="1488" spans="1:28" x14ac:dyDescent="0.25">
      <c r="A1488" t="s">
        <v>3381</v>
      </c>
      <c r="B1488" s="20">
        <v>45393</v>
      </c>
      <c r="C1488" t="s">
        <v>2399</v>
      </c>
      <c r="D1488" t="s">
        <v>763</v>
      </c>
      <c r="E1488" t="s">
        <v>351</v>
      </c>
      <c r="F1488" t="s">
        <v>532</v>
      </c>
      <c r="G1488">
        <v>1</v>
      </c>
      <c r="H1488" s="21">
        <v>1069.3599999999999</v>
      </c>
      <c r="I1488">
        <v>10</v>
      </c>
      <c r="J1488" s="21">
        <v>106.94</v>
      </c>
      <c r="K1488">
        <v>12</v>
      </c>
      <c r="L1488" s="21">
        <v>115.49</v>
      </c>
      <c r="M1488" s="21">
        <v>1077.9100000000001</v>
      </c>
      <c r="N1488" s="21">
        <v>815.46</v>
      </c>
      <c r="O1488" s="21">
        <v>146.96</v>
      </c>
      <c r="P1488" t="s">
        <v>124</v>
      </c>
      <c r="Q1488" t="s">
        <v>120</v>
      </c>
      <c r="R1488" t="s">
        <v>313</v>
      </c>
      <c r="S1488" t="s">
        <v>2624</v>
      </c>
      <c r="T1488" t="s">
        <v>153</v>
      </c>
      <c r="U1488" t="s">
        <v>154</v>
      </c>
      <c r="V1488" t="str">
        <f>IFERROR(INDEX(Products!$C:$C,MATCH(D1488,Products!$A:$A,0)),"Unknown")</f>
        <v>Watches</v>
      </c>
      <c r="W1488" t="str">
        <f>IFERROR(INDEX(Products!$E:$E,MATCH(D1488,Products!$A:$A,0)),"Unknown")</f>
        <v>Libas</v>
      </c>
      <c r="X1488" t="str">
        <f>IFERROR(INDEX(Stores!$B:$B,MATCH(E1488,Stores!$A:$A,0)),"Unknown")</f>
        <v>TrendMart Kozhikode High Street</v>
      </c>
      <c r="Y1488" t="str">
        <f>IFERROR(INDEX(Stores!$E:$E,MATCH(E1488,Stores!$A:$A,0)),"Unknown")</f>
        <v>South Zone 1</v>
      </c>
      <c r="Z1488" t="str">
        <f>IFERROR(INDEX(Customers!$J:$J,MATCH(C1488,Customers!$A:$A,0)),"Unknown")</f>
        <v>Gold</v>
      </c>
      <c r="AA1488" t="str">
        <f t="shared" si="23"/>
        <v>2024-04</v>
      </c>
      <c r="AB1488" t="str">
        <f>IFERROR(INDEX(Products!$I:$I,MATCH(D1488,Products!$A:$A,0)),"Unknown")</f>
        <v>SUP047</v>
      </c>
    </row>
    <row r="1489" spans="1:28" x14ac:dyDescent="0.25">
      <c r="A1489" t="s">
        <v>3382</v>
      </c>
      <c r="B1489" s="20">
        <v>45581</v>
      </c>
      <c r="C1489" t="s">
        <v>2451</v>
      </c>
      <c r="D1489" t="s">
        <v>1156</v>
      </c>
      <c r="E1489" t="s">
        <v>90</v>
      </c>
      <c r="F1489" t="s">
        <v>382</v>
      </c>
      <c r="G1489">
        <v>3</v>
      </c>
      <c r="H1489" s="21">
        <v>634.09</v>
      </c>
      <c r="I1489">
        <v>10</v>
      </c>
      <c r="J1489" s="21">
        <v>190.23</v>
      </c>
      <c r="K1489">
        <v>5</v>
      </c>
      <c r="L1489" s="21">
        <v>85.6</v>
      </c>
      <c r="M1489" s="21">
        <v>1797.64</v>
      </c>
      <c r="N1489" s="21">
        <v>1528.32</v>
      </c>
      <c r="O1489" s="21">
        <v>183.72</v>
      </c>
      <c r="P1489" t="s">
        <v>121</v>
      </c>
      <c r="Q1489" t="s">
        <v>122</v>
      </c>
      <c r="R1489" t="s">
        <v>151</v>
      </c>
      <c r="S1489" t="s">
        <v>714</v>
      </c>
      <c r="T1489" t="s">
        <v>153</v>
      </c>
      <c r="U1489" t="s">
        <v>154</v>
      </c>
      <c r="V1489" t="str">
        <f>IFERROR(INDEX(Products!$C:$C,MATCH(D1489,Products!$A:$A,0)),"Unknown")</f>
        <v>Kids Wear</v>
      </c>
      <c r="W1489" t="str">
        <f>IFERROR(INDEX(Products!$E:$E,MATCH(D1489,Products!$A:$A,0)),"Unknown")</f>
        <v>Allen Solly</v>
      </c>
      <c r="X1489" t="str">
        <f>IFERROR(INDEX(Stores!$B:$B,MATCH(E1489,Stores!$A:$A,0)),"Unknown")</f>
        <v>TrendMart Thoothukudi Mall Kiosk</v>
      </c>
      <c r="Y1489" t="str">
        <f>IFERROR(INDEX(Stores!$E:$E,MATCH(E1489,Stores!$A:$A,0)),"Unknown")</f>
        <v>South Zone 1</v>
      </c>
      <c r="Z1489" t="str">
        <f>IFERROR(INDEX(Customers!$J:$J,MATCH(C1489,Customers!$A:$A,0)),"Unknown")</f>
        <v>Silver</v>
      </c>
      <c r="AA1489" t="str">
        <f t="shared" si="23"/>
        <v>2024-10</v>
      </c>
      <c r="AB1489" t="str">
        <f>IFERROR(INDEX(Products!$I:$I,MATCH(D1489,Products!$A:$A,0)),"Unknown")</f>
        <v>SUP026</v>
      </c>
    </row>
    <row r="1490" spans="1:28" x14ac:dyDescent="0.25">
      <c r="A1490" t="s">
        <v>3383</v>
      </c>
      <c r="B1490" s="20">
        <v>45553</v>
      </c>
      <c r="C1490" t="s">
        <v>2501</v>
      </c>
      <c r="D1490" t="s">
        <v>1920</v>
      </c>
      <c r="E1490" t="s">
        <v>1023</v>
      </c>
      <c r="F1490" t="s">
        <v>182</v>
      </c>
      <c r="G1490">
        <v>3</v>
      </c>
      <c r="H1490" s="21">
        <v>898</v>
      </c>
      <c r="I1490">
        <v>30</v>
      </c>
      <c r="J1490" s="21">
        <v>808.2</v>
      </c>
      <c r="K1490">
        <v>5</v>
      </c>
      <c r="L1490" s="21">
        <v>94.29</v>
      </c>
      <c r="M1490" s="21">
        <v>1980.09</v>
      </c>
      <c r="N1490" s="21">
        <v>1606.41</v>
      </c>
      <c r="O1490" s="21">
        <v>279.39</v>
      </c>
      <c r="P1490" t="s">
        <v>123</v>
      </c>
      <c r="Q1490" t="s">
        <v>122</v>
      </c>
      <c r="R1490" t="s">
        <v>151</v>
      </c>
      <c r="S1490" t="s">
        <v>3384</v>
      </c>
      <c r="T1490" t="s">
        <v>153</v>
      </c>
      <c r="U1490" t="s">
        <v>154</v>
      </c>
      <c r="V1490" t="str">
        <f>IFERROR(INDEX(Products!$C:$C,MATCH(D1490,Products!$A:$A,0)),"Unknown")</f>
        <v>Accessories</v>
      </c>
      <c r="W1490" t="str">
        <f>IFERROR(INDEX(Products!$E:$E,MATCH(D1490,Products!$A:$A,0)),"Unknown")</f>
        <v>Metro Shoes</v>
      </c>
      <c r="X1490" t="str">
        <f>IFERROR(INDEX(Stores!$B:$B,MATCH(E1490,Stores!$A:$A,0)),"Unknown")</f>
        <v>TrendMart Kochi High Street</v>
      </c>
      <c r="Y1490" t="str">
        <f>IFERROR(INDEX(Stores!$E:$E,MATCH(E1490,Stores!$A:$A,0)),"Unknown")</f>
        <v>South Zone 1</v>
      </c>
      <c r="Z1490" t="str">
        <f>IFERROR(INDEX(Customers!$J:$J,MATCH(C1490,Customers!$A:$A,0)),"Unknown")</f>
        <v>Silver</v>
      </c>
      <c r="AA1490" t="str">
        <f t="shared" si="23"/>
        <v>2024-09</v>
      </c>
      <c r="AB1490" t="str">
        <f>IFERROR(INDEX(Products!$I:$I,MATCH(D1490,Products!$A:$A,0)),"Unknown")</f>
        <v>SUP003</v>
      </c>
    </row>
    <row r="1491" spans="1:28" x14ac:dyDescent="0.25">
      <c r="A1491" t="s">
        <v>3385</v>
      </c>
      <c r="B1491" s="20">
        <v>45743</v>
      </c>
      <c r="C1491" t="s">
        <v>1116</v>
      </c>
      <c r="D1491" t="s">
        <v>2664</v>
      </c>
      <c r="E1491" t="s">
        <v>588</v>
      </c>
      <c r="F1491" t="s">
        <v>303</v>
      </c>
      <c r="G1491">
        <v>1</v>
      </c>
      <c r="H1491" s="21">
        <v>1452.51</v>
      </c>
      <c r="I1491">
        <v>10</v>
      </c>
      <c r="J1491" s="21">
        <v>145.25</v>
      </c>
      <c r="K1491">
        <v>12</v>
      </c>
      <c r="L1491" s="21">
        <v>156.87</v>
      </c>
      <c r="M1491" s="21">
        <v>1464.13</v>
      </c>
      <c r="N1491" s="21">
        <v>971.87</v>
      </c>
      <c r="O1491" s="21">
        <v>335.39</v>
      </c>
      <c r="P1491" t="s">
        <v>121</v>
      </c>
      <c r="Q1491" t="s">
        <v>122</v>
      </c>
      <c r="R1491" t="s">
        <v>151</v>
      </c>
      <c r="S1491" t="s">
        <v>2581</v>
      </c>
      <c r="T1491" t="s">
        <v>153</v>
      </c>
      <c r="U1491" t="s">
        <v>154</v>
      </c>
      <c r="V1491" t="str">
        <f>IFERROR(INDEX(Products!$C:$C,MATCH(D1491,Products!$A:$A,0)),"Unknown")</f>
        <v>Men Ethnic</v>
      </c>
      <c r="W1491" t="str">
        <f>IFERROR(INDEX(Products!$E:$E,MATCH(D1491,Products!$A:$A,0)),"Unknown")</f>
        <v>Max Fashion</v>
      </c>
      <c r="X1491" t="str">
        <f>IFERROR(INDEX(Stores!$B:$B,MATCH(E1491,Stores!$A:$A,0)),"Unknown")</f>
        <v>TrendMart Nizamabad Standard</v>
      </c>
      <c r="Y1491" t="str">
        <f>IFERROR(INDEX(Stores!$E:$E,MATCH(E1491,Stores!$A:$A,0)),"Unknown")</f>
        <v>South Zone 2</v>
      </c>
      <c r="Z1491" t="str">
        <f>IFERROR(INDEX(Customers!$J:$J,MATCH(C1491,Customers!$A:$A,0)),"Unknown")</f>
        <v>Silver</v>
      </c>
      <c r="AA1491" t="str">
        <f t="shared" si="23"/>
        <v>2025-03</v>
      </c>
      <c r="AB1491" t="str">
        <f>IFERROR(INDEX(Products!$I:$I,MATCH(D1491,Products!$A:$A,0)),"Unknown")</f>
        <v>SUP081</v>
      </c>
    </row>
    <row r="1492" spans="1:28" x14ac:dyDescent="0.25">
      <c r="A1492" t="s">
        <v>3386</v>
      </c>
      <c r="B1492" s="20">
        <v>45627</v>
      </c>
      <c r="C1492" t="s">
        <v>1793</v>
      </c>
      <c r="D1492" t="s">
        <v>1749</v>
      </c>
      <c r="E1492" t="s">
        <v>721</v>
      </c>
      <c r="F1492" t="s">
        <v>286</v>
      </c>
      <c r="G1492">
        <v>3</v>
      </c>
      <c r="H1492" s="21">
        <v>1434.19</v>
      </c>
      <c r="I1492">
        <v>30</v>
      </c>
      <c r="J1492" s="21">
        <v>1290.77</v>
      </c>
      <c r="K1492">
        <v>12</v>
      </c>
      <c r="L1492" s="21">
        <v>361.42</v>
      </c>
      <c r="M1492" s="21">
        <v>3373.22</v>
      </c>
      <c r="N1492" s="21">
        <v>2681.67</v>
      </c>
      <c r="O1492" s="21">
        <v>330.13</v>
      </c>
      <c r="P1492" t="s">
        <v>125</v>
      </c>
      <c r="Q1492" t="s">
        <v>120</v>
      </c>
      <c r="R1492" t="s">
        <v>151</v>
      </c>
      <c r="S1492" t="s">
        <v>2369</v>
      </c>
      <c r="T1492" t="s">
        <v>161</v>
      </c>
      <c r="U1492" t="s">
        <v>154</v>
      </c>
      <c r="V1492" t="str">
        <f>IFERROR(INDEX(Products!$C:$C,MATCH(D1492,Products!$A:$A,0)),"Unknown")</f>
        <v>Sportswear</v>
      </c>
      <c r="W1492" t="str">
        <f>IFERROR(INDEX(Products!$E:$E,MATCH(D1492,Products!$A:$A,0)),"Unknown")</f>
        <v>Pantaloons</v>
      </c>
      <c r="X1492" t="str">
        <f>IFERROR(INDEX(Stores!$B:$B,MATCH(E1492,Stores!$A:$A,0)),"Unknown")</f>
        <v>TrendMart Kollam Flagship</v>
      </c>
      <c r="Y1492" t="str">
        <f>IFERROR(INDEX(Stores!$E:$E,MATCH(E1492,Stores!$A:$A,0)),"Unknown")</f>
        <v>South Zone 1</v>
      </c>
      <c r="Z1492" t="str">
        <f>IFERROR(INDEX(Customers!$J:$J,MATCH(C1492,Customers!$A:$A,0)),"Unknown")</f>
        <v>Gold</v>
      </c>
      <c r="AA1492" t="str">
        <f t="shared" si="23"/>
        <v>2024-12</v>
      </c>
      <c r="AB1492" t="str">
        <f>IFERROR(INDEX(Products!$I:$I,MATCH(D1492,Products!$A:$A,0)),"Unknown")</f>
        <v>SUP076</v>
      </c>
    </row>
    <row r="1493" spans="1:28" x14ac:dyDescent="0.25">
      <c r="A1493" t="s">
        <v>3387</v>
      </c>
      <c r="B1493" s="20">
        <v>45601</v>
      </c>
      <c r="C1493" t="s">
        <v>1985</v>
      </c>
      <c r="D1493" t="s">
        <v>577</v>
      </c>
      <c r="E1493" t="s">
        <v>88</v>
      </c>
      <c r="F1493" t="s">
        <v>532</v>
      </c>
      <c r="G1493">
        <v>2</v>
      </c>
      <c r="H1493" s="21">
        <v>1225.53</v>
      </c>
      <c r="I1493">
        <v>0</v>
      </c>
      <c r="J1493" s="21">
        <v>0</v>
      </c>
      <c r="K1493">
        <v>12</v>
      </c>
      <c r="L1493" s="21">
        <v>294.13</v>
      </c>
      <c r="M1493" s="21">
        <v>2745.19</v>
      </c>
      <c r="N1493" s="21">
        <v>1746.86</v>
      </c>
      <c r="O1493" s="21">
        <v>704.2</v>
      </c>
      <c r="P1493" t="s">
        <v>125</v>
      </c>
      <c r="Q1493" t="s">
        <v>120</v>
      </c>
      <c r="R1493" t="s">
        <v>151</v>
      </c>
      <c r="S1493" t="s">
        <v>1157</v>
      </c>
      <c r="T1493" t="s">
        <v>153</v>
      </c>
      <c r="U1493" t="s">
        <v>154</v>
      </c>
      <c r="V1493" t="str">
        <f>IFERROR(INDEX(Products!$C:$C,MATCH(D1493,Products!$A:$A,0)),"Unknown")</f>
        <v>Men Trousers</v>
      </c>
      <c r="W1493" t="str">
        <f>IFERROR(INDEX(Products!$E:$E,MATCH(D1493,Products!$A:$A,0)),"Unknown")</f>
        <v>Unknown</v>
      </c>
      <c r="X1493" t="str">
        <f>IFERROR(INDEX(Stores!$B:$B,MATCH(E1493,Stores!$A:$A,0)),"Unknown")</f>
        <v>TrendMart Kozhikode Mall Kiosk</v>
      </c>
      <c r="Y1493" t="str">
        <f>IFERROR(INDEX(Stores!$E:$E,MATCH(E1493,Stores!$A:$A,0)),"Unknown")</f>
        <v>South Zone 1</v>
      </c>
      <c r="Z1493" t="str">
        <f>IFERROR(INDEX(Customers!$J:$J,MATCH(C1493,Customers!$A:$A,0)),"Unknown")</f>
        <v>Platinum</v>
      </c>
      <c r="AA1493" t="str">
        <f t="shared" si="23"/>
        <v>2024-11</v>
      </c>
      <c r="AB1493" t="str">
        <f>IFERROR(INDEX(Products!$I:$I,MATCH(D1493,Products!$A:$A,0)),"Unknown")</f>
        <v>SUP051</v>
      </c>
    </row>
    <row r="1494" spans="1:28" x14ac:dyDescent="0.25">
      <c r="A1494" t="s">
        <v>3388</v>
      </c>
      <c r="B1494" s="20">
        <v>45440</v>
      </c>
      <c r="C1494" t="s">
        <v>1589</v>
      </c>
      <c r="D1494" t="s">
        <v>1190</v>
      </c>
      <c r="E1494" t="s">
        <v>927</v>
      </c>
      <c r="F1494" t="s">
        <v>232</v>
      </c>
      <c r="G1494">
        <v>4</v>
      </c>
      <c r="H1494" s="21">
        <v>347.36</v>
      </c>
      <c r="I1494">
        <v>5</v>
      </c>
      <c r="J1494" s="21">
        <v>69.47</v>
      </c>
      <c r="K1494">
        <v>5</v>
      </c>
      <c r="L1494" s="21">
        <v>66</v>
      </c>
      <c r="M1494" s="21">
        <v>1385.97</v>
      </c>
      <c r="N1494" s="21">
        <v>788.2</v>
      </c>
      <c r="O1494" s="21">
        <v>531.77</v>
      </c>
      <c r="P1494" t="s">
        <v>123</v>
      </c>
      <c r="Q1494" t="s">
        <v>120</v>
      </c>
      <c r="R1494" t="s">
        <v>151</v>
      </c>
      <c r="S1494" t="s">
        <v>542</v>
      </c>
      <c r="T1494" t="s">
        <v>153</v>
      </c>
      <c r="U1494" t="s">
        <v>154</v>
      </c>
      <c r="V1494" t="str">
        <f>IFERROR(INDEX(Products!$C:$C,MATCH(D1494,Products!$A:$A,0)),"Unknown")</f>
        <v>Accessories</v>
      </c>
      <c r="W1494" t="str">
        <f>IFERROR(INDEX(Products!$E:$E,MATCH(D1494,Products!$A:$A,0)),"Unknown")</f>
        <v>Pantaloons</v>
      </c>
      <c r="X1494" t="str">
        <f>IFERROR(INDEX(Stores!$B:$B,MATCH(E1494,Stores!$A:$A,0)),"Unknown")</f>
        <v>TrendMart Kochi Mall Kiosk</v>
      </c>
      <c r="Y1494" t="str">
        <f>IFERROR(INDEX(Stores!$E:$E,MATCH(E1494,Stores!$A:$A,0)),"Unknown")</f>
        <v>South Zone 1</v>
      </c>
      <c r="Z1494" t="str">
        <f>IFERROR(INDEX(Customers!$J:$J,MATCH(C1494,Customers!$A:$A,0)),"Unknown")</f>
        <v>Silver</v>
      </c>
      <c r="AA1494" t="str">
        <f t="shared" si="23"/>
        <v>2024-05</v>
      </c>
      <c r="AB1494" t="str">
        <f>IFERROR(INDEX(Products!$I:$I,MATCH(D1494,Products!$A:$A,0)),"Unknown")</f>
        <v>SUP019</v>
      </c>
    </row>
    <row r="1495" spans="1:28" x14ac:dyDescent="0.25">
      <c r="A1495" t="s">
        <v>3389</v>
      </c>
      <c r="B1495" s="20">
        <v>45417</v>
      </c>
      <c r="C1495" t="s">
        <v>1489</v>
      </c>
      <c r="D1495" t="s">
        <v>415</v>
      </c>
      <c r="E1495" t="s">
        <v>525</v>
      </c>
      <c r="F1495" t="s">
        <v>150</v>
      </c>
      <c r="G1495">
        <v>1</v>
      </c>
      <c r="H1495" s="21">
        <v>1491.28</v>
      </c>
      <c r="I1495">
        <v>5</v>
      </c>
      <c r="J1495" s="21">
        <v>74.56</v>
      </c>
      <c r="K1495">
        <v>12</v>
      </c>
      <c r="L1495" s="21">
        <v>170.01</v>
      </c>
      <c r="M1495" s="21">
        <v>1586.73</v>
      </c>
      <c r="N1495" s="21">
        <v>1047.48</v>
      </c>
      <c r="O1495" s="21">
        <v>369.24</v>
      </c>
      <c r="P1495" t="s">
        <v>124</v>
      </c>
      <c r="Q1495" t="s">
        <v>122</v>
      </c>
      <c r="R1495" t="s">
        <v>151</v>
      </c>
      <c r="S1495" t="s">
        <v>619</v>
      </c>
      <c r="T1495" t="s">
        <v>161</v>
      </c>
      <c r="U1495" t="s">
        <v>154</v>
      </c>
      <c r="V1495" t="str">
        <f>IFERROR(INDEX(Products!$C:$C,MATCH(D1495,Products!$A:$A,0)),"Unknown")</f>
        <v>Women Jeans</v>
      </c>
      <c r="W1495" t="str">
        <f>IFERROR(INDEX(Products!$E:$E,MATCH(D1495,Products!$A:$A,0)),"Unknown")</f>
        <v>Killer Jeans</v>
      </c>
      <c r="X1495" t="str">
        <f>IFERROR(INDEX(Stores!$B:$B,MATCH(E1495,Stores!$A:$A,0)),"Unknown")</f>
        <v>TrendMart Kollam Standard</v>
      </c>
      <c r="Y1495" t="str">
        <f>IFERROR(INDEX(Stores!$E:$E,MATCH(E1495,Stores!$A:$A,0)),"Unknown")</f>
        <v>South Zone 1</v>
      </c>
      <c r="Z1495" t="str">
        <f>IFERROR(INDEX(Customers!$J:$J,MATCH(C1495,Customers!$A:$A,0)),"Unknown")</f>
        <v>Gold</v>
      </c>
      <c r="AA1495" t="str">
        <f t="shared" si="23"/>
        <v>2024-05</v>
      </c>
      <c r="AB1495" t="str">
        <f>IFERROR(INDEX(Products!$I:$I,MATCH(D1495,Products!$A:$A,0)),"Unknown")</f>
        <v>SUP070</v>
      </c>
    </row>
    <row r="1496" spans="1:28" x14ac:dyDescent="0.25">
      <c r="A1496" t="s">
        <v>3390</v>
      </c>
      <c r="B1496" s="20">
        <v>45628</v>
      </c>
      <c r="C1496" t="s">
        <v>2409</v>
      </c>
      <c r="D1496" t="s">
        <v>531</v>
      </c>
      <c r="E1496" t="s">
        <v>252</v>
      </c>
      <c r="F1496" t="s">
        <v>292</v>
      </c>
      <c r="G1496">
        <v>2</v>
      </c>
      <c r="H1496" s="21">
        <v>2974.21</v>
      </c>
      <c r="I1496">
        <v>5</v>
      </c>
      <c r="J1496" s="21">
        <v>297.42</v>
      </c>
      <c r="K1496">
        <v>12</v>
      </c>
      <c r="L1496" s="21">
        <v>678.12</v>
      </c>
      <c r="M1496" s="21">
        <v>6329.12</v>
      </c>
      <c r="N1496" s="21">
        <v>4068.02</v>
      </c>
      <c r="O1496" s="21">
        <v>1582.98</v>
      </c>
      <c r="P1496" t="s">
        <v>124</v>
      </c>
      <c r="Q1496" t="s">
        <v>122</v>
      </c>
      <c r="R1496" t="s">
        <v>313</v>
      </c>
      <c r="S1496" t="s">
        <v>2472</v>
      </c>
      <c r="T1496" t="s">
        <v>153</v>
      </c>
      <c r="U1496" t="s">
        <v>154</v>
      </c>
      <c r="V1496" t="str">
        <f>IFERROR(INDEX(Products!$C:$C,MATCH(D1496,Products!$A:$A,0)),"Unknown")</f>
        <v>Handbags</v>
      </c>
      <c r="W1496" t="str">
        <f>IFERROR(INDEX(Products!$E:$E,MATCH(D1496,Products!$A:$A,0)),"Unknown")</f>
        <v>GRT Jewellers</v>
      </c>
      <c r="X1496" t="str">
        <f>IFERROR(INDEX(Stores!$B:$B,MATCH(E1496,Stores!$A:$A,0)),"Unknown")</f>
        <v>TrendMart Nellore Standard</v>
      </c>
      <c r="Y1496" t="str">
        <f>IFERROR(INDEX(Stores!$E:$E,MATCH(E1496,Stores!$A:$A,0)),"Unknown")</f>
        <v>South Zone 3</v>
      </c>
      <c r="Z1496" t="str">
        <f>IFERROR(INDEX(Customers!$J:$J,MATCH(C1496,Customers!$A:$A,0)),"Unknown")</f>
        <v>Regular</v>
      </c>
      <c r="AA1496" t="str">
        <f t="shared" si="23"/>
        <v>2024-12</v>
      </c>
      <c r="AB1496" t="str">
        <f>IFERROR(INDEX(Products!$I:$I,MATCH(D1496,Products!$A:$A,0)),"Unknown")</f>
        <v>SUP047</v>
      </c>
    </row>
    <row r="1497" spans="1:28" x14ac:dyDescent="0.25">
      <c r="A1497" t="s">
        <v>3391</v>
      </c>
      <c r="B1497" s="20">
        <v>45569</v>
      </c>
      <c r="C1497" t="s">
        <v>813</v>
      </c>
      <c r="D1497" t="s">
        <v>947</v>
      </c>
      <c r="E1497" t="s">
        <v>798</v>
      </c>
      <c r="F1497" t="s">
        <v>170</v>
      </c>
      <c r="G1497">
        <v>4</v>
      </c>
      <c r="H1497" s="21">
        <v>725.39</v>
      </c>
      <c r="I1497">
        <v>20</v>
      </c>
      <c r="J1497" s="21">
        <v>580.30999999999995</v>
      </c>
      <c r="K1497">
        <v>5</v>
      </c>
      <c r="L1497" s="21">
        <v>116.06</v>
      </c>
      <c r="M1497" s="21">
        <v>2437.31</v>
      </c>
      <c r="N1497" s="21">
        <v>2277.4</v>
      </c>
      <c r="O1497" s="21">
        <v>43.85</v>
      </c>
      <c r="P1497" t="s">
        <v>124</v>
      </c>
      <c r="Q1497" t="s">
        <v>122</v>
      </c>
      <c r="R1497" t="s">
        <v>151</v>
      </c>
      <c r="S1497" t="s">
        <v>499</v>
      </c>
      <c r="T1497" t="s">
        <v>153</v>
      </c>
      <c r="U1497" t="s">
        <v>154</v>
      </c>
      <c r="V1497" t="str">
        <f>IFERROR(INDEX(Products!$C:$C,MATCH(D1497,Products!$A:$A,0)),"Unknown")</f>
        <v>Women Kurtis</v>
      </c>
      <c r="W1497" t="str">
        <f>IFERROR(INDEX(Products!$E:$E,MATCH(D1497,Products!$A:$A,0)),"Unknown")</f>
        <v>Sonata</v>
      </c>
      <c r="X1497" t="str">
        <f>IFERROR(INDEX(Stores!$B:$B,MATCH(E1497,Stores!$A:$A,0)),"Unknown")</f>
        <v>TrendMart Guntur Standard</v>
      </c>
      <c r="Y1497" t="str">
        <f>IFERROR(INDEX(Stores!$E:$E,MATCH(E1497,Stores!$A:$A,0)),"Unknown")</f>
        <v>South Zone 3</v>
      </c>
      <c r="Z1497" t="str">
        <f>IFERROR(INDEX(Customers!$J:$J,MATCH(C1497,Customers!$A:$A,0)),"Unknown")</f>
        <v>Regular</v>
      </c>
      <c r="AA1497" t="str">
        <f t="shared" si="23"/>
        <v>2024-10</v>
      </c>
      <c r="AB1497" t="str">
        <f>IFERROR(INDEX(Products!$I:$I,MATCH(D1497,Products!$A:$A,0)),"Unknown")</f>
        <v>SUP001</v>
      </c>
    </row>
    <row r="1498" spans="1:28" x14ac:dyDescent="0.25">
      <c r="A1498" t="s">
        <v>3392</v>
      </c>
      <c r="B1498" s="20">
        <v>45551</v>
      </c>
      <c r="C1498" t="s">
        <v>1924</v>
      </c>
      <c r="D1498" t="s">
        <v>2392</v>
      </c>
      <c r="E1498" t="s">
        <v>806</v>
      </c>
      <c r="F1498" t="s">
        <v>443</v>
      </c>
      <c r="G1498">
        <v>4</v>
      </c>
      <c r="H1498" s="21">
        <v>1111.83</v>
      </c>
      <c r="I1498">
        <v>10</v>
      </c>
      <c r="J1498" s="21">
        <v>444.73</v>
      </c>
      <c r="K1498">
        <v>12</v>
      </c>
      <c r="L1498" s="21">
        <v>480.31</v>
      </c>
      <c r="M1498" s="21">
        <v>4482.8999999999996</v>
      </c>
      <c r="N1498" s="21">
        <v>2976</v>
      </c>
      <c r="O1498" s="21">
        <v>1026.5899999999999</v>
      </c>
      <c r="P1498" t="s">
        <v>121</v>
      </c>
      <c r="Q1498" t="s">
        <v>120</v>
      </c>
      <c r="R1498" t="s">
        <v>151</v>
      </c>
      <c r="S1498" t="s">
        <v>3193</v>
      </c>
      <c r="T1498" t="s">
        <v>153</v>
      </c>
      <c r="U1498" t="s">
        <v>154</v>
      </c>
      <c r="V1498" t="str">
        <f>IFERROR(INDEX(Products!$C:$C,MATCH(D1498,Products!$A:$A,0)),"Unknown")</f>
        <v>Women Kurtis</v>
      </c>
      <c r="W1498" t="str">
        <f>IFERROR(INDEX(Products!$E:$E,MATCH(D1498,Products!$A:$A,0)),"Unknown")</f>
        <v>Reebok</v>
      </c>
      <c r="X1498" t="str">
        <f>IFERROR(INDEX(Stores!$B:$B,MATCH(E1498,Stores!$A:$A,0)),"Unknown")</f>
        <v>TrendMart Tirunelveli Flagship</v>
      </c>
      <c r="Y1498" t="str">
        <f>IFERROR(INDEX(Stores!$E:$E,MATCH(E1498,Stores!$A:$A,0)),"Unknown")</f>
        <v>South Zone 1</v>
      </c>
      <c r="Z1498" t="str">
        <f>IFERROR(INDEX(Customers!$J:$J,MATCH(C1498,Customers!$A:$A,0)),"Unknown")</f>
        <v>Silver</v>
      </c>
      <c r="AA1498" t="str">
        <f t="shared" si="23"/>
        <v>2024-09</v>
      </c>
      <c r="AB1498" t="str">
        <f>IFERROR(INDEX(Products!$I:$I,MATCH(D1498,Products!$A:$A,0)),"Unknown")</f>
        <v>SUP029</v>
      </c>
    </row>
    <row r="1499" spans="1:28" x14ac:dyDescent="0.25">
      <c r="A1499" t="s">
        <v>3393</v>
      </c>
      <c r="B1499" s="20">
        <v>45598</v>
      </c>
      <c r="C1499" t="s">
        <v>2711</v>
      </c>
      <c r="D1499" t="s">
        <v>494</v>
      </c>
      <c r="E1499" t="s">
        <v>90</v>
      </c>
      <c r="F1499" t="s">
        <v>516</v>
      </c>
      <c r="G1499">
        <v>2</v>
      </c>
      <c r="H1499" s="21">
        <v>1828.87</v>
      </c>
      <c r="I1499">
        <v>25</v>
      </c>
      <c r="J1499" s="21">
        <v>914.43</v>
      </c>
      <c r="K1499">
        <v>12</v>
      </c>
      <c r="L1499" s="21">
        <v>329.2</v>
      </c>
      <c r="M1499" s="21">
        <v>3072.51</v>
      </c>
      <c r="N1499" s="21">
        <v>2281.8000000000002</v>
      </c>
      <c r="O1499" s="21">
        <v>461.51</v>
      </c>
      <c r="P1499" t="s">
        <v>125</v>
      </c>
      <c r="Q1499" t="s">
        <v>120</v>
      </c>
      <c r="R1499" t="s">
        <v>151</v>
      </c>
      <c r="S1499" t="s">
        <v>330</v>
      </c>
      <c r="T1499" t="s">
        <v>161</v>
      </c>
      <c r="U1499" t="s">
        <v>154</v>
      </c>
      <c r="V1499" t="str">
        <f>IFERROR(INDEX(Products!$C:$C,MATCH(D1499,Products!$A:$A,0)),"Unknown")</f>
        <v>Women Dresses</v>
      </c>
      <c r="W1499" t="str">
        <f>IFERROR(INDEX(Products!$E:$E,MATCH(D1499,Products!$A:$A,0)),"Unknown")</f>
        <v>Reebok</v>
      </c>
      <c r="X1499" t="str">
        <f>IFERROR(INDEX(Stores!$B:$B,MATCH(E1499,Stores!$A:$A,0)),"Unknown")</f>
        <v>TrendMart Thoothukudi Mall Kiosk</v>
      </c>
      <c r="Y1499" t="str">
        <f>IFERROR(INDEX(Stores!$E:$E,MATCH(E1499,Stores!$A:$A,0)),"Unknown")</f>
        <v>South Zone 1</v>
      </c>
      <c r="Z1499" t="str">
        <f>IFERROR(INDEX(Customers!$J:$J,MATCH(C1499,Customers!$A:$A,0)),"Unknown")</f>
        <v>Silver</v>
      </c>
      <c r="AA1499" t="str">
        <f t="shared" si="23"/>
        <v>2024-11</v>
      </c>
      <c r="AB1499" t="str">
        <f>IFERROR(INDEX(Products!$I:$I,MATCH(D1499,Products!$A:$A,0)),"Unknown")</f>
        <v>SUP085</v>
      </c>
    </row>
    <row r="1500" spans="1:28" x14ac:dyDescent="0.25">
      <c r="A1500" t="s">
        <v>3394</v>
      </c>
      <c r="B1500" s="20">
        <v>45695</v>
      </c>
      <c r="C1500" t="s">
        <v>350</v>
      </c>
      <c r="D1500" t="s">
        <v>545</v>
      </c>
      <c r="E1500" t="s">
        <v>92</v>
      </c>
      <c r="F1500" t="s">
        <v>275</v>
      </c>
      <c r="G1500">
        <v>1</v>
      </c>
      <c r="H1500" s="21">
        <v>1288.97</v>
      </c>
      <c r="I1500">
        <v>25</v>
      </c>
      <c r="J1500" s="21">
        <v>322.24</v>
      </c>
      <c r="K1500">
        <v>12</v>
      </c>
      <c r="L1500" s="21">
        <v>116.01</v>
      </c>
      <c r="M1500" s="21">
        <v>1082.74</v>
      </c>
      <c r="N1500" s="21">
        <v>834.96</v>
      </c>
      <c r="O1500" s="21">
        <v>131.77000000000001</v>
      </c>
      <c r="P1500" t="s">
        <v>123</v>
      </c>
      <c r="Q1500" t="s">
        <v>122</v>
      </c>
      <c r="R1500" t="s">
        <v>151</v>
      </c>
      <c r="S1500" t="s">
        <v>1733</v>
      </c>
      <c r="T1500" t="s">
        <v>153</v>
      </c>
      <c r="U1500" t="s">
        <v>154</v>
      </c>
      <c r="V1500" t="str">
        <f>IFERROR(INDEX(Products!$C:$C,MATCH(D1500,Products!$A:$A,0)),"Unknown")</f>
        <v>Women Jeans</v>
      </c>
      <c r="W1500" t="str">
        <f>IFERROR(INDEX(Products!$E:$E,MATCH(D1500,Products!$A:$A,0)),"Unknown")</f>
        <v>US Polo Assn</v>
      </c>
      <c r="X1500" t="str">
        <f>IFERROR(INDEX(Stores!$B:$B,MATCH(E1500,Stores!$A:$A,0)),"Unknown")</f>
        <v>TrendMart Guntur High Street</v>
      </c>
      <c r="Y1500" t="str">
        <f>IFERROR(INDEX(Stores!$E:$E,MATCH(E1500,Stores!$A:$A,0)),"Unknown")</f>
        <v>South Zone 3</v>
      </c>
      <c r="Z1500" t="str">
        <f>IFERROR(INDEX(Customers!$J:$J,MATCH(C1500,Customers!$A:$A,0)),"Unknown")</f>
        <v>Silver</v>
      </c>
      <c r="AA1500" t="str">
        <f t="shared" si="23"/>
        <v>2025-02</v>
      </c>
      <c r="AB1500" t="str">
        <f>IFERROR(INDEX(Products!$I:$I,MATCH(D1500,Products!$A:$A,0)),"Unknown")</f>
        <v>SUP041</v>
      </c>
    </row>
    <row r="1501" spans="1:28" x14ac:dyDescent="0.25">
      <c r="A1501" t="s">
        <v>3395</v>
      </c>
      <c r="B1501" s="20">
        <v>45721</v>
      </c>
      <c r="C1501" t="s">
        <v>2360</v>
      </c>
      <c r="D1501" t="s">
        <v>246</v>
      </c>
      <c r="E1501" t="s">
        <v>200</v>
      </c>
      <c r="F1501" t="s">
        <v>165</v>
      </c>
      <c r="G1501">
        <v>1</v>
      </c>
      <c r="H1501" s="21">
        <v>1290.6199999999999</v>
      </c>
      <c r="I1501">
        <v>0</v>
      </c>
      <c r="J1501" s="21">
        <v>0</v>
      </c>
      <c r="K1501">
        <v>12</v>
      </c>
      <c r="L1501" s="21">
        <v>154.87</v>
      </c>
      <c r="M1501" s="21">
        <v>1445.49</v>
      </c>
      <c r="N1501" s="21">
        <v>865.48</v>
      </c>
      <c r="O1501" s="21">
        <v>425.14</v>
      </c>
      <c r="P1501" t="s">
        <v>125</v>
      </c>
      <c r="Q1501" t="s">
        <v>122</v>
      </c>
      <c r="R1501" t="s">
        <v>151</v>
      </c>
      <c r="S1501" t="s">
        <v>1112</v>
      </c>
      <c r="T1501" t="s">
        <v>153</v>
      </c>
      <c r="U1501" t="s">
        <v>154</v>
      </c>
      <c r="V1501" t="str">
        <f>IFERROR(INDEX(Products!$C:$C,MATCH(D1501,Products!$A:$A,0)),"Unknown")</f>
        <v>Women Dresses</v>
      </c>
      <c r="W1501" t="str">
        <f>IFERROR(INDEX(Products!$E:$E,MATCH(D1501,Products!$A:$A,0)),"Unknown")</f>
        <v>Tanishq</v>
      </c>
      <c r="X1501" t="str">
        <f>IFERROR(INDEX(Stores!$B:$B,MATCH(E1501,Stores!$A:$A,0)),"Unknown")</f>
        <v>TrendMart Kozhikode Standard</v>
      </c>
      <c r="Y1501" t="str">
        <f>IFERROR(INDEX(Stores!$E:$E,MATCH(E1501,Stores!$A:$A,0)),"Unknown")</f>
        <v>South Zone 1</v>
      </c>
      <c r="Z1501" t="str">
        <f>IFERROR(INDEX(Customers!$J:$J,MATCH(C1501,Customers!$A:$A,0)),"Unknown")</f>
        <v>Regular</v>
      </c>
      <c r="AA1501" t="str">
        <f t="shared" si="23"/>
        <v>2025-03</v>
      </c>
      <c r="AB1501" t="str">
        <f>IFERROR(INDEX(Products!$I:$I,MATCH(D1501,Products!$A:$A,0)),"Unknown")</f>
        <v>SUP002</v>
      </c>
    </row>
    <row r="1502" spans="1:28" x14ac:dyDescent="0.25">
      <c r="A1502" t="s">
        <v>3396</v>
      </c>
      <c r="B1502" s="20">
        <v>45463</v>
      </c>
      <c r="C1502" t="s">
        <v>568</v>
      </c>
      <c r="D1502" t="s">
        <v>654</v>
      </c>
      <c r="E1502" t="s">
        <v>85</v>
      </c>
      <c r="F1502" t="s">
        <v>281</v>
      </c>
      <c r="G1502">
        <v>3</v>
      </c>
      <c r="H1502" s="21">
        <v>1213.3599999999999</v>
      </c>
      <c r="I1502">
        <v>0</v>
      </c>
      <c r="J1502" s="21">
        <v>0</v>
      </c>
      <c r="K1502">
        <v>12</v>
      </c>
      <c r="L1502" s="21">
        <v>436.81</v>
      </c>
      <c r="M1502" s="21">
        <v>4076.89</v>
      </c>
      <c r="N1502" s="21">
        <v>2596.2600000000002</v>
      </c>
      <c r="O1502" s="21">
        <v>1043.82</v>
      </c>
      <c r="P1502" t="s">
        <v>121</v>
      </c>
      <c r="Q1502" t="s">
        <v>120</v>
      </c>
      <c r="R1502" t="s">
        <v>151</v>
      </c>
      <c r="S1502" t="s">
        <v>1109</v>
      </c>
      <c r="T1502" t="s">
        <v>153</v>
      </c>
      <c r="U1502" t="s">
        <v>154</v>
      </c>
      <c r="V1502" t="str">
        <f>IFERROR(INDEX(Products!$C:$C,MATCH(D1502,Products!$A:$A,0)),"Unknown")</f>
        <v>Women Dresses</v>
      </c>
      <c r="W1502" t="str">
        <f>IFERROR(INDEX(Products!$E:$E,MATCH(D1502,Products!$A:$A,0)),"Unknown")</f>
        <v>Indian Terrain</v>
      </c>
      <c r="X1502" t="str">
        <f>IFERROR(INDEX(Stores!$B:$B,MATCH(E1502,Stores!$A:$A,0)),"Unknown")</f>
        <v>TrendMart Kalaburagi Mall Kiosk</v>
      </c>
      <c r="Y1502" t="str">
        <f>IFERROR(INDEX(Stores!$E:$E,MATCH(E1502,Stores!$A:$A,0)),"Unknown")</f>
        <v>South Zone 2</v>
      </c>
      <c r="Z1502" t="str">
        <f>IFERROR(INDEX(Customers!$J:$J,MATCH(C1502,Customers!$A:$A,0)),"Unknown")</f>
        <v>Regular</v>
      </c>
      <c r="AA1502" t="str">
        <f t="shared" si="23"/>
        <v>2024-06</v>
      </c>
      <c r="AB1502" t="str">
        <f>IFERROR(INDEX(Products!$I:$I,MATCH(D1502,Products!$A:$A,0)),"Unknown")</f>
        <v>SUP049</v>
      </c>
    </row>
    <row r="1503" spans="1:28" x14ac:dyDescent="0.25">
      <c r="A1503" t="s">
        <v>3397</v>
      </c>
      <c r="B1503" s="20">
        <v>45534</v>
      </c>
      <c r="C1503" t="s">
        <v>2053</v>
      </c>
      <c r="D1503" t="s">
        <v>1709</v>
      </c>
      <c r="E1503" t="s">
        <v>92</v>
      </c>
      <c r="F1503" t="s">
        <v>242</v>
      </c>
      <c r="G1503">
        <v>3</v>
      </c>
      <c r="H1503" s="21">
        <v>439.69</v>
      </c>
      <c r="I1503">
        <v>10</v>
      </c>
      <c r="J1503" s="21">
        <v>131.91</v>
      </c>
      <c r="K1503">
        <v>5</v>
      </c>
      <c r="L1503" s="21">
        <v>59.36</v>
      </c>
      <c r="M1503" s="21">
        <v>1246.52</v>
      </c>
      <c r="N1503" s="21">
        <v>982.08</v>
      </c>
      <c r="O1503" s="21">
        <v>205.08</v>
      </c>
      <c r="P1503" t="s">
        <v>123</v>
      </c>
      <c r="Q1503" t="s">
        <v>120</v>
      </c>
      <c r="R1503" t="s">
        <v>151</v>
      </c>
      <c r="S1503" t="s">
        <v>2898</v>
      </c>
      <c r="T1503" t="s">
        <v>153</v>
      </c>
      <c r="U1503" t="s">
        <v>154</v>
      </c>
      <c r="V1503" t="str">
        <f>IFERROR(INDEX(Products!$C:$C,MATCH(D1503,Products!$A:$A,0)),"Unknown")</f>
        <v>Kids Wear</v>
      </c>
      <c r="W1503" t="str">
        <f>IFERROR(INDEX(Products!$E:$E,MATCH(D1503,Products!$A:$A,0)),"Unknown")</f>
        <v>Aurelia</v>
      </c>
      <c r="X1503" t="str">
        <f>IFERROR(INDEX(Stores!$B:$B,MATCH(E1503,Stores!$A:$A,0)),"Unknown")</f>
        <v>TrendMart Guntur High Street</v>
      </c>
      <c r="Y1503" t="str">
        <f>IFERROR(INDEX(Stores!$E:$E,MATCH(E1503,Stores!$A:$A,0)),"Unknown")</f>
        <v>South Zone 3</v>
      </c>
      <c r="Z1503" t="str">
        <f>IFERROR(INDEX(Customers!$J:$J,MATCH(C1503,Customers!$A:$A,0)),"Unknown")</f>
        <v>Silver</v>
      </c>
      <c r="AA1503" t="str">
        <f t="shared" si="23"/>
        <v>2024-08</v>
      </c>
      <c r="AB1503" t="str">
        <f>IFERROR(INDEX(Products!$I:$I,MATCH(D1503,Products!$A:$A,0)),"Unknown")</f>
        <v>SUP055</v>
      </c>
    </row>
    <row r="1504" spans="1:28" x14ac:dyDescent="0.25">
      <c r="A1504" t="s">
        <v>3398</v>
      </c>
      <c r="B1504" s="20">
        <v>45503</v>
      </c>
      <c r="C1504" t="s">
        <v>1834</v>
      </c>
      <c r="D1504" t="s">
        <v>864</v>
      </c>
      <c r="E1504" t="s">
        <v>1442</v>
      </c>
      <c r="F1504" t="s">
        <v>221</v>
      </c>
      <c r="G1504">
        <v>4</v>
      </c>
      <c r="H1504" s="21">
        <v>2950.32</v>
      </c>
      <c r="I1504">
        <v>15</v>
      </c>
      <c r="J1504" s="21">
        <v>1770.19</v>
      </c>
      <c r="K1504">
        <v>3</v>
      </c>
      <c r="L1504" s="21">
        <v>300.93</v>
      </c>
      <c r="M1504" s="21">
        <v>10332.02</v>
      </c>
      <c r="N1504" s="21">
        <v>7959.72</v>
      </c>
      <c r="O1504" s="21">
        <v>2071.37</v>
      </c>
      <c r="P1504" t="s">
        <v>125</v>
      </c>
      <c r="Q1504" t="s">
        <v>120</v>
      </c>
      <c r="R1504" t="s">
        <v>151</v>
      </c>
      <c r="S1504" t="s">
        <v>336</v>
      </c>
      <c r="T1504" t="s">
        <v>153</v>
      </c>
      <c r="U1504" t="s">
        <v>154</v>
      </c>
      <c r="V1504" t="str">
        <f>IFERROR(INDEX(Products!$C:$C,MATCH(D1504,Products!$A:$A,0)),"Unknown")</f>
        <v>Jewellery</v>
      </c>
      <c r="W1504" t="str">
        <f>IFERROR(INDEX(Products!$E:$E,MATCH(D1504,Products!$A:$A,0)),"Unknown")</f>
        <v>Wrangler</v>
      </c>
      <c r="X1504" t="str">
        <f>IFERROR(INDEX(Stores!$B:$B,MATCH(E1504,Stores!$A:$A,0)),"Unknown")</f>
        <v>TrendMart Vellore High Street</v>
      </c>
      <c r="Y1504" t="str">
        <f>IFERROR(INDEX(Stores!$E:$E,MATCH(E1504,Stores!$A:$A,0)),"Unknown")</f>
        <v>South Zone 1</v>
      </c>
      <c r="Z1504" t="str">
        <f>IFERROR(INDEX(Customers!$J:$J,MATCH(C1504,Customers!$A:$A,0)),"Unknown")</f>
        <v>Silver</v>
      </c>
      <c r="AA1504" t="str">
        <f t="shared" si="23"/>
        <v>2024-07</v>
      </c>
      <c r="AB1504" t="str">
        <f>IFERROR(INDEX(Products!$I:$I,MATCH(D1504,Products!$A:$A,0)),"Unknown")</f>
        <v>SUP070</v>
      </c>
    </row>
    <row r="1505" spans="1:28" x14ac:dyDescent="0.25">
      <c r="A1505" t="s">
        <v>3399</v>
      </c>
      <c r="B1505" s="20">
        <v>45556</v>
      </c>
      <c r="C1505" t="s">
        <v>2605</v>
      </c>
      <c r="D1505" t="s">
        <v>1616</v>
      </c>
      <c r="E1505" t="s">
        <v>86</v>
      </c>
      <c r="F1505" t="s">
        <v>286</v>
      </c>
      <c r="G1505">
        <v>1</v>
      </c>
      <c r="H1505" s="21">
        <v>4703.28</v>
      </c>
      <c r="I1505">
        <v>10</v>
      </c>
      <c r="J1505" s="21">
        <v>470.33</v>
      </c>
      <c r="K1505">
        <v>12</v>
      </c>
      <c r="L1505" s="21">
        <v>507.95</v>
      </c>
      <c r="M1505" s="21">
        <v>4740.8999999999996</v>
      </c>
      <c r="N1505" s="21">
        <v>3023.13</v>
      </c>
      <c r="O1505" s="21">
        <v>1209.82</v>
      </c>
      <c r="P1505" t="s">
        <v>121</v>
      </c>
      <c r="Q1505" t="s">
        <v>122</v>
      </c>
      <c r="R1505" t="s">
        <v>151</v>
      </c>
      <c r="S1505" t="s">
        <v>1174</v>
      </c>
      <c r="T1505" t="s">
        <v>161</v>
      </c>
      <c r="U1505" t="s">
        <v>154</v>
      </c>
      <c r="V1505" t="str">
        <f>IFERROR(INDEX(Products!$C:$C,MATCH(D1505,Products!$A:$A,0)),"Unknown")</f>
        <v>Women Sarees</v>
      </c>
      <c r="W1505" t="str">
        <f>IFERROR(INDEX(Products!$E:$E,MATCH(D1505,Products!$A:$A,0)),"Unknown")</f>
        <v>Max Fashion</v>
      </c>
      <c r="X1505" t="str">
        <f>IFERROR(INDEX(Stores!$B:$B,MATCH(E1505,Stores!$A:$A,0)),"Unknown")</f>
        <v>TrendMart Warangal High Street</v>
      </c>
      <c r="Y1505" t="str">
        <f>IFERROR(INDEX(Stores!$E:$E,MATCH(E1505,Stores!$A:$A,0)),"Unknown")</f>
        <v>South Zone 2</v>
      </c>
      <c r="Z1505" t="str">
        <f>IFERROR(INDEX(Customers!$J:$J,MATCH(C1505,Customers!$A:$A,0)),"Unknown")</f>
        <v>Gold</v>
      </c>
      <c r="AA1505" t="str">
        <f t="shared" si="23"/>
        <v>2024-09</v>
      </c>
      <c r="AB1505" t="str">
        <f>IFERROR(INDEX(Products!$I:$I,MATCH(D1505,Products!$A:$A,0)),"Unknown")</f>
        <v>SUP047</v>
      </c>
    </row>
    <row r="1506" spans="1:28" x14ac:dyDescent="0.25">
      <c r="A1506" t="s">
        <v>3400</v>
      </c>
      <c r="B1506" s="20">
        <v>45602</v>
      </c>
      <c r="C1506" t="s">
        <v>1916</v>
      </c>
      <c r="D1506" t="s">
        <v>666</v>
      </c>
      <c r="E1506" t="s">
        <v>451</v>
      </c>
      <c r="F1506" t="s">
        <v>516</v>
      </c>
      <c r="G1506">
        <v>2</v>
      </c>
      <c r="H1506" s="21">
        <v>1278.1300000000001</v>
      </c>
      <c r="I1506">
        <v>30</v>
      </c>
      <c r="J1506" s="21">
        <v>766.88</v>
      </c>
      <c r="K1506">
        <v>12</v>
      </c>
      <c r="L1506" s="21">
        <v>214.73</v>
      </c>
      <c r="M1506" s="21">
        <v>2004.11</v>
      </c>
      <c r="N1506" s="21">
        <v>1808.42</v>
      </c>
      <c r="O1506" s="21">
        <v>-19.04</v>
      </c>
      <c r="P1506" t="s">
        <v>124</v>
      </c>
      <c r="Q1506" t="s">
        <v>120</v>
      </c>
      <c r="R1506" t="s">
        <v>151</v>
      </c>
      <c r="S1506" t="s">
        <v>409</v>
      </c>
      <c r="T1506" t="s">
        <v>153</v>
      </c>
      <c r="U1506" t="s">
        <v>184</v>
      </c>
      <c r="V1506" t="str">
        <f>IFERROR(INDEX(Products!$C:$C,MATCH(D1506,Products!$A:$A,0)),"Unknown")</f>
        <v>Wallets</v>
      </c>
      <c r="W1506" t="str">
        <f>IFERROR(INDEX(Products!$E:$E,MATCH(D1506,Products!$A:$A,0)),"Unknown")</f>
        <v>Louis Philippe</v>
      </c>
      <c r="X1506" t="str">
        <f>IFERROR(INDEX(Stores!$B:$B,MATCH(E1506,Stores!$A:$A,0)),"Unknown")</f>
        <v>TrendMart Thoothukudi High Street</v>
      </c>
      <c r="Y1506" t="str">
        <f>IFERROR(INDEX(Stores!$E:$E,MATCH(E1506,Stores!$A:$A,0)),"Unknown")</f>
        <v>South Zone 1</v>
      </c>
      <c r="Z1506" t="str">
        <f>IFERROR(INDEX(Customers!$J:$J,MATCH(C1506,Customers!$A:$A,0)),"Unknown")</f>
        <v>Regular</v>
      </c>
      <c r="AA1506" t="str">
        <f t="shared" si="23"/>
        <v>2024-11</v>
      </c>
      <c r="AB1506" t="str">
        <f>IFERROR(INDEX(Products!$I:$I,MATCH(D1506,Products!$A:$A,0)),"Unknown")</f>
        <v>SUP039</v>
      </c>
    </row>
    <row r="1507" spans="1:28" x14ac:dyDescent="0.25">
      <c r="A1507" t="s">
        <v>3401</v>
      </c>
      <c r="B1507" s="20">
        <v>45531</v>
      </c>
      <c r="C1507" t="s">
        <v>3040</v>
      </c>
      <c r="D1507" t="s">
        <v>646</v>
      </c>
      <c r="E1507" t="s">
        <v>914</v>
      </c>
      <c r="F1507" t="s">
        <v>403</v>
      </c>
      <c r="G1507">
        <v>1</v>
      </c>
      <c r="H1507" s="21">
        <v>812.05</v>
      </c>
      <c r="I1507">
        <v>30</v>
      </c>
      <c r="J1507" s="21">
        <v>243.62</v>
      </c>
      <c r="K1507">
        <v>5</v>
      </c>
      <c r="L1507" s="21">
        <v>28.42</v>
      </c>
      <c r="M1507" s="21">
        <v>596.85</v>
      </c>
      <c r="N1507" s="21">
        <v>512.11</v>
      </c>
      <c r="O1507" s="21">
        <v>56.32</v>
      </c>
      <c r="P1507" t="s">
        <v>125</v>
      </c>
      <c r="Q1507" t="s">
        <v>122</v>
      </c>
      <c r="R1507" t="s">
        <v>151</v>
      </c>
      <c r="S1507" t="s">
        <v>1938</v>
      </c>
      <c r="T1507" t="s">
        <v>153</v>
      </c>
      <c r="U1507" t="s">
        <v>154</v>
      </c>
      <c r="V1507" t="str">
        <f>IFERROR(INDEX(Products!$C:$C,MATCH(D1507,Products!$A:$A,0)),"Unknown")</f>
        <v>Sportswear</v>
      </c>
      <c r="W1507" t="str">
        <f>IFERROR(INDEX(Products!$E:$E,MATCH(D1507,Products!$A:$A,0)),"Unknown")</f>
        <v>Fabindia</v>
      </c>
      <c r="X1507" t="str">
        <f>IFERROR(INDEX(Stores!$B:$B,MATCH(E1507,Stores!$A:$A,0)),"Unknown")</f>
        <v>TrendMart Thiruvananthapuram Outlet</v>
      </c>
      <c r="Y1507" t="str">
        <f>IFERROR(INDEX(Stores!$E:$E,MATCH(E1507,Stores!$A:$A,0)),"Unknown")</f>
        <v>South Zone 1</v>
      </c>
      <c r="Z1507" t="str">
        <f>IFERROR(INDEX(Customers!$J:$J,MATCH(C1507,Customers!$A:$A,0)),"Unknown")</f>
        <v>Platinum</v>
      </c>
      <c r="AA1507" t="str">
        <f t="shared" si="23"/>
        <v>2024-08</v>
      </c>
      <c r="AB1507" t="str">
        <f>IFERROR(INDEX(Products!$I:$I,MATCH(D1507,Products!$A:$A,0)),"Unknown")</f>
        <v>SUP087</v>
      </c>
    </row>
    <row r="1508" spans="1:28" x14ac:dyDescent="0.25">
      <c r="A1508" t="s">
        <v>3402</v>
      </c>
      <c r="B1508" s="20">
        <v>45403</v>
      </c>
      <c r="C1508" t="s">
        <v>933</v>
      </c>
      <c r="D1508" t="s">
        <v>205</v>
      </c>
      <c r="E1508" t="s">
        <v>158</v>
      </c>
      <c r="F1508" t="s">
        <v>201</v>
      </c>
      <c r="G1508">
        <v>1</v>
      </c>
      <c r="H1508" s="21">
        <v>1058.76</v>
      </c>
      <c r="I1508">
        <v>15</v>
      </c>
      <c r="J1508" s="21">
        <v>158.81</v>
      </c>
      <c r="K1508">
        <v>12</v>
      </c>
      <c r="L1508" s="21">
        <v>107.99</v>
      </c>
      <c r="M1508" s="21">
        <v>1007.94</v>
      </c>
      <c r="N1508" s="21">
        <v>692.53</v>
      </c>
      <c r="O1508" s="21">
        <v>207.42</v>
      </c>
      <c r="P1508" t="s">
        <v>125</v>
      </c>
      <c r="Q1508" t="s">
        <v>120</v>
      </c>
      <c r="R1508" t="s">
        <v>151</v>
      </c>
      <c r="S1508" t="s">
        <v>753</v>
      </c>
      <c r="T1508" t="s">
        <v>161</v>
      </c>
      <c r="U1508" t="s">
        <v>154</v>
      </c>
      <c r="V1508" t="str">
        <f>IFERROR(INDEX(Products!$C:$C,MATCH(D1508,Products!$A:$A,0)),"Unknown")</f>
        <v>Women Jeans</v>
      </c>
      <c r="W1508" t="str">
        <f>IFERROR(INDEX(Products!$E:$E,MATCH(D1508,Products!$A:$A,0)),"Unknown")</f>
        <v>Sonata</v>
      </c>
      <c r="X1508" t="str">
        <f>IFERROR(INDEX(Stores!$B:$B,MATCH(E1508,Stores!$A:$A,0)),"Unknown")</f>
        <v>TrendMart Tirunelveli High Street</v>
      </c>
      <c r="Y1508" t="str">
        <f>IFERROR(INDEX(Stores!$E:$E,MATCH(E1508,Stores!$A:$A,0)),"Unknown")</f>
        <v>South Zone 1</v>
      </c>
      <c r="Z1508" t="str">
        <f>IFERROR(INDEX(Customers!$J:$J,MATCH(C1508,Customers!$A:$A,0)),"Unknown")</f>
        <v>Silver</v>
      </c>
      <c r="AA1508" t="str">
        <f t="shared" si="23"/>
        <v>2024-04</v>
      </c>
      <c r="AB1508" t="str">
        <f>IFERROR(INDEX(Products!$I:$I,MATCH(D1508,Products!$A:$A,0)),"Unknown")</f>
        <v>SUP014</v>
      </c>
    </row>
    <row r="1509" spans="1:28" x14ac:dyDescent="0.25">
      <c r="A1509" t="s">
        <v>3403</v>
      </c>
      <c r="B1509" s="20">
        <v>45416</v>
      </c>
      <c r="C1509" t="s">
        <v>3404</v>
      </c>
      <c r="D1509" t="s">
        <v>157</v>
      </c>
      <c r="E1509" t="s">
        <v>1017</v>
      </c>
      <c r="F1509" t="s">
        <v>195</v>
      </c>
      <c r="G1509">
        <v>1</v>
      </c>
      <c r="H1509" s="21">
        <v>860.2</v>
      </c>
      <c r="I1509">
        <v>20</v>
      </c>
      <c r="J1509" s="21">
        <v>172.04</v>
      </c>
      <c r="K1509">
        <v>5</v>
      </c>
      <c r="L1509" s="21">
        <v>34.409999999999997</v>
      </c>
      <c r="M1509" s="21">
        <v>722.57</v>
      </c>
      <c r="N1509" s="21">
        <v>492.11</v>
      </c>
      <c r="O1509" s="21">
        <v>196.05</v>
      </c>
      <c r="P1509" t="s">
        <v>125</v>
      </c>
      <c r="Q1509" t="s">
        <v>120</v>
      </c>
      <c r="R1509" t="s">
        <v>151</v>
      </c>
      <c r="S1509" t="s">
        <v>2922</v>
      </c>
      <c r="T1509" t="s">
        <v>161</v>
      </c>
      <c r="U1509" t="s">
        <v>154</v>
      </c>
      <c r="V1509" t="str">
        <f>IFERROR(INDEX(Products!$C:$C,MATCH(D1509,Products!$A:$A,0)),"Unknown")</f>
        <v>Men T-Shirts</v>
      </c>
      <c r="W1509" t="str">
        <f>IFERROR(INDEX(Products!$E:$E,MATCH(D1509,Products!$A:$A,0)),"Unknown")</f>
        <v>Reebok</v>
      </c>
      <c r="X1509" t="str">
        <f>IFERROR(INDEX(Stores!$B:$B,MATCH(E1509,Stores!$A:$A,0)),"Unknown")</f>
        <v>TrendMart Mangaluru Standard</v>
      </c>
      <c r="Y1509" t="str">
        <f>IFERROR(INDEX(Stores!$E:$E,MATCH(E1509,Stores!$A:$A,0)),"Unknown")</f>
        <v>South Zone 2</v>
      </c>
      <c r="Z1509" t="str">
        <f>IFERROR(INDEX(Customers!$J:$J,MATCH(C1509,Customers!$A:$A,0)),"Unknown")</f>
        <v>Regular</v>
      </c>
      <c r="AA1509" t="str">
        <f t="shared" si="23"/>
        <v>2024-05</v>
      </c>
      <c r="AB1509" t="str">
        <f>IFERROR(INDEX(Products!$I:$I,MATCH(D1509,Products!$A:$A,0)),"Unknown")</f>
        <v>SUP073</v>
      </c>
    </row>
    <row r="1510" spans="1:28" x14ac:dyDescent="0.25">
      <c r="A1510" t="s">
        <v>3405</v>
      </c>
      <c r="B1510" s="20">
        <v>45743</v>
      </c>
      <c r="C1510" t="s">
        <v>480</v>
      </c>
      <c r="D1510" t="s">
        <v>814</v>
      </c>
      <c r="E1510" t="s">
        <v>98</v>
      </c>
      <c r="F1510" t="s">
        <v>397</v>
      </c>
      <c r="G1510">
        <v>4</v>
      </c>
      <c r="H1510" s="21">
        <v>601.11</v>
      </c>
      <c r="I1510">
        <v>5</v>
      </c>
      <c r="J1510" s="21">
        <v>120.22</v>
      </c>
      <c r="K1510">
        <v>5</v>
      </c>
      <c r="L1510" s="21">
        <v>114.21</v>
      </c>
      <c r="M1510" s="21">
        <v>2398.4299999999998</v>
      </c>
      <c r="N1510" s="21">
        <v>1458.44</v>
      </c>
      <c r="O1510" s="21">
        <v>825.78</v>
      </c>
      <c r="P1510" t="s">
        <v>121</v>
      </c>
      <c r="Q1510" t="s">
        <v>120</v>
      </c>
      <c r="R1510" t="s">
        <v>151</v>
      </c>
      <c r="S1510" t="s">
        <v>690</v>
      </c>
      <c r="T1510" t="s">
        <v>153</v>
      </c>
      <c r="U1510" t="s">
        <v>154</v>
      </c>
      <c r="V1510" t="str">
        <f>IFERROR(INDEX(Products!$C:$C,MATCH(D1510,Products!$A:$A,0)),"Unknown")</f>
        <v>Men T-Shirts</v>
      </c>
      <c r="W1510" t="str">
        <f>IFERROR(INDEX(Products!$E:$E,MATCH(D1510,Products!$A:$A,0)),"Unknown")</f>
        <v>Woodland</v>
      </c>
      <c r="X1510" t="str">
        <f>IFERROR(INDEX(Stores!$B:$B,MATCH(E1510,Stores!$A:$A,0)),"Unknown")</f>
        <v>TrendMart Bengaluru Flagship</v>
      </c>
      <c r="Y1510" t="str">
        <f>IFERROR(INDEX(Stores!$E:$E,MATCH(E1510,Stores!$A:$A,0)),"Unknown")</f>
        <v>South Zone 2</v>
      </c>
      <c r="Z1510" t="str">
        <f>IFERROR(INDEX(Customers!$J:$J,MATCH(C1510,Customers!$A:$A,0)),"Unknown")</f>
        <v>Silver</v>
      </c>
      <c r="AA1510" t="str">
        <f t="shared" si="23"/>
        <v>2025-03</v>
      </c>
      <c r="AB1510" t="str">
        <f>IFERROR(INDEX(Products!$I:$I,MATCH(D1510,Products!$A:$A,0)),"Unknown")</f>
        <v>SUP051</v>
      </c>
    </row>
    <row r="1511" spans="1:28" x14ac:dyDescent="0.25">
      <c r="A1511" t="s">
        <v>3406</v>
      </c>
      <c r="B1511" s="20">
        <v>45597</v>
      </c>
      <c r="C1511" t="s">
        <v>3407</v>
      </c>
      <c r="D1511" t="s">
        <v>947</v>
      </c>
      <c r="E1511" t="s">
        <v>741</v>
      </c>
      <c r="F1511" t="s">
        <v>281</v>
      </c>
      <c r="G1511">
        <v>1</v>
      </c>
      <c r="H1511" s="21">
        <v>791.16</v>
      </c>
      <c r="I1511">
        <v>0</v>
      </c>
      <c r="J1511" s="21">
        <v>0</v>
      </c>
      <c r="K1511">
        <v>5</v>
      </c>
      <c r="L1511" s="21">
        <v>39.56</v>
      </c>
      <c r="M1511" s="21">
        <v>830.72</v>
      </c>
      <c r="N1511" s="21">
        <v>569.35</v>
      </c>
      <c r="O1511" s="21">
        <v>221.81</v>
      </c>
      <c r="P1511" t="s">
        <v>121</v>
      </c>
      <c r="Q1511" t="s">
        <v>120</v>
      </c>
      <c r="R1511" t="s">
        <v>151</v>
      </c>
      <c r="S1511" t="s">
        <v>1228</v>
      </c>
      <c r="T1511" t="s">
        <v>153</v>
      </c>
      <c r="U1511" t="s">
        <v>154</v>
      </c>
      <c r="V1511" t="str">
        <f>IFERROR(INDEX(Products!$C:$C,MATCH(D1511,Products!$A:$A,0)),"Unknown")</f>
        <v>Women Kurtis</v>
      </c>
      <c r="W1511" t="str">
        <f>IFERROR(INDEX(Products!$E:$E,MATCH(D1511,Products!$A:$A,0)),"Unknown")</f>
        <v>Sonata</v>
      </c>
      <c r="X1511" t="str">
        <f>IFERROR(INDEX(Stores!$B:$B,MATCH(E1511,Stores!$A:$A,0)),"Unknown")</f>
        <v>TrendMart Nellore Mall Kiosk</v>
      </c>
      <c r="Y1511" t="str">
        <f>IFERROR(INDEX(Stores!$E:$E,MATCH(E1511,Stores!$A:$A,0)),"Unknown")</f>
        <v>South Zone 3</v>
      </c>
      <c r="Z1511" t="str">
        <f>IFERROR(INDEX(Customers!$J:$J,MATCH(C1511,Customers!$A:$A,0)),"Unknown")</f>
        <v>Silver</v>
      </c>
      <c r="AA1511" t="str">
        <f t="shared" si="23"/>
        <v>2024-11</v>
      </c>
      <c r="AB1511" t="str">
        <f>IFERROR(INDEX(Products!$I:$I,MATCH(D1511,Products!$A:$A,0)),"Unknown")</f>
        <v>SUP001</v>
      </c>
    </row>
    <row r="1512" spans="1:28" x14ac:dyDescent="0.25">
      <c r="A1512" t="s">
        <v>3408</v>
      </c>
      <c r="B1512" s="20">
        <v>45439</v>
      </c>
      <c r="C1512" t="s">
        <v>1284</v>
      </c>
      <c r="D1512" t="s">
        <v>996</v>
      </c>
      <c r="E1512" t="s">
        <v>363</v>
      </c>
      <c r="F1512" t="s">
        <v>574</v>
      </c>
      <c r="G1512">
        <v>2</v>
      </c>
      <c r="H1512" s="21">
        <v>1929.31</v>
      </c>
      <c r="I1512">
        <v>0</v>
      </c>
      <c r="J1512" s="21">
        <v>0</v>
      </c>
      <c r="K1512">
        <v>12</v>
      </c>
      <c r="L1512" s="21">
        <v>463.03</v>
      </c>
      <c r="M1512" s="21">
        <v>4321.6499999999996</v>
      </c>
      <c r="N1512" s="21">
        <v>2861.14</v>
      </c>
      <c r="O1512" s="21">
        <v>997.48</v>
      </c>
      <c r="P1512" t="s">
        <v>125</v>
      </c>
      <c r="Q1512" t="s">
        <v>120</v>
      </c>
      <c r="R1512" t="s">
        <v>151</v>
      </c>
      <c r="S1512" t="s">
        <v>3409</v>
      </c>
      <c r="T1512" t="s">
        <v>153</v>
      </c>
      <c r="U1512" t="s">
        <v>154</v>
      </c>
      <c r="V1512" t="str">
        <f>IFERROR(INDEX(Products!$C:$C,MATCH(D1512,Products!$A:$A,0)),"Unknown")</f>
        <v>Men Ethnic</v>
      </c>
      <c r="W1512" t="str">
        <f>IFERROR(INDEX(Products!$E:$E,MATCH(D1512,Products!$A:$A,0)),"Unknown")</f>
        <v>Liberty</v>
      </c>
      <c r="X1512" t="str">
        <f>IFERROR(INDEX(Stores!$B:$B,MATCH(E1512,Stores!$A:$A,0)),"Unknown")</f>
        <v>TrendMart Thiruvananthapuram High Street</v>
      </c>
      <c r="Y1512" t="str">
        <f>IFERROR(INDEX(Stores!$E:$E,MATCH(E1512,Stores!$A:$A,0)),"Unknown")</f>
        <v>South Zone 1</v>
      </c>
      <c r="Z1512" t="str">
        <f>IFERROR(INDEX(Customers!$J:$J,MATCH(C1512,Customers!$A:$A,0)),"Unknown")</f>
        <v>Regular</v>
      </c>
      <c r="AA1512" t="str">
        <f t="shared" si="23"/>
        <v>2024-05</v>
      </c>
      <c r="AB1512" t="str">
        <f>IFERROR(INDEX(Products!$I:$I,MATCH(D1512,Products!$A:$A,0)),"Unknown")</f>
        <v>SUP046</v>
      </c>
    </row>
    <row r="1513" spans="1:28" x14ac:dyDescent="0.25">
      <c r="A1513" t="s">
        <v>3410</v>
      </c>
      <c r="B1513" s="20">
        <v>45740</v>
      </c>
      <c r="C1513" t="s">
        <v>2858</v>
      </c>
      <c r="D1513" t="s">
        <v>1476</v>
      </c>
      <c r="E1513" t="s">
        <v>639</v>
      </c>
      <c r="F1513" t="s">
        <v>221</v>
      </c>
      <c r="G1513">
        <v>1</v>
      </c>
      <c r="H1513" s="21">
        <v>801.22</v>
      </c>
      <c r="I1513">
        <v>30</v>
      </c>
      <c r="J1513" s="21">
        <v>240.37</v>
      </c>
      <c r="K1513">
        <v>5</v>
      </c>
      <c r="L1513" s="21">
        <v>28.04</v>
      </c>
      <c r="M1513" s="21">
        <v>588.89</v>
      </c>
      <c r="N1513" s="21">
        <v>585.26</v>
      </c>
      <c r="O1513" s="21">
        <v>-24.41</v>
      </c>
      <c r="P1513" t="s">
        <v>124</v>
      </c>
      <c r="Q1513" t="s">
        <v>120</v>
      </c>
      <c r="R1513" t="s">
        <v>151</v>
      </c>
      <c r="S1513" t="s">
        <v>580</v>
      </c>
      <c r="T1513" t="s">
        <v>153</v>
      </c>
      <c r="U1513" t="s">
        <v>184</v>
      </c>
      <c r="V1513" t="str">
        <f>IFERROR(INDEX(Products!$C:$C,MATCH(D1513,Products!$A:$A,0)),"Unknown")</f>
        <v>Men Trousers</v>
      </c>
      <c r="W1513" t="str">
        <f>IFERROR(INDEX(Products!$E:$E,MATCH(D1513,Products!$A:$A,0)),"Unknown")</f>
        <v>Van Heusen</v>
      </c>
      <c r="X1513" t="str">
        <f>IFERROR(INDEX(Stores!$B:$B,MATCH(E1513,Stores!$A:$A,0)),"Unknown")</f>
        <v>TrendMart Kurnool Outlet</v>
      </c>
      <c r="Y1513" t="str">
        <f>IFERROR(INDEX(Stores!$E:$E,MATCH(E1513,Stores!$A:$A,0)),"Unknown")</f>
        <v>South Zone 3</v>
      </c>
      <c r="Z1513" t="str">
        <f>IFERROR(INDEX(Customers!$J:$J,MATCH(C1513,Customers!$A:$A,0)),"Unknown")</f>
        <v>Regular</v>
      </c>
      <c r="AA1513" t="str">
        <f t="shared" si="23"/>
        <v>2025-03</v>
      </c>
      <c r="AB1513" t="str">
        <f>IFERROR(INDEX(Products!$I:$I,MATCH(D1513,Products!$A:$A,0)),"Unknown")</f>
        <v>SUP012</v>
      </c>
    </row>
    <row r="1514" spans="1:28" x14ac:dyDescent="0.25">
      <c r="A1514" t="s">
        <v>3411</v>
      </c>
      <c r="B1514" s="20">
        <v>45479</v>
      </c>
      <c r="C1514" t="s">
        <v>995</v>
      </c>
      <c r="D1514" t="s">
        <v>1156</v>
      </c>
      <c r="E1514" t="s">
        <v>578</v>
      </c>
      <c r="F1514" t="s">
        <v>242</v>
      </c>
      <c r="G1514">
        <v>1</v>
      </c>
      <c r="H1514" s="21">
        <v>640.54</v>
      </c>
      <c r="I1514">
        <v>0</v>
      </c>
      <c r="J1514" s="21">
        <v>0</v>
      </c>
      <c r="K1514">
        <v>5</v>
      </c>
      <c r="L1514" s="21">
        <v>32.03</v>
      </c>
      <c r="M1514" s="21">
        <v>672.57</v>
      </c>
      <c r="N1514" s="21">
        <v>509.44</v>
      </c>
      <c r="O1514" s="21">
        <v>131.1</v>
      </c>
      <c r="P1514" t="s">
        <v>126</v>
      </c>
      <c r="Q1514" t="s">
        <v>120</v>
      </c>
      <c r="R1514" t="s">
        <v>151</v>
      </c>
      <c r="S1514" t="s">
        <v>643</v>
      </c>
      <c r="T1514" t="s">
        <v>161</v>
      </c>
      <c r="U1514" t="s">
        <v>154</v>
      </c>
      <c r="V1514" t="str">
        <f>IFERROR(INDEX(Products!$C:$C,MATCH(D1514,Products!$A:$A,0)),"Unknown")</f>
        <v>Kids Wear</v>
      </c>
      <c r="W1514" t="str">
        <f>IFERROR(INDEX(Products!$E:$E,MATCH(D1514,Products!$A:$A,0)),"Unknown")</f>
        <v>Allen Solly</v>
      </c>
      <c r="X1514" t="str">
        <f>IFERROR(INDEX(Stores!$B:$B,MATCH(E1514,Stores!$A:$A,0)),"Unknown")</f>
        <v>TrendMart Vellore Standard</v>
      </c>
      <c r="Y1514" t="str">
        <f>IFERROR(INDEX(Stores!$E:$E,MATCH(E1514,Stores!$A:$A,0)),"Unknown")</f>
        <v>South Zone 1</v>
      </c>
      <c r="Z1514" t="str">
        <f>IFERROR(INDEX(Customers!$J:$J,MATCH(C1514,Customers!$A:$A,0)),"Unknown")</f>
        <v>Silver</v>
      </c>
      <c r="AA1514" t="str">
        <f t="shared" si="23"/>
        <v>2024-07</v>
      </c>
      <c r="AB1514" t="str">
        <f>IFERROR(INDEX(Products!$I:$I,MATCH(D1514,Products!$A:$A,0)),"Unknown")</f>
        <v>SUP026</v>
      </c>
    </row>
    <row r="1515" spans="1:28" x14ac:dyDescent="0.25">
      <c r="A1515" t="s">
        <v>3412</v>
      </c>
      <c r="B1515" s="20">
        <v>45566</v>
      </c>
      <c r="C1515" t="s">
        <v>1121</v>
      </c>
      <c r="D1515" t="s">
        <v>801</v>
      </c>
      <c r="E1515" t="s">
        <v>727</v>
      </c>
      <c r="F1515" t="s">
        <v>532</v>
      </c>
      <c r="G1515">
        <v>2</v>
      </c>
      <c r="H1515" s="21">
        <v>602.54</v>
      </c>
      <c r="I1515">
        <v>0</v>
      </c>
      <c r="J1515" s="21">
        <v>0</v>
      </c>
      <c r="K1515">
        <v>5</v>
      </c>
      <c r="L1515" s="21">
        <v>60.25</v>
      </c>
      <c r="M1515" s="21">
        <v>1265.33</v>
      </c>
      <c r="N1515" s="21">
        <v>849.52</v>
      </c>
      <c r="O1515" s="21">
        <v>355.56</v>
      </c>
      <c r="P1515" t="s">
        <v>121</v>
      </c>
      <c r="Q1515" t="s">
        <v>122</v>
      </c>
      <c r="R1515" t="s">
        <v>151</v>
      </c>
      <c r="S1515" t="s">
        <v>584</v>
      </c>
      <c r="T1515" t="s">
        <v>153</v>
      </c>
      <c r="U1515" t="s">
        <v>154</v>
      </c>
      <c r="V1515" t="str">
        <f>IFERROR(INDEX(Products!$C:$C,MATCH(D1515,Products!$A:$A,0)),"Unknown")</f>
        <v>Kids Wear</v>
      </c>
      <c r="W1515" t="str">
        <f>IFERROR(INDEX(Products!$E:$E,MATCH(D1515,Products!$A:$A,0)),"Unknown")</f>
        <v>Being Human</v>
      </c>
      <c r="X1515" t="str">
        <f>IFERROR(INDEX(Stores!$B:$B,MATCH(E1515,Stores!$A:$A,0)),"Unknown")</f>
        <v>TrendMart Nizamabad Standard</v>
      </c>
      <c r="Y1515" t="str">
        <f>IFERROR(INDEX(Stores!$E:$E,MATCH(E1515,Stores!$A:$A,0)),"Unknown")</f>
        <v>South Zone 2</v>
      </c>
      <c r="Z1515" t="str">
        <f>IFERROR(INDEX(Customers!$J:$J,MATCH(C1515,Customers!$A:$A,0)),"Unknown")</f>
        <v>Platinum</v>
      </c>
      <c r="AA1515" t="str">
        <f t="shared" si="23"/>
        <v>2024-10</v>
      </c>
      <c r="AB1515" t="str">
        <f>IFERROR(INDEX(Products!$I:$I,MATCH(D1515,Products!$A:$A,0)),"Unknown")</f>
        <v>SUP063</v>
      </c>
    </row>
    <row r="1516" spans="1:28" x14ac:dyDescent="0.25">
      <c r="A1516" t="s">
        <v>3413</v>
      </c>
      <c r="B1516" s="20">
        <v>45740</v>
      </c>
      <c r="C1516" t="s">
        <v>3414</v>
      </c>
      <c r="D1516" t="s">
        <v>2633</v>
      </c>
      <c r="E1516" t="s">
        <v>634</v>
      </c>
      <c r="F1516" t="s">
        <v>281</v>
      </c>
      <c r="G1516">
        <v>1</v>
      </c>
      <c r="H1516" s="21">
        <v>1050.17</v>
      </c>
      <c r="I1516">
        <v>0</v>
      </c>
      <c r="J1516" s="21">
        <v>0</v>
      </c>
      <c r="K1516">
        <v>12</v>
      </c>
      <c r="L1516" s="21">
        <v>126.02</v>
      </c>
      <c r="M1516" s="21">
        <v>1176.19</v>
      </c>
      <c r="N1516" s="21">
        <v>674.29</v>
      </c>
      <c r="O1516" s="21">
        <v>375.88</v>
      </c>
      <c r="P1516" t="s">
        <v>126</v>
      </c>
      <c r="Q1516" t="s">
        <v>122</v>
      </c>
      <c r="R1516" t="s">
        <v>151</v>
      </c>
      <c r="S1516" t="s">
        <v>3014</v>
      </c>
      <c r="T1516" t="s">
        <v>153</v>
      </c>
      <c r="U1516" t="s">
        <v>154</v>
      </c>
      <c r="V1516" t="str">
        <f>IFERROR(INDEX(Products!$C:$C,MATCH(D1516,Products!$A:$A,0)),"Unknown")</f>
        <v>Men Trousers</v>
      </c>
      <c r="W1516" t="str">
        <f>IFERROR(INDEX(Products!$E:$E,MATCH(D1516,Products!$A:$A,0)),"Unknown")</f>
        <v>Aurelia</v>
      </c>
      <c r="X1516" t="str">
        <f>IFERROR(INDEX(Stores!$B:$B,MATCH(E1516,Stores!$A:$A,0)),"Unknown")</f>
        <v>TrendMart Thrissur High Street</v>
      </c>
      <c r="Y1516" t="str">
        <f>IFERROR(INDEX(Stores!$E:$E,MATCH(E1516,Stores!$A:$A,0)),"Unknown")</f>
        <v>South Zone 1</v>
      </c>
      <c r="Z1516" t="str">
        <f>IFERROR(INDEX(Customers!$J:$J,MATCH(C1516,Customers!$A:$A,0)),"Unknown")</f>
        <v>Platinum</v>
      </c>
      <c r="AA1516" t="str">
        <f t="shared" si="23"/>
        <v>2025-03</v>
      </c>
      <c r="AB1516" t="str">
        <f>IFERROR(INDEX(Products!$I:$I,MATCH(D1516,Products!$A:$A,0)),"Unknown")</f>
        <v>SUP031</v>
      </c>
    </row>
    <row r="1517" spans="1:28" x14ac:dyDescent="0.25">
      <c r="A1517" t="s">
        <v>3415</v>
      </c>
      <c r="B1517" s="20">
        <v>45502</v>
      </c>
      <c r="C1517" t="s">
        <v>933</v>
      </c>
      <c r="D1517" t="s">
        <v>2294</v>
      </c>
      <c r="E1517" t="s">
        <v>268</v>
      </c>
      <c r="F1517" t="s">
        <v>176</v>
      </c>
      <c r="G1517">
        <v>3</v>
      </c>
      <c r="H1517" s="21">
        <v>1481.82</v>
      </c>
      <c r="I1517">
        <v>15</v>
      </c>
      <c r="J1517" s="21">
        <v>666.82</v>
      </c>
      <c r="K1517">
        <v>12</v>
      </c>
      <c r="L1517" s="21">
        <v>453.44</v>
      </c>
      <c r="M1517" s="21">
        <v>4232.08</v>
      </c>
      <c r="N1517" s="21">
        <v>3022.95</v>
      </c>
      <c r="O1517" s="21">
        <v>755.69</v>
      </c>
      <c r="P1517" t="s">
        <v>124</v>
      </c>
      <c r="Q1517" t="s">
        <v>120</v>
      </c>
      <c r="R1517" t="s">
        <v>151</v>
      </c>
      <c r="S1517" t="s">
        <v>364</v>
      </c>
      <c r="T1517" t="s">
        <v>153</v>
      </c>
      <c r="U1517" t="s">
        <v>154</v>
      </c>
      <c r="V1517" t="str">
        <f>IFERROR(INDEX(Products!$C:$C,MATCH(D1517,Products!$A:$A,0)),"Unknown")</f>
        <v>Men Jeans</v>
      </c>
      <c r="W1517" t="str">
        <f>IFERROR(INDEX(Products!$E:$E,MATCH(D1517,Products!$A:$A,0)),"Unknown")</f>
        <v>Westside</v>
      </c>
      <c r="X1517" t="str">
        <f>IFERROR(INDEX(Stores!$B:$B,MATCH(E1517,Stores!$A:$A,0)),"Unknown")</f>
        <v>TrendMart Kochi High Street</v>
      </c>
      <c r="Y1517" t="str">
        <f>IFERROR(INDEX(Stores!$E:$E,MATCH(E1517,Stores!$A:$A,0)),"Unknown")</f>
        <v>South Zone 1</v>
      </c>
      <c r="Z1517" t="str">
        <f>IFERROR(INDEX(Customers!$J:$J,MATCH(C1517,Customers!$A:$A,0)),"Unknown")</f>
        <v>Silver</v>
      </c>
      <c r="AA1517" t="str">
        <f t="shared" si="23"/>
        <v>2024-07</v>
      </c>
      <c r="AB1517" t="str">
        <f>IFERROR(INDEX(Products!$I:$I,MATCH(D1517,Products!$A:$A,0)),"Unknown")</f>
        <v>SUP009</v>
      </c>
    </row>
    <row r="1518" spans="1:28" x14ac:dyDescent="0.25">
      <c r="A1518" t="s">
        <v>3416</v>
      </c>
      <c r="B1518" s="20">
        <v>45576</v>
      </c>
      <c r="C1518" t="s">
        <v>1680</v>
      </c>
      <c r="D1518" t="s">
        <v>717</v>
      </c>
      <c r="E1518" t="s">
        <v>806</v>
      </c>
      <c r="F1518" t="s">
        <v>408</v>
      </c>
      <c r="G1518">
        <v>1</v>
      </c>
      <c r="H1518" s="21">
        <v>1651.33</v>
      </c>
      <c r="I1518">
        <v>10</v>
      </c>
      <c r="J1518" s="21">
        <v>165.13</v>
      </c>
      <c r="K1518">
        <v>12</v>
      </c>
      <c r="L1518" s="21">
        <v>178.34</v>
      </c>
      <c r="M1518" s="21">
        <v>1664.54</v>
      </c>
      <c r="N1518" s="21">
        <v>1133.27</v>
      </c>
      <c r="O1518" s="21">
        <v>352.93</v>
      </c>
      <c r="P1518" t="s">
        <v>124</v>
      </c>
      <c r="Q1518" t="s">
        <v>122</v>
      </c>
      <c r="R1518" t="s">
        <v>151</v>
      </c>
      <c r="S1518" t="s">
        <v>1583</v>
      </c>
      <c r="T1518" t="s">
        <v>153</v>
      </c>
      <c r="U1518" t="s">
        <v>154</v>
      </c>
      <c r="V1518" t="str">
        <f>IFERROR(INDEX(Products!$C:$C,MATCH(D1518,Products!$A:$A,0)),"Unknown")</f>
        <v>Women Dresses</v>
      </c>
      <c r="W1518" t="str">
        <f>IFERROR(INDEX(Products!$E:$E,MATCH(D1518,Products!$A:$A,0)),"Unknown")</f>
        <v>Pantaloons</v>
      </c>
      <c r="X1518" t="str">
        <f>IFERROR(INDEX(Stores!$B:$B,MATCH(E1518,Stores!$A:$A,0)),"Unknown")</f>
        <v>TrendMart Tirunelveli Flagship</v>
      </c>
      <c r="Y1518" t="str">
        <f>IFERROR(INDEX(Stores!$E:$E,MATCH(E1518,Stores!$A:$A,0)),"Unknown")</f>
        <v>South Zone 1</v>
      </c>
      <c r="Z1518" t="str">
        <f>IFERROR(INDEX(Customers!$J:$J,MATCH(C1518,Customers!$A:$A,0)),"Unknown")</f>
        <v>Regular</v>
      </c>
      <c r="AA1518" t="str">
        <f t="shared" si="23"/>
        <v>2024-10</v>
      </c>
      <c r="AB1518" t="str">
        <f>IFERROR(INDEX(Products!$I:$I,MATCH(D1518,Products!$A:$A,0)),"Unknown")</f>
        <v>SUP046</v>
      </c>
    </row>
    <row r="1519" spans="1:28" x14ac:dyDescent="0.25">
      <c r="A1519" t="s">
        <v>3417</v>
      </c>
      <c r="B1519" s="20">
        <v>45436</v>
      </c>
      <c r="C1519" t="s">
        <v>245</v>
      </c>
      <c r="D1519" t="s">
        <v>236</v>
      </c>
      <c r="E1519" t="s">
        <v>798</v>
      </c>
      <c r="F1519" t="s">
        <v>308</v>
      </c>
      <c r="G1519">
        <v>1</v>
      </c>
      <c r="H1519" s="21">
        <v>792.05</v>
      </c>
      <c r="I1519">
        <v>15</v>
      </c>
      <c r="J1519" s="21">
        <v>118.81</v>
      </c>
      <c r="K1519">
        <v>5</v>
      </c>
      <c r="L1519" s="21">
        <v>33.659999999999997</v>
      </c>
      <c r="M1519" s="21">
        <v>706.9</v>
      </c>
      <c r="N1519" s="21">
        <v>550.01</v>
      </c>
      <c r="O1519" s="21">
        <v>123.23</v>
      </c>
      <c r="P1519" t="s">
        <v>121</v>
      </c>
      <c r="Q1519" t="s">
        <v>122</v>
      </c>
      <c r="R1519" t="s">
        <v>151</v>
      </c>
      <c r="S1519" t="s">
        <v>2725</v>
      </c>
      <c r="T1519" t="s">
        <v>153</v>
      </c>
      <c r="U1519" t="s">
        <v>154</v>
      </c>
      <c r="V1519" t="str">
        <f>IFERROR(INDEX(Products!$C:$C,MATCH(D1519,Products!$A:$A,0)),"Unknown")</f>
        <v>Women Tops</v>
      </c>
      <c r="W1519" t="str">
        <f>IFERROR(INDEX(Products!$E:$E,MATCH(D1519,Products!$A:$A,0)),"Unknown")</f>
        <v>Nike</v>
      </c>
      <c r="X1519" t="str">
        <f>IFERROR(INDEX(Stores!$B:$B,MATCH(E1519,Stores!$A:$A,0)),"Unknown")</f>
        <v>TrendMart Guntur Standard</v>
      </c>
      <c r="Y1519" t="str">
        <f>IFERROR(INDEX(Stores!$E:$E,MATCH(E1519,Stores!$A:$A,0)),"Unknown")</f>
        <v>South Zone 3</v>
      </c>
      <c r="Z1519" t="str">
        <f>IFERROR(INDEX(Customers!$J:$J,MATCH(C1519,Customers!$A:$A,0)),"Unknown")</f>
        <v>Regular</v>
      </c>
      <c r="AA1519" t="str">
        <f t="shared" si="23"/>
        <v>2024-05</v>
      </c>
      <c r="AB1519" t="str">
        <f>IFERROR(INDEX(Products!$I:$I,MATCH(D1519,Products!$A:$A,0)),"Unknown")</f>
        <v>SUP075</v>
      </c>
    </row>
    <row r="1520" spans="1:28" x14ac:dyDescent="0.25">
      <c r="A1520" t="s">
        <v>3418</v>
      </c>
      <c r="B1520" s="20">
        <v>45624</v>
      </c>
      <c r="C1520" t="s">
        <v>3419</v>
      </c>
      <c r="D1520" t="s">
        <v>892</v>
      </c>
      <c r="E1520" t="s">
        <v>252</v>
      </c>
      <c r="F1520" t="s">
        <v>263</v>
      </c>
      <c r="G1520">
        <v>3</v>
      </c>
      <c r="H1520" s="21">
        <v>2528.23</v>
      </c>
      <c r="I1520">
        <v>15</v>
      </c>
      <c r="J1520" s="21">
        <v>1137.7</v>
      </c>
      <c r="K1520">
        <v>12</v>
      </c>
      <c r="L1520" s="21">
        <v>773.64</v>
      </c>
      <c r="M1520" s="21">
        <v>7220.63</v>
      </c>
      <c r="N1520" s="21">
        <v>5228.67</v>
      </c>
      <c r="O1520" s="21">
        <v>1218.32</v>
      </c>
      <c r="P1520" t="s">
        <v>123</v>
      </c>
      <c r="Q1520" t="s">
        <v>122</v>
      </c>
      <c r="R1520" t="s">
        <v>151</v>
      </c>
      <c r="S1520" t="s">
        <v>1293</v>
      </c>
      <c r="T1520" t="s">
        <v>153</v>
      </c>
      <c r="U1520" t="s">
        <v>154</v>
      </c>
      <c r="V1520" t="str">
        <f>IFERROR(INDEX(Products!$C:$C,MATCH(D1520,Products!$A:$A,0)),"Unknown")</f>
        <v>Men Ethnic</v>
      </c>
      <c r="W1520" t="str">
        <f>IFERROR(INDEX(Products!$E:$E,MATCH(D1520,Products!$A:$A,0)),"Unknown")</f>
        <v>Blackberrys</v>
      </c>
      <c r="X1520" t="str">
        <f>IFERROR(INDEX(Stores!$B:$B,MATCH(E1520,Stores!$A:$A,0)),"Unknown")</f>
        <v>TrendMart Nellore Standard</v>
      </c>
      <c r="Y1520" t="str">
        <f>IFERROR(INDEX(Stores!$E:$E,MATCH(E1520,Stores!$A:$A,0)),"Unknown")</f>
        <v>South Zone 3</v>
      </c>
      <c r="Z1520" t="str">
        <f>IFERROR(INDEX(Customers!$J:$J,MATCH(C1520,Customers!$A:$A,0)),"Unknown")</f>
        <v>Regular</v>
      </c>
      <c r="AA1520" t="str">
        <f t="shared" si="23"/>
        <v>2024-11</v>
      </c>
      <c r="AB1520" t="str">
        <f>IFERROR(INDEX(Products!$I:$I,MATCH(D1520,Products!$A:$A,0)),"Unknown")</f>
        <v>SUP084</v>
      </c>
    </row>
    <row r="1521" spans="1:28" x14ac:dyDescent="0.25">
      <c r="A1521" t="s">
        <v>3420</v>
      </c>
      <c r="B1521" s="20">
        <v>45728</v>
      </c>
      <c r="C1521" t="s">
        <v>3282</v>
      </c>
      <c r="D1521" t="s">
        <v>2264</v>
      </c>
      <c r="E1521" t="s">
        <v>1442</v>
      </c>
      <c r="F1521" t="s">
        <v>377</v>
      </c>
      <c r="G1521">
        <v>1</v>
      </c>
      <c r="H1521" s="21">
        <v>1062.33</v>
      </c>
      <c r="I1521">
        <v>15</v>
      </c>
      <c r="J1521" s="21">
        <v>159.35</v>
      </c>
      <c r="K1521">
        <v>12</v>
      </c>
      <c r="L1521" s="21">
        <v>108.36</v>
      </c>
      <c r="M1521" s="21">
        <v>1011.34</v>
      </c>
      <c r="N1521" s="21">
        <v>753.73</v>
      </c>
      <c r="O1521" s="21">
        <v>149.25</v>
      </c>
      <c r="P1521" t="s">
        <v>125</v>
      </c>
      <c r="Q1521" t="s">
        <v>120</v>
      </c>
      <c r="R1521" t="s">
        <v>151</v>
      </c>
      <c r="S1521" t="s">
        <v>3421</v>
      </c>
      <c r="T1521" t="s">
        <v>153</v>
      </c>
      <c r="U1521" t="s">
        <v>154</v>
      </c>
      <c r="V1521" t="str">
        <f>IFERROR(INDEX(Products!$C:$C,MATCH(D1521,Products!$A:$A,0)),"Unknown")</f>
        <v>Belts</v>
      </c>
      <c r="W1521" t="str">
        <f>IFERROR(INDEX(Products!$E:$E,MATCH(D1521,Products!$A:$A,0)),"Unknown")</f>
        <v>Liberty</v>
      </c>
      <c r="X1521" t="str">
        <f>IFERROR(INDEX(Stores!$B:$B,MATCH(E1521,Stores!$A:$A,0)),"Unknown")</f>
        <v>TrendMart Vellore High Street</v>
      </c>
      <c r="Y1521" t="str">
        <f>IFERROR(INDEX(Stores!$E:$E,MATCH(E1521,Stores!$A:$A,0)),"Unknown")</f>
        <v>South Zone 1</v>
      </c>
      <c r="Z1521" t="str">
        <f>IFERROR(INDEX(Customers!$J:$J,MATCH(C1521,Customers!$A:$A,0)),"Unknown")</f>
        <v>Regular</v>
      </c>
      <c r="AA1521" t="str">
        <f t="shared" si="23"/>
        <v>2025-03</v>
      </c>
      <c r="AB1521" t="str">
        <f>IFERROR(INDEX(Products!$I:$I,MATCH(D1521,Products!$A:$A,0)),"Unknown")</f>
        <v>SUP063</v>
      </c>
    </row>
    <row r="1522" spans="1:28" x14ac:dyDescent="0.25">
      <c r="A1522" t="s">
        <v>3422</v>
      </c>
      <c r="B1522" s="20">
        <v>45636</v>
      </c>
      <c r="C1522" t="s">
        <v>3423</v>
      </c>
      <c r="D1522" t="s">
        <v>573</v>
      </c>
      <c r="E1522" t="s">
        <v>490</v>
      </c>
      <c r="F1522" t="s">
        <v>269</v>
      </c>
      <c r="G1522">
        <v>1</v>
      </c>
      <c r="H1522" s="21">
        <v>1053.6300000000001</v>
      </c>
      <c r="I1522">
        <v>10</v>
      </c>
      <c r="J1522" s="21">
        <v>105.36</v>
      </c>
      <c r="K1522">
        <v>12</v>
      </c>
      <c r="L1522" s="21">
        <v>113.79</v>
      </c>
      <c r="M1522" s="21">
        <v>1062.06</v>
      </c>
      <c r="N1522" s="21">
        <v>720.53</v>
      </c>
      <c r="O1522" s="21">
        <v>227.74</v>
      </c>
      <c r="P1522" t="s">
        <v>121</v>
      </c>
      <c r="Q1522" t="s">
        <v>120</v>
      </c>
      <c r="R1522" t="s">
        <v>151</v>
      </c>
      <c r="S1522" t="s">
        <v>2904</v>
      </c>
      <c r="T1522" t="s">
        <v>153</v>
      </c>
      <c r="U1522" t="s">
        <v>154</v>
      </c>
      <c r="V1522" t="str">
        <f>IFERROR(INDEX(Products!$C:$C,MATCH(D1522,Products!$A:$A,0)),"Unknown")</f>
        <v>Women Jeans</v>
      </c>
      <c r="W1522" t="str">
        <f>IFERROR(INDEX(Products!$E:$E,MATCH(D1522,Products!$A:$A,0)),"Unknown")</f>
        <v>Sonata</v>
      </c>
      <c r="X1522" t="str">
        <f>IFERROR(INDEX(Stores!$B:$B,MATCH(E1522,Stores!$A:$A,0)),"Unknown")</f>
        <v>TrendMart Mangaluru Mall Kiosk</v>
      </c>
      <c r="Y1522" t="str">
        <f>IFERROR(INDEX(Stores!$E:$E,MATCH(E1522,Stores!$A:$A,0)),"Unknown")</f>
        <v>South Zone 2</v>
      </c>
      <c r="Z1522" t="str">
        <f>IFERROR(INDEX(Customers!$J:$J,MATCH(C1522,Customers!$A:$A,0)),"Unknown")</f>
        <v>Silver</v>
      </c>
      <c r="AA1522" t="str">
        <f t="shared" si="23"/>
        <v>2024-12</v>
      </c>
      <c r="AB1522" t="str">
        <f>IFERROR(INDEX(Products!$I:$I,MATCH(D1522,Products!$A:$A,0)),"Unknown")</f>
        <v>SUP017</v>
      </c>
    </row>
    <row r="1523" spans="1:28" x14ac:dyDescent="0.25">
      <c r="A1523" t="s">
        <v>3424</v>
      </c>
      <c r="B1523" s="20">
        <v>45740</v>
      </c>
      <c r="C1523" t="s">
        <v>1067</v>
      </c>
      <c r="D1523" t="s">
        <v>1256</v>
      </c>
      <c r="E1523" t="s">
        <v>741</v>
      </c>
      <c r="F1523" t="s">
        <v>221</v>
      </c>
      <c r="G1523">
        <v>2</v>
      </c>
      <c r="H1523" s="21">
        <v>841.52</v>
      </c>
      <c r="I1523">
        <v>30</v>
      </c>
      <c r="J1523" s="21">
        <v>504.91</v>
      </c>
      <c r="K1523">
        <v>5</v>
      </c>
      <c r="L1523" s="21">
        <v>58.91</v>
      </c>
      <c r="M1523" s="21">
        <v>1237.04</v>
      </c>
      <c r="N1523" s="21">
        <v>1274.54</v>
      </c>
      <c r="O1523" s="21">
        <v>-96.41</v>
      </c>
      <c r="P1523" t="s">
        <v>126</v>
      </c>
      <c r="Q1523" t="s">
        <v>122</v>
      </c>
      <c r="R1523" t="s">
        <v>151</v>
      </c>
      <c r="S1523" t="s">
        <v>3425</v>
      </c>
      <c r="T1523" t="s">
        <v>153</v>
      </c>
      <c r="U1523" t="s">
        <v>184</v>
      </c>
      <c r="V1523" t="str">
        <f>IFERROR(INDEX(Products!$C:$C,MATCH(D1523,Products!$A:$A,0)),"Unknown")</f>
        <v>Women Jeans</v>
      </c>
      <c r="W1523" t="str">
        <f>IFERROR(INDEX(Products!$E:$E,MATCH(D1523,Products!$A:$A,0)),"Unknown")</f>
        <v>Biba</v>
      </c>
      <c r="X1523" t="str">
        <f>IFERROR(INDEX(Stores!$B:$B,MATCH(E1523,Stores!$A:$A,0)),"Unknown")</f>
        <v>TrendMart Nellore Mall Kiosk</v>
      </c>
      <c r="Y1523" t="str">
        <f>IFERROR(INDEX(Stores!$E:$E,MATCH(E1523,Stores!$A:$A,0)),"Unknown")</f>
        <v>South Zone 3</v>
      </c>
      <c r="Z1523" t="str">
        <f>IFERROR(INDEX(Customers!$J:$J,MATCH(C1523,Customers!$A:$A,0)),"Unknown")</f>
        <v>Gold</v>
      </c>
      <c r="AA1523" t="str">
        <f t="shared" si="23"/>
        <v>2025-03</v>
      </c>
      <c r="AB1523" t="str">
        <f>IFERROR(INDEX(Products!$I:$I,MATCH(D1523,Products!$A:$A,0)),"Unknown")</f>
        <v>SUP040</v>
      </c>
    </row>
    <row r="1524" spans="1:28" x14ac:dyDescent="0.25">
      <c r="A1524" t="s">
        <v>3426</v>
      </c>
      <c r="B1524" s="20">
        <v>45438</v>
      </c>
      <c r="C1524" t="s">
        <v>306</v>
      </c>
      <c r="D1524" t="s">
        <v>1813</v>
      </c>
      <c r="E1524" t="s">
        <v>671</v>
      </c>
      <c r="F1524" t="s">
        <v>182</v>
      </c>
      <c r="G1524">
        <v>1</v>
      </c>
      <c r="H1524" s="21">
        <v>1084.5</v>
      </c>
      <c r="I1524">
        <v>10</v>
      </c>
      <c r="J1524" s="21">
        <v>108.45</v>
      </c>
      <c r="K1524">
        <v>12</v>
      </c>
      <c r="L1524" s="21">
        <v>117.13</v>
      </c>
      <c r="M1524" s="21">
        <v>1093.18</v>
      </c>
      <c r="N1524" s="21">
        <v>725.87</v>
      </c>
      <c r="O1524" s="21">
        <v>250.18</v>
      </c>
      <c r="P1524" t="s">
        <v>121</v>
      </c>
      <c r="Q1524" t="s">
        <v>120</v>
      </c>
      <c r="R1524" t="s">
        <v>151</v>
      </c>
      <c r="S1524" t="s">
        <v>1875</v>
      </c>
      <c r="T1524" t="s">
        <v>161</v>
      </c>
      <c r="U1524" t="s">
        <v>154</v>
      </c>
      <c r="V1524" t="str">
        <f>IFERROR(INDEX(Products!$C:$C,MATCH(D1524,Products!$A:$A,0)),"Unknown")</f>
        <v>Footwear</v>
      </c>
      <c r="W1524" t="str">
        <f>IFERROR(INDEX(Products!$E:$E,MATCH(D1524,Products!$A:$A,0)),"Unknown")</f>
        <v>Titan</v>
      </c>
      <c r="X1524" t="str">
        <f>IFERROR(INDEX(Stores!$B:$B,MATCH(E1524,Stores!$A:$A,0)),"Unknown")</f>
        <v>TrendMart Hyderabad Mall Kiosk</v>
      </c>
      <c r="Y1524" t="str">
        <f>IFERROR(INDEX(Stores!$E:$E,MATCH(E1524,Stores!$A:$A,0)),"Unknown")</f>
        <v>South Zone 2</v>
      </c>
      <c r="Z1524" t="str">
        <f>IFERROR(INDEX(Customers!$J:$J,MATCH(C1524,Customers!$A:$A,0)),"Unknown")</f>
        <v>Gold</v>
      </c>
      <c r="AA1524" t="str">
        <f t="shared" si="23"/>
        <v>2024-05</v>
      </c>
      <c r="AB1524" t="str">
        <f>IFERROR(INDEX(Products!$I:$I,MATCH(D1524,Products!$A:$A,0)),"Unknown")</f>
        <v>SUP002</v>
      </c>
    </row>
    <row r="1525" spans="1:28" x14ac:dyDescent="0.25">
      <c r="A1525" t="s">
        <v>3427</v>
      </c>
      <c r="B1525" s="20">
        <v>45623</v>
      </c>
      <c r="C1525" t="s">
        <v>2386</v>
      </c>
      <c r="D1525" t="s">
        <v>210</v>
      </c>
      <c r="E1525" t="s">
        <v>96</v>
      </c>
      <c r="F1525" t="s">
        <v>269</v>
      </c>
      <c r="G1525">
        <v>3</v>
      </c>
      <c r="H1525" s="21">
        <v>1776.88</v>
      </c>
      <c r="I1525">
        <v>20</v>
      </c>
      <c r="J1525" s="21">
        <v>1066.1300000000001</v>
      </c>
      <c r="K1525">
        <v>12</v>
      </c>
      <c r="L1525" s="21">
        <v>511.74</v>
      </c>
      <c r="M1525" s="21">
        <v>4776.25</v>
      </c>
      <c r="N1525" s="21">
        <v>4199.55</v>
      </c>
      <c r="O1525" s="21">
        <v>64.959999999999994</v>
      </c>
      <c r="P1525" t="s">
        <v>123</v>
      </c>
      <c r="Q1525" t="s">
        <v>120</v>
      </c>
      <c r="R1525" t="s">
        <v>151</v>
      </c>
      <c r="S1525" t="s">
        <v>3428</v>
      </c>
      <c r="T1525" t="s">
        <v>153</v>
      </c>
      <c r="U1525" t="s">
        <v>154</v>
      </c>
      <c r="V1525" t="str">
        <f>IFERROR(INDEX(Products!$C:$C,MATCH(D1525,Products!$A:$A,0)),"Unknown")</f>
        <v>Women Dresses</v>
      </c>
      <c r="W1525" t="str">
        <f>IFERROR(INDEX(Products!$E:$E,MATCH(D1525,Products!$A:$A,0)),"Unknown")</f>
        <v>Nike</v>
      </c>
      <c r="X1525" t="str">
        <f>IFERROR(INDEX(Stores!$B:$B,MATCH(E1525,Stores!$A:$A,0)),"Unknown")</f>
        <v>TrendMart Shivamogga Outlet</v>
      </c>
      <c r="Y1525" t="str">
        <f>IFERROR(INDEX(Stores!$E:$E,MATCH(E1525,Stores!$A:$A,0)),"Unknown")</f>
        <v>South Zone 2</v>
      </c>
      <c r="Z1525" t="str">
        <f>IFERROR(INDEX(Customers!$J:$J,MATCH(C1525,Customers!$A:$A,0)),"Unknown")</f>
        <v>Regular</v>
      </c>
      <c r="AA1525" t="str">
        <f t="shared" si="23"/>
        <v>2024-11</v>
      </c>
      <c r="AB1525" t="str">
        <f>IFERROR(INDEX(Products!$I:$I,MATCH(D1525,Products!$A:$A,0)),"Unknown")</f>
        <v>SUP073</v>
      </c>
    </row>
    <row r="1526" spans="1:28" x14ac:dyDescent="0.25">
      <c r="A1526" t="s">
        <v>3429</v>
      </c>
      <c r="B1526" s="20">
        <v>45722</v>
      </c>
      <c r="C1526" t="s">
        <v>2437</v>
      </c>
      <c r="D1526" t="s">
        <v>1080</v>
      </c>
      <c r="E1526" t="s">
        <v>274</v>
      </c>
      <c r="F1526" t="s">
        <v>242</v>
      </c>
      <c r="G1526">
        <v>3</v>
      </c>
      <c r="H1526" s="21">
        <v>1424.53</v>
      </c>
      <c r="I1526">
        <v>30</v>
      </c>
      <c r="J1526" s="21">
        <v>1282.08</v>
      </c>
      <c r="K1526">
        <v>12</v>
      </c>
      <c r="L1526" s="21">
        <v>358.98</v>
      </c>
      <c r="M1526" s="21">
        <v>3350.49</v>
      </c>
      <c r="N1526" s="21">
        <v>2743.05</v>
      </c>
      <c r="O1526" s="21">
        <v>248.46</v>
      </c>
      <c r="P1526" t="s">
        <v>121</v>
      </c>
      <c r="Q1526" t="s">
        <v>122</v>
      </c>
      <c r="R1526" t="s">
        <v>151</v>
      </c>
      <c r="S1526" t="s">
        <v>2731</v>
      </c>
      <c r="T1526" t="s">
        <v>153</v>
      </c>
      <c r="U1526" t="s">
        <v>154</v>
      </c>
      <c r="V1526" t="str">
        <f>IFERROR(INDEX(Products!$C:$C,MATCH(D1526,Products!$A:$A,0)),"Unknown")</f>
        <v>Winter Wear</v>
      </c>
      <c r="W1526" t="str">
        <f>IFERROR(INDEX(Products!$E:$E,MATCH(D1526,Products!$A:$A,0)),"Unknown")</f>
        <v>Max Fashion</v>
      </c>
      <c r="X1526" t="str">
        <f>IFERROR(INDEX(Stores!$B:$B,MATCH(E1526,Stores!$A:$A,0)),"Unknown")</f>
        <v>TrendMart Mangaluru Standard</v>
      </c>
      <c r="Y1526" t="str">
        <f>IFERROR(INDEX(Stores!$E:$E,MATCH(E1526,Stores!$A:$A,0)),"Unknown")</f>
        <v>South Zone 2</v>
      </c>
      <c r="Z1526" t="str">
        <f>IFERROR(INDEX(Customers!$J:$J,MATCH(C1526,Customers!$A:$A,0)),"Unknown")</f>
        <v>Gold</v>
      </c>
      <c r="AA1526" t="str">
        <f t="shared" si="23"/>
        <v>2025-03</v>
      </c>
      <c r="AB1526" t="str">
        <f>IFERROR(INDEX(Products!$I:$I,MATCH(D1526,Products!$A:$A,0)),"Unknown")</f>
        <v>SUP017</v>
      </c>
    </row>
    <row r="1527" spans="1:28" x14ac:dyDescent="0.25">
      <c r="A1527" t="s">
        <v>3430</v>
      </c>
      <c r="B1527" s="20">
        <v>45582</v>
      </c>
      <c r="C1527" t="s">
        <v>3431</v>
      </c>
      <c r="D1527" t="s">
        <v>2294</v>
      </c>
      <c r="E1527" t="s">
        <v>181</v>
      </c>
      <c r="F1527" t="s">
        <v>159</v>
      </c>
      <c r="G1527">
        <v>2</v>
      </c>
      <c r="H1527" s="21">
        <v>1483.09</v>
      </c>
      <c r="I1527">
        <v>10</v>
      </c>
      <c r="J1527" s="21">
        <v>296.62</v>
      </c>
      <c r="K1527">
        <v>12</v>
      </c>
      <c r="L1527" s="21">
        <v>320.35000000000002</v>
      </c>
      <c r="M1527" s="21">
        <v>2989.91</v>
      </c>
      <c r="N1527" s="21">
        <v>2015.3</v>
      </c>
      <c r="O1527" s="21">
        <v>654.26</v>
      </c>
      <c r="P1527" t="s">
        <v>124</v>
      </c>
      <c r="Q1527" t="s">
        <v>120</v>
      </c>
      <c r="R1527" t="s">
        <v>151</v>
      </c>
      <c r="S1527" t="s">
        <v>1222</v>
      </c>
      <c r="T1527" t="s">
        <v>153</v>
      </c>
      <c r="U1527" t="s">
        <v>154</v>
      </c>
      <c r="V1527" t="str">
        <f>IFERROR(INDEX(Products!$C:$C,MATCH(D1527,Products!$A:$A,0)),"Unknown")</f>
        <v>Men Jeans</v>
      </c>
      <c r="W1527" t="str">
        <f>IFERROR(INDEX(Products!$E:$E,MATCH(D1527,Products!$A:$A,0)),"Unknown")</f>
        <v>Westside</v>
      </c>
      <c r="X1527" t="str">
        <f>IFERROR(INDEX(Stores!$B:$B,MATCH(E1527,Stores!$A:$A,0)),"Unknown")</f>
        <v>TrendMart Kurnool High Street</v>
      </c>
      <c r="Y1527" t="str">
        <f>IFERROR(INDEX(Stores!$E:$E,MATCH(E1527,Stores!$A:$A,0)),"Unknown")</f>
        <v>South Zone 3</v>
      </c>
      <c r="Z1527" t="str">
        <f>IFERROR(INDEX(Customers!$J:$J,MATCH(C1527,Customers!$A:$A,0)),"Unknown")</f>
        <v>Gold</v>
      </c>
      <c r="AA1527" t="str">
        <f t="shared" si="23"/>
        <v>2024-10</v>
      </c>
      <c r="AB1527" t="str">
        <f>IFERROR(INDEX(Products!$I:$I,MATCH(D1527,Products!$A:$A,0)),"Unknown")</f>
        <v>SUP009</v>
      </c>
    </row>
    <row r="1528" spans="1:28" x14ac:dyDescent="0.25">
      <c r="A1528" t="s">
        <v>3432</v>
      </c>
      <c r="B1528" s="20">
        <v>45388</v>
      </c>
      <c r="C1528" t="s">
        <v>2507</v>
      </c>
      <c r="D1528" t="s">
        <v>199</v>
      </c>
      <c r="E1528" t="s">
        <v>477</v>
      </c>
      <c r="F1528" t="s">
        <v>403</v>
      </c>
      <c r="G1528">
        <v>1</v>
      </c>
      <c r="H1528" s="21">
        <v>931.24</v>
      </c>
      <c r="I1528">
        <v>5</v>
      </c>
      <c r="J1528" s="21">
        <v>46.56</v>
      </c>
      <c r="K1528">
        <v>5</v>
      </c>
      <c r="L1528" s="21">
        <v>44.23</v>
      </c>
      <c r="M1528" s="21">
        <v>928.91</v>
      </c>
      <c r="N1528" s="21">
        <v>488.6</v>
      </c>
      <c r="O1528" s="21">
        <v>396.08</v>
      </c>
      <c r="P1528" t="s">
        <v>124</v>
      </c>
      <c r="Q1528" t="s">
        <v>120</v>
      </c>
      <c r="R1528" t="s">
        <v>151</v>
      </c>
      <c r="S1528" t="s">
        <v>1492</v>
      </c>
      <c r="T1528" t="s">
        <v>161</v>
      </c>
      <c r="U1528" t="s">
        <v>154</v>
      </c>
      <c r="V1528" t="str">
        <f>IFERROR(INDEX(Products!$C:$C,MATCH(D1528,Products!$A:$A,0)),"Unknown")</f>
        <v>Accessories</v>
      </c>
      <c r="W1528" t="str">
        <f>IFERROR(INDEX(Products!$E:$E,MATCH(D1528,Products!$A:$A,0)),"Unknown")</f>
        <v>Arrow</v>
      </c>
      <c r="X1528" t="str">
        <f>IFERROR(INDEX(Stores!$B:$B,MATCH(E1528,Stores!$A:$A,0)),"Unknown")</f>
        <v>TrendMart Hubballi Standard</v>
      </c>
      <c r="Y1528" t="str">
        <f>IFERROR(INDEX(Stores!$E:$E,MATCH(E1528,Stores!$A:$A,0)),"Unknown")</f>
        <v>South Zone 2</v>
      </c>
      <c r="Z1528" t="str">
        <f>IFERROR(INDEX(Customers!$J:$J,MATCH(C1528,Customers!$A:$A,0)),"Unknown")</f>
        <v>Silver</v>
      </c>
      <c r="AA1528" t="str">
        <f t="shared" si="23"/>
        <v>2024-04</v>
      </c>
      <c r="AB1528" t="str">
        <f>IFERROR(INDEX(Products!$I:$I,MATCH(D1528,Products!$A:$A,0)),"Unknown")</f>
        <v>SUP018</v>
      </c>
    </row>
    <row r="1529" spans="1:28" x14ac:dyDescent="0.25">
      <c r="A1529" t="s">
        <v>3433</v>
      </c>
      <c r="B1529" s="20">
        <v>45562</v>
      </c>
      <c r="C1529" t="s">
        <v>3434</v>
      </c>
      <c r="D1529" t="s">
        <v>2759</v>
      </c>
      <c r="E1529" t="s">
        <v>296</v>
      </c>
      <c r="F1529" t="s">
        <v>211</v>
      </c>
      <c r="G1529">
        <v>2</v>
      </c>
      <c r="H1529" s="21">
        <v>674.3</v>
      </c>
      <c r="I1529">
        <v>0</v>
      </c>
      <c r="J1529" s="21">
        <v>0</v>
      </c>
      <c r="K1529">
        <v>5</v>
      </c>
      <c r="L1529" s="21">
        <v>67.430000000000007</v>
      </c>
      <c r="M1529" s="21">
        <v>1416.03</v>
      </c>
      <c r="N1529" s="21">
        <v>807.8</v>
      </c>
      <c r="O1529" s="21">
        <v>540.79999999999995</v>
      </c>
      <c r="P1529" t="s">
        <v>124</v>
      </c>
      <c r="Q1529" t="s">
        <v>120</v>
      </c>
      <c r="R1529" t="s">
        <v>313</v>
      </c>
      <c r="S1529" t="s">
        <v>1835</v>
      </c>
      <c r="T1529" t="s">
        <v>153</v>
      </c>
      <c r="U1529" t="s">
        <v>154</v>
      </c>
      <c r="V1529" t="str">
        <f>IFERROR(INDEX(Products!$C:$C,MATCH(D1529,Products!$A:$A,0)),"Unknown")</f>
        <v>Men T-Shirts</v>
      </c>
      <c r="W1529" t="str">
        <f>IFERROR(INDEX(Products!$E:$E,MATCH(D1529,Products!$A:$A,0)),"Unknown")</f>
        <v>Libas</v>
      </c>
      <c r="X1529" t="str">
        <f>IFERROR(INDEX(Stores!$B:$B,MATCH(E1529,Stores!$A:$A,0)),"Unknown")</f>
        <v>TrendMart Kurnool Outlet</v>
      </c>
      <c r="Y1529" t="str">
        <f>IFERROR(INDEX(Stores!$E:$E,MATCH(E1529,Stores!$A:$A,0)),"Unknown")</f>
        <v>South Zone 3</v>
      </c>
      <c r="Z1529" t="str">
        <f>IFERROR(INDEX(Customers!$J:$J,MATCH(C1529,Customers!$A:$A,0)),"Unknown")</f>
        <v>Regular</v>
      </c>
      <c r="AA1529" t="str">
        <f t="shared" si="23"/>
        <v>2024-09</v>
      </c>
      <c r="AB1529" t="str">
        <f>IFERROR(INDEX(Products!$I:$I,MATCH(D1529,Products!$A:$A,0)),"Unknown")</f>
        <v>SUP041</v>
      </c>
    </row>
    <row r="1530" spans="1:28" x14ac:dyDescent="0.25">
      <c r="A1530" t="s">
        <v>3435</v>
      </c>
      <c r="B1530" s="20">
        <v>45620</v>
      </c>
      <c r="C1530" t="s">
        <v>2743</v>
      </c>
      <c r="D1530" t="s">
        <v>819</v>
      </c>
      <c r="E1530" t="s">
        <v>1962</v>
      </c>
      <c r="F1530" t="s">
        <v>574</v>
      </c>
      <c r="G1530">
        <v>2</v>
      </c>
      <c r="H1530" s="21">
        <v>1745.5</v>
      </c>
      <c r="I1530">
        <v>10</v>
      </c>
      <c r="J1530" s="21">
        <v>349.1</v>
      </c>
      <c r="K1530">
        <v>12</v>
      </c>
      <c r="L1530" s="21">
        <v>377.03</v>
      </c>
      <c r="M1530" s="21">
        <v>3518.93</v>
      </c>
      <c r="N1530" s="21">
        <v>2486.7199999999998</v>
      </c>
      <c r="O1530" s="21">
        <v>655.17999999999995</v>
      </c>
      <c r="P1530" t="s">
        <v>121</v>
      </c>
      <c r="Q1530" t="s">
        <v>122</v>
      </c>
      <c r="R1530" t="s">
        <v>151</v>
      </c>
      <c r="S1530" t="s">
        <v>3082</v>
      </c>
      <c r="T1530" t="s">
        <v>161</v>
      </c>
      <c r="U1530" t="s">
        <v>154</v>
      </c>
      <c r="V1530" t="str">
        <f>IFERROR(INDEX(Products!$C:$C,MATCH(D1530,Products!$A:$A,0)),"Unknown")</f>
        <v>Footwear</v>
      </c>
      <c r="W1530" t="str">
        <f>IFERROR(INDEX(Products!$E:$E,MATCH(D1530,Products!$A:$A,0)),"Unknown")</f>
        <v>Tanishq</v>
      </c>
      <c r="X1530" t="str">
        <f>IFERROR(INDEX(Stores!$B:$B,MATCH(E1530,Stores!$A:$A,0)),"Unknown")</f>
        <v>TrendMart Guntur High Street</v>
      </c>
      <c r="Y1530" t="str">
        <f>IFERROR(INDEX(Stores!$E:$E,MATCH(E1530,Stores!$A:$A,0)),"Unknown")</f>
        <v>South Zone 3</v>
      </c>
      <c r="Z1530" t="str">
        <f>IFERROR(INDEX(Customers!$J:$J,MATCH(C1530,Customers!$A:$A,0)),"Unknown")</f>
        <v>Silver</v>
      </c>
      <c r="AA1530" t="str">
        <f t="shared" si="23"/>
        <v>2024-11</v>
      </c>
      <c r="AB1530" t="str">
        <f>IFERROR(INDEX(Products!$I:$I,MATCH(D1530,Products!$A:$A,0)),"Unknown")</f>
        <v>SUP082</v>
      </c>
    </row>
    <row r="1531" spans="1:28" x14ac:dyDescent="0.25">
      <c r="A1531" t="s">
        <v>3436</v>
      </c>
      <c r="B1531" s="20">
        <v>45548</v>
      </c>
      <c r="C1531" t="s">
        <v>306</v>
      </c>
      <c r="D1531" t="s">
        <v>236</v>
      </c>
      <c r="E1531" t="s">
        <v>914</v>
      </c>
      <c r="F1531" t="s">
        <v>165</v>
      </c>
      <c r="G1531">
        <v>3</v>
      </c>
      <c r="H1531" s="21">
        <v>800.39</v>
      </c>
      <c r="I1531">
        <v>0</v>
      </c>
      <c r="J1531" s="21">
        <v>0</v>
      </c>
      <c r="K1531">
        <v>5</v>
      </c>
      <c r="L1531" s="21">
        <v>120.06</v>
      </c>
      <c r="M1531" s="21">
        <v>2521.23</v>
      </c>
      <c r="N1531" s="21">
        <v>1650.03</v>
      </c>
      <c r="O1531" s="21">
        <v>751.14</v>
      </c>
      <c r="P1531" t="s">
        <v>123</v>
      </c>
      <c r="Q1531" t="s">
        <v>120</v>
      </c>
      <c r="R1531" t="s">
        <v>151</v>
      </c>
      <c r="S1531" t="s">
        <v>533</v>
      </c>
      <c r="T1531" t="s">
        <v>153</v>
      </c>
      <c r="U1531" t="s">
        <v>154</v>
      </c>
      <c r="V1531" t="str">
        <f>IFERROR(INDEX(Products!$C:$C,MATCH(D1531,Products!$A:$A,0)),"Unknown")</f>
        <v>Women Tops</v>
      </c>
      <c r="W1531" t="str">
        <f>IFERROR(INDEX(Products!$E:$E,MATCH(D1531,Products!$A:$A,0)),"Unknown")</f>
        <v>Nike</v>
      </c>
      <c r="X1531" t="str">
        <f>IFERROR(INDEX(Stores!$B:$B,MATCH(E1531,Stores!$A:$A,0)),"Unknown")</f>
        <v>TrendMart Thiruvananthapuram Outlet</v>
      </c>
      <c r="Y1531" t="str">
        <f>IFERROR(INDEX(Stores!$E:$E,MATCH(E1531,Stores!$A:$A,0)),"Unknown")</f>
        <v>South Zone 1</v>
      </c>
      <c r="Z1531" t="str">
        <f>IFERROR(INDEX(Customers!$J:$J,MATCH(C1531,Customers!$A:$A,0)),"Unknown")</f>
        <v>Gold</v>
      </c>
      <c r="AA1531" t="str">
        <f t="shared" si="23"/>
        <v>2024-09</v>
      </c>
      <c r="AB1531" t="str">
        <f>IFERROR(INDEX(Products!$I:$I,MATCH(D1531,Products!$A:$A,0)),"Unknown")</f>
        <v>SUP075</v>
      </c>
    </row>
    <row r="1532" spans="1:28" x14ac:dyDescent="0.25">
      <c r="A1532" t="s">
        <v>3437</v>
      </c>
      <c r="B1532" s="20">
        <v>45608</v>
      </c>
      <c r="C1532" t="s">
        <v>3438</v>
      </c>
      <c r="D1532" t="s">
        <v>685</v>
      </c>
      <c r="E1532" t="s">
        <v>477</v>
      </c>
      <c r="F1532" t="s">
        <v>382</v>
      </c>
      <c r="G1532">
        <v>4</v>
      </c>
      <c r="H1532" s="21">
        <v>991.36</v>
      </c>
      <c r="I1532">
        <v>10</v>
      </c>
      <c r="J1532" s="21">
        <v>396.54</v>
      </c>
      <c r="K1532">
        <v>5</v>
      </c>
      <c r="L1532" s="21">
        <v>178.44</v>
      </c>
      <c r="M1532" s="21">
        <v>3747.34</v>
      </c>
      <c r="N1532" s="21">
        <v>2505.04</v>
      </c>
      <c r="O1532" s="21">
        <v>1063.8599999999999</v>
      </c>
      <c r="P1532" t="s">
        <v>125</v>
      </c>
      <c r="Q1532" t="s">
        <v>120</v>
      </c>
      <c r="R1532" t="s">
        <v>151</v>
      </c>
      <c r="S1532" t="s">
        <v>3439</v>
      </c>
      <c r="T1532" t="s">
        <v>153</v>
      </c>
      <c r="U1532" t="s">
        <v>154</v>
      </c>
      <c r="V1532" t="str">
        <f>IFERROR(INDEX(Products!$C:$C,MATCH(D1532,Products!$A:$A,0)),"Unknown")</f>
        <v>Sportswear</v>
      </c>
      <c r="W1532" t="str">
        <f>IFERROR(INDEX(Products!$E:$E,MATCH(D1532,Products!$A:$A,0)),"Unknown")</f>
        <v>Being Human</v>
      </c>
      <c r="X1532" t="str">
        <f>IFERROR(INDEX(Stores!$B:$B,MATCH(E1532,Stores!$A:$A,0)),"Unknown")</f>
        <v>TrendMart Hubballi Standard</v>
      </c>
      <c r="Y1532" t="str">
        <f>IFERROR(INDEX(Stores!$E:$E,MATCH(E1532,Stores!$A:$A,0)),"Unknown")</f>
        <v>South Zone 2</v>
      </c>
      <c r="Z1532" t="str">
        <f>IFERROR(INDEX(Customers!$J:$J,MATCH(C1532,Customers!$A:$A,0)),"Unknown")</f>
        <v>Silver</v>
      </c>
      <c r="AA1532" t="str">
        <f t="shared" si="23"/>
        <v>2024-11</v>
      </c>
      <c r="AB1532" t="str">
        <f>IFERROR(INDEX(Products!$I:$I,MATCH(D1532,Products!$A:$A,0)),"Unknown")</f>
        <v>SUP066</v>
      </c>
    </row>
    <row r="1533" spans="1:28" x14ac:dyDescent="0.25">
      <c r="A1533" t="s">
        <v>3440</v>
      </c>
      <c r="B1533" s="20">
        <v>45666</v>
      </c>
      <c r="C1533" t="s">
        <v>2766</v>
      </c>
      <c r="D1533" t="s">
        <v>395</v>
      </c>
      <c r="E1533" t="s">
        <v>95</v>
      </c>
      <c r="F1533" t="s">
        <v>2479</v>
      </c>
      <c r="G1533">
        <v>3</v>
      </c>
      <c r="H1533" s="21">
        <v>476.95</v>
      </c>
      <c r="I1533">
        <v>0</v>
      </c>
      <c r="J1533" s="21">
        <v>0</v>
      </c>
      <c r="K1533">
        <v>5</v>
      </c>
      <c r="L1533" s="21">
        <v>71.540000000000006</v>
      </c>
      <c r="M1533" s="21">
        <v>1502.39</v>
      </c>
      <c r="N1533" s="21">
        <v>885</v>
      </c>
      <c r="O1533" s="21">
        <v>545.85</v>
      </c>
      <c r="P1533" t="s">
        <v>124</v>
      </c>
      <c r="Q1533" t="s">
        <v>120</v>
      </c>
      <c r="R1533" t="s">
        <v>151</v>
      </c>
      <c r="S1533" t="s">
        <v>1297</v>
      </c>
      <c r="T1533" t="s">
        <v>153</v>
      </c>
      <c r="U1533" t="s">
        <v>154</v>
      </c>
      <c r="V1533" t="str">
        <f>IFERROR(INDEX(Products!$C:$C,MATCH(D1533,Products!$A:$A,0)),"Unknown")</f>
        <v>Men T-Shirts</v>
      </c>
      <c r="W1533" t="str">
        <f>IFERROR(INDEX(Products!$E:$E,MATCH(D1533,Products!$A:$A,0)),"Unknown")</f>
        <v>Nalli Silks</v>
      </c>
      <c r="X1533" t="str">
        <f>IFERROR(INDEX(Stores!$B:$B,MATCH(E1533,Stores!$A:$A,0)),"Unknown")</f>
        <v>TrendMart Thrissur Standard</v>
      </c>
      <c r="Y1533" t="str">
        <f>IFERROR(INDEX(Stores!$E:$E,MATCH(E1533,Stores!$A:$A,0)),"Unknown")</f>
        <v>South Zone 1</v>
      </c>
      <c r="Z1533" t="str">
        <f>IFERROR(INDEX(Customers!$J:$J,MATCH(C1533,Customers!$A:$A,0)),"Unknown")</f>
        <v>Silver</v>
      </c>
      <c r="AA1533" t="str">
        <f t="shared" si="23"/>
        <v>2025-01</v>
      </c>
      <c r="AB1533" t="str">
        <f>IFERROR(INDEX(Products!$I:$I,MATCH(D1533,Products!$A:$A,0)),"Unknown")</f>
        <v>SUP049</v>
      </c>
    </row>
    <row r="1534" spans="1:28" x14ac:dyDescent="0.25">
      <c r="A1534" t="s">
        <v>3441</v>
      </c>
      <c r="B1534" s="20">
        <v>45441</v>
      </c>
      <c r="C1534" t="s">
        <v>586</v>
      </c>
      <c r="D1534" t="s">
        <v>1590</v>
      </c>
      <c r="E1534" t="s">
        <v>537</v>
      </c>
      <c r="F1534" t="s">
        <v>286</v>
      </c>
      <c r="G1534">
        <v>1</v>
      </c>
      <c r="H1534" s="21">
        <v>467.63</v>
      </c>
      <c r="I1534">
        <v>25</v>
      </c>
      <c r="J1534" s="21">
        <v>116.91</v>
      </c>
      <c r="K1534">
        <v>5</v>
      </c>
      <c r="L1534" s="21">
        <v>17.54</v>
      </c>
      <c r="M1534" s="21">
        <v>368.26</v>
      </c>
      <c r="N1534" s="21">
        <v>337.09</v>
      </c>
      <c r="O1534" s="21">
        <v>13.63</v>
      </c>
      <c r="P1534" t="s">
        <v>127</v>
      </c>
      <c r="Q1534" t="s">
        <v>120</v>
      </c>
      <c r="R1534" t="s">
        <v>151</v>
      </c>
      <c r="S1534" t="s">
        <v>3442</v>
      </c>
      <c r="T1534" t="s">
        <v>153</v>
      </c>
      <c r="U1534" t="s">
        <v>154</v>
      </c>
      <c r="V1534" t="str">
        <f>IFERROR(INDEX(Products!$C:$C,MATCH(D1534,Products!$A:$A,0)),"Unknown")</f>
        <v>Kids Wear</v>
      </c>
      <c r="W1534" t="str">
        <f>IFERROR(INDEX(Products!$E:$E,MATCH(D1534,Products!$A:$A,0)),"Unknown")</f>
        <v>Peter England</v>
      </c>
      <c r="X1534" t="str">
        <f>IFERROR(INDEX(Stores!$B:$B,MATCH(E1534,Stores!$A:$A,0)),"Unknown")</f>
        <v>TrendMart Thrissur High Street</v>
      </c>
      <c r="Y1534" t="str">
        <f>IFERROR(INDEX(Stores!$E:$E,MATCH(E1534,Stores!$A:$A,0)),"Unknown")</f>
        <v>South Zone 1</v>
      </c>
      <c r="Z1534" t="str">
        <f>IFERROR(INDEX(Customers!$J:$J,MATCH(C1534,Customers!$A:$A,0)),"Unknown")</f>
        <v>Gold</v>
      </c>
      <c r="AA1534" t="str">
        <f t="shared" si="23"/>
        <v>2024-05</v>
      </c>
      <c r="AB1534" t="str">
        <f>IFERROR(INDEX(Products!$I:$I,MATCH(D1534,Products!$A:$A,0)),"Unknown")</f>
        <v>SUP065</v>
      </c>
    </row>
    <row r="1535" spans="1:28" x14ac:dyDescent="0.25">
      <c r="A1535" t="s">
        <v>3443</v>
      </c>
      <c r="B1535" s="20">
        <v>45640</v>
      </c>
      <c r="C1535" t="s">
        <v>2433</v>
      </c>
      <c r="D1535" t="s">
        <v>926</v>
      </c>
      <c r="E1535" t="s">
        <v>268</v>
      </c>
      <c r="F1535" t="s">
        <v>462</v>
      </c>
      <c r="G1535">
        <v>4</v>
      </c>
      <c r="H1535" s="21">
        <v>1308.7</v>
      </c>
      <c r="I1535">
        <v>15</v>
      </c>
      <c r="J1535" s="21">
        <v>785.22</v>
      </c>
      <c r="K1535">
        <v>12</v>
      </c>
      <c r="L1535" s="21">
        <v>533.95000000000005</v>
      </c>
      <c r="M1535" s="21">
        <v>4983.53</v>
      </c>
      <c r="N1535" s="21">
        <v>3242.48</v>
      </c>
      <c r="O1535" s="21">
        <v>1207.0999999999999</v>
      </c>
      <c r="P1535" t="s">
        <v>121</v>
      </c>
      <c r="Q1535" t="s">
        <v>120</v>
      </c>
      <c r="R1535" t="s">
        <v>151</v>
      </c>
      <c r="S1535" t="s">
        <v>3197</v>
      </c>
      <c r="T1535" t="s">
        <v>161</v>
      </c>
      <c r="U1535" t="s">
        <v>154</v>
      </c>
      <c r="V1535" t="str">
        <f>IFERROR(INDEX(Products!$C:$C,MATCH(D1535,Products!$A:$A,0)),"Unknown")</f>
        <v>Women Dresses</v>
      </c>
      <c r="W1535" t="str">
        <f>IFERROR(INDEX(Products!$E:$E,MATCH(D1535,Products!$A:$A,0)),"Unknown")</f>
        <v>Fabindia</v>
      </c>
      <c r="X1535" t="str">
        <f>IFERROR(INDEX(Stores!$B:$B,MATCH(E1535,Stores!$A:$A,0)),"Unknown")</f>
        <v>TrendMart Kochi High Street</v>
      </c>
      <c r="Y1535" t="str">
        <f>IFERROR(INDEX(Stores!$E:$E,MATCH(E1535,Stores!$A:$A,0)),"Unknown")</f>
        <v>South Zone 1</v>
      </c>
      <c r="Z1535" t="str">
        <f>IFERROR(INDEX(Customers!$J:$J,MATCH(C1535,Customers!$A:$A,0)),"Unknown")</f>
        <v>Gold</v>
      </c>
      <c r="AA1535" t="str">
        <f t="shared" si="23"/>
        <v>2024-12</v>
      </c>
      <c r="AB1535" t="str">
        <f>IFERROR(INDEX(Products!$I:$I,MATCH(D1535,Products!$A:$A,0)),"Unknown")</f>
        <v>SUP059</v>
      </c>
    </row>
    <row r="1536" spans="1:28" x14ac:dyDescent="0.25">
      <c r="A1536" t="s">
        <v>3444</v>
      </c>
      <c r="B1536" s="20">
        <v>45454</v>
      </c>
      <c r="C1536" t="s">
        <v>3445</v>
      </c>
      <c r="D1536" t="s">
        <v>438</v>
      </c>
      <c r="E1536" t="s">
        <v>231</v>
      </c>
      <c r="F1536" t="s">
        <v>579</v>
      </c>
      <c r="G1536">
        <v>2</v>
      </c>
      <c r="H1536" s="21">
        <v>1644.49</v>
      </c>
      <c r="I1536">
        <v>30</v>
      </c>
      <c r="J1536" s="21">
        <v>986.69</v>
      </c>
      <c r="K1536">
        <v>12</v>
      </c>
      <c r="L1536" s="21">
        <v>276.27</v>
      </c>
      <c r="M1536" s="21">
        <v>2578.56</v>
      </c>
      <c r="N1536" s="21">
        <v>2248.96</v>
      </c>
      <c r="O1536" s="21">
        <v>53.33</v>
      </c>
      <c r="P1536" t="s">
        <v>126</v>
      </c>
      <c r="Q1536" t="s">
        <v>120</v>
      </c>
      <c r="R1536" t="s">
        <v>151</v>
      </c>
      <c r="S1536" t="s">
        <v>478</v>
      </c>
      <c r="T1536" t="s">
        <v>153</v>
      </c>
      <c r="U1536" t="s">
        <v>154</v>
      </c>
      <c r="V1536" t="str">
        <f>IFERROR(INDEX(Products!$C:$C,MATCH(D1536,Products!$A:$A,0)),"Unknown")</f>
        <v>Women Jeans</v>
      </c>
      <c r="W1536" t="str">
        <f>IFERROR(INDEX(Products!$E:$E,MATCH(D1536,Products!$A:$A,0)),"Unknown")</f>
        <v>Ramraj Cotton</v>
      </c>
      <c r="X1536" t="str">
        <f>IFERROR(INDEX(Stores!$B:$B,MATCH(E1536,Stores!$A:$A,0)),"Unknown")</f>
        <v>TrendMart Warangal Outlet</v>
      </c>
      <c r="Y1536" t="str">
        <f>IFERROR(INDEX(Stores!$E:$E,MATCH(E1536,Stores!$A:$A,0)),"Unknown")</f>
        <v>South Zone 2</v>
      </c>
      <c r="Z1536" t="str">
        <f>IFERROR(INDEX(Customers!$J:$J,MATCH(C1536,Customers!$A:$A,0)),"Unknown")</f>
        <v>Platinum</v>
      </c>
      <c r="AA1536" t="str">
        <f t="shared" si="23"/>
        <v>2024-06</v>
      </c>
      <c r="AB1536" t="str">
        <f>IFERROR(INDEX(Products!$I:$I,MATCH(D1536,Products!$A:$A,0)),"Unknown")</f>
        <v>SUP015</v>
      </c>
    </row>
    <row r="1537" spans="1:28" x14ac:dyDescent="0.25">
      <c r="A1537" t="s">
        <v>3446</v>
      </c>
      <c r="B1537" s="20">
        <v>45682</v>
      </c>
      <c r="C1537" t="s">
        <v>2936</v>
      </c>
      <c r="D1537" t="s">
        <v>342</v>
      </c>
      <c r="E1537" t="s">
        <v>88</v>
      </c>
      <c r="F1537" t="s">
        <v>462</v>
      </c>
      <c r="G1537">
        <v>2</v>
      </c>
      <c r="H1537" s="21">
        <v>4716.9399999999996</v>
      </c>
      <c r="I1537">
        <v>0</v>
      </c>
      <c r="J1537" s="21">
        <v>0</v>
      </c>
      <c r="K1537">
        <v>12</v>
      </c>
      <c r="L1537" s="21">
        <v>1132.07</v>
      </c>
      <c r="M1537" s="21">
        <v>10565.95</v>
      </c>
      <c r="N1537" s="21">
        <v>7301.1</v>
      </c>
      <c r="O1537" s="21">
        <v>2132.7800000000002</v>
      </c>
      <c r="P1537" t="s">
        <v>121</v>
      </c>
      <c r="Q1537" t="s">
        <v>120</v>
      </c>
      <c r="R1537" t="s">
        <v>151</v>
      </c>
      <c r="S1537" t="s">
        <v>1791</v>
      </c>
      <c r="T1537" t="s">
        <v>161</v>
      </c>
      <c r="U1537" t="s">
        <v>154</v>
      </c>
      <c r="V1537" t="str">
        <f>IFERROR(INDEX(Products!$C:$C,MATCH(D1537,Products!$A:$A,0)),"Unknown")</f>
        <v>Watches</v>
      </c>
      <c r="W1537" t="str">
        <f>IFERROR(INDEX(Products!$E:$E,MATCH(D1537,Products!$A:$A,0)),"Unknown")</f>
        <v>Pepe Jeans</v>
      </c>
      <c r="X1537" t="str">
        <f>IFERROR(INDEX(Stores!$B:$B,MATCH(E1537,Stores!$A:$A,0)),"Unknown")</f>
        <v>TrendMart Kozhikode Mall Kiosk</v>
      </c>
      <c r="Y1537" t="str">
        <f>IFERROR(INDEX(Stores!$E:$E,MATCH(E1537,Stores!$A:$A,0)),"Unknown")</f>
        <v>South Zone 1</v>
      </c>
      <c r="Z1537" t="str">
        <f>IFERROR(INDEX(Customers!$J:$J,MATCH(C1537,Customers!$A:$A,0)),"Unknown")</f>
        <v>Regular</v>
      </c>
      <c r="AA1537" t="str">
        <f t="shared" si="23"/>
        <v>2025-01</v>
      </c>
      <c r="AB1537" t="str">
        <f>IFERROR(INDEX(Products!$I:$I,MATCH(D1537,Products!$A:$A,0)),"Unknown")</f>
        <v>SUP052</v>
      </c>
    </row>
    <row r="1538" spans="1:28" x14ac:dyDescent="0.25">
      <c r="A1538" t="s">
        <v>3447</v>
      </c>
      <c r="B1538" s="20">
        <v>45658</v>
      </c>
      <c r="C1538" t="s">
        <v>3448</v>
      </c>
      <c r="D1538" t="s">
        <v>401</v>
      </c>
      <c r="E1538" t="s">
        <v>525</v>
      </c>
      <c r="F1538" t="s">
        <v>201</v>
      </c>
      <c r="G1538">
        <v>3</v>
      </c>
      <c r="H1538" s="21">
        <v>1187.95</v>
      </c>
      <c r="I1538">
        <v>10</v>
      </c>
      <c r="J1538" s="21">
        <v>356.38</v>
      </c>
      <c r="K1538">
        <v>12</v>
      </c>
      <c r="L1538" s="21">
        <v>384.9</v>
      </c>
      <c r="M1538" s="21">
        <v>3592.37</v>
      </c>
      <c r="N1538" s="21">
        <v>2303.4899999999998</v>
      </c>
      <c r="O1538" s="21">
        <v>903.98</v>
      </c>
      <c r="P1538" t="s">
        <v>124</v>
      </c>
      <c r="Q1538" t="s">
        <v>120</v>
      </c>
      <c r="R1538" t="s">
        <v>151</v>
      </c>
      <c r="S1538" t="s">
        <v>1839</v>
      </c>
      <c r="T1538" t="s">
        <v>153</v>
      </c>
      <c r="U1538" t="s">
        <v>154</v>
      </c>
      <c r="V1538" t="str">
        <f>IFERROR(INDEX(Products!$C:$C,MATCH(D1538,Products!$A:$A,0)),"Unknown")</f>
        <v>Women Jeans</v>
      </c>
      <c r="W1538" t="str">
        <f>IFERROR(INDEX(Products!$E:$E,MATCH(D1538,Products!$A:$A,0)),"Unknown")</f>
        <v>Being Human</v>
      </c>
      <c r="X1538" t="str">
        <f>IFERROR(INDEX(Stores!$B:$B,MATCH(E1538,Stores!$A:$A,0)),"Unknown")</f>
        <v>TrendMart Kollam Standard</v>
      </c>
      <c r="Y1538" t="str">
        <f>IFERROR(INDEX(Stores!$E:$E,MATCH(E1538,Stores!$A:$A,0)),"Unknown")</f>
        <v>South Zone 1</v>
      </c>
      <c r="Z1538" t="str">
        <f>IFERROR(INDEX(Customers!$J:$J,MATCH(C1538,Customers!$A:$A,0)),"Unknown")</f>
        <v>Platinum</v>
      </c>
      <c r="AA1538" t="str">
        <f t="shared" ref="AA1538:AA1601" si="24">TEXT(B1538,"YYYY-MM")</f>
        <v>2025-01</v>
      </c>
      <c r="AB1538" t="str">
        <f>IFERROR(INDEX(Products!$I:$I,MATCH(D1538,Products!$A:$A,0)),"Unknown")</f>
        <v>SUP013</v>
      </c>
    </row>
    <row r="1539" spans="1:28" x14ac:dyDescent="0.25">
      <c r="A1539" t="s">
        <v>3449</v>
      </c>
      <c r="B1539" s="20">
        <v>45584</v>
      </c>
      <c r="C1539" t="s">
        <v>1119</v>
      </c>
      <c r="D1539" t="s">
        <v>861</v>
      </c>
      <c r="E1539" t="s">
        <v>1023</v>
      </c>
      <c r="F1539" t="s">
        <v>275</v>
      </c>
      <c r="G1539">
        <v>3</v>
      </c>
      <c r="H1539" s="21">
        <v>1681.59</v>
      </c>
      <c r="I1539">
        <v>10</v>
      </c>
      <c r="J1539" s="21">
        <v>504.48</v>
      </c>
      <c r="K1539">
        <v>12</v>
      </c>
      <c r="L1539" s="21">
        <v>544.83000000000004</v>
      </c>
      <c r="M1539" s="21">
        <v>5085.12</v>
      </c>
      <c r="N1539" s="21">
        <v>3419.43</v>
      </c>
      <c r="O1539" s="21">
        <v>1120.8599999999999</v>
      </c>
      <c r="P1539" t="s">
        <v>124</v>
      </c>
      <c r="Q1539" t="s">
        <v>120</v>
      </c>
      <c r="R1539" t="s">
        <v>151</v>
      </c>
      <c r="S1539" t="s">
        <v>2764</v>
      </c>
      <c r="T1539" t="s">
        <v>161</v>
      </c>
      <c r="U1539" t="s">
        <v>154</v>
      </c>
      <c r="V1539" t="str">
        <f>IFERROR(INDEX(Products!$C:$C,MATCH(D1539,Products!$A:$A,0)),"Unknown")</f>
        <v>Women Jeans</v>
      </c>
      <c r="W1539" t="str">
        <f>IFERROR(INDEX(Products!$E:$E,MATCH(D1539,Products!$A:$A,0)),"Unknown")</f>
        <v>Spykar</v>
      </c>
      <c r="X1539" t="str">
        <f>IFERROR(INDEX(Stores!$B:$B,MATCH(E1539,Stores!$A:$A,0)),"Unknown")</f>
        <v>TrendMart Kochi High Street</v>
      </c>
      <c r="Y1539" t="str">
        <f>IFERROR(INDEX(Stores!$E:$E,MATCH(E1539,Stores!$A:$A,0)),"Unknown")</f>
        <v>South Zone 1</v>
      </c>
      <c r="Z1539" t="str">
        <f>IFERROR(INDEX(Customers!$J:$J,MATCH(C1539,Customers!$A:$A,0)),"Unknown")</f>
        <v>Silver</v>
      </c>
      <c r="AA1539" t="str">
        <f t="shared" si="24"/>
        <v>2024-10</v>
      </c>
      <c r="AB1539" t="str">
        <f>IFERROR(INDEX(Products!$I:$I,MATCH(D1539,Products!$A:$A,0)),"Unknown")</f>
        <v>SUP088</v>
      </c>
    </row>
    <row r="1540" spans="1:28" x14ac:dyDescent="0.25">
      <c r="A1540" t="s">
        <v>3450</v>
      </c>
      <c r="B1540" s="20">
        <v>45649</v>
      </c>
      <c r="C1540" t="s">
        <v>2322</v>
      </c>
      <c r="D1540" t="s">
        <v>1095</v>
      </c>
      <c r="E1540" t="s">
        <v>334</v>
      </c>
      <c r="F1540" t="s">
        <v>403</v>
      </c>
      <c r="G1540">
        <v>3</v>
      </c>
      <c r="H1540" s="21">
        <v>1220.5899999999999</v>
      </c>
      <c r="I1540">
        <v>5</v>
      </c>
      <c r="J1540" s="21">
        <v>183.09</v>
      </c>
      <c r="K1540">
        <v>12</v>
      </c>
      <c r="L1540" s="21">
        <v>417.44</v>
      </c>
      <c r="M1540" s="21">
        <v>3896.12</v>
      </c>
      <c r="N1540" s="21">
        <v>2308.89</v>
      </c>
      <c r="O1540" s="21">
        <v>1169.79</v>
      </c>
      <c r="P1540" t="s">
        <v>124</v>
      </c>
      <c r="Q1540" t="s">
        <v>120</v>
      </c>
      <c r="R1540" t="s">
        <v>313</v>
      </c>
      <c r="S1540" t="s">
        <v>570</v>
      </c>
      <c r="T1540" t="s">
        <v>153</v>
      </c>
      <c r="U1540" t="s">
        <v>154</v>
      </c>
      <c r="V1540" t="str">
        <f>IFERROR(INDEX(Products!$C:$C,MATCH(D1540,Products!$A:$A,0)),"Unknown")</f>
        <v>Women Dresses</v>
      </c>
      <c r="W1540" t="str">
        <f>IFERROR(INDEX(Products!$E:$E,MATCH(D1540,Products!$A:$A,0)),"Unknown")</f>
        <v>Ramraj Cotton</v>
      </c>
      <c r="X1540" t="str">
        <f>IFERROR(INDEX(Stores!$B:$B,MATCH(E1540,Stores!$A:$A,0)),"Unknown")</f>
        <v>TrendMart Madurai High Street</v>
      </c>
      <c r="Y1540" t="str">
        <f>IFERROR(INDEX(Stores!$E:$E,MATCH(E1540,Stores!$A:$A,0)),"Unknown")</f>
        <v>South Zone 1</v>
      </c>
      <c r="Z1540" t="str">
        <f>IFERROR(INDEX(Customers!$J:$J,MATCH(C1540,Customers!$A:$A,0)),"Unknown")</f>
        <v>Gold</v>
      </c>
      <c r="AA1540" t="str">
        <f t="shared" si="24"/>
        <v>2024-12</v>
      </c>
      <c r="AB1540" t="str">
        <f>IFERROR(INDEX(Products!$I:$I,MATCH(D1540,Products!$A:$A,0)),"Unknown")</f>
        <v>SUP054</v>
      </c>
    </row>
    <row r="1541" spans="1:28" x14ac:dyDescent="0.25">
      <c r="A1541" t="s">
        <v>3451</v>
      </c>
      <c r="B1541" s="20">
        <v>45690</v>
      </c>
      <c r="C1541" t="s">
        <v>2820</v>
      </c>
      <c r="D1541" t="s">
        <v>748</v>
      </c>
      <c r="E1541" t="s">
        <v>83</v>
      </c>
      <c r="F1541" t="s">
        <v>574</v>
      </c>
      <c r="G1541">
        <v>1</v>
      </c>
      <c r="H1541" s="21">
        <v>1164.55</v>
      </c>
      <c r="I1541">
        <v>0</v>
      </c>
      <c r="J1541" s="21">
        <v>0</v>
      </c>
      <c r="K1541">
        <v>12</v>
      </c>
      <c r="L1541" s="21">
        <v>139.75</v>
      </c>
      <c r="M1541" s="21">
        <v>1304.3</v>
      </c>
      <c r="N1541" s="21">
        <v>841.85</v>
      </c>
      <c r="O1541" s="21">
        <v>322.7</v>
      </c>
      <c r="P1541" t="s">
        <v>124</v>
      </c>
      <c r="Q1541" t="s">
        <v>120</v>
      </c>
      <c r="R1541" t="s">
        <v>151</v>
      </c>
      <c r="S1541" t="s">
        <v>1344</v>
      </c>
      <c r="T1541" t="s">
        <v>161</v>
      </c>
      <c r="U1541" t="s">
        <v>154</v>
      </c>
      <c r="V1541" t="str">
        <f>IFERROR(INDEX(Products!$C:$C,MATCH(D1541,Products!$A:$A,0)),"Unknown")</f>
        <v>Women Dresses</v>
      </c>
      <c r="W1541" t="str">
        <f>IFERROR(INDEX(Products!$E:$E,MATCH(D1541,Products!$A:$A,0)),"Unknown")</f>
        <v>Kalyan Silks</v>
      </c>
      <c r="X1541" t="str">
        <f>IFERROR(INDEX(Stores!$B:$B,MATCH(E1541,Stores!$A:$A,0)),"Unknown")</f>
        <v>TrendMart Vellore Standard</v>
      </c>
      <c r="Y1541" t="str">
        <f>IFERROR(INDEX(Stores!$E:$E,MATCH(E1541,Stores!$A:$A,0)),"Unknown")</f>
        <v>South Zone 1</v>
      </c>
      <c r="Z1541" t="str">
        <f>IFERROR(INDEX(Customers!$J:$J,MATCH(C1541,Customers!$A:$A,0)),"Unknown")</f>
        <v>Regular</v>
      </c>
      <c r="AA1541" t="str">
        <f t="shared" si="24"/>
        <v>2025-02</v>
      </c>
      <c r="AB1541" t="str">
        <f>IFERROR(INDEX(Products!$I:$I,MATCH(D1541,Products!$A:$A,0)),"Unknown")</f>
        <v>SUP036</v>
      </c>
    </row>
    <row r="1542" spans="1:28" x14ac:dyDescent="0.25">
      <c r="A1542" t="s">
        <v>3452</v>
      </c>
      <c r="B1542" s="20">
        <v>45544</v>
      </c>
      <c r="C1542" t="s">
        <v>3453</v>
      </c>
      <c r="D1542" t="s">
        <v>1156</v>
      </c>
      <c r="E1542" t="s">
        <v>1163</v>
      </c>
      <c r="F1542" t="s">
        <v>221</v>
      </c>
      <c r="G1542">
        <v>3</v>
      </c>
      <c r="H1542" s="21">
        <v>629.84</v>
      </c>
      <c r="I1542">
        <v>0</v>
      </c>
      <c r="J1542" s="21">
        <v>0</v>
      </c>
      <c r="K1542">
        <v>5</v>
      </c>
      <c r="L1542" s="21">
        <v>94.48</v>
      </c>
      <c r="M1542" s="21">
        <v>1984</v>
      </c>
      <c r="N1542" s="21">
        <v>1528.32</v>
      </c>
      <c r="O1542" s="21">
        <v>361.2</v>
      </c>
      <c r="P1542" t="s">
        <v>124</v>
      </c>
      <c r="Q1542" t="s">
        <v>120</v>
      </c>
      <c r="R1542" t="s">
        <v>151</v>
      </c>
      <c r="S1542" t="s">
        <v>3305</v>
      </c>
      <c r="T1542" t="s">
        <v>153</v>
      </c>
      <c r="U1542" t="s">
        <v>154</v>
      </c>
      <c r="V1542" t="str">
        <f>IFERROR(INDEX(Products!$C:$C,MATCH(D1542,Products!$A:$A,0)),"Unknown")</f>
        <v>Kids Wear</v>
      </c>
      <c r="W1542" t="str">
        <f>IFERROR(INDEX(Products!$E:$E,MATCH(D1542,Products!$A:$A,0)),"Unknown")</f>
        <v>Allen Solly</v>
      </c>
      <c r="X1542" t="str">
        <f>IFERROR(INDEX(Stores!$B:$B,MATCH(E1542,Stores!$A:$A,0)),"Unknown")</f>
        <v>TrendMart Alappuzha Outlet</v>
      </c>
      <c r="Y1542" t="str">
        <f>IFERROR(INDEX(Stores!$E:$E,MATCH(E1542,Stores!$A:$A,0)),"Unknown")</f>
        <v>South Zone 1</v>
      </c>
      <c r="Z1542" t="str">
        <f>IFERROR(INDEX(Customers!$J:$J,MATCH(C1542,Customers!$A:$A,0)),"Unknown")</f>
        <v>Silver</v>
      </c>
      <c r="AA1542" t="str">
        <f t="shared" si="24"/>
        <v>2024-09</v>
      </c>
      <c r="AB1542" t="str">
        <f>IFERROR(INDEX(Products!$I:$I,MATCH(D1542,Products!$A:$A,0)),"Unknown")</f>
        <v>SUP026</v>
      </c>
    </row>
    <row r="1543" spans="1:28" x14ac:dyDescent="0.25">
      <c r="A1543" t="s">
        <v>3454</v>
      </c>
      <c r="B1543" s="20">
        <v>45561</v>
      </c>
      <c r="C1543" t="s">
        <v>3455</v>
      </c>
      <c r="D1543" t="s">
        <v>2039</v>
      </c>
      <c r="E1543" t="s">
        <v>914</v>
      </c>
      <c r="F1543" t="s">
        <v>182</v>
      </c>
      <c r="G1543">
        <v>1</v>
      </c>
      <c r="H1543" s="21">
        <v>3036.67</v>
      </c>
      <c r="I1543">
        <v>0</v>
      </c>
      <c r="J1543" s="21">
        <v>0</v>
      </c>
      <c r="K1543">
        <v>12</v>
      </c>
      <c r="L1543" s="21">
        <v>364.4</v>
      </c>
      <c r="M1543" s="21">
        <v>3401.07</v>
      </c>
      <c r="N1543" s="21">
        <v>2078.92</v>
      </c>
      <c r="O1543" s="21">
        <v>957.75</v>
      </c>
      <c r="P1543" t="s">
        <v>123</v>
      </c>
      <c r="Q1543" t="s">
        <v>120</v>
      </c>
      <c r="R1543" t="s">
        <v>151</v>
      </c>
      <c r="S1543" t="s">
        <v>1137</v>
      </c>
      <c r="T1543" t="s">
        <v>153</v>
      </c>
      <c r="U1543" t="s">
        <v>154</v>
      </c>
      <c r="V1543" t="str">
        <f>IFERROR(INDEX(Products!$C:$C,MATCH(D1543,Products!$A:$A,0)),"Unknown")</f>
        <v>Women Sarees</v>
      </c>
      <c r="W1543" t="str">
        <f>IFERROR(INDEX(Products!$E:$E,MATCH(D1543,Products!$A:$A,0)),"Unknown")</f>
        <v>Arrow</v>
      </c>
      <c r="X1543" t="str">
        <f>IFERROR(INDEX(Stores!$B:$B,MATCH(E1543,Stores!$A:$A,0)),"Unknown")</f>
        <v>TrendMart Thiruvananthapuram Outlet</v>
      </c>
      <c r="Y1543" t="str">
        <f>IFERROR(INDEX(Stores!$E:$E,MATCH(E1543,Stores!$A:$A,0)),"Unknown")</f>
        <v>South Zone 1</v>
      </c>
      <c r="Z1543" t="str">
        <f>IFERROR(INDEX(Customers!$J:$J,MATCH(C1543,Customers!$A:$A,0)),"Unknown")</f>
        <v>Platinum</v>
      </c>
      <c r="AA1543" t="str">
        <f t="shared" si="24"/>
        <v>2024-09</v>
      </c>
      <c r="AB1543" t="str">
        <f>IFERROR(INDEX(Products!$I:$I,MATCH(D1543,Products!$A:$A,0)),"Unknown")</f>
        <v>SUP087</v>
      </c>
    </row>
    <row r="1544" spans="1:28" x14ac:dyDescent="0.25">
      <c r="A1544" t="s">
        <v>3456</v>
      </c>
      <c r="B1544" s="20">
        <v>45467</v>
      </c>
      <c r="C1544" t="s">
        <v>1924</v>
      </c>
      <c r="D1544" t="s">
        <v>1877</v>
      </c>
      <c r="E1544" t="s">
        <v>1074</v>
      </c>
      <c r="F1544" t="s">
        <v>176</v>
      </c>
      <c r="G1544">
        <v>1</v>
      </c>
      <c r="H1544" s="21">
        <v>1746.54</v>
      </c>
      <c r="I1544">
        <v>0</v>
      </c>
      <c r="J1544" s="21">
        <v>0</v>
      </c>
      <c r="K1544">
        <v>12</v>
      </c>
      <c r="L1544" s="21">
        <v>209.58</v>
      </c>
      <c r="M1544" s="21">
        <v>1956.12</v>
      </c>
      <c r="N1544" s="21">
        <v>1331.55</v>
      </c>
      <c r="O1544" s="21">
        <v>414.99</v>
      </c>
      <c r="P1544" t="s">
        <v>124</v>
      </c>
      <c r="Q1544" t="s">
        <v>122</v>
      </c>
      <c r="R1544" t="s">
        <v>151</v>
      </c>
      <c r="S1544" t="s">
        <v>3457</v>
      </c>
      <c r="T1544" t="s">
        <v>153</v>
      </c>
      <c r="U1544" t="s">
        <v>154</v>
      </c>
      <c r="V1544" t="str">
        <f>IFERROR(INDEX(Products!$C:$C,MATCH(D1544,Products!$A:$A,0)),"Unknown")</f>
        <v>Women Sarees</v>
      </c>
      <c r="W1544" t="str">
        <f>IFERROR(INDEX(Products!$E:$E,MATCH(D1544,Products!$A:$A,0)),"Unknown")</f>
        <v>Sonata</v>
      </c>
      <c r="X1544" t="str">
        <f>IFERROR(INDEX(Stores!$B:$B,MATCH(E1544,Stores!$A:$A,0)),"Unknown")</f>
        <v>TrendMart Hyderabad Standard</v>
      </c>
      <c r="Y1544" t="str">
        <f>IFERROR(INDEX(Stores!$E:$E,MATCH(E1544,Stores!$A:$A,0)),"Unknown")</f>
        <v>South Zone 2</v>
      </c>
      <c r="Z1544" t="str">
        <f>IFERROR(INDEX(Customers!$J:$J,MATCH(C1544,Customers!$A:$A,0)),"Unknown")</f>
        <v>Silver</v>
      </c>
      <c r="AA1544" t="str">
        <f t="shared" si="24"/>
        <v>2024-06</v>
      </c>
      <c r="AB1544" t="str">
        <f>IFERROR(INDEX(Products!$I:$I,MATCH(D1544,Products!$A:$A,0)),"Unknown")</f>
        <v>SUP073</v>
      </c>
    </row>
    <row r="1545" spans="1:28" x14ac:dyDescent="0.25">
      <c r="A1545" t="s">
        <v>3458</v>
      </c>
      <c r="B1545" s="20">
        <v>45591</v>
      </c>
      <c r="C1545" t="s">
        <v>1534</v>
      </c>
      <c r="D1545" t="s">
        <v>1296</v>
      </c>
      <c r="E1545" t="s">
        <v>456</v>
      </c>
      <c r="F1545" t="s">
        <v>344</v>
      </c>
      <c r="G1545">
        <v>4</v>
      </c>
      <c r="H1545" s="21">
        <v>984.23</v>
      </c>
      <c r="I1545">
        <v>0</v>
      </c>
      <c r="J1545" s="21">
        <v>0</v>
      </c>
      <c r="K1545">
        <v>5</v>
      </c>
      <c r="L1545" s="21">
        <v>196.85</v>
      </c>
      <c r="M1545" s="21">
        <v>4133.7700000000004</v>
      </c>
      <c r="N1545" s="21">
        <v>2684.76</v>
      </c>
      <c r="O1545" s="21">
        <v>1252.1600000000001</v>
      </c>
      <c r="P1545" t="s">
        <v>121</v>
      </c>
      <c r="Q1545" t="s">
        <v>120</v>
      </c>
      <c r="R1545" t="s">
        <v>151</v>
      </c>
      <c r="S1545" t="s">
        <v>1762</v>
      </c>
      <c r="T1545" t="s">
        <v>161</v>
      </c>
      <c r="U1545" t="s">
        <v>154</v>
      </c>
      <c r="V1545" t="str">
        <f>IFERROR(INDEX(Products!$C:$C,MATCH(D1545,Products!$A:$A,0)),"Unknown")</f>
        <v>Handbags</v>
      </c>
      <c r="W1545" t="str">
        <f>IFERROR(INDEX(Products!$E:$E,MATCH(D1545,Products!$A:$A,0)),"Unknown")</f>
        <v>Tanishq</v>
      </c>
      <c r="X1545" t="str">
        <f>IFERROR(INDEX(Stores!$B:$B,MATCH(E1545,Stores!$A:$A,0)),"Unknown")</f>
        <v>TrendMart Salem Outlet</v>
      </c>
      <c r="Y1545" t="str">
        <f>IFERROR(INDEX(Stores!$E:$E,MATCH(E1545,Stores!$A:$A,0)),"Unknown")</f>
        <v>South Zone 1</v>
      </c>
      <c r="Z1545" t="str">
        <f>IFERROR(INDEX(Customers!$J:$J,MATCH(C1545,Customers!$A:$A,0)),"Unknown")</f>
        <v>Regular</v>
      </c>
      <c r="AA1545" t="str">
        <f t="shared" si="24"/>
        <v>2024-10</v>
      </c>
      <c r="AB1545" t="str">
        <f>IFERROR(INDEX(Products!$I:$I,MATCH(D1545,Products!$A:$A,0)),"Unknown")</f>
        <v>SUP083</v>
      </c>
    </row>
    <row r="1546" spans="1:28" x14ac:dyDescent="0.25">
      <c r="A1546" t="s">
        <v>3459</v>
      </c>
      <c r="B1546" s="20">
        <v>45585</v>
      </c>
      <c r="C1546" t="s">
        <v>3090</v>
      </c>
      <c r="D1546" t="s">
        <v>1292</v>
      </c>
      <c r="E1546" t="s">
        <v>1825</v>
      </c>
      <c r="F1546" t="s">
        <v>286</v>
      </c>
      <c r="G1546">
        <v>4</v>
      </c>
      <c r="H1546" s="21">
        <v>596.80999999999995</v>
      </c>
      <c r="I1546">
        <v>5</v>
      </c>
      <c r="J1546" s="21">
        <v>119.36</v>
      </c>
      <c r="K1546">
        <v>5</v>
      </c>
      <c r="L1546" s="21">
        <v>113.39</v>
      </c>
      <c r="M1546" s="21">
        <v>2381.27</v>
      </c>
      <c r="N1546" s="21">
        <v>1395</v>
      </c>
      <c r="O1546" s="21">
        <v>872.88</v>
      </c>
      <c r="P1546" t="s">
        <v>121</v>
      </c>
      <c r="Q1546" t="s">
        <v>120</v>
      </c>
      <c r="R1546" t="s">
        <v>151</v>
      </c>
      <c r="S1546" t="s">
        <v>1669</v>
      </c>
      <c r="T1546" t="s">
        <v>161</v>
      </c>
      <c r="U1546" t="s">
        <v>154</v>
      </c>
      <c r="V1546" t="str">
        <f>IFERROR(INDEX(Products!$C:$C,MATCH(D1546,Products!$A:$A,0)),"Unknown")</f>
        <v>Men T-Shirts</v>
      </c>
      <c r="W1546" t="str">
        <f>IFERROR(INDEX(Products!$E:$E,MATCH(D1546,Products!$A:$A,0)),"Unknown")</f>
        <v>Metro Shoes</v>
      </c>
      <c r="X1546" t="str">
        <f>IFERROR(INDEX(Stores!$B:$B,MATCH(E1546,Stores!$A:$A,0)),"Unknown")</f>
        <v>TrendMart Vijayawada Outlet</v>
      </c>
      <c r="Y1546" t="str">
        <f>IFERROR(INDEX(Stores!$E:$E,MATCH(E1546,Stores!$A:$A,0)),"Unknown")</f>
        <v>South Zone 3</v>
      </c>
      <c r="Z1546" t="str">
        <f>IFERROR(INDEX(Customers!$J:$J,MATCH(C1546,Customers!$A:$A,0)),"Unknown")</f>
        <v>Silver</v>
      </c>
      <c r="AA1546" t="str">
        <f t="shared" si="24"/>
        <v>2024-10</v>
      </c>
      <c r="AB1546" t="str">
        <f>IFERROR(INDEX(Products!$I:$I,MATCH(D1546,Products!$A:$A,0)),"Unknown")</f>
        <v>SUP024</v>
      </c>
    </row>
    <row r="1547" spans="1:28" x14ac:dyDescent="0.25">
      <c r="A1547" t="s">
        <v>3460</v>
      </c>
      <c r="B1547" s="20">
        <v>45583</v>
      </c>
      <c r="C1547" t="s">
        <v>2089</v>
      </c>
      <c r="D1547" t="s">
        <v>1088</v>
      </c>
      <c r="E1547" t="s">
        <v>752</v>
      </c>
      <c r="F1547" t="s">
        <v>150</v>
      </c>
      <c r="G1547">
        <v>2</v>
      </c>
      <c r="H1547" s="21">
        <v>870.5</v>
      </c>
      <c r="I1547">
        <v>30</v>
      </c>
      <c r="J1547" s="21">
        <v>522.29999999999995</v>
      </c>
      <c r="K1547">
        <v>5</v>
      </c>
      <c r="L1547" s="21">
        <v>60.94</v>
      </c>
      <c r="M1547" s="21">
        <v>1279.6400000000001</v>
      </c>
      <c r="N1547" s="21">
        <v>1198.56</v>
      </c>
      <c r="O1547" s="21">
        <v>20.14</v>
      </c>
      <c r="P1547" t="s">
        <v>121</v>
      </c>
      <c r="Q1547" t="s">
        <v>120</v>
      </c>
      <c r="R1547" t="s">
        <v>151</v>
      </c>
      <c r="S1547" t="s">
        <v>2502</v>
      </c>
      <c r="T1547" t="s">
        <v>153</v>
      </c>
      <c r="U1547" t="s">
        <v>154</v>
      </c>
      <c r="V1547" t="str">
        <f>IFERROR(INDEX(Products!$C:$C,MATCH(D1547,Products!$A:$A,0)),"Unknown")</f>
        <v>Women Kurtis</v>
      </c>
      <c r="W1547" t="str">
        <f>IFERROR(INDEX(Products!$E:$E,MATCH(D1547,Products!$A:$A,0)),"Unknown")</f>
        <v>Metro Shoes</v>
      </c>
      <c r="X1547" t="str">
        <f>IFERROR(INDEX(Stores!$B:$B,MATCH(E1547,Stores!$A:$A,0)),"Unknown")</f>
        <v>TrendMart Dindigul High Street</v>
      </c>
      <c r="Y1547" t="str">
        <f>IFERROR(INDEX(Stores!$E:$E,MATCH(E1547,Stores!$A:$A,0)),"Unknown")</f>
        <v>South Zone 1</v>
      </c>
      <c r="Z1547" t="str">
        <f>IFERROR(INDEX(Customers!$J:$J,MATCH(C1547,Customers!$A:$A,0)),"Unknown")</f>
        <v>Silver</v>
      </c>
      <c r="AA1547" t="str">
        <f t="shared" si="24"/>
        <v>2024-10</v>
      </c>
      <c r="AB1547" t="str">
        <f>IFERROR(INDEX(Products!$I:$I,MATCH(D1547,Products!$A:$A,0)),"Unknown")</f>
        <v>SUP045</v>
      </c>
    </row>
    <row r="1548" spans="1:28" x14ac:dyDescent="0.25">
      <c r="A1548" t="s">
        <v>3461</v>
      </c>
      <c r="B1548" s="20">
        <v>45729</v>
      </c>
      <c r="C1548" t="s">
        <v>1094</v>
      </c>
      <c r="D1548" t="s">
        <v>830</v>
      </c>
      <c r="E1548" t="s">
        <v>745</v>
      </c>
      <c r="F1548" t="s">
        <v>237</v>
      </c>
      <c r="G1548">
        <v>2</v>
      </c>
      <c r="H1548" s="21">
        <v>828.05</v>
      </c>
      <c r="I1548">
        <v>15</v>
      </c>
      <c r="J1548" s="21">
        <v>248.41</v>
      </c>
      <c r="K1548">
        <v>5</v>
      </c>
      <c r="L1548" s="21">
        <v>70.38</v>
      </c>
      <c r="M1548" s="21">
        <v>1478.07</v>
      </c>
      <c r="N1548" s="21">
        <v>1140.4000000000001</v>
      </c>
      <c r="O1548" s="21">
        <v>267.29000000000002</v>
      </c>
      <c r="P1548" t="s">
        <v>125</v>
      </c>
      <c r="Q1548" t="s">
        <v>120</v>
      </c>
      <c r="R1548" t="s">
        <v>151</v>
      </c>
      <c r="S1548" t="s">
        <v>3462</v>
      </c>
      <c r="T1548" t="s">
        <v>153</v>
      </c>
      <c r="U1548" t="s">
        <v>154</v>
      </c>
      <c r="V1548" t="str">
        <f>IFERROR(INDEX(Products!$C:$C,MATCH(D1548,Products!$A:$A,0)),"Unknown")</f>
        <v>Men Shirts</v>
      </c>
      <c r="W1548" t="str">
        <f>IFERROR(INDEX(Products!$E:$E,MATCH(D1548,Products!$A:$A,0)),"Unknown")</f>
        <v>AND</v>
      </c>
      <c r="X1548" t="str">
        <f>IFERROR(INDEX(Stores!$B:$B,MATCH(E1548,Stores!$A:$A,0)),"Unknown")</f>
        <v>TrendMart Thiruvananthapuram Outlet</v>
      </c>
      <c r="Y1548" t="str">
        <f>IFERROR(INDEX(Stores!$E:$E,MATCH(E1548,Stores!$A:$A,0)),"Unknown")</f>
        <v>South Zone 1</v>
      </c>
      <c r="Z1548" t="str">
        <f>IFERROR(INDEX(Customers!$J:$J,MATCH(C1548,Customers!$A:$A,0)),"Unknown")</f>
        <v>Silver</v>
      </c>
      <c r="AA1548" t="str">
        <f t="shared" si="24"/>
        <v>2025-03</v>
      </c>
      <c r="AB1548" t="str">
        <f>IFERROR(INDEX(Products!$I:$I,MATCH(D1548,Products!$A:$A,0)),"Unknown")</f>
        <v>SUP012</v>
      </c>
    </row>
    <row r="1549" spans="1:28" x14ac:dyDescent="0.25">
      <c r="A1549" t="s">
        <v>3463</v>
      </c>
      <c r="B1549" s="20">
        <v>45700</v>
      </c>
      <c r="C1549" t="s">
        <v>3464</v>
      </c>
      <c r="D1549" t="s">
        <v>2129</v>
      </c>
      <c r="E1549" t="s">
        <v>578</v>
      </c>
      <c r="F1549" t="s">
        <v>434</v>
      </c>
      <c r="G1549">
        <v>4</v>
      </c>
      <c r="H1549" s="21">
        <v>2620.11</v>
      </c>
      <c r="I1549">
        <v>30</v>
      </c>
      <c r="J1549" s="21">
        <v>3144.13</v>
      </c>
      <c r="K1549">
        <v>12</v>
      </c>
      <c r="L1549" s="21">
        <v>880.36</v>
      </c>
      <c r="M1549" s="21">
        <v>8216.67</v>
      </c>
      <c r="N1549" s="21">
        <v>7553.16</v>
      </c>
      <c r="O1549" s="21">
        <v>-216.85</v>
      </c>
      <c r="P1549" t="s">
        <v>123</v>
      </c>
      <c r="Q1549" t="s">
        <v>120</v>
      </c>
      <c r="R1549" t="s">
        <v>151</v>
      </c>
      <c r="S1549" t="s">
        <v>1391</v>
      </c>
      <c r="T1549" t="s">
        <v>153</v>
      </c>
      <c r="U1549" t="s">
        <v>184</v>
      </c>
      <c r="V1549" t="str">
        <f>IFERROR(INDEX(Products!$C:$C,MATCH(D1549,Products!$A:$A,0)),"Unknown")</f>
        <v>Men Ethnic</v>
      </c>
      <c r="W1549" t="str">
        <f>IFERROR(INDEX(Products!$E:$E,MATCH(D1549,Products!$A:$A,0)),"Unknown")</f>
        <v>Reebok</v>
      </c>
      <c r="X1549" t="str">
        <f>IFERROR(INDEX(Stores!$B:$B,MATCH(E1549,Stores!$A:$A,0)),"Unknown")</f>
        <v>TrendMart Vellore Standard</v>
      </c>
      <c r="Y1549" t="str">
        <f>IFERROR(INDEX(Stores!$E:$E,MATCH(E1549,Stores!$A:$A,0)),"Unknown")</f>
        <v>South Zone 1</v>
      </c>
      <c r="Z1549" t="str">
        <f>IFERROR(INDEX(Customers!$J:$J,MATCH(C1549,Customers!$A:$A,0)),"Unknown")</f>
        <v>Gold</v>
      </c>
      <c r="AA1549" t="str">
        <f t="shared" si="24"/>
        <v>2025-02</v>
      </c>
      <c r="AB1549" t="str">
        <f>IFERROR(INDEX(Products!$I:$I,MATCH(D1549,Products!$A:$A,0)),"Unknown")</f>
        <v>SUP029</v>
      </c>
    </row>
    <row r="1550" spans="1:28" x14ac:dyDescent="0.25">
      <c r="A1550" t="s">
        <v>3465</v>
      </c>
      <c r="B1550" s="20">
        <v>45590</v>
      </c>
      <c r="C1550" t="s">
        <v>1503</v>
      </c>
      <c r="D1550" t="s">
        <v>947</v>
      </c>
      <c r="E1550" t="s">
        <v>92</v>
      </c>
      <c r="F1550" t="s">
        <v>292</v>
      </c>
      <c r="G1550">
        <v>2</v>
      </c>
      <c r="H1550" s="21">
        <v>756.41</v>
      </c>
      <c r="I1550">
        <v>10</v>
      </c>
      <c r="J1550" s="21">
        <v>151.28</v>
      </c>
      <c r="K1550">
        <v>5</v>
      </c>
      <c r="L1550" s="21">
        <v>68.08</v>
      </c>
      <c r="M1550" s="21">
        <v>1429.62</v>
      </c>
      <c r="N1550" s="21">
        <v>1138.7</v>
      </c>
      <c r="O1550" s="21">
        <v>222.84</v>
      </c>
      <c r="P1550" t="s">
        <v>121</v>
      </c>
      <c r="Q1550" t="s">
        <v>122</v>
      </c>
      <c r="R1550" t="s">
        <v>151</v>
      </c>
      <c r="S1550" t="s">
        <v>917</v>
      </c>
      <c r="T1550" t="s">
        <v>153</v>
      </c>
      <c r="U1550" t="s">
        <v>154</v>
      </c>
      <c r="V1550" t="str">
        <f>IFERROR(INDEX(Products!$C:$C,MATCH(D1550,Products!$A:$A,0)),"Unknown")</f>
        <v>Women Kurtis</v>
      </c>
      <c r="W1550" t="str">
        <f>IFERROR(INDEX(Products!$E:$E,MATCH(D1550,Products!$A:$A,0)),"Unknown")</f>
        <v>Sonata</v>
      </c>
      <c r="X1550" t="str">
        <f>IFERROR(INDEX(Stores!$B:$B,MATCH(E1550,Stores!$A:$A,0)),"Unknown")</f>
        <v>TrendMart Guntur High Street</v>
      </c>
      <c r="Y1550" t="str">
        <f>IFERROR(INDEX(Stores!$E:$E,MATCH(E1550,Stores!$A:$A,0)),"Unknown")</f>
        <v>South Zone 3</v>
      </c>
      <c r="Z1550" t="str">
        <f>IFERROR(INDEX(Customers!$J:$J,MATCH(C1550,Customers!$A:$A,0)),"Unknown")</f>
        <v>Platinum</v>
      </c>
      <c r="AA1550" t="str">
        <f t="shared" si="24"/>
        <v>2024-10</v>
      </c>
      <c r="AB1550" t="str">
        <f>IFERROR(INDEX(Products!$I:$I,MATCH(D1550,Products!$A:$A,0)),"Unknown")</f>
        <v>SUP001</v>
      </c>
    </row>
    <row r="1551" spans="1:28" x14ac:dyDescent="0.25">
      <c r="A1551" t="s">
        <v>3466</v>
      </c>
      <c r="B1551" s="20">
        <v>45582</v>
      </c>
      <c r="C1551" t="s">
        <v>2677</v>
      </c>
      <c r="D1551" t="s">
        <v>801</v>
      </c>
      <c r="E1551" t="s">
        <v>1023</v>
      </c>
      <c r="F1551" t="s">
        <v>532</v>
      </c>
      <c r="G1551">
        <v>1</v>
      </c>
      <c r="H1551" s="21">
        <v>632.97</v>
      </c>
      <c r="I1551">
        <v>30</v>
      </c>
      <c r="J1551" s="21">
        <v>189.89</v>
      </c>
      <c r="K1551">
        <v>5</v>
      </c>
      <c r="L1551" s="21">
        <v>22.15</v>
      </c>
      <c r="M1551" s="21">
        <v>465.23</v>
      </c>
      <c r="N1551" s="21">
        <v>424.76</v>
      </c>
      <c r="O1551" s="21">
        <v>18.32</v>
      </c>
      <c r="P1551" t="s">
        <v>123</v>
      </c>
      <c r="Q1551" t="s">
        <v>120</v>
      </c>
      <c r="R1551" t="s">
        <v>151</v>
      </c>
      <c r="S1551" t="s">
        <v>997</v>
      </c>
      <c r="T1551" t="s">
        <v>153</v>
      </c>
      <c r="U1551" t="s">
        <v>154</v>
      </c>
      <c r="V1551" t="str">
        <f>IFERROR(INDEX(Products!$C:$C,MATCH(D1551,Products!$A:$A,0)),"Unknown")</f>
        <v>Kids Wear</v>
      </c>
      <c r="W1551" t="str">
        <f>IFERROR(INDEX(Products!$E:$E,MATCH(D1551,Products!$A:$A,0)),"Unknown")</f>
        <v>Being Human</v>
      </c>
      <c r="X1551" t="str">
        <f>IFERROR(INDEX(Stores!$B:$B,MATCH(E1551,Stores!$A:$A,0)),"Unknown")</f>
        <v>TrendMart Kochi High Street</v>
      </c>
      <c r="Y1551" t="str">
        <f>IFERROR(INDEX(Stores!$E:$E,MATCH(E1551,Stores!$A:$A,0)),"Unknown")</f>
        <v>South Zone 1</v>
      </c>
      <c r="Z1551" t="str">
        <f>IFERROR(INDEX(Customers!$J:$J,MATCH(C1551,Customers!$A:$A,0)),"Unknown")</f>
        <v>Silver</v>
      </c>
      <c r="AA1551" t="str">
        <f t="shared" si="24"/>
        <v>2024-10</v>
      </c>
      <c r="AB1551" t="str">
        <f>IFERROR(INDEX(Products!$I:$I,MATCH(D1551,Products!$A:$A,0)),"Unknown")</f>
        <v>SUP063</v>
      </c>
    </row>
    <row r="1552" spans="1:28" x14ac:dyDescent="0.25">
      <c r="A1552" t="s">
        <v>3467</v>
      </c>
      <c r="B1552" s="20">
        <v>45617</v>
      </c>
      <c r="C1552" t="s">
        <v>692</v>
      </c>
      <c r="D1552" t="s">
        <v>2281</v>
      </c>
      <c r="E1552" t="s">
        <v>823</v>
      </c>
      <c r="F1552" t="s">
        <v>335</v>
      </c>
      <c r="G1552">
        <v>4</v>
      </c>
      <c r="H1552" s="21">
        <v>576.53</v>
      </c>
      <c r="I1552">
        <v>10</v>
      </c>
      <c r="J1552" s="21">
        <v>230.61</v>
      </c>
      <c r="K1552">
        <v>5</v>
      </c>
      <c r="L1552" s="21">
        <v>103.78</v>
      </c>
      <c r="M1552" s="21">
        <v>2179.29</v>
      </c>
      <c r="N1552" s="21">
        <v>1493.08</v>
      </c>
      <c r="O1552" s="21">
        <v>582.42999999999995</v>
      </c>
      <c r="P1552" t="s">
        <v>125</v>
      </c>
      <c r="Q1552" t="s">
        <v>120</v>
      </c>
      <c r="R1552" t="s">
        <v>151</v>
      </c>
      <c r="S1552" t="s">
        <v>580</v>
      </c>
      <c r="T1552" t="s">
        <v>153</v>
      </c>
      <c r="U1552" t="s">
        <v>154</v>
      </c>
      <c r="V1552" t="str">
        <f>IFERROR(INDEX(Products!$C:$C,MATCH(D1552,Products!$A:$A,0)),"Unknown")</f>
        <v>Men T-Shirts</v>
      </c>
      <c r="W1552" t="str">
        <f>IFERROR(INDEX(Products!$E:$E,MATCH(D1552,Products!$A:$A,0)),"Unknown")</f>
        <v>Indian Terrain</v>
      </c>
      <c r="X1552" t="str">
        <f>IFERROR(INDEX(Stores!$B:$B,MATCH(E1552,Stores!$A:$A,0)),"Unknown")</f>
        <v>TrendMart Thoothukudi Mall Kiosk</v>
      </c>
      <c r="Y1552" t="str">
        <f>IFERROR(INDEX(Stores!$E:$E,MATCH(E1552,Stores!$A:$A,0)),"Unknown")</f>
        <v>South Zone 1</v>
      </c>
      <c r="Z1552" t="str">
        <f>IFERROR(INDEX(Customers!$J:$J,MATCH(C1552,Customers!$A:$A,0)),"Unknown")</f>
        <v>Regular</v>
      </c>
      <c r="AA1552" t="str">
        <f t="shared" si="24"/>
        <v>2024-11</v>
      </c>
      <c r="AB1552" t="str">
        <f>IFERROR(INDEX(Products!$I:$I,MATCH(D1552,Products!$A:$A,0)),"Unknown")</f>
        <v>SUP074</v>
      </c>
    </row>
    <row r="1553" spans="1:28" x14ac:dyDescent="0.25">
      <c r="A1553" t="s">
        <v>3468</v>
      </c>
      <c r="B1553" s="20">
        <v>45537</v>
      </c>
      <c r="C1553" t="s">
        <v>2045</v>
      </c>
      <c r="D1553" t="s">
        <v>654</v>
      </c>
      <c r="E1553" t="s">
        <v>1074</v>
      </c>
      <c r="F1553" t="s">
        <v>221</v>
      </c>
      <c r="G1553">
        <v>1</v>
      </c>
      <c r="H1553" s="21">
        <v>1127.3399999999999</v>
      </c>
      <c r="I1553">
        <v>10</v>
      </c>
      <c r="J1553" s="21">
        <v>112.73</v>
      </c>
      <c r="K1553">
        <v>12</v>
      </c>
      <c r="L1553" s="21">
        <v>121.75</v>
      </c>
      <c r="M1553" s="21">
        <v>1136.3599999999999</v>
      </c>
      <c r="N1553" s="21">
        <v>865.42</v>
      </c>
      <c r="O1553" s="21">
        <v>149.19</v>
      </c>
      <c r="P1553" t="s">
        <v>123</v>
      </c>
      <c r="Q1553" t="s">
        <v>122</v>
      </c>
      <c r="R1553" t="s">
        <v>151</v>
      </c>
      <c r="S1553" t="s">
        <v>1145</v>
      </c>
      <c r="T1553" t="s">
        <v>153</v>
      </c>
      <c r="U1553" t="s">
        <v>154</v>
      </c>
      <c r="V1553" t="str">
        <f>IFERROR(INDEX(Products!$C:$C,MATCH(D1553,Products!$A:$A,0)),"Unknown")</f>
        <v>Women Dresses</v>
      </c>
      <c r="W1553" t="str">
        <f>IFERROR(INDEX(Products!$E:$E,MATCH(D1553,Products!$A:$A,0)),"Unknown")</f>
        <v>Indian Terrain</v>
      </c>
      <c r="X1553" t="str">
        <f>IFERROR(INDEX(Stores!$B:$B,MATCH(E1553,Stores!$A:$A,0)),"Unknown")</f>
        <v>TrendMart Hyderabad Standard</v>
      </c>
      <c r="Y1553" t="str">
        <f>IFERROR(INDEX(Stores!$E:$E,MATCH(E1553,Stores!$A:$A,0)),"Unknown")</f>
        <v>South Zone 2</v>
      </c>
      <c r="Z1553" t="str">
        <f>IFERROR(INDEX(Customers!$J:$J,MATCH(C1553,Customers!$A:$A,0)),"Unknown")</f>
        <v>Regular</v>
      </c>
      <c r="AA1553" t="str">
        <f t="shared" si="24"/>
        <v>2024-09</v>
      </c>
      <c r="AB1553" t="str">
        <f>IFERROR(INDEX(Products!$I:$I,MATCH(D1553,Products!$A:$A,0)),"Unknown")</f>
        <v>SUP049</v>
      </c>
    </row>
    <row r="1554" spans="1:28" x14ac:dyDescent="0.25">
      <c r="A1554" t="s">
        <v>3469</v>
      </c>
      <c r="B1554" s="20">
        <v>45463</v>
      </c>
      <c r="C1554" t="s">
        <v>2888</v>
      </c>
      <c r="D1554" t="s">
        <v>1095</v>
      </c>
      <c r="E1554" t="s">
        <v>1681</v>
      </c>
      <c r="F1554" t="s">
        <v>403</v>
      </c>
      <c r="G1554">
        <v>1</v>
      </c>
      <c r="H1554" s="21">
        <v>1217.75</v>
      </c>
      <c r="I1554">
        <v>10</v>
      </c>
      <c r="J1554" s="21">
        <v>121.78</v>
      </c>
      <c r="K1554">
        <v>12</v>
      </c>
      <c r="L1554" s="21">
        <v>131.52000000000001</v>
      </c>
      <c r="M1554" s="21">
        <v>1227.49</v>
      </c>
      <c r="N1554" s="21">
        <v>769.63</v>
      </c>
      <c r="O1554" s="21">
        <v>326.33999999999997</v>
      </c>
      <c r="P1554" t="s">
        <v>124</v>
      </c>
      <c r="Q1554" t="s">
        <v>120</v>
      </c>
      <c r="R1554" t="s">
        <v>151</v>
      </c>
      <c r="S1554" t="s">
        <v>1595</v>
      </c>
      <c r="T1554" t="s">
        <v>153</v>
      </c>
      <c r="U1554" t="s">
        <v>154</v>
      </c>
      <c r="V1554" t="str">
        <f>IFERROR(INDEX(Products!$C:$C,MATCH(D1554,Products!$A:$A,0)),"Unknown")</f>
        <v>Women Dresses</v>
      </c>
      <c r="W1554" t="str">
        <f>IFERROR(INDEX(Products!$E:$E,MATCH(D1554,Products!$A:$A,0)),"Unknown")</f>
        <v>Ramraj Cotton</v>
      </c>
      <c r="X1554" t="str">
        <f>IFERROR(INDEX(Stores!$B:$B,MATCH(E1554,Stores!$A:$A,0)),"Unknown")</f>
        <v>TrendMart Warangal Standard</v>
      </c>
      <c r="Y1554" t="str">
        <f>IFERROR(INDEX(Stores!$E:$E,MATCH(E1554,Stores!$A:$A,0)),"Unknown")</f>
        <v>South Zone 2</v>
      </c>
      <c r="Z1554" t="str">
        <f>IFERROR(INDEX(Customers!$J:$J,MATCH(C1554,Customers!$A:$A,0)),"Unknown")</f>
        <v>Regular</v>
      </c>
      <c r="AA1554" t="str">
        <f t="shared" si="24"/>
        <v>2024-06</v>
      </c>
      <c r="AB1554" t="str">
        <f>IFERROR(INDEX(Products!$I:$I,MATCH(D1554,Products!$A:$A,0)),"Unknown")</f>
        <v>SUP054</v>
      </c>
    </row>
    <row r="1555" spans="1:28" x14ac:dyDescent="0.25">
      <c r="A1555" t="s">
        <v>3470</v>
      </c>
      <c r="B1555" s="20">
        <v>45618</v>
      </c>
      <c r="C1555" t="s">
        <v>1855</v>
      </c>
      <c r="D1555" t="s">
        <v>301</v>
      </c>
      <c r="E1555" t="s">
        <v>360</v>
      </c>
      <c r="F1555" t="s">
        <v>263</v>
      </c>
      <c r="G1555">
        <v>2</v>
      </c>
      <c r="H1555" s="21">
        <v>1397.84</v>
      </c>
      <c r="I1555">
        <v>10</v>
      </c>
      <c r="J1555" s="21">
        <v>279.57</v>
      </c>
      <c r="K1555">
        <v>12</v>
      </c>
      <c r="L1555" s="21">
        <v>301.93</v>
      </c>
      <c r="M1555" s="21">
        <v>2818.04</v>
      </c>
      <c r="N1555" s="21">
        <v>1943.3</v>
      </c>
      <c r="O1555" s="21">
        <v>572.80999999999995</v>
      </c>
      <c r="P1555" t="s">
        <v>125</v>
      </c>
      <c r="Q1555" t="s">
        <v>120</v>
      </c>
      <c r="R1555" t="s">
        <v>151</v>
      </c>
      <c r="S1555" t="s">
        <v>2539</v>
      </c>
      <c r="T1555" t="s">
        <v>153</v>
      </c>
      <c r="U1555" t="s">
        <v>154</v>
      </c>
      <c r="V1555" t="str">
        <f>IFERROR(INDEX(Products!$C:$C,MATCH(D1555,Products!$A:$A,0)),"Unknown")</f>
        <v>Women Jeans</v>
      </c>
      <c r="W1555" t="str">
        <f>IFERROR(INDEX(Products!$E:$E,MATCH(D1555,Products!$A:$A,0)),"Unknown")</f>
        <v>Unknown</v>
      </c>
      <c r="X1555" t="str">
        <f>IFERROR(INDEX(Stores!$B:$B,MATCH(E1555,Stores!$A:$A,0)),"Unknown")</f>
        <v>TrendMart Kochi Standard</v>
      </c>
      <c r="Y1555" t="str">
        <f>IFERROR(INDEX(Stores!$E:$E,MATCH(E1555,Stores!$A:$A,0)),"Unknown")</f>
        <v>South Zone 1</v>
      </c>
      <c r="Z1555" t="str">
        <f>IFERROR(INDEX(Customers!$J:$J,MATCH(C1555,Customers!$A:$A,0)),"Unknown")</f>
        <v>Platinum</v>
      </c>
      <c r="AA1555" t="str">
        <f t="shared" si="24"/>
        <v>2024-11</v>
      </c>
      <c r="AB1555" t="str">
        <f>IFERROR(INDEX(Products!$I:$I,MATCH(D1555,Products!$A:$A,0)),"Unknown")</f>
        <v>SUP050</v>
      </c>
    </row>
    <row r="1556" spans="1:28" x14ac:dyDescent="0.25">
      <c r="A1556" t="s">
        <v>3471</v>
      </c>
      <c r="B1556" s="20">
        <v>45409</v>
      </c>
      <c r="C1556" t="s">
        <v>3472</v>
      </c>
      <c r="D1556" t="s">
        <v>3165</v>
      </c>
      <c r="E1556" t="s">
        <v>188</v>
      </c>
      <c r="F1556" t="s">
        <v>335</v>
      </c>
      <c r="G1556">
        <v>2</v>
      </c>
      <c r="H1556" s="21">
        <v>1326.94</v>
      </c>
      <c r="I1556">
        <v>5</v>
      </c>
      <c r="J1556" s="21">
        <v>132.69</v>
      </c>
      <c r="K1556">
        <v>12</v>
      </c>
      <c r="L1556" s="21">
        <v>302.54000000000002</v>
      </c>
      <c r="M1556" s="21">
        <v>2823.73</v>
      </c>
      <c r="N1556" s="21">
        <v>1742.52</v>
      </c>
      <c r="O1556" s="21">
        <v>778.67</v>
      </c>
      <c r="P1556" t="s">
        <v>123</v>
      </c>
      <c r="Q1556" t="s">
        <v>120</v>
      </c>
      <c r="R1556" t="s">
        <v>151</v>
      </c>
      <c r="S1556" t="s">
        <v>2084</v>
      </c>
      <c r="T1556" t="s">
        <v>161</v>
      </c>
      <c r="U1556" t="s">
        <v>154</v>
      </c>
      <c r="V1556" t="str">
        <f>IFERROR(INDEX(Products!$C:$C,MATCH(D1556,Products!$A:$A,0)),"Unknown")</f>
        <v>Men Trousers</v>
      </c>
      <c r="W1556" t="str">
        <f>IFERROR(INDEX(Products!$E:$E,MATCH(D1556,Products!$A:$A,0)),"Unknown")</f>
        <v>Wrangler</v>
      </c>
      <c r="X1556" t="str">
        <f>IFERROR(INDEX(Stores!$B:$B,MATCH(E1556,Stores!$A:$A,0)),"Unknown")</f>
        <v>TrendMart Vijayawada Standard</v>
      </c>
      <c r="Y1556" t="str">
        <f>IFERROR(INDEX(Stores!$E:$E,MATCH(E1556,Stores!$A:$A,0)),"Unknown")</f>
        <v>South Zone 3</v>
      </c>
      <c r="Z1556" t="str">
        <f>IFERROR(INDEX(Customers!$J:$J,MATCH(C1556,Customers!$A:$A,0)),"Unknown")</f>
        <v>Silver</v>
      </c>
      <c r="AA1556" t="str">
        <f t="shared" si="24"/>
        <v>2024-04</v>
      </c>
      <c r="AB1556" t="str">
        <f>IFERROR(INDEX(Products!$I:$I,MATCH(D1556,Products!$A:$A,0)),"Unknown")</f>
        <v>SUP051</v>
      </c>
    </row>
    <row r="1557" spans="1:28" x14ac:dyDescent="0.25">
      <c r="A1557" t="s">
        <v>3473</v>
      </c>
      <c r="B1557" s="20">
        <v>45544</v>
      </c>
      <c r="C1557" t="s">
        <v>454</v>
      </c>
      <c r="D1557" t="s">
        <v>531</v>
      </c>
      <c r="E1557" t="s">
        <v>81</v>
      </c>
      <c r="F1557" t="s">
        <v>408</v>
      </c>
      <c r="G1557">
        <v>1</v>
      </c>
      <c r="H1557" s="21">
        <v>3008.6</v>
      </c>
      <c r="I1557">
        <v>10</v>
      </c>
      <c r="J1557" s="21">
        <v>300.86</v>
      </c>
      <c r="K1557">
        <v>12</v>
      </c>
      <c r="L1557" s="21">
        <v>324.93</v>
      </c>
      <c r="M1557" s="21">
        <v>3032.67</v>
      </c>
      <c r="N1557" s="21">
        <v>2034.01</v>
      </c>
      <c r="O1557" s="21">
        <v>673.73</v>
      </c>
      <c r="P1557" t="s">
        <v>121</v>
      </c>
      <c r="Q1557" t="s">
        <v>120</v>
      </c>
      <c r="R1557" t="s">
        <v>151</v>
      </c>
      <c r="S1557" t="s">
        <v>3034</v>
      </c>
      <c r="T1557" t="s">
        <v>153</v>
      </c>
      <c r="U1557" t="s">
        <v>154</v>
      </c>
      <c r="V1557" t="str">
        <f>IFERROR(INDEX(Products!$C:$C,MATCH(D1557,Products!$A:$A,0)),"Unknown")</f>
        <v>Handbags</v>
      </c>
      <c r="W1557" t="str">
        <f>IFERROR(INDEX(Products!$E:$E,MATCH(D1557,Products!$A:$A,0)),"Unknown")</f>
        <v>GRT Jewellers</v>
      </c>
      <c r="X1557" t="str">
        <f>IFERROR(INDEX(Stores!$B:$B,MATCH(E1557,Stores!$A:$A,0)),"Unknown")</f>
        <v>TrendMart Vijayawada High Street</v>
      </c>
      <c r="Y1557" t="str">
        <f>IFERROR(INDEX(Stores!$E:$E,MATCH(E1557,Stores!$A:$A,0)),"Unknown")</f>
        <v>South Zone 3</v>
      </c>
      <c r="Z1557" t="str">
        <f>IFERROR(INDEX(Customers!$J:$J,MATCH(C1557,Customers!$A:$A,0)),"Unknown")</f>
        <v>Silver</v>
      </c>
      <c r="AA1557" t="str">
        <f t="shared" si="24"/>
        <v>2024-09</v>
      </c>
      <c r="AB1557" t="str">
        <f>IFERROR(INDEX(Products!$I:$I,MATCH(D1557,Products!$A:$A,0)),"Unknown")</f>
        <v>SUP047</v>
      </c>
    </row>
    <row r="1558" spans="1:28" x14ac:dyDescent="0.25">
      <c r="A1558" t="s">
        <v>3474</v>
      </c>
      <c r="B1558" s="20">
        <v>45602</v>
      </c>
      <c r="C1558" t="s">
        <v>1552</v>
      </c>
      <c r="D1558" t="s">
        <v>926</v>
      </c>
      <c r="E1558" t="s">
        <v>1522</v>
      </c>
      <c r="F1558" t="s">
        <v>275</v>
      </c>
      <c r="G1558">
        <v>2</v>
      </c>
      <c r="H1558" s="21">
        <v>1143.27</v>
      </c>
      <c r="I1558">
        <v>25</v>
      </c>
      <c r="J1558" s="21">
        <v>571.63</v>
      </c>
      <c r="K1558">
        <v>12</v>
      </c>
      <c r="L1558" s="21">
        <v>205.79</v>
      </c>
      <c r="M1558" s="21">
        <v>1920.7</v>
      </c>
      <c r="N1558" s="21">
        <v>1621.24</v>
      </c>
      <c r="O1558" s="21">
        <v>93.67</v>
      </c>
      <c r="P1558" t="s">
        <v>121</v>
      </c>
      <c r="Q1558" t="s">
        <v>120</v>
      </c>
      <c r="R1558" t="s">
        <v>151</v>
      </c>
      <c r="S1558" t="s">
        <v>690</v>
      </c>
      <c r="T1558" t="s">
        <v>153</v>
      </c>
      <c r="U1558" t="s">
        <v>154</v>
      </c>
      <c r="V1558" t="str">
        <f>IFERROR(INDEX(Products!$C:$C,MATCH(D1558,Products!$A:$A,0)),"Unknown")</f>
        <v>Women Dresses</v>
      </c>
      <c r="W1558" t="str">
        <f>IFERROR(INDEX(Products!$E:$E,MATCH(D1558,Products!$A:$A,0)),"Unknown")</f>
        <v>Fabindia</v>
      </c>
      <c r="X1558" t="str">
        <f>IFERROR(INDEX(Stores!$B:$B,MATCH(E1558,Stores!$A:$A,0)),"Unknown")</f>
        <v>TrendMart Guntur High Street</v>
      </c>
      <c r="Y1558" t="str">
        <f>IFERROR(INDEX(Stores!$E:$E,MATCH(E1558,Stores!$A:$A,0)),"Unknown")</f>
        <v>South Zone 3</v>
      </c>
      <c r="Z1558" t="str">
        <f>IFERROR(INDEX(Customers!$J:$J,MATCH(C1558,Customers!$A:$A,0)),"Unknown")</f>
        <v>Platinum</v>
      </c>
      <c r="AA1558" t="str">
        <f t="shared" si="24"/>
        <v>2024-11</v>
      </c>
      <c r="AB1558" t="str">
        <f>IFERROR(INDEX(Products!$I:$I,MATCH(D1558,Products!$A:$A,0)),"Unknown")</f>
        <v>SUP059</v>
      </c>
    </row>
    <row r="1559" spans="1:28" x14ac:dyDescent="0.25">
      <c r="A1559" t="s">
        <v>3475</v>
      </c>
      <c r="B1559" s="20">
        <v>45605</v>
      </c>
      <c r="C1559" t="s">
        <v>1274</v>
      </c>
      <c r="D1559" t="s">
        <v>531</v>
      </c>
      <c r="E1559" t="s">
        <v>81</v>
      </c>
      <c r="F1559" t="s">
        <v>189</v>
      </c>
      <c r="G1559">
        <v>4</v>
      </c>
      <c r="H1559" s="21">
        <v>3270.78</v>
      </c>
      <c r="I1559">
        <v>25</v>
      </c>
      <c r="J1559" s="21">
        <v>3270.78</v>
      </c>
      <c r="K1559">
        <v>12</v>
      </c>
      <c r="L1559" s="21">
        <v>1177.48</v>
      </c>
      <c r="M1559" s="21">
        <v>10989.82</v>
      </c>
      <c r="N1559" s="21">
        <v>8136.04</v>
      </c>
      <c r="O1559" s="21">
        <v>1676.3</v>
      </c>
      <c r="P1559" t="s">
        <v>124</v>
      </c>
      <c r="Q1559" t="s">
        <v>120</v>
      </c>
      <c r="R1559" t="s">
        <v>313</v>
      </c>
      <c r="S1559" t="s">
        <v>160</v>
      </c>
      <c r="T1559" t="s">
        <v>161</v>
      </c>
      <c r="U1559" t="s">
        <v>154</v>
      </c>
      <c r="V1559" t="str">
        <f>IFERROR(INDEX(Products!$C:$C,MATCH(D1559,Products!$A:$A,0)),"Unknown")</f>
        <v>Handbags</v>
      </c>
      <c r="W1559" t="str">
        <f>IFERROR(INDEX(Products!$E:$E,MATCH(D1559,Products!$A:$A,0)),"Unknown")</f>
        <v>GRT Jewellers</v>
      </c>
      <c r="X1559" t="str">
        <f>IFERROR(INDEX(Stores!$B:$B,MATCH(E1559,Stores!$A:$A,0)),"Unknown")</f>
        <v>TrendMart Vijayawada High Street</v>
      </c>
      <c r="Y1559" t="str">
        <f>IFERROR(INDEX(Stores!$E:$E,MATCH(E1559,Stores!$A:$A,0)),"Unknown")</f>
        <v>South Zone 3</v>
      </c>
      <c r="Z1559" t="str">
        <f>IFERROR(INDEX(Customers!$J:$J,MATCH(C1559,Customers!$A:$A,0)),"Unknown")</f>
        <v>Regular</v>
      </c>
      <c r="AA1559" t="str">
        <f t="shared" si="24"/>
        <v>2024-11</v>
      </c>
      <c r="AB1559" t="str">
        <f>IFERROR(INDEX(Products!$I:$I,MATCH(D1559,Products!$A:$A,0)),"Unknown")</f>
        <v>SUP047</v>
      </c>
    </row>
    <row r="1560" spans="1:28" x14ac:dyDescent="0.25">
      <c r="A1560" t="s">
        <v>3476</v>
      </c>
      <c r="B1560" s="20">
        <v>45602</v>
      </c>
      <c r="C1560" t="s">
        <v>1711</v>
      </c>
      <c r="D1560" t="s">
        <v>767</v>
      </c>
      <c r="E1560" t="s">
        <v>541</v>
      </c>
      <c r="F1560" t="s">
        <v>253</v>
      </c>
      <c r="G1560">
        <v>3</v>
      </c>
      <c r="H1560" s="21">
        <v>412.05</v>
      </c>
      <c r="I1560">
        <v>30</v>
      </c>
      <c r="J1560" s="21">
        <v>370.85</v>
      </c>
      <c r="K1560">
        <v>5</v>
      </c>
      <c r="L1560" s="21">
        <v>43.27</v>
      </c>
      <c r="M1560" s="21">
        <v>908.57</v>
      </c>
      <c r="N1560" s="21">
        <v>786.18</v>
      </c>
      <c r="O1560" s="21">
        <v>79.12</v>
      </c>
      <c r="P1560" t="s">
        <v>127</v>
      </c>
      <c r="Q1560" t="s">
        <v>120</v>
      </c>
      <c r="R1560" t="s">
        <v>151</v>
      </c>
      <c r="S1560" t="s">
        <v>1630</v>
      </c>
      <c r="T1560" t="s">
        <v>153</v>
      </c>
      <c r="U1560" t="s">
        <v>154</v>
      </c>
      <c r="V1560" t="str">
        <f>IFERROR(INDEX(Products!$C:$C,MATCH(D1560,Products!$A:$A,0)),"Unknown")</f>
        <v>Men T-Shirts</v>
      </c>
      <c r="W1560" t="str">
        <f>IFERROR(INDEX(Products!$E:$E,MATCH(D1560,Products!$A:$A,0)),"Unknown")</f>
        <v>Skechers</v>
      </c>
      <c r="X1560" t="str">
        <f>IFERROR(INDEX(Stores!$B:$B,MATCH(E1560,Stores!$A:$A,0)),"Unknown")</f>
        <v>TrendMart Kochi Standard</v>
      </c>
      <c r="Y1560" t="str">
        <f>IFERROR(INDEX(Stores!$E:$E,MATCH(E1560,Stores!$A:$A,0)),"Unknown")</f>
        <v>South Zone 1</v>
      </c>
      <c r="Z1560" t="str">
        <f>IFERROR(INDEX(Customers!$J:$J,MATCH(C1560,Customers!$A:$A,0)),"Unknown")</f>
        <v>Regular</v>
      </c>
      <c r="AA1560" t="str">
        <f t="shared" si="24"/>
        <v>2024-11</v>
      </c>
      <c r="AB1560" t="str">
        <f>IFERROR(INDEX(Products!$I:$I,MATCH(D1560,Products!$A:$A,0)),"Unknown")</f>
        <v>SUP061</v>
      </c>
    </row>
    <row r="1561" spans="1:28" x14ac:dyDescent="0.25">
      <c r="A1561" t="s">
        <v>3477</v>
      </c>
      <c r="B1561" s="20">
        <v>45597</v>
      </c>
      <c r="C1561" t="s">
        <v>2830</v>
      </c>
      <c r="D1561" t="s">
        <v>858</v>
      </c>
      <c r="E1561" t="s">
        <v>470</v>
      </c>
      <c r="F1561" t="s">
        <v>403</v>
      </c>
      <c r="G1561">
        <v>1</v>
      </c>
      <c r="H1561" s="21">
        <v>715.17</v>
      </c>
      <c r="I1561">
        <v>10</v>
      </c>
      <c r="J1561" s="21">
        <v>71.52</v>
      </c>
      <c r="K1561">
        <v>5</v>
      </c>
      <c r="L1561" s="21">
        <v>32.18</v>
      </c>
      <c r="M1561" s="21">
        <v>675.83</v>
      </c>
      <c r="N1561" s="21">
        <v>525.45000000000005</v>
      </c>
      <c r="O1561" s="21">
        <v>118.2</v>
      </c>
      <c r="P1561" t="s">
        <v>125</v>
      </c>
      <c r="Q1561" t="s">
        <v>120</v>
      </c>
      <c r="R1561" t="s">
        <v>151</v>
      </c>
      <c r="S1561" t="s">
        <v>1650</v>
      </c>
      <c r="T1561" t="s">
        <v>153</v>
      </c>
      <c r="U1561" t="s">
        <v>154</v>
      </c>
      <c r="V1561" t="str">
        <f>IFERROR(INDEX(Products!$C:$C,MATCH(D1561,Products!$A:$A,0)),"Unknown")</f>
        <v>Kids Wear</v>
      </c>
      <c r="W1561" t="str">
        <f>IFERROR(INDEX(Products!$E:$E,MATCH(D1561,Products!$A:$A,0)),"Unknown")</f>
        <v>Sonata</v>
      </c>
      <c r="X1561" t="str">
        <f>IFERROR(INDEX(Stores!$B:$B,MATCH(E1561,Stores!$A:$A,0)),"Unknown")</f>
        <v>TrendMart Thiruvananthapuram High Street</v>
      </c>
      <c r="Y1561" t="str">
        <f>IFERROR(INDEX(Stores!$E:$E,MATCH(E1561,Stores!$A:$A,0)),"Unknown")</f>
        <v>South Zone 1</v>
      </c>
      <c r="Z1561" t="str">
        <f>IFERROR(INDEX(Customers!$J:$J,MATCH(C1561,Customers!$A:$A,0)),"Unknown")</f>
        <v>Silver</v>
      </c>
      <c r="AA1561" t="str">
        <f t="shared" si="24"/>
        <v>2024-11</v>
      </c>
      <c r="AB1561" t="str">
        <f>IFERROR(INDEX(Products!$I:$I,MATCH(D1561,Products!$A:$A,0)),"Unknown")</f>
        <v>SUP089</v>
      </c>
    </row>
    <row r="1562" spans="1:28" x14ac:dyDescent="0.25">
      <c r="A1562" t="s">
        <v>3478</v>
      </c>
      <c r="B1562" s="20">
        <v>45568</v>
      </c>
      <c r="C1562" t="s">
        <v>2921</v>
      </c>
      <c r="D1562" t="s">
        <v>225</v>
      </c>
      <c r="E1562" t="s">
        <v>1591</v>
      </c>
      <c r="F1562" t="s">
        <v>221</v>
      </c>
      <c r="G1562">
        <v>1</v>
      </c>
      <c r="H1562" s="21">
        <v>1719.04</v>
      </c>
      <c r="I1562">
        <v>25</v>
      </c>
      <c r="J1562" s="21">
        <v>429.76</v>
      </c>
      <c r="K1562">
        <v>12</v>
      </c>
      <c r="L1562" s="21">
        <v>154.71</v>
      </c>
      <c r="M1562" s="21">
        <v>1443.99</v>
      </c>
      <c r="N1562" s="21">
        <v>1407.33</v>
      </c>
      <c r="O1562" s="21">
        <v>-118.05</v>
      </c>
      <c r="P1562" t="s">
        <v>121</v>
      </c>
      <c r="Q1562" t="s">
        <v>120</v>
      </c>
      <c r="R1562" t="s">
        <v>151</v>
      </c>
      <c r="S1562" t="s">
        <v>2747</v>
      </c>
      <c r="T1562" t="s">
        <v>153</v>
      </c>
      <c r="U1562" t="s">
        <v>184</v>
      </c>
      <c r="V1562" t="str">
        <f>IFERROR(INDEX(Products!$C:$C,MATCH(D1562,Products!$A:$A,0)),"Unknown")</f>
        <v>Women Dresses</v>
      </c>
      <c r="W1562" t="str">
        <f>IFERROR(INDEX(Products!$E:$E,MATCH(D1562,Products!$A:$A,0)),"Unknown")</f>
        <v>Tanishq</v>
      </c>
      <c r="X1562" t="str">
        <f>IFERROR(INDEX(Stores!$B:$B,MATCH(E1562,Stores!$A:$A,0)),"Unknown")</f>
        <v>TrendMart Guntur Standard</v>
      </c>
      <c r="Y1562" t="str">
        <f>IFERROR(INDEX(Stores!$E:$E,MATCH(E1562,Stores!$A:$A,0)),"Unknown")</f>
        <v>South Zone 3</v>
      </c>
      <c r="Z1562" t="str">
        <f>IFERROR(INDEX(Customers!$J:$J,MATCH(C1562,Customers!$A:$A,0)),"Unknown")</f>
        <v>Regular</v>
      </c>
      <c r="AA1562" t="str">
        <f t="shared" si="24"/>
        <v>2024-10</v>
      </c>
      <c r="AB1562" t="str">
        <f>IFERROR(INDEX(Products!$I:$I,MATCH(D1562,Products!$A:$A,0)),"Unknown")</f>
        <v>SUP063</v>
      </c>
    </row>
    <row r="1563" spans="1:28" x14ac:dyDescent="0.25">
      <c r="A1563" t="s">
        <v>3479</v>
      </c>
      <c r="B1563" s="20">
        <v>45683</v>
      </c>
      <c r="C1563" t="s">
        <v>1370</v>
      </c>
      <c r="D1563" t="s">
        <v>460</v>
      </c>
      <c r="E1563" t="s">
        <v>1023</v>
      </c>
      <c r="F1563" t="s">
        <v>297</v>
      </c>
      <c r="G1563">
        <v>2</v>
      </c>
      <c r="H1563" s="21">
        <v>1339.49</v>
      </c>
      <c r="I1563">
        <v>30</v>
      </c>
      <c r="J1563" s="21">
        <v>803.69</v>
      </c>
      <c r="K1563">
        <v>12</v>
      </c>
      <c r="L1563" s="21">
        <v>225.03</v>
      </c>
      <c r="M1563" s="21">
        <v>2100.3200000000002</v>
      </c>
      <c r="N1563" s="21">
        <v>1823.68</v>
      </c>
      <c r="O1563" s="21">
        <v>51.61</v>
      </c>
      <c r="P1563" t="s">
        <v>123</v>
      </c>
      <c r="Q1563" t="s">
        <v>120</v>
      </c>
      <c r="R1563" t="s">
        <v>151</v>
      </c>
      <c r="S1563" t="s">
        <v>196</v>
      </c>
      <c r="T1563" t="s">
        <v>161</v>
      </c>
      <c r="U1563" t="s">
        <v>154</v>
      </c>
      <c r="V1563" t="str">
        <f>IFERROR(INDEX(Products!$C:$C,MATCH(D1563,Products!$A:$A,0)),"Unknown")</f>
        <v>Men Trousers</v>
      </c>
      <c r="W1563" t="str">
        <f>IFERROR(INDEX(Products!$E:$E,MATCH(D1563,Products!$A:$A,0)),"Unknown")</f>
        <v>Louis Philippe</v>
      </c>
      <c r="X1563" t="str">
        <f>IFERROR(INDEX(Stores!$B:$B,MATCH(E1563,Stores!$A:$A,0)),"Unknown")</f>
        <v>TrendMart Kochi High Street</v>
      </c>
      <c r="Y1563" t="str">
        <f>IFERROR(INDEX(Stores!$E:$E,MATCH(E1563,Stores!$A:$A,0)),"Unknown")</f>
        <v>South Zone 1</v>
      </c>
      <c r="Z1563" t="str">
        <f>IFERROR(INDEX(Customers!$J:$J,MATCH(C1563,Customers!$A:$A,0)),"Unknown")</f>
        <v>Regular</v>
      </c>
      <c r="AA1563" t="str">
        <f t="shared" si="24"/>
        <v>2025-01</v>
      </c>
      <c r="AB1563" t="str">
        <f>IFERROR(INDEX(Products!$I:$I,MATCH(D1563,Products!$A:$A,0)),"Unknown")</f>
        <v>SUP034</v>
      </c>
    </row>
    <row r="1564" spans="1:28" x14ac:dyDescent="0.25">
      <c r="A1564" t="s">
        <v>3480</v>
      </c>
      <c r="B1564" s="20">
        <v>45715</v>
      </c>
      <c r="C1564" t="s">
        <v>1556</v>
      </c>
      <c r="D1564" t="s">
        <v>2019</v>
      </c>
      <c r="E1564" t="s">
        <v>999</v>
      </c>
      <c r="F1564" t="s">
        <v>434</v>
      </c>
      <c r="G1564">
        <v>1</v>
      </c>
      <c r="H1564" s="21">
        <v>1976.42</v>
      </c>
      <c r="I1564">
        <v>25</v>
      </c>
      <c r="J1564" s="21">
        <v>494.11</v>
      </c>
      <c r="K1564">
        <v>12</v>
      </c>
      <c r="L1564" s="21">
        <v>177.88</v>
      </c>
      <c r="M1564" s="21">
        <v>1660.19</v>
      </c>
      <c r="N1564" s="21">
        <v>1504.79</v>
      </c>
      <c r="O1564" s="21">
        <v>-22.48</v>
      </c>
      <c r="P1564" t="s">
        <v>123</v>
      </c>
      <c r="Q1564" t="s">
        <v>122</v>
      </c>
      <c r="R1564" t="s">
        <v>151</v>
      </c>
      <c r="S1564" t="s">
        <v>3321</v>
      </c>
      <c r="T1564" t="s">
        <v>153</v>
      </c>
      <c r="U1564" t="s">
        <v>184</v>
      </c>
      <c r="V1564" t="str">
        <f>IFERROR(INDEX(Products!$C:$C,MATCH(D1564,Products!$A:$A,0)),"Unknown")</f>
        <v>Footwear</v>
      </c>
      <c r="W1564" t="str">
        <f>IFERROR(INDEX(Products!$E:$E,MATCH(D1564,Products!$A:$A,0)),"Unknown")</f>
        <v>Bata</v>
      </c>
      <c r="X1564" t="str">
        <f>IFERROR(INDEX(Stores!$B:$B,MATCH(E1564,Stores!$A:$A,0)),"Unknown")</f>
        <v>TrendMart Tumakuru Standard</v>
      </c>
      <c r="Y1564" t="str">
        <f>IFERROR(INDEX(Stores!$E:$E,MATCH(E1564,Stores!$A:$A,0)),"Unknown")</f>
        <v>South Zone 2</v>
      </c>
      <c r="Z1564" t="str">
        <f>IFERROR(INDEX(Customers!$J:$J,MATCH(C1564,Customers!$A:$A,0)),"Unknown")</f>
        <v>Silver</v>
      </c>
      <c r="AA1564" t="str">
        <f t="shared" si="24"/>
        <v>2025-02</v>
      </c>
      <c r="AB1564" t="str">
        <f>IFERROR(INDEX(Products!$I:$I,MATCH(D1564,Products!$A:$A,0)),"Unknown")</f>
        <v>SUP004</v>
      </c>
    </row>
    <row r="1565" spans="1:28" x14ac:dyDescent="0.25">
      <c r="A1565" t="s">
        <v>3481</v>
      </c>
      <c r="B1565" s="20">
        <v>45562</v>
      </c>
      <c r="C1565" t="s">
        <v>3482</v>
      </c>
      <c r="D1565" t="s">
        <v>2618</v>
      </c>
      <c r="E1565" t="s">
        <v>667</v>
      </c>
      <c r="F1565" t="s">
        <v>232</v>
      </c>
      <c r="G1565">
        <v>2</v>
      </c>
      <c r="H1565" s="21">
        <v>1118.21</v>
      </c>
      <c r="I1565">
        <v>25</v>
      </c>
      <c r="J1565" s="21">
        <v>559.11</v>
      </c>
      <c r="K1565">
        <v>12</v>
      </c>
      <c r="L1565" s="21">
        <v>201.28</v>
      </c>
      <c r="M1565" s="21">
        <v>1878.59</v>
      </c>
      <c r="N1565" s="21">
        <v>1590.8</v>
      </c>
      <c r="O1565" s="21">
        <v>86.51</v>
      </c>
      <c r="P1565" t="s">
        <v>127</v>
      </c>
      <c r="Q1565" t="s">
        <v>122</v>
      </c>
      <c r="R1565" t="s">
        <v>151</v>
      </c>
      <c r="S1565" t="s">
        <v>589</v>
      </c>
      <c r="T1565" t="s">
        <v>153</v>
      </c>
      <c r="U1565" t="s">
        <v>154</v>
      </c>
      <c r="V1565" t="str">
        <f>IFERROR(INDEX(Products!$C:$C,MATCH(D1565,Products!$A:$A,0)),"Unknown")</f>
        <v>Men Trousers</v>
      </c>
      <c r="W1565" t="str">
        <f>IFERROR(INDEX(Products!$E:$E,MATCH(D1565,Products!$A:$A,0)),"Unknown")</f>
        <v>Titan</v>
      </c>
      <c r="X1565" t="str">
        <f>IFERROR(INDEX(Stores!$B:$B,MATCH(E1565,Stores!$A:$A,0)),"Unknown")</f>
        <v>TrendMart Hyderabad High Street</v>
      </c>
      <c r="Y1565" t="str">
        <f>IFERROR(INDEX(Stores!$E:$E,MATCH(E1565,Stores!$A:$A,0)),"Unknown")</f>
        <v>South Zone 2</v>
      </c>
      <c r="Z1565" t="str">
        <f>IFERROR(INDEX(Customers!$J:$J,MATCH(C1565,Customers!$A:$A,0)),"Unknown")</f>
        <v>Platinum</v>
      </c>
      <c r="AA1565" t="str">
        <f t="shared" si="24"/>
        <v>2024-09</v>
      </c>
      <c r="AB1565" t="str">
        <f>IFERROR(INDEX(Products!$I:$I,MATCH(D1565,Products!$A:$A,0)),"Unknown")</f>
        <v>SUP074</v>
      </c>
    </row>
    <row r="1566" spans="1:28" x14ac:dyDescent="0.25">
      <c r="A1566" t="s">
        <v>3483</v>
      </c>
      <c r="B1566" s="20">
        <v>45707</v>
      </c>
      <c r="C1566" t="s">
        <v>733</v>
      </c>
      <c r="D1566" t="s">
        <v>1931</v>
      </c>
      <c r="E1566" t="s">
        <v>1002</v>
      </c>
      <c r="F1566" t="s">
        <v>269</v>
      </c>
      <c r="G1566">
        <v>3</v>
      </c>
      <c r="H1566" s="21">
        <v>882.61</v>
      </c>
      <c r="I1566">
        <v>20</v>
      </c>
      <c r="J1566" s="21">
        <v>529.57000000000005</v>
      </c>
      <c r="K1566">
        <v>5</v>
      </c>
      <c r="L1566" s="21">
        <v>105.91</v>
      </c>
      <c r="M1566" s="21">
        <v>2224.17</v>
      </c>
      <c r="N1566" s="21">
        <v>2010.51</v>
      </c>
      <c r="O1566" s="21">
        <v>107.75</v>
      </c>
      <c r="P1566" t="s">
        <v>124</v>
      </c>
      <c r="Q1566" t="s">
        <v>120</v>
      </c>
      <c r="R1566" t="s">
        <v>151</v>
      </c>
      <c r="S1566" t="s">
        <v>3484</v>
      </c>
      <c r="T1566" t="s">
        <v>153</v>
      </c>
      <c r="U1566" t="s">
        <v>154</v>
      </c>
      <c r="V1566" t="str">
        <f>IFERROR(INDEX(Products!$C:$C,MATCH(D1566,Products!$A:$A,0)),"Unknown")</f>
        <v>Men Jeans</v>
      </c>
      <c r="W1566" t="str">
        <f>IFERROR(INDEX(Products!$E:$E,MATCH(D1566,Products!$A:$A,0)),"Unknown")</f>
        <v>Libas</v>
      </c>
      <c r="X1566" t="str">
        <f>IFERROR(INDEX(Stores!$B:$B,MATCH(E1566,Stores!$A:$A,0)),"Unknown")</f>
        <v>TrendMart Coimbatore Mall Kiosk</v>
      </c>
      <c r="Y1566" t="str">
        <f>IFERROR(INDEX(Stores!$E:$E,MATCH(E1566,Stores!$A:$A,0)),"Unknown")</f>
        <v>South Zone 1</v>
      </c>
      <c r="Z1566" t="str">
        <f>IFERROR(INDEX(Customers!$J:$J,MATCH(C1566,Customers!$A:$A,0)),"Unknown")</f>
        <v>Gold</v>
      </c>
      <c r="AA1566" t="str">
        <f t="shared" si="24"/>
        <v>2025-02</v>
      </c>
      <c r="AB1566" t="str">
        <f>IFERROR(INDEX(Products!$I:$I,MATCH(D1566,Products!$A:$A,0)),"Unknown")</f>
        <v>SUP018</v>
      </c>
    </row>
    <row r="1567" spans="1:28" x14ac:dyDescent="0.25">
      <c r="A1567" t="s">
        <v>3485</v>
      </c>
      <c r="B1567" s="20">
        <v>45564</v>
      </c>
      <c r="C1567" t="s">
        <v>1227</v>
      </c>
      <c r="D1567" t="s">
        <v>2597</v>
      </c>
      <c r="E1567" t="s">
        <v>461</v>
      </c>
      <c r="F1567" t="s">
        <v>275</v>
      </c>
      <c r="G1567">
        <v>2</v>
      </c>
      <c r="H1567" s="21">
        <v>912.61</v>
      </c>
      <c r="I1567">
        <v>20</v>
      </c>
      <c r="J1567" s="21">
        <v>365.04</v>
      </c>
      <c r="K1567">
        <v>5</v>
      </c>
      <c r="L1567" s="21">
        <v>73.010000000000005</v>
      </c>
      <c r="M1567" s="21">
        <v>1533.19</v>
      </c>
      <c r="N1567" s="21">
        <v>1151.44</v>
      </c>
      <c r="O1567" s="21">
        <v>308.74</v>
      </c>
      <c r="P1567" t="s">
        <v>123</v>
      </c>
      <c r="Q1567" t="s">
        <v>120</v>
      </c>
      <c r="R1567" t="s">
        <v>151</v>
      </c>
      <c r="S1567" t="s">
        <v>409</v>
      </c>
      <c r="T1567" t="s">
        <v>161</v>
      </c>
      <c r="U1567" t="s">
        <v>154</v>
      </c>
      <c r="V1567" t="str">
        <f>IFERROR(INDEX(Products!$C:$C,MATCH(D1567,Products!$A:$A,0)),"Unknown")</f>
        <v>Men Trousers</v>
      </c>
      <c r="W1567" t="str">
        <f>IFERROR(INDEX(Products!$E:$E,MATCH(D1567,Products!$A:$A,0)),"Unknown")</f>
        <v>Peter England</v>
      </c>
      <c r="X1567" t="str">
        <f>IFERROR(INDEX(Stores!$B:$B,MATCH(E1567,Stores!$A:$A,0)),"Unknown")</f>
        <v>TrendMart Visakhapatnam High Street</v>
      </c>
      <c r="Y1567" t="str">
        <f>IFERROR(INDEX(Stores!$E:$E,MATCH(E1567,Stores!$A:$A,0)),"Unknown")</f>
        <v>South Zone 3</v>
      </c>
      <c r="Z1567" t="str">
        <f>IFERROR(INDEX(Customers!$J:$J,MATCH(C1567,Customers!$A:$A,0)),"Unknown")</f>
        <v>Gold</v>
      </c>
      <c r="AA1567" t="str">
        <f t="shared" si="24"/>
        <v>2024-09</v>
      </c>
      <c r="AB1567" t="str">
        <f>IFERROR(INDEX(Products!$I:$I,MATCH(D1567,Products!$A:$A,0)),"Unknown")</f>
        <v>SUP008</v>
      </c>
    </row>
    <row r="1568" spans="1:28" x14ac:dyDescent="0.25">
      <c r="A1568" t="s">
        <v>3486</v>
      </c>
      <c r="B1568" s="20">
        <v>45731</v>
      </c>
      <c r="C1568" t="s">
        <v>794</v>
      </c>
      <c r="D1568" t="s">
        <v>498</v>
      </c>
      <c r="E1568" t="s">
        <v>1591</v>
      </c>
      <c r="F1568" t="s">
        <v>159</v>
      </c>
      <c r="G1568">
        <v>1</v>
      </c>
      <c r="H1568" s="21">
        <v>452.42</v>
      </c>
      <c r="I1568">
        <v>15</v>
      </c>
      <c r="J1568" s="21">
        <v>67.86</v>
      </c>
      <c r="K1568">
        <v>5</v>
      </c>
      <c r="L1568" s="21">
        <v>19.23</v>
      </c>
      <c r="M1568" s="21">
        <v>403.79</v>
      </c>
      <c r="N1568" s="21">
        <v>315.13</v>
      </c>
      <c r="O1568" s="21">
        <v>69.430000000000007</v>
      </c>
      <c r="P1568" t="s">
        <v>124</v>
      </c>
      <c r="Q1568" t="s">
        <v>120</v>
      </c>
      <c r="R1568" t="s">
        <v>151</v>
      </c>
      <c r="S1568" t="s">
        <v>832</v>
      </c>
      <c r="T1568" t="s">
        <v>161</v>
      </c>
      <c r="U1568" t="s">
        <v>154</v>
      </c>
      <c r="V1568" t="str">
        <f>IFERROR(INDEX(Products!$C:$C,MATCH(D1568,Products!$A:$A,0)),"Unknown")</f>
        <v>Belts</v>
      </c>
      <c r="W1568" t="str">
        <f>IFERROR(INDEX(Products!$E:$E,MATCH(D1568,Products!$A:$A,0)),"Unknown")</f>
        <v>Nike</v>
      </c>
      <c r="X1568" t="str">
        <f>IFERROR(INDEX(Stores!$B:$B,MATCH(E1568,Stores!$A:$A,0)),"Unknown")</f>
        <v>TrendMart Guntur Standard</v>
      </c>
      <c r="Y1568" t="str">
        <f>IFERROR(INDEX(Stores!$E:$E,MATCH(E1568,Stores!$A:$A,0)),"Unknown")</f>
        <v>South Zone 3</v>
      </c>
      <c r="Z1568" t="str">
        <f>IFERROR(INDEX(Customers!$J:$J,MATCH(C1568,Customers!$A:$A,0)),"Unknown")</f>
        <v>Regular</v>
      </c>
      <c r="AA1568" t="str">
        <f t="shared" si="24"/>
        <v>2025-03</v>
      </c>
      <c r="AB1568" t="str">
        <f>IFERROR(INDEX(Products!$I:$I,MATCH(D1568,Products!$A:$A,0)),"Unknown")</f>
        <v>SUP071</v>
      </c>
    </row>
    <row r="1569" spans="1:28" x14ac:dyDescent="0.25">
      <c r="A1569" t="s">
        <v>3487</v>
      </c>
      <c r="B1569" s="20">
        <v>45383</v>
      </c>
      <c r="C1569" t="s">
        <v>2667</v>
      </c>
      <c r="D1569" t="s">
        <v>1321</v>
      </c>
      <c r="E1569" t="s">
        <v>848</v>
      </c>
      <c r="F1569" t="s">
        <v>253</v>
      </c>
      <c r="G1569">
        <v>1</v>
      </c>
      <c r="H1569" s="21">
        <v>2376.48</v>
      </c>
      <c r="I1569">
        <v>10</v>
      </c>
      <c r="J1569" s="21">
        <v>237.65</v>
      </c>
      <c r="K1569">
        <v>12</v>
      </c>
      <c r="L1569" s="21">
        <v>256.66000000000003</v>
      </c>
      <c r="M1569" s="21">
        <v>2395.4899999999998</v>
      </c>
      <c r="N1569" s="21">
        <v>1729.72</v>
      </c>
      <c r="O1569" s="21">
        <v>409.11</v>
      </c>
      <c r="P1569" t="s">
        <v>123</v>
      </c>
      <c r="Q1569" t="s">
        <v>120</v>
      </c>
      <c r="R1569" t="s">
        <v>151</v>
      </c>
      <c r="S1569" t="s">
        <v>686</v>
      </c>
      <c r="T1569" t="s">
        <v>153</v>
      </c>
      <c r="U1569" t="s">
        <v>154</v>
      </c>
      <c r="V1569" t="str">
        <f>IFERROR(INDEX(Products!$C:$C,MATCH(D1569,Products!$A:$A,0)),"Unknown")</f>
        <v>Men Ethnic</v>
      </c>
      <c r="W1569" t="str">
        <f>IFERROR(INDEX(Products!$E:$E,MATCH(D1569,Products!$A:$A,0)),"Unknown")</f>
        <v>Nalli Silks</v>
      </c>
      <c r="X1569" t="str">
        <f>IFERROR(INDEX(Stores!$B:$B,MATCH(E1569,Stores!$A:$A,0)),"Unknown")</f>
        <v>TrendMart Shivamogga Standard</v>
      </c>
      <c r="Y1569" t="str">
        <f>IFERROR(INDEX(Stores!$E:$E,MATCH(E1569,Stores!$A:$A,0)),"Unknown")</f>
        <v>South Zone 2</v>
      </c>
      <c r="Z1569" t="str">
        <f>IFERROR(INDEX(Customers!$J:$J,MATCH(C1569,Customers!$A:$A,0)),"Unknown")</f>
        <v>Regular</v>
      </c>
      <c r="AA1569" t="str">
        <f t="shared" si="24"/>
        <v>2024-04</v>
      </c>
      <c r="AB1569" t="str">
        <f>IFERROR(INDEX(Products!$I:$I,MATCH(D1569,Products!$A:$A,0)),"Unknown")</f>
        <v>SUP018</v>
      </c>
    </row>
    <row r="1570" spans="1:28" x14ac:dyDescent="0.25">
      <c r="A1570" t="s">
        <v>3488</v>
      </c>
      <c r="B1570" s="20">
        <v>45510</v>
      </c>
      <c r="C1570" t="s">
        <v>2791</v>
      </c>
      <c r="D1570" t="s">
        <v>1016</v>
      </c>
      <c r="E1570" t="s">
        <v>477</v>
      </c>
      <c r="F1570" t="s">
        <v>182</v>
      </c>
      <c r="G1570">
        <v>2</v>
      </c>
      <c r="H1570" s="21">
        <v>5180.54</v>
      </c>
      <c r="I1570">
        <v>0</v>
      </c>
      <c r="J1570" s="21">
        <v>0</v>
      </c>
      <c r="K1570">
        <v>12</v>
      </c>
      <c r="L1570" s="21">
        <v>1243.33</v>
      </c>
      <c r="M1570" s="21">
        <v>11604.41</v>
      </c>
      <c r="N1570" s="21">
        <v>7324.74</v>
      </c>
      <c r="O1570" s="21">
        <v>3036.34</v>
      </c>
      <c r="P1570" t="s">
        <v>124</v>
      </c>
      <c r="Q1570" t="s">
        <v>120</v>
      </c>
      <c r="R1570" t="s">
        <v>313</v>
      </c>
      <c r="S1570" t="s">
        <v>2046</v>
      </c>
      <c r="T1570" t="s">
        <v>153</v>
      </c>
      <c r="U1570" t="s">
        <v>154</v>
      </c>
      <c r="V1570" t="str">
        <f>IFERROR(INDEX(Products!$C:$C,MATCH(D1570,Products!$A:$A,0)),"Unknown")</f>
        <v>Watches</v>
      </c>
      <c r="W1570" t="str">
        <f>IFERROR(INDEX(Products!$E:$E,MATCH(D1570,Products!$A:$A,0)),"Unknown")</f>
        <v>Pantaloons</v>
      </c>
      <c r="X1570" t="str">
        <f>IFERROR(INDEX(Stores!$B:$B,MATCH(E1570,Stores!$A:$A,0)),"Unknown")</f>
        <v>TrendMart Hubballi Standard</v>
      </c>
      <c r="Y1570" t="str">
        <f>IFERROR(INDEX(Stores!$E:$E,MATCH(E1570,Stores!$A:$A,0)),"Unknown")</f>
        <v>South Zone 2</v>
      </c>
      <c r="Z1570" t="str">
        <f>IFERROR(INDEX(Customers!$J:$J,MATCH(C1570,Customers!$A:$A,0)),"Unknown")</f>
        <v>Silver</v>
      </c>
      <c r="AA1570" t="str">
        <f t="shared" si="24"/>
        <v>2024-08</v>
      </c>
      <c r="AB1570" t="str">
        <f>IFERROR(INDEX(Products!$I:$I,MATCH(D1570,Products!$A:$A,0)),"Unknown")</f>
        <v>SUP007</v>
      </c>
    </row>
    <row r="1571" spans="1:28" x14ac:dyDescent="0.25">
      <c r="A1571" t="s">
        <v>3489</v>
      </c>
      <c r="B1571" s="20">
        <v>45736</v>
      </c>
      <c r="C1571" t="s">
        <v>3490</v>
      </c>
      <c r="D1571" t="s">
        <v>1649</v>
      </c>
      <c r="E1571" t="s">
        <v>490</v>
      </c>
      <c r="F1571" t="s">
        <v>297</v>
      </c>
      <c r="G1571">
        <v>2</v>
      </c>
      <c r="H1571" s="21">
        <v>1260.4100000000001</v>
      </c>
      <c r="I1571">
        <v>10</v>
      </c>
      <c r="J1571" s="21">
        <v>252.08</v>
      </c>
      <c r="K1571">
        <v>12</v>
      </c>
      <c r="L1571" s="21">
        <v>272.25</v>
      </c>
      <c r="M1571" s="21">
        <v>2540.9899999999998</v>
      </c>
      <c r="N1571" s="21">
        <v>1758.96</v>
      </c>
      <c r="O1571" s="21">
        <v>509.78</v>
      </c>
      <c r="P1571" t="s">
        <v>127</v>
      </c>
      <c r="Q1571" t="s">
        <v>120</v>
      </c>
      <c r="R1571" t="s">
        <v>151</v>
      </c>
      <c r="S1571" t="s">
        <v>3491</v>
      </c>
      <c r="T1571" t="s">
        <v>153</v>
      </c>
      <c r="U1571" t="s">
        <v>154</v>
      </c>
      <c r="V1571" t="str">
        <f>IFERROR(INDEX(Products!$C:$C,MATCH(D1571,Products!$A:$A,0)),"Unknown")</f>
        <v>Belts</v>
      </c>
      <c r="W1571" t="str">
        <f>IFERROR(INDEX(Products!$E:$E,MATCH(D1571,Products!$A:$A,0)),"Unknown")</f>
        <v>Bata</v>
      </c>
      <c r="X1571" t="str">
        <f>IFERROR(INDEX(Stores!$B:$B,MATCH(E1571,Stores!$A:$A,0)),"Unknown")</f>
        <v>TrendMart Mangaluru Mall Kiosk</v>
      </c>
      <c r="Y1571" t="str">
        <f>IFERROR(INDEX(Stores!$E:$E,MATCH(E1571,Stores!$A:$A,0)),"Unknown")</f>
        <v>South Zone 2</v>
      </c>
      <c r="Z1571" t="str">
        <f>IFERROR(INDEX(Customers!$J:$J,MATCH(C1571,Customers!$A:$A,0)),"Unknown")</f>
        <v>Unknown</v>
      </c>
      <c r="AA1571" t="str">
        <f t="shared" si="24"/>
        <v>2025-03</v>
      </c>
      <c r="AB1571" t="str">
        <f>IFERROR(INDEX(Products!$I:$I,MATCH(D1571,Products!$A:$A,0)),"Unknown")</f>
        <v>SUP032</v>
      </c>
    </row>
    <row r="1572" spans="1:28" x14ac:dyDescent="0.25">
      <c r="A1572" t="s">
        <v>3492</v>
      </c>
      <c r="B1572" s="20">
        <v>45700</v>
      </c>
      <c r="C1572" t="s">
        <v>2890</v>
      </c>
      <c r="D1572" t="s">
        <v>2353</v>
      </c>
      <c r="E1572" t="s">
        <v>456</v>
      </c>
      <c r="F1572" t="s">
        <v>232</v>
      </c>
      <c r="G1572">
        <v>1</v>
      </c>
      <c r="H1572" s="21">
        <v>684.83</v>
      </c>
      <c r="I1572">
        <v>10</v>
      </c>
      <c r="J1572" s="21">
        <v>68.48</v>
      </c>
      <c r="K1572">
        <v>5</v>
      </c>
      <c r="L1572" s="21">
        <v>30.82</v>
      </c>
      <c r="M1572" s="21">
        <v>647.16999999999996</v>
      </c>
      <c r="N1572" s="21">
        <v>504.05</v>
      </c>
      <c r="O1572" s="21">
        <v>112.3</v>
      </c>
      <c r="P1572" t="s">
        <v>121</v>
      </c>
      <c r="Q1572" t="s">
        <v>120</v>
      </c>
      <c r="R1572" t="s">
        <v>151</v>
      </c>
      <c r="S1572" t="s">
        <v>2531</v>
      </c>
      <c r="T1572" t="s">
        <v>153</v>
      </c>
      <c r="U1572" t="s">
        <v>154</v>
      </c>
      <c r="V1572" t="str">
        <f>IFERROR(INDEX(Products!$C:$C,MATCH(D1572,Products!$A:$A,0)),"Unknown")</f>
        <v>Sportswear</v>
      </c>
      <c r="W1572" t="str">
        <f>IFERROR(INDEX(Products!$E:$E,MATCH(D1572,Products!$A:$A,0)),"Unknown")</f>
        <v>Mufti</v>
      </c>
      <c r="X1572" t="str">
        <f>IFERROR(INDEX(Stores!$B:$B,MATCH(E1572,Stores!$A:$A,0)),"Unknown")</f>
        <v>TrendMart Salem Outlet</v>
      </c>
      <c r="Y1572" t="str">
        <f>IFERROR(INDEX(Stores!$E:$E,MATCH(E1572,Stores!$A:$A,0)),"Unknown")</f>
        <v>South Zone 1</v>
      </c>
      <c r="Z1572" t="str">
        <f>IFERROR(INDEX(Customers!$J:$J,MATCH(C1572,Customers!$A:$A,0)),"Unknown")</f>
        <v>Regular</v>
      </c>
      <c r="AA1572" t="str">
        <f t="shared" si="24"/>
        <v>2025-02</v>
      </c>
      <c r="AB1572" t="str">
        <f>IFERROR(INDEX(Products!$I:$I,MATCH(D1572,Products!$A:$A,0)),"Unknown")</f>
        <v>SUP020</v>
      </c>
    </row>
    <row r="1573" spans="1:28" x14ac:dyDescent="0.25">
      <c r="A1573" t="s">
        <v>3493</v>
      </c>
      <c r="B1573" s="20">
        <v>45585</v>
      </c>
      <c r="C1573" t="s">
        <v>1880</v>
      </c>
      <c r="D1573" t="s">
        <v>858</v>
      </c>
      <c r="E1573" t="s">
        <v>831</v>
      </c>
      <c r="F1573" t="s">
        <v>532</v>
      </c>
      <c r="G1573">
        <v>1</v>
      </c>
      <c r="H1573" s="21">
        <v>722.42</v>
      </c>
      <c r="I1573">
        <v>5</v>
      </c>
      <c r="J1573" s="21">
        <v>36.119999999999997</v>
      </c>
      <c r="K1573">
        <v>5</v>
      </c>
      <c r="L1573" s="21">
        <v>34.31</v>
      </c>
      <c r="M1573" s="21">
        <v>720.61</v>
      </c>
      <c r="N1573" s="21">
        <v>525.45000000000005</v>
      </c>
      <c r="O1573" s="21">
        <v>160.85</v>
      </c>
      <c r="P1573" t="s">
        <v>125</v>
      </c>
      <c r="Q1573" t="s">
        <v>120</v>
      </c>
      <c r="R1573" t="s">
        <v>151</v>
      </c>
      <c r="S1573" t="s">
        <v>1391</v>
      </c>
      <c r="T1573" t="s">
        <v>161</v>
      </c>
      <c r="U1573" t="s">
        <v>154</v>
      </c>
      <c r="V1573" t="str">
        <f>IFERROR(INDEX(Products!$C:$C,MATCH(D1573,Products!$A:$A,0)),"Unknown")</f>
        <v>Kids Wear</v>
      </c>
      <c r="W1573" t="str">
        <f>IFERROR(INDEX(Products!$E:$E,MATCH(D1573,Products!$A:$A,0)),"Unknown")</f>
        <v>Sonata</v>
      </c>
      <c r="X1573" t="str">
        <f>IFERROR(INDEX(Stores!$B:$B,MATCH(E1573,Stores!$A:$A,0)),"Unknown")</f>
        <v>TrendMart Vellore Standard</v>
      </c>
      <c r="Y1573" t="str">
        <f>IFERROR(INDEX(Stores!$E:$E,MATCH(E1573,Stores!$A:$A,0)),"Unknown")</f>
        <v>South Zone 1</v>
      </c>
      <c r="Z1573" t="str">
        <f>IFERROR(INDEX(Customers!$J:$J,MATCH(C1573,Customers!$A:$A,0)),"Unknown")</f>
        <v>Silver</v>
      </c>
      <c r="AA1573" t="str">
        <f t="shared" si="24"/>
        <v>2024-10</v>
      </c>
      <c r="AB1573" t="str">
        <f>IFERROR(INDEX(Products!$I:$I,MATCH(D1573,Products!$A:$A,0)),"Unknown")</f>
        <v>SUP089</v>
      </c>
    </row>
    <row r="1574" spans="1:28" x14ac:dyDescent="0.25">
      <c r="A1574" t="s">
        <v>3494</v>
      </c>
      <c r="B1574" s="20">
        <v>45633</v>
      </c>
      <c r="C1574" t="s">
        <v>3323</v>
      </c>
      <c r="D1574" t="s">
        <v>670</v>
      </c>
      <c r="E1574" t="s">
        <v>721</v>
      </c>
      <c r="F1574" t="s">
        <v>286</v>
      </c>
      <c r="G1574">
        <v>2</v>
      </c>
      <c r="H1574" s="21">
        <v>2272.16</v>
      </c>
      <c r="I1574">
        <v>10</v>
      </c>
      <c r="J1574" s="21">
        <v>454.43</v>
      </c>
      <c r="K1574">
        <v>12</v>
      </c>
      <c r="L1574" s="21">
        <v>490.79</v>
      </c>
      <c r="M1574" s="21">
        <v>4580.68</v>
      </c>
      <c r="N1574" s="21">
        <v>2756.76</v>
      </c>
      <c r="O1574" s="21">
        <v>1333.13</v>
      </c>
      <c r="P1574" t="s">
        <v>125</v>
      </c>
      <c r="Q1574" t="s">
        <v>120</v>
      </c>
      <c r="R1574" t="s">
        <v>151</v>
      </c>
      <c r="S1574" t="s">
        <v>1326</v>
      </c>
      <c r="T1574" t="s">
        <v>161</v>
      </c>
      <c r="U1574" t="s">
        <v>154</v>
      </c>
      <c r="V1574" t="str">
        <f>IFERROR(INDEX(Products!$C:$C,MATCH(D1574,Products!$A:$A,0)),"Unknown")</f>
        <v>Women Sarees</v>
      </c>
      <c r="W1574" t="str">
        <f>IFERROR(INDEX(Products!$E:$E,MATCH(D1574,Products!$A:$A,0)),"Unknown")</f>
        <v>Reebok</v>
      </c>
      <c r="X1574" t="str">
        <f>IFERROR(INDEX(Stores!$B:$B,MATCH(E1574,Stores!$A:$A,0)),"Unknown")</f>
        <v>TrendMart Kollam Flagship</v>
      </c>
      <c r="Y1574" t="str">
        <f>IFERROR(INDEX(Stores!$E:$E,MATCH(E1574,Stores!$A:$A,0)),"Unknown")</f>
        <v>South Zone 1</v>
      </c>
      <c r="Z1574" t="str">
        <f>IFERROR(INDEX(Customers!$J:$J,MATCH(C1574,Customers!$A:$A,0)),"Unknown")</f>
        <v>Platinum</v>
      </c>
      <c r="AA1574" t="str">
        <f t="shared" si="24"/>
        <v>2024-12</v>
      </c>
      <c r="AB1574" t="str">
        <f>IFERROR(INDEX(Products!$I:$I,MATCH(D1574,Products!$A:$A,0)),"Unknown")</f>
        <v>SUP073</v>
      </c>
    </row>
    <row r="1575" spans="1:28" x14ac:dyDescent="0.25">
      <c r="A1575" t="s">
        <v>3495</v>
      </c>
      <c r="B1575" s="20">
        <v>45526</v>
      </c>
      <c r="C1575" t="s">
        <v>2117</v>
      </c>
      <c r="D1575" t="s">
        <v>1616</v>
      </c>
      <c r="E1575" t="s">
        <v>1825</v>
      </c>
      <c r="F1575" t="s">
        <v>532</v>
      </c>
      <c r="G1575">
        <v>4</v>
      </c>
      <c r="H1575" s="21">
        <v>4500.9399999999996</v>
      </c>
      <c r="I1575">
        <v>5</v>
      </c>
      <c r="J1575" s="21">
        <v>900.19</v>
      </c>
      <c r="K1575">
        <v>12</v>
      </c>
      <c r="L1575" s="21">
        <v>2052.4299999999998</v>
      </c>
      <c r="M1575" s="21">
        <v>19156</v>
      </c>
      <c r="N1575" s="21">
        <v>12092.52</v>
      </c>
      <c r="O1575" s="21">
        <v>5011.05</v>
      </c>
      <c r="P1575" t="s">
        <v>121</v>
      </c>
      <c r="Q1575" t="s">
        <v>120</v>
      </c>
      <c r="R1575" t="s">
        <v>151</v>
      </c>
      <c r="S1575" t="s">
        <v>1436</v>
      </c>
      <c r="T1575" t="s">
        <v>153</v>
      </c>
      <c r="U1575" t="s">
        <v>154</v>
      </c>
      <c r="V1575" t="str">
        <f>IFERROR(INDEX(Products!$C:$C,MATCH(D1575,Products!$A:$A,0)),"Unknown")</f>
        <v>Women Sarees</v>
      </c>
      <c r="W1575" t="str">
        <f>IFERROR(INDEX(Products!$E:$E,MATCH(D1575,Products!$A:$A,0)),"Unknown")</f>
        <v>Max Fashion</v>
      </c>
      <c r="X1575" t="str">
        <f>IFERROR(INDEX(Stores!$B:$B,MATCH(E1575,Stores!$A:$A,0)),"Unknown")</f>
        <v>TrendMart Vijayawada Outlet</v>
      </c>
      <c r="Y1575" t="str">
        <f>IFERROR(INDEX(Stores!$E:$E,MATCH(E1575,Stores!$A:$A,0)),"Unknown")</f>
        <v>South Zone 3</v>
      </c>
      <c r="Z1575" t="str">
        <f>IFERROR(INDEX(Customers!$J:$J,MATCH(C1575,Customers!$A:$A,0)),"Unknown")</f>
        <v>Regular</v>
      </c>
      <c r="AA1575" t="str">
        <f t="shared" si="24"/>
        <v>2024-08</v>
      </c>
      <c r="AB1575" t="str">
        <f>IFERROR(INDEX(Products!$I:$I,MATCH(D1575,Products!$A:$A,0)),"Unknown")</f>
        <v>SUP047</v>
      </c>
    </row>
    <row r="1576" spans="1:28" x14ac:dyDescent="0.25">
      <c r="A1576" t="s">
        <v>3496</v>
      </c>
      <c r="B1576" s="20">
        <v>45409</v>
      </c>
      <c r="C1576" t="s">
        <v>582</v>
      </c>
      <c r="D1576" t="s">
        <v>257</v>
      </c>
      <c r="E1576" t="s">
        <v>745</v>
      </c>
      <c r="F1576" t="s">
        <v>303</v>
      </c>
      <c r="G1576">
        <v>1</v>
      </c>
      <c r="H1576" s="21">
        <v>1133.3499999999999</v>
      </c>
      <c r="I1576">
        <v>10</v>
      </c>
      <c r="J1576" s="21">
        <v>113.33</v>
      </c>
      <c r="K1576">
        <v>12</v>
      </c>
      <c r="L1576" s="21">
        <v>122.4</v>
      </c>
      <c r="M1576" s="21">
        <v>1142.42</v>
      </c>
      <c r="N1576" s="21">
        <v>721.22</v>
      </c>
      <c r="O1576" s="21">
        <v>298.8</v>
      </c>
      <c r="P1576" t="s">
        <v>125</v>
      </c>
      <c r="Q1576" t="s">
        <v>120</v>
      </c>
      <c r="R1576" t="s">
        <v>151</v>
      </c>
      <c r="S1576" t="s">
        <v>1401</v>
      </c>
      <c r="T1576" t="s">
        <v>161</v>
      </c>
      <c r="U1576" t="s">
        <v>154</v>
      </c>
      <c r="V1576" t="str">
        <f>IFERROR(INDEX(Products!$C:$C,MATCH(D1576,Products!$A:$A,0)),"Unknown")</f>
        <v>Men Shirts</v>
      </c>
      <c r="W1576" t="str">
        <f>IFERROR(INDEX(Products!$E:$E,MATCH(D1576,Products!$A:$A,0)),"Unknown")</f>
        <v>Indian Terrain</v>
      </c>
      <c r="X1576" t="str">
        <f>IFERROR(INDEX(Stores!$B:$B,MATCH(E1576,Stores!$A:$A,0)),"Unknown")</f>
        <v>TrendMart Thiruvananthapuram Outlet</v>
      </c>
      <c r="Y1576" t="str">
        <f>IFERROR(INDEX(Stores!$E:$E,MATCH(E1576,Stores!$A:$A,0)),"Unknown")</f>
        <v>South Zone 1</v>
      </c>
      <c r="Z1576" t="str">
        <f>IFERROR(INDEX(Customers!$J:$J,MATCH(C1576,Customers!$A:$A,0)),"Unknown")</f>
        <v>Silver</v>
      </c>
      <c r="AA1576" t="str">
        <f t="shared" si="24"/>
        <v>2024-04</v>
      </c>
      <c r="AB1576" t="str">
        <f>IFERROR(INDEX(Products!$I:$I,MATCH(D1576,Products!$A:$A,0)),"Unknown")</f>
        <v>SUP080</v>
      </c>
    </row>
    <row r="1577" spans="1:28" x14ac:dyDescent="0.25">
      <c r="A1577" t="s">
        <v>3497</v>
      </c>
      <c r="B1577" s="20">
        <v>45518</v>
      </c>
      <c r="C1577" t="s">
        <v>1855</v>
      </c>
      <c r="D1577" t="s">
        <v>251</v>
      </c>
      <c r="E1577" t="s">
        <v>1512</v>
      </c>
      <c r="F1577" t="s">
        <v>189</v>
      </c>
      <c r="G1577">
        <v>3</v>
      </c>
      <c r="H1577" s="21">
        <v>787.64</v>
      </c>
      <c r="I1577">
        <v>0</v>
      </c>
      <c r="J1577" s="21">
        <v>0</v>
      </c>
      <c r="K1577">
        <v>5</v>
      </c>
      <c r="L1577" s="21">
        <v>118.15</v>
      </c>
      <c r="M1577" s="21">
        <v>2481.0700000000002</v>
      </c>
      <c r="N1577" s="21">
        <v>1604.43</v>
      </c>
      <c r="O1577" s="21">
        <v>758.49</v>
      </c>
      <c r="P1577" t="s">
        <v>125</v>
      </c>
      <c r="Q1577" t="s">
        <v>122</v>
      </c>
      <c r="R1577" t="s">
        <v>313</v>
      </c>
      <c r="S1577" t="s">
        <v>1232</v>
      </c>
      <c r="T1577" t="s">
        <v>153</v>
      </c>
      <c r="U1577" t="s">
        <v>154</v>
      </c>
      <c r="V1577" t="str">
        <f>IFERROR(INDEX(Products!$C:$C,MATCH(D1577,Products!$A:$A,0)),"Unknown")</f>
        <v>Women Tops</v>
      </c>
      <c r="W1577" t="str">
        <f>IFERROR(INDEX(Products!$E:$E,MATCH(D1577,Products!$A:$A,0)),"Unknown")</f>
        <v>US Polo Assn</v>
      </c>
      <c r="X1577" t="str">
        <f>IFERROR(INDEX(Stores!$B:$B,MATCH(E1577,Stores!$A:$A,0)),"Unknown")</f>
        <v>TrendMart Erode Mall Kiosk</v>
      </c>
      <c r="Y1577" t="str">
        <f>IFERROR(INDEX(Stores!$E:$E,MATCH(E1577,Stores!$A:$A,0)),"Unknown")</f>
        <v>South Zone 1</v>
      </c>
      <c r="Z1577" t="str">
        <f>IFERROR(INDEX(Customers!$J:$J,MATCH(C1577,Customers!$A:$A,0)),"Unknown")</f>
        <v>Platinum</v>
      </c>
      <c r="AA1577" t="str">
        <f t="shared" si="24"/>
        <v>2024-08</v>
      </c>
      <c r="AB1577" t="str">
        <f>IFERROR(INDEX(Products!$I:$I,MATCH(D1577,Products!$A:$A,0)),"Unknown")</f>
        <v>SUP039</v>
      </c>
    </row>
    <row r="1578" spans="1:28" x14ac:dyDescent="0.25">
      <c r="A1578" t="s">
        <v>3498</v>
      </c>
      <c r="B1578" s="20">
        <v>45572</v>
      </c>
      <c r="C1578" t="s">
        <v>2158</v>
      </c>
      <c r="D1578" t="s">
        <v>279</v>
      </c>
      <c r="E1578" t="s">
        <v>727</v>
      </c>
      <c r="F1578" t="s">
        <v>382</v>
      </c>
      <c r="G1578">
        <v>5</v>
      </c>
      <c r="H1578" s="21">
        <v>3180.05</v>
      </c>
      <c r="I1578">
        <v>20</v>
      </c>
      <c r="J1578" s="21">
        <v>3180.05</v>
      </c>
      <c r="K1578">
        <v>12</v>
      </c>
      <c r="L1578" s="21">
        <v>1526.42</v>
      </c>
      <c r="M1578" s="21">
        <v>14246.62</v>
      </c>
      <c r="N1578" s="21">
        <v>10346.65</v>
      </c>
      <c r="O1578" s="21">
        <v>2373.5500000000002</v>
      </c>
      <c r="P1578" t="s">
        <v>124</v>
      </c>
      <c r="Q1578" t="s">
        <v>122</v>
      </c>
      <c r="R1578" t="s">
        <v>151</v>
      </c>
      <c r="S1578" t="s">
        <v>711</v>
      </c>
      <c r="T1578" t="s">
        <v>153</v>
      </c>
      <c r="U1578" t="s">
        <v>154</v>
      </c>
      <c r="V1578" t="str">
        <f>IFERROR(INDEX(Products!$C:$C,MATCH(D1578,Products!$A:$A,0)),"Unknown")</f>
        <v>Handbags</v>
      </c>
      <c r="W1578" t="str">
        <f>IFERROR(INDEX(Products!$E:$E,MATCH(D1578,Products!$A:$A,0)),"Unknown")</f>
        <v>Westside</v>
      </c>
      <c r="X1578" t="str">
        <f>IFERROR(INDEX(Stores!$B:$B,MATCH(E1578,Stores!$A:$A,0)),"Unknown")</f>
        <v>TrendMart Nizamabad Standard</v>
      </c>
      <c r="Y1578" t="str">
        <f>IFERROR(INDEX(Stores!$E:$E,MATCH(E1578,Stores!$A:$A,0)),"Unknown")</f>
        <v>South Zone 2</v>
      </c>
      <c r="Z1578" t="str">
        <f>IFERROR(INDEX(Customers!$J:$J,MATCH(C1578,Customers!$A:$A,0)),"Unknown")</f>
        <v>Gold</v>
      </c>
      <c r="AA1578" t="str">
        <f t="shared" si="24"/>
        <v>2024-10</v>
      </c>
      <c r="AB1578" t="str">
        <f>IFERROR(INDEX(Products!$I:$I,MATCH(D1578,Products!$A:$A,0)),"Unknown")</f>
        <v>SUP066</v>
      </c>
    </row>
    <row r="1579" spans="1:28" x14ac:dyDescent="0.25">
      <c r="A1579" t="s">
        <v>3499</v>
      </c>
      <c r="B1579" s="20">
        <v>45537</v>
      </c>
      <c r="C1579" t="s">
        <v>2335</v>
      </c>
      <c r="D1579" t="s">
        <v>830</v>
      </c>
      <c r="E1579" t="s">
        <v>515</v>
      </c>
      <c r="F1579" t="s">
        <v>221</v>
      </c>
      <c r="G1579">
        <v>2</v>
      </c>
      <c r="H1579" s="21">
        <v>891.01</v>
      </c>
      <c r="I1579">
        <v>0</v>
      </c>
      <c r="J1579" s="21">
        <v>0</v>
      </c>
      <c r="K1579">
        <v>5</v>
      </c>
      <c r="L1579" s="21">
        <v>89.1</v>
      </c>
      <c r="M1579" s="21">
        <v>1871.12</v>
      </c>
      <c r="N1579" s="21">
        <v>1140.4000000000001</v>
      </c>
      <c r="O1579" s="21">
        <v>641.62</v>
      </c>
      <c r="P1579" t="s">
        <v>125</v>
      </c>
      <c r="Q1579" t="s">
        <v>120</v>
      </c>
      <c r="R1579" t="s">
        <v>151</v>
      </c>
      <c r="S1579" t="s">
        <v>584</v>
      </c>
      <c r="T1579" t="s">
        <v>153</v>
      </c>
      <c r="U1579" t="s">
        <v>154</v>
      </c>
      <c r="V1579" t="str">
        <f>IFERROR(INDEX(Products!$C:$C,MATCH(D1579,Products!$A:$A,0)),"Unknown")</f>
        <v>Men Shirts</v>
      </c>
      <c r="W1579" t="str">
        <f>IFERROR(INDEX(Products!$E:$E,MATCH(D1579,Products!$A:$A,0)),"Unknown")</f>
        <v>AND</v>
      </c>
      <c r="X1579" t="str">
        <f>IFERROR(INDEX(Stores!$B:$B,MATCH(E1579,Stores!$A:$A,0)),"Unknown")</f>
        <v>TrendMart Kochi High Street</v>
      </c>
      <c r="Y1579" t="str">
        <f>IFERROR(INDEX(Stores!$E:$E,MATCH(E1579,Stores!$A:$A,0)),"Unknown")</f>
        <v>South Zone 1</v>
      </c>
      <c r="Z1579" t="str">
        <f>IFERROR(INDEX(Customers!$J:$J,MATCH(C1579,Customers!$A:$A,0)),"Unknown")</f>
        <v>Silver</v>
      </c>
      <c r="AA1579" t="str">
        <f t="shared" si="24"/>
        <v>2024-09</v>
      </c>
      <c r="AB1579" t="str">
        <f>IFERROR(INDEX(Products!$I:$I,MATCH(D1579,Products!$A:$A,0)),"Unknown")</f>
        <v>SUP012</v>
      </c>
    </row>
    <row r="1580" spans="1:28" x14ac:dyDescent="0.25">
      <c r="A1580" t="s">
        <v>3500</v>
      </c>
      <c r="B1580" s="20">
        <v>45503</v>
      </c>
      <c r="C1580" t="s">
        <v>1147</v>
      </c>
      <c r="D1580" t="s">
        <v>595</v>
      </c>
      <c r="E1580" t="s">
        <v>89</v>
      </c>
      <c r="F1580" t="s">
        <v>434</v>
      </c>
      <c r="G1580">
        <v>5</v>
      </c>
      <c r="H1580" s="21">
        <v>825.9</v>
      </c>
      <c r="I1580">
        <v>15</v>
      </c>
      <c r="J1580" s="21">
        <v>619.41999999999996</v>
      </c>
      <c r="K1580">
        <v>5</v>
      </c>
      <c r="L1580" s="21">
        <v>175.5</v>
      </c>
      <c r="M1580" s="21">
        <v>3685.58</v>
      </c>
      <c r="N1580" s="21">
        <v>2952.4</v>
      </c>
      <c r="O1580" s="21">
        <v>557.67999999999995</v>
      </c>
      <c r="P1580" t="s">
        <v>121</v>
      </c>
      <c r="Q1580" t="s">
        <v>120</v>
      </c>
      <c r="R1580" t="s">
        <v>151</v>
      </c>
      <c r="S1580" t="s">
        <v>1728</v>
      </c>
      <c r="T1580" t="s">
        <v>153</v>
      </c>
      <c r="U1580" t="s">
        <v>154</v>
      </c>
      <c r="V1580" t="str">
        <f>IFERROR(INDEX(Products!$C:$C,MATCH(D1580,Products!$A:$A,0)),"Unknown")</f>
        <v>Men Shirts</v>
      </c>
      <c r="W1580" t="str">
        <f>IFERROR(INDEX(Products!$E:$E,MATCH(D1580,Products!$A:$A,0)),"Unknown")</f>
        <v>Nalli Silks</v>
      </c>
      <c r="X1580" t="str">
        <f>IFERROR(INDEX(Stores!$B:$B,MATCH(E1580,Stores!$A:$A,0)),"Unknown")</f>
        <v>TrendMart Kochi Standard</v>
      </c>
      <c r="Y1580" t="str">
        <f>IFERROR(INDEX(Stores!$E:$E,MATCH(E1580,Stores!$A:$A,0)),"Unknown")</f>
        <v>South Zone 1</v>
      </c>
      <c r="Z1580" t="str">
        <f>IFERROR(INDEX(Customers!$J:$J,MATCH(C1580,Customers!$A:$A,0)),"Unknown")</f>
        <v>Gold</v>
      </c>
      <c r="AA1580" t="str">
        <f t="shared" si="24"/>
        <v>2024-07</v>
      </c>
      <c r="AB1580" t="str">
        <f>IFERROR(INDEX(Products!$I:$I,MATCH(D1580,Products!$A:$A,0)),"Unknown")</f>
        <v>SUP055</v>
      </c>
    </row>
    <row r="1581" spans="1:28" x14ac:dyDescent="0.25">
      <c r="A1581" t="s">
        <v>3501</v>
      </c>
      <c r="B1581" s="20">
        <v>45434</v>
      </c>
      <c r="C1581" t="s">
        <v>3030</v>
      </c>
      <c r="D1581" t="s">
        <v>307</v>
      </c>
      <c r="E1581" t="s">
        <v>667</v>
      </c>
      <c r="F1581" t="s">
        <v>286</v>
      </c>
      <c r="G1581">
        <v>1</v>
      </c>
      <c r="H1581" s="21">
        <v>1175.05</v>
      </c>
      <c r="I1581">
        <v>0</v>
      </c>
      <c r="J1581" s="21">
        <v>0</v>
      </c>
      <c r="K1581">
        <v>12</v>
      </c>
      <c r="L1581" s="21">
        <v>141.01</v>
      </c>
      <c r="M1581" s="21">
        <v>1316.06</v>
      </c>
      <c r="N1581" s="21">
        <v>755.06</v>
      </c>
      <c r="O1581" s="21">
        <v>419.99</v>
      </c>
      <c r="P1581" t="s">
        <v>123</v>
      </c>
      <c r="Q1581" t="s">
        <v>122</v>
      </c>
      <c r="R1581" t="s">
        <v>151</v>
      </c>
      <c r="S1581" t="s">
        <v>2395</v>
      </c>
      <c r="T1581" t="s">
        <v>153</v>
      </c>
      <c r="U1581" t="s">
        <v>154</v>
      </c>
      <c r="V1581" t="str">
        <f>IFERROR(INDEX(Products!$C:$C,MATCH(D1581,Products!$A:$A,0)),"Unknown")</f>
        <v>Winter Wear</v>
      </c>
      <c r="W1581" t="str">
        <f>IFERROR(INDEX(Products!$E:$E,MATCH(D1581,Products!$A:$A,0)),"Unknown")</f>
        <v>Fastrack</v>
      </c>
      <c r="X1581" t="str">
        <f>IFERROR(INDEX(Stores!$B:$B,MATCH(E1581,Stores!$A:$A,0)),"Unknown")</f>
        <v>TrendMart Hyderabad High Street</v>
      </c>
      <c r="Y1581" t="str">
        <f>IFERROR(INDEX(Stores!$E:$E,MATCH(E1581,Stores!$A:$A,0)),"Unknown")</f>
        <v>South Zone 2</v>
      </c>
      <c r="Z1581" t="str">
        <f>IFERROR(INDEX(Customers!$J:$J,MATCH(C1581,Customers!$A:$A,0)),"Unknown")</f>
        <v>Silver</v>
      </c>
      <c r="AA1581" t="str">
        <f t="shared" si="24"/>
        <v>2024-05</v>
      </c>
      <c r="AB1581" t="str">
        <f>IFERROR(INDEX(Products!$I:$I,MATCH(D1581,Products!$A:$A,0)),"Unknown")</f>
        <v>SUP008</v>
      </c>
    </row>
    <row r="1582" spans="1:28" x14ac:dyDescent="0.25">
      <c r="A1582" t="s">
        <v>3502</v>
      </c>
      <c r="B1582" s="20">
        <v>45735</v>
      </c>
      <c r="C1582" t="s">
        <v>3503</v>
      </c>
      <c r="D1582" t="s">
        <v>1186</v>
      </c>
      <c r="E1582" t="s">
        <v>741</v>
      </c>
      <c r="F1582" t="s">
        <v>150</v>
      </c>
      <c r="G1582">
        <v>1</v>
      </c>
      <c r="H1582" s="21">
        <v>1082.69</v>
      </c>
      <c r="I1582">
        <v>0</v>
      </c>
      <c r="J1582" s="21">
        <v>0</v>
      </c>
      <c r="K1582">
        <v>12</v>
      </c>
      <c r="L1582" s="21">
        <v>129.91999999999999</v>
      </c>
      <c r="M1582" s="21">
        <v>1212.6099999999999</v>
      </c>
      <c r="N1582" s="21">
        <v>815.45</v>
      </c>
      <c r="O1582" s="21">
        <v>267.24</v>
      </c>
      <c r="P1582" t="s">
        <v>124</v>
      </c>
      <c r="Q1582" t="s">
        <v>120</v>
      </c>
      <c r="R1582" t="s">
        <v>151</v>
      </c>
      <c r="S1582" t="s">
        <v>1443</v>
      </c>
      <c r="T1582" t="s">
        <v>153</v>
      </c>
      <c r="U1582" t="s">
        <v>154</v>
      </c>
      <c r="V1582" t="str">
        <f>IFERROR(INDEX(Products!$C:$C,MATCH(D1582,Products!$A:$A,0)),"Unknown")</f>
        <v>Wallets</v>
      </c>
      <c r="W1582" t="str">
        <f>IFERROR(INDEX(Products!$E:$E,MATCH(D1582,Products!$A:$A,0)),"Unknown")</f>
        <v>Levi's</v>
      </c>
      <c r="X1582" t="str">
        <f>IFERROR(INDEX(Stores!$B:$B,MATCH(E1582,Stores!$A:$A,0)),"Unknown")</f>
        <v>TrendMart Nellore Mall Kiosk</v>
      </c>
      <c r="Y1582" t="str">
        <f>IFERROR(INDEX(Stores!$E:$E,MATCH(E1582,Stores!$A:$A,0)),"Unknown")</f>
        <v>South Zone 3</v>
      </c>
      <c r="Z1582" t="str">
        <f>IFERROR(INDEX(Customers!$J:$J,MATCH(C1582,Customers!$A:$A,0)),"Unknown")</f>
        <v>Regular</v>
      </c>
      <c r="AA1582" t="str">
        <f t="shared" si="24"/>
        <v>2025-03</v>
      </c>
      <c r="AB1582" t="str">
        <f>IFERROR(INDEX(Products!$I:$I,MATCH(D1582,Products!$A:$A,0)),"Unknown")</f>
        <v>SUP045</v>
      </c>
    </row>
    <row r="1583" spans="1:28" x14ac:dyDescent="0.25">
      <c r="A1583" t="s">
        <v>3504</v>
      </c>
      <c r="B1583" s="20">
        <v>45415</v>
      </c>
      <c r="C1583" t="s">
        <v>400</v>
      </c>
      <c r="D1583" t="s">
        <v>864</v>
      </c>
      <c r="E1583" t="s">
        <v>906</v>
      </c>
      <c r="F1583" t="s">
        <v>286</v>
      </c>
      <c r="G1583">
        <v>1</v>
      </c>
      <c r="H1583" s="21">
        <v>3033.82</v>
      </c>
      <c r="I1583">
        <v>10</v>
      </c>
      <c r="J1583" s="21">
        <v>303.38</v>
      </c>
      <c r="K1583">
        <v>3</v>
      </c>
      <c r="L1583" s="21">
        <v>81.91</v>
      </c>
      <c r="M1583" s="21">
        <v>2812.35</v>
      </c>
      <c r="N1583" s="21">
        <v>1989.93</v>
      </c>
      <c r="O1583" s="21">
        <v>740.51</v>
      </c>
      <c r="P1583" t="s">
        <v>121</v>
      </c>
      <c r="Q1583" t="s">
        <v>120</v>
      </c>
      <c r="R1583" t="s">
        <v>151</v>
      </c>
      <c r="S1583" t="s">
        <v>562</v>
      </c>
      <c r="T1583" t="s">
        <v>153</v>
      </c>
      <c r="U1583" t="s">
        <v>154</v>
      </c>
      <c r="V1583" t="str">
        <f>IFERROR(INDEX(Products!$C:$C,MATCH(D1583,Products!$A:$A,0)),"Unknown")</f>
        <v>Jewellery</v>
      </c>
      <c r="W1583" t="str">
        <f>IFERROR(INDEX(Products!$E:$E,MATCH(D1583,Products!$A:$A,0)),"Unknown")</f>
        <v>Wrangler</v>
      </c>
      <c r="X1583" t="str">
        <f>IFERROR(INDEX(Stores!$B:$B,MATCH(E1583,Stores!$A:$A,0)),"Unknown")</f>
        <v>TrendMart Vijayawada Standard</v>
      </c>
      <c r="Y1583" t="str">
        <f>IFERROR(INDEX(Stores!$E:$E,MATCH(E1583,Stores!$A:$A,0)),"Unknown")</f>
        <v>South Zone 3</v>
      </c>
      <c r="Z1583" t="str">
        <f>IFERROR(INDEX(Customers!$J:$J,MATCH(C1583,Customers!$A:$A,0)),"Unknown")</f>
        <v>Platinum</v>
      </c>
      <c r="AA1583" t="str">
        <f t="shared" si="24"/>
        <v>2024-05</v>
      </c>
      <c r="AB1583" t="str">
        <f>IFERROR(INDEX(Products!$I:$I,MATCH(D1583,Products!$A:$A,0)),"Unknown")</f>
        <v>SUP070</v>
      </c>
    </row>
    <row r="1584" spans="1:28" x14ac:dyDescent="0.25">
      <c r="A1584" t="s">
        <v>3505</v>
      </c>
      <c r="B1584" s="20">
        <v>45572</v>
      </c>
      <c r="C1584" t="s">
        <v>2426</v>
      </c>
      <c r="D1584" t="s">
        <v>937</v>
      </c>
      <c r="E1584" t="s">
        <v>85</v>
      </c>
      <c r="F1584" t="s">
        <v>516</v>
      </c>
      <c r="G1584">
        <v>3</v>
      </c>
      <c r="H1584" s="21">
        <v>1215.5</v>
      </c>
      <c r="I1584">
        <v>0</v>
      </c>
      <c r="J1584" s="21">
        <v>0</v>
      </c>
      <c r="K1584">
        <v>12</v>
      </c>
      <c r="L1584" s="21">
        <v>437.58</v>
      </c>
      <c r="M1584" s="21">
        <v>4084.08</v>
      </c>
      <c r="N1584" s="21">
        <v>2585.4</v>
      </c>
      <c r="O1584" s="21">
        <v>1061.0999999999999</v>
      </c>
      <c r="P1584" t="s">
        <v>125</v>
      </c>
      <c r="Q1584" t="s">
        <v>120</v>
      </c>
      <c r="R1584" t="s">
        <v>151</v>
      </c>
      <c r="S1584" t="s">
        <v>1307</v>
      </c>
      <c r="T1584" t="s">
        <v>153</v>
      </c>
      <c r="U1584" t="s">
        <v>154</v>
      </c>
      <c r="V1584" t="str">
        <f>IFERROR(INDEX(Products!$C:$C,MATCH(D1584,Products!$A:$A,0)),"Unknown")</f>
        <v>Men Shirts</v>
      </c>
      <c r="W1584" t="str">
        <f>IFERROR(INDEX(Products!$E:$E,MATCH(D1584,Products!$A:$A,0)),"Unknown")</f>
        <v>Skechers</v>
      </c>
      <c r="X1584" t="str">
        <f>IFERROR(INDEX(Stores!$B:$B,MATCH(E1584,Stores!$A:$A,0)),"Unknown")</f>
        <v>TrendMart Kalaburagi Mall Kiosk</v>
      </c>
      <c r="Y1584" t="str">
        <f>IFERROR(INDEX(Stores!$E:$E,MATCH(E1584,Stores!$A:$A,0)),"Unknown")</f>
        <v>South Zone 2</v>
      </c>
      <c r="Z1584" t="str">
        <f>IFERROR(INDEX(Customers!$J:$J,MATCH(C1584,Customers!$A:$A,0)),"Unknown")</f>
        <v>Silver</v>
      </c>
      <c r="AA1584" t="str">
        <f t="shared" si="24"/>
        <v>2024-10</v>
      </c>
      <c r="AB1584" t="str">
        <f>IFERROR(INDEX(Products!$I:$I,MATCH(D1584,Products!$A:$A,0)),"Unknown")</f>
        <v>SUP042</v>
      </c>
    </row>
    <row r="1585" spans="1:28" x14ac:dyDescent="0.25">
      <c r="A1585" t="s">
        <v>3506</v>
      </c>
      <c r="B1585" s="20">
        <v>45738</v>
      </c>
      <c r="C1585" t="s">
        <v>1790</v>
      </c>
      <c r="D1585" t="s">
        <v>401</v>
      </c>
      <c r="E1585" t="s">
        <v>81</v>
      </c>
      <c r="F1585" t="s">
        <v>237</v>
      </c>
      <c r="G1585">
        <v>2</v>
      </c>
      <c r="H1585" s="21">
        <v>1217.1600000000001</v>
      </c>
      <c r="I1585">
        <v>15</v>
      </c>
      <c r="J1585" s="21">
        <v>365.15</v>
      </c>
      <c r="K1585">
        <v>12</v>
      </c>
      <c r="L1585" s="21">
        <v>248.3</v>
      </c>
      <c r="M1585" s="21">
        <v>2317.4699999999998</v>
      </c>
      <c r="N1585" s="21">
        <v>1535.66</v>
      </c>
      <c r="O1585" s="21">
        <v>533.51</v>
      </c>
      <c r="P1585" t="s">
        <v>125</v>
      </c>
      <c r="Q1585" t="s">
        <v>120</v>
      </c>
      <c r="R1585" t="s">
        <v>151</v>
      </c>
      <c r="S1585" t="s">
        <v>1201</v>
      </c>
      <c r="T1585" t="s">
        <v>161</v>
      </c>
      <c r="U1585" t="s">
        <v>154</v>
      </c>
      <c r="V1585" t="str">
        <f>IFERROR(INDEX(Products!$C:$C,MATCH(D1585,Products!$A:$A,0)),"Unknown")</f>
        <v>Women Jeans</v>
      </c>
      <c r="W1585" t="str">
        <f>IFERROR(INDEX(Products!$E:$E,MATCH(D1585,Products!$A:$A,0)),"Unknown")</f>
        <v>Being Human</v>
      </c>
      <c r="X1585" t="str">
        <f>IFERROR(INDEX(Stores!$B:$B,MATCH(E1585,Stores!$A:$A,0)),"Unknown")</f>
        <v>TrendMart Vijayawada High Street</v>
      </c>
      <c r="Y1585" t="str">
        <f>IFERROR(INDEX(Stores!$E:$E,MATCH(E1585,Stores!$A:$A,0)),"Unknown")</f>
        <v>South Zone 3</v>
      </c>
      <c r="Z1585" t="str">
        <f>IFERROR(INDEX(Customers!$J:$J,MATCH(C1585,Customers!$A:$A,0)),"Unknown")</f>
        <v>Gold</v>
      </c>
      <c r="AA1585" t="str">
        <f t="shared" si="24"/>
        <v>2025-03</v>
      </c>
      <c r="AB1585" t="str">
        <f>IFERROR(INDEX(Products!$I:$I,MATCH(D1585,Products!$A:$A,0)),"Unknown")</f>
        <v>SUP013</v>
      </c>
    </row>
    <row r="1586" spans="1:28" x14ac:dyDescent="0.25">
      <c r="A1586" t="s">
        <v>3507</v>
      </c>
      <c r="B1586" s="20">
        <v>45453</v>
      </c>
      <c r="C1586" t="s">
        <v>794</v>
      </c>
      <c r="D1586" t="s">
        <v>670</v>
      </c>
      <c r="E1586" t="s">
        <v>351</v>
      </c>
      <c r="F1586" t="s">
        <v>281</v>
      </c>
      <c r="G1586">
        <v>3</v>
      </c>
      <c r="H1586" s="21">
        <v>1898.9</v>
      </c>
      <c r="I1586">
        <v>10</v>
      </c>
      <c r="J1586" s="21">
        <v>569.66999999999996</v>
      </c>
      <c r="K1586">
        <v>12</v>
      </c>
      <c r="L1586" s="21">
        <v>615.24</v>
      </c>
      <c r="M1586" s="21">
        <v>5742.27</v>
      </c>
      <c r="N1586" s="21">
        <v>4135.1400000000003</v>
      </c>
      <c r="O1586" s="21">
        <v>991.89</v>
      </c>
      <c r="P1586" t="s">
        <v>121</v>
      </c>
      <c r="Q1586" t="s">
        <v>120</v>
      </c>
      <c r="R1586" t="s">
        <v>151</v>
      </c>
      <c r="S1586" t="s">
        <v>3152</v>
      </c>
      <c r="T1586" t="s">
        <v>153</v>
      </c>
      <c r="U1586" t="s">
        <v>154</v>
      </c>
      <c r="V1586" t="str">
        <f>IFERROR(INDEX(Products!$C:$C,MATCH(D1586,Products!$A:$A,0)),"Unknown")</f>
        <v>Women Sarees</v>
      </c>
      <c r="W1586" t="str">
        <f>IFERROR(INDEX(Products!$E:$E,MATCH(D1586,Products!$A:$A,0)),"Unknown")</f>
        <v>Reebok</v>
      </c>
      <c r="X1586" t="str">
        <f>IFERROR(INDEX(Stores!$B:$B,MATCH(E1586,Stores!$A:$A,0)),"Unknown")</f>
        <v>TrendMart Kozhikode High Street</v>
      </c>
      <c r="Y1586" t="str">
        <f>IFERROR(INDEX(Stores!$E:$E,MATCH(E1586,Stores!$A:$A,0)),"Unknown")</f>
        <v>South Zone 1</v>
      </c>
      <c r="Z1586" t="str">
        <f>IFERROR(INDEX(Customers!$J:$J,MATCH(C1586,Customers!$A:$A,0)),"Unknown")</f>
        <v>Regular</v>
      </c>
      <c r="AA1586" t="str">
        <f t="shared" si="24"/>
        <v>2024-06</v>
      </c>
      <c r="AB1586" t="str">
        <f>IFERROR(INDEX(Products!$I:$I,MATCH(D1586,Products!$A:$A,0)),"Unknown")</f>
        <v>SUP073</v>
      </c>
    </row>
    <row r="1587" spans="1:28" x14ac:dyDescent="0.25">
      <c r="A1587" t="s">
        <v>3508</v>
      </c>
      <c r="B1587" s="20">
        <v>45615</v>
      </c>
      <c r="C1587" t="s">
        <v>3100</v>
      </c>
      <c r="D1587" t="s">
        <v>717</v>
      </c>
      <c r="E1587" t="s">
        <v>541</v>
      </c>
      <c r="F1587" t="s">
        <v>532</v>
      </c>
      <c r="G1587">
        <v>4</v>
      </c>
      <c r="H1587" s="21">
        <v>1752.79</v>
      </c>
      <c r="I1587">
        <v>5</v>
      </c>
      <c r="J1587" s="21">
        <v>350.56</v>
      </c>
      <c r="K1587">
        <v>12</v>
      </c>
      <c r="L1587" s="21">
        <v>799.27</v>
      </c>
      <c r="M1587" s="21">
        <v>7459.87</v>
      </c>
      <c r="N1587" s="21">
        <v>4533.08</v>
      </c>
      <c r="O1587" s="21">
        <v>2127.52</v>
      </c>
      <c r="P1587" t="s">
        <v>124</v>
      </c>
      <c r="Q1587" t="s">
        <v>122</v>
      </c>
      <c r="R1587" t="s">
        <v>151</v>
      </c>
      <c r="S1587" t="s">
        <v>2660</v>
      </c>
      <c r="T1587" t="s">
        <v>153</v>
      </c>
      <c r="U1587" t="s">
        <v>154</v>
      </c>
      <c r="V1587" t="str">
        <f>IFERROR(INDEX(Products!$C:$C,MATCH(D1587,Products!$A:$A,0)),"Unknown")</f>
        <v>Women Dresses</v>
      </c>
      <c r="W1587" t="str">
        <f>IFERROR(INDEX(Products!$E:$E,MATCH(D1587,Products!$A:$A,0)),"Unknown")</f>
        <v>Pantaloons</v>
      </c>
      <c r="X1587" t="str">
        <f>IFERROR(INDEX(Stores!$B:$B,MATCH(E1587,Stores!$A:$A,0)),"Unknown")</f>
        <v>TrendMart Kochi Standard</v>
      </c>
      <c r="Y1587" t="str">
        <f>IFERROR(INDEX(Stores!$E:$E,MATCH(E1587,Stores!$A:$A,0)),"Unknown")</f>
        <v>South Zone 1</v>
      </c>
      <c r="Z1587" t="str">
        <f>IFERROR(INDEX(Customers!$J:$J,MATCH(C1587,Customers!$A:$A,0)),"Unknown")</f>
        <v>Silver</v>
      </c>
      <c r="AA1587" t="str">
        <f t="shared" si="24"/>
        <v>2024-11</v>
      </c>
      <c r="AB1587" t="str">
        <f>IFERROR(INDEX(Products!$I:$I,MATCH(D1587,Products!$A:$A,0)),"Unknown")</f>
        <v>SUP046</v>
      </c>
    </row>
    <row r="1588" spans="1:28" x14ac:dyDescent="0.25">
      <c r="A1588" t="s">
        <v>3509</v>
      </c>
      <c r="B1588" s="20">
        <v>45733</v>
      </c>
      <c r="C1588" t="s">
        <v>1834</v>
      </c>
      <c r="D1588" t="s">
        <v>633</v>
      </c>
      <c r="E1588" t="s">
        <v>363</v>
      </c>
      <c r="F1588" t="s">
        <v>201</v>
      </c>
      <c r="G1588">
        <v>4</v>
      </c>
      <c r="H1588" s="21">
        <v>637.48</v>
      </c>
      <c r="I1588">
        <v>30</v>
      </c>
      <c r="J1588" s="21">
        <v>764.98</v>
      </c>
      <c r="K1588">
        <v>5</v>
      </c>
      <c r="L1588" s="21">
        <v>89.25</v>
      </c>
      <c r="M1588" s="21">
        <v>1874.19</v>
      </c>
      <c r="N1588" s="21">
        <v>1671.68</v>
      </c>
      <c r="O1588" s="21">
        <v>113.26</v>
      </c>
      <c r="P1588" t="s">
        <v>124</v>
      </c>
      <c r="Q1588" t="s">
        <v>120</v>
      </c>
      <c r="R1588" t="s">
        <v>151</v>
      </c>
      <c r="S1588" t="s">
        <v>1999</v>
      </c>
      <c r="T1588" t="s">
        <v>153</v>
      </c>
      <c r="U1588" t="s">
        <v>154</v>
      </c>
      <c r="V1588" t="str">
        <f>IFERROR(INDEX(Products!$C:$C,MATCH(D1588,Products!$A:$A,0)),"Unknown")</f>
        <v>Men T-Shirts</v>
      </c>
      <c r="W1588" t="str">
        <f>IFERROR(INDEX(Products!$E:$E,MATCH(D1588,Products!$A:$A,0)),"Unknown")</f>
        <v>Reebok</v>
      </c>
      <c r="X1588" t="str">
        <f>IFERROR(INDEX(Stores!$B:$B,MATCH(E1588,Stores!$A:$A,0)),"Unknown")</f>
        <v>TrendMart Thiruvananthapuram High Street</v>
      </c>
      <c r="Y1588" t="str">
        <f>IFERROR(INDEX(Stores!$E:$E,MATCH(E1588,Stores!$A:$A,0)),"Unknown")</f>
        <v>South Zone 1</v>
      </c>
      <c r="Z1588" t="str">
        <f>IFERROR(INDEX(Customers!$J:$J,MATCH(C1588,Customers!$A:$A,0)),"Unknown")</f>
        <v>Silver</v>
      </c>
      <c r="AA1588" t="str">
        <f t="shared" si="24"/>
        <v>2025-03</v>
      </c>
      <c r="AB1588" t="str">
        <f>IFERROR(INDEX(Products!$I:$I,MATCH(D1588,Products!$A:$A,0)),"Unknown")</f>
        <v>SUP046</v>
      </c>
    </row>
    <row r="1589" spans="1:28" x14ac:dyDescent="0.25">
      <c r="A1589" t="s">
        <v>3510</v>
      </c>
      <c r="B1589" s="20">
        <v>45591</v>
      </c>
      <c r="C1589" t="s">
        <v>2650</v>
      </c>
      <c r="D1589" t="s">
        <v>2980</v>
      </c>
      <c r="E1589" t="s">
        <v>252</v>
      </c>
      <c r="F1589" t="s">
        <v>532</v>
      </c>
      <c r="G1589">
        <v>1</v>
      </c>
      <c r="H1589" s="21">
        <v>1490.08</v>
      </c>
      <c r="I1589">
        <v>0</v>
      </c>
      <c r="J1589" s="21">
        <v>0</v>
      </c>
      <c r="K1589">
        <v>12</v>
      </c>
      <c r="L1589" s="21">
        <v>178.81</v>
      </c>
      <c r="M1589" s="21">
        <v>1668.89</v>
      </c>
      <c r="N1589" s="21">
        <v>1029.24</v>
      </c>
      <c r="O1589" s="21">
        <v>460.84</v>
      </c>
      <c r="P1589" t="s">
        <v>124</v>
      </c>
      <c r="Q1589" t="s">
        <v>120</v>
      </c>
      <c r="R1589" t="s">
        <v>151</v>
      </c>
      <c r="S1589" t="s">
        <v>340</v>
      </c>
      <c r="T1589" t="s">
        <v>161</v>
      </c>
      <c r="U1589" t="s">
        <v>154</v>
      </c>
      <c r="V1589" t="str">
        <f>IFERROR(INDEX(Products!$C:$C,MATCH(D1589,Products!$A:$A,0)),"Unknown")</f>
        <v>Sportswear</v>
      </c>
      <c r="W1589" t="str">
        <f>IFERROR(INDEX(Products!$E:$E,MATCH(D1589,Products!$A:$A,0)),"Unknown")</f>
        <v>Global Desi</v>
      </c>
      <c r="X1589" t="str">
        <f>IFERROR(INDEX(Stores!$B:$B,MATCH(E1589,Stores!$A:$A,0)),"Unknown")</f>
        <v>TrendMart Nellore Standard</v>
      </c>
      <c r="Y1589" t="str">
        <f>IFERROR(INDEX(Stores!$E:$E,MATCH(E1589,Stores!$A:$A,0)),"Unknown")</f>
        <v>South Zone 3</v>
      </c>
      <c r="Z1589" t="str">
        <f>IFERROR(INDEX(Customers!$J:$J,MATCH(C1589,Customers!$A:$A,0)),"Unknown")</f>
        <v>Platinum</v>
      </c>
      <c r="AA1589" t="str">
        <f t="shared" si="24"/>
        <v>2024-10</v>
      </c>
      <c r="AB1589" t="str">
        <f>IFERROR(INDEX(Products!$I:$I,MATCH(D1589,Products!$A:$A,0)),"Unknown")</f>
        <v>SUP020</v>
      </c>
    </row>
    <row r="1590" spans="1:28" x14ac:dyDescent="0.25">
      <c r="A1590" t="s">
        <v>3511</v>
      </c>
      <c r="B1590" s="20">
        <v>45613</v>
      </c>
      <c r="C1590" t="s">
        <v>2522</v>
      </c>
      <c r="D1590" t="s">
        <v>2019</v>
      </c>
      <c r="E1590" t="s">
        <v>681</v>
      </c>
      <c r="F1590" t="s">
        <v>618</v>
      </c>
      <c r="G1590">
        <v>1</v>
      </c>
      <c r="H1590" s="21">
        <v>2125.92</v>
      </c>
      <c r="I1590">
        <v>15</v>
      </c>
      <c r="J1590" s="21">
        <v>318.89</v>
      </c>
      <c r="K1590">
        <v>12</v>
      </c>
      <c r="L1590" s="21">
        <v>216.84</v>
      </c>
      <c r="M1590" s="21">
        <v>2023.87</v>
      </c>
      <c r="N1590" s="21">
        <v>1504.79</v>
      </c>
      <c r="O1590" s="21">
        <v>302.24</v>
      </c>
      <c r="P1590" t="s">
        <v>123</v>
      </c>
      <c r="Q1590" t="s">
        <v>120</v>
      </c>
      <c r="R1590" t="s">
        <v>151</v>
      </c>
      <c r="S1590" t="s">
        <v>1835</v>
      </c>
      <c r="T1590" t="s">
        <v>161</v>
      </c>
      <c r="U1590" t="s">
        <v>154</v>
      </c>
      <c r="V1590" t="str">
        <f>IFERROR(INDEX(Products!$C:$C,MATCH(D1590,Products!$A:$A,0)),"Unknown")</f>
        <v>Footwear</v>
      </c>
      <c r="W1590" t="str">
        <f>IFERROR(INDEX(Products!$E:$E,MATCH(D1590,Products!$A:$A,0)),"Unknown")</f>
        <v>Bata</v>
      </c>
      <c r="X1590" t="str">
        <f>IFERROR(INDEX(Stores!$B:$B,MATCH(E1590,Stores!$A:$A,0)),"Unknown")</f>
        <v>TrendMart Shivamogga Mall Kiosk</v>
      </c>
      <c r="Y1590" t="str">
        <f>IFERROR(INDEX(Stores!$E:$E,MATCH(E1590,Stores!$A:$A,0)),"Unknown")</f>
        <v>South Zone 2</v>
      </c>
      <c r="Z1590" t="str">
        <f>IFERROR(INDEX(Customers!$J:$J,MATCH(C1590,Customers!$A:$A,0)),"Unknown")</f>
        <v>Platinum</v>
      </c>
      <c r="AA1590" t="str">
        <f t="shared" si="24"/>
        <v>2024-11</v>
      </c>
      <c r="AB1590" t="str">
        <f>IFERROR(INDEX(Products!$I:$I,MATCH(D1590,Products!$A:$A,0)),"Unknown")</f>
        <v>SUP004</v>
      </c>
    </row>
    <row r="1591" spans="1:28" x14ac:dyDescent="0.25">
      <c r="A1591" t="s">
        <v>3512</v>
      </c>
      <c r="B1591" s="20">
        <v>45644</v>
      </c>
      <c r="C1591" t="s">
        <v>3513</v>
      </c>
      <c r="D1591" t="s">
        <v>2353</v>
      </c>
      <c r="E1591" t="s">
        <v>634</v>
      </c>
      <c r="F1591" t="s">
        <v>201</v>
      </c>
      <c r="G1591">
        <v>1</v>
      </c>
      <c r="H1591" s="21">
        <v>685.12</v>
      </c>
      <c r="I1591">
        <v>15</v>
      </c>
      <c r="J1591" s="21">
        <v>102.77</v>
      </c>
      <c r="K1591">
        <v>5</v>
      </c>
      <c r="L1591" s="21">
        <v>29.12</v>
      </c>
      <c r="M1591" s="21">
        <v>611.47</v>
      </c>
      <c r="N1591" s="21">
        <v>504.05</v>
      </c>
      <c r="O1591" s="21">
        <v>78.3</v>
      </c>
      <c r="P1591" t="s">
        <v>125</v>
      </c>
      <c r="Q1591" t="s">
        <v>122</v>
      </c>
      <c r="R1591" t="s">
        <v>151</v>
      </c>
      <c r="S1591" t="s">
        <v>1948</v>
      </c>
      <c r="T1591" t="s">
        <v>153</v>
      </c>
      <c r="U1591" t="s">
        <v>154</v>
      </c>
      <c r="V1591" t="str">
        <f>IFERROR(INDEX(Products!$C:$C,MATCH(D1591,Products!$A:$A,0)),"Unknown")</f>
        <v>Sportswear</v>
      </c>
      <c r="W1591" t="str">
        <f>IFERROR(INDEX(Products!$E:$E,MATCH(D1591,Products!$A:$A,0)),"Unknown")</f>
        <v>Mufti</v>
      </c>
      <c r="X1591" t="str">
        <f>IFERROR(INDEX(Stores!$B:$B,MATCH(E1591,Stores!$A:$A,0)),"Unknown")</f>
        <v>TrendMart Thrissur High Street</v>
      </c>
      <c r="Y1591" t="str">
        <f>IFERROR(INDEX(Stores!$E:$E,MATCH(E1591,Stores!$A:$A,0)),"Unknown")</f>
        <v>South Zone 1</v>
      </c>
      <c r="Z1591" t="str">
        <f>IFERROR(INDEX(Customers!$J:$J,MATCH(C1591,Customers!$A:$A,0)),"Unknown")</f>
        <v>Regular</v>
      </c>
      <c r="AA1591" t="str">
        <f t="shared" si="24"/>
        <v>2024-12</v>
      </c>
      <c r="AB1591" t="str">
        <f>IFERROR(INDEX(Products!$I:$I,MATCH(D1591,Products!$A:$A,0)),"Unknown")</f>
        <v>SUP020</v>
      </c>
    </row>
    <row r="1592" spans="1:28" x14ac:dyDescent="0.25">
      <c r="A1592" t="s">
        <v>3514</v>
      </c>
      <c r="B1592" s="20">
        <v>45648</v>
      </c>
      <c r="C1592" t="s">
        <v>1167</v>
      </c>
      <c r="D1592" t="s">
        <v>1569</v>
      </c>
      <c r="E1592" t="s">
        <v>1825</v>
      </c>
      <c r="F1592" t="s">
        <v>344</v>
      </c>
      <c r="G1592">
        <v>1</v>
      </c>
      <c r="H1592" s="21">
        <v>1167.1500000000001</v>
      </c>
      <c r="I1592">
        <v>20</v>
      </c>
      <c r="J1592" s="21">
        <v>233.43</v>
      </c>
      <c r="K1592">
        <v>12</v>
      </c>
      <c r="L1592" s="21">
        <v>112.05</v>
      </c>
      <c r="M1592" s="21">
        <v>1045.77</v>
      </c>
      <c r="N1592" s="21">
        <v>808.99</v>
      </c>
      <c r="O1592" s="21">
        <v>124.73</v>
      </c>
      <c r="P1592" t="s">
        <v>121</v>
      </c>
      <c r="Q1592" t="s">
        <v>122</v>
      </c>
      <c r="R1592" t="s">
        <v>151</v>
      </c>
      <c r="S1592" t="s">
        <v>1740</v>
      </c>
      <c r="T1592" t="s">
        <v>161</v>
      </c>
      <c r="U1592" t="s">
        <v>154</v>
      </c>
      <c r="V1592" t="str">
        <f>IFERROR(INDEX(Products!$C:$C,MATCH(D1592,Products!$A:$A,0)),"Unknown")</f>
        <v>Women Kurtis</v>
      </c>
      <c r="W1592" t="str">
        <f>IFERROR(INDEX(Products!$E:$E,MATCH(D1592,Products!$A:$A,0)),"Unknown")</f>
        <v>Liberty</v>
      </c>
      <c r="X1592" t="str">
        <f>IFERROR(INDEX(Stores!$B:$B,MATCH(E1592,Stores!$A:$A,0)),"Unknown")</f>
        <v>TrendMart Vijayawada Outlet</v>
      </c>
      <c r="Y1592" t="str">
        <f>IFERROR(INDEX(Stores!$E:$E,MATCH(E1592,Stores!$A:$A,0)),"Unknown")</f>
        <v>South Zone 3</v>
      </c>
      <c r="Z1592" t="str">
        <f>IFERROR(INDEX(Customers!$J:$J,MATCH(C1592,Customers!$A:$A,0)),"Unknown")</f>
        <v>Regular</v>
      </c>
      <c r="AA1592" t="str">
        <f t="shared" si="24"/>
        <v>2024-12</v>
      </c>
      <c r="AB1592" t="str">
        <f>IFERROR(INDEX(Products!$I:$I,MATCH(D1592,Products!$A:$A,0)),"Unknown")</f>
        <v>SUP079</v>
      </c>
    </row>
    <row r="1593" spans="1:28" x14ac:dyDescent="0.25">
      <c r="A1593" t="s">
        <v>3515</v>
      </c>
      <c r="B1593" s="20">
        <v>45417</v>
      </c>
      <c r="C1593" t="s">
        <v>3119</v>
      </c>
      <c r="D1593" t="s">
        <v>2353</v>
      </c>
      <c r="E1593" t="s">
        <v>86</v>
      </c>
      <c r="F1593" t="s">
        <v>182</v>
      </c>
      <c r="G1593">
        <v>3</v>
      </c>
      <c r="H1593" s="21">
        <v>692.88</v>
      </c>
      <c r="I1593">
        <v>10</v>
      </c>
      <c r="J1593" s="21">
        <v>207.86</v>
      </c>
      <c r="K1593">
        <v>5</v>
      </c>
      <c r="L1593" s="21">
        <v>93.54</v>
      </c>
      <c r="M1593" s="21">
        <v>1964.32</v>
      </c>
      <c r="N1593" s="21">
        <v>1512.15</v>
      </c>
      <c r="O1593" s="21">
        <v>358.63</v>
      </c>
      <c r="P1593" t="s">
        <v>121</v>
      </c>
      <c r="Q1593" t="s">
        <v>120</v>
      </c>
      <c r="R1593" t="s">
        <v>151</v>
      </c>
      <c r="S1593" t="s">
        <v>1011</v>
      </c>
      <c r="T1593" t="s">
        <v>161</v>
      </c>
      <c r="U1593" t="s">
        <v>154</v>
      </c>
      <c r="V1593" t="str">
        <f>IFERROR(INDEX(Products!$C:$C,MATCH(D1593,Products!$A:$A,0)),"Unknown")</f>
        <v>Sportswear</v>
      </c>
      <c r="W1593" t="str">
        <f>IFERROR(INDEX(Products!$E:$E,MATCH(D1593,Products!$A:$A,0)),"Unknown")</f>
        <v>Mufti</v>
      </c>
      <c r="X1593" t="str">
        <f>IFERROR(INDEX(Stores!$B:$B,MATCH(E1593,Stores!$A:$A,0)),"Unknown")</f>
        <v>TrendMart Warangal High Street</v>
      </c>
      <c r="Y1593" t="str">
        <f>IFERROR(INDEX(Stores!$E:$E,MATCH(E1593,Stores!$A:$A,0)),"Unknown")</f>
        <v>South Zone 2</v>
      </c>
      <c r="Z1593" t="str">
        <f>IFERROR(INDEX(Customers!$J:$J,MATCH(C1593,Customers!$A:$A,0)),"Unknown")</f>
        <v>Silver</v>
      </c>
      <c r="AA1593" t="str">
        <f t="shared" si="24"/>
        <v>2024-05</v>
      </c>
      <c r="AB1593" t="str">
        <f>IFERROR(INDEX(Products!$I:$I,MATCH(D1593,Products!$A:$A,0)),"Unknown")</f>
        <v>SUP020</v>
      </c>
    </row>
    <row r="1594" spans="1:28" x14ac:dyDescent="0.25">
      <c r="A1594" t="s">
        <v>3516</v>
      </c>
      <c r="B1594" s="20">
        <v>45579</v>
      </c>
      <c r="C1594" t="s">
        <v>1766</v>
      </c>
      <c r="D1594" t="s">
        <v>1466</v>
      </c>
      <c r="E1594" t="s">
        <v>806</v>
      </c>
      <c r="F1594" t="s">
        <v>237</v>
      </c>
      <c r="G1594">
        <v>4</v>
      </c>
      <c r="H1594" s="21">
        <v>736.55</v>
      </c>
      <c r="I1594">
        <v>20</v>
      </c>
      <c r="J1594" s="21">
        <v>589.24</v>
      </c>
      <c r="K1594">
        <v>5</v>
      </c>
      <c r="L1594" s="21">
        <v>117.85</v>
      </c>
      <c r="M1594" s="21">
        <v>2474.81</v>
      </c>
      <c r="N1594" s="21">
        <v>1712.64</v>
      </c>
      <c r="O1594" s="21">
        <v>644.32000000000005</v>
      </c>
      <c r="P1594" t="s">
        <v>125</v>
      </c>
      <c r="Q1594" t="s">
        <v>120</v>
      </c>
      <c r="R1594" t="s">
        <v>151</v>
      </c>
      <c r="S1594" t="s">
        <v>1443</v>
      </c>
      <c r="T1594" t="s">
        <v>153</v>
      </c>
      <c r="U1594" t="s">
        <v>154</v>
      </c>
      <c r="V1594" t="str">
        <f>IFERROR(INDEX(Products!$C:$C,MATCH(D1594,Products!$A:$A,0)),"Unknown")</f>
        <v>Men T-Shirts</v>
      </c>
      <c r="W1594" t="str">
        <f>IFERROR(INDEX(Products!$E:$E,MATCH(D1594,Products!$A:$A,0)),"Unknown")</f>
        <v>Killer Jeans</v>
      </c>
      <c r="X1594" t="str">
        <f>IFERROR(INDEX(Stores!$B:$B,MATCH(E1594,Stores!$A:$A,0)),"Unknown")</f>
        <v>TrendMart Tirunelveli Flagship</v>
      </c>
      <c r="Y1594" t="str">
        <f>IFERROR(INDEX(Stores!$E:$E,MATCH(E1594,Stores!$A:$A,0)),"Unknown")</f>
        <v>South Zone 1</v>
      </c>
      <c r="Z1594" t="str">
        <f>IFERROR(INDEX(Customers!$J:$J,MATCH(C1594,Customers!$A:$A,0)),"Unknown")</f>
        <v>Gold</v>
      </c>
      <c r="AA1594" t="str">
        <f t="shared" si="24"/>
        <v>2024-10</v>
      </c>
      <c r="AB1594" t="str">
        <f>IFERROR(INDEX(Products!$I:$I,MATCH(D1594,Products!$A:$A,0)),"Unknown")</f>
        <v>SUP069</v>
      </c>
    </row>
    <row r="1595" spans="1:28" x14ac:dyDescent="0.25">
      <c r="A1595" t="s">
        <v>3517</v>
      </c>
      <c r="B1595" s="20">
        <v>45735</v>
      </c>
      <c r="C1595" t="s">
        <v>2455</v>
      </c>
      <c r="D1595" t="s">
        <v>633</v>
      </c>
      <c r="E1595" t="s">
        <v>613</v>
      </c>
      <c r="F1595" t="s">
        <v>403</v>
      </c>
      <c r="G1595">
        <v>2</v>
      </c>
      <c r="H1595" s="21">
        <v>682.75</v>
      </c>
      <c r="I1595">
        <v>0</v>
      </c>
      <c r="J1595" s="21">
        <v>0</v>
      </c>
      <c r="K1595">
        <v>5</v>
      </c>
      <c r="L1595" s="21">
        <v>68.28</v>
      </c>
      <c r="M1595" s="21">
        <v>1433.78</v>
      </c>
      <c r="N1595" s="21">
        <v>835.84</v>
      </c>
      <c r="O1595" s="21">
        <v>529.66</v>
      </c>
      <c r="P1595" t="s">
        <v>127</v>
      </c>
      <c r="Q1595" t="s">
        <v>122</v>
      </c>
      <c r="R1595" t="s">
        <v>151</v>
      </c>
      <c r="S1595" t="s">
        <v>2575</v>
      </c>
      <c r="T1595" t="s">
        <v>153</v>
      </c>
      <c r="U1595" t="s">
        <v>154</v>
      </c>
      <c r="V1595" t="str">
        <f>IFERROR(INDEX(Products!$C:$C,MATCH(D1595,Products!$A:$A,0)),"Unknown")</f>
        <v>Men T-Shirts</v>
      </c>
      <c r="W1595" t="str">
        <f>IFERROR(INDEX(Products!$E:$E,MATCH(D1595,Products!$A:$A,0)),"Unknown")</f>
        <v>Reebok</v>
      </c>
      <c r="X1595" t="str">
        <f>IFERROR(INDEX(Stores!$B:$B,MATCH(E1595,Stores!$A:$A,0)),"Unknown")</f>
        <v>TrendMart Kochi Mall Kiosk</v>
      </c>
      <c r="Y1595" t="str">
        <f>IFERROR(INDEX(Stores!$E:$E,MATCH(E1595,Stores!$A:$A,0)),"Unknown")</f>
        <v>South Zone 1</v>
      </c>
      <c r="Z1595" t="str">
        <f>IFERROR(INDEX(Customers!$J:$J,MATCH(C1595,Customers!$A:$A,0)),"Unknown")</f>
        <v>Silver</v>
      </c>
      <c r="AA1595" t="str">
        <f t="shared" si="24"/>
        <v>2025-03</v>
      </c>
      <c r="AB1595" t="str">
        <f>IFERROR(INDEX(Products!$I:$I,MATCH(D1595,Products!$A:$A,0)),"Unknown")</f>
        <v>SUP046</v>
      </c>
    </row>
    <row r="1596" spans="1:28" x14ac:dyDescent="0.25">
      <c r="A1596" t="s">
        <v>3518</v>
      </c>
      <c r="B1596" s="20">
        <v>45609</v>
      </c>
      <c r="C1596" t="s">
        <v>3519</v>
      </c>
      <c r="D1596" t="s">
        <v>666</v>
      </c>
      <c r="E1596" t="s">
        <v>416</v>
      </c>
      <c r="F1596" t="s">
        <v>516</v>
      </c>
      <c r="G1596">
        <v>1</v>
      </c>
      <c r="H1596" s="21">
        <v>1328.4</v>
      </c>
      <c r="I1596">
        <v>10</v>
      </c>
      <c r="J1596" s="21">
        <v>132.84</v>
      </c>
      <c r="K1596">
        <v>12</v>
      </c>
      <c r="L1596" s="21">
        <v>143.47</v>
      </c>
      <c r="M1596" s="21">
        <v>1339.03</v>
      </c>
      <c r="N1596" s="21">
        <v>904.21</v>
      </c>
      <c r="O1596" s="21">
        <v>291.35000000000002</v>
      </c>
      <c r="P1596" t="s">
        <v>125</v>
      </c>
      <c r="Q1596" t="s">
        <v>122</v>
      </c>
      <c r="R1596" t="s">
        <v>151</v>
      </c>
      <c r="S1596" t="s">
        <v>3520</v>
      </c>
      <c r="T1596" t="s">
        <v>153</v>
      </c>
      <c r="U1596" t="s">
        <v>154</v>
      </c>
      <c r="V1596" t="str">
        <f>IFERROR(INDEX(Products!$C:$C,MATCH(D1596,Products!$A:$A,0)),"Unknown")</f>
        <v>Wallets</v>
      </c>
      <c r="W1596" t="str">
        <f>IFERROR(INDEX(Products!$E:$E,MATCH(D1596,Products!$A:$A,0)),"Unknown")</f>
        <v>Louis Philippe</v>
      </c>
      <c r="X1596" t="str">
        <f>IFERROR(INDEX(Stores!$B:$B,MATCH(E1596,Stores!$A:$A,0)),"Unknown")</f>
        <v>TrendMart Dindigul Standard</v>
      </c>
      <c r="Y1596" t="str">
        <f>IFERROR(INDEX(Stores!$E:$E,MATCH(E1596,Stores!$A:$A,0)),"Unknown")</f>
        <v>South Zone 1</v>
      </c>
      <c r="Z1596" t="str">
        <f>IFERROR(INDEX(Customers!$J:$J,MATCH(C1596,Customers!$A:$A,0)),"Unknown")</f>
        <v>Silver</v>
      </c>
      <c r="AA1596" t="str">
        <f t="shared" si="24"/>
        <v>2024-11</v>
      </c>
      <c r="AB1596" t="str">
        <f>IFERROR(INDEX(Products!$I:$I,MATCH(D1596,Products!$A:$A,0)),"Unknown")</f>
        <v>SUP039</v>
      </c>
    </row>
    <row r="1597" spans="1:28" x14ac:dyDescent="0.25">
      <c r="A1597" t="s">
        <v>3521</v>
      </c>
      <c r="B1597" s="20">
        <v>45398</v>
      </c>
      <c r="C1597" t="s">
        <v>1366</v>
      </c>
      <c r="D1597" t="s">
        <v>689</v>
      </c>
      <c r="E1597" t="s">
        <v>741</v>
      </c>
      <c r="F1597" t="s">
        <v>275</v>
      </c>
      <c r="G1597">
        <v>0</v>
      </c>
      <c r="H1597" s="21">
        <v>783.67</v>
      </c>
      <c r="I1597">
        <v>15</v>
      </c>
      <c r="J1597" s="21">
        <v>0</v>
      </c>
      <c r="K1597">
        <v>5</v>
      </c>
      <c r="L1597" s="21">
        <v>0</v>
      </c>
      <c r="M1597" s="21">
        <v>0</v>
      </c>
      <c r="N1597" s="21">
        <v>0</v>
      </c>
      <c r="O1597" s="21">
        <v>0</v>
      </c>
      <c r="P1597" t="s">
        <v>121</v>
      </c>
      <c r="Q1597" t="s">
        <v>122</v>
      </c>
      <c r="R1597" t="s">
        <v>482</v>
      </c>
      <c r="S1597" t="s">
        <v>2380</v>
      </c>
      <c r="T1597" t="s">
        <v>153</v>
      </c>
      <c r="U1597" t="s">
        <v>154</v>
      </c>
      <c r="V1597" t="str">
        <f>IFERROR(INDEX(Products!$C:$C,MATCH(D1597,Products!$A:$A,0)),"Unknown")</f>
        <v>Kids Wear</v>
      </c>
      <c r="W1597" t="str">
        <f>IFERROR(INDEX(Products!$E:$E,MATCH(D1597,Products!$A:$A,0)),"Unknown")</f>
        <v>Libas</v>
      </c>
      <c r="X1597" t="str">
        <f>IFERROR(INDEX(Stores!$B:$B,MATCH(E1597,Stores!$A:$A,0)),"Unknown")</f>
        <v>TrendMart Nellore Mall Kiosk</v>
      </c>
      <c r="Y1597" t="str">
        <f>IFERROR(INDEX(Stores!$E:$E,MATCH(E1597,Stores!$A:$A,0)),"Unknown")</f>
        <v>South Zone 3</v>
      </c>
      <c r="Z1597" t="str">
        <f>IFERROR(INDEX(Customers!$J:$J,MATCH(C1597,Customers!$A:$A,0)),"Unknown")</f>
        <v>Gold</v>
      </c>
      <c r="AA1597" t="str">
        <f t="shared" si="24"/>
        <v>2024-04</v>
      </c>
      <c r="AB1597" t="str">
        <f>IFERROR(INDEX(Products!$I:$I,MATCH(D1597,Products!$A:$A,0)),"Unknown")</f>
        <v>SUP031</v>
      </c>
    </row>
    <row r="1598" spans="1:28" x14ac:dyDescent="0.25">
      <c r="A1598" t="s">
        <v>3522</v>
      </c>
      <c r="B1598" s="20">
        <v>45610</v>
      </c>
      <c r="C1598" t="s">
        <v>2466</v>
      </c>
      <c r="D1598" t="s">
        <v>481</v>
      </c>
      <c r="E1598" t="s">
        <v>429</v>
      </c>
      <c r="F1598" t="s">
        <v>189</v>
      </c>
      <c r="G1598">
        <v>1</v>
      </c>
      <c r="H1598" s="21">
        <v>893.88</v>
      </c>
      <c r="I1598">
        <v>0</v>
      </c>
      <c r="J1598" s="21">
        <v>0</v>
      </c>
      <c r="K1598">
        <v>5</v>
      </c>
      <c r="L1598" s="21">
        <v>44.69</v>
      </c>
      <c r="M1598" s="21">
        <v>938.57</v>
      </c>
      <c r="N1598" s="21">
        <v>698.08</v>
      </c>
      <c r="O1598" s="21">
        <v>195.8</v>
      </c>
      <c r="P1598" t="s">
        <v>121</v>
      </c>
      <c r="Q1598" t="s">
        <v>120</v>
      </c>
      <c r="R1598" t="s">
        <v>151</v>
      </c>
      <c r="S1598" t="s">
        <v>2512</v>
      </c>
      <c r="T1598" t="s">
        <v>153</v>
      </c>
      <c r="U1598" t="s">
        <v>154</v>
      </c>
      <c r="V1598" t="str">
        <f>IFERROR(INDEX(Products!$C:$C,MATCH(D1598,Products!$A:$A,0)),"Unknown")</f>
        <v>Women Dresses</v>
      </c>
      <c r="W1598" t="str">
        <f>IFERROR(INDEX(Products!$E:$E,MATCH(D1598,Products!$A:$A,0)),"Unknown")</f>
        <v>Jack &amp; Jones</v>
      </c>
      <c r="X1598" t="str">
        <f>IFERROR(INDEX(Stores!$B:$B,MATCH(E1598,Stores!$A:$A,0)),"Unknown")</f>
        <v>TrendMart Tirunelveli Flagship</v>
      </c>
      <c r="Y1598" t="str">
        <f>IFERROR(INDEX(Stores!$E:$E,MATCH(E1598,Stores!$A:$A,0)),"Unknown")</f>
        <v>South Zone 1</v>
      </c>
      <c r="Z1598" t="str">
        <f>IFERROR(INDEX(Customers!$J:$J,MATCH(C1598,Customers!$A:$A,0)),"Unknown")</f>
        <v>Regular</v>
      </c>
      <c r="AA1598" t="str">
        <f t="shared" si="24"/>
        <v>2024-11</v>
      </c>
      <c r="AB1598" t="str">
        <f>IFERROR(INDEX(Products!$I:$I,MATCH(D1598,Products!$A:$A,0)),"Unknown")</f>
        <v>SUP069</v>
      </c>
    </row>
    <row r="1599" spans="1:28" x14ac:dyDescent="0.25">
      <c r="A1599" t="s">
        <v>3523</v>
      </c>
      <c r="B1599" s="20">
        <v>45728</v>
      </c>
      <c r="C1599" t="s">
        <v>3524</v>
      </c>
      <c r="D1599" t="s">
        <v>1454</v>
      </c>
      <c r="E1599" t="s">
        <v>387</v>
      </c>
      <c r="F1599" t="s">
        <v>232</v>
      </c>
      <c r="G1599">
        <v>2</v>
      </c>
      <c r="H1599" s="21">
        <v>732.39</v>
      </c>
      <c r="I1599">
        <v>10</v>
      </c>
      <c r="J1599" s="21">
        <v>146.47999999999999</v>
      </c>
      <c r="K1599">
        <v>5</v>
      </c>
      <c r="L1599" s="21">
        <v>65.92</v>
      </c>
      <c r="M1599" s="21">
        <v>1384.22</v>
      </c>
      <c r="N1599" s="21">
        <v>1140.3599999999999</v>
      </c>
      <c r="O1599" s="21">
        <v>177.94</v>
      </c>
      <c r="P1599" t="s">
        <v>124</v>
      </c>
      <c r="Q1599" t="s">
        <v>120</v>
      </c>
      <c r="R1599" t="s">
        <v>151</v>
      </c>
      <c r="S1599" t="s">
        <v>1249</v>
      </c>
      <c r="T1599" t="s">
        <v>153</v>
      </c>
      <c r="U1599" t="s">
        <v>154</v>
      </c>
      <c r="V1599" t="str">
        <f>IFERROR(INDEX(Products!$C:$C,MATCH(D1599,Products!$A:$A,0)),"Unknown")</f>
        <v>Wallets</v>
      </c>
      <c r="W1599" t="str">
        <f>IFERROR(INDEX(Products!$E:$E,MATCH(D1599,Products!$A:$A,0)),"Unknown")</f>
        <v>Skechers</v>
      </c>
      <c r="X1599" t="str">
        <f>IFERROR(INDEX(Stores!$B:$B,MATCH(E1599,Stores!$A:$A,0)),"Unknown")</f>
        <v>TrendMart Kannur Outlet</v>
      </c>
      <c r="Y1599" t="str">
        <f>IFERROR(INDEX(Stores!$E:$E,MATCH(E1599,Stores!$A:$A,0)),"Unknown")</f>
        <v>South Zone 1</v>
      </c>
      <c r="Z1599" t="str">
        <f>IFERROR(INDEX(Customers!$J:$J,MATCH(C1599,Customers!$A:$A,0)),"Unknown")</f>
        <v>Gold</v>
      </c>
      <c r="AA1599" t="str">
        <f t="shared" si="24"/>
        <v>2025-03</v>
      </c>
      <c r="AB1599" t="str">
        <f>IFERROR(INDEX(Products!$I:$I,MATCH(D1599,Products!$A:$A,0)),"Unknown")</f>
        <v>SUP013</v>
      </c>
    </row>
    <row r="1600" spans="1:28" x14ac:dyDescent="0.25">
      <c r="A1600" t="s">
        <v>3525</v>
      </c>
      <c r="B1600" s="20">
        <v>45494</v>
      </c>
      <c r="C1600" t="s">
        <v>3526</v>
      </c>
      <c r="D1600" t="s">
        <v>1160</v>
      </c>
      <c r="E1600" t="s">
        <v>495</v>
      </c>
      <c r="F1600" t="s">
        <v>253</v>
      </c>
      <c r="G1600">
        <v>3</v>
      </c>
      <c r="H1600" s="21">
        <v>1619.13</v>
      </c>
      <c r="I1600">
        <v>30</v>
      </c>
      <c r="J1600" s="21">
        <v>1457.22</v>
      </c>
      <c r="K1600">
        <v>12</v>
      </c>
      <c r="L1600" s="21">
        <v>408.02</v>
      </c>
      <c r="M1600" s="21">
        <v>3808.19</v>
      </c>
      <c r="N1600" s="21">
        <v>2926.08</v>
      </c>
      <c r="O1600" s="21">
        <v>474.09</v>
      </c>
      <c r="P1600" t="s">
        <v>121</v>
      </c>
      <c r="Q1600" t="s">
        <v>122</v>
      </c>
      <c r="R1600" t="s">
        <v>151</v>
      </c>
      <c r="S1600" t="s">
        <v>2527</v>
      </c>
      <c r="T1600" t="s">
        <v>161</v>
      </c>
      <c r="U1600" t="s">
        <v>154</v>
      </c>
      <c r="V1600" t="str">
        <f>IFERROR(INDEX(Products!$C:$C,MATCH(D1600,Products!$A:$A,0)),"Unknown")</f>
        <v>Men Jeans</v>
      </c>
      <c r="W1600" t="str">
        <f>IFERROR(INDEX(Products!$E:$E,MATCH(D1600,Products!$A:$A,0)),"Unknown")</f>
        <v>Skechers</v>
      </c>
      <c r="X1600" t="str">
        <f>IFERROR(INDEX(Stores!$B:$B,MATCH(E1600,Stores!$A:$A,0)),"Unknown")</f>
        <v>TrendMart Visakhapatnam Flagship</v>
      </c>
      <c r="Y1600" t="str">
        <f>IFERROR(INDEX(Stores!$E:$E,MATCH(E1600,Stores!$A:$A,0)),"Unknown")</f>
        <v>South Zone 3</v>
      </c>
      <c r="Z1600" t="str">
        <f>IFERROR(INDEX(Customers!$J:$J,MATCH(C1600,Customers!$A:$A,0)),"Unknown")</f>
        <v>Gold</v>
      </c>
      <c r="AA1600" t="str">
        <f t="shared" si="24"/>
        <v>2024-07</v>
      </c>
      <c r="AB1600" t="str">
        <f>IFERROR(INDEX(Products!$I:$I,MATCH(D1600,Products!$A:$A,0)),"Unknown")</f>
        <v>SUP013</v>
      </c>
    </row>
    <row r="1601" spans="1:28" x14ac:dyDescent="0.25">
      <c r="A1601" t="s">
        <v>3527</v>
      </c>
      <c r="B1601" s="20">
        <v>45722</v>
      </c>
      <c r="C1601" t="s">
        <v>2194</v>
      </c>
      <c r="D1601" t="s">
        <v>1687</v>
      </c>
      <c r="E1601" t="s">
        <v>1141</v>
      </c>
      <c r="F1601" t="s">
        <v>237</v>
      </c>
      <c r="G1601">
        <v>1</v>
      </c>
      <c r="H1601" s="21">
        <v>820.95</v>
      </c>
      <c r="I1601">
        <v>25</v>
      </c>
      <c r="J1601" s="21">
        <v>205.24</v>
      </c>
      <c r="K1601">
        <v>5</v>
      </c>
      <c r="L1601" s="21">
        <v>30.79</v>
      </c>
      <c r="M1601" s="21">
        <v>646.5</v>
      </c>
      <c r="N1601" s="21">
        <v>481.3</v>
      </c>
      <c r="O1601" s="21">
        <v>134.41</v>
      </c>
      <c r="P1601" t="s">
        <v>121</v>
      </c>
      <c r="Q1601" t="s">
        <v>120</v>
      </c>
      <c r="R1601" t="s">
        <v>151</v>
      </c>
      <c r="S1601" t="s">
        <v>1220</v>
      </c>
      <c r="T1601" t="s">
        <v>153</v>
      </c>
      <c r="U1601" t="s">
        <v>154</v>
      </c>
      <c r="V1601" t="str">
        <f>IFERROR(INDEX(Products!$C:$C,MATCH(D1601,Products!$A:$A,0)),"Unknown")</f>
        <v>Accessories</v>
      </c>
      <c r="W1601" t="str">
        <f>IFERROR(INDEX(Products!$E:$E,MATCH(D1601,Products!$A:$A,0)),"Unknown")</f>
        <v>Unknown</v>
      </c>
      <c r="X1601" t="str">
        <f>IFERROR(INDEX(Stores!$B:$B,MATCH(E1601,Stores!$A:$A,0)),"Unknown")</f>
        <v>TrendMart Kochi Standard</v>
      </c>
      <c r="Y1601" t="str">
        <f>IFERROR(INDEX(Stores!$E:$E,MATCH(E1601,Stores!$A:$A,0)),"Unknown")</f>
        <v>South Zone 1</v>
      </c>
      <c r="Z1601" t="str">
        <f>IFERROR(INDEX(Customers!$J:$J,MATCH(C1601,Customers!$A:$A,0)),"Unknown")</f>
        <v>Silver</v>
      </c>
      <c r="AA1601" t="str">
        <f t="shared" si="24"/>
        <v>2025-03</v>
      </c>
      <c r="AB1601" t="str">
        <f>IFERROR(INDEX(Products!$I:$I,MATCH(D1601,Products!$A:$A,0)),"Unknown")</f>
        <v>SUP023</v>
      </c>
    </row>
    <row r="1602" spans="1:28" x14ac:dyDescent="0.25">
      <c r="A1602" t="s">
        <v>3528</v>
      </c>
      <c r="B1602" s="20">
        <v>45744</v>
      </c>
      <c r="C1602" t="s">
        <v>1318</v>
      </c>
      <c r="D1602" t="s">
        <v>868</v>
      </c>
      <c r="E1602" t="s">
        <v>1074</v>
      </c>
      <c r="F1602" t="s">
        <v>221</v>
      </c>
      <c r="G1602">
        <v>1</v>
      </c>
      <c r="H1602" s="21">
        <v>1378.2</v>
      </c>
      <c r="I1602">
        <v>0</v>
      </c>
      <c r="J1602" s="21">
        <v>0</v>
      </c>
      <c r="K1602">
        <v>12</v>
      </c>
      <c r="L1602" s="21">
        <v>165.38</v>
      </c>
      <c r="M1602" s="21">
        <v>1543.58</v>
      </c>
      <c r="N1602" s="21">
        <v>1015.72</v>
      </c>
      <c r="O1602" s="21">
        <v>362.48</v>
      </c>
      <c r="P1602" t="s">
        <v>123</v>
      </c>
      <c r="Q1602" t="s">
        <v>122</v>
      </c>
      <c r="R1602" t="s">
        <v>151</v>
      </c>
      <c r="S1602" t="s">
        <v>3529</v>
      </c>
      <c r="T1602" t="s">
        <v>153</v>
      </c>
      <c r="U1602" t="s">
        <v>154</v>
      </c>
      <c r="V1602" t="str">
        <f>IFERROR(INDEX(Products!$C:$C,MATCH(D1602,Products!$A:$A,0)),"Unknown")</f>
        <v>Winter Wear</v>
      </c>
      <c r="W1602" t="str">
        <f>IFERROR(INDEX(Products!$E:$E,MATCH(D1602,Products!$A:$A,0)),"Unknown")</f>
        <v>Liberty</v>
      </c>
      <c r="X1602" t="str">
        <f>IFERROR(INDEX(Stores!$B:$B,MATCH(E1602,Stores!$A:$A,0)),"Unknown")</f>
        <v>TrendMart Hyderabad Standard</v>
      </c>
      <c r="Y1602" t="str">
        <f>IFERROR(INDEX(Stores!$E:$E,MATCH(E1602,Stores!$A:$A,0)),"Unknown")</f>
        <v>South Zone 2</v>
      </c>
      <c r="Z1602" t="str">
        <f>IFERROR(INDEX(Customers!$J:$J,MATCH(C1602,Customers!$A:$A,0)),"Unknown")</f>
        <v>Regular</v>
      </c>
      <c r="AA1602" t="str">
        <f t="shared" ref="AA1602:AA1665" si="25">TEXT(B1602,"YYYY-MM")</f>
        <v>2025-03</v>
      </c>
      <c r="AB1602" t="str">
        <f>IFERROR(INDEX(Products!$I:$I,MATCH(D1602,Products!$A:$A,0)),"Unknown")</f>
        <v>SUP012</v>
      </c>
    </row>
    <row r="1603" spans="1:28" x14ac:dyDescent="0.25">
      <c r="A1603" t="s">
        <v>3530</v>
      </c>
      <c r="B1603" s="20">
        <v>45507</v>
      </c>
      <c r="C1603" t="s">
        <v>1227</v>
      </c>
      <c r="D1603" t="s">
        <v>583</v>
      </c>
      <c r="E1603" t="s">
        <v>521</v>
      </c>
      <c r="F1603" t="s">
        <v>382</v>
      </c>
      <c r="G1603">
        <v>3</v>
      </c>
      <c r="H1603" s="21">
        <v>942.02</v>
      </c>
      <c r="I1603">
        <v>25</v>
      </c>
      <c r="J1603" s="21">
        <v>706.51</v>
      </c>
      <c r="K1603">
        <v>5</v>
      </c>
      <c r="L1603" s="21">
        <v>105.98</v>
      </c>
      <c r="M1603" s="21">
        <v>2225.5300000000002</v>
      </c>
      <c r="N1603" s="21">
        <v>1889.16</v>
      </c>
      <c r="O1603" s="21">
        <v>230.39</v>
      </c>
      <c r="P1603" t="s">
        <v>123</v>
      </c>
      <c r="Q1603" t="s">
        <v>120</v>
      </c>
      <c r="R1603" t="s">
        <v>313</v>
      </c>
      <c r="S1603" t="s">
        <v>2621</v>
      </c>
      <c r="T1603" t="s">
        <v>161</v>
      </c>
      <c r="U1603" t="s">
        <v>154</v>
      </c>
      <c r="V1603" t="str">
        <f>IFERROR(INDEX(Products!$C:$C,MATCH(D1603,Products!$A:$A,0)),"Unknown")</f>
        <v>Women Tops</v>
      </c>
      <c r="W1603" t="str">
        <f>IFERROR(INDEX(Products!$E:$E,MATCH(D1603,Products!$A:$A,0)),"Unknown")</f>
        <v>Ramraj Cotton</v>
      </c>
      <c r="X1603" t="str">
        <f>IFERROR(INDEX(Stores!$B:$B,MATCH(E1603,Stores!$A:$A,0)),"Unknown")</f>
        <v>TrendMart Tirupati Standard</v>
      </c>
      <c r="Y1603" t="str">
        <f>IFERROR(INDEX(Stores!$E:$E,MATCH(E1603,Stores!$A:$A,0)),"Unknown")</f>
        <v>South Zone 3</v>
      </c>
      <c r="Z1603" t="str">
        <f>IFERROR(INDEX(Customers!$J:$J,MATCH(C1603,Customers!$A:$A,0)),"Unknown")</f>
        <v>Gold</v>
      </c>
      <c r="AA1603" t="str">
        <f t="shared" si="25"/>
        <v>2024-08</v>
      </c>
      <c r="AB1603" t="str">
        <f>IFERROR(INDEX(Products!$I:$I,MATCH(D1603,Products!$A:$A,0)),"Unknown")</f>
        <v>SUP048</v>
      </c>
    </row>
    <row r="1604" spans="1:28" x14ac:dyDescent="0.25">
      <c r="A1604" t="s">
        <v>3531</v>
      </c>
      <c r="B1604" s="20">
        <v>45645</v>
      </c>
      <c r="C1604" t="s">
        <v>2416</v>
      </c>
      <c r="D1604" t="s">
        <v>858</v>
      </c>
      <c r="E1604" t="s">
        <v>1426</v>
      </c>
      <c r="F1604" t="s">
        <v>182</v>
      </c>
      <c r="G1604">
        <v>1</v>
      </c>
      <c r="H1604" s="21">
        <v>705.55</v>
      </c>
      <c r="I1604">
        <v>20</v>
      </c>
      <c r="J1604" s="21">
        <v>141.11000000000001</v>
      </c>
      <c r="K1604">
        <v>5</v>
      </c>
      <c r="L1604" s="21">
        <v>28.22</v>
      </c>
      <c r="M1604" s="21">
        <v>592.66</v>
      </c>
      <c r="N1604" s="21">
        <v>525.45000000000005</v>
      </c>
      <c r="O1604" s="21">
        <v>38.99</v>
      </c>
      <c r="P1604" t="s">
        <v>123</v>
      </c>
      <c r="Q1604" t="s">
        <v>120</v>
      </c>
      <c r="R1604" t="s">
        <v>151</v>
      </c>
      <c r="S1604" t="s">
        <v>882</v>
      </c>
      <c r="T1604" t="s">
        <v>153</v>
      </c>
      <c r="U1604" t="s">
        <v>154</v>
      </c>
      <c r="V1604" t="str">
        <f>IFERROR(INDEX(Products!$C:$C,MATCH(D1604,Products!$A:$A,0)),"Unknown")</f>
        <v>Kids Wear</v>
      </c>
      <c r="W1604" t="str">
        <f>IFERROR(INDEX(Products!$E:$E,MATCH(D1604,Products!$A:$A,0)),"Unknown")</f>
        <v>Sonata</v>
      </c>
      <c r="X1604" t="str">
        <f>IFERROR(INDEX(Stores!$B:$B,MATCH(E1604,Stores!$A:$A,0)),"Unknown")</f>
        <v>TrendMart Alappuzha Mall Kiosk</v>
      </c>
      <c r="Y1604" t="str">
        <f>IFERROR(INDEX(Stores!$E:$E,MATCH(E1604,Stores!$A:$A,0)),"Unknown")</f>
        <v>South Zone 1</v>
      </c>
      <c r="Z1604" t="str">
        <f>IFERROR(INDEX(Customers!$J:$J,MATCH(C1604,Customers!$A:$A,0)),"Unknown")</f>
        <v>Regular</v>
      </c>
      <c r="AA1604" t="str">
        <f t="shared" si="25"/>
        <v>2024-12</v>
      </c>
      <c r="AB1604" t="str">
        <f>IFERROR(INDEX(Products!$I:$I,MATCH(D1604,Products!$A:$A,0)),"Unknown")</f>
        <v>SUP089</v>
      </c>
    </row>
    <row r="1605" spans="1:28" x14ac:dyDescent="0.25">
      <c r="A1605" t="s">
        <v>3532</v>
      </c>
      <c r="B1605" s="20">
        <v>45680</v>
      </c>
      <c r="C1605" t="s">
        <v>156</v>
      </c>
      <c r="D1605" t="s">
        <v>433</v>
      </c>
      <c r="E1605" t="s">
        <v>200</v>
      </c>
      <c r="F1605" t="s">
        <v>263</v>
      </c>
      <c r="G1605">
        <v>2</v>
      </c>
      <c r="H1605" s="21">
        <v>820.97</v>
      </c>
      <c r="I1605">
        <v>30</v>
      </c>
      <c r="J1605" s="21">
        <v>492.58</v>
      </c>
      <c r="K1605">
        <v>5</v>
      </c>
      <c r="L1605" s="21">
        <v>57.47</v>
      </c>
      <c r="M1605" s="21">
        <v>1206.83</v>
      </c>
      <c r="N1605" s="21">
        <v>1146.18</v>
      </c>
      <c r="O1605" s="21">
        <v>3.18</v>
      </c>
      <c r="P1605" t="s">
        <v>121</v>
      </c>
      <c r="Q1605" t="s">
        <v>122</v>
      </c>
      <c r="R1605" t="s">
        <v>151</v>
      </c>
      <c r="S1605" t="s">
        <v>2688</v>
      </c>
      <c r="T1605" t="s">
        <v>153</v>
      </c>
      <c r="U1605" t="s">
        <v>154</v>
      </c>
      <c r="V1605" t="str">
        <f>IFERROR(INDEX(Products!$C:$C,MATCH(D1605,Products!$A:$A,0)),"Unknown")</f>
        <v>Women Kurtis</v>
      </c>
      <c r="W1605" t="str">
        <f>IFERROR(INDEX(Products!$E:$E,MATCH(D1605,Products!$A:$A,0)),"Unknown")</f>
        <v>Nike</v>
      </c>
      <c r="X1605" t="str">
        <f>IFERROR(INDEX(Stores!$B:$B,MATCH(E1605,Stores!$A:$A,0)),"Unknown")</f>
        <v>TrendMart Kozhikode Standard</v>
      </c>
      <c r="Y1605" t="str">
        <f>IFERROR(INDEX(Stores!$E:$E,MATCH(E1605,Stores!$A:$A,0)),"Unknown")</f>
        <v>South Zone 1</v>
      </c>
      <c r="Z1605" t="str">
        <f>IFERROR(INDEX(Customers!$J:$J,MATCH(C1605,Customers!$A:$A,0)),"Unknown")</f>
        <v>Regular</v>
      </c>
      <c r="AA1605" t="str">
        <f t="shared" si="25"/>
        <v>2025-01</v>
      </c>
      <c r="AB1605" t="str">
        <f>IFERROR(INDEX(Products!$I:$I,MATCH(D1605,Products!$A:$A,0)),"Unknown")</f>
        <v>SUP012</v>
      </c>
    </row>
    <row r="1606" spans="1:28" x14ac:dyDescent="0.25">
      <c r="A1606" t="s">
        <v>3533</v>
      </c>
      <c r="B1606" s="20">
        <v>45704</v>
      </c>
      <c r="C1606" t="s">
        <v>2341</v>
      </c>
      <c r="D1606" t="s">
        <v>180</v>
      </c>
      <c r="E1606" t="s">
        <v>671</v>
      </c>
      <c r="F1606" t="s">
        <v>434</v>
      </c>
      <c r="G1606">
        <v>3</v>
      </c>
      <c r="H1606" s="21">
        <v>3453.57</v>
      </c>
      <c r="I1606">
        <v>25</v>
      </c>
      <c r="J1606" s="21">
        <v>2590.1799999999998</v>
      </c>
      <c r="K1606">
        <v>12</v>
      </c>
      <c r="L1606" s="21">
        <v>932.46</v>
      </c>
      <c r="M1606" s="21">
        <v>8702.99</v>
      </c>
      <c r="N1606" s="21">
        <v>7273.86</v>
      </c>
      <c r="O1606" s="21">
        <v>496.67</v>
      </c>
      <c r="P1606" t="s">
        <v>121</v>
      </c>
      <c r="Q1606" t="s">
        <v>120</v>
      </c>
      <c r="R1606" t="s">
        <v>151</v>
      </c>
      <c r="S1606" t="s">
        <v>3439</v>
      </c>
      <c r="T1606" t="s">
        <v>161</v>
      </c>
      <c r="U1606" t="s">
        <v>154</v>
      </c>
      <c r="V1606" t="str">
        <f>IFERROR(INDEX(Products!$C:$C,MATCH(D1606,Products!$A:$A,0)),"Unknown")</f>
        <v>Footwear</v>
      </c>
      <c r="W1606" t="str">
        <f>IFERROR(INDEX(Products!$E:$E,MATCH(D1606,Products!$A:$A,0)),"Unknown")</f>
        <v>US Polo Assn</v>
      </c>
      <c r="X1606" t="str">
        <f>IFERROR(INDEX(Stores!$B:$B,MATCH(E1606,Stores!$A:$A,0)),"Unknown")</f>
        <v>TrendMart Hyderabad Mall Kiosk</v>
      </c>
      <c r="Y1606" t="str">
        <f>IFERROR(INDEX(Stores!$E:$E,MATCH(E1606,Stores!$A:$A,0)),"Unknown")</f>
        <v>South Zone 2</v>
      </c>
      <c r="Z1606" t="str">
        <f>IFERROR(INDEX(Customers!$J:$J,MATCH(C1606,Customers!$A:$A,0)),"Unknown")</f>
        <v>Regular</v>
      </c>
      <c r="AA1606" t="str">
        <f t="shared" si="25"/>
        <v>2025-02</v>
      </c>
      <c r="AB1606" t="str">
        <f>IFERROR(INDEX(Products!$I:$I,MATCH(D1606,Products!$A:$A,0)),"Unknown")</f>
        <v>SUP084</v>
      </c>
    </row>
    <row r="1607" spans="1:28" x14ac:dyDescent="0.25">
      <c r="A1607" t="s">
        <v>3534</v>
      </c>
      <c r="B1607" s="20">
        <v>45728</v>
      </c>
      <c r="C1607" t="s">
        <v>1091</v>
      </c>
      <c r="D1607" t="s">
        <v>868</v>
      </c>
      <c r="E1607" t="s">
        <v>914</v>
      </c>
      <c r="F1607" t="s">
        <v>550</v>
      </c>
      <c r="G1607">
        <v>1</v>
      </c>
      <c r="H1607" s="21">
        <v>1276.44</v>
      </c>
      <c r="I1607">
        <v>10</v>
      </c>
      <c r="J1607" s="21">
        <v>127.64</v>
      </c>
      <c r="K1607">
        <v>12</v>
      </c>
      <c r="L1607" s="21">
        <v>137.86000000000001</v>
      </c>
      <c r="M1607" s="21">
        <v>1286.6600000000001</v>
      </c>
      <c r="N1607" s="21">
        <v>1015.72</v>
      </c>
      <c r="O1607" s="21">
        <v>133.08000000000001</v>
      </c>
      <c r="P1607" t="s">
        <v>127</v>
      </c>
      <c r="Q1607" t="s">
        <v>122</v>
      </c>
      <c r="R1607" t="s">
        <v>151</v>
      </c>
      <c r="S1607" t="s">
        <v>1664</v>
      </c>
      <c r="T1607" t="s">
        <v>153</v>
      </c>
      <c r="U1607" t="s">
        <v>154</v>
      </c>
      <c r="V1607" t="str">
        <f>IFERROR(INDEX(Products!$C:$C,MATCH(D1607,Products!$A:$A,0)),"Unknown")</f>
        <v>Winter Wear</v>
      </c>
      <c r="W1607" t="str">
        <f>IFERROR(INDEX(Products!$E:$E,MATCH(D1607,Products!$A:$A,0)),"Unknown")</f>
        <v>Liberty</v>
      </c>
      <c r="X1607" t="str">
        <f>IFERROR(INDEX(Stores!$B:$B,MATCH(E1607,Stores!$A:$A,0)),"Unknown")</f>
        <v>TrendMart Thiruvananthapuram Outlet</v>
      </c>
      <c r="Y1607" t="str">
        <f>IFERROR(INDEX(Stores!$E:$E,MATCH(E1607,Stores!$A:$A,0)),"Unknown")</f>
        <v>South Zone 1</v>
      </c>
      <c r="Z1607" t="str">
        <f>IFERROR(INDEX(Customers!$J:$J,MATCH(C1607,Customers!$A:$A,0)),"Unknown")</f>
        <v>Platinum</v>
      </c>
      <c r="AA1607" t="str">
        <f t="shared" si="25"/>
        <v>2025-03</v>
      </c>
      <c r="AB1607" t="str">
        <f>IFERROR(INDEX(Products!$I:$I,MATCH(D1607,Products!$A:$A,0)),"Unknown")</f>
        <v>SUP012</v>
      </c>
    </row>
    <row r="1608" spans="1:28" x14ac:dyDescent="0.25">
      <c r="A1608" t="s">
        <v>3535</v>
      </c>
      <c r="B1608" s="20">
        <v>45646</v>
      </c>
      <c r="C1608" t="s">
        <v>2426</v>
      </c>
      <c r="D1608" t="s">
        <v>524</v>
      </c>
      <c r="E1608" t="s">
        <v>1426</v>
      </c>
      <c r="F1608" t="s">
        <v>532</v>
      </c>
      <c r="G1608">
        <v>2</v>
      </c>
      <c r="H1608" s="21">
        <v>697.02</v>
      </c>
      <c r="I1608">
        <v>30</v>
      </c>
      <c r="J1608" s="21">
        <v>418.21</v>
      </c>
      <c r="K1608">
        <v>5</v>
      </c>
      <c r="L1608" s="21">
        <v>48.79</v>
      </c>
      <c r="M1608" s="21">
        <v>1024.6199999999999</v>
      </c>
      <c r="N1608" s="21">
        <v>1095.3399999999999</v>
      </c>
      <c r="O1608" s="21">
        <v>-119.51</v>
      </c>
      <c r="P1608" t="s">
        <v>121</v>
      </c>
      <c r="Q1608" t="s">
        <v>120</v>
      </c>
      <c r="R1608" t="s">
        <v>151</v>
      </c>
      <c r="S1608" t="s">
        <v>3105</v>
      </c>
      <c r="T1608" t="s">
        <v>153</v>
      </c>
      <c r="U1608" t="s">
        <v>184</v>
      </c>
      <c r="V1608" t="str">
        <f>IFERROR(INDEX(Products!$C:$C,MATCH(D1608,Products!$A:$A,0)),"Unknown")</f>
        <v>Women Tops</v>
      </c>
      <c r="W1608" t="str">
        <f>IFERROR(INDEX(Products!$E:$E,MATCH(D1608,Products!$A:$A,0)),"Unknown")</f>
        <v>Indian Terrain</v>
      </c>
      <c r="X1608" t="str">
        <f>IFERROR(INDEX(Stores!$B:$B,MATCH(E1608,Stores!$A:$A,0)),"Unknown")</f>
        <v>TrendMart Alappuzha Mall Kiosk</v>
      </c>
      <c r="Y1608" t="str">
        <f>IFERROR(INDEX(Stores!$E:$E,MATCH(E1608,Stores!$A:$A,0)),"Unknown")</f>
        <v>South Zone 1</v>
      </c>
      <c r="Z1608" t="str">
        <f>IFERROR(INDEX(Customers!$J:$J,MATCH(C1608,Customers!$A:$A,0)),"Unknown")</f>
        <v>Silver</v>
      </c>
      <c r="AA1608" t="str">
        <f t="shared" si="25"/>
        <v>2024-12</v>
      </c>
      <c r="AB1608" t="str">
        <f>IFERROR(INDEX(Products!$I:$I,MATCH(D1608,Products!$A:$A,0)),"Unknown")</f>
        <v>SUP062</v>
      </c>
    </row>
    <row r="1609" spans="1:28" x14ac:dyDescent="0.25">
      <c r="A1609" t="s">
        <v>3536</v>
      </c>
      <c r="B1609" s="20">
        <v>45553</v>
      </c>
      <c r="C1609" t="s">
        <v>1855</v>
      </c>
      <c r="D1609" t="s">
        <v>420</v>
      </c>
      <c r="E1609" t="s">
        <v>262</v>
      </c>
      <c r="F1609" t="s">
        <v>344</v>
      </c>
      <c r="G1609">
        <v>4</v>
      </c>
      <c r="H1609" s="21">
        <v>1132.47</v>
      </c>
      <c r="I1609">
        <v>30</v>
      </c>
      <c r="J1609" s="21">
        <v>1358.96</v>
      </c>
      <c r="K1609">
        <v>12</v>
      </c>
      <c r="L1609" s="21">
        <v>380.51</v>
      </c>
      <c r="M1609" s="21">
        <v>3551.43</v>
      </c>
      <c r="N1609" s="21">
        <v>3464.24</v>
      </c>
      <c r="O1609" s="21">
        <v>-293.32</v>
      </c>
      <c r="P1609" t="s">
        <v>121</v>
      </c>
      <c r="Q1609" t="s">
        <v>120</v>
      </c>
      <c r="R1609" t="s">
        <v>151</v>
      </c>
      <c r="S1609" t="s">
        <v>966</v>
      </c>
      <c r="T1609" t="s">
        <v>153</v>
      </c>
      <c r="U1609" t="s">
        <v>184</v>
      </c>
      <c r="V1609" t="str">
        <f>IFERROR(INDEX(Products!$C:$C,MATCH(D1609,Products!$A:$A,0)),"Unknown")</f>
        <v>Men Jeans</v>
      </c>
      <c r="W1609" t="str">
        <f>IFERROR(INDEX(Products!$E:$E,MATCH(D1609,Products!$A:$A,0)),"Unknown")</f>
        <v>Raymond</v>
      </c>
      <c r="X1609" t="str">
        <f>IFERROR(INDEX(Stores!$B:$B,MATCH(E1609,Stores!$A:$A,0)),"Unknown")</f>
        <v>TrendMart Thoothukudi Outlet</v>
      </c>
      <c r="Y1609" t="str">
        <f>IFERROR(INDEX(Stores!$E:$E,MATCH(E1609,Stores!$A:$A,0)),"Unknown")</f>
        <v>South Zone 1</v>
      </c>
      <c r="Z1609" t="str">
        <f>IFERROR(INDEX(Customers!$J:$J,MATCH(C1609,Customers!$A:$A,0)),"Unknown")</f>
        <v>Platinum</v>
      </c>
      <c r="AA1609" t="str">
        <f t="shared" si="25"/>
        <v>2024-09</v>
      </c>
      <c r="AB1609" t="str">
        <f>IFERROR(INDEX(Products!$I:$I,MATCH(D1609,Products!$A:$A,0)),"Unknown")</f>
        <v>SUP060</v>
      </c>
    </row>
    <row r="1610" spans="1:28" x14ac:dyDescent="0.25">
      <c r="A1610" t="s">
        <v>3537</v>
      </c>
      <c r="B1610" s="20">
        <v>45712</v>
      </c>
      <c r="C1610" t="s">
        <v>3340</v>
      </c>
      <c r="D1610" t="s">
        <v>622</v>
      </c>
      <c r="E1610" t="s">
        <v>456</v>
      </c>
      <c r="F1610" t="s">
        <v>170</v>
      </c>
      <c r="G1610">
        <v>4</v>
      </c>
      <c r="H1610" s="21">
        <v>2742.57</v>
      </c>
      <c r="I1610">
        <v>0</v>
      </c>
      <c r="J1610" s="21">
        <v>0</v>
      </c>
      <c r="K1610">
        <v>12</v>
      </c>
      <c r="L1610" s="21">
        <v>1316.43</v>
      </c>
      <c r="M1610" s="21">
        <v>12286.71</v>
      </c>
      <c r="N1610" s="21">
        <v>7412.56</v>
      </c>
      <c r="O1610" s="21">
        <v>3557.72</v>
      </c>
      <c r="P1610" t="s">
        <v>123</v>
      </c>
      <c r="Q1610" t="s">
        <v>120</v>
      </c>
      <c r="R1610" t="s">
        <v>151</v>
      </c>
      <c r="S1610" t="s">
        <v>1460</v>
      </c>
      <c r="T1610" t="s">
        <v>153</v>
      </c>
      <c r="U1610" t="s">
        <v>154</v>
      </c>
      <c r="V1610" t="str">
        <f>IFERROR(INDEX(Products!$C:$C,MATCH(D1610,Products!$A:$A,0)),"Unknown")</f>
        <v>Women Sarees</v>
      </c>
      <c r="W1610" t="str">
        <f>IFERROR(INDEX(Products!$E:$E,MATCH(D1610,Products!$A:$A,0)),"Unknown")</f>
        <v>Sparx</v>
      </c>
      <c r="X1610" t="str">
        <f>IFERROR(INDEX(Stores!$B:$B,MATCH(E1610,Stores!$A:$A,0)),"Unknown")</f>
        <v>TrendMart Salem Outlet</v>
      </c>
      <c r="Y1610" t="str">
        <f>IFERROR(INDEX(Stores!$E:$E,MATCH(E1610,Stores!$A:$A,0)),"Unknown")</f>
        <v>South Zone 1</v>
      </c>
      <c r="Z1610" t="str">
        <f>IFERROR(INDEX(Customers!$J:$J,MATCH(C1610,Customers!$A:$A,0)),"Unknown")</f>
        <v>Gold</v>
      </c>
      <c r="AA1610" t="str">
        <f t="shared" si="25"/>
        <v>2025-02</v>
      </c>
      <c r="AB1610" t="str">
        <f>IFERROR(INDEX(Products!$I:$I,MATCH(D1610,Products!$A:$A,0)),"Unknown")</f>
        <v>SUP080</v>
      </c>
    </row>
    <row r="1611" spans="1:28" x14ac:dyDescent="0.25">
      <c r="A1611" t="s">
        <v>3538</v>
      </c>
      <c r="B1611" s="20">
        <v>45404</v>
      </c>
      <c r="C1611" t="s">
        <v>863</v>
      </c>
      <c r="D1611" t="s">
        <v>2019</v>
      </c>
      <c r="E1611" t="s">
        <v>613</v>
      </c>
      <c r="F1611" t="s">
        <v>462</v>
      </c>
      <c r="G1611">
        <v>2</v>
      </c>
      <c r="H1611" s="21">
        <v>2062.1999999999998</v>
      </c>
      <c r="I1611">
        <v>10</v>
      </c>
      <c r="J1611" s="21">
        <v>412.44</v>
      </c>
      <c r="K1611">
        <v>12</v>
      </c>
      <c r="L1611" s="21">
        <v>445.44</v>
      </c>
      <c r="M1611" s="21">
        <v>4157.3999999999996</v>
      </c>
      <c r="N1611" s="21">
        <v>3009.58</v>
      </c>
      <c r="O1611" s="21">
        <v>702.38</v>
      </c>
      <c r="P1611" t="s">
        <v>121</v>
      </c>
      <c r="Q1611" t="s">
        <v>122</v>
      </c>
      <c r="R1611" t="s">
        <v>151</v>
      </c>
      <c r="S1611" t="s">
        <v>1886</v>
      </c>
      <c r="T1611" t="s">
        <v>153</v>
      </c>
      <c r="U1611" t="s">
        <v>154</v>
      </c>
      <c r="V1611" t="str">
        <f>IFERROR(INDEX(Products!$C:$C,MATCH(D1611,Products!$A:$A,0)),"Unknown")</f>
        <v>Footwear</v>
      </c>
      <c r="W1611" t="str">
        <f>IFERROR(INDEX(Products!$E:$E,MATCH(D1611,Products!$A:$A,0)),"Unknown")</f>
        <v>Bata</v>
      </c>
      <c r="X1611" t="str">
        <f>IFERROR(INDEX(Stores!$B:$B,MATCH(E1611,Stores!$A:$A,0)),"Unknown")</f>
        <v>TrendMart Kochi Mall Kiosk</v>
      </c>
      <c r="Y1611" t="str">
        <f>IFERROR(INDEX(Stores!$E:$E,MATCH(E1611,Stores!$A:$A,0)),"Unknown")</f>
        <v>South Zone 1</v>
      </c>
      <c r="Z1611" t="str">
        <f>IFERROR(INDEX(Customers!$J:$J,MATCH(C1611,Customers!$A:$A,0)),"Unknown")</f>
        <v>Regular</v>
      </c>
      <c r="AA1611" t="str">
        <f t="shared" si="25"/>
        <v>2024-04</v>
      </c>
      <c r="AB1611" t="str">
        <f>IFERROR(INDEX(Products!$I:$I,MATCH(D1611,Products!$A:$A,0)),"Unknown")</f>
        <v>SUP004</v>
      </c>
    </row>
    <row r="1612" spans="1:28" x14ac:dyDescent="0.25">
      <c r="A1612" t="s">
        <v>3539</v>
      </c>
      <c r="B1612" s="20">
        <v>45574</v>
      </c>
      <c r="C1612" t="s">
        <v>1739</v>
      </c>
      <c r="D1612" t="s">
        <v>2039</v>
      </c>
      <c r="E1612" t="s">
        <v>363</v>
      </c>
      <c r="F1612" t="s">
        <v>170</v>
      </c>
      <c r="G1612">
        <v>1</v>
      </c>
      <c r="H1612" s="21">
        <v>2897.67</v>
      </c>
      <c r="I1612">
        <v>10</v>
      </c>
      <c r="J1612" s="21">
        <v>289.77</v>
      </c>
      <c r="K1612">
        <v>12</v>
      </c>
      <c r="L1612" s="21">
        <v>312.95</v>
      </c>
      <c r="M1612" s="21">
        <v>2920.85</v>
      </c>
      <c r="N1612" s="21">
        <v>2078.92</v>
      </c>
      <c r="O1612" s="21">
        <v>528.98</v>
      </c>
      <c r="P1612" t="s">
        <v>121</v>
      </c>
      <c r="Q1612" t="s">
        <v>120</v>
      </c>
      <c r="R1612" t="s">
        <v>151</v>
      </c>
      <c r="S1612" t="s">
        <v>3540</v>
      </c>
      <c r="T1612" t="s">
        <v>153</v>
      </c>
      <c r="U1612" t="s">
        <v>154</v>
      </c>
      <c r="V1612" t="str">
        <f>IFERROR(INDEX(Products!$C:$C,MATCH(D1612,Products!$A:$A,0)),"Unknown")</f>
        <v>Women Sarees</v>
      </c>
      <c r="W1612" t="str">
        <f>IFERROR(INDEX(Products!$E:$E,MATCH(D1612,Products!$A:$A,0)),"Unknown")</f>
        <v>Arrow</v>
      </c>
      <c r="X1612" t="str">
        <f>IFERROR(INDEX(Stores!$B:$B,MATCH(E1612,Stores!$A:$A,0)),"Unknown")</f>
        <v>TrendMart Thiruvananthapuram High Street</v>
      </c>
      <c r="Y1612" t="str">
        <f>IFERROR(INDEX(Stores!$E:$E,MATCH(E1612,Stores!$A:$A,0)),"Unknown")</f>
        <v>South Zone 1</v>
      </c>
      <c r="Z1612" t="str">
        <f>IFERROR(INDEX(Customers!$J:$J,MATCH(C1612,Customers!$A:$A,0)),"Unknown")</f>
        <v>Silver</v>
      </c>
      <c r="AA1612" t="str">
        <f t="shared" si="25"/>
        <v>2024-10</v>
      </c>
      <c r="AB1612" t="str">
        <f>IFERROR(INDEX(Products!$I:$I,MATCH(D1612,Products!$A:$A,0)),"Unknown")</f>
        <v>SUP087</v>
      </c>
    </row>
    <row r="1613" spans="1:28" x14ac:dyDescent="0.25">
      <c r="A1613" t="s">
        <v>3541</v>
      </c>
      <c r="B1613" s="20">
        <v>45568</v>
      </c>
      <c r="C1613" t="s">
        <v>1453</v>
      </c>
      <c r="D1613" t="s">
        <v>1972</v>
      </c>
      <c r="E1613" t="s">
        <v>541</v>
      </c>
      <c r="F1613" t="s">
        <v>182</v>
      </c>
      <c r="G1613">
        <v>2</v>
      </c>
      <c r="H1613" s="21">
        <v>1016.57</v>
      </c>
      <c r="I1613">
        <v>25</v>
      </c>
      <c r="J1613" s="21">
        <v>508.29</v>
      </c>
      <c r="K1613">
        <v>12</v>
      </c>
      <c r="L1613" s="21">
        <v>182.98</v>
      </c>
      <c r="M1613" s="21">
        <v>1707.83</v>
      </c>
      <c r="N1613" s="21">
        <v>1444.8</v>
      </c>
      <c r="O1613" s="21">
        <v>80.05</v>
      </c>
      <c r="P1613" t="s">
        <v>121</v>
      </c>
      <c r="Q1613" t="s">
        <v>120</v>
      </c>
      <c r="R1613" t="s">
        <v>151</v>
      </c>
      <c r="S1613" t="s">
        <v>3542</v>
      </c>
      <c r="T1613" t="s">
        <v>153</v>
      </c>
      <c r="U1613" t="s">
        <v>154</v>
      </c>
      <c r="V1613" t="str">
        <f>IFERROR(INDEX(Products!$C:$C,MATCH(D1613,Products!$A:$A,0)),"Unknown")</f>
        <v>Women Jeans</v>
      </c>
      <c r="W1613" t="str">
        <f>IFERROR(INDEX(Products!$E:$E,MATCH(D1613,Products!$A:$A,0)),"Unknown")</f>
        <v>Spykar</v>
      </c>
      <c r="X1613" t="str">
        <f>IFERROR(INDEX(Stores!$B:$B,MATCH(E1613,Stores!$A:$A,0)),"Unknown")</f>
        <v>TrendMart Kochi Standard</v>
      </c>
      <c r="Y1613" t="str">
        <f>IFERROR(INDEX(Stores!$E:$E,MATCH(E1613,Stores!$A:$A,0)),"Unknown")</f>
        <v>South Zone 1</v>
      </c>
      <c r="Z1613" t="str">
        <f>IFERROR(INDEX(Customers!$J:$J,MATCH(C1613,Customers!$A:$A,0)),"Unknown")</f>
        <v>Silver</v>
      </c>
      <c r="AA1613" t="str">
        <f t="shared" si="25"/>
        <v>2024-10</v>
      </c>
      <c r="AB1613" t="str">
        <f>IFERROR(INDEX(Products!$I:$I,MATCH(D1613,Products!$A:$A,0)),"Unknown")</f>
        <v>SUP087</v>
      </c>
    </row>
    <row r="1614" spans="1:28" x14ac:dyDescent="0.25">
      <c r="A1614" t="s">
        <v>3543</v>
      </c>
      <c r="B1614" s="20">
        <v>45711</v>
      </c>
      <c r="C1614" t="s">
        <v>2910</v>
      </c>
      <c r="D1614" t="s">
        <v>819</v>
      </c>
      <c r="E1614" t="s">
        <v>671</v>
      </c>
      <c r="F1614" t="s">
        <v>165</v>
      </c>
      <c r="G1614">
        <v>1</v>
      </c>
      <c r="H1614" s="21">
        <v>1786.05</v>
      </c>
      <c r="I1614">
        <v>10</v>
      </c>
      <c r="J1614" s="21">
        <v>178.6</v>
      </c>
      <c r="K1614">
        <v>12</v>
      </c>
      <c r="L1614" s="21">
        <v>192.89</v>
      </c>
      <c r="M1614" s="21">
        <v>1800.34</v>
      </c>
      <c r="N1614" s="21">
        <v>1243.3599999999999</v>
      </c>
      <c r="O1614" s="21">
        <v>364.09</v>
      </c>
      <c r="P1614" t="s">
        <v>124</v>
      </c>
      <c r="Q1614" t="s">
        <v>122</v>
      </c>
      <c r="R1614" t="s">
        <v>151</v>
      </c>
      <c r="S1614" t="s">
        <v>2070</v>
      </c>
      <c r="T1614" t="s">
        <v>161</v>
      </c>
      <c r="U1614" t="s">
        <v>154</v>
      </c>
      <c r="V1614" t="str">
        <f>IFERROR(INDEX(Products!$C:$C,MATCH(D1614,Products!$A:$A,0)),"Unknown")</f>
        <v>Footwear</v>
      </c>
      <c r="W1614" t="str">
        <f>IFERROR(INDEX(Products!$E:$E,MATCH(D1614,Products!$A:$A,0)),"Unknown")</f>
        <v>Tanishq</v>
      </c>
      <c r="X1614" t="str">
        <f>IFERROR(INDEX(Stores!$B:$B,MATCH(E1614,Stores!$A:$A,0)),"Unknown")</f>
        <v>TrendMart Hyderabad Mall Kiosk</v>
      </c>
      <c r="Y1614" t="str">
        <f>IFERROR(INDEX(Stores!$E:$E,MATCH(E1614,Stores!$A:$A,0)),"Unknown")</f>
        <v>South Zone 2</v>
      </c>
      <c r="Z1614" t="str">
        <f>IFERROR(INDEX(Customers!$J:$J,MATCH(C1614,Customers!$A:$A,0)),"Unknown")</f>
        <v>Regular</v>
      </c>
      <c r="AA1614" t="str">
        <f t="shared" si="25"/>
        <v>2025-02</v>
      </c>
      <c r="AB1614" t="str">
        <f>IFERROR(INDEX(Products!$I:$I,MATCH(D1614,Products!$A:$A,0)),"Unknown")</f>
        <v>SUP082</v>
      </c>
    </row>
    <row r="1615" spans="1:28" x14ac:dyDescent="0.25">
      <c r="A1615" t="s">
        <v>3544</v>
      </c>
      <c r="B1615" s="20">
        <v>45700</v>
      </c>
      <c r="C1615" t="s">
        <v>2455</v>
      </c>
      <c r="D1615" t="s">
        <v>654</v>
      </c>
      <c r="E1615" t="s">
        <v>92</v>
      </c>
      <c r="F1615" t="s">
        <v>292</v>
      </c>
      <c r="G1615">
        <v>1</v>
      </c>
      <c r="H1615" s="21">
        <v>1197.56</v>
      </c>
      <c r="I1615">
        <v>25</v>
      </c>
      <c r="J1615" s="21">
        <v>299.39</v>
      </c>
      <c r="K1615">
        <v>12</v>
      </c>
      <c r="L1615" s="21">
        <v>107.78</v>
      </c>
      <c r="M1615" s="21">
        <v>1005.95</v>
      </c>
      <c r="N1615" s="21">
        <v>865.42</v>
      </c>
      <c r="O1615" s="21">
        <v>32.75</v>
      </c>
      <c r="P1615" t="s">
        <v>123</v>
      </c>
      <c r="Q1615" t="s">
        <v>120</v>
      </c>
      <c r="R1615" t="s">
        <v>151</v>
      </c>
      <c r="S1615" t="s">
        <v>580</v>
      </c>
      <c r="T1615" t="s">
        <v>153</v>
      </c>
      <c r="U1615" t="s">
        <v>154</v>
      </c>
      <c r="V1615" t="str">
        <f>IFERROR(INDEX(Products!$C:$C,MATCH(D1615,Products!$A:$A,0)),"Unknown")</f>
        <v>Women Dresses</v>
      </c>
      <c r="W1615" t="str">
        <f>IFERROR(INDEX(Products!$E:$E,MATCH(D1615,Products!$A:$A,0)),"Unknown")</f>
        <v>Indian Terrain</v>
      </c>
      <c r="X1615" t="str">
        <f>IFERROR(INDEX(Stores!$B:$B,MATCH(E1615,Stores!$A:$A,0)),"Unknown")</f>
        <v>TrendMart Guntur High Street</v>
      </c>
      <c r="Y1615" t="str">
        <f>IFERROR(INDEX(Stores!$E:$E,MATCH(E1615,Stores!$A:$A,0)),"Unknown")</f>
        <v>South Zone 3</v>
      </c>
      <c r="Z1615" t="str">
        <f>IFERROR(INDEX(Customers!$J:$J,MATCH(C1615,Customers!$A:$A,0)),"Unknown")</f>
        <v>Silver</v>
      </c>
      <c r="AA1615" t="str">
        <f t="shared" si="25"/>
        <v>2025-02</v>
      </c>
      <c r="AB1615" t="str">
        <f>IFERROR(INDEX(Products!$I:$I,MATCH(D1615,Products!$A:$A,0)),"Unknown")</f>
        <v>SUP049</v>
      </c>
    </row>
    <row r="1616" spans="1:28" x14ac:dyDescent="0.25">
      <c r="A1616" t="s">
        <v>3545</v>
      </c>
      <c r="B1616" s="20">
        <v>45717</v>
      </c>
      <c r="C1616" t="s">
        <v>1097</v>
      </c>
      <c r="D1616" t="s">
        <v>329</v>
      </c>
      <c r="E1616" t="s">
        <v>470</v>
      </c>
      <c r="F1616" t="s">
        <v>258</v>
      </c>
      <c r="G1616">
        <v>5</v>
      </c>
      <c r="H1616" s="21">
        <v>720.07</v>
      </c>
      <c r="I1616">
        <v>0</v>
      </c>
      <c r="J1616" s="21">
        <v>0</v>
      </c>
      <c r="K1616">
        <v>5</v>
      </c>
      <c r="L1616" s="21">
        <v>180.02</v>
      </c>
      <c r="M1616" s="21">
        <v>3780.37</v>
      </c>
      <c r="N1616" s="21">
        <v>2096.4</v>
      </c>
      <c r="O1616" s="21">
        <v>1503.95</v>
      </c>
      <c r="P1616" t="s">
        <v>123</v>
      </c>
      <c r="Q1616" t="s">
        <v>120</v>
      </c>
      <c r="R1616" t="s">
        <v>151</v>
      </c>
      <c r="S1616" t="s">
        <v>2519</v>
      </c>
      <c r="T1616" t="s">
        <v>161</v>
      </c>
      <c r="U1616" t="s">
        <v>154</v>
      </c>
      <c r="V1616" t="str">
        <f>IFERROR(INDEX(Products!$C:$C,MATCH(D1616,Products!$A:$A,0)),"Unknown")</f>
        <v>Men T-Shirts</v>
      </c>
      <c r="W1616" t="str">
        <f>IFERROR(INDEX(Products!$E:$E,MATCH(D1616,Products!$A:$A,0)),"Unknown")</f>
        <v>Peter England</v>
      </c>
      <c r="X1616" t="str">
        <f>IFERROR(INDEX(Stores!$B:$B,MATCH(E1616,Stores!$A:$A,0)),"Unknown")</f>
        <v>TrendMart Thiruvananthapuram High Street</v>
      </c>
      <c r="Y1616" t="str">
        <f>IFERROR(INDEX(Stores!$E:$E,MATCH(E1616,Stores!$A:$A,0)),"Unknown")</f>
        <v>South Zone 1</v>
      </c>
      <c r="Z1616" t="str">
        <f>IFERROR(INDEX(Customers!$J:$J,MATCH(C1616,Customers!$A:$A,0)),"Unknown")</f>
        <v>Regular</v>
      </c>
      <c r="AA1616" t="str">
        <f t="shared" si="25"/>
        <v>2025-03</v>
      </c>
      <c r="AB1616" t="str">
        <f>IFERROR(INDEX(Products!$I:$I,MATCH(D1616,Products!$A:$A,0)),"Unknown")</f>
        <v>SUP071</v>
      </c>
    </row>
    <row r="1617" spans="1:28" x14ac:dyDescent="0.25">
      <c r="A1617" t="s">
        <v>3546</v>
      </c>
      <c r="B1617" s="20">
        <v>45605</v>
      </c>
      <c r="C1617" t="s">
        <v>3547</v>
      </c>
      <c r="D1617" t="s">
        <v>926</v>
      </c>
      <c r="E1617" t="s">
        <v>798</v>
      </c>
      <c r="F1617" t="s">
        <v>434</v>
      </c>
      <c r="G1617">
        <v>1</v>
      </c>
      <c r="H1617" s="21">
        <v>1269.42</v>
      </c>
      <c r="I1617">
        <v>20</v>
      </c>
      <c r="J1617" s="21">
        <v>253.88</v>
      </c>
      <c r="K1617">
        <v>12</v>
      </c>
      <c r="L1617" s="21">
        <v>121.86</v>
      </c>
      <c r="M1617" s="21">
        <v>1137.4000000000001</v>
      </c>
      <c r="N1617" s="21">
        <v>810.62</v>
      </c>
      <c r="O1617" s="21">
        <v>204.92</v>
      </c>
      <c r="P1617" t="s">
        <v>126</v>
      </c>
      <c r="Q1617" t="s">
        <v>122</v>
      </c>
      <c r="R1617" t="s">
        <v>151</v>
      </c>
      <c r="S1617" t="s">
        <v>1508</v>
      </c>
      <c r="T1617" t="s">
        <v>161</v>
      </c>
      <c r="U1617" t="s">
        <v>154</v>
      </c>
      <c r="V1617" t="str">
        <f>IFERROR(INDEX(Products!$C:$C,MATCH(D1617,Products!$A:$A,0)),"Unknown")</f>
        <v>Women Dresses</v>
      </c>
      <c r="W1617" t="str">
        <f>IFERROR(INDEX(Products!$E:$E,MATCH(D1617,Products!$A:$A,0)),"Unknown")</f>
        <v>Fabindia</v>
      </c>
      <c r="X1617" t="str">
        <f>IFERROR(INDEX(Stores!$B:$B,MATCH(E1617,Stores!$A:$A,0)),"Unknown")</f>
        <v>TrendMart Guntur Standard</v>
      </c>
      <c r="Y1617" t="str">
        <f>IFERROR(INDEX(Stores!$E:$E,MATCH(E1617,Stores!$A:$A,0)),"Unknown")</f>
        <v>South Zone 3</v>
      </c>
      <c r="Z1617" t="str">
        <f>IFERROR(INDEX(Customers!$J:$J,MATCH(C1617,Customers!$A:$A,0)),"Unknown")</f>
        <v>Regular</v>
      </c>
      <c r="AA1617" t="str">
        <f t="shared" si="25"/>
        <v>2024-11</v>
      </c>
      <c r="AB1617" t="str">
        <f>IFERROR(INDEX(Products!$I:$I,MATCH(D1617,Products!$A:$A,0)),"Unknown")</f>
        <v>SUP059</v>
      </c>
    </row>
    <row r="1618" spans="1:28" x14ac:dyDescent="0.25">
      <c r="A1618" t="s">
        <v>3548</v>
      </c>
      <c r="B1618" s="20">
        <v>45650</v>
      </c>
      <c r="C1618" t="s">
        <v>3438</v>
      </c>
      <c r="D1618" t="s">
        <v>748</v>
      </c>
      <c r="E1618" t="s">
        <v>639</v>
      </c>
      <c r="F1618" t="s">
        <v>242</v>
      </c>
      <c r="G1618">
        <v>1</v>
      </c>
      <c r="H1618" s="21">
        <v>1120.47</v>
      </c>
      <c r="I1618">
        <v>0</v>
      </c>
      <c r="J1618" s="21">
        <v>0</v>
      </c>
      <c r="K1618">
        <v>12</v>
      </c>
      <c r="L1618" s="21">
        <v>134.46</v>
      </c>
      <c r="M1618" s="21">
        <v>1254.93</v>
      </c>
      <c r="N1618" s="21">
        <v>841.85</v>
      </c>
      <c r="O1618" s="21">
        <v>278.62</v>
      </c>
      <c r="P1618" t="s">
        <v>121</v>
      </c>
      <c r="Q1618" t="s">
        <v>122</v>
      </c>
      <c r="R1618" t="s">
        <v>151</v>
      </c>
      <c r="S1618" t="s">
        <v>2681</v>
      </c>
      <c r="T1618" t="s">
        <v>153</v>
      </c>
      <c r="U1618" t="s">
        <v>154</v>
      </c>
      <c r="V1618" t="str">
        <f>IFERROR(INDEX(Products!$C:$C,MATCH(D1618,Products!$A:$A,0)),"Unknown")</f>
        <v>Women Dresses</v>
      </c>
      <c r="W1618" t="str">
        <f>IFERROR(INDEX(Products!$E:$E,MATCH(D1618,Products!$A:$A,0)),"Unknown")</f>
        <v>Kalyan Silks</v>
      </c>
      <c r="X1618" t="str">
        <f>IFERROR(INDEX(Stores!$B:$B,MATCH(E1618,Stores!$A:$A,0)),"Unknown")</f>
        <v>TrendMart Kurnool Outlet</v>
      </c>
      <c r="Y1618" t="str">
        <f>IFERROR(INDEX(Stores!$E:$E,MATCH(E1618,Stores!$A:$A,0)),"Unknown")</f>
        <v>South Zone 3</v>
      </c>
      <c r="Z1618" t="str">
        <f>IFERROR(INDEX(Customers!$J:$J,MATCH(C1618,Customers!$A:$A,0)),"Unknown")</f>
        <v>Silver</v>
      </c>
      <c r="AA1618" t="str">
        <f t="shared" si="25"/>
        <v>2024-12</v>
      </c>
      <c r="AB1618" t="str">
        <f>IFERROR(INDEX(Products!$I:$I,MATCH(D1618,Products!$A:$A,0)),"Unknown")</f>
        <v>SUP036</v>
      </c>
    </row>
    <row r="1619" spans="1:28" x14ac:dyDescent="0.25">
      <c r="A1619" t="s">
        <v>3549</v>
      </c>
      <c r="B1619" s="20">
        <v>45454</v>
      </c>
      <c r="C1619" t="s">
        <v>2595</v>
      </c>
      <c r="D1619" t="s">
        <v>2759</v>
      </c>
      <c r="E1619" t="s">
        <v>456</v>
      </c>
      <c r="F1619" t="s">
        <v>574</v>
      </c>
      <c r="G1619">
        <v>3</v>
      </c>
      <c r="H1619" s="21">
        <v>648.73</v>
      </c>
      <c r="I1619">
        <v>25</v>
      </c>
      <c r="J1619" s="21">
        <v>486.55</v>
      </c>
      <c r="K1619">
        <v>5</v>
      </c>
      <c r="L1619" s="21">
        <v>72.98</v>
      </c>
      <c r="M1619" s="21">
        <v>1532.62</v>
      </c>
      <c r="N1619" s="21">
        <v>1211.7</v>
      </c>
      <c r="O1619" s="21">
        <v>247.94</v>
      </c>
      <c r="P1619" t="s">
        <v>127</v>
      </c>
      <c r="Q1619" t="s">
        <v>122</v>
      </c>
      <c r="R1619" t="s">
        <v>151</v>
      </c>
      <c r="S1619" t="s">
        <v>2316</v>
      </c>
      <c r="T1619" t="s">
        <v>153</v>
      </c>
      <c r="U1619" t="s">
        <v>154</v>
      </c>
      <c r="V1619" t="str">
        <f>IFERROR(INDEX(Products!$C:$C,MATCH(D1619,Products!$A:$A,0)),"Unknown")</f>
        <v>Men T-Shirts</v>
      </c>
      <c r="W1619" t="str">
        <f>IFERROR(INDEX(Products!$E:$E,MATCH(D1619,Products!$A:$A,0)),"Unknown")</f>
        <v>Libas</v>
      </c>
      <c r="X1619" t="str">
        <f>IFERROR(INDEX(Stores!$B:$B,MATCH(E1619,Stores!$A:$A,0)),"Unknown")</f>
        <v>TrendMart Salem Outlet</v>
      </c>
      <c r="Y1619" t="str">
        <f>IFERROR(INDEX(Stores!$E:$E,MATCH(E1619,Stores!$A:$A,0)),"Unknown")</f>
        <v>South Zone 1</v>
      </c>
      <c r="Z1619" t="str">
        <f>IFERROR(INDEX(Customers!$J:$J,MATCH(C1619,Customers!$A:$A,0)),"Unknown")</f>
        <v>Gold</v>
      </c>
      <c r="AA1619" t="str">
        <f t="shared" si="25"/>
        <v>2024-06</v>
      </c>
      <c r="AB1619" t="str">
        <f>IFERROR(INDEX(Products!$I:$I,MATCH(D1619,Products!$A:$A,0)),"Unknown")</f>
        <v>SUP041</v>
      </c>
    </row>
    <row r="1620" spans="1:28" x14ac:dyDescent="0.25">
      <c r="A1620" t="s">
        <v>3550</v>
      </c>
      <c r="B1620" s="20">
        <v>45740</v>
      </c>
      <c r="C1620" t="s">
        <v>1459</v>
      </c>
      <c r="D1620" t="s">
        <v>246</v>
      </c>
      <c r="E1620" t="s">
        <v>490</v>
      </c>
      <c r="F1620" t="s">
        <v>201</v>
      </c>
      <c r="G1620">
        <v>2</v>
      </c>
      <c r="H1620" s="21">
        <v>1236.82</v>
      </c>
      <c r="I1620">
        <v>20</v>
      </c>
      <c r="J1620" s="21">
        <v>494.73</v>
      </c>
      <c r="K1620">
        <v>12</v>
      </c>
      <c r="L1620" s="21">
        <v>237.47</v>
      </c>
      <c r="M1620" s="21">
        <v>2216.38</v>
      </c>
      <c r="N1620" s="21">
        <v>1730.96</v>
      </c>
      <c r="O1620" s="21">
        <v>247.95</v>
      </c>
      <c r="P1620" t="s">
        <v>127</v>
      </c>
      <c r="Q1620" t="s">
        <v>120</v>
      </c>
      <c r="R1620" t="s">
        <v>151</v>
      </c>
      <c r="S1620" t="s">
        <v>1374</v>
      </c>
      <c r="T1620" t="s">
        <v>153</v>
      </c>
      <c r="U1620" t="s">
        <v>154</v>
      </c>
      <c r="V1620" t="str">
        <f>IFERROR(INDEX(Products!$C:$C,MATCH(D1620,Products!$A:$A,0)),"Unknown")</f>
        <v>Women Dresses</v>
      </c>
      <c r="W1620" t="str">
        <f>IFERROR(INDEX(Products!$E:$E,MATCH(D1620,Products!$A:$A,0)),"Unknown")</f>
        <v>Tanishq</v>
      </c>
      <c r="X1620" t="str">
        <f>IFERROR(INDEX(Stores!$B:$B,MATCH(E1620,Stores!$A:$A,0)),"Unknown")</f>
        <v>TrendMart Mangaluru Mall Kiosk</v>
      </c>
      <c r="Y1620" t="str">
        <f>IFERROR(INDEX(Stores!$E:$E,MATCH(E1620,Stores!$A:$A,0)),"Unknown")</f>
        <v>South Zone 2</v>
      </c>
      <c r="Z1620" t="str">
        <f>IFERROR(INDEX(Customers!$J:$J,MATCH(C1620,Customers!$A:$A,0)),"Unknown")</f>
        <v>Gold</v>
      </c>
      <c r="AA1620" t="str">
        <f t="shared" si="25"/>
        <v>2025-03</v>
      </c>
      <c r="AB1620" t="str">
        <f>IFERROR(INDEX(Products!$I:$I,MATCH(D1620,Products!$A:$A,0)),"Unknown")</f>
        <v>SUP002</v>
      </c>
    </row>
    <row r="1621" spans="1:28" x14ac:dyDescent="0.25">
      <c r="A1621" t="s">
        <v>3551</v>
      </c>
      <c r="B1621" s="20">
        <v>45705</v>
      </c>
      <c r="C1621" t="s">
        <v>1562</v>
      </c>
      <c r="D1621" t="s">
        <v>1071</v>
      </c>
      <c r="E1621" t="s">
        <v>1962</v>
      </c>
      <c r="F1621" t="s">
        <v>253</v>
      </c>
      <c r="G1621">
        <v>3</v>
      </c>
      <c r="H1621" s="21">
        <v>1999.57</v>
      </c>
      <c r="I1621">
        <v>0</v>
      </c>
      <c r="J1621" s="21">
        <v>0</v>
      </c>
      <c r="K1621">
        <v>12</v>
      </c>
      <c r="L1621" s="21">
        <v>719.85</v>
      </c>
      <c r="M1621" s="21">
        <v>6718.56</v>
      </c>
      <c r="N1621" s="21">
        <v>4626.6899999999996</v>
      </c>
      <c r="O1621" s="21">
        <v>1372.02</v>
      </c>
      <c r="P1621" t="s">
        <v>121</v>
      </c>
      <c r="Q1621" t="s">
        <v>120</v>
      </c>
      <c r="R1621" t="s">
        <v>151</v>
      </c>
      <c r="S1621" t="s">
        <v>1788</v>
      </c>
      <c r="T1621" t="s">
        <v>153</v>
      </c>
      <c r="U1621" t="s">
        <v>154</v>
      </c>
      <c r="V1621" t="str">
        <f>IFERROR(INDEX(Products!$C:$C,MATCH(D1621,Products!$A:$A,0)),"Unknown")</f>
        <v>Footwear</v>
      </c>
      <c r="W1621" t="str">
        <f>IFERROR(INDEX(Products!$E:$E,MATCH(D1621,Products!$A:$A,0)),"Unknown")</f>
        <v>Max Fashion</v>
      </c>
      <c r="X1621" t="str">
        <f>IFERROR(INDEX(Stores!$B:$B,MATCH(E1621,Stores!$A:$A,0)),"Unknown")</f>
        <v>TrendMart Guntur High Street</v>
      </c>
      <c r="Y1621" t="str">
        <f>IFERROR(INDEX(Stores!$E:$E,MATCH(E1621,Stores!$A:$A,0)),"Unknown")</f>
        <v>South Zone 3</v>
      </c>
      <c r="Z1621" t="str">
        <f>IFERROR(INDEX(Customers!$J:$J,MATCH(C1621,Customers!$A:$A,0)),"Unknown")</f>
        <v>Regular</v>
      </c>
      <c r="AA1621" t="str">
        <f t="shared" si="25"/>
        <v>2025-02</v>
      </c>
      <c r="AB1621" t="str">
        <f>IFERROR(INDEX(Products!$I:$I,MATCH(D1621,Products!$A:$A,0)),"Unknown")</f>
        <v>SUP039</v>
      </c>
    </row>
    <row r="1622" spans="1:28" x14ac:dyDescent="0.25">
      <c r="A1622" t="s">
        <v>3552</v>
      </c>
      <c r="B1622" s="20">
        <v>45581</v>
      </c>
      <c r="C1622" t="s">
        <v>1496</v>
      </c>
      <c r="D1622" t="s">
        <v>830</v>
      </c>
      <c r="E1622" t="s">
        <v>537</v>
      </c>
      <c r="F1622" t="s">
        <v>377</v>
      </c>
      <c r="G1622">
        <v>2</v>
      </c>
      <c r="H1622" s="21">
        <v>824.54</v>
      </c>
      <c r="I1622">
        <v>25</v>
      </c>
      <c r="J1622" s="21">
        <v>412.27</v>
      </c>
      <c r="K1622">
        <v>5</v>
      </c>
      <c r="L1622" s="21">
        <v>61.84</v>
      </c>
      <c r="M1622" s="21">
        <v>1298.6500000000001</v>
      </c>
      <c r="N1622" s="21">
        <v>1140.4000000000001</v>
      </c>
      <c r="O1622" s="21">
        <v>96.41</v>
      </c>
      <c r="P1622" t="s">
        <v>125</v>
      </c>
      <c r="Q1622" t="s">
        <v>122</v>
      </c>
      <c r="R1622" t="s">
        <v>151</v>
      </c>
      <c r="S1622" t="s">
        <v>1633</v>
      </c>
      <c r="T1622" t="s">
        <v>153</v>
      </c>
      <c r="U1622" t="s">
        <v>154</v>
      </c>
      <c r="V1622" t="str">
        <f>IFERROR(INDEX(Products!$C:$C,MATCH(D1622,Products!$A:$A,0)),"Unknown")</f>
        <v>Men Shirts</v>
      </c>
      <c r="W1622" t="str">
        <f>IFERROR(INDEX(Products!$E:$E,MATCH(D1622,Products!$A:$A,0)),"Unknown")</f>
        <v>AND</v>
      </c>
      <c r="X1622" t="str">
        <f>IFERROR(INDEX(Stores!$B:$B,MATCH(E1622,Stores!$A:$A,0)),"Unknown")</f>
        <v>TrendMart Thrissur High Street</v>
      </c>
      <c r="Y1622" t="str">
        <f>IFERROR(INDEX(Stores!$E:$E,MATCH(E1622,Stores!$A:$A,0)),"Unknown")</f>
        <v>South Zone 1</v>
      </c>
      <c r="Z1622" t="str">
        <f>IFERROR(INDEX(Customers!$J:$J,MATCH(C1622,Customers!$A:$A,0)),"Unknown")</f>
        <v>Gold</v>
      </c>
      <c r="AA1622" t="str">
        <f t="shared" si="25"/>
        <v>2024-10</v>
      </c>
      <c r="AB1622" t="str">
        <f>IFERROR(INDEX(Products!$I:$I,MATCH(D1622,Products!$A:$A,0)),"Unknown")</f>
        <v>SUP012</v>
      </c>
    </row>
    <row r="1623" spans="1:28" x14ac:dyDescent="0.25">
      <c r="A1623" t="s">
        <v>3553</v>
      </c>
      <c r="B1623" s="20">
        <v>45702</v>
      </c>
      <c r="C1623" t="s">
        <v>3554</v>
      </c>
      <c r="D1623" t="s">
        <v>861</v>
      </c>
      <c r="E1623" t="s">
        <v>927</v>
      </c>
      <c r="F1623" t="s">
        <v>176</v>
      </c>
      <c r="G1623">
        <v>1</v>
      </c>
      <c r="H1623" s="21">
        <v>1661.15</v>
      </c>
      <c r="I1623">
        <v>25</v>
      </c>
      <c r="J1623" s="21">
        <v>415.29</v>
      </c>
      <c r="K1623">
        <v>12</v>
      </c>
      <c r="L1623" s="21">
        <v>149.5</v>
      </c>
      <c r="M1623" s="21">
        <v>1395.36</v>
      </c>
      <c r="N1623" s="21">
        <v>1139.81</v>
      </c>
      <c r="O1623" s="21">
        <v>106.05</v>
      </c>
      <c r="P1623" t="s">
        <v>125</v>
      </c>
      <c r="Q1623" t="s">
        <v>120</v>
      </c>
      <c r="R1623" t="s">
        <v>151</v>
      </c>
      <c r="S1623" t="s">
        <v>1416</v>
      </c>
      <c r="T1623" t="s">
        <v>153</v>
      </c>
      <c r="U1623" t="s">
        <v>154</v>
      </c>
      <c r="V1623" t="str">
        <f>IFERROR(INDEX(Products!$C:$C,MATCH(D1623,Products!$A:$A,0)),"Unknown")</f>
        <v>Women Jeans</v>
      </c>
      <c r="W1623" t="str">
        <f>IFERROR(INDEX(Products!$E:$E,MATCH(D1623,Products!$A:$A,0)),"Unknown")</f>
        <v>Spykar</v>
      </c>
      <c r="X1623" t="str">
        <f>IFERROR(INDEX(Stores!$B:$B,MATCH(E1623,Stores!$A:$A,0)),"Unknown")</f>
        <v>TrendMart Kochi Mall Kiosk</v>
      </c>
      <c r="Y1623" t="str">
        <f>IFERROR(INDEX(Stores!$E:$E,MATCH(E1623,Stores!$A:$A,0)),"Unknown")</f>
        <v>South Zone 1</v>
      </c>
      <c r="Z1623" t="str">
        <f>IFERROR(INDEX(Customers!$J:$J,MATCH(C1623,Customers!$A:$A,0)),"Unknown")</f>
        <v>Gold</v>
      </c>
      <c r="AA1623" t="str">
        <f t="shared" si="25"/>
        <v>2025-02</v>
      </c>
      <c r="AB1623" t="str">
        <f>IFERROR(INDEX(Products!$I:$I,MATCH(D1623,Products!$A:$A,0)),"Unknown")</f>
        <v>SUP088</v>
      </c>
    </row>
    <row r="1624" spans="1:28" x14ac:dyDescent="0.25">
      <c r="A1624" t="s">
        <v>3555</v>
      </c>
      <c r="B1624" s="20">
        <v>45397</v>
      </c>
      <c r="C1624" t="s">
        <v>3556</v>
      </c>
      <c r="D1624" t="s">
        <v>2169</v>
      </c>
      <c r="E1624" t="s">
        <v>181</v>
      </c>
      <c r="F1624" t="s">
        <v>335</v>
      </c>
      <c r="G1624">
        <v>2</v>
      </c>
      <c r="H1624" s="21">
        <v>1019.48</v>
      </c>
      <c r="I1624">
        <v>20</v>
      </c>
      <c r="J1624" s="21">
        <v>407.79</v>
      </c>
      <c r="K1624">
        <v>12</v>
      </c>
      <c r="L1624" s="21">
        <v>195.74</v>
      </c>
      <c r="M1624" s="21">
        <v>1826.91</v>
      </c>
      <c r="N1624" s="21">
        <v>1281.52</v>
      </c>
      <c r="O1624" s="21">
        <v>349.65</v>
      </c>
      <c r="P1624" t="s">
        <v>123</v>
      </c>
      <c r="Q1624" t="s">
        <v>120</v>
      </c>
      <c r="R1624" t="s">
        <v>151</v>
      </c>
      <c r="S1624" t="s">
        <v>928</v>
      </c>
      <c r="T1624" t="s">
        <v>153</v>
      </c>
      <c r="U1624" t="s">
        <v>154</v>
      </c>
      <c r="V1624" t="str">
        <f>IFERROR(INDEX(Products!$C:$C,MATCH(D1624,Products!$A:$A,0)),"Unknown")</f>
        <v>Men Trousers</v>
      </c>
      <c r="W1624" t="str">
        <f>IFERROR(INDEX(Products!$E:$E,MATCH(D1624,Products!$A:$A,0)),"Unknown")</f>
        <v>Titan</v>
      </c>
      <c r="X1624" t="str">
        <f>IFERROR(INDEX(Stores!$B:$B,MATCH(E1624,Stores!$A:$A,0)),"Unknown")</f>
        <v>TrendMart Kurnool High Street</v>
      </c>
      <c r="Y1624" t="str">
        <f>IFERROR(INDEX(Stores!$E:$E,MATCH(E1624,Stores!$A:$A,0)),"Unknown")</f>
        <v>South Zone 3</v>
      </c>
      <c r="Z1624" t="str">
        <f>IFERROR(INDEX(Customers!$J:$J,MATCH(C1624,Customers!$A:$A,0)),"Unknown")</f>
        <v>Silver</v>
      </c>
      <c r="AA1624" t="str">
        <f t="shared" si="25"/>
        <v>2024-04</v>
      </c>
      <c r="AB1624" t="str">
        <f>IFERROR(INDEX(Products!$I:$I,MATCH(D1624,Products!$A:$A,0)),"Unknown")</f>
        <v>SUP069</v>
      </c>
    </row>
    <row r="1625" spans="1:28" x14ac:dyDescent="0.25">
      <c r="A1625" t="s">
        <v>3557</v>
      </c>
      <c r="B1625" s="20">
        <v>45437</v>
      </c>
      <c r="C1625" t="s">
        <v>1880</v>
      </c>
      <c r="D1625" t="s">
        <v>381</v>
      </c>
      <c r="E1625" t="s">
        <v>82</v>
      </c>
      <c r="F1625" t="s">
        <v>176</v>
      </c>
      <c r="G1625">
        <v>2</v>
      </c>
      <c r="H1625" s="21">
        <v>855.61</v>
      </c>
      <c r="I1625">
        <v>0</v>
      </c>
      <c r="J1625" s="21">
        <v>0</v>
      </c>
      <c r="K1625">
        <v>5</v>
      </c>
      <c r="L1625" s="21">
        <v>85.56</v>
      </c>
      <c r="M1625" s="21">
        <v>1796.78</v>
      </c>
      <c r="N1625" s="21">
        <v>1027.68</v>
      </c>
      <c r="O1625" s="21">
        <v>683.54</v>
      </c>
      <c r="P1625" t="s">
        <v>123</v>
      </c>
      <c r="Q1625" t="s">
        <v>122</v>
      </c>
      <c r="R1625" t="s">
        <v>151</v>
      </c>
      <c r="S1625" t="s">
        <v>2472</v>
      </c>
      <c r="T1625" t="s">
        <v>161</v>
      </c>
      <c r="U1625" t="s">
        <v>154</v>
      </c>
      <c r="V1625" t="str">
        <f>IFERROR(INDEX(Products!$C:$C,MATCH(D1625,Products!$A:$A,0)),"Unknown")</f>
        <v>Wallets</v>
      </c>
      <c r="W1625" t="str">
        <f>IFERROR(INDEX(Products!$E:$E,MATCH(D1625,Products!$A:$A,0)),"Unknown")</f>
        <v>Tanishq</v>
      </c>
      <c r="X1625" t="str">
        <f>IFERROR(INDEX(Stores!$B:$B,MATCH(E1625,Stores!$A:$A,0)),"Unknown")</f>
        <v>TrendMart Kochi High Street</v>
      </c>
      <c r="Y1625" t="str">
        <f>IFERROR(INDEX(Stores!$E:$E,MATCH(E1625,Stores!$A:$A,0)),"Unknown")</f>
        <v>South Zone 1</v>
      </c>
      <c r="Z1625" t="str">
        <f>IFERROR(INDEX(Customers!$J:$J,MATCH(C1625,Customers!$A:$A,0)),"Unknown")</f>
        <v>Silver</v>
      </c>
      <c r="AA1625" t="str">
        <f t="shared" si="25"/>
        <v>2024-05</v>
      </c>
      <c r="AB1625" t="str">
        <f>IFERROR(INDEX(Products!$I:$I,MATCH(D1625,Products!$A:$A,0)),"Unknown")</f>
        <v>SUP007</v>
      </c>
    </row>
    <row r="1626" spans="1:28" x14ac:dyDescent="0.25">
      <c r="A1626" t="s">
        <v>3558</v>
      </c>
      <c r="B1626" s="20">
        <v>45615</v>
      </c>
      <c r="C1626" t="s">
        <v>707</v>
      </c>
      <c r="D1626" t="s">
        <v>1111</v>
      </c>
      <c r="E1626" t="s">
        <v>296</v>
      </c>
      <c r="F1626" t="s">
        <v>176</v>
      </c>
      <c r="G1626">
        <v>2</v>
      </c>
      <c r="H1626" s="21">
        <v>2140.2600000000002</v>
      </c>
      <c r="I1626">
        <v>10</v>
      </c>
      <c r="J1626" s="21">
        <v>428.05</v>
      </c>
      <c r="K1626">
        <v>12</v>
      </c>
      <c r="L1626" s="21">
        <v>462.3</v>
      </c>
      <c r="M1626" s="21">
        <v>4314.7700000000004</v>
      </c>
      <c r="N1626" s="21">
        <v>3353.84</v>
      </c>
      <c r="O1626" s="21">
        <v>498.63</v>
      </c>
      <c r="P1626" t="s">
        <v>121</v>
      </c>
      <c r="Q1626" t="s">
        <v>120</v>
      </c>
      <c r="R1626" t="s">
        <v>151</v>
      </c>
      <c r="S1626" t="s">
        <v>1122</v>
      </c>
      <c r="T1626" t="s">
        <v>153</v>
      </c>
      <c r="U1626" t="s">
        <v>154</v>
      </c>
      <c r="V1626" t="str">
        <f>IFERROR(INDEX(Products!$C:$C,MATCH(D1626,Products!$A:$A,0)),"Unknown")</f>
        <v>Men Ethnic</v>
      </c>
      <c r="W1626" t="str">
        <f>IFERROR(INDEX(Products!$E:$E,MATCH(D1626,Products!$A:$A,0)),"Unknown")</f>
        <v>Raymond</v>
      </c>
      <c r="X1626" t="str">
        <f>IFERROR(INDEX(Stores!$B:$B,MATCH(E1626,Stores!$A:$A,0)),"Unknown")</f>
        <v>TrendMart Kurnool Outlet</v>
      </c>
      <c r="Y1626" t="str">
        <f>IFERROR(INDEX(Stores!$E:$E,MATCH(E1626,Stores!$A:$A,0)),"Unknown")</f>
        <v>South Zone 3</v>
      </c>
      <c r="Z1626" t="str">
        <f>IFERROR(INDEX(Customers!$J:$J,MATCH(C1626,Customers!$A:$A,0)),"Unknown")</f>
        <v>Gold</v>
      </c>
      <c r="AA1626" t="str">
        <f t="shared" si="25"/>
        <v>2024-11</v>
      </c>
      <c r="AB1626" t="str">
        <f>IFERROR(INDEX(Products!$I:$I,MATCH(D1626,Products!$A:$A,0)),"Unknown")</f>
        <v>SUP018</v>
      </c>
    </row>
    <row r="1627" spans="1:28" x14ac:dyDescent="0.25">
      <c r="A1627" t="s">
        <v>3559</v>
      </c>
      <c r="B1627" s="20">
        <v>45452</v>
      </c>
      <c r="C1627" t="s">
        <v>1613</v>
      </c>
      <c r="D1627" t="s">
        <v>1590</v>
      </c>
      <c r="E1627" t="s">
        <v>537</v>
      </c>
      <c r="F1627" t="s">
        <v>408</v>
      </c>
      <c r="G1627">
        <v>2</v>
      </c>
      <c r="H1627" s="21">
        <v>544.59</v>
      </c>
      <c r="I1627">
        <v>20</v>
      </c>
      <c r="J1627" s="21">
        <v>217.84</v>
      </c>
      <c r="K1627">
        <v>5</v>
      </c>
      <c r="L1627" s="21">
        <v>43.57</v>
      </c>
      <c r="M1627" s="21">
        <v>914.91</v>
      </c>
      <c r="N1627" s="21">
        <v>674.18</v>
      </c>
      <c r="O1627" s="21">
        <v>197.16</v>
      </c>
      <c r="P1627" t="s">
        <v>121</v>
      </c>
      <c r="Q1627" t="s">
        <v>120</v>
      </c>
      <c r="R1627" t="s">
        <v>151</v>
      </c>
      <c r="S1627" t="s">
        <v>1666</v>
      </c>
      <c r="T1627" t="s">
        <v>161</v>
      </c>
      <c r="U1627" t="s">
        <v>154</v>
      </c>
      <c r="V1627" t="str">
        <f>IFERROR(INDEX(Products!$C:$C,MATCH(D1627,Products!$A:$A,0)),"Unknown")</f>
        <v>Kids Wear</v>
      </c>
      <c r="W1627" t="str">
        <f>IFERROR(INDEX(Products!$E:$E,MATCH(D1627,Products!$A:$A,0)),"Unknown")</f>
        <v>Peter England</v>
      </c>
      <c r="X1627" t="str">
        <f>IFERROR(INDEX(Stores!$B:$B,MATCH(E1627,Stores!$A:$A,0)),"Unknown")</f>
        <v>TrendMart Thrissur High Street</v>
      </c>
      <c r="Y1627" t="str">
        <f>IFERROR(INDEX(Stores!$E:$E,MATCH(E1627,Stores!$A:$A,0)),"Unknown")</f>
        <v>South Zone 1</v>
      </c>
      <c r="Z1627" t="str">
        <f>IFERROR(INDEX(Customers!$J:$J,MATCH(C1627,Customers!$A:$A,0)),"Unknown")</f>
        <v>Regular</v>
      </c>
      <c r="AA1627" t="str">
        <f t="shared" si="25"/>
        <v>2024-06</v>
      </c>
      <c r="AB1627" t="str">
        <f>IFERROR(INDEX(Products!$I:$I,MATCH(D1627,Products!$A:$A,0)),"Unknown")</f>
        <v>SUP065</v>
      </c>
    </row>
    <row r="1628" spans="1:28" x14ac:dyDescent="0.25">
      <c r="A1628" t="s">
        <v>3560</v>
      </c>
      <c r="B1628" s="20">
        <v>45572</v>
      </c>
      <c r="C1628" t="s">
        <v>311</v>
      </c>
      <c r="D1628" t="s">
        <v>689</v>
      </c>
      <c r="E1628" t="s">
        <v>815</v>
      </c>
      <c r="F1628" t="s">
        <v>170</v>
      </c>
      <c r="G1628">
        <v>2</v>
      </c>
      <c r="H1628" s="21">
        <v>730.2</v>
      </c>
      <c r="I1628">
        <v>0</v>
      </c>
      <c r="J1628" s="21">
        <v>0</v>
      </c>
      <c r="K1628">
        <v>5</v>
      </c>
      <c r="L1628" s="21">
        <v>73.02</v>
      </c>
      <c r="M1628" s="21">
        <v>1533.42</v>
      </c>
      <c r="N1628" s="21">
        <v>1182.76</v>
      </c>
      <c r="O1628" s="21">
        <v>277.64</v>
      </c>
      <c r="P1628" t="s">
        <v>121</v>
      </c>
      <c r="Q1628" t="s">
        <v>122</v>
      </c>
      <c r="R1628" t="s">
        <v>151</v>
      </c>
      <c r="S1628" t="s">
        <v>3561</v>
      </c>
      <c r="T1628" t="s">
        <v>153</v>
      </c>
      <c r="U1628" t="s">
        <v>154</v>
      </c>
      <c r="V1628" t="str">
        <f>IFERROR(INDEX(Products!$C:$C,MATCH(D1628,Products!$A:$A,0)),"Unknown")</f>
        <v>Kids Wear</v>
      </c>
      <c r="W1628" t="str">
        <f>IFERROR(INDEX(Products!$E:$E,MATCH(D1628,Products!$A:$A,0)),"Unknown")</f>
        <v>Libas</v>
      </c>
      <c r="X1628" t="str">
        <f>IFERROR(INDEX(Stores!$B:$B,MATCH(E1628,Stores!$A:$A,0)),"Unknown")</f>
        <v>TrendMart Madurai Mall Kiosk</v>
      </c>
      <c r="Y1628" t="str">
        <f>IFERROR(INDEX(Stores!$E:$E,MATCH(E1628,Stores!$A:$A,0)),"Unknown")</f>
        <v>South Zone 1</v>
      </c>
      <c r="Z1628" t="str">
        <f>IFERROR(INDEX(Customers!$J:$J,MATCH(C1628,Customers!$A:$A,0)),"Unknown")</f>
        <v>Gold</v>
      </c>
      <c r="AA1628" t="str">
        <f t="shared" si="25"/>
        <v>2024-10</v>
      </c>
      <c r="AB1628" t="str">
        <f>IFERROR(INDEX(Products!$I:$I,MATCH(D1628,Products!$A:$A,0)),"Unknown")</f>
        <v>SUP031</v>
      </c>
    </row>
    <row r="1629" spans="1:28" x14ac:dyDescent="0.25">
      <c r="A1629" t="s">
        <v>3562</v>
      </c>
      <c r="B1629" s="20">
        <v>45579</v>
      </c>
      <c r="C1629" t="s">
        <v>366</v>
      </c>
      <c r="D1629" t="s">
        <v>1101</v>
      </c>
      <c r="E1629" t="s">
        <v>745</v>
      </c>
      <c r="F1629" t="s">
        <v>237</v>
      </c>
      <c r="G1629">
        <v>2</v>
      </c>
      <c r="H1629" s="21">
        <v>845.48</v>
      </c>
      <c r="I1629">
        <v>25</v>
      </c>
      <c r="J1629" s="21">
        <v>422.74</v>
      </c>
      <c r="K1629">
        <v>5</v>
      </c>
      <c r="L1629" s="21">
        <v>63.41</v>
      </c>
      <c r="M1629" s="21">
        <v>1331.63</v>
      </c>
      <c r="N1629" s="21">
        <v>1130.9000000000001</v>
      </c>
      <c r="O1629" s="21">
        <v>137.32</v>
      </c>
      <c r="P1629" t="s">
        <v>123</v>
      </c>
      <c r="Q1629" t="s">
        <v>120</v>
      </c>
      <c r="R1629" t="s">
        <v>151</v>
      </c>
      <c r="S1629" t="s">
        <v>1847</v>
      </c>
      <c r="T1629" t="s">
        <v>153</v>
      </c>
      <c r="U1629" t="s">
        <v>154</v>
      </c>
      <c r="V1629" t="str">
        <f>IFERROR(INDEX(Products!$C:$C,MATCH(D1629,Products!$A:$A,0)),"Unknown")</f>
        <v>Kids Wear</v>
      </c>
      <c r="W1629" t="str">
        <f>IFERROR(INDEX(Products!$E:$E,MATCH(D1629,Products!$A:$A,0)),"Unknown")</f>
        <v>Woodland</v>
      </c>
      <c r="X1629" t="str">
        <f>IFERROR(INDEX(Stores!$B:$B,MATCH(E1629,Stores!$A:$A,0)),"Unknown")</f>
        <v>TrendMart Thiruvananthapuram Outlet</v>
      </c>
      <c r="Y1629" t="str">
        <f>IFERROR(INDEX(Stores!$E:$E,MATCH(E1629,Stores!$A:$A,0)),"Unknown")</f>
        <v>South Zone 1</v>
      </c>
      <c r="Z1629" t="str">
        <f>IFERROR(INDEX(Customers!$J:$J,MATCH(C1629,Customers!$A:$A,0)),"Unknown")</f>
        <v>Gold</v>
      </c>
      <c r="AA1629" t="str">
        <f t="shared" si="25"/>
        <v>2024-10</v>
      </c>
      <c r="AB1629" t="str">
        <f>IFERROR(INDEX(Products!$I:$I,MATCH(D1629,Products!$A:$A,0)),"Unknown")</f>
        <v>SUP010</v>
      </c>
    </row>
    <row r="1630" spans="1:28" x14ac:dyDescent="0.25">
      <c r="A1630" t="s">
        <v>3563</v>
      </c>
      <c r="B1630" s="20">
        <v>45699</v>
      </c>
      <c r="C1630" t="s">
        <v>2797</v>
      </c>
      <c r="D1630" t="s">
        <v>531</v>
      </c>
      <c r="E1630" t="s">
        <v>537</v>
      </c>
      <c r="F1630" t="s">
        <v>403</v>
      </c>
      <c r="G1630">
        <v>1</v>
      </c>
      <c r="H1630" s="21">
        <v>2994.62</v>
      </c>
      <c r="I1630">
        <v>5</v>
      </c>
      <c r="J1630" s="21">
        <v>149.72999999999999</v>
      </c>
      <c r="K1630">
        <v>12</v>
      </c>
      <c r="L1630" s="21">
        <v>341.39</v>
      </c>
      <c r="M1630" s="21">
        <v>3186.28</v>
      </c>
      <c r="N1630" s="21">
        <v>2034.01</v>
      </c>
      <c r="O1630" s="21">
        <v>810.88</v>
      </c>
      <c r="P1630" t="s">
        <v>125</v>
      </c>
      <c r="Q1630" t="s">
        <v>120</v>
      </c>
      <c r="R1630" t="s">
        <v>313</v>
      </c>
      <c r="S1630" t="s">
        <v>2918</v>
      </c>
      <c r="T1630" t="s">
        <v>153</v>
      </c>
      <c r="U1630" t="s">
        <v>154</v>
      </c>
      <c r="V1630" t="str">
        <f>IFERROR(INDEX(Products!$C:$C,MATCH(D1630,Products!$A:$A,0)),"Unknown")</f>
        <v>Handbags</v>
      </c>
      <c r="W1630" t="str">
        <f>IFERROR(INDEX(Products!$E:$E,MATCH(D1630,Products!$A:$A,0)),"Unknown")</f>
        <v>GRT Jewellers</v>
      </c>
      <c r="X1630" t="str">
        <f>IFERROR(INDEX(Stores!$B:$B,MATCH(E1630,Stores!$A:$A,0)),"Unknown")</f>
        <v>TrendMart Thrissur High Street</v>
      </c>
      <c r="Y1630" t="str">
        <f>IFERROR(INDEX(Stores!$E:$E,MATCH(E1630,Stores!$A:$A,0)),"Unknown")</f>
        <v>South Zone 1</v>
      </c>
      <c r="Z1630" t="str">
        <f>IFERROR(INDEX(Customers!$J:$J,MATCH(C1630,Customers!$A:$A,0)),"Unknown")</f>
        <v>Regular</v>
      </c>
      <c r="AA1630" t="str">
        <f t="shared" si="25"/>
        <v>2025-02</v>
      </c>
      <c r="AB1630" t="str">
        <f>IFERROR(INDEX(Products!$I:$I,MATCH(D1630,Products!$A:$A,0)),"Unknown")</f>
        <v>SUP047</v>
      </c>
    </row>
    <row r="1631" spans="1:28" x14ac:dyDescent="0.25">
      <c r="A1631" t="s">
        <v>3564</v>
      </c>
      <c r="B1631" s="20">
        <v>45742</v>
      </c>
      <c r="C1631" t="s">
        <v>981</v>
      </c>
      <c r="D1631" t="s">
        <v>1302</v>
      </c>
      <c r="E1631" t="s">
        <v>84</v>
      </c>
      <c r="F1631" t="s">
        <v>263</v>
      </c>
      <c r="G1631">
        <v>1</v>
      </c>
      <c r="H1631" s="21">
        <v>1107.1600000000001</v>
      </c>
      <c r="I1631">
        <v>10</v>
      </c>
      <c r="J1631" s="21">
        <v>110.72</v>
      </c>
      <c r="K1631">
        <v>12</v>
      </c>
      <c r="L1631" s="21">
        <v>119.57</v>
      </c>
      <c r="M1631" s="21">
        <v>1116.01</v>
      </c>
      <c r="N1631" s="21">
        <v>770.73</v>
      </c>
      <c r="O1631" s="21">
        <v>225.71</v>
      </c>
      <c r="P1631" t="s">
        <v>124</v>
      </c>
      <c r="Q1631" t="s">
        <v>122</v>
      </c>
      <c r="R1631" t="s">
        <v>151</v>
      </c>
      <c r="S1631" t="s">
        <v>2348</v>
      </c>
      <c r="T1631" t="s">
        <v>153</v>
      </c>
      <c r="U1631" t="s">
        <v>154</v>
      </c>
      <c r="V1631" t="str">
        <f>IFERROR(INDEX(Products!$C:$C,MATCH(D1631,Products!$A:$A,0)),"Unknown")</f>
        <v>Women Kurtis</v>
      </c>
      <c r="W1631" t="str">
        <f>IFERROR(INDEX(Products!$E:$E,MATCH(D1631,Products!$A:$A,0)),"Unknown")</f>
        <v>Fabindia</v>
      </c>
      <c r="X1631" t="str">
        <f>IFERROR(INDEX(Stores!$B:$B,MATCH(E1631,Stores!$A:$A,0)),"Unknown")</f>
        <v>TrendMart Tirupati Standard</v>
      </c>
      <c r="Y1631" t="str">
        <f>IFERROR(INDEX(Stores!$E:$E,MATCH(E1631,Stores!$A:$A,0)),"Unknown")</f>
        <v>South Zone 3</v>
      </c>
      <c r="Z1631" t="str">
        <f>IFERROR(INDEX(Customers!$J:$J,MATCH(C1631,Customers!$A:$A,0)),"Unknown")</f>
        <v>Regular</v>
      </c>
      <c r="AA1631" t="str">
        <f t="shared" si="25"/>
        <v>2025-03</v>
      </c>
      <c r="AB1631" t="str">
        <f>IFERROR(INDEX(Products!$I:$I,MATCH(D1631,Products!$A:$A,0)),"Unknown")</f>
        <v>SUP059</v>
      </c>
    </row>
    <row r="1632" spans="1:28" x14ac:dyDescent="0.25">
      <c r="A1632" t="s">
        <v>3565</v>
      </c>
      <c r="B1632" s="20">
        <v>45629</v>
      </c>
      <c r="C1632" t="s">
        <v>2561</v>
      </c>
      <c r="D1632" t="s">
        <v>1350</v>
      </c>
      <c r="E1632" t="s">
        <v>1325</v>
      </c>
      <c r="F1632" t="s">
        <v>443</v>
      </c>
      <c r="G1632">
        <v>4</v>
      </c>
      <c r="H1632" s="21">
        <v>622.04999999999995</v>
      </c>
      <c r="I1632">
        <v>0</v>
      </c>
      <c r="J1632" s="21">
        <v>0</v>
      </c>
      <c r="K1632">
        <v>5</v>
      </c>
      <c r="L1632" s="21">
        <v>124.41</v>
      </c>
      <c r="M1632" s="21">
        <v>2612.61</v>
      </c>
      <c r="N1632" s="21">
        <v>1677.6</v>
      </c>
      <c r="O1632" s="21">
        <v>810.6</v>
      </c>
      <c r="P1632" t="s">
        <v>121</v>
      </c>
      <c r="Q1632" t="s">
        <v>120</v>
      </c>
      <c r="R1632" t="s">
        <v>151</v>
      </c>
      <c r="S1632" t="s">
        <v>1921</v>
      </c>
      <c r="T1632" t="s">
        <v>153</v>
      </c>
      <c r="U1632" t="s">
        <v>154</v>
      </c>
      <c r="V1632" t="str">
        <f>IFERROR(INDEX(Products!$C:$C,MATCH(D1632,Products!$A:$A,0)),"Unknown")</f>
        <v>Women Tops</v>
      </c>
      <c r="W1632" t="str">
        <f>IFERROR(INDEX(Products!$E:$E,MATCH(D1632,Products!$A:$A,0)),"Unknown")</f>
        <v>Jack &amp; Jones</v>
      </c>
      <c r="X1632" t="str">
        <f>IFERROR(INDEX(Stores!$B:$B,MATCH(E1632,Stores!$A:$A,0)),"Unknown")</f>
        <v>TrendMart Thrissur Standard</v>
      </c>
      <c r="Y1632" t="str">
        <f>IFERROR(INDEX(Stores!$E:$E,MATCH(E1632,Stores!$A:$A,0)),"Unknown")</f>
        <v>South Zone 1</v>
      </c>
      <c r="Z1632" t="str">
        <f>IFERROR(INDEX(Customers!$J:$J,MATCH(C1632,Customers!$A:$A,0)),"Unknown")</f>
        <v>Platinum</v>
      </c>
      <c r="AA1632" t="str">
        <f t="shared" si="25"/>
        <v>2024-12</v>
      </c>
      <c r="AB1632" t="str">
        <f>IFERROR(INDEX(Products!$I:$I,MATCH(D1632,Products!$A:$A,0)),"Unknown")</f>
        <v>SUP089</v>
      </c>
    </row>
    <row r="1633" spans="1:28" x14ac:dyDescent="0.25">
      <c r="A1633" t="s">
        <v>3566</v>
      </c>
      <c r="B1633" s="20">
        <v>45708</v>
      </c>
      <c r="C1633" t="s">
        <v>1094</v>
      </c>
      <c r="D1633" t="s">
        <v>622</v>
      </c>
      <c r="E1633" t="s">
        <v>634</v>
      </c>
      <c r="F1633" t="s">
        <v>532</v>
      </c>
      <c r="G1633">
        <v>1</v>
      </c>
      <c r="H1633" s="21">
        <v>2803.06</v>
      </c>
      <c r="I1633">
        <v>25</v>
      </c>
      <c r="J1633" s="21">
        <v>700.76</v>
      </c>
      <c r="K1633">
        <v>12</v>
      </c>
      <c r="L1633" s="21">
        <v>252.28</v>
      </c>
      <c r="M1633" s="21">
        <v>2354.58</v>
      </c>
      <c r="N1633" s="21">
        <v>1853.14</v>
      </c>
      <c r="O1633" s="21">
        <v>249.16</v>
      </c>
      <c r="P1633" t="s">
        <v>124</v>
      </c>
      <c r="Q1633" t="s">
        <v>120</v>
      </c>
      <c r="R1633" t="s">
        <v>151</v>
      </c>
      <c r="S1633" t="s">
        <v>1451</v>
      </c>
      <c r="T1633" t="s">
        <v>153</v>
      </c>
      <c r="U1633" t="s">
        <v>154</v>
      </c>
      <c r="V1633" t="str">
        <f>IFERROR(INDEX(Products!$C:$C,MATCH(D1633,Products!$A:$A,0)),"Unknown")</f>
        <v>Women Sarees</v>
      </c>
      <c r="W1633" t="str">
        <f>IFERROR(INDEX(Products!$E:$E,MATCH(D1633,Products!$A:$A,0)),"Unknown")</f>
        <v>Sparx</v>
      </c>
      <c r="X1633" t="str">
        <f>IFERROR(INDEX(Stores!$B:$B,MATCH(E1633,Stores!$A:$A,0)),"Unknown")</f>
        <v>TrendMart Thrissur High Street</v>
      </c>
      <c r="Y1633" t="str">
        <f>IFERROR(INDEX(Stores!$E:$E,MATCH(E1633,Stores!$A:$A,0)),"Unknown")</f>
        <v>South Zone 1</v>
      </c>
      <c r="Z1633" t="str">
        <f>IFERROR(INDEX(Customers!$J:$J,MATCH(C1633,Customers!$A:$A,0)),"Unknown")</f>
        <v>Silver</v>
      </c>
      <c r="AA1633" t="str">
        <f t="shared" si="25"/>
        <v>2025-02</v>
      </c>
      <c r="AB1633" t="str">
        <f>IFERROR(INDEX(Products!$I:$I,MATCH(D1633,Products!$A:$A,0)),"Unknown")</f>
        <v>SUP080</v>
      </c>
    </row>
    <row r="1634" spans="1:28" x14ac:dyDescent="0.25">
      <c r="A1634" t="s">
        <v>3567</v>
      </c>
      <c r="B1634" s="20">
        <v>45700</v>
      </c>
      <c r="C1634" t="s">
        <v>2722</v>
      </c>
      <c r="D1634" t="s">
        <v>536</v>
      </c>
      <c r="E1634" t="s">
        <v>541</v>
      </c>
      <c r="F1634" t="s">
        <v>532</v>
      </c>
      <c r="G1634">
        <v>2</v>
      </c>
      <c r="H1634" s="21">
        <v>557.52</v>
      </c>
      <c r="I1634">
        <v>10</v>
      </c>
      <c r="J1634" s="21">
        <v>111.5</v>
      </c>
      <c r="K1634">
        <v>5</v>
      </c>
      <c r="L1634" s="21">
        <v>50.18</v>
      </c>
      <c r="M1634" s="21">
        <v>1053.72</v>
      </c>
      <c r="N1634" s="21">
        <v>714.9</v>
      </c>
      <c r="O1634" s="21">
        <v>288.64</v>
      </c>
      <c r="P1634" t="s">
        <v>124</v>
      </c>
      <c r="Q1634" t="s">
        <v>122</v>
      </c>
      <c r="R1634" t="s">
        <v>151</v>
      </c>
      <c r="S1634" t="s">
        <v>1228</v>
      </c>
      <c r="T1634" t="s">
        <v>153</v>
      </c>
      <c r="U1634" t="s">
        <v>154</v>
      </c>
      <c r="V1634" t="str">
        <f>IFERROR(INDEX(Products!$C:$C,MATCH(D1634,Products!$A:$A,0)),"Unknown")</f>
        <v>Wallets</v>
      </c>
      <c r="W1634" t="str">
        <f>IFERROR(INDEX(Products!$E:$E,MATCH(D1634,Products!$A:$A,0)),"Unknown")</f>
        <v>Aurelia</v>
      </c>
      <c r="X1634" t="str">
        <f>IFERROR(INDEX(Stores!$B:$B,MATCH(E1634,Stores!$A:$A,0)),"Unknown")</f>
        <v>TrendMart Kochi Standard</v>
      </c>
      <c r="Y1634" t="str">
        <f>IFERROR(INDEX(Stores!$E:$E,MATCH(E1634,Stores!$A:$A,0)),"Unknown")</f>
        <v>South Zone 1</v>
      </c>
      <c r="Z1634" t="str">
        <f>IFERROR(INDEX(Customers!$J:$J,MATCH(C1634,Customers!$A:$A,0)),"Unknown")</f>
        <v>Gold</v>
      </c>
      <c r="AA1634" t="str">
        <f t="shared" si="25"/>
        <v>2025-02</v>
      </c>
      <c r="AB1634" t="str">
        <f>IFERROR(INDEX(Products!$I:$I,MATCH(D1634,Products!$A:$A,0)),"Unknown")</f>
        <v>SUP084</v>
      </c>
    </row>
    <row r="1635" spans="1:28" x14ac:dyDescent="0.25">
      <c r="A1635" t="s">
        <v>3568</v>
      </c>
      <c r="B1635" s="20">
        <v>45556</v>
      </c>
      <c r="C1635" t="s">
        <v>1334</v>
      </c>
      <c r="D1635" t="s">
        <v>279</v>
      </c>
      <c r="E1635" t="s">
        <v>368</v>
      </c>
      <c r="F1635" t="s">
        <v>263</v>
      </c>
      <c r="G1635">
        <v>2</v>
      </c>
      <c r="H1635" s="21">
        <v>3357.39</v>
      </c>
      <c r="I1635">
        <v>0</v>
      </c>
      <c r="J1635" s="21">
        <v>0</v>
      </c>
      <c r="K1635">
        <v>12</v>
      </c>
      <c r="L1635" s="21">
        <v>805.77</v>
      </c>
      <c r="M1635" s="21">
        <v>7520.55</v>
      </c>
      <c r="N1635" s="21">
        <v>4138.66</v>
      </c>
      <c r="O1635" s="21">
        <v>2576.12</v>
      </c>
      <c r="P1635" t="s">
        <v>121</v>
      </c>
      <c r="Q1635" t="s">
        <v>120</v>
      </c>
      <c r="R1635" t="s">
        <v>151</v>
      </c>
      <c r="S1635" t="s">
        <v>3409</v>
      </c>
      <c r="T1635" t="s">
        <v>161</v>
      </c>
      <c r="U1635" t="s">
        <v>154</v>
      </c>
      <c r="V1635" t="str">
        <f>IFERROR(INDEX(Products!$C:$C,MATCH(D1635,Products!$A:$A,0)),"Unknown")</f>
        <v>Handbags</v>
      </c>
      <c r="W1635" t="str">
        <f>IFERROR(INDEX(Products!$E:$E,MATCH(D1635,Products!$A:$A,0)),"Unknown")</f>
        <v>Westside</v>
      </c>
      <c r="X1635" t="str">
        <f>IFERROR(INDEX(Stores!$B:$B,MATCH(E1635,Stores!$A:$A,0)),"Unknown")</f>
        <v>TrendMart Alappuzha Outlet</v>
      </c>
      <c r="Y1635" t="str">
        <f>IFERROR(INDEX(Stores!$E:$E,MATCH(E1635,Stores!$A:$A,0)),"Unknown")</f>
        <v>South Zone 1</v>
      </c>
      <c r="Z1635" t="str">
        <f>IFERROR(INDEX(Customers!$J:$J,MATCH(C1635,Customers!$A:$A,0)),"Unknown")</f>
        <v>Regular</v>
      </c>
      <c r="AA1635" t="str">
        <f t="shared" si="25"/>
        <v>2024-09</v>
      </c>
      <c r="AB1635" t="str">
        <f>IFERROR(INDEX(Products!$I:$I,MATCH(D1635,Products!$A:$A,0)),"Unknown")</f>
        <v>SUP066</v>
      </c>
    </row>
    <row r="1636" spans="1:28" x14ac:dyDescent="0.25">
      <c r="A1636" t="s">
        <v>3569</v>
      </c>
      <c r="B1636" s="20">
        <v>45408</v>
      </c>
      <c r="C1636" t="s">
        <v>1597</v>
      </c>
      <c r="D1636" t="s">
        <v>854</v>
      </c>
      <c r="E1636" t="s">
        <v>1442</v>
      </c>
      <c r="F1636" t="s">
        <v>242</v>
      </c>
      <c r="G1636">
        <v>3</v>
      </c>
      <c r="H1636" s="21">
        <v>1175.82</v>
      </c>
      <c r="I1636">
        <v>5</v>
      </c>
      <c r="J1636" s="21">
        <v>176.37</v>
      </c>
      <c r="K1636">
        <v>3</v>
      </c>
      <c r="L1636" s="21">
        <v>100.53</v>
      </c>
      <c r="M1636" s="21">
        <v>3451.62</v>
      </c>
      <c r="N1636" s="21">
        <v>2862.12</v>
      </c>
      <c r="O1636" s="21">
        <v>488.97</v>
      </c>
      <c r="P1636" t="s">
        <v>125</v>
      </c>
      <c r="Q1636" t="s">
        <v>120</v>
      </c>
      <c r="R1636" t="s">
        <v>151</v>
      </c>
      <c r="S1636" t="s">
        <v>865</v>
      </c>
      <c r="T1636" t="s">
        <v>153</v>
      </c>
      <c r="U1636" t="s">
        <v>154</v>
      </c>
      <c r="V1636" t="str">
        <f>IFERROR(INDEX(Products!$C:$C,MATCH(D1636,Products!$A:$A,0)),"Unknown")</f>
        <v>Jewellery</v>
      </c>
      <c r="W1636" t="str">
        <f>IFERROR(INDEX(Products!$E:$E,MATCH(D1636,Products!$A:$A,0)),"Unknown")</f>
        <v>W for Woman</v>
      </c>
      <c r="X1636" t="str">
        <f>IFERROR(INDEX(Stores!$B:$B,MATCH(E1636,Stores!$A:$A,0)),"Unknown")</f>
        <v>TrendMart Vellore High Street</v>
      </c>
      <c r="Y1636" t="str">
        <f>IFERROR(INDEX(Stores!$E:$E,MATCH(E1636,Stores!$A:$A,0)),"Unknown")</f>
        <v>South Zone 1</v>
      </c>
      <c r="Z1636" t="str">
        <f>IFERROR(INDEX(Customers!$J:$J,MATCH(C1636,Customers!$A:$A,0)),"Unknown")</f>
        <v>Silver</v>
      </c>
      <c r="AA1636" t="str">
        <f t="shared" si="25"/>
        <v>2024-04</v>
      </c>
      <c r="AB1636" t="str">
        <f>IFERROR(INDEX(Products!$I:$I,MATCH(D1636,Products!$A:$A,0)),"Unknown")</f>
        <v>SUP006</v>
      </c>
    </row>
    <row r="1637" spans="1:28" x14ac:dyDescent="0.25">
      <c r="A1637" t="s">
        <v>3570</v>
      </c>
      <c r="B1637" s="20">
        <v>45495</v>
      </c>
      <c r="C1637" t="s">
        <v>519</v>
      </c>
      <c r="D1637" t="s">
        <v>1296</v>
      </c>
      <c r="E1637" t="s">
        <v>477</v>
      </c>
      <c r="F1637" t="s">
        <v>275</v>
      </c>
      <c r="G1637">
        <v>1</v>
      </c>
      <c r="H1637" s="21">
        <v>874.59</v>
      </c>
      <c r="I1637">
        <v>5</v>
      </c>
      <c r="J1637" s="21">
        <v>43.73</v>
      </c>
      <c r="K1637">
        <v>5</v>
      </c>
      <c r="L1637" s="21">
        <v>41.54</v>
      </c>
      <c r="M1637" s="21">
        <v>872.4</v>
      </c>
      <c r="N1637" s="21">
        <v>671.19</v>
      </c>
      <c r="O1637" s="21">
        <v>159.66999999999999</v>
      </c>
      <c r="P1637" t="s">
        <v>124</v>
      </c>
      <c r="Q1637" t="s">
        <v>120</v>
      </c>
      <c r="R1637" t="s">
        <v>151</v>
      </c>
      <c r="S1637" t="s">
        <v>503</v>
      </c>
      <c r="T1637" t="s">
        <v>153</v>
      </c>
      <c r="U1637" t="s">
        <v>154</v>
      </c>
      <c r="V1637" t="str">
        <f>IFERROR(INDEX(Products!$C:$C,MATCH(D1637,Products!$A:$A,0)),"Unknown")</f>
        <v>Handbags</v>
      </c>
      <c r="W1637" t="str">
        <f>IFERROR(INDEX(Products!$E:$E,MATCH(D1637,Products!$A:$A,0)),"Unknown")</f>
        <v>Tanishq</v>
      </c>
      <c r="X1637" t="str">
        <f>IFERROR(INDEX(Stores!$B:$B,MATCH(E1637,Stores!$A:$A,0)),"Unknown")</f>
        <v>TrendMart Hubballi Standard</v>
      </c>
      <c r="Y1637" t="str">
        <f>IFERROR(INDEX(Stores!$E:$E,MATCH(E1637,Stores!$A:$A,0)),"Unknown")</f>
        <v>South Zone 2</v>
      </c>
      <c r="Z1637" t="str">
        <f>IFERROR(INDEX(Customers!$J:$J,MATCH(C1637,Customers!$A:$A,0)),"Unknown")</f>
        <v>Regular</v>
      </c>
      <c r="AA1637" t="str">
        <f t="shared" si="25"/>
        <v>2024-07</v>
      </c>
      <c r="AB1637" t="str">
        <f>IFERROR(INDEX(Products!$I:$I,MATCH(D1637,Products!$A:$A,0)),"Unknown")</f>
        <v>SUP083</v>
      </c>
    </row>
    <row r="1638" spans="1:28" x14ac:dyDescent="0.25">
      <c r="A1638" t="s">
        <v>3571</v>
      </c>
      <c r="B1638" s="20">
        <v>45699</v>
      </c>
      <c r="C1638" t="s">
        <v>3134</v>
      </c>
      <c r="D1638" t="s">
        <v>558</v>
      </c>
      <c r="E1638" t="s">
        <v>1825</v>
      </c>
      <c r="F1638" t="s">
        <v>397</v>
      </c>
      <c r="G1638">
        <v>2</v>
      </c>
      <c r="H1638" s="21">
        <v>675.29</v>
      </c>
      <c r="I1638">
        <v>30</v>
      </c>
      <c r="J1638" s="21">
        <v>405.17</v>
      </c>
      <c r="K1638">
        <v>5</v>
      </c>
      <c r="L1638" s="21">
        <v>47.27</v>
      </c>
      <c r="M1638" s="21">
        <v>992.68</v>
      </c>
      <c r="N1638" s="21">
        <v>914.32</v>
      </c>
      <c r="O1638" s="21">
        <v>31.09</v>
      </c>
      <c r="P1638" t="s">
        <v>123</v>
      </c>
      <c r="Q1638" t="s">
        <v>122</v>
      </c>
      <c r="R1638" t="s">
        <v>151</v>
      </c>
      <c r="S1638" t="s">
        <v>2182</v>
      </c>
      <c r="T1638" t="s">
        <v>153</v>
      </c>
      <c r="U1638" t="s">
        <v>154</v>
      </c>
      <c r="V1638" t="str">
        <f>IFERROR(INDEX(Products!$C:$C,MATCH(D1638,Products!$A:$A,0)),"Unknown")</f>
        <v>Women Tops</v>
      </c>
      <c r="W1638" t="str">
        <f>IFERROR(INDEX(Products!$E:$E,MATCH(D1638,Products!$A:$A,0)),"Unknown")</f>
        <v>Aurelia</v>
      </c>
      <c r="X1638" t="str">
        <f>IFERROR(INDEX(Stores!$B:$B,MATCH(E1638,Stores!$A:$A,0)),"Unknown")</f>
        <v>TrendMart Vijayawada Outlet</v>
      </c>
      <c r="Y1638" t="str">
        <f>IFERROR(INDEX(Stores!$E:$E,MATCH(E1638,Stores!$A:$A,0)),"Unknown")</f>
        <v>South Zone 3</v>
      </c>
      <c r="Z1638" t="str">
        <f>IFERROR(INDEX(Customers!$J:$J,MATCH(C1638,Customers!$A:$A,0)),"Unknown")</f>
        <v>Silver</v>
      </c>
      <c r="AA1638" t="str">
        <f t="shared" si="25"/>
        <v>2025-02</v>
      </c>
      <c r="AB1638" t="str">
        <f>IFERROR(INDEX(Products!$I:$I,MATCH(D1638,Products!$A:$A,0)),"Unknown")</f>
        <v>SUP055</v>
      </c>
    </row>
    <row r="1639" spans="1:28" x14ac:dyDescent="0.25">
      <c r="A1639" t="s">
        <v>3572</v>
      </c>
      <c r="B1639" s="20">
        <v>45643</v>
      </c>
      <c r="C1639" t="s">
        <v>637</v>
      </c>
      <c r="D1639" t="s">
        <v>629</v>
      </c>
      <c r="E1639" t="s">
        <v>181</v>
      </c>
      <c r="F1639" t="s">
        <v>574</v>
      </c>
      <c r="G1639">
        <v>2</v>
      </c>
      <c r="H1639" s="21">
        <v>7028.65</v>
      </c>
      <c r="I1639">
        <v>0</v>
      </c>
      <c r="J1639" s="21">
        <v>0</v>
      </c>
      <c r="K1639">
        <v>3</v>
      </c>
      <c r="L1639" s="21">
        <v>421.72</v>
      </c>
      <c r="M1639" s="21">
        <v>14479.02</v>
      </c>
      <c r="N1639" s="21">
        <v>9734.42</v>
      </c>
      <c r="O1639" s="21">
        <v>4322.88</v>
      </c>
      <c r="P1639" t="s">
        <v>124</v>
      </c>
      <c r="Q1639" t="s">
        <v>120</v>
      </c>
      <c r="R1639" t="s">
        <v>151</v>
      </c>
      <c r="S1639" t="s">
        <v>3326</v>
      </c>
      <c r="T1639" t="s">
        <v>153</v>
      </c>
      <c r="U1639" t="s">
        <v>154</v>
      </c>
      <c r="V1639" t="str">
        <f>IFERROR(INDEX(Products!$C:$C,MATCH(D1639,Products!$A:$A,0)),"Unknown")</f>
        <v>Jewellery</v>
      </c>
      <c r="W1639" t="str">
        <f>IFERROR(INDEX(Products!$E:$E,MATCH(D1639,Products!$A:$A,0)),"Unknown")</f>
        <v>Global Desi</v>
      </c>
      <c r="X1639" t="str">
        <f>IFERROR(INDEX(Stores!$B:$B,MATCH(E1639,Stores!$A:$A,0)),"Unknown")</f>
        <v>TrendMart Kurnool High Street</v>
      </c>
      <c r="Y1639" t="str">
        <f>IFERROR(INDEX(Stores!$E:$E,MATCH(E1639,Stores!$A:$A,0)),"Unknown")</f>
        <v>South Zone 3</v>
      </c>
      <c r="Z1639" t="str">
        <f>IFERROR(INDEX(Customers!$J:$J,MATCH(C1639,Customers!$A:$A,0)),"Unknown")</f>
        <v>Silver</v>
      </c>
      <c r="AA1639" t="str">
        <f t="shared" si="25"/>
        <v>2024-12</v>
      </c>
      <c r="AB1639" t="str">
        <f>IFERROR(INDEX(Products!$I:$I,MATCH(D1639,Products!$A:$A,0)),"Unknown")</f>
        <v>SUP066</v>
      </c>
    </row>
    <row r="1640" spans="1:28" x14ac:dyDescent="0.25">
      <c r="A1640" t="s">
        <v>3573</v>
      </c>
      <c r="B1640" s="20">
        <v>45605</v>
      </c>
      <c r="C1640" t="s">
        <v>1114</v>
      </c>
      <c r="D1640" t="s">
        <v>531</v>
      </c>
      <c r="E1640" t="s">
        <v>396</v>
      </c>
      <c r="F1640" t="s">
        <v>182</v>
      </c>
      <c r="G1640">
        <v>1</v>
      </c>
      <c r="H1640" s="21">
        <v>3101.07</v>
      </c>
      <c r="I1640">
        <v>5</v>
      </c>
      <c r="J1640" s="21">
        <v>155.05000000000001</v>
      </c>
      <c r="K1640">
        <v>3</v>
      </c>
      <c r="L1640" s="21">
        <v>88.38</v>
      </c>
      <c r="M1640" s="21">
        <v>3034.4</v>
      </c>
      <c r="N1640" s="21">
        <v>2034.01</v>
      </c>
      <c r="O1640" s="21">
        <v>912.01</v>
      </c>
      <c r="P1640" t="s">
        <v>123</v>
      </c>
      <c r="Q1640" t="s">
        <v>122</v>
      </c>
      <c r="R1640" t="s">
        <v>313</v>
      </c>
      <c r="S1640" t="s">
        <v>966</v>
      </c>
      <c r="T1640" t="s">
        <v>161</v>
      </c>
      <c r="U1640" t="s">
        <v>154</v>
      </c>
      <c r="V1640" t="str">
        <f>IFERROR(INDEX(Products!$C:$C,MATCH(D1640,Products!$A:$A,0)),"Unknown")</f>
        <v>Handbags</v>
      </c>
      <c r="W1640" t="str">
        <f>IFERROR(INDEX(Products!$E:$E,MATCH(D1640,Products!$A:$A,0)),"Unknown")</f>
        <v>GRT Jewellers</v>
      </c>
      <c r="X1640" t="str">
        <f>IFERROR(INDEX(Stores!$B:$B,MATCH(E1640,Stores!$A:$A,0)),"Unknown")</f>
        <v>TrendMart Davanagere High Street</v>
      </c>
      <c r="Y1640" t="str">
        <f>IFERROR(INDEX(Stores!$E:$E,MATCH(E1640,Stores!$A:$A,0)),"Unknown")</f>
        <v>South Zone 2</v>
      </c>
      <c r="Z1640" t="str">
        <f>IFERROR(INDEX(Customers!$J:$J,MATCH(C1640,Customers!$A:$A,0)),"Unknown")</f>
        <v>Silver</v>
      </c>
      <c r="AA1640" t="str">
        <f t="shared" si="25"/>
        <v>2024-11</v>
      </c>
      <c r="AB1640" t="str">
        <f>IFERROR(INDEX(Products!$I:$I,MATCH(D1640,Products!$A:$A,0)),"Unknown")</f>
        <v>SUP047</v>
      </c>
    </row>
    <row r="1641" spans="1:28" x14ac:dyDescent="0.25">
      <c r="A1641" t="s">
        <v>3574</v>
      </c>
      <c r="B1641" s="20">
        <v>45478</v>
      </c>
      <c r="C1641" t="s">
        <v>332</v>
      </c>
      <c r="D1641" t="s">
        <v>1041</v>
      </c>
      <c r="E1641" t="s">
        <v>451</v>
      </c>
      <c r="F1641" t="s">
        <v>344</v>
      </c>
      <c r="G1641">
        <v>1</v>
      </c>
      <c r="H1641" s="21">
        <v>1188.22</v>
      </c>
      <c r="I1641">
        <v>15</v>
      </c>
      <c r="J1641" s="21">
        <v>178.23</v>
      </c>
      <c r="K1641">
        <v>12</v>
      </c>
      <c r="L1641" s="21">
        <v>121.2</v>
      </c>
      <c r="M1641" s="21">
        <v>1131.19</v>
      </c>
      <c r="N1641" s="21">
        <v>735.85</v>
      </c>
      <c r="O1641" s="21">
        <v>274.14</v>
      </c>
      <c r="P1641" t="s">
        <v>124</v>
      </c>
      <c r="Q1641" t="s">
        <v>122</v>
      </c>
      <c r="R1641" t="s">
        <v>151</v>
      </c>
      <c r="S1641" t="s">
        <v>2377</v>
      </c>
      <c r="T1641" t="s">
        <v>153</v>
      </c>
      <c r="U1641" t="s">
        <v>154</v>
      </c>
      <c r="V1641" t="str">
        <f>IFERROR(INDEX(Products!$C:$C,MATCH(D1641,Products!$A:$A,0)),"Unknown")</f>
        <v>Sportswear</v>
      </c>
      <c r="W1641" t="str">
        <f>IFERROR(INDEX(Products!$E:$E,MATCH(D1641,Products!$A:$A,0)),"Unknown")</f>
        <v>Blackberrys</v>
      </c>
      <c r="X1641" t="str">
        <f>IFERROR(INDEX(Stores!$B:$B,MATCH(E1641,Stores!$A:$A,0)),"Unknown")</f>
        <v>TrendMart Thoothukudi High Street</v>
      </c>
      <c r="Y1641" t="str">
        <f>IFERROR(INDEX(Stores!$E:$E,MATCH(E1641,Stores!$A:$A,0)),"Unknown")</f>
        <v>South Zone 1</v>
      </c>
      <c r="Z1641" t="str">
        <f>IFERROR(INDEX(Customers!$J:$J,MATCH(C1641,Customers!$A:$A,0)),"Unknown")</f>
        <v>Platinum</v>
      </c>
      <c r="AA1641" t="str">
        <f t="shared" si="25"/>
        <v>2024-07</v>
      </c>
      <c r="AB1641" t="str">
        <f>IFERROR(INDEX(Products!$I:$I,MATCH(D1641,Products!$A:$A,0)),"Unknown")</f>
        <v>SUP012</v>
      </c>
    </row>
    <row r="1642" spans="1:28" x14ac:dyDescent="0.25">
      <c r="A1642" t="s">
        <v>3575</v>
      </c>
      <c r="B1642" s="20">
        <v>45632</v>
      </c>
      <c r="C1642" t="s">
        <v>3576</v>
      </c>
      <c r="D1642" t="s">
        <v>1055</v>
      </c>
      <c r="E1642" t="s">
        <v>701</v>
      </c>
      <c r="F1642" t="s">
        <v>263</v>
      </c>
      <c r="G1642">
        <v>2</v>
      </c>
      <c r="H1642" s="21">
        <v>1472.74</v>
      </c>
      <c r="I1642">
        <v>20</v>
      </c>
      <c r="J1642" s="21">
        <v>589.1</v>
      </c>
      <c r="K1642">
        <v>12</v>
      </c>
      <c r="L1642" s="21">
        <v>282.77</v>
      </c>
      <c r="M1642" s="21">
        <v>2639.15</v>
      </c>
      <c r="N1642" s="21">
        <v>2232.66</v>
      </c>
      <c r="O1642" s="21">
        <v>123.72</v>
      </c>
      <c r="P1642" t="s">
        <v>124</v>
      </c>
      <c r="Q1642" t="s">
        <v>122</v>
      </c>
      <c r="R1642" t="s">
        <v>151</v>
      </c>
      <c r="S1642" t="s">
        <v>643</v>
      </c>
      <c r="T1642" t="s">
        <v>153</v>
      </c>
      <c r="U1642" t="s">
        <v>154</v>
      </c>
      <c r="V1642" t="str">
        <f>IFERROR(INDEX(Products!$C:$C,MATCH(D1642,Products!$A:$A,0)),"Unknown")</f>
        <v>Wallets</v>
      </c>
      <c r="W1642" t="str">
        <f>IFERROR(INDEX(Products!$E:$E,MATCH(D1642,Products!$A:$A,0)),"Unknown")</f>
        <v>Nalli Silks</v>
      </c>
      <c r="X1642" t="str">
        <f>IFERROR(INDEX(Stores!$B:$B,MATCH(E1642,Stores!$A:$A,0)),"Unknown")</f>
        <v>TrendMart Vijayawada Mall Kiosk</v>
      </c>
      <c r="Y1642" t="str">
        <f>IFERROR(INDEX(Stores!$E:$E,MATCH(E1642,Stores!$A:$A,0)),"Unknown")</f>
        <v>South Zone 3</v>
      </c>
      <c r="Z1642" t="str">
        <f>IFERROR(INDEX(Customers!$J:$J,MATCH(C1642,Customers!$A:$A,0)),"Unknown")</f>
        <v>Gold</v>
      </c>
      <c r="AA1642" t="str">
        <f t="shared" si="25"/>
        <v>2024-12</v>
      </c>
      <c r="AB1642" t="str">
        <f>IFERROR(INDEX(Products!$I:$I,MATCH(D1642,Products!$A:$A,0)),"Unknown")</f>
        <v>SUP016</v>
      </c>
    </row>
    <row r="1643" spans="1:28" x14ac:dyDescent="0.25">
      <c r="A1643" t="s">
        <v>3577</v>
      </c>
      <c r="B1643" s="20">
        <v>45508</v>
      </c>
      <c r="C1643" t="s">
        <v>2399</v>
      </c>
      <c r="D1643" t="s">
        <v>573</v>
      </c>
      <c r="E1643" t="s">
        <v>456</v>
      </c>
      <c r="F1643" t="s">
        <v>335</v>
      </c>
      <c r="G1643">
        <v>1</v>
      </c>
      <c r="H1643" s="21">
        <v>1172.44</v>
      </c>
      <c r="I1643">
        <v>20</v>
      </c>
      <c r="J1643" s="21">
        <v>234.49</v>
      </c>
      <c r="K1643">
        <v>12</v>
      </c>
      <c r="L1643" s="21">
        <v>112.55</v>
      </c>
      <c r="M1643" s="21">
        <v>1050.5</v>
      </c>
      <c r="N1643" s="21">
        <v>720.53</v>
      </c>
      <c r="O1643" s="21">
        <v>217.42</v>
      </c>
      <c r="P1643" t="s">
        <v>127</v>
      </c>
      <c r="Q1643" t="s">
        <v>120</v>
      </c>
      <c r="R1643" t="s">
        <v>151</v>
      </c>
      <c r="S1643" t="s">
        <v>3148</v>
      </c>
      <c r="T1643" t="s">
        <v>161</v>
      </c>
      <c r="U1643" t="s">
        <v>154</v>
      </c>
      <c r="V1643" t="str">
        <f>IFERROR(INDEX(Products!$C:$C,MATCH(D1643,Products!$A:$A,0)),"Unknown")</f>
        <v>Women Jeans</v>
      </c>
      <c r="W1643" t="str">
        <f>IFERROR(INDEX(Products!$E:$E,MATCH(D1643,Products!$A:$A,0)),"Unknown")</f>
        <v>Sonata</v>
      </c>
      <c r="X1643" t="str">
        <f>IFERROR(INDEX(Stores!$B:$B,MATCH(E1643,Stores!$A:$A,0)),"Unknown")</f>
        <v>TrendMart Salem Outlet</v>
      </c>
      <c r="Y1643" t="str">
        <f>IFERROR(INDEX(Stores!$E:$E,MATCH(E1643,Stores!$A:$A,0)),"Unknown")</f>
        <v>South Zone 1</v>
      </c>
      <c r="Z1643" t="str">
        <f>IFERROR(INDEX(Customers!$J:$J,MATCH(C1643,Customers!$A:$A,0)),"Unknown")</f>
        <v>Gold</v>
      </c>
      <c r="AA1643" t="str">
        <f t="shared" si="25"/>
        <v>2024-08</v>
      </c>
      <c r="AB1643" t="str">
        <f>IFERROR(INDEX(Products!$I:$I,MATCH(D1643,Products!$A:$A,0)),"Unknown")</f>
        <v>SUP017</v>
      </c>
    </row>
    <row r="1644" spans="1:28" x14ac:dyDescent="0.25">
      <c r="A1644" t="s">
        <v>3578</v>
      </c>
      <c r="B1644" s="20">
        <v>45415</v>
      </c>
      <c r="C1644" t="s">
        <v>1116</v>
      </c>
      <c r="D1644" t="s">
        <v>381</v>
      </c>
      <c r="E1644" t="s">
        <v>506</v>
      </c>
      <c r="F1644" t="s">
        <v>275</v>
      </c>
      <c r="G1644">
        <v>2</v>
      </c>
      <c r="H1644" s="21">
        <v>734.1</v>
      </c>
      <c r="I1644">
        <v>30</v>
      </c>
      <c r="J1644" s="21">
        <v>440.46</v>
      </c>
      <c r="K1644">
        <v>5</v>
      </c>
      <c r="L1644" s="21">
        <v>51.39</v>
      </c>
      <c r="M1644" s="21">
        <v>1079.1300000000001</v>
      </c>
      <c r="N1644" s="21">
        <v>1027.68</v>
      </c>
      <c r="O1644" s="21">
        <v>0.06</v>
      </c>
      <c r="P1644" t="s">
        <v>121</v>
      </c>
      <c r="Q1644" t="s">
        <v>122</v>
      </c>
      <c r="R1644" t="s">
        <v>151</v>
      </c>
      <c r="S1644" t="s">
        <v>3289</v>
      </c>
      <c r="T1644" t="s">
        <v>153</v>
      </c>
      <c r="U1644" t="s">
        <v>154</v>
      </c>
      <c r="V1644" t="str">
        <f>IFERROR(INDEX(Products!$C:$C,MATCH(D1644,Products!$A:$A,0)),"Unknown")</f>
        <v>Wallets</v>
      </c>
      <c r="W1644" t="str">
        <f>IFERROR(INDEX(Products!$E:$E,MATCH(D1644,Products!$A:$A,0)),"Unknown")</f>
        <v>Tanishq</v>
      </c>
      <c r="X1644" t="str">
        <f>IFERROR(INDEX(Stores!$B:$B,MATCH(E1644,Stores!$A:$A,0)),"Unknown")</f>
        <v>TrendMart Nellore High Street</v>
      </c>
      <c r="Y1644" t="str">
        <f>IFERROR(INDEX(Stores!$E:$E,MATCH(E1644,Stores!$A:$A,0)),"Unknown")</f>
        <v>South Zone 3</v>
      </c>
      <c r="Z1644" t="str">
        <f>IFERROR(INDEX(Customers!$J:$J,MATCH(C1644,Customers!$A:$A,0)),"Unknown")</f>
        <v>Silver</v>
      </c>
      <c r="AA1644" t="str">
        <f t="shared" si="25"/>
        <v>2024-05</v>
      </c>
      <c r="AB1644" t="str">
        <f>IFERROR(INDEX(Products!$I:$I,MATCH(D1644,Products!$A:$A,0)),"Unknown")</f>
        <v>SUP007</v>
      </c>
    </row>
    <row r="1645" spans="1:28" x14ac:dyDescent="0.25">
      <c r="A1645" t="s">
        <v>3579</v>
      </c>
      <c r="B1645" s="20">
        <v>45542</v>
      </c>
      <c r="C1645" t="s">
        <v>3580</v>
      </c>
      <c r="D1645" t="s">
        <v>1140</v>
      </c>
      <c r="E1645" t="s">
        <v>1325</v>
      </c>
      <c r="F1645" t="s">
        <v>618</v>
      </c>
      <c r="G1645">
        <v>1</v>
      </c>
      <c r="H1645" s="21">
        <v>1536.35</v>
      </c>
      <c r="I1645">
        <v>20</v>
      </c>
      <c r="J1645" s="21">
        <v>307.27</v>
      </c>
      <c r="K1645">
        <v>12</v>
      </c>
      <c r="L1645" s="21">
        <v>147.49</v>
      </c>
      <c r="M1645" s="21">
        <v>1376.57</v>
      </c>
      <c r="N1645" s="21">
        <v>894.68</v>
      </c>
      <c r="O1645" s="21">
        <v>334.4</v>
      </c>
      <c r="P1645" t="s">
        <v>126</v>
      </c>
      <c r="Q1645" t="s">
        <v>120</v>
      </c>
      <c r="R1645" t="s">
        <v>151</v>
      </c>
      <c r="S1645" t="s">
        <v>835</v>
      </c>
      <c r="T1645" t="s">
        <v>161</v>
      </c>
      <c r="U1645" t="s">
        <v>154</v>
      </c>
      <c r="V1645" t="str">
        <f>IFERROR(INDEX(Products!$C:$C,MATCH(D1645,Products!$A:$A,0)),"Unknown")</f>
        <v>Sportswear</v>
      </c>
      <c r="W1645" t="str">
        <f>IFERROR(INDEX(Products!$E:$E,MATCH(D1645,Products!$A:$A,0)),"Unknown")</f>
        <v>Bata</v>
      </c>
      <c r="X1645" t="str">
        <f>IFERROR(INDEX(Stores!$B:$B,MATCH(E1645,Stores!$A:$A,0)),"Unknown")</f>
        <v>TrendMart Thrissur Standard</v>
      </c>
      <c r="Y1645" t="str">
        <f>IFERROR(INDEX(Stores!$E:$E,MATCH(E1645,Stores!$A:$A,0)),"Unknown")</f>
        <v>South Zone 1</v>
      </c>
      <c r="Z1645" t="str">
        <f>IFERROR(INDEX(Customers!$J:$J,MATCH(C1645,Customers!$A:$A,0)),"Unknown")</f>
        <v>Silver</v>
      </c>
      <c r="AA1645" t="str">
        <f t="shared" si="25"/>
        <v>2024-09</v>
      </c>
      <c r="AB1645" t="str">
        <f>IFERROR(INDEX(Products!$I:$I,MATCH(D1645,Products!$A:$A,0)),"Unknown")</f>
        <v>SUP065</v>
      </c>
    </row>
    <row r="1646" spans="1:28" x14ac:dyDescent="0.25">
      <c r="A1646" t="s">
        <v>3581</v>
      </c>
      <c r="B1646" s="20">
        <v>45596</v>
      </c>
      <c r="C1646" t="s">
        <v>3061</v>
      </c>
      <c r="D1646" t="s">
        <v>717</v>
      </c>
      <c r="E1646" t="s">
        <v>823</v>
      </c>
      <c r="F1646" t="s">
        <v>377</v>
      </c>
      <c r="G1646">
        <v>1</v>
      </c>
      <c r="H1646" s="21">
        <v>1629.46</v>
      </c>
      <c r="I1646">
        <v>10</v>
      </c>
      <c r="J1646" s="21">
        <v>162.94999999999999</v>
      </c>
      <c r="K1646">
        <v>12</v>
      </c>
      <c r="L1646" s="21">
        <v>175.98</v>
      </c>
      <c r="M1646" s="21">
        <v>1642.49</v>
      </c>
      <c r="N1646" s="21">
        <v>1133.27</v>
      </c>
      <c r="O1646" s="21">
        <v>333.24</v>
      </c>
      <c r="P1646" t="s">
        <v>121</v>
      </c>
      <c r="Q1646" t="s">
        <v>120</v>
      </c>
      <c r="R1646" t="s">
        <v>151</v>
      </c>
      <c r="S1646" t="s">
        <v>2660</v>
      </c>
      <c r="T1646" t="s">
        <v>153</v>
      </c>
      <c r="U1646" t="s">
        <v>154</v>
      </c>
      <c r="V1646" t="str">
        <f>IFERROR(INDEX(Products!$C:$C,MATCH(D1646,Products!$A:$A,0)),"Unknown")</f>
        <v>Women Dresses</v>
      </c>
      <c r="W1646" t="str">
        <f>IFERROR(INDEX(Products!$E:$E,MATCH(D1646,Products!$A:$A,0)),"Unknown")</f>
        <v>Pantaloons</v>
      </c>
      <c r="X1646" t="str">
        <f>IFERROR(INDEX(Stores!$B:$B,MATCH(E1646,Stores!$A:$A,0)),"Unknown")</f>
        <v>TrendMart Thoothukudi Mall Kiosk</v>
      </c>
      <c r="Y1646" t="str">
        <f>IFERROR(INDEX(Stores!$E:$E,MATCH(E1646,Stores!$A:$A,0)),"Unknown")</f>
        <v>South Zone 1</v>
      </c>
      <c r="Z1646" t="str">
        <f>IFERROR(INDEX(Customers!$J:$J,MATCH(C1646,Customers!$A:$A,0)),"Unknown")</f>
        <v>Regular</v>
      </c>
      <c r="AA1646" t="str">
        <f t="shared" si="25"/>
        <v>2024-10</v>
      </c>
      <c r="AB1646" t="str">
        <f>IFERROR(INDEX(Products!$I:$I,MATCH(D1646,Products!$A:$A,0)),"Unknown")</f>
        <v>SUP046</v>
      </c>
    </row>
    <row r="1647" spans="1:28" x14ac:dyDescent="0.25">
      <c r="A1647" t="s">
        <v>3582</v>
      </c>
      <c r="B1647" s="20">
        <v>45488</v>
      </c>
      <c r="C1647" t="s">
        <v>2086</v>
      </c>
      <c r="D1647" t="s">
        <v>868</v>
      </c>
      <c r="E1647" t="s">
        <v>88</v>
      </c>
      <c r="F1647" t="s">
        <v>292</v>
      </c>
      <c r="G1647">
        <v>1</v>
      </c>
      <c r="H1647" s="21">
        <v>1278.82</v>
      </c>
      <c r="I1647">
        <v>20</v>
      </c>
      <c r="J1647" s="21">
        <v>255.76</v>
      </c>
      <c r="K1647">
        <v>12</v>
      </c>
      <c r="L1647" s="21">
        <v>122.77</v>
      </c>
      <c r="M1647" s="21">
        <v>1145.83</v>
      </c>
      <c r="N1647" s="21">
        <v>1015.72</v>
      </c>
      <c r="O1647" s="21">
        <v>7.34</v>
      </c>
      <c r="P1647" t="s">
        <v>121</v>
      </c>
      <c r="Q1647" t="s">
        <v>122</v>
      </c>
      <c r="R1647" t="s">
        <v>151</v>
      </c>
      <c r="S1647" t="s">
        <v>2714</v>
      </c>
      <c r="T1647" t="s">
        <v>153</v>
      </c>
      <c r="U1647" t="s">
        <v>154</v>
      </c>
      <c r="V1647" t="str">
        <f>IFERROR(INDEX(Products!$C:$C,MATCH(D1647,Products!$A:$A,0)),"Unknown")</f>
        <v>Winter Wear</v>
      </c>
      <c r="W1647" t="str">
        <f>IFERROR(INDEX(Products!$E:$E,MATCH(D1647,Products!$A:$A,0)),"Unknown")</f>
        <v>Liberty</v>
      </c>
      <c r="X1647" t="str">
        <f>IFERROR(INDEX(Stores!$B:$B,MATCH(E1647,Stores!$A:$A,0)),"Unknown")</f>
        <v>TrendMart Kozhikode Mall Kiosk</v>
      </c>
      <c r="Y1647" t="str">
        <f>IFERROR(INDEX(Stores!$E:$E,MATCH(E1647,Stores!$A:$A,0)),"Unknown")</f>
        <v>South Zone 1</v>
      </c>
      <c r="Z1647" t="str">
        <f>IFERROR(INDEX(Customers!$J:$J,MATCH(C1647,Customers!$A:$A,0)),"Unknown")</f>
        <v>Regular</v>
      </c>
      <c r="AA1647" t="str">
        <f t="shared" si="25"/>
        <v>2024-07</v>
      </c>
      <c r="AB1647" t="str">
        <f>IFERROR(INDEX(Products!$I:$I,MATCH(D1647,Products!$A:$A,0)),"Unknown")</f>
        <v>SUP012</v>
      </c>
    </row>
    <row r="1648" spans="1:28" x14ac:dyDescent="0.25">
      <c r="A1648" t="s">
        <v>3583</v>
      </c>
      <c r="B1648" s="20">
        <v>45693</v>
      </c>
      <c r="C1648" t="s">
        <v>2086</v>
      </c>
      <c r="D1648" t="s">
        <v>1044</v>
      </c>
      <c r="E1648" t="s">
        <v>81</v>
      </c>
      <c r="F1648" t="s">
        <v>434</v>
      </c>
      <c r="G1648">
        <v>4</v>
      </c>
      <c r="H1648" s="21">
        <v>588.74</v>
      </c>
      <c r="I1648">
        <v>25</v>
      </c>
      <c r="J1648" s="21">
        <v>588.74</v>
      </c>
      <c r="K1648">
        <v>5</v>
      </c>
      <c r="L1648" s="21">
        <v>88.31</v>
      </c>
      <c r="M1648" s="21">
        <v>1854.53</v>
      </c>
      <c r="N1648" s="21">
        <v>1340.6</v>
      </c>
      <c r="O1648" s="21">
        <v>425.62</v>
      </c>
      <c r="P1648" t="s">
        <v>125</v>
      </c>
      <c r="Q1648" t="s">
        <v>122</v>
      </c>
      <c r="R1648" t="s">
        <v>151</v>
      </c>
      <c r="S1648" t="s">
        <v>911</v>
      </c>
      <c r="T1648" t="s">
        <v>153</v>
      </c>
      <c r="U1648" t="s">
        <v>154</v>
      </c>
      <c r="V1648" t="str">
        <f>IFERROR(INDEX(Products!$C:$C,MATCH(D1648,Products!$A:$A,0)),"Unknown")</f>
        <v>Men T-Shirts</v>
      </c>
      <c r="W1648" t="str">
        <f>IFERROR(INDEX(Products!$E:$E,MATCH(D1648,Products!$A:$A,0)),"Unknown")</f>
        <v>Mufti</v>
      </c>
      <c r="X1648" t="str">
        <f>IFERROR(INDEX(Stores!$B:$B,MATCH(E1648,Stores!$A:$A,0)),"Unknown")</f>
        <v>TrendMart Vijayawada High Street</v>
      </c>
      <c r="Y1648" t="str">
        <f>IFERROR(INDEX(Stores!$E:$E,MATCH(E1648,Stores!$A:$A,0)),"Unknown")</f>
        <v>South Zone 3</v>
      </c>
      <c r="Z1648" t="str">
        <f>IFERROR(INDEX(Customers!$J:$J,MATCH(C1648,Customers!$A:$A,0)),"Unknown")</f>
        <v>Regular</v>
      </c>
      <c r="AA1648" t="str">
        <f t="shared" si="25"/>
        <v>2025-02</v>
      </c>
      <c r="AB1648" t="str">
        <f>IFERROR(INDEX(Products!$I:$I,MATCH(D1648,Products!$A:$A,0)),"Unknown")</f>
        <v>SUP042</v>
      </c>
    </row>
    <row r="1649" spans="1:28" x14ac:dyDescent="0.25">
      <c r="A1649" t="s">
        <v>3584</v>
      </c>
      <c r="B1649" s="20">
        <v>45597</v>
      </c>
      <c r="C1649" t="s">
        <v>1097</v>
      </c>
      <c r="D1649" t="s">
        <v>1312</v>
      </c>
      <c r="E1649" t="s">
        <v>506</v>
      </c>
      <c r="F1649" t="s">
        <v>377</v>
      </c>
      <c r="G1649">
        <v>1</v>
      </c>
      <c r="H1649" s="21">
        <v>1000.5</v>
      </c>
      <c r="I1649">
        <v>10</v>
      </c>
      <c r="J1649" s="21">
        <v>100.05</v>
      </c>
      <c r="K1649">
        <v>12</v>
      </c>
      <c r="L1649" s="21">
        <v>108.05</v>
      </c>
      <c r="M1649" s="21">
        <v>1008.5</v>
      </c>
      <c r="N1649" s="21">
        <v>767.11</v>
      </c>
      <c r="O1649" s="21">
        <v>133.34</v>
      </c>
      <c r="P1649" t="s">
        <v>121</v>
      </c>
      <c r="Q1649" t="s">
        <v>120</v>
      </c>
      <c r="R1649" t="s">
        <v>151</v>
      </c>
      <c r="S1649" t="s">
        <v>2108</v>
      </c>
      <c r="T1649" t="s">
        <v>153</v>
      </c>
      <c r="U1649" t="s">
        <v>154</v>
      </c>
      <c r="V1649" t="str">
        <f>IFERROR(INDEX(Products!$C:$C,MATCH(D1649,Products!$A:$A,0)),"Unknown")</f>
        <v>Women Kurtis</v>
      </c>
      <c r="W1649" t="str">
        <f>IFERROR(INDEX(Products!$E:$E,MATCH(D1649,Products!$A:$A,0)),"Unknown")</f>
        <v>Louis Philippe</v>
      </c>
      <c r="X1649" t="str">
        <f>IFERROR(INDEX(Stores!$B:$B,MATCH(E1649,Stores!$A:$A,0)),"Unknown")</f>
        <v>TrendMart Nellore High Street</v>
      </c>
      <c r="Y1649" t="str">
        <f>IFERROR(INDEX(Stores!$E:$E,MATCH(E1649,Stores!$A:$A,0)),"Unknown")</f>
        <v>South Zone 3</v>
      </c>
      <c r="Z1649" t="str">
        <f>IFERROR(INDEX(Customers!$J:$J,MATCH(C1649,Customers!$A:$A,0)),"Unknown")</f>
        <v>Regular</v>
      </c>
      <c r="AA1649" t="str">
        <f t="shared" si="25"/>
        <v>2024-11</v>
      </c>
      <c r="AB1649" t="str">
        <f>IFERROR(INDEX(Products!$I:$I,MATCH(D1649,Products!$A:$A,0)),"Unknown")</f>
        <v>SUP010</v>
      </c>
    </row>
    <row r="1650" spans="1:28" x14ac:dyDescent="0.25">
      <c r="A1650" t="s">
        <v>3585</v>
      </c>
      <c r="B1650" s="20">
        <v>45447</v>
      </c>
      <c r="C1650" t="s">
        <v>1380</v>
      </c>
      <c r="D1650" t="s">
        <v>169</v>
      </c>
      <c r="E1650" t="s">
        <v>84</v>
      </c>
      <c r="F1650" t="s">
        <v>195</v>
      </c>
      <c r="G1650">
        <v>1</v>
      </c>
      <c r="H1650" s="21">
        <v>4803.16</v>
      </c>
      <c r="I1650">
        <v>10</v>
      </c>
      <c r="J1650" s="21">
        <v>480.32</v>
      </c>
      <c r="K1650">
        <v>12</v>
      </c>
      <c r="L1650" s="21">
        <v>518.74</v>
      </c>
      <c r="M1650" s="21">
        <v>4841.58</v>
      </c>
      <c r="N1650" s="21">
        <v>3370.8</v>
      </c>
      <c r="O1650" s="21">
        <v>952.04</v>
      </c>
      <c r="P1650" t="s">
        <v>124</v>
      </c>
      <c r="Q1650" t="s">
        <v>120</v>
      </c>
      <c r="R1650" t="s">
        <v>151</v>
      </c>
      <c r="S1650" t="s">
        <v>3148</v>
      </c>
      <c r="T1650" t="s">
        <v>153</v>
      </c>
      <c r="U1650" t="s">
        <v>154</v>
      </c>
      <c r="V1650" t="str">
        <f>IFERROR(INDEX(Products!$C:$C,MATCH(D1650,Products!$A:$A,0)),"Unknown")</f>
        <v>Women Sarees</v>
      </c>
      <c r="W1650" t="str">
        <f>IFERROR(INDEX(Products!$E:$E,MATCH(D1650,Products!$A:$A,0)),"Unknown")</f>
        <v>Max Fashion</v>
      </c>
      <c r="X1650" t="str">
        <f>IFERROR(INDEX(Stores!$B:$B,MATCH(E1650,Stores!$A:$A,0)),"Unknown")</f>
        <v>TrendMart Tirupati Standard</v>
      </c>
      <c r="Y1650" t="str">
        <f>IFERROR(INDEX(Stores!$E:$E,MATCH(E1650,Stores!$A:$A,0)),"Unknown")</f>
        <v>South Zone 3</v>
      </c>
      <c r="Z1650" t="str">
        <f>IFERROR(INDEX(Customers!$J:$J,MATCH(C1650,Customers!$A:$A,0)),"Unknown")</f>
        <v>Silver</v>
      </c>
      <c r="AA1650" t="str">
        <f t="shared" si="25"/>
        <v>2024-06</v>
      </c>
      <c r="AB1650" t="str">
        <f>IFERROR(INDEX(Products!$I:$I,MATCH(D1650,Products!$A:$A,0)),"Unknown")</f>
        <v>SUP084</v>
      </c>
    </row>
    <row r="1651" spans="1:28" x14ac:dyDescent="0.25">
      <c r="A1651" t="s">
        <v>3586</v>
      </c>
      <c r="B1651" s="20">
        <v>45747</v>
      </c>
      <c r="C1651" t="s">
        <v>3587</v>
      </c>
      <c r="D1651" t="s">
        <v>888</v>
      </c>
      <c r="E1651" t="s">
        <v>252</v>
      </c>
      <c r="F1651" t="s">
        <v>182</v>
      </c>
      <c r="G1651">
        <v>2</v>
      </c>
      <c r="H1651" s="21">
        <v>6320.44</v>
      </c>
      <c r="I1651">
        <v>10</v>
      </c>
      <c r="J1651" s="21">
        <v>1264.0899999999999</v>
      </c>
      <c r="K1651">
        <v>3</v>
      </c>
      <c r="L1651" s="21">
        <v>341.3</v>
      </c>
      <c r="M1651" s="21">
        <v>11718.09</v>
      </c>
      <c r="N1651" s="21">
        <v>9525.52</v>
      </c>
      <c r="O1651" s="21">
        <v>1851.27</v>
      </c>
      <c r="P1651" t="s">
        <v>124</v>
      </c>
      <c r="Q1651" t="s">
        <v>120</v>
      </c>
      <c r="R1651" t="s">
        <v>151</v>
      </c>
      <c r="S1651" t="s">
        <v>580</v>
      </c>
      <c r="T1651" t="s">
        <v>153</v>
      </c>
      <c r="U1651" t="s">
        <v>154</v>
      </c>
      <c r="V1651" t="str">
        <f>IFERROR(INDEX(Products!$C:$C,MATCH(D1651,Products!$A:$A,0)),"Unknown")</f>
        <v>Jewellery</v>
      </c>
      <c r="W1651" t="str">
        <f>IFERROR(INDEX(Products!$E:$E,MATCH(D1651,Products!$A:$A,0)),"Unknown")</f>
        <v>Aurelia</v>
      </c>
      <c r="X1651" t="str">
        <f>IFERROR(INDEX(Stores!$B:$B,MATCH(E1651,Stores!$A:$A,0)),"Unknown")</f>
        <v>TrendMart Nellore Standard</v>
      </c>
      <c r="Y1651" t="str">
        <f>IFERROR(INDEX(Stores!$E:$E,MATCH(E1651,Stores!$A:$A,0)),"Unknown")</f>
        <v>South Zone 3</v>
      </c>
      <c r="Z1651" t="str">
        <f>IFERROR(INDEX(Customers!$J:$J,MATCH(C1651,Customers!$A:$A,0)),"Unknown")</f>
        <v>Silver</v>
      </c>
      <c r="AA1651" t="str">
        <f t="shared" si="25"/>
        <v>2025-03</v>
      </c>
      <c r="AB1651" t="str">
        <f>IFERROR(INDEX(Products!$I:$I,MATCH(D1651,Products!$A:$A,0)),"Unknown")</f>
        <v>SUP038</v>
      </c>
    </row>
    <row r="1652" spans="1:28" x14ac:dyDescent="0.25">
      <c r="A1652" t="s">
        <v>3588</v>
      </c>
      <c r="B1652" s="20">
        <v>45699</v>
      </c>
      <c r="C1652" t="s">
        <v>826</v>
      </c>
      <c r="D1652" t="s">
        <v>558</v>
      </c>
      <c r="E1652" t="s">
        <v>1512</v>
      </c>
      <c r="F1652" t="s">
        <v>258</v>
      </c>
      <c r="G1652">
        <v>4</v>
      </c>
      <c r="H1652" s="21">
        <v>616.61</v>
      </c>
      <c r="I1652">
        <v>5</v>
      </c>
      <c r="J1652" s="21">
        <v>123.32</v>
      </c>
      <c r="K1652">
        <v>5</v>
      </c>
      <c r="L1652" s="21">
        <v>117.16</v>
      </c>
      <c r="M1652" s="21">
        <v>2460.2800000000002</v>
      </c>
      <c r="N1652" s="21">
        <v>1828.64</v>
      </c>
      <c r="O1652" s="21">
        <v>514.48</v>
      </c>
      <c r="P1652" t="s">
        <v>123</v>
      </c>
      <c r="Q1652" t="s">
        <v>120</v>
      </c>
      <c r="R1652" t="s">
        <v>151</v>
      </c>
      <c r="S1652" t="s">
        <v>753</v>
      </c>
      <c r="T1652" t="s">
        <v>153</v>
      </c>
      <c r="U1652" t="s">
        <v>154</v>
      </c>
      <c r="V1652" t="str">
        <f>IFERROR(INDEX(Products!$C:$C,MATCH(D1652,Products!$A:$A,0)),"Unknown")</f>
        <v>Women Tops</v>
      </c>
      <c r="W1652" t="str">
        <f>IFERROR(INDEX(Products!$E:$E,MATCH(D1652,Products!$A:$A,0)),"Unknown")</f>
        <v>Aurelia</v>
      </c>
      <c r="X1652" t="str">
        <f>IFERROR(INDEX(Stores!$B:$B,MATCH(E1652,Stores!$A:$A,0)),"Unknown")</f>
        <v>TrendMart Erode Mall Kiosk</v>
      </c>
      <c r="Y1652" t="str">
        <f>IFERROR(INDEX(Stores!$E:$E,MATCH(E1652,Stores!$A:$A,0)),"Unknown")</f>
        <v>South Zone 1</v>
      </c>
      <c r="Z1652" t="str">
        <f>IFERROR(INDEX(Customers!$J:$J,MATCH(C1652,Customers!$A:$A,0)),"Unknown")</f>
        <v>Platinum</v>
      </c>
      <c r="AA1652" t="str">
        <f t="shared" si="25"/>
        <v>2025-02</v>
      </c>
      <c r="AB1652" t="str">
        <f>IFERROR(INDEX(Products!$I:$I,MATCH(D1652,Products!$A:$A,0)),"Unknown")</f>
        <v>SUP055</v>
      </c>
    </row>
    <row r="1653" spans="1:28" x14ac:dyDescent="0.25">
      <c r="A1653" t="s">
        <v>3589</v>
      </c>
      <c r="B1653" s="20">
        <v>45567</v>
      </c>
      <c r="C1653" t="s">
        <v>2846</v>
      </c>
      <c r="D1653" t="s">
        <v>545</v>
      </c>
      <c r="E1653" t="s">
        <v>588</v>
      </c>
      <c r="F1653" t="s">
        <v>574</v>
      </c>
      <c r="G1653">
        <v>2</v>
      </c>
      <c r="H1653" s="21">
        <v>1302.18</v>
      </c>
      <c r="I1653">
        <v>30</v>
      </c>
      <c r="J1653" s="21">
        <v>781.31</v>
      </c>
      <c r="K1653">
        <v>12</v>
      </c>
      <c r="L1653" s="21">
        <v>218.77</v>
      </c>
      <c r="M1653" s="21">
        <v>2041.82</v>
      </c>
      <c r="N1653" s="21">
        <v>1669.92</v>
      </c>
      <c r="O1653" s="21">
        <v>153.13</v>
      </c>
      <c r="P1653" t="s">
        <v>126</v>
      </c>
      <c r="Q1653" t="s">
        <v>120</v>
      </c>
      <c r="R1653" t="s">
        <v>151</v>
      </c>
      <c r="S1653" t="s">
        <v>1614</v>
      </c>
      <c r="T1653" t="s">
        <v>153</v>
      </c>
      <c r="U1653" t="s">
        <v>154</v>
      </c>
      <c r="V1653" t="str">
        <f>IFERROR(INDEX(Products!$C:$C,MATCH(D1653,Products!$A:$A,0)),"Unknown")</f>
        <v>Women Jeans</v>
      </c>
      <c r="W1653" t="str">
        <f>IFERROR(INDEX(Products!$E:$E,MATCH(D1653,Products!$A:$A,0)),"Unknown")</f>
        <v>US Polo Assn</v>
      </c>
      <c r="X1653" t="str">
        <f>IFERROR(INDEX(Stores!$B:$B,MATCH(E1653,Stores!$A:$A,0)),"Unknown")</f>
        <v>TrendMart Nizamabad Standard</v>
      </c>
      <c r="Y1653" t="str">
        <f>IFERROR(INDEX(Stores!$E:$E,MATCH(E1653,Stores!$A:$A,0)),"Unknown")</f>
        <v>South Zone 2</v>
      </c>
      <c r="Z1653" t="str">
        <f>IFERROR(INDEX(Customers!$J:$J,MATCH(C1653,Customers!$A:$A,0)),"Unknown")</f>
        <v>Gold</v>
      </c>
      <c r="AA1653" t="str">
        <f t="shared" si="25"/>
        <v>2024-10</v>
      </c>
      <c r="AB1653" t="str">
        <f>IFERROR(INDEX(Products!$I:$I,MATCH(D1653,Products!$A:$A,0)),"Unknown")</f>
        <v>SUP041</v>
      </c>
    </row>
    <row r="1654" spans="1:28" x14ac:dyDescent="0.25">
      <c r="A1654" t="s">
        <v>3590</v>
      </c>
      <c r="B1654" s="20">
        <v>45572</v>
      </c>
      <c r="C1654" t="s">
        <v>473</v>
      </c>
      <c r="D1654" t="s">
        <v>2039</v>
      </c>
      <c r="E1654" t="s">
        <v>425</v>
      </c>
      <c r="F1654" t="s">
        <v>176</v>
      </c>
      <c r="G1654">
        <v>4</v>
      </c>
      <c r="H1654" s="21">
        <v>3041.53</v>
      </c>
      <c r="I1654">
        <v>0</v>
      </c>
      <c r="J1654" s="21">
        <v>0</v>
      </c>
      <c r="K1654">
        <v>12</v>
      </c>
      <c r="L1654" s="21">
        <v>1459.93</v>
      </c>
      <c r="M1654" s="21">
        <v>13626.05</v>
      </c>
      <c r="N1654" s="21">
        <v>8315.68</v>
      </c>
      <c r="O1654" s="21">
        <v>3850.44</v>
      </c>
      <c r="P1654" t="s">
        <v>125</v>
      </c>
      <c r="Q1654" t="s">
        <v>120</v>
      </c>
      <c r="R1654" t="s">
        <v>151</v>
      </c>
      <c r="S1654" t="s">
        <v>3439</v>
      </c>
      <c r="T1654" t="s">
        <v>153</v>
      </c>
      <c r="U1654" t="s">
        <v>154</v>
      </c>
      <c r="V1654" t="str">
        <f>IFERROR(INDEX(Products!$C:$C,MATCH(D1654,Products!$A:$A,0)),"Unknown")</f>
        <v>Women Sarees</v>
      </c>
      <c r="W1654" t="str">
        <f>IFERROR(INDEX(Products!$E:$E,MATCH(D1654,Products!$A:$A,0)),"Unknown")</f>
        <v>Arrow</v>
      </c>
      <c r="X1654" t="str">
        <f>IFERROR(INDEX(Stores!$B:$B,MATCH(E1654,Stores!$A:$A,0)),"Unknown")</f>
        <v>TrendMart Kozhikode Outlet</v>
      </c>
      <c r="Y1654" t="str">
        <f>IFERROR(INDEX(Stores!$E:$E,MATCH(E1654,Stores!$A:$A,0)),"Unknown")</f>
        <v>South Zone 1</v>
      </c>
      <c r="Z1654" t="str">
        <f>IFERROR(INDEX(Customers!$J:$J,MATCH(C1654,Customers!$A:$A,0)),"Unknown")</f>
        <v>Regular</v>
      </c>
      <c r="AA1654" t="str">
        <f t="shared" si="25"/>
        <v>2024-10</v>
      </c>
      <c r="AB1654" t="str">
        <f>IFERROR(INDEX(Products!$I:$I,MATCH(D1654,Products!$A:$A,0)),"Unknown")</f>
        <v>SUP087</v>
      </c>
    </row>
    <row r="1655" spans="1:28" x14ac:dyDescent="0.25">
      <c r="A1655" t="s">
        <v>3591</v>
      </c>
      <c r="B1655" s="20">
        <v>45416</v>
      </c>
      <c r="C1655" t="s">
        <v>3248</v>
      </c>
      <c r="D1655" t="s">
        <v>595</v>
      </c>
      <c r="E1655" t="s">
        <v>848</v>
      </c>
      <c r="F1655" t="s">
        <v>532</v>
      </c>
      <c r="G1655">
        <v>3</v>
      </c>
      <c r="H1655" s="21">
        <v>989.96</v>
      </c>
      <c r="I1655">
        <v>20</v>
      </c>
      <c r="J1655" s="21">
        <v>593.98</v>
      </c>
      <c r="K1655">
        <v>5</v>
      </c>
      <c r="L1655" s="21">
        <v>118.8</v>
      </c>
      <c r="M1655" s="21">
        <v>2494.6999999999998</v>
      </c>
      <c r="N1655" s="21">
        <v>1771.44</v>
      </c>
      <c r="O1655" s="21">
        <v>604.46</v>
      </c>
      <c r="P1655" t="s">
        <v>123</v>
      </c>
      <c r="Q1655" t="s">
        <v>120</v>
      </c>
      <c r="R1655" t="s">
        <v>151</v>
      </c>
      <c r="S1655" t="s">
        <v>753</v>
      </c>
      <c r="T1655" t="s">
        <v>161</v>
      </c>
      <c r="U1655" t="s">
        <v>154</v>
      </c>
      <c r="V1655" t="str">
        <f>IFERROR(INDEX(Products!$C:$C,MATCH(D1655,Products!$A:$A,0)),"Unknown")</f>
        <v>Men Shirts</v>
      </c>
      <c r="W1655" t="str">
        <f>IFERROR(INDEX(Products!$E:$E,MATCH(D1655,Products!$A:$A,0)),"Unknown")</f>
        <v>Nalli Silks</v>
      </c>
      <c r="X1655" t="str">
        <f>IFERROR(INDEX(Stores!$B:$B,MATCH(E1655,Stores!$A:$A,0)),"Unknown")</f>
        <v>TrendMart Shivamogga Standard</v>
      </c>
      <c r="Y1655" t="str">
        <f>IFERROR(INDEX(Stores!$E:$E,MATCH(E1655,Stores!$A:$A,0)),"Unknown")</f>
        <v>South Zone 2</v>
      </c>
      <c r="Z1655" t="str">
        <f>IFERROR(INDEX(Customers!$J:$J,MATCH(C1655,Customers!$A:$A,0)),"Unknown")</f>
        <v>Platinum</v>
      </c>
      <c r="AA1655" t="str">
        <f t="shared" si="25"/>
        <v>2024-05</v>
      </c>
      <c r="AB1655" t="str">
        <f>IFERROR(INDEX(Products!$I:$I,MATCH(D1655,Products!$A:$A,0)),"Unknown")</f>
        <v>SUP055</v>
      </c>
    </row>
    <row r="1656" spans="1:28" x14ac:dyDescent="0.25">
      <c r="A1656" t="s">
        <v>3592</v>
      </c>
      <c r="B1656" s="20">
        <v>45560</v>
      </c>
      <c r="C1656" t="s">
        <v>3593</v>
      </c>
      <c r="D1656" t="s">
        <v>494</v>
      </c>
      <c r="E1656" t="s">
        <v>927</v>
      </c>
      <c r="F1656" t="s">
        <v>165</v>
      </c>
      <c r="G1656">
        <v>2</v>
      </c>
      <c r="H1656" s="21">
        <v>1725.71</v>
      </c>
      <c r="I1656">
        <v>0</v>
      </c>
      <c r="J1656" s="21">
        <v>0</v>
      </c>
      <c r="K1656">
        <v>12</v>
      </c>
      <c r="L1656" s="21">
        <v>414.17</v>
      </c>
      <c r="M1656" s="21">
        <v>3865.59</v>
      </c>
      <c r="N1656" s="21">
        <v>2281.8000000000002</v>
      </c>
      <c r="O1656" s="21">
        <v>1169.6199999999999</v>
      </c>
      <c r="P1656" t="s">
        <v>127</v>
      </c>
      <c r="Q1656" t="s">
        <v>120</v>
      </c>
      <c r="R1656" t="s">
        <v>151</v>
      </c>
      <c r="S1656" t="s">
        <v>1662</v>
      </c>
      <c r="T1656" t="s">
        <v>153</v>
      </c>
      <c r="U1656" t="s">
        <v>154</v>
      </c>
      <c r="V1656" t="str">
        <f>IFERROR(INDEX(Products!$C:$C,MATCH(D1656,Products!$A:$A,0)),"Unknown")</f>
        <v>Women Dresses</v>
      </c>
      <c r="W1656" t="str">
        <f>IFERROR(INDEX(Products!$E:$E,MATCH(D1656,Products!$A:$A,0)),"Unknown")</f>
        <v>Reebok</v>
      </c>
      <c r="X1656" t="str">
        <f>IFERROR(INDEX(Stores!$B:$B,MATCH(E1656,Stores!$A:$A,0)),"Unknown")</f>
        <v>TrendMart Kochi Mall Kiosk</v>
      </c>
      <c r="Y1656" t="str">
        <f>IFERROR(INDEX(Stores!$E:$E,MATCH(E1656,Stores!$A:$A,0)),"Unknown")</f>
        <v>South Zone 1</v>
      </c>
      <c r="Z1656" t="str">
        <f>IFERROR(INDEX(Customers!$J:$J,MATCH(C1656,Customers!$A:$A,0)),"Unknown")</f>
        <v>Regular</v>
      </c>
      <c r="AA1656" t="str">
        <f t="shared" si="25"/>
        <v>2024-09</v>
      </c>
      <c r="AB1656" t="str">
        <f>IFERROR(INDEX(Products!$I:$I,MATCH(D1656,Products!$A:$A,0)),"Unknown")</f>
        <v>SUP085</v>
      </c>
    </row>
    <row r="1657" spans="1:28" x14ac:dyDescent="0.25">
      <c r="A1657" t="s">
        <v>3594</v>
      </c>
      <c r="B1657" s="20">
        <v>45540</v>
      </c>
      <c r="C1657" t="s">
        <v>3595</v>
      </c>
      <c r="D1657" t="s">
        <v>2392</v>
      </c>
      <c r="E1657" t="s">
        <v>200</v>
      </c>
      <c r="F1657" t="s">
        <v>286</v>
      </c>
      <c r="G1657">
        <v>1</v>
      </c>
      <c r="H1657" s="21">
        <v>1145.05</v>
      </c>
      <c r="I1657">
        <v>20</v>
      </c>
      <c r="J1657" s="21">
        <v>229.01</v>
      </c>
      <c r="K1657">
        <v>12</v>
      </c>
      <c r="L1657" s="21">
        <v>109.92</v>
      </c>
      <c r="M1657" s="21">
        <v>1025.96</v>
      </c>
      <c r="N1657" s="21">
        <v>744</v>
      </c>
      <c r="O1657" s="21">
        <v>172.04</v>
      </c>
      <c r="P1657" t="s">
        <v>123</v>
      </c>
      <c r="Q1657" t="s">
        <v>120</v>
      </c>
      <c r="R1657" t="s">
        <v>151</v>
      </c>
      <c r="S1657" t="s">
        <v>1653</v>
      </c>
      <c r="T1657" t="s">
        <v>153</v>
      </c>
      <c r="U1657" t="s">
        <v>154</v>
      </c>
      <c r="V1657" t="str">
        <f>IFERROR(INDEX(Products!$C:$C,MATCH(D1657,Products!$A:$A,0)),"Unknown")</f>
        <v>Women Kurtis</v>
      </c>
      <c r="W1657" t="str">
        <f>IFERROR(INDEX(Products!$E:$E,MATCH(D1657,Products!$A:$A,0)),"Unknown")</f>
        <v>Reebok</v>
      </c>
      <c r="X1657" t="str">
        <f>IFERROR(INDEX(Stores!$B:$B,MATCH(E1657,Stores!$A:$A,0)),"Unknown")</f>
        <v>TrendMart Kozhikode Standard</v>
      </c>
      <c r="Y1657" t="str">
        <f>IFERROR(INDEX(Stores!$E:$E,MATCH(E1657,Stores!$A:$A,0)),"Unknown")</f>
        <v>South Zone 1</v>
      </c>
      <c r="Z1657" t="str">
        <f>IFERROR(INDEX(Customers!$J:$J,MATCH(C1657,Customers!$A:$A,0)),"Unknown")</f>
        <v>Regular</v>
      </c>
      <c r="AA1657" t="str">
        <f t="shared" si="25"/>
        <v>2024-09</v>
      </c>
      <c r="AB1657" t="str">
        <f>IFERROR(INDEX(Products!$I:$I,MATCH(D1657,Products!$A:$A,0)),"Unknown")</f>
        <v>SUP029</v>
      </c>
    </row>
    <row r="1658" spans="1:28" x14ac:dyDescent="0.25">
      <c r="A1658" t="s">
        <v>3596</v>
      </c>
      <c r="B1658" s="20">
        <v>45614</v>
      </c>
      <c r="C1658" t="s">
        <v>2029</v>
      </c>
      <c r="D1658" t="s">
        <v>1668</v>
      </c>
      <c r="E1658" t="s">
        <v>1023</v>
      </c>
      <c r="F1658" t="s">
        <v>292</v>
      </c>
      <c r="G1658">
        <v>2</v>
      </c>
      <c r="H1658" s="21">
        <v>1399.6</v>
      </c>
      <c r="I1658">
        <v>15</v>
      </c>
      <c r="J1658" s="21">
        <v>419.88</v>
      </c>
      <c r="K1658">
        <v>12</v>
      </c>
      <c r="L1658" s="21">
        <v>285.52</v>
      </c>
      <c r="M1658" s="21">
        <v>2664.84</v>
      </c>
      <c r="N1658" s="21">
        <v>1786.74</v>
      </c>
      <c r="O1658" s="21">
        <v>592.58000000000004</v>
      </c>
      <c r="P1658" t="s">
        <v>125</v>
      </c>
      <c r="Q1658" t="s">
        <v>122</v>
      </c>
      <c r="R1658" t="s">
        <v>151</v>
      </c>
      <c r="S1658" t="s">
        <v>3491</v>
      </c>
      <c r="T1658" t="s">
        <v>153</v>
      </c>
      <c r="U1658" t="s">
        <v>154</v>
      </c>
      <c r="V1658" t="str">
        <f>IFERROR(INDEX(Products!$C:$C,MATCH(D1658,Products!$A:$A,0)),"Unknown")</f>
        <v>Women Kurtis</v>
      </c>
      <c r="W1658" t="str">
        <f>IFERROR(INDEX(Products!$E:$E,MATCH(D1658,Products!$A:$A,0)),"Unknown")</f>
        <v>Liberty</v>
      </c>
      <c r="X1658" t="str">
        <f>IFERROR(INDEX(Stores!$B:$B,MATCH(E1658,Stores!$A:$A,0)),"Unknown")</f>
        <v>TrendMart Kochi High Street</v>
      </c>
      <c r="Y1658" t="str">
        <f>IFERROR(INDEX(Stores!$E:$E,MATCH(E1658,Stores!$A:$A,0)),"Unknown")</f>
        <v>South Zone 1</v>
      </c>
      <c r="Z1658" t="str">
        <f>IFERROR(INDEX(Customers!$J:$J,MATCH(C1658,Customers!$A:$A,0)),"Unknown")</f>
        <v>Regular</v>
      </c>
      <c r="AA1658" t="str">
        <f t="shared" si="25"/>
        <v>2024-11</v>
      </c>
      <c r="AB1658" t="str">
        <f>IFERROR(INDEX(Products!$I:$I,MATCH(D1658,Products!$A:$A,0)),"Unknown")</f>
        <v>SUP022</v>
      </c>
    </row>
    <row r="1659" spans="1:28" x14ac:dyDescent="0.25">
      <c r="A1659" t="s">
        <v>3597</v>
      </c>
      <c r="B1659" s="20">
        <v>45500</v>
      </c>
      <c r="C1659" t="s">
        <v>3554</v>
      </c>
      <c r="D1659" t="s">
        <v>1928</v>
      </c>
      <c r="E1659" t="s">
        <v>97</v>
      </c>
      <c r="F1659" t="s">
        <v>221</v>
      </c>
      <c r="G1659">
        <v>3</v>
      </c>
      <c r="H1659" s="21">
        <v>840.19</v>
      </c>
      <c r="I1659">
        <v>20</v>
      </c>
      <c r="J1659" s="21">
        <v>504.11</v>
      </c>
      <c r="K1659">
        <v>5</v>
      </c>
      <c r="L1659" s="21">
        <v>100.82</v>
      </c>
      <c r="M1659" s="21">
        <v>2117.2800000000002</v>
      </c>
      <c r="N1659" s="21">
        <v>1974.57</v>
      </c>
      <c r="O1659" s="21">
        <v>41.89</v>
      </c>
      <c r="P1659" t="s">
        <v>125</v>
      </c>
      <c r="Q1659" t="s">
        <v>120</v>
      </c>
      <c r="R1659" t="s">
        <v>151</v>
      </c>
      <c r="S1659" t="s">
        <v>3598</v>
      </c>
      <c r="T1659" t="s">
        <v>161</v>
      </c>
      <c r="U1659" t="s">
        <v>154</v>
      </c>
      <c r="V1659" t="str">
        <f>IFERROR(INDEX(Products!$C:$C,MATCH(D1659,Products!$A:$A,0)),"Unknown")</f>
        <v>Men Jeans</v>
      </c>
      <c r="W1659" t="str">
        <f>IFERROR(INDEX(Products!$E:$E,MATCH(D1659,Products!$A:$A,0)),"Unknown")</f>
        <v>Skechers</v>
      </c>
      <c r="X1659" t="str">
        <f>IFERROR(INDEX(Stores!$B:$B,MATCH(E1659,Stores!$A:$A,0)),"Unknown")</f>
        <v>TrendMart Guntur Flagship</v>
      </c>
      <c r="Y1659" t="str">
        <f>IFERROR(INDEX(Stores!$E:$E,MATCH(E1659,Stores!$A:$A,0)),"Unknown")</f>
        <v>South Zone 3</v>
      </c>
      <c r="Z1659" t="str">
        <f>IFERROR(INDEX(Customers!$J:$J,MATCH(C1659,Customers!$A:$A,0)),"Unknown")</f>
        <v>Gold</v>
      </c>
      <c r="AA1659" t="str">
        <f t="shared" si="25"/>
        <v>2024-07</v>
      </c>
      <c r="AB1659" t="str">
        <f>IFERROR(INDEX(Products!$I:$I,MATCH(D1659,Products!$A:$A,0)),"Unknown")</f>
        <v>SUP015</v>
      </c>
    </row>
    <row r="1660" spans="1:28" x14ac:dyDescent="0.25">
      <c r="A1660" t="s">
        <v>3599</v>
      </c>
      <c r="B1660" s="20">
        <v>45615</v>
      </c>
      <c r="C1660" t="s">
        <v>797</v>
      </c>
      <c r="D1660" t="s">
        <v>1302</v>
      </c>
      <c r="E1660" t="s">
        <v>387</v>
      </c>
      <c r="F1660" t="s">
        <v>263</v>
      </c>
      <c r="G1660">
        <v>2</v>
      </c>
      <c r="H1660" s="21">
        <v>1093.23</v>
      </c>
      <c r="I1660">
        <v>0</v>
      </c>
      <c r="J1660" s="21">
        <v>0</v>
      </c>
      <c r="K1660">
        <v>12</v>
      </c>
      <c r="L1660" s="21">
        <v>262.38</v>
      </c>
      <c r="M1660" s="21">
        <v>2448.84</v>
      </c>
      <c r="N1660" s="21">
        <v>1541.46</v>
      </c>
      <c r="O1660" s="21">
        <v>645</v>
      </c>
      <c r="P1660" t="s">
        <v>124</v>
      </c>
      <c r="Q1660" t="s">
        <v>122</v>
      </c>
      <c r="R1660" t="s">
        <v>151</v>
      </c>
      <c r="S1660" t="s">
        <v>1249</v>
      </c>
      <c r="T1660" t="s">
        <v>153</v>
      </c>
      <c r="U1660" t="s">
        <v>154</v>
      </c>
      <c r="V1660" t="str">
        <f>IFERROR(INDEX(Products!$C:$C,MATCH(D1660,Products!$A:$A,0)),"Unknown")</f>
        <v>Women Kurtis</v>
      </c>
      <c r="W1660" t="str">
        <f>IFERROR(INDEX(Products!$E:$E,MATCH(D1660,Products!$A:$A,0)),"Unknown")</f>
        <v>Fabindia</v>
      </c>
      <c r="X1660" t="str">
        <f>IFERROR(INDEX(Stores!$B:$B,MATCH(E1660,Stores!$A:$A,0)),"Unknown")</f>
        <v>TrendMart Kannur Outlet</v>
      </c>
      <c r="Y1660" t="str">
        <f>IFERROR(INDEX(Stores!$E:$E,MATCH(E1660,Stores!$A:$A,0)),"Unknown")</f>
        <v>South Zone 1</v>
      </c>
      <c r="Z1660" t="str">
        <f>IFERROR(INDEX(Customers!$J:$J,MATCH(C1660,Customers!$A:$A,0)),"Unknown")</f>
        <v>Platinum</v>
      </c>
      <c r="AA1660" t="str">
        <f t="shared" si="25"/>
        <v>2024-11</v>
      </c>
      <c r="AB1660" t="str">
        <f>IFERROR(INDEX(Products!$I:$I,MATCH(D1660,Products!$A:$A,0)),"Unknown")</f>
        <v>SUP059</v>
      </c>
    </row>
    <row r="1661" spans="1:28" x14ac:dyDescent="0.25">
      <c r="A1661" t="s">
        <v>3600</v>
      </c>
      <c r="B1661" s="20">
        <v>45572</v>
      </c>
      <c r="C1661" t="s">
        <v>1127</v>
      </c>
      <c r="D1661" t="s">
        <v>2051</v>
      </c>
      <c r="E1661" t="s">
        <v>1108</v>
      </c>
      <c r="F1661" t="s">
        <v>176</v>
      </c>
      <c r="G1661">
        <v>3</v>
      </c>
      <c r="H1661" s="21">
        <v>2778.52</v>
      </c>
      <c r="I1661">
        <v>10</v>
      </c>
      <c r="J1661" s="21">
        <v>833.56</v>
      </c>
      <c r="K1661">
        <v>12</v>
      </c>
      <c r="L1661" s="21">
        <v>900.24</v>
      </c>
      <c r="M1661" s="21">
        <v>8402.24</v>
      </c>
      <c r="N1661" s="21">
        <v>5875.17</v>
      </c>
      <c r="O1661" s="21">
        <v>1626.83</v>
      </c>
      <c r="P1661" t="s">
        <v>123</v>
      </c>
      <c r="Q1661" t="s">
        <v>120</v>
      </c>
      <c r="R1661" t="s">
        <v>151</v>
      </c>
      <c r="S1661" t="s">
        <v>757</v>
      </c>
      <c r="T1661" t="s">
        <v>153</v>
      </c>
      <c r="U1661" t="s">
        <v>154</v>
      </c>
      <c r="V1661" t="str">
        <f>IFERROR(INDEX(Products!$C:$C,MATCH(D1661,Products!$A:$A,0)),"Unknown")</f>
        <v>Men Ethnic</v>
      </c>
      <c r="W1661" t="str">
        <f>IFERROR(INDEX(Products!$E:$E,MATCH(D1661,Products!$A:$A,0)),"Unknown")</f>
        <v>Nike</v>
      </c>
      <c r="X1661" t="str">
        <f>IFERROR(INDEX(Stores!$B:$B,MATCH(E1661,Stores!$A:$A,0)),"Unknown")</f>
        <v>TrendMart Karimnagar Standard</v>
      </c>
      <c r="Y1661" t="str">
        <f>IFERROR(INDEX(Stores!$E:$E,MATCH(E1661,Stores!$A:$A,0)),"Unknown")</f>
        <v>South Zone 2</v>
      </c>
      <c r="Z1661" t="str">
        <f>IFERROR(INDEX(Customers!$J:$J,MATCH(C1661,Customers!$A:$A,0)),"Unknown")</f>
        <v>Regular</v>
      </c>
      <c r="AA1661" t="str">
        <f t="shared" si="25"/>
        <v>2024-10</v>
      </c>
      <c r="AB1661" t="str">
        <f>IFERROR(INDEX(Products!$I:$I,MATCH(D1661,Products!$A:$A,0)),"Unknown")</f>
        <v>SUP002</v>
      </c>
    </row>
    <row r="1662" spans="1:28" x14ac:dyDescent="0.25">
      <c r="A1662" t="s">
        <v>3601</v>
      </c>
      <c r="B1662" s="20">
        <v>45593</v>
      </c>
      <c r="C1662" t="s">
        <v>3602</v>
      </c>
      <c r="D1662" t="s">
        <v>1903</v>
      </c>
      <c r="E1662" t="s">
        <v>88</v>
      </c>
      <c r="F1662" t="s">
        <v>263</v>
      </c>
      <c r="G1662">
        <v>2</v>
      </c>
      <c r="H1662" s="21">
        <v>1007.84</v>
      </c>
      <c r="I1662">
        <v>5</v>
      </c>
      <c r="J1662" s="21">
        <v>100.78</v>
      </c>
      <c r="K1662">
        <v>12</v>
      </c>
      <c r="L1662" s="21">
        <v>229.79</v>
      </c>
      <c r="M1662" s="21">
        <v>2144.69</v>
      </c>
      <c r="N1662" s="21">
        <v>1522.14</v>
      </c>
      <c r="O1662" s="21">
        <v>392.76</v>
      </c>
      <c r="P1662" t="s">
        <v>121</v>
      </c>
      <c r="Q1662" t="s">
        <v>122</v>
      </c>
      <c r="R1662" t="s">
        <v>151</v>
      </c>
      <c r="S1662" t="s">
        <v>2380</v>
      </c>
      <c r="T1662" t="s">
        <v>153</v>
      </c>
      <c r="U1662" t="s">
        <v>154</v>
      </c>
      <c r="V1662" t="str">
        <f>IFERROR(INDEX(Products!$C:$C,MATCH(D1662,Products!$A:$A,0)),"Unknown")</f>
        <v>Belts</v>
      </c>
      <c r="W1662" t="str">
        <f>IFERROR(INDEX(Products!$E:$E,MATCH(D1662,Products!$A:$A,0)),"Unknown")</f>
        <v>US Polo Assn</v>
      </c>
      <c r="X1662" t="str">
        <f>IFERROR(INDEX(Stores!$B:$B,MATCH(E1662,Stores!$A:$A,0)),"Unknown")</f>
        <v>TrendMart Kozhikode Mall Kiosk</v>
      </c>
      <c r="Y1662" t="str">
        <f>IFERROR(INDEX(Stores!$E:$E,MATCH(E1662,Stores!$A:$A,0)),"Unknown")</f>
        <v>South Zone 1</v>
      </c>
      <c r="Z1662" t="str">
        <f>IFERROR(INDEX(Customers!$J:$J,MATCH(C1662,Customers!$A:$A,0)),"Unknown")</f>
        <v>Platinum</v>
      </c>
      <c r="AA1662" t="str">
        <f t="shared" si="25"/>
        <v>2024-10</v>
      </c>
      <c r="AB1662" t="str">
        <f>IFERROR(INDEX(Products!$I:$I,MATCH(D1662,Products!$A:$A,0)),"Unknown")</f>
        <v>SUP029</v>
      </c>
    </row>
    <row r="1663" spans="1:28" x14ac:dyDescent="0.25">
      <c r="A1663" t="s">
        <v>3603</v>
      </c>
      <c r="B1663" s="20">
        <v>45603</v>
      </c>
      <c r="C1663" t="s">
        <v>1393</v>
      </c>
      <c r="D1663" t="s">
        <v>2129</v>
      </c>
      <c r="E1663" t="s">
        <v>927</v>
      </c>
      <c r="F1663" t="s">
        <v>269</v>
      </c>
      <c r="G1663">
        <v>1</v>
      </c>
      <c r="H1663" s="21">
        <v>2556.13</v>
      </c>
      <c r="I1663">
        <v>15</v>
      </c>
      <c r="J1663" s="21">
        <v>383.42</v>
      </c>
      <c r="K1663">
        <v>12</v>
      </c>
      <c r="L1663" s="21">
        <v>260.73</v>
      </c>
      <c r="M1663" s="21">
        <v>2433.44</v>
      </c>
      <c r="N1663" s="21">
        <v>1888.29</v>
      </c>
      <c r="O1663" s="21">
        <v>284.42</v>
      </c>
      <c r="P1663" t="s">
        <v>121</v>
      </c>
      <c r="Q1663" t="s">
        <v>120</v>
      </c>
      <c r="R1663" t="s">
        <v>151</v>
      </c>
      <c r="S1663" t="s">
        <v>997</v>
      </c>
      <c r="T1663" t="s">
        <v>153</v>
      </c>
      <c r="U1663" t="s">
        <v>154</v>
      </c>
      <c r="V1663" t="str">
        <f>IFERROR(INDEX(Products!$C:$C,MATCH(D1663,Products!$A:$A,0)),"Unknown")</f>
        <v>Men Ethnic</v>
      </c>
      <c r="W1663" t="str">
        <f>IFERROR(INDEX(Products!$E:$E,MATCH(D1663,Products!$A:$A,0)),"Unknown")</f>
        <v>Reebok</v>
      </c>
      <c r="X1663" t="str">
        <f>IFERROR(INDEX(Stores!$B:$B,MATCH(E1663,Stores!$A:$A,0)),"Unknown")</f>
        <v>TrendMart Kochi Mall Kiosk</v>
      </c>
      <c r="Y1663" t="str">
        <f>IFERROR(INDEX(Stores!$E:$E,MATCH(E1663,Stores!$A:$A,0)),"Unknown")</f>
        <v>South Zone 1</v>
      </c>
      <c r="Z1663" t="str">
        <f>IFERROR(INDEX(Customers!$J:$J,MATCH(C1663,Customers!$A:$A,0)),"Unknown")</f>
        <v>Platinum</v>
      </c>
      <c r="AA1663" t="str">
        <f t="shared" si="25"/>
        <v>2024-11</v>
      </c>
      <c r="AB1663" t="str">
        <f>IFERROR(INDEX(Products!$I:$I,MATCH(D1663,Products!$A:$A,0)),"Unknown")</f>
        <v>SUP029</v>
      </c>
    </row>
    <row r="1664" spans="1:28" x14ac:dyDescent="0.25">
      <c r="A1664" t="s">
        <v>3604</v>
      </c>
      <c r="B1664" s="20">
        <v>45537</v>
      </c>
      <c r="C1664" t="s">
        <v>1227</v>
      </c>
      <c r="D1664" t="s">
        <v>325</v>
      </c>
      <c r="E1664" t="s">
        <v>721</v>
      </c>
      <c r="F1664" t="s">
        <v>253</v>
      </c>
      <c r="G1664">
        <v>1</v>
      </c>
      <c r="H1664" s="21">
        <v>1099.07</v>
      </c>
      <c r="I1664">
        <v>25</v>
      </c>
      <c r="J1664" s="21">
        <v>274.77</v>
      </c>
      <c r="K1664">
        <v>12</v>
      </c>
      <c r="L1664" s="21">
        <v>98.92</v>
      </c>
      <c r="M1664" s="21">
        <v>923.22</v>
      </c>
      <c r="N1664" s="21">
        <v>759</v>
      </c>
      <c r="O1664" s="21">
        <v>65.3</v>
      </c>
      <c r="P1664" t="s">
        <v>124</v>
      </c>
      <c r="Q1664" t="s">
        <v>120</v>
      </c>
      <c r="R1664" t="s">
        <v>151</v>
      </c>
      <c r="S1664" t="s">
        <v>3542</v>
      </c>
      <c r="T1664" t="s">
        <v>153</v>
      </c>
      <c r="U1664" t="s">
        <v>154</v>
      </c>
      <c r="V1664" t="str">
        <f>IFERROR(INDEX(Products!$C:$C,MATCH(D1664,Products!$A:$A,0)),"Unknown")</f>
        <v>Women Jeans</v>
      </c>
      <c r="W1664" t="str">
        <f>IFERROR(INDEX(Products!$E:$E,MATCH(D1664,Products!$A:$A,0)),"Unknown")</f>
        <v>Nalli Silks</v>
      </c>
      <c r="X1664" t="str">
        <f>IFERROR(INDEX(Stores!$B:$B,MATCH(E1664,Stores!$A:$A,0)),"Unknown")</f>
        <v>TrendMart Kollam Flagship</v>
      </c>
      <c r="Y1664" t="str">
        <f>IFERROR(INDEX(Stores!$E:$E,MATCH(E1664,Stores!$A:$A,0)),"Unknown")</f>
        <v>South Zone 1</v>
      </c>
      <c r="Z1664" t="str">
        <f>IFERROR(INDEX(Customers!$J:$J,MATCH(C1664,Customers!$A:$A,0)),"Unknown")</f>
        <v>Gold</v>
      </c>
      <c r="AA1664" t="str">
        <f t="shared" si="25"/>
        <v>2024-09</v>
      </c>
      <c r="AB1664" t="str">
        <f>IFERROR(INDEX(Products!$I:$I,MATCH(D1664,Products!$A:$A,0)),"Unknown")</f>
        <v>SUP048</v>
      </c>
    </row>
    <row r="1665" spans="1:28" x14ac:dyDescent="0.25">
      <c r="A1665" t="s">
        <v>3605</v>
      </c>
      <c r="B1665" s="20">
        <v>45431</v>
      </c>
      <c r="C1665" t="s">
        <v>2036</v>
      </c>
      <c r="D1665" t="s">
        <v>279</v>
      </c>
      <c r="E1665" t="s">
        <v>262</v>
      </c>
      <c r="F1665" t="s">
        <v>275</v>
      </c>
      <c r="G1665">
        <v>1</v>
      </c>
      <c r="H1665" s="21">
        <v>3644.14</v>
      </c>
      <c r="I1665">
        <v>15</v>
      </c>
      <c r="J1665" s="21">
        <v>546.62</v>
      </c>
      <c r="K1665">
        <v>12</v>
      </c>
      <c r="L1665" s="21">
        <v>371.7</v>
      </c>
      <c r="M1665" s="21">
        <v>3469.22</v>
      </c>
      <c r="N1665" s="21">
        <v>2069.33</v>
      </c>
      <c r="O1665" s="21">
        <v>1028.19</v>
      </c>
      <c r="P1665" t="s">
        <v>123</v>
      </c>
      <c r="Q1665" t="s">
        <v>122</v>
      </c>
      <c r="R1665" t="s">
        <v>151</v>
      </c>
      <c r="S1665" t="s">
        <v>985</v>
      </c>
      <c r="T1665" t="s">
        <v>161</v>
      </c>
      <c r="U1665" t="s">
        <v>154</v>
      </c>
      <c r="V1665" t="str">
        <f>IFERROR(INDEX(Products!$C:$C,MATCH(D1665,Products!$A:$A,0)),"Unknown")</f>
        <v>Handbags</v>
      </c>
      <c r="W1665" t="str">
        <f>IFERROR(INDEX(Products!$E:$E,MATCH(D1665,Products!$A:$A,0)),"Unknown")</f>
        <v>Westside</v>
      </c>
      <c r="X1665" t="str">
        <f>IFERROR(INDEX(Stores!$B:$B,MATCH(E1665,Stores!$A:$A,0)),"Unknown")</f>
        <v>TrendMart Thoothukudi Outlet</v>
      </c>
      <c r="Y1665" t="str">
        <f>IFERROR(INDEX(Stores!$E:$E,MATCH(E1665,Stores!$A:$A,0)),"Unknown")</f>
        <v>South Zone 1</v>
      </c>
      <c r="Z1665" t="str">
        <f>IFERROR(INDEX(Customers!$J:$J,MATCH(C1665,Customers!$A:$A,0)),"Unknown")</f>
        <v>Silver</v>
      </c>
      <c r="AA1665" t="str">
        <f t="shared" si="25"/>
        <v>2024-05</v>
      </c>
      <c r="AB1665" t="str">
        <f>IFERROR(INDEX(Products!$I:$I,MATCH(D1665,Products!$A:$A,0)),"Unknown")</f>
        <v>SUP066</v>
      </c>
    </row>
    <row r="1666" spans="1:28" x14ac:dyDescent="0.25">
      <c r="A1666" t="s">
        <v>3606</v>
      </c>
      <c r="B1666" s="20">
        <v>45662</v>
      </c>
      <c r="C1666" t="s">
        <v>419</v>
      </c>
      <c r="D1666" t="s">
        <v>215</v>
      </c>
      <c r="E1666" t="s">
        <v>89</v>
      </c>
      <c r="F1666" t="s">
        <v>382</v>
      </c>
      <c r="G1666">
        <v>2</v>
      </c>
      <c r="H1666" s="21">
        <v>1108.73</v>
      </c>
      <c r="I1666">
        <v>25</v>
      </c>
      <c r="J1666" s="21">
        <v>554.37</v>
      </c>
      <c r="K1666">
        <v>12</v>
      </c>
      <c r="L1666" s="21">
        <v>199.57</v>
      </c>
      <c r="M1666" s="21">
        <v>1862.66</v>
      </c>
      <c r="N1666" s="21">
        <v>1656.88</v>
      </c>
      <c r="O1666" s="21">
        <v>6.21</v>
      </c>
      <c r="P1666" t="s">
        <v>121</v>
      </c>
      <c r="Q1666" t="s">
        <v>120</v>
      </c>
      <c r="R1666" t="s">
        <v>151</v>
      </c>
      <c r="S1666" t="s">
        <v>3607</v>
      </c>
      <c r="T1666" t="s">
        <v>161</v>
      </c>
      <c r="U1666" t="s">
        <v>154</v>
      </c>
      <c r="V1666" t="str">
        <f>IFERROR(INDEX(Products!$C:$C,MATCH(D1666,Products!$A:$A,0)),"Unknown")</f>
        <v>Men Jeans</v>
      </c>
      <c r="W1666" t="str">
        <f>IFERROR(INDEX(Products!$E:$E,MATCH(D1666,Products!$A:$A,0)),"Unknown")</f>
        <v>Metro Shoes</v>
      </c>
      <c r="X1666" t="str">
        <f>IFERROR(INDEX(Stores!$B:$B,MATCH(E1666,Stores!$A:$A,0)),"Unknown")</f>
        <v>TrendMart Kochi Standard</v>
      </c>
      <c r="Y1666" t="str">
        <f>IFERROR(INDEX(Stores!$E:$E,MATCH(E1666,Stores!$A:$A,0)),"Unknown")</f>
        <v>South Zone 1</v>
      </c>
      <c r="Z1666" t="str">
        <f>IFERROR(INDEX(Customers!$J:$J,MATCH(C1666,Customers!$A:$A,0)),"Unknown")</f>
        <v>Regular</v>
      </c>
      <c r="AA1666" t="str">
        <f t="shared" ref="AA1666:AA1729" si="26">TEXT(B1666,"YYYY-MM")</f>
        <v>2025-01</v>
      </c>
      <c r="AB1666" t="str">
        <f>IFERROR(INDEX(Products!$I:$I,MATCH(D1666,Products!$A:$A,0)),"Unknown")</f>
        <v>SUP022</v>
      </c>
    </row>
    <row r="1667" spans="1:28" x14ac:dyDescent="0.25">
      <c r="A1667" t="s">
        <v>3608</v>
      </c>
      <c r="B1667" s="20">
        <v>45578</v>
      </c>
      <c r="C1667" t="s">
        <v>148</v>
      </c>
      <c r="D1667" t="s">
        <v>805</v>
      </c>
      <c r="E1667" t="s">
        <v>334</v>
      </c>
      <c r="F1667" t="s">
        <v>182</v>
      </c>
      <c r="G1667">
        <v>2</v>
      </c>
      <c r="H1667" s="21">
        <v>1120.7</v>
      </c>
      <c r="I1667">
        <v>0</v>
      </c>
      <c r="J1667" s="21">
        <v>0</v>
      </c>
      <c r="K1667">
        <v>12</v>
      </c>
      <c r="L1667" s="21">
        <v>268.97000000000003</v>
      </c>
      <c r="M1667" s="21">
        <v>2510.37</v>
      </c>
      <c r="N1667" s="21">
        <v>1167.72</v>
      </c>
      <c r="O1667" s="21">
        <v>1073.68</v>
      </c>
      <c r="P1667" t="s">
        <v>125</v>
      </c>
      <c r="Q1667" t="s">
        <v>120</v>
      </c>
      <c r="R1667" t="s">
        <v>151</v>
      </c>
      <c r="S1667" t="s">
        <v>3082</v>
      </c>
      <c r="T1667" t="s">
        <v>161</v>
      </c>
      <c r="U1667" t="s">
        <v>154</v>
      </c>
      <c r="V1667" t="str">
        <f>IFERROR(INDEX(Products!$C:$C,MATCH(D1667,Products!$A:$A,0)),"Unknown")</f>
        <v>Accessories</v>
      </c>
      <c r="W1667" t="str">
        <f>IFERROR(INDEX(Products!$E:$E,MATCH(D1667,Products!$A:$A,0)),"Unknown")</f>
        <v>Being Human</v>
      </c>
      <c r="X1667" t="str">
        <f>IFERROR(INDEX(Stores!$B:$B,MATCH(E1667,Stores!$A:$A,0)),"Unknown")</f>
        <v>TrendMart Madurai High Street</v>
      </c>
      <c r="Y1667" t="str">
        <f>IFERROR(INDEX(Stores!$E:$E,MATCH(E1667,Stores!$A:$A,0)),"Unknown")</f>
        <v>South Zone 1</v>
      </c>
      <c r="Z1667" t="str">
        <f>IFERROR(INDEX(Customers!$J:$J,MATCH(C1667,Customers!$A:$A,0)),"Unknown")</f>
        <v>Regular</v>
      </c>
      <c r="AA1667" t="str">
        <f t="shared" si="26"/>
        <v>2024-10</v>
      </c>
      <c r="AB1667" t="str">
        <f>IFERROR(INDEX(Products!$I:$I,MATCH(D1667,Products!$A:$A,0)),"Unknown")</f>
        <v>SUP069</v>
      </c>
    </row>
    <row r="1668" spans="1:28" x14ac:dyDescent="0.25">
      <c r="A1668" t="s">
        <v>3609</v>
      </c>
      <c r="B1668" s="20">
        <v>45720</v>
      </c>
      <c r="C1668" t="s">
        <v>1006</v>
      </c>
      <c r="D1668" t="s">
        <v>2699</v>
      </c>
      <c r="E1668" t="s">
        <v>477</v>
      </c>
      <c r="F1668" t="s">
        <v>221</v>
      </c>
      <c r="G1668">
        <v>1</v>
      </c>
      <c r="H1668" s="21">
        <v>1233.27</v>
      </c>
      <c r="I1668">
        <v>15</v>
      </c>
      <c r="J1668" s="21">
        <v>184.99</v>
      </c>
      <c r="K1668">
        <v>12</v>
      </c>
      <c r="L1668" s="21">
        <v>125.79</v>
      </c>
      <c r="M1668" s="21">
        <v>1174.07</v>
      </c>
      <c r="N1668" s="21">
        <v>859.94</v>
      </c>
      <c r="O1668" s="21">
        <v>188.34</v>
      </c>
      <c r="P1668" t="s">
        <v>121</v>
      </c>
      <c r="Q1668" t="s">
        <v>120</v>
      </c>
      <c r="R1668" t="s">
        <v>151</v>
      </c>
      <c r="S1668" t="s">
        <v>1205</v>
      </c>
      <c r="T1668" t="s">
        <v>153</v>
      </c>
      <c r="U1668" t="s">
        <v>154</v>
      </c>
      <c r="V1668" t="str">
        <f>IFERROR(INDEX(Products!$C:$C,MATCH(D1668,Products!$A:$A,0)),"Unknown")</f>
        <v>Women Kurtis</v>
      </c>
      <c r="W1668" t="str">
        <f>IFERROR(INDEX(Products!$E:$E,MATCH(D1668,Products!$A:$A,0)),"Unknown")</f>
        <v>Liberty</v>
      </c>
      <c r="X1668" t="str">
        <f>IFERROR(INDEX(Stores!$B:$B,MATCH(E1668,Stores!$A:$A,0)),"Unknown")</f>
        <v>TrendMart Hubballi Standard</v>
      </c>
      <c r="Y1668" t="str">
        <f>IFERROR(INDEX(Stores!$E:$E,MATCH(E1668,Stores!$A:$A,0)),"Unknown")</f>
        <v>South Zone 2</v>
      </c>
      <c r="Z1668" t="str">
        <f>IFERROR(INDEX(Customers!$J:$J,MATCH(C1668,Customers!$A:$A,0)),"Unknown")</f>
        <v>Regular</v>
      </c>
      <c r="AA1668" t="str">
        <f t="shared" si="26"/>
        <v>2025-03</v>
      </c>
      <c r="AB1668" t="str">
        <f>IFERROR(INDEX(Products!$I:$I,MATCH(D1668,Products!$A:$A,0)),"Unknown")</f>
        <v>SUP003</v>
      </c>
    </row>
    <row r="1669" spans="1:28" x14ac:dyDescent="0.25">
      <c r="A1669" t="s">
        <v>3610</v>
      </c>
      <c r="B1669" s="20">
        <v>45387</v>
      </c>
      <c r="C1669" t="s">
        <v>3611</v>
      </c>
      <c r="D1669" t="s">
        <v>420</v>
      </c>
      <c r="E1669" t="s">
        <v>291</v>
      </c>
      <c r="F1669" t="s">
        <v>176</v>
      </c>
      <c r="G1669">
        <v>0</v>
      </c>
      <c r="H1669" s="21">
        <v>1129.23</v>
      </c>
      <c r="I1669">
        <v>15</v>
      </c>
      <c r="J1669" s="21">
        <v>0</v>
      </c>
      <c r="K1669">
        <v>12</v>
      </c>
      <c r="L1669" s="21">
        <v>0</v>
      </c>
      <c r="M1669" s="21">
        <v>0</v>
      </c>
      <c r="N1669" s="21">
        <v>0</v>
      </c>
      <c r="O1669" s="21">
        <v>0</v>
      </c>
      <c r="P1669" t="s">
        <v>123</v>
      </c>
      <c r="Q1669" t="s">
        <v>122</v>
      </c>
      <c r="R1669" t="s">
        <v>482</v>
      </c>
      <c r="S1669" t="s">
        <v>3612</v>
      </c>
      <c r="T1669" t="s">
        <v>153</v>
      </c>
      <c r="U1669" t="s">
        <v>154</v>
      </c>
      <c r="V1669" t="str">
        <f>IFERROR(INDEX(Products!$C:$C,MATCH(D1669,Products!$A:$A,0)),"Unknown")</f>
        <v>Men Jeans</v>
      </c>
      <c r="W1669" t="str">
        <f>IFERROR(INDEX(Products!$E:$E,MATCH(D1669,Products!$A:$A,0)),"Unknown")</f>
        <v>Raymond</v>
      </c>
      <c r="X1669" t="str">
        <f>IFERROR(INDEX(Stores!$B:$B,MATCH(E1669,Stores!$A:$A,0)),"Unknown")</f>
        <v>TrendMart Khammam Standard</v>
      </c>
      <c r="Y1669" t="str">
        <f>IFERROR(INDEX(Stores!$E:$E,MATCH(E1669,Stores!$A:$A,0)),"Unknown")</f>
        <v>South Zone 2</v>
      </c>
      <c r="Z1669" t="str">
        <f>IFERROR(INDEX(Customers!$J:$J,MATCH(C1669,Customers!$A:$A,0)),"Unknown")</f>
        <v>Regular</v>
      </c>
      <c r="AA1669" t="str">
        <f t="shared" si="26"/>
        <v>2024-04</v>
      </c>
      <c r="AB1669" t="str">
        <f>IFERROR(INDEX(Products!$I:$I,MATCH(D1669,Products!$A:$A,0)),"Unknown")</f>
        <v>SUP060</v>
      </c>
    </row>
    <row r="1670" spans="1:28" x14ac:dyDescent="0.25">
      <c r="A1670" t="s">
        <v>3613</v>
      </c>
      <c r="B1670" s="20">
        <v>45715</v>
      </c>
      <c r="C1670" t="s">
        <v>1582</v>
      </c>
      <c r="D1670" t="s">
        <v>961</v>
      </c>
      <c r="E1670" t="s">
        <v>1325</v>
      </c>
      <c r="F1670" t="s">
        <v>303</v>
      </c>
      <c r="G1670">
        <v>3</v>
      </c>
      <c r="H1670" s="21">
        <v>1168.1300000000001</v>
      </c>
      <c r="I1670">
        <v>0</v>
      </c>
      <c r="J1670" s="21">
        <v>0</v>
      </c>
      <c r="K1670">
        <v>12</v>
      </c>
      <c r="L1670" s="21">
        <v>420.53</v>
      </c>
      <c r="M1670" s="21">
        <v>3924.92</v>
      </c>
      <c r="N1670" s="21">
        <v>2645.79</v>
      </c>
      <c r="O1670" s="21">
        <v>858.6</v>
      </c>
      <c r="P1670" t="s">
        <v>123</v>
      </c>
      <c r="Q1670" t="s">
        <v>122</v>
      </c>
      <c r="R1670" t="s">
        <v>151</v>
      </c>
      <c r="S1670" t="s">
        <v>1272</v>
      </c>
      <c r="T1670" t="s">
        <v>153</v>
      </c>
      <c r="U1670" t="s">
        <v>154</v>
      </c>
      <c r="V1670" t="str">
        <f>IFERROR(INDEX(Products!$C:$C,MATCH(D1670,Products!$A:$A,0)),"Unknown")</f>
        <v>Men Trousers</v>
      </c>
      <c r="W1670" t="str">
        <f>IFERROR(INDEX(Products!$E:$E,MATCH(D1670,Products!$A:$A,0)),"Unknown")</f>
        <v>Pepe Jeans</v>
      </c>
      <c r="X1670" t="str">
        <f>IFERROR(INDEX(Stores!$B:$B,MATCH(E1670,Stores!$A:$A,0)),"Unknown")</f>
        <v>TrendMart Thrissur Standard</v>
      </c>
      <c r="Y1670" t="str">
        <f>IFERROR(INDEX(Stores!$E:$E,MATCH(E1670,Stores!$A:$A,0)),"Unknown")</f>
        <v>South Zone 1</v>
      </c>
      <c r="Z1670" t="str">
        <f>IFERROR(INDEX(Customers!$J:$J,MATCH(C1670,Customers!$A:$A,0)),"Unknown")</f>
        <v>Gold</v>
      </c>
      <c r="AA1670" t="str">
        <f t="shared" si="26"/>
        <v>2025-02</v>
      </c>
      <c r="AB1670" t="str">
        <f>IFERROR(INDEX(Products!$I:$I,MATCH(D1670,Products!$A:$A,0)),"Unknown")</f>
        <v>SUP071</v>
      </c>
    </row>
    <row r="1671" spans="1:28" x14ac:dyDescent="0.25">
      <c r="A1671" t="s">
        <v>3614</v>
      </c>
      <c r="B1671" s="20">
        <v>45637</v>
      </c>
      <c r="C1671" t="s">
        <v>2207</v>
      </c>
      <c r="D1671" t="s">
        <v>545</v>
      </c>
      <c r="E1671" t="s">
        <v>477</v>
      </c>
      <c r="F1671" t="s">
        <v>176</v>
      </c>
      <c r="G1671">
        <v>1</v>
      </c>
      <c r="H1671" s="21">
        <v>1334.56</v>
      </c>
      <c r="I1671">
        <v>30</v>
      </c>
      <c r="J1671" s="21">
        <v>400.37</v>
      </c>
      <c r="K1671">
        <v>12</v>
      </c>
      <c r="L1671" s="21">
        <v>112.1</v>
      </c>
      <c r="M1671" s="21">
        <v>1046.29</v>
      </c>
      <c r="N1671" s="21">
        <v>834.96</v>
      </c>
      <c r="O1671" s="21">
        <v>99.23</v>
      </c>
      <c r="P1671" t="s">
        <v>123</v>
      </c>
      <c r="Q1671" t="s">
        <v>120</v>
      </c>
      <c r="R1671" t="s">
        <v>151</v>
      </c>
      <c r="S1671" t="s">
        <v>1293</v>
      </c>
      <c r="T1671" t="s">
        <v>153</v>
      </c>
      <c r="U1671" t="s">
        <v>154</v>
      </c>
      <c r="V1671" t="str">
        <f>IFERROR(INDEX(Products!$C:$C,MATCH(D1671,Products!$A:$A,0)),"Unknown")</f>
        <v>Women Jeans</v>
      </c>
      <c r="W1671" t="str">
        <f>IFERROR(INDEX(Products!$E:$E,MATCH(D1671,Products!$A:$A,0)),"Unknown")</f>
        <v>US Polo Assn</v>
      </c>
      <c r="X1671" t="str">
        <f>IFERROR(INDEX(Stores!$B:$B,MATCH(E1671,Stores!$A:$A,0)),"Unknown")</f>
        <v>TrendMart Hubballi Standard</v>
      </c>
      <c r="Y1671" t="str">
        <f>IFERROR(INDEX(Stores!$E:$E,MATCH(E1671,Stores!$A:$A,0)),"Unknown")</f>
        <v>South Zone 2</v>
      </c>
      <c r="Z1671" t="str">
        <f>IFERROR(INDEX(Customers!$J:$J,MATCH(C1671,Customers!$A:$A,0)),"Unknown")</f>
        <v>Silver</v>
      </c>
      <c r="AA1671" t="str">
        <f t="shared" si="26"/>
        <v>2024-12</v>
      </c>
      <c r="AB1671" t="str">
        <f>IFERROR(INDEX(Products!$I:$I,MATCH(D1671,Products!$A:$A,0)),"Unknown")</f>
        <v>SUP041</v>
      </c>
    </row>
    <row r="1672" spans="1:28" x14ac:dyDescent="0.25">
      <c r="A1672" t="s">
        <v>3615</v>
      </c>
      <c r="B1672" s="20">
        <v>45412</v>
      </c>
      <c r="C1672" t="s">
        <v>3012</v>
      </c>
      <c r="D1672" t="s">
        <v>2980</v>
      </c>
      <c r="E1672" t="s">
        <v>490</v>
      </c>
      <c r="F1672" t="s">
        <v>281</v>
      </c>
      <c r="G1672">
        <v>2</v>
      </c>
      <c r="H1672" s="21">
        <v>1418.17</v>
      </c>
      <c r="I1672">
        <v>0</v>
      </c>
      <c r="J1672" s="21">
        <v>0</v>
      </c>
      <c r="K1672">
        <v>12</v>
      </c>
      <c r="L1672" s="21">
        <v>340.36</v>
      </c>
      <c r="M1672" s="21">
        <v>3176.7</v>
      </c>
      <c r="N1672" s="21">
        <v>2058.48</v>
      </c>
      <c r="O1672" s="21">
        <v>777.86</v>
      </c>
      <c r="P1672" t="s">
        <v>125</v>
      </c>
      <c r="Q1672" t="s">
        <v>120</v>
      </c>
      <c r="R1672" t="s">
        <v>151</v>
      </c>
      <c r="S1672" t="s">
        <v>3616</v>
      </c>
      <c r="T1672" t="s">
        <v>153</v>
      </c>
      <c r="U1672" t="s">
        <v>154</v>
      </c>
      <c r="V1672" t="str">
        <f>IFERROR(INDEX(Products!$C:$C,MATCH(D1672,Products!$A:$A,0)),"Unknown")</f>
        <v>Sportswear</v>
      </c>
      <c r="W1672" t="str">
        <f>IFERROR(INDEX(Products!$E:$E,MATCH(D1672,Products!$A:$A,0)),"Unknown")</f>
        <v>Global Desi</v>
      </c>
      <c r="X1672" t="str">
        <f>IFERROR(INDEX(Stores!$B:$B,MATCH(E1672,Stores!$A:$A,0)),"Unknown")</f>
        <v>TrendMart Mangaluru Mall Kiosk</v>
      </c>
      <c r="Y1672" t="str">
        <f>IFERROR(INDEX(Stores!$E:$E,MATCH(E1672,Stores!$A:$A,0)),"Unknown")</f>
        <v>South Zone 2</v>
      </c>
      <c r="Z1672" t="str">
        <f>IFERROR(INDEX(Customers!$J:$J,MATCH(C1672,Customers!$A:$A,0)),"Unknown")</f>
        <v>Gold</v>
      </c>
      <c r="AA1672" t="str">
        <f t="shared" si="26"/>
        <v>2024-04</v>
      </c>
      <c r="AB1672" t="str">
        <f>IFERROR(INDEX(Products!$I:$I,MATCH(D1672,Products!$A:$A,0)),"Unknown")</f>
        <v>SUP020</v>
      </c>
    </row>
    <row r="1673" spans="1:28" x14ac:dyDescent="0.25">
      <c r="A1673" t="s">
        <v>3617</v>
      </c>
      <c r="B1673" s="20">
        <v>45492</v>
      </c>
      <c r="C1673" t="s">
        <v>3170</v>
      </c>
      <c r="D1673" t="s">
        <v>169</v>
      </c>
      <c r="E1673" t="s">
        <v>1141</v>
      </c>
      <c r="F1673" t="s">
        <v>408</v>
      </c>
      <c r="G1673">
        <v>2</v>
      </c>
      <c r="H1673" s="21">
        <v>5063.82</v>
      </c>
      <c r="I1673">
        <v>10</v>
      </c>
      <c r="J1673" s="21">
        <v>1012.76</v>
      </c>
      <c r="K1673">
        <v>12</v>
      </c>
      <c r="L1673" s="21">
        <v>1093.79</v>
      </c>
      <c r="M1673" s="21">
        <v>10208.67</v>
      </c>
      <c r="N1673" s="21">
        <v>6741.6</v>
      </c>
      <c r="O1673" s="21">
        <v>2373.2800000000002</v>
      </c>
      <c r="P1673" t="s">
        <v>126</v>
      </c>
      <c r="Q1673" t="s">
        <v>122</v>
      </c>
      <c r="R1673" t="s">
        <v>151</v>
      </c>
      <c r="S1673" t="s">
        <v>1755</v>
      </c>
      <c r="T1673" t="s">
        <v>153</v>
      </c>
      <c r="U1673" t="s">
        <v>154</v>
      </c>
      <c r="V1673" t="str">
        <f>IFERROR(INDEX(Products!$C:$C,MATCH(D1673,Products!$A:$A,0)),"Unknown")</f>
        <v>Women Sarees</v>
      </c>
      <c r="W1673" t="str">
        <f>IFERROR(INDEX(Products!$E:$E,MATCH(D1673,Products!$A:$A,0)),"Unknown")</f>
        <v>Max Fashion</v>
      </c>
      <c r="X1673" t="str">
        <f>IFERROR(INDEX(Stores!$B:$B,MATCH(E1673,Stores!$A:$A,0)),"Unknown")</f>
        <v>TrendMart Kochi Standard</v>
      </c>
      <c r="Y1673" t="str">
        <f>IFERROR(INDEX(Stores!$E:$E,MATCH(E1673,Stores!$A:$A,0)),"Unknown")</f>
        <v>South Zone 1</v>
      </c>
      <c r="Z1673" t="str">
        <f>IFERROR(INDEX(Customers!$J:$J,MATCH(C1673,Customers!$A:$A,0)),"Unknown")</f>
        <v>Regular</v>
      </c>
      <c r="AA1673" t="str">
        <f t="shared" si="26"/>
        <v>2024-07</v>
      </c>
      <c r="AB1673" t="str">
        <f>IFERROR(INDEX(Products!$I:$I,MATCH(D1673,Products!$A:$A,0)),"Unknown")</f>
        <v>SUP084</v>
      </c>
    </row>
    <row r="1674" spans="1:28" x14ac:dyDescent="0.25">
      <c r="A1674" t="s">
        <v>3618</v>
      </c>
      <c r="B1674" s="20">
        <v>45598</v>
      </c>
      <c r="C1674" t="s">
        <v>881</v>
      </c>
      <c r="D1674" t="s">
        <v>769</v>
      </c>
      <c r="E1674" t="s">
        <v>247</v>
      </c>
      <c r="F1674" t="s">
        <v>258</v>
      </c>
      <c r="G1674">
        <v>1</v>
      </c>
      <c r="H1674" s="21">
        <v>1834.39</v>
      </c>
      <c r="I1674">
        <v>5</v>
      </c>
      <c r="J1674" s="21">
        <v>91.72</v>
      </c>
      <c r="K1674">
        <v>12</v>
      </c>
      <c r="L1674" s="21">
        <v>209.12</v>
      </c>
      <c r="M1674" s="21">
        <v>1951.79</v>
      </c>
      <c r="N1674" s="21">
        <v>1115.19</v>
      </c>
      <c r="O1674" s="21">
        <v>627.48</v>
      </c>
      <c r="P1674" t="s">
        <v>123</v>
      </c>
      <c r="Q1674" t="s">
        <v>122</v>
      </c>
      <c r="R1674" t="s">
        <v>151</v>
      </c>
      <c r="S1674" t="s">
        <v>2629</v>
      </c>
      <c r="T1674" t="s">
        <v>161</v>
      </c>
      <c r="U1674" t="s">
        <v>154</v>
      </c>
      <c r="V1674" t="str">
        <f>IFERROR(INDEX(Products!$C:$C,MATCH(D1674,Products!$A:$A,0)),"Unknown")</f>
        <v>Sportswear</v>
      </c>
      <c r="W1674" t="str">
        <f>IFERROR(INDEX(Products!$E:$E,MATCH(D1674,Products!$A:$A,0)),"Unknown")</f>
        <v>Allen Solly</v>
      </c>
      <c r="X1674" t="str">
        <f>IFERROR(INDEX(Stores!$B:$B,MATCH(E1674,Stores!$A:$A,0)),"Unknown")</f>
        <v>TrendMart Tirupati Outlet</v>
      </c>
      <c r="Y1674" t="str">
        <f>IFERROR(INDEX(Stores!$E:$E,MATCH(E1674,Stores!$A:$A,0)),"Unknown")</f>
        <v>South Zone 3</v>
      </c>
      <c r="Z1674" t="str">
        <f>IFERROR(INDEX(Customers!$J:$J,MATCH(C1674,Customers!$A:$A,0)),"Unknown")</f>
        <v>Silver</v>
      </c>
      <c r="AA1674" t="str">
        <f t="shared" si="26"/>
        <v>2024-11</v>
      </c>
      <c r="AB1674" t="str">
        <f>IFERROR(INDEX(Products!$I:$I,MATCH(D1674,Products!$A:$A,0)),"Unknown")</f>
        <v>SUP029</v>
      </c>
    </row>
    <row r="1675" spans="1:28" x14ac:dyDescent="0.25">
      <c r="A1675" t="s">
        <v>3619</v>
      </c>
      <c r="B1675" s="20">
        <v>45449</v>
      </c>
      <c r="C1675" t="s">
        <v>3620</v>
      </c>
      <c r="D1675" t="s">
        <v>1292</v>
      </c>
      <c r="E1675" t="s">
        <v>906</v>
      </c>
      <c r="F1675" t="s">
        <v>408</v>
      </c>
      <c r="G1675">
        <v>4</v>
      </c>
      <c r="H1675" s="21">
        <v>552.12</v>
      </c>
      <c r="I1675">
        <v>0</v>
      </c>
      <c r="J1675" s="21">
        <v>0</v>
      </c>
      <c r="K1675">
        <v>5</v>
      </c>
      <c r="L1675" s="21">
        <v>110.42</v>
      </c>
      <c r="M1675" s="21">
        <v>2318.9</v>
      </c>
      <c r="N1675" s="21">
        <v>1395</v>
      </c>
      <c r="O1675" s="21">
        <v>813.48</v>
      </c>
      <c r="P1675" t="s">
        <v>126</v>
      </c>
      <c r="Q1675" t="s">
        <v>120</v>
      </c>
      <c r="R1675" t="s">
        <v>151</v>
      </c>
      <c r="S1675" t="s">
        <v>1910</v>
      </c>
      <c r="T1675" t="s">
        <v>153</v>
      </c>
      <c r="U1675" t="s">
        <v>154</v>
      </c>
      <c r="V1675" t="str">
        <f>IFERROR(INDEX(Products!$C:$C,MATCH(D1675,Products!$A:$A,0)),"Unknown")</f>
        <v>Men T-Shirts</v>
      </c>
      <c r="W1675" t="str">
        <f>IFERROR(INDEX(Products!$E:$E,MATCH(D1675,Products!$A:$A,0)),"Unknown")</f>
        <v>Metro Shoes</v>
      </c>
      <c r="X1675" t="str">
        <f>IFERROR(INDEX(Stores!$B:$B,MATCH(E1675,Stores!$A:$A,0)),"Unknown")</f>
        <v>TrendMart Vijayawada Standard</v>
      </c>
      <c r="Y1675" t="str">
        <f>IFERROR(INDEX(Stores!$E:$E,MATCH(E1675,Stores!$A:$A,0)),"Unknown")</f>
        <v>South Zone 3</v>
      </c>
      <c r="Z1675" t="str">
        <f>IFERROR(INDEX(Customers!$J:$J,MATCH(C1675,Customers!$A:$A,0)),"Unknown")</f>
        <v>Silver</v>
      </c>
      <c r="AA1675" t="str">
        <f t="shared" si="26"/>
        <v>2024-06</v>
      </c>
      <c r="AB1675" t="str">
        <f>IFERROR(INDEX(Products!$I:$I,MATCH(D1675,Products!$A:$A,0)),"Unknown")</f>
        <v>SUP024</v>
      </c>
    </row>
    <row r="1676" spans="1:28" x14ac:dyDescent="0.25">
      <c r="A1676" t="s">
        <v>3621</v>
      </c>
      <c r="B1676" s="20">
        <v>45491</v>
      </c>
      <c r="C1676" t="s">
        <v>2086</v>
      </c>
      <c r="D1676" t="s">
        <v>1454</v>
      </c>
      <c r="E1676" t="s">
        <v>175</v>
      </c>
      <c r="F1676" t="s">
        <v>532</v>
      </c>
      <c r="G1676">
        <v>3</v>
      </c>
      <c r="H1676" s="21">
        <v>754.84</v>
      </c>
      <c r="I1676">
        <v>15</v>
      </c>
      <c r="J1676" s="21">
        <v>339.68</v>
      </c>
      <c r="K1676">
        <v>5</v>
      </c>
      <c r="L1676" s="21">
        <v>96.24</v>
      </c>
      <c r="M1676" s="21">
        <v>2021.08</v>
      </c>
      <c r="N1676" s="21">
        <v>1710.54</v>
      </c>
      <c r="O1676" s="21">
        <v>214.3</v>
      </c>
      <c r="P1676" t="s">
        <v>123</v>
      </c>
      <c r="Q1676" t="s">
        <v>120</v>
      </c>
      <c r="R1676" t="s">
        <v>151</v>
      </c>
      <c r="S1676" t="s">
        <v>2764</v>
      </c>
      <c r="T1676" t="s">
        <v>153</v>
      </c>
      <c r="U1676" t="s">
        <v>154</v>
      </c>
      <c r="V1676" t="str">
        <f>IFERROR(INDEX(Products!$C:$C,MATCH(D1676,Products!$A:$A,0)),"Unknown")</f>
        <v>Wallets</v>
      </c>
      <c r="W1676" t="str">
        <f>IFERROR(INDEX(Products!$E:$E,MATCH(D1676,Products!$A:$A,0)),"Unknown")</f>
        <v>Skechers</v>
      </c>
      <c r="X1676" t="str">
        <f>IFERROR(INDEX(Stores!$B:$B,MATCH(E1676,Stores!$A:$A,0)),"Unknown")</f>
        <v>TrendMart Thoothukudi Flagship</v>
      </c>
      <c r="Y1676" t="str">
        <f>IFERROR(INDEX(Stores!$E:$E,MATCH(E1676,Stores!$A:$A,0)),"Unknown")</f>
        <v>South Zone 1</v>
      </c>
      <c r="Z1676" t="str">
        <f>IFERROR(INDEX(Customers!$J:$J,MATCH(C1676,Customers!$A:$A,0)),"Unknown")</f>
        <v>Regular</v>
      </c>
      <c r="AA1676" t="str">
        <f t="shared" si="26"/>
        <v>2024-07</v>
      </c>
      <c r="AB1676" t="str">
        <f>IFERROR(INDEX(Products!$I:$I,MATCH(D1676,Products!$A:$A,0)),"Unknown")</f>
        <v>SUP013</v>
      </c>
    </row>
    <row r="1677" spans="1:28" x14ac:dyDescent="0.25">
      <c r="A1677" t="s">
        <v>3622</v>
      </c>
      <c r="B1677" s="20">
        <v>45526</v>
      </c>
      <c r="C1677" t="s">
        <v>568</v>
      </c>
      <c r="D1677" t="s">
        <v>2759</v>
      </c>
      <c r="E1677" t="s">
        <v>252</v>
      </c>
      <c r="F1677" t="s">
        <v>182</v>
      </c>
      <c r="G1677">
        <v>3</v>
      </c>
      <c r="H1677" s="21">
        <v>692.69</v>
      </c>
      <c r="I1677">
        <v>10</v>
      </c>
      <c r="J1677" s="21">
        <v>207.81</v>
      </c>
      <c r="K1677">
        <v>5</v>
      </c>
      <c r="L1677" s="21">
        <v>93.51</v>
      </c>
      <c r="M1677" s="21">
        <v>1963.77</v>
      </c>
      <c r="N1677" s="21">
        <v>1211.7</v>
      </c>
      <c r="O1677" s="21">
        <v>658.56</v>
      </c>
      <c r="P1677" t="s">
        <v>123</v>
      </c>
      <c r="Q1677" t="s">
        <v>120</v>
      </c>
      <c r="R1677" t="s">
        <v>151</v>
      </c>
      <c r="S1677" t="s">
        <v>417</v>
      </c>
      <c r="T1677" t="s">
        <v>153</v>
      </c>
      <c r="U1677" t="s">
        <v>154</v>
      </c>
      <c r="V1677" t="str">
        <f>IFERROR(INDEX(Products!$C:$C,MATCH(D1677,Products!$A:$A,0)),"Unknown")</f>
        <v>Men T-Shirts</v>
      </c>
      <c r="W1677" t="str">
        <f>IFERROR(INDEX(Products!$E:$E,MATCH(D1677,Products!$A:$A,0)),"Unknown")</f>
        <v>Libas</v>
      </c>
      <c r="X1677" t="str">
        <f>IFERROR(INDEX(Stores!$B:$B,MATCH(E1677,Stores!$A:$A,0)),"Unknown")</f>
        <v>TrendMart Nellore Standard</v>
      </c>
      <c r="Y1677" t="str">
        <f>IFERROR(INDEX(Stores!$E:$E,MATCH(E1677,Stores!$A:$A,0)),"Unknown")</f>
        <v>South Zone 3</v>
      </c>
      <c r="Z1677" t="str">
        <f>IFERROR(INDEX(Customers!$J:$J,MATCH(C1677,Customers!$A:$A,0)),"Unknown")</f>
        <v>Regular</v>
      </c>
      <c r="AA1677" t="str">
        <f t="shared" si="26"/>
        <v>2024-08</v>
      </c>
      <c r="AB1677" t="str">
        <f>IFERROR(INDEX(Products!$I:$I,MATCH(D1677,Products!$A:$A,0)),"Unknown")</f>
        <v>SUP041</v>
      </c>
    </row>
    <row r="1678" spans="1:28" x14ac:dyDescent="0.25">
      <c r="A1678" t="s">
        <v>3623</v>
      </c>
      <c r="B1678" s="20">
        <v>45388</v>
      </c>
      <c r="C1678" t="s">
        <v>1548</v>
      </c>
      <c r="D1678" t="s">
        <v>510</v>
      </c>
      <c r="E1678" t="s">
        <v>90</v>
      </c>
      <c r="F1678" t="s">
        <v>150</v>
      </c>
      <c r="G1678">
        <v>2</v>
      </c>
      <c r="H1678" s="21">
        <v>1169.83</v>
      </c>
      <c r="I1678">
        <v>0</v>
      </c>
      <c r="J1678" s="21">
        <v>0</v>
      </c>
      <c r="K1678">
        <v>12</v>
      </c>
      <c r="L1678" s="21">
        <v>280.76</v>
      </c>
      <c r="M1678" s="21">
        <v>2620.42</v>
      </c>
      <c r="N1678" s="21">
        <v>1829.44</v>
      </c>
      <c r="O1678" s="21">
        <v>510.22</v>
      </c>
      <c r="P1678" t="s">
        <v>124</v>
      </c>
      <c r="Q1678" t="s">
        <v>120</v>
      </c>
      <c r="R1678" t="s">
        <v>313</v>
      </c>
      <c r="S1678" t="s">
        <v>2142</v>
      </c>
      <c r="T1678" t="s">
        <v>161</v>
      </c>
      <c r="U1678" t="s">
        <v>154</v>
      </c>
      <c r="V1678" t="str">
        <f>IFERROR(INDEX(Products!$C:$C,MATCH(D1678,Products!$A:$A,0)),"Unknown")</f>
        <v>Sportswear</v>
      </c>
      <c r="W1678" t="str">
        <f>IFERROR(INDEX(Products!$E:$E,MATCH(D1678,Products!$A:$A,0)),"Unknown")</f>
        <v>Liberty</v>
      </c>
      <c r="X1678" t="str">
        <f>IFERROR(INDEX(Stores!$B:$B,MATCH(E1678,Stores!$A:$A,0)),"Unknown")</f>
        <v>TrendMart Thoothukudi Mall Kiosk</v>
      </c>
      <c r="Y1678" t="str">
        <f>IFERROR(INDEX(Stores!$E:$E,MATCH(E1678,Stores!$A:$A,0)),"Unknown")</f>
        <v>South Zone 1</v>
      </c>
      <c r="Z1678" t="str">
        <f>IFERROR(INDEX(Customers!$J:$J,MATCH(C1678,Customers!$A:$A,0)),"Unknown")</f>
        <v>Gold</v>
      </c>
      <c r="AA1678" t="str">
        <f t="shared" si="26"/>
        <v>2024-04</v>
      </c>
      <c r="AB1678" t="str">
        <f>IFERROR(INDEX(Products!$I:$I,MATCH(D1678,Products!$A:$A,0)),"Unknown")</f>
        <v>SUP010</v>
      </c>
    </row>
    <row r="1679" spans="1:28" x14ac:dyDescent="0.25">
      <c r="A1679" t="s">
        <v>3624</v>
      </c>
      <c r="B1679" s="20">
        <v>45631</v>
      </c>
      <c r="C1679" t="s">
        <v>661</v>
      </c>
      <c r="D1679" t="s">
        <v>494</v>
      </c>
      <c r="E1679" t="s">
        <v>1325</v>
      </c>
      <c r="F1679" t="s">
        <v>150</v>
      </c>
      <c r="G1679">
        <v>3</v>
      </c>
      <c r="H1679" s="21">
        <v>1720.17</v>
      </c>
      <c r="I1679">
        <v>0</v>
      </c>
      <c r="J1679" s="21">
        <v>0</v>
      </c>
      <c r="K1679">
        <v>12</v>
      </c>
      <c r="L1679" s="21">
        <v>619.26</v>
      </c>
      <c r="M1679" s="21">
        <v>5779.77</v>
      </c>
      <c r="N1679" s="21">
        <v>3422.7</v>
      </c>
      <c r="O1679" s="21">
        <v>1737.81</v>
      </c>
      <c r="P1679" t="s">
        <v>121</v>
      </c>
      <c r="Q1679" t="s">
        <v>122</v>
      </c>
      <c r="R1679" t="s">
        <v>151</v>
      </c>
      <c r="S1679" t="s">
        <v>1075</v>
      </c>
      <c r="T1679" t="s">
        <v>153</v>
      </c>
      <c r="U1679" t="s">
        <v>154</v>
      </c>
      <c r="V1679" t="str">
        <f>IFERROR(INDEX(Products!$C:$C,MATCH(D1679,Products!$A:$A,0)),"Unknown")</f>
        <v>Women Dresses</v>
      </c>
      <c r="W1679" t="str">
        <f>IFERROR(INDEX(Products!$E:$E,MATCH(D1679,Products!$A:$A,0)),"Unknown")</f>
        <v>Reebok</v>
      </c>
      <c r="X1679" t="str">
        <f>IFERROR(INDEX(Stores!$B:$B,MATCH(E1679,Stores!$A:$A,0)),"Unknown")</f>
        <v>TrendMart Thrissur Standard</v>
      </c>
      <c r="Y1679" t="str">
        <f>IFERROR(INDEX(Stores!$E:$E,MATCH(E1679,Stores!$A:$A,0)),"Unknown")</f>
        <v>South Zone 1</v>
      </c>
      <c r="Z1679" t="str">
        <f>IFERROR(INDEX(Customers!$J:$J,MATCH(C1679,Customers!$A:$A,0)),"Unknown")</f>
        <v>Silver</v>
      </c>
      <c r="AA1679" t="str">
        <f t="shared" si="26"/>
        <v>2024-12</v>
      </c>
      <c r="AB1679" t="str">
        <f>IFERROR(INDEX(Products!$I:$I,MATCH(D1679,Products!$A:$A,0)),"Unknown")</f>
        <v>SUP085</v>
      </c>
    </row>
    <row r="1680" spans="1:28" x14ac:dyDescent="0.25">
      <c r="A1680" t="s">
        <v>3625</v>
      </c>
      <c r="B1680" s="20">
        <v>45694</v>
      </c>
      <c r="C1680" t="s">
        <v>1370</v>
      </c>
      <c r="D1680" t="s">
        <v>367</v>
      </c>
      <c r="E1680" t="s">
        <v>1074</v>
      </c>
      <c r="F1680" t="s">
        <v>596</v>
      </c>
      <c r="G1680">
        <v>3</v>
      </c>
      <c r="H1680" s="21">
        <v>731.38</v>
      </c>
      <c r="I1680">
        <v>10</v>
      </c>
      <c r="J1680" s="21">
        <v>219.41</v>
      </c>
      <c r="K1680">
        <v>3</v>
      </c>
      <c r="L1680" s="21">
        <v>59.24</v>
      </c>
      <c r="M1680" s="21">
        <v>2033.97</v>
      </c>
      <c r="N1680" s="21">
        <v>1670.97</v>
      </c>
      <c r="O1680" s="21">
        <v>303.76</v>
      </c>
      <c r="P1680" t="s">
        <v>125</v>
      </c>
      <c r="Q1680" t="s">
        <v>120</v>
      </c>
      <c r="R1680" t="s">
        <v>151</v>
      </c>
      <c r="S1680" t="s">
        <v>2308</v>
      </c>
      <c r="T1680" t="s">
        <v>153</v>
      </c>
      <c r="U1680" t="s">
        <v>154</v>
      </c>
      <c r="V1680" t="str">
        <f>IFERROR(INDEX(Products!$C:$C,MATCH(D1680,Products!$A:$A,0)),"Unknown")</f>
        <v>Jewellery</v>
      </c>
      <c r="W1680" t="str">
        <f>IFERROR(INDEX(Products!$E:$E,MATCH(D1680,Products!$A:$A,0)),"Unknown")</f>
        <v>Aurelia</v>
      </c>
      <c r="X1680" t="str">
        <f>IFERROR(INDEX(Stores!$B:$B,MATCH(E1680,Stores!$A:$A,0)),"Unknown")</f>
        <v>TrendMart Hyderabad Standard</v>
      </c>
      <c r="Y1680" t="str">
        <f>IFERROR(INDEX(Stores!$E:$E,MATCH(E1680,Stores!$A:$A,0)),"Unknown")</f>
        <v>South Zone 2</v>
      </c>
      <c r="Z1680" t="str">
        <f>IFERROR(INDEX(Customers!$J:$J,MATCH(C1680,Customers!$A:$A,0)),"Unknown")</f>
        <v>Regular</v>
      </c>
      <c r="AA1680" t="str">
        <f t="shared" si="26"/>
        <v>2025-02</v>
      </c>
      <c r="AB1680" t="str">
        <f>IFERROR(INDEX(Products!$I:$I,MATCH(D1680,Products!$A:$A,0)),"Unknown")</f>
        <v>SUP067</v>
      </c>
    </row>
    <row r="1681" spans="1:28" x14ac:dyDescent="0.25">
      <c r="A1681" t="s">
        <v>3626</v>
      </c>
      <c r="B1681" s="20">
        <v>45491</v>
      </c>
      <c r="C1681" t="s">
        <v>2375</v>
      </c>
      <c r="D1681" t="s">
        <v>1130</v>
      </c>
      <c r="E1681" t="s">
        <v>451</v>
      </c>
      <c r="F1681" t="s">
        <v>408</v>
      </c>
      <c r="G1681">
        <v>2</v>
      </c>
      <c r="H1681" s="21">
        <v>3756.82</v>
      </c>
      <c r="I1681">
        <v>15</v>
      </c>
      <c r="J1681" s="21">
        <v>1127.05</v>
      </c>
      <c r="K1681">
        <v>12</v>
      </c>
      <c r="L1681" s="21">
        <v>766.39</v>
      </c>
      <c r="M1681" s="21">
        <v>7152.98</v>
      </c>
      <c r="N1681" s="21">
        <v>5464.62</v>
      </c>
      <c r="O1681" s="21">
        <v>921.97</v>
      </c>
      <c r="P1681" t="s">
        <v>125</v>
      </c>
      <c r="Q1681" t="s">
        <v>120</v>
      </c>
      <c r="R1681" t="s">
        <v>151</v>
      </c>
      <c r="S1681" t="s">
        <v>3627</v>
      </c>
      <c r="T1681" t="s">
        <v>153</v>
      </c>
      <c r="U1681" t="s">
        <v>154</v>
      </c>
      <c r="V1681" t="str">
        <f>IFERROR(INDEX(Products!$C:$C,MATCH(D1681,Products!$A:$A,0)),"Unknown")</f>
        <v>Women Sarees</v>
      </c>
      <c r="W1681" t="str">
        <f>IFERROR(INDEX(Products!$E:$E,MATCH(D1681,Products!$A:$A,0)),"Unknown")</f>
        <v>Sparx</v>
      </c>
      <c r="X1681" t="str">
        <f>IFERROR(INDEX(Stores!$B:$B,MATCH(E1681,Stores!$A:$A,0)),"Unknown")</f>
        <v>TrendMart Thoothukudi High Street</v>
      </c>
      <c r="Y1681" t="str">
        <f>IFERROR(INDEX(Stores!$E:$E,MATCH(E1681,Stores!$A:$A,0)),"Unknown")</f>
        <v>South Zone 1</v>
      </c>
      <c r="Z1681" t="str">
        <f>IFERROR(INDEX(Customers!$J:$J,MATCH(C1681,Customers!$A:$A,0)),"Unknown")</f>
        <v>Silver</v>
      </c>
      <c r="AA1681" t="str">
        <f t="shared" si="26"/>
        <v>2024-07</v>
      </c>
      <c r="AB1681" t="str">
        <f>IFERROR(INDEX(Products!$I:$I,MATCH(D1681,Products!$A:$A,0)),"Unknown")</f>
        <v>SUP069</v>
      </c>
    </row>
    <row r="1682" spans="1:28" x14ac:dyDescent="0.25">
      <c r="A1682" t="s">
        <v>3628</v>
      </c>
      <c r="B1682" s="20">
        <v>45570</v>
      </c>
      <c r="C1682" t="s">
        <v>2529</v>
      </c>
      <c r="D1682" t="s">
        <v>531</v>
      </c>
      <c r="E1682" t="s">
        <v>90</v>
      </c>
      <c r="F1682" t="s">
        <v>550</v>
      </c>
      <c r="G1682">
        <v>1</v>
      </c>
      <c r="H1682" s="21">
        <v>3649.66</v>
      </c>
      <c r="I1682">
        <v>5</v>
      </c>
      <c r="J1682" s="21">
        <v>182.48</v>
      </c>
      <c r="K1682">
        <v>12</v>
      </c>
      <c r="L1682" s="21">
        <v>416.06</v>
      </c>
      <c r="M1682" s="21">
        <v>3883.24</v>
      </c>
      <c r="N1682" s="21">
        <v>2034.01</v>
      </c>
      <c r="O1682" s="21">
        <v>1433.17</v>
      </c>
      <c r="P1682" t="s">
        <v>123</v>
      </c>
      <c r="Q1682" t="s">
        <v>122</v>
      </c>
      <c r="R1682" t="s">
        <v>151</v>
      </c>
      <c r="S1682" t="s">
        <v>2288</v>
      </c>
      <c r="T1682" t="s">
        <v>161</v>
      </c>
      <c r="U1682" t="s">
        <v>154</v>
      </c>
      <c r="V1682" t="str">
        <f>IFERROR(INDEX(Products!$C:$C,MATCH(D1682,Products!$A:$A,0)),"Unknown")</f>
        <v>Handbags</v>
      </c>
      <c r="W1682" t="str">
        <f>IFERROR(INDEX(Products!$E:$E,MATCH(D1682,Products!$A:$A,0)),"Unknown")</f>
        <v>GRT Jewellers</v>
      </c>
      <c r="X1682" t="str">
        <f>IFERROR(INDEX(Stores!$B:$B,MATCH(E1682,Stores!$A:$A,0)),"Unknown")</f>
        <v>TrendMart Thoothukudi Mall Kiosk</v>
      </c>
      <c r="Y1682" t="str">
        <f>IFERROR(INDEX(Stores!$E:$E,MATCH(E1682,Stores!$A:$A,0)),"Unknown")</f>
        <v>South Zone 1</v>
      </c>
      <c r="Z1682" t="str">
        <f>IFERROR(INDEX(Customers!$J:$J,MATCH(C1682,Customers!$A:$A,0)),"Unknown")</f>
        <v>Regular</v>
      </c>
      <c r="AA1682" t="str">
        <f t="shared" si="26"/>
        <v>2024-10</v>
      </c>
      <c r="AB1682" t="str">
        <f>IFERROR(INDEX(Products!$I:$I,MATCH(D1682,Products!$A:$A,0)),"Unknown")</f>
        <v>SUP047</v>
      </c>
    </row>
    <row r="1683" spans="1:28" x14ac:dyDescent="0.25">
      <c r="A1683" t="s">
        <v>3629</v>
      </c>
      <c r="B1683" s="20">
        <v>45570</v>
      </c>
      <c r="C1683" t="s">
        <v>3248</v>
      </c>
      <c r="D1683" t="s">
        <v>273</v>
      </c>
      <c r="E1683" t="s">
        <v>1512</v>
      </c>
      <c r="F1683" t="s">
        <v>532</v>
      </c>
      <c r="G1683">
        <v>1</v>
      </c>
      <c r="H1683" s="21">
        <v>1469.21</v>
      </c>
      <c r="I1683">
        <v>0</v>
      </c>
      <c r="J1683" s="21">
        <v>0</v>
      </c>
      <c r="K1683">
        <v>12</v>
      </c>
      <c r="L1683" s="21">
        <v>176.31</v>
      </c>
      <c r="M1683" s="21">
        <v>1645.52</v>
      </c>
      <c r="N1683" s="21">
        <v>876.92</v>
      </c>
      <c r="O1683" s="21">
        <v>592.29</v>
      </c>
      <c r="P1683" t="s">
        <v>124</v>
      </c>
      <c r="Q1683" t="s">
        <v>120</v>
      </c>
      <c r="R1683" t="s">
        <v>151</v>
      </c>
      <c r="S1683" t="s">
        <v>1662</v>
      </c>
      <c r="T1683" t="s">
        <v>161</v>
      </c>
      <c r="U1683" t="s">
        <v>154</v>
      </c>
      <c r="V1683" t="str">
        <f>IFERROR(INDEX(Products!$C:$C,MATCH(D1683,Products!$A:$A,0)),"Unknown")</f>
        <v>Women Kurtis</v>
      </c>
      <c r="W1683" t="str">
        <f>IFERROR(INDEX(Products!$E:$E,MATCH(D1683,Products!$A:$A,0)),"Unknown")</f>
        <v>Indian Terrain</v>
      </c>
      <c r="X1683" t="str">
        <f>IFERROR(INDEX(Stores!$B:$B,MATCH(E1683,Stores!$A:$A,0)),"Unknown")</f>
        <v>TrendMart Erode Mall Kiosk</v>
      </c>
      <c r="Y1683" t="str">
        <f>IFERROR(INDEX(Stores!$E:$E,MATCH(E1683,Stores!$A:$A,0)),"Unknown")</f>
        <v>South Zone 1</v>
      </c>
      <c r="Z1683" t="str">
        <f>IFERROR(INDEX(Customers!$J:$J,MATCH(C1683,Customers!$A:$A,0)),"Unknown")</f>
        <v>Platinum</v>
      </c>
      <c r="AA1683" t="str">
        <f t="shared" si="26"/>
        <v>2024-10</v>
      </c>
      <c r="AB1683" t="str">
        <f>IFERROR(INDEX(Products!$I:$I,MATCH(D1683,Products!$A:$A,0)),"Unknown")</f>
        <v>SUP006</v>
      </c>
    </row>
    <row r="1684" spans="1:28" x14ac:dyDescent="0.25">
      <c r="A1684" t="s">
        <v>3630</v>
      </c>
      <c r="B1684" s="20">
        <v>45387</v>
      </c>
      <c r="C1684" t="s">
        <v>3631</v>
      </c>
      <c r="D1684" t="s">
        <v>905</v>
      </c>
      <c r="E1684" t="s">
        <v>302</v>
      </c>
      <c r="F1684" t="s">
        <v>182</v>
      </c>
      <c r="G1684">
        <v>1</v>
      </c>
      <c r="H1684" s="21">
        <v>556.62</v>
      </c>
      <c r="I1684">
        <v>0</v>
      </c>
      <c r="J1684" s="21">
        <v>0</v>
      </c>
      <c r="K1684">
        <v>5</v>
      </c>
      <c r="L1684" s="21">
        <v>27.83</v>
      </c>
      <c r="M1684" s="21">
        <v>584.45000000000005</v>
      </c>
      <c r="N1684" s="21">
        <v>371.12</v>
      </c>
      <c r="O1684" s="21">
        <v>185.5</v>
      </c>
      <c r="P1684" t="s">
        <v>121</v>
      </c>
      <c r="Q1684" t="s">
        <v>122</v>
      </c>
      <c r="R1684" t="s">
        <v>151</v>
      </c>
      <c r="S1684" t="s">
        <v>2472</v>
      </c>
      <c r="T1684" t="s">
        <v>153</v>
      </c>
      <c r="U1684" t="s">
        <v>154</v>
      </c>
      <c r="V1684" t="str">
        <f>IFERROR(INDEX(Products!$C:$C,MATCH(D1684,Products!$A:$A,0)),"Unknown")</f>
        <v>Wallets</v>
      </c>
      <c r="W1684" t="str">
        <f>IFERROR(INDEX(Products!$E:$E,MATCH(D1684,Products!$A:$A,0)),"Unknown")</f>
        <v>Global Desi</v>
      </c>
      <c r="X1684" t="str">
        <f>IFERROR(INDEX(Stores!$B:$B,MATCH(E1684,Stores!$A:$A,0)),"Unknown")</f>
        <v>TrendMart Visakhapatnam Standard</v>
      </c>
      <c r="Y1684" t="str">
        <f>IFERROR(INDEX(Stores!$E:$E,MATCH(E1684,Stores!$A:$A,0)),"Unknown")</f>
        <v>South Zone 3</v>
      </c>
      <c r="Z1684" t="str">
        <f>IFERROR(INDEX(Customers!$J:$J,MATCH(C1684,Customers!$A:$A,0)),"Unknown")</f>
        <v>Platinum</v>
      </c>
      <c r="AA1684" t="str">
        <f t="shared" si="26"/>
        <v>2024-04</v>
      </c>
      <c r="AB1684" t="str">
        <f>IFERROR(INDEX(Products!$I:$I,MATCH(D1684,Products!$A:$A,0)),"Unknown")</f>
        <v>SUP051</v>
      </c>
    </row>
    <row r="1685" spans="1:28" x14ac:dyDescent="0.25">
      <c r="A1685" t="s">
        <v>3632</v>
      </c>
      <c r="B1685" s="20">
        <v>45640</v>
      </c>
      <c r="C1685" t="s">
        <v>3482</v>
      </c>
      <c r="D1685" t="s">
        <v>1219</v>
      </c>
      <c r="E1685" t="s">
        <v>630</v>
      </c>
      <c r="F1685" t="s">
        <v>532</v>
      </c>
      <c r="G1685">
        <v>1</v>
      </c>
      <c r="H1685" s="21">
        <v>3021.76</v>
      </c>
      <c r="I1685">
        <v>20</v>
      </c>
      <c r="J1685" s="21">
        <v>604.35</v>
      </c>
      <c r="K1685">
        <v>12</v>
      </c>
      <c r="L1685" s="21">
        <v>290.08999999999997</v>
      </c>
      <c r="M1685" s="21">
        <v>2707.5</v>
      </c>
      <c r="N1685" s="21">
        <v>2039.7</v>
      </c>
      <c r="O1685" s="21">
        <v>377.71</v>
      </c>
      <c r="P1685" t="s">
        <v>121</v>
      </c>
      <c r="Q1685" t="s">
        <v>120</v>
      </c>
      <c r="R1685" t="s">
        <v>151</v>
      </c>
      <c r="S1685" t="s">
        <v>1014</v>
      </c>
      <c r="T1685" t="s">
        <v>161</v>
      </c>
      <c r="U1685" t="s">
        <v>154</v>
      </c>
      <c r="V1685" t="str">
        <f>IFERROR(INDEX(Products!$C:$C,MATCH(D1685,Products!$A:$A,0)),"Unknown")</f>
        <v>Watches</v>
      </c>
      <c r="W1685" t="str">
        <f>IFERROR(INDEX(Products!$E:$E,MATCH(D1685,Products!$A:$A,0)),"Unknown")</f>
        <v>Fossil</v>
      </c>
      <c r="X1685" t="str">
        <f>IFERROR(INDEX(Stores!$B:$B,MATCH(E1685,Stores!$A:$A,0)),"Unknown")</f>
        <v>TrendMart Guntur Standard</v>
      </c>
      <c r="Y1685" t="str">
        <f>IFERROR(INDEX(Stores!$E:$E,MATCH(E1685,Stores!$A:$A,0)),"Unknown")</f>
        <v>South Zone 3</v>
      </c>
      <c r="Z1685" t="str">
        <f>IFERROR(INDEX(Customers!$J:$J,MATCH(C1685,Customers!$A:$A,0)),"Unknown")</f>
        <v>Platinum</v>
      </c>
      <c r="AA1685" t="str">
        <f t="shared" si="26"/>
        <v>2024-12</v>
      </c>
      <c r="AB1685" t="str">
        <f>IFERROR(INDEX(Products!$I:$I,MATCH(D1685,Products!$A:$A,0)),"Unknown")</f>
        <v>SUP054</v>
      </c>
    </row>
    <row r="1686" spans="1:28" x14ac:dyDescent="0.25">
      <c r="A1686" t="s">
        <v>3633</v>
      </c>
      <c r="B1686" s="20">
        <v>45453</v>
      </c>
      <c r="C1686" t="s">
        <v>3634</v>
      </c>
      <c r="D1686" t="s">
        <v>329</v>
      </c>
      <c r="E1686" t="s">
        <v>81</v>
      </c>
      <c r="F1686" t="s">
        <v>159</v>
      </c>
      <c r="G1686">
        <v>4</v>
      </c>
      <c r="H1686" s="21">
        <v>667.77</v>
      </c>
      <c r="I1686">
        <v>15</v>
      </c>
      <c r="J1686" s="21">
        <v>400.66</v>
      </c>
      <c r="K1686">
        <v>5</v>
      </c>
      <c r="L1686" s="21">
        <v>113.52</v>
      </c>
      <c r="M1686" s="21">
        <v>2383.94</v>
      </c>
      <c r="N1686" s="21">
        <v>1677.12</v>
      </c>
      <c r="O1686" s="21">
        <v>593.29999999999995</v>
      </c>
      <c r="P1686" t="s">
        <v>121</v>
      </c>
      <c r="Q1686" t="s">
        <v>120</v>
      </c>
      <c r="R1686" t="s">
        <v>151</v>
      </c>
      <c r="S1686" t="s">
        <v>417</v>
      </c>
      <c r="T1686" t="s">
        <v>153</v>
      </c>
      <c r="U1686" t="s">
        <v>154</v>
      </c>
      <c r="V1686" t="str">
        <f>IFERROR(INDEX(Products!$C:$C,MATCH(D1686,Products!$A:$A,0)),"Unknown")</f>
        <v>Men T-Shirts</v>
      </c>
      <c r="W1686" t="str">
        <f>IFERROR(INDEX(Products!$E:$E,MATCH(D1686,Products!$A:$A,0)),"Unknown")</f>
        <v>Peter England</v>
      </c>
      <c r="X1686" t="str">
        <f>IFERROR(INDEX(Stores!$B:$B,MATCH(E1686,Stores!$A:$A,0)),"Unknown")</f>
        <v>TrendMart Vijayawada High Street</v>
      </c>
      <c r="Y1686" t="str">
        <f>IFERROR(INDEX(Stores!$E:$E,MATCH(E1686,Stores!$A:$A,0)),"Unknown")</f>
        <v>South Zone 3</v>
      </c>
      <c r="Z1686" t="str">
        <f>IFERROR(INDEX(Customers!$J:$J,MATCH(C1686,Customers!$A:$A,0)),"Unknown")</f>
        <v>Silver</v>
      </c>
      <c r="AA1686" t="str">
        <f t="shared" si="26"/>
        <v>2024-06</v>
      </c>
      <c r="AB1686" t="str">
        <f>IFERROR(INDEX(Products!$I:$I,MATCH(D1686,Products!$A:$A,0)),"Unknown")</f>
        <v>SUP071</v>
      </c>
    </row>
    <row r="1687" spans="1:28" x14ac:dyDescent="0.25">
      <c r="A1687" t="s">
        <v>3635</v>
      </c>
      <c r="B1687" s="20">
        <v>45736</v>
      </c>
      <c r="C1687" t="s">
        <v>1248</v>
      </c>
      <c r="D1687" t="s">
        <v>1616</v>
      </c>
      <c r="E1687" t="s">
        <v>1426</v>
      </c>
      <c r="F1687" t="s">
        <v>297</v>
      </c>
      <c r="G1687">
        <v>2</v>
      </c>
      <c r="H1687" s="21">
        <v>4715</v>
      </c>
      <c r="I1687">
        <v>25</v>
      </c>
      <c r="J1687" s="21">
        <v>2357.5</v>
      </c>
      <c r="K1687">
        <v>12</v>
      </c>
      <c r="L1687" s="21">
        <v>848.7</v>
      </c>
      <c r="M1687" s="21">
        <v>7921.2</v>
      </c>
      <c r="N1687" s="21">
        <v>6046.26</v>
      </c>
      <c r="O1687" s="21">
        <v>1026.24</v>
      </c>
      <c r="P1687" t="s">
        <v>125</v>
      </c>
      <c r="Q1687" t="s">
        <v>120</v>
      </c>
      <c r="R1687" t="s">
        <v>151</v>
      </c>
      <c r="S1687" t="s">
        <v>2410</v>
      </c>
      <c r="T1687" t="s">
        <v>153</v>
      </c>
      <c r="U1687" t="s">
        <v>154</v>
      </c>
      <c r="V1687" t="str">
        <f>IFERROR(INDEX(Products!$C:$C,MATCH(D1687,Products!$A:$A,0)),"Unknown")</f>
        <v>Women Sarees</v>
      </c>
      <c r="W1687" t="str">
        <f>IFERROR(INDEX(Products!$E:$E,MATCH(D1687,Products!$A:$A,0)),"Unknown")</f>
        <v>Max Fashion</v>
      </c>
      <c r="X1687" t="str">
        <f>IFERROR(INDEX(Stores!$B:$B,MATCH(E1687,Stores!$A:$A,0)),"Unknown")</f>
        <v>TrendMart Alappuzha Mall Kiosk</v>
      </c>
      <c r="Y1687" t="str">
        <f>IFERROR(INDEX(Stores!$E:$E,MATCH(E1687,Stores!$A:$A,0)),"Unknown")</f>
        <v>South Zone 1</v>
      </c>
      <c r="Z1687" t="str">
        <f>IFERROR(INDEX(Customers!$J:$J,MATCH(C1687,Customers!$A:$A,0)),"Unknown")</f>
        <v>Gold</v>
      </c>
      <c r="AA1687" t="str">
        <f t="shared" si="26"/>
        <v>2025-03</v>
      </c>
      <c r="AB1687" t="str">
        <f>IFERROR(INDEX(Products!$I:$I,MATCH(D1687,Products!$A:$A,0)),"Unknown")</f>
        <v>SUP047</v>
      </c>
    </row>
    <row r="1688" spans="1:28" x14ac:dyDescent="0.25">
      <c r="A1688" t="s">
        <v>3636</v>
      </c>
      <c r="B1688" s="20">
        <v>45651</v>
      </c>
      <c r="C1688" t="s">
        <v>3221</v>
      </c>
      <c r="D1688" t="s">
        <v>1140</v>
      </c>
      <c r="E1688" t="s">
        <v>1017</v>
      </c>
      <c r="F1688" t="s">
        <v>281</v>
      </c>
      <c r="G1688">
        <v>1</v>
      </c>
      <c r="H1688" s="21">
        <v>1356.88</v>
      </c>
      <c r="I1688">
        <v>20</v>
      </c>
      <c r="J1688" s="21">
        <v>271.38</v>
      </c>
      <c r="K1688">
        <v>12</v>
      </c>
      <c r="L1688" s="21">
        <v>130.26</v>
      </c>
      <c r="M1688" s="21">
        <v>1215.76</v>
      </c>
      <c r="N1688" s="21">
        <v>894.68</v>
      </c>
      <c r="O1688" s="21">
        <v>190.82</v>
      </c>
      <c r="P1688" t="s">
        <v>124</v>
      </c>
      <c r="Q1688" t="s">
        <v>120</v>
      </c>
      <c r="R1688" t="s">
        <v>151</v>
      </c>
      <c r="S1688" t="s">
        <v>388</v>
      </c>
      <c r="T1688" t="s">
        <v>153</v>
      </c>
      <c r="U1688" t="s">
        <v>154</v>
      </c>
      <c r="V1688" t="str">
        <f>IFERROR(INDEX(Products!$C:$C,MATCH(D1688,Products!$A:$A,0)),"Unknown")</f>
        <v>Sportswear</v>
      </c>
      <c r="W1688" t="str">
        <f>IFERROR(INDEX(Products!$E:$E,MATCH(D1688,Products!$A:$A,0)),"Unknown")</f>
        <v>Bata</v>
      </c>
      <c r="X1688" t="str">
        <f>IFERROR(INDEX(Stores!$B:$B,MATCH(E1688,Stores!$A:$A,0)),"Unknown")</f>
        <v>TrendMart Mangaluru Standard</v>
      </c>
      <c r="Y1688" t="str">
        <f>IFERROR(INDEX(Stores!$E:$E,MATCH(E1688,Stores!$A:$A,0)),"Unknown")</f>
        <v>South Zone 2</v>
      </c>
      <c r="Z1688" t="str">
        <f>IFERROR(INDEX(Customers!$J:$J,MATCH(C1688,Customers!$A:$A,0)),"Unknown")</f>
        <v>Silver</v>
      </c>
      <c r="AA1688" t="str">
        <f t="shared" si="26"/>
        <v>2024-12</v>
      </c>
      <c r="AB1688" t="str">
        <f>IFERROR(INDEX(Products!$I:$I,MATCH(D1688,Products!$A:$A,0)),"Unknown")</f>
        <v>SUP065</v>
      </c>
    </row>
    <row r="1689" spans="1:28" x14ac:dyDescent="0.25">
      <c r="A1689" t="s">
        <v>3637</v>
      </c>
      <c r="B1689" s="20">
        <v>45699</v>
      </c>
      <c r="C1689" t="s">
        <v>2797</v>
      </c>
      <c r="D1689" t="s">
        <v>236</v>
      </c>
      <c r="E1689" t="s">
        <v>247</v>
      </c>
      <c r="F1689" t="s">
        <v>382</v>
      </c>
      <c r="G1689">
        <v>1</v>
      </c>
      <c r="H1689" s="21">
        <v>823.7</v>
      </c>
      <c r="I1689">
        <v>25</v>
      </c>
      <c r="J1689" s="21">
        <v>205.93</v>
      </c>
      <c r="K1689">
        <v>5</v>
      </c>
      <c r="L1689" s="21">
        <v>30.89</v>
      </c>
      <c r="M1689" s="21">
        <v>648.66</v>
      </c>
      <c r="N1689" s="21">
        <v>550.01</v>
      </c>
      <c r="O1689" s="21">
        <v>67.760000000000005</v>
      </c>
      <c r="P1689" t="s">
        <v>121</v>
      </c>
      <c r="Q1689" t="s">
        <v>120</v>
      </c>
      <c r="R1689" t="s">
        <v>151</v>
      </c>
      <c r="S1689" t="s">
        <v>1532</v>
      </c>
      <c r="T1689" t="s">
        <v>153</v>
      </c>
      <c r="U1689" t="s">
        <v>154</v>
      </c>
      <c r="V1689" t="str">
        <f>IFERROR(INDEX(Products!$C:$C,MATCH(D1689,Products!$A:$A,0)),"Unknown")</f>
        <v>Women Tops</v>
      </c>
      <c r="W1689" t="str">
        <f>IFERROR(INDEX(Products!$E:$E,MATCH(D1689,Products!$A:$A,0)),"Unknown")</f>
        <v>Nike</v>
      </c>
      <c r="X1689" t="str">
        <f>IFERROR(INDEX(Stores!$B:$B,MATCH(E1689,Stores!$A:$A,0)),"Unknown")</f>
        <v>TrendMart Tirupati Outlet</v>
      </c>
      <c r="Y1689" t="str">
        <f>IFERROR(INDEX(Stores!$E:$E,MATCH(E1689,Stores!$A:$A,0)),"Unknown")</f>
        <v>South Zone 3</v>
      </c>
      <c r="Z1689" t="str">
        <f>IFERROR(INDEX(Customers!$J:$J,MATCH(C1689,Customers!$A:$A,0)),"Unknown")</f>
        <v>Regular</v>
      </c>
      <c r="AA1689" t="str">
        <f t="shared" si="26"/>
        <v>2025-02</v>
      </c>
      <c r="AB1689" t="str">
        <f>IFERROR(INDEX(Products!$I:$I,MATCH(D1689,Products!$A:$A,0)),"Unknown")</f>
        <v>SUP075</v>
      </c>
    </row>
    <row r="1690" spans="1:28" x14ac:dyDescent="0.25">
      <c r="A1690" t="s">
        <v>3638</v>
      </c>
      <c r="B1690" s="20">
        <v>45508</v>
      </c>
      <c r="C1690" t="s">
        <v>3419</v>
      </c>
      <c r="D1690" t="s">
        <v>3068</v>
      </c>
      <c r="E1690" t="s">
        <v>101</v>
      </c>
      <c r="F1690" t="s">
        <v>335</v>
      </c>
      <c r="G1690">
        <v>1</v>
      </c>
      <c r="H1690" s="21">
        <v>3118.72</v>
      </c>
      <c r="I1690">
        <v>5</v>
      </c>
      <c r="J1690" s="21">
        <v>155.94</v>
      </c>
      <c r="K1690">
        <v>12</v>
      </c>
      <c r="L1690" s="21">
        <v>355.53</v>
      </c>
      <c r="M1690" s="21">
        <v>3318.31</v>
      </c>
      <c r="N1690" s="21">
        <v>2149.6999999999998</v>
      </c>
      <c r="O1690" s="21">
        <v>813.08</v>
      </c>
      <c r="P1690" t="s">
        <v>124</v>
      </c>
      <c r="Q1690" t="s">
        <v>120</v>
      </c>
      <c r="R1690" t="s">
        <v>151</v>
      </c>
      <c r="S1690" t="s">
        <v>1858</v>
      </c>
      <c r="T1690" t="s">
        <v>161</v>
      </c>
      <c r="U1690" t="s">
        <v>154</v>
      </c>
      <c r="V1690" t="str">
        <f>IFERROR(INDEX(Products!$C:$C,MATCH(D1690,Products!$A:$A,0)),"Unknown")</f>
        <v>Footwear</v>
      </c>
      <c r="W1690" t="str">
        <f>IFERROR(INDEX(Products!$E:$E,MATCH(D1690,Products!$A:$A,0)),"Unknown")</f>
        <v>Bata</v>
      </c>
      <c r="X1690" t="str">
        <f>IFERROR(INDEX(Stores!$B:$B,MATCH(E1690,Stores!$A:$A,0)),"Unknown")</f>
        <v>TrendMart Kurnool Standard</v>
      </c>
      <c r="Y1690" t="str">
        <f>IFERROR(INDEX(Stores!$E:$E,MATCH(E1690,Stores!$A:$A,0)),"Unknown")</f>
        <v>South Zone 3</v>
      </c>
      <c r="Z1690" t="str">
        <f>IFERROR(INDEX(Customers!$J:$J,MATCH(C1690,Customers!$A:$A,0)),"Unknown")</f>
        <v>Regular</v>
      </c>
      <c r="AA1690" t="str">
        <f t="shared" si="26"/>
        <v>2024-08</v>
      </c>
      <c r="AB1690" t="str">
        <f>IFERROR(INDEX(Products!$I:$I,MATCH(D1690,Products!$A:$A,0)),"Unknown")</f>
        <v>SUP074</v>
      </c>
    </row>
    <row r="1691" spans="1:28" x14ac:dyDescent="0.25">
      <c r="A1691" t="s">
        <v>3639</v>
      </c>
      <c r="B1691" s="20">
        <v>45406</v>
      </c>
      <c r="C1691" t="s">
        <v>1660</v>
      </c>
      <c r="D1691" t="s">
        <v>1063</v>
      </c>
      <c r="E1691" t="s">
        <v>1962</v>
      </c>
      <c r="F1691" t="s">
        <v>150</v>
      </c>
      <c r="G1691">
        <v>2</v>
      </c>
      <c r="H1691" s="21">
        <v>960.36</v>
      </c>
      <c r="I1691">
        <v>5</v>
      </c>
      <c r="J1691" s="21">
        <v>96.04</v>
      </c>
      <c r="K1691">
        <v>5</v>
      </c>
      <c r="L1691" s="21">
        <v>91.23</v>
      </c>
      <c r="M1691" s="21">
        <v>1915.91</v>
      </c>
      <c r="N1691" s="21">
        <v>1153.94</v>
      </c>
      <c r="O1691" s="21">
        <v>670.74</v>
      </c>
      <c r="P1691" t="s">
        <v>123</v>
      </c>
      <c r="Q1691" t="s">
        <v>120</v>
      </c>
      <c r="R1691" t="s">
        <v>151</v>
      </c>
      <c r="S1691" t="s">
        <v>1161</v>
      </c>
      <c r="T1691" t="s">
        <v>153</v>
      </c>
      <c r="U1691" t="s">
        <v>154</v>
      </c>
      <c r="V1691" t="str">
        <f>IFERROR(INDEX(Products!$C:$C,MATCH(D1691,Products!$A:$A,0)),"Unknown")</f>
        <v>Accessories</v>
      </c>
      <c r="W1691" t="str">
        <f>IFERROR(INDEX(Products!$E:$E,MATCH(D1691,Products!$A:$A,0)),"Unknown")</f>
        <v>Pepe Jeans</v>
      </c>
      <c r="X1691" t="str">
        <f>IFERROR(INDEX(Stores!$B:$B,MATCH(E1691,Stores!$A:$A,0)),"Unknown")</f>
        <v>TrendMart Guntur High Street</v>
      </c>
      <c r="Y1691" t="str">
        <f>IFERROR(INDEX(Stores!$E:$E,MATCH(E1691,Stores!$A:$A,0)),"Unknown")</f>
        <v>South Zone 3</v>
      </c>
      <c r="Z1691" t="str">
        <f>IFERROR(INDEX(Customers!$J:$J,MATCH(C1691,Customers!$A:$A,0)),"Unknown")</f>
        <v>Regular</v>
      </c>
      <c r="AA1691" t="str">
        <f t="shared" si="26"/>
        <v>2024-04</v>
      </c>
      <c r="AB1691" t="str">
        <f>IFERROR(INDEX(Products!$I:$I,MATCH(D1691,Products!$A:$A,0)),"Unknown")</f>
        <v>SUP056</v>
      </c>
    </row>
    <row r="1692" spans="1:28" x14ac:dyDescent="0.25">
      <c r="A1692" t="s">
        <v>3640</v>
      </c>
      <c r="B1692" s="20">
        <v>45637</v>
      </c>
      <c r="C1692" t="s">
        <v>2248</v>
      </c>
      <c r="D1692" t="s">
        <v>531</v>
      </c>
      <c r="E1692" t="s">
        <v>1171</v>
      </c>
      <c r="F1692" t="s">
        <v>150</v>
      </c>
      <c r="G1692">
        <v>1</v>
      </c>
      <c r="H1692" s="21">
        <v>3110.53</v>
      </c>
      <c r="I1692">
        <v>5</v>
      </c>
      <c r="J1692" s="21">
        <v>155.53</v>
      </c>
      <c r="K1692">
        <v>12</v>
      </c>
      <c r="L1692" s="21">
        <v>354.6</v>
      </c>
      <c r="M1692" s="21">
        <v>3309.6</v>
      </c>
      <c r="N1692" s="21">
        <v>2034.01</v>
      </c>
      <c r="O1692" s="21">
        <v>920.99</v>
      </c>
      <c r="P1692" t="s">
        <v>121</v>
      </c>
      <c r="Q1692" t="s">
        <v>122</v>
      </c>
      <c r="R1692" t="s">
        <v>151</v>
      </c>
      <c r="S1692" t="s">
        <v>955</v>
      </c>
      <c r="T1692" t="s">
        <v>153</v>
      </c>
      <c r="U1692" t="s">
        <v>154</v>
      </c>
      <c r="V1692" t="str">
        <f>IFERROR(INDEX(Products!$C:$C,MATCH(D1692,Products!$A:$A,0)),"Unknown")</f>
        <v>Handbags</v>
      </c>
      <c r="W1692" t="str">
        <f>IFERROR(INDEX(Products!$E:$E,MATCH(D1692,Products!$A:$A,0)),"Unknown")</f>
        <v>GRT Jewellers</v>
      </c>
      <c r="X1692" t="str">
        <f>IFERROR(INDEX(Stores!$B:$B,MATCH(E1692,Stores!$A:$A,0)),"Unknown")</f>
        <v>TrendMart Chennai Standard</v>
      </c>
      <c r="Y1692" t="str">
        <f>IFERROR(INDEX(Stores!$E:$E,MATCH(E1692,Stores!$A:$A,0)),"Unknown")</f>
        <v>South Zone 1</v>
      </c>
      <c r="Z1692" t="str">
        <f>IFERROR(INDEX(Customers!$J:$J,MATCH(C1692,Customers!$A:$A,0)),"Unknown")</f>
        <v>Silver</v>
      </c>
      <c r="AA1692" t="str">
        <f t="shared" si="26"/>
        <v>2024-12</v>
      </c>
      <c r="AB1692" t="str">
        <f>IFERROR(INDEX(Products!$I:$I,MATCH(D1692,Products!$A:$A,0)),"Unknown")</f>
        <v>SUP047</v>
      </c>
    </row>
    <row r="1693" spans="1:28" x14ac:dyDescent="0.25">
      <c r="A1693" t="s">
        <v>3641</v>
      </c>
      <c r="B1693" s="20">
        <v>45587</v>
      </c>
      <c r="C1693" t="s">
        <v>2941</v>
      </c>
      <c r="D1693" t="s">
        <v>433</v>
      </c>
      <c r="E1693" t="s">
        <v>351</v>
      </c>
      <c r="F1693" t="s">
        <v>344</v>
      </c>
      <c r="G1693">
        <v>1</v>
      </c>
      <c r="H1693" s="21">
        <v>885.89</v>
      </c>
      <c r="I1693">
        <v>10</v>
      </c>
      <c r="J1693" s="21">
        <v>88.59</v>
      </c>
      <c r="K1693">
        <v>5</v>
      </c>
      <c r="L1693" s="21">
        <v>39.869999999999997</v>
      </c>
      <c r="M1693" s="21">
        <v>837.17</v>
      </c>
      <c r="N1693" s="21">
        <v>573.09</v>
      </c>
      <c r="O1693" s="21">
        <v>224.21</v>
      </c>
      <c r="P1693" t="s">
        <v>121</v>
      </c>
      <c r="Q1693" t="s">
        <v>120</v>
      </c>
      <c r="R1693" t="s">
        <v>151</v>
      </c>
      <c r="S1693" t="s">
        <v>1371</v>
      </c>
      <c r="T1693" t="s">
        <v>153</v>
      </c>
      <c r="U1693" t="s">
        <v>154</v>
      </c>
      <c r="V1693" t="str">
        <f>IFERROR(INDEX(Products!$C:$C,MATCH(D1693,Products!$A:$A,0)),"Unknown")</f>
        <v>Women Kurtis</v>
      </c>
      <c r="W1693" t="str">
        <f>IFERROR(INDEX(Products!$E:$E,MATCH(D1693,Products!$A:$A,0)),"Unknown")</f>
        <v>Nike</v>
      </c>
      <c r="X1693" t="str">
        <f>IFERROR(INDEX(Stores!$B:$B,MATCH(E1693,Stores!$A:$A,0)),"Unknown")</f>
        <v>TrendMart Kozhikode High Street</v>
      </c>
      <c r="Y1693" t="str">
        <f>IFERROR(INDEX(Stores!$E:$E,MATCH(E1693,Stores!$A:$A,0)),"Unknown")</f>
        <v>South Zone 1</v>
      </c>
      <c r="Z1693" t="str">
        <f>IFERROR(INDEX(Customers!$J:$J,MATCH(C1693,Customers!$A:$A,0)),"Unknown")</f>
        <v>Silver</v>
      </c>
      <c r="AA1693" t="str">
        <f t="shared" si="26"/>
        <v>2024-10</v>
      </c>
      <c r="AB1693" t="str">
        <f>IFERROR(INDEX(Products!$I:$I,MATCH(D1693,Products!$A:$A,0)),"Unknown")</f>
        <v>SUP012</v>
      </c>
    </row>
    <row r="1694" spans="1:28" x14ac:dyDescent="0.25">
      <c r="A1694" t="s">
        <v>3642</v>
      </c>
      <c r="B1694" s="20">
        <v>45601</v>
      </c>
      <c r="C1694" t="s">
        <v>3643</v>
      </c>
      <c r="D1694" t="s">
        <v>220</v>
      </c>
      <c r="E1694" t="s">
        <v>810</v>
      </c>
      <c r="F1694" t="s">
        <v>397</v>
      </c>
      <c r="G1694">
        <v>2</v>
      </c>
      <c r="H1694" s="21">
        <v>5738.37</v>
      </c>
      <c r="I1694">
        <v>10</v>
      </c>
      <c r="J1694" s="21">
        <v>1147.67</v>
      </c>
      <c r="K1694">
        <v>12</v>
      </c>
      <c r="L1694" s="21">
        <v>1239.49</v>
      </c>
      <c r="M1694" s="21">
        <v>11568.56</v>
      </c>
      <c r="N1694" s="21">
        <v>7941.72</v>
      </c>
      <c r="O1694" s="21">
        <v>2387.35</v>
      </c>
      <c r="P1694" t="s">
        <v>124</v>
      </c>
      <c r="Q1694" t="s">
        <v>120</v>
      </c>
      <c r="R1694" t="s">
        <v>151</v>
      </c>
      <c r="S1694" t="s">
        <v>1505</v>
      </c>
      <c r="T1694" t="s">
        <v>153</v>
      </c>
      <c r="U1694" t="s">
        <v>154</v>
      </c>
      <c r="V1694" t="str">
        <f>IFERROR(INDEX(Products!$C:$C,MATCH(D1694,Products!$A:$A,0)),"Unknown")</f>
        <v>Watches</v>
      </c>
      <c r="W1694" t="str">
        <f>IFERROR(INDEX(Products!$E:$E,MATCH(D1694,Products!$A:$A,0)),"Unknown")</f>
        <v>Global Desi</v>
      </c>
      <c r="X1694" t="str">
        <f>IFERROR(INDEX(Stores!$B:$B,MATCH(E1694,Stores!$A:$A,0)),"Unknown")</f>
        <v>TrendMart Nizamabad Standard</v>
      </c>
      <c r="Y1694" t="str">
        <f>IFERROR(INDEX(Stores!$E:$E,MATCH(E1694,Stores!$A:$A,0)),"Unknown")</f>
        <v>South Zone 2</v>
      </c>
      <c r="Z1694" t="str">
        <f>IFERROR(INDEX(Customers!$J:$J,MATCH(C1694,Customers!$A:$A,0)),"Unknown")</f>
        <v>Regular</v>
      </c>
      <c r="AA1694" t="str">
        <f t="shared" si="26"/>
        <v>2024-11</v>
      </c>
      <c r="AB1694" t="str">
        <f>IFERROR(INDEX(Products!$I:$I,MATCH(D1694,Products!$A:$A,0)),"Unknown")</f>
        <v>SUP055</v>
      </c>
    </row>
    <row r="1695" spans="1:28" x14ac:dyDescent="0.25">
      <c r="A1695" t="s">
        <v>3644</v>
      </c>
      <c r="B1695" s="20">
        <v>45615</v>
      </c>
      <c r="C1695" t="s">
        <v>2199</v>
      </c>
      <c r="D1695" t="s">
        <v>2402</v>
      </c>
      <c r="E1695" t="s">
        <v>158</v>
      </c>
      <c r="F1695" t="s">
        <v>211</v>
      </c>
      <c r="G1695">
        <v>4</v>
      </c>
      <c r="H1695" s="21">
        <v>1930.44</v>
      </c>
      <c r="I1695">
        <v>15</v>
      </c>
      <c r="J1695" s="21">
        <v>1158.26</v>
      </c>
      <c r="K1695">
        <v>12</v>
      </c>
      <c r="L1695" s="21">
        <v>787.62</v>
      </c>
      <c r="M1695" s="21">
        <v>7351.12</v>
      </c>
      <c r="N1695" s="21">
        <v>5462.6</v>
      </c>
      <c r="O1695" s="21">
        <v>1100.9000000000001</v>
      </c>
      <c r="P1695" t="s">
        <v>124</v>
      </c>
      <c r="Q1695" t="s">
        <v>122</v>
      </c>
      <c r="R1695" t="s">
        <v>151</v>
      </c>
      <c r="S1695" t="s">
        <v>2395</v>
      </c>
      <c r="T1695" t="s">
        <v>153</v>
      </c>
      <c r="U1695" t="s">
        <v>154</v>
      </c>
      <c r="V1695" t="str">
        <f>IFERROR(INDEX(Products!$C:$C,MATCH(D1695,Products!$A:$A,0)),"Unknown")</f>
        <v>Handbags</v>
      </c>
      <c r="W1695" t="str">
        <f>IFERROR(INDEX(Products!$E:$E,MATCH(D1695,Products!$A:$A,0)),"Unknown")</f>
        <v>Allen Solly</v>
      </c>
      <c r="X1695" t="str">
        <f>IFERROR(INDEX(Stores!$B:$B,MATCH(E1695,Stores!$A:$A,0)),"Unknown")</f>
        <v>TrendMart Tirunelveli High Street</v>
      </c>
      <c r="Y1695" t="str">
        <f>IFERROR(INDEX(Stores!$E:$E,MATCH(E1695,Stores!$A:$A,0)),"Unknown")</f>
        <v>South Zone 1</v>
      </c>
      <c r="Z1695" t="str">
        <f>IFERROR(INDEX(Customers!$J:$J,MATCH(C1695,Customers!$A:$A,0)),"Unknown")</f>
        <v>Regular</v>
      </c>
      <c r="AA1695" t="str">
        <f t="shared" si="26"/>
        <v>2024-11</v>
      </c>
      <c r="AB1695" t="str">
        <f>IFERROR(INDEX(Products!$I:$I,MATCH(D1695,Products!$A:$A,0)),"Unknown")</f>
        <v>SUP043</v>
      </c>
    </row>
    <row r="1696" spans="1:28" x14ac:dyDescent="0.25">
      <c r="A1696" t="s">
        <v>3645</v>
      </c>
      <c r="B1696" s="20">
        <v>45413</v>
      </c>
      <c r="C1696" t="s">
        <v>2389</v>
      </c>
      <c r="D1696" t="s">
        <v>2281</v>
      </c>
      <c r="E1696" t="s">
        <v>429</v>
      </c>
      <c r="F1696" t="s">
        <v>275</v>
      </c>
      <c r="G1696">
        <v>4</v>
      </c>
      <c r="H1696" s="21">
        <v>604.26</v>
      </c>
      <c r="I1696">
        <v>0</v>
      </c>
      <c r="J1696" s="21">
        <v>0</v>
      </c>
      <c r="K1696">
        <v>5</v>
      </c>
      <c r="L1696" s="21">
        <v>120.85</v>
      </c>
      <c r="M1696" s="21">
        <v>2537.89</v>
      </c>
      <c r="N1696" s="21">
        <v>1493.08</v>
      </c>
      <c r="O1696" s="21">
        <v>923.96</v>
      </c>
      <c r="P1696" t="s">
        <v>121</v>
      </c>
      <c r="Q1696" t="s">
        <v>122</v>
      </c>
      <c r="R1696" t="s">
        <v>151</v>
      </c>
      <c r="S1696" t="s">
        <v>2603</v>
      </c>
      <c r="T1696" t="s">
        <v>153</v>
      </c>
      <c r="U1696" t="s">
        <v>154</v>
      </c>
      <c r="V1696" t="str">
        <f>IFERROR(INDEX(Products!$C:$C,MATCH(D1696,Products!$A:$A,0)),"Unknown")</f>
        <v>Men T-Shirts</v>
      </c>
      <c r="W1696" t="str">
        <f>IFERROR(INDEX(Products!$E:$E,MATCH(D1696,Products!$A:$A,0)),"Unknown")</f>
        <v>Indian Terrain</v>
      </c>
      <c r="X1696" t="str">
        <f>IFERROR(INDEX(Stores!$B:$B,MATCH(E1696,Stores!$A:$A,0)),"Unknown")</f>
        <v>TrendMart Tirunelveli Flagship</v>
      </c>
      <c r="Y1696" t="str">
        <f>IFERROR(INDEX(Stores!$E:$E,MATCH(E1696,Stores!$A:$A,0)),"Unknown")</f>
        <v>South Zone 1</v>
      </c>
      <c r="Z1696" t="str">
        <f>IFERROR(INDEX(Customers!$J:$J,MATCH(C1696,Customers!$A:$A,0)),"Unknown")</f>
        <v>Silver</v>
      </c>
      <c r="AA1696" t="str">
        <f t="shared" si="26"/>
        <v>2024-05</v>
      </c>
      <c r="AB1696" t="str">
        <f>IFERROR(INDEX(Products!$I:$I,MATCH(D1696,Products!$A:$A,0)),"Unknown")</f>
        <v>SUP074</v>
      </c>
    </row>
    <row r="1697" spans="1:28" x14ac:dyDescent="0.25">
      <c r="A1697" t="s">
        <v>3646</v>
      </c>
      <c r="B1697" s="20">
        <v>45676</v>
      </c>
      <c r="C1697" t="s">
        <v>2934</v>
      </c>
      <c r="D1697" t="s">
        <v>650</v>
      </c>
      <c r="E1697" t="s">
        <v>1163</v>
      </c>
      <c r="F1697" t="s">
        <v>344</v>
      </c>
      <c r="G1697">
        <v>1</v>
      </c>
      <c r="H1697" s="21">
        <v>2094.9899999999998</v>
      </c>
      <c r="I1697">
        <v>25</v>
      </c>
      <c r="J1697" s="21">
        <v>523.75</v>
      </c>
      <c r="K1697">
        <v>12</v>
      </c>
      <c r="L1697" s="21">
        <v>188.55</v>
      </c>
      <c r="M1697" s="21">
        <v>1759.79</v>
      </c>
      <c r="N1697" s="21">
        <v>1409.12</v>
      </c>
      <c r="O1697" s="21">
        <v>162.12</v>
      </c>
      <c r="P1697" t="s">
        <v>125</v>
      </c>
      <c r="Q1697" t="s">
        <v>120</v>
      </c>
      <c r="R1697" t="s">
        <v>151</v>
      </c>
      <c r="S1697" t="s">
        <v>2119</v>
      </c>
      <c r="T1697" t="s">
        <v>161</v>
      </c>
      <c r="U1697" t="s">
        <v>154</v>
      </c>
      <c r="V1697" t="str">
        <f>IFERROR(INDEX(Products!$C:$C,MATCH(D1697,Products!$A:$A,0)),"Unknown")</f>
        <v>Winter Wear</v>
      </c>
      <c r="W1697" t="str">
        <f>IFERROR(INDEX(Products!$E:$E,MATCH(D1697,Products!$A:$A,0)),"Unknown")</f>
        <v>Mufti</v>
      </c>
      <c r="X1697" t="str">
        <f>IFERROR(INDEX(Stores!$B:$B,MATCH(E1697,Stores!$A:$A,0)),"Unknown")</f>
        <v>TrendMart Alappuzha Outlet</v>
      </c>
      <c r="Y1697" t="str">
        <f>IFERROR(INDEX(Stores!$E:$E,MATCH(E1697,Stores!$A:$A,0)),"Unknown")</f>
        <v>South Zone 1</v>
      </c>
      <c r="Z1697" t="str">
        <f>IFERROR(INDEX(Customers!$J:$J,MATCH(C1697,Customers!$A:$A,0)),"Unknown")</f>
        <v>Gold</v>
      </c>
      <c r="AA1697" t="str">
        <f t="shared" si="26"/>
        <v>2025-01</v>
      </c>
      <c r="AB1697" t="str">
        <f>IFERROR(INDEX(Products!$I:$I,MATCH(D1697,Products!$A:$A,0)),"Unknown")</f>
        <v>SUP078</v>
      </c>
    </row>
    <row r="1698" spans="1:28" x14ac:dyDescent="0.25">
      <c r="A1698" t="s">
        <v>3647</v>
      </c>
      <c r="B1698" s="20">
        <v>45520</v>
      </c>
      <c r="C1698" t="s">
        <v>3136</v>
      </c>
      <c r="D1698" t="s">
        <v>489</v>
      </c>
      <c r="E1698" t="s">
        <v>1108</v>
      </c>
      <c r="F1698" t="s">
        <v>221</v>
      </c>
      <c r="G1698">
        <v>0</v>
      </c>
      <c r="H1698" s="21">
        <v>1357.27</v>
      </c>
      <c r="I1698">
        <v>10</v>
      </c>
      <c r="J1698" s="21">
        <v>0</v>
      </c>
      <c r="K1698">
        <v>12</v>
      </c>
      <c r="L1698" s="21">
        <v>0</v>
      </c>
      <c r="M1698" s="21">
        <v>0</v>
      </c>
      <c r="N1698" s="21">
        <v>0</v>
      </c>
      <c r="O1698" s="21">
        <v>0</v>
      </c>
      <c r="P1698" t="s">
        <v>121</v>
      </c>
      <c r="Q1698" t="s">
        <v>122</v>
      </c>
      <c r="R1698" t="s">
        <v>482</v>
      </c>
      <c r="S1698" t="s">
        <v>623</v>
      </c>
      <c r="T1698" t="s">
        <v>153</v>
      </c>
      <c r="U1698" t="s">
        <v>154</v>
      </c>
      <c r="V1698" t="str">
        <f>IFERROR(INDEX(Products!$C:$C,MATCH(D1698,Products!$A:$A,0)),"Unknown")</f>
        <v>Women Jeans</v>
      </c>
      <c r="W1698" t="str">
        <f>IFERROR(INDEX(Products!$E:$E,MATCH(D1698,Products!$A:$A,0)),"Unknown")</f>
        <v>Woodland</v>
      </c>
      <c r="X1698" t="str">
        <f>IFERROR(INDEX(Stores!$B:$B,MATCH(E1698,Stores!$A:$A,0)),"Unknown")</f>
        <v>TrendMart Karimnagar Standard</v>
      </c>
      <c r="Y1698" t="str">
        <f>IFERROR(INDEX(Stores!$E:$E,MATCH(E1698,Stores!$A:$A,0)),"Unknown")</f>
        <v>South Zone 2</v>
      </c>
      <c r="Z1698" t="str">
        <f>IFERROR(INDEX(Customers!$J:$J,MATCH(C1698,Customers!$A:$A,0)),"Unknown")</f>
        <v>Regular</v>
      </c>
      <c r="AA1698" t="str">
        <f t="shared" si="26"/>
        <v>2024-08</v>
      </c>
      <c r="AB1698" t="str">
        <f>IFERROR(INDEX(Products!$I:$I,MATCH(D1698,Products!$A:$A,0)),"Unknown")</f>
        <v>SUP015</v>
      </c>
    </row>
    <row r="1699" spans="1:28" x14ac:dyDescent="0.25">
      <c r="A1699" t="s">
        <v>3648</v>
      </c>
      <c r="B1699" s="20">
        <v>45583</v>
      </c>
      <c r="C1699" t="s">
        <v>2529</v>
      </c>
      <c r="D1699" t="s">
        <v>1278</v>
      </c>
      <c r="E1699" t="s">
        <v>1512</v>
      </c>
      <c r="F1699" t="s">
        <v>550</v>
      </c>
      <c r="G1699">
        <v>1</v>
      </c>
      <c r="H1699" s="21">
        <v>5060.37</v>
      </c>
      <c r="I1699">
        <v>0</v>
      </c>
      <c r="J1699" s="21">
        <v>0</v>
      </c>
      <c r="K1699">
        <v>12</v>
      </c>
      <c r="L1699" s="21">
        <v>607.24</v>
      </c>
      <c r="M1699" s="21">
        <v>5667.61</v>
      </c>
      <c r="N1699" s="21">
        <v>3850.97</v>
      </c>
      <c r="O1699" s="21">
        <v>1209.4000000000001</v>
      </c>
      <c r="P1699" t="s">
        <v>121</v>
      </c>
      <c r="Q1699" t="s">
        <v>120</v>
      </c>
      <c r="R1699" t="s">
        <v>151</v>
      </c>
      <c r="S1699" t="s">
        <v>522</v>
      </c>
      <c r="T1699" t="s">
        <v>153</v>
      </c>
      <c r="U1699" t="s">
        <v>154</v>
      </c>
      <c r="V1699" t="str">
        <f>IFERROR(INDEX(Products!$C:$C,MATCH(D1699,Products!$A:$A,0)),"Unknown")</f>
        <v>Watches</v>
      </c>
      <c r="W1699" t="str">
        <f>IFERROR(INDEX(Products!$E:$E,MATCH(D1699,Products!$A:$A,0)),"Unknown")</f>
        <v>Aurelia</v>
      </c>
      <c r="X1699" t="str">
        <f>IFERROR(INDEX(Stores!$B:$B,MATCH(E1699,Stores!$A:$A,0)),"Unknown")</f>
        <v>TrendMart Erode Mall Kiosk</v>
      </c>
      <c r="Y1699" t="str">
        <f>IFERROR(INDEX(Stores!$E:$E,MATCH(E1699,Stores!$A:$A,0)),"Unknown")</f>
        <v>South Zone 1</v>
      </c>
      <c r="Z1699" t="str">
        <f>IFERROR(INDEX(Customers!$J:$J,MATCH(C1699,Customers!$A:$A,0)),"Unknown")</f>
        <v>Regular</v>
      </c>
      <c r="AA1699" t="str">
        <f t="shared" si="26"/>
        <v>2024-10</v>
      </c>
      <c r="AB1699" t="str">
        <f>IFERROR(INDEX(Products!$I:$I,MATCH(D1699,Products!$A:$A,0)),"Unknown")</f>
        <v>SUP079</v>
      </c>
    </row>
    <row r="1700" spans="1:28" x14ac:dyDescent="0.25">
      <c r="A1700" t="s">
        <v>3649</v>
      </c>
      <c r="B1700" s="20">
        <v>45389</v>
      </c>
      <c r="C1700" t="s">
        <v>3040</v>
      </c>
      <c r="D1700" t="s">
        <v>1564</v>
      </c>
      <c r="E1700" t="s">
        <v>741</v>
      </c>
      <c r="F1700" t="s">
        <v>182</v>
      </c>
      <c r="G1700">
        <v>2</v>
      </c>
      <c r="H1700" s="21">
        <v>999.95</v>
      </c>
      <c r="I1700">
        <v>0</v>
      </c>
      <c r="J1700" s="21">
        <v>0</v>
      </c>
      <c r="K1700">
        <v>5</v>
      </c>
      <c r="L1700" s="21">
        <v>100</v>
      </c>
      <c r="M1700" s="21">
        <v>2099.9</v>
      </c>
      <c r="N1700" s="21">
        <v>1391.34</v>
      </c>
      <c r="O1700" s="21">
        <v>608.55999999999995</v>
      </c>
      <c r="P1700" t="s">
        <v>124</v>
      </c>
      <c r="Q1700" t="s">
        <v>120</v>
      </c>
      <c r="R1700" t="s">
        <v>151</v>
      </c>
      <c r="S1700" t="s">
        <v>2688</v>
      </c>
      <c r="T1700" t="s">
        <v>161</v>
      </c>
      <c r="U1700" t="s">
        <v>154</v>
      </c>
      <c r="V1700" t="str">
        <f>IFERROR(INDEX(Products!$C:$C,MATCH(D1700,Products!$A:$A,0)),"Unknown")</f>
        <v>Handbags</v>
      </c>
      <c r="W1700" t="str">
        <f>IFERROR(INDEX(Products!$E:$E,MATCH(D1700,Products!$A:$A,0)),"Unknown")</f>
        <v>W for Woman</v>
      </c>
      <c r="X1700" t="str">
        <f>IFERROR(INDEX(Stores!$B:$B,MATCH(E1700,Stores!$A:$A,0)),"Unknown")</f>
        <v>TrendMart Nellore Mall Kiosk</v>
      </c>
      <c r="Y1700" t="str">
        <f>IFERROR(INDEX(Stores!$E:$E,MATCH(E1700,Stores!$A:$A,0)),"Unknown")</f>
        <v>South Zone 3</v>
      </c>
      <c r="Z1700" t="str">
        <f>IFERROR(INDEX(Customers!$J:$J,MATCH(C1700,Customers!$A:$A,0)),"Unknown")</f>
        <v>Platinum</v>
      </c>
      <c r="AA1700" t="str">
        <f t="shared" si="26"/>
        <v>2024-04</v>
      </c>
      <c r="AB1700" t="str">
        <f>IFERROR(INDEX(Products!$I:$I,MATCH(D1700,Products!$A:$A,0)),"Unknown")</f>
        <v>SUP011</v>
      </c>
    </row>
    <row r="1701" spans="1:28" x14ac:dyDescent="0.25">
      <c r="A1701" t="s">
        <v>3650</v>
      </c>
      <c r="B1701" s="20">
        <v>45569</v>
      </c>
      <c r="C1701" t="s">
        <v>3651</v>
      </c>
      <c r="D1701" t="s">
        <v>1095</v>
      </c>
      <c r="E1701" t="s">
        <v>291</v>
      </c>
      <c r="F1701" t="s">
        <v>550</v>
      </c>
      <c r="G1701">
        <v>3</v>
      </c>
      <c r="H1701" s="21">
        <v>1129.77</v>
      </c>
      <c r="I1701">
        <v>15</v>
      </c>
      <c r="J1701" s="21">
        <v>508.4</v>
      </c>
      <c r="K1701">
        <v>12</v>
      </c>
      <c r="L1701" s="21">
        <v>345.71</v>
      </c>
      <c r="M1701" s="21">
        <v>3226.62</v>
      </c>
      <c r="N1701" s="21">
        <v>2308.89</v>
      </c>
      <c r="O1701" s="21">
        <v>572.02</v>
      </c>
      <c r="P1701" t="s">
        <v>123</v>
      </c>
      <c r="Q1701" t="s">
        <v>120</v>
      </c>
      <c r="R1701" t="s">
        <v>151</v>
      </c>
      <c r="S1701" t="s">
        <v>677</v>
      </c>
      <c r="T1701" t="s">
        <v>153</v>
      </c>
      <c r="U1701" t="s">
        <v>154</v>
      </c>
      <c r="V1701" t="str">
        <f>IFERROR(INDEX(Products!$C:$C,MATCH(D1701,Products!$A:$A,0)),"Unknown")</f>
        <v>Women Dresses</v>
      </c>
      <c r="W1701" t="str">
        <f>IFERROR(INDEX(Products!$E:$E,MATCH(D1701,Products!$A:$A,0)),"Unknown")</f>
        <v>Ramraj Cotton</v>
      </c>
      <c r="X1701" t="str">
        <f>IFERROR(INDEX(Stores!$B:$B,MATCH(E1701,Stores!$A:$A,0)),"Unknown")</f>
        <v>TrendMart Khammam Standard</v>
      </c>
      <c r="Y1701" t="str">
        <f>IFERROR(INDEX(Stores!$E:$E,MATCH(E1701,Stores!$A:$A,0)),"Unknown")</f>
        <v>South Zone 2</v>
      </c>
      <c r="Z1701" t="str">
        <f>IFERROR(INDEX(Customers!$J:$J,MATCH(C1701,Customers!$A:$A,0)),"Unknown")</f>
        <v>Silver</v>
      </c>
      <c r="AA1701" t="str">
        <f t="shared" si="26"/>
        <v>2024-10</v>
      </c>
      <c r="AB1701" t="str">
        <f>IFERROR(INDEX(Products!$I:$I,MATCH(D1701,Products!$A:$A,0)),"Unknown")</f>
        <v>SUP054</v>
      </c>
    </row>
    <row r="1702" spans="1:28" x14ac:dyDescent="0.25">
      <c r="A1702" t="s">
        <v>3652</v>
      </c>
      <c r="B1702" s="20">
        <v>45732</v>
      </c>
      <c r="C1702" t="s">
        <v>2305</v>
      </c>
      <c r="D1702" t="s">
        <v>1292</v>
      </c>
      <c r="E1702" t="s">
        <v>280</v>
      </c>
      <c r="F1702" t="s">
        <v>303</v>
      </c>
      <c r="G1702">
        <v>4</v>
      </c>
      <c r="H1702" s="21">
        <v>546.96</v>
      </c>
      <c r="I1702">
        <v>15</v>
      </c>
      <c r="J1702" s="21">
        <v>328.18</v>
      </c>
      <c r="K1702">
        <v>5</v>
      </c>
      <c r="L1702" s="21">
        <v>92.98</v>
      </c>
      <c r="M1702" s="21">
        <v>1952.64</v>
      </c>
      <c r="N1702" s="21">
        <v>1395</v>
      </c>
      <c r="O1702" s="21">
        <v>464.66</v>
      </c>
      <c r="P1702" t="s">
        <v>121</v>
      </c>
      <c r="Q1702" t="s">
        <v>120</v>
      </c>
      <c r="R1702" t="s">
        <v>151</v>
      </c>
      <c r="S1702" t="s">
        <v>3285</v>
      </c>
      <c r="T1702" t="s">
        <v>161</v>
      </c>
      <c r="U1702" t="s">
        <v>154</v>
      </c>
      <c r="V1702" t="str">
        <f>IFERROR(INDEX(Products!$C:$C,MATCH(D1702,Products!$A:$A,0)),"Unknown")</f>
        <v>Men T-Shirts</v>
      </c>
      <c r="W1702" t="str">
        <f>IFERROR(INDEX(Products!$E:$E,MATCH(D1702,Products!$A:$A,0)),"Unknown")</f>
        <v>Metro Shoes</v>
      </c>
      <c r="X1702" t="str">
        <f>IFERROR(INDEX(Stores!$B:$B,MATCH(E1702,Stores!$A:$A,0)),"Unknown")</f>
        <v>TrendMart Chennai Standard</v>
      </c>
      <c r="Y1702" t="str">
        <f>IFERROR(INDEX(Stores!$E:$E,MATCH(E1702,Stores!$A:$A,0)),"Unknown")</f>
        <v>South Zone 1</v>
      </c>
      <c r="Z1702" t="str">
        <f>IFERROR(INDEX(Customers!$J:$J,MATCH(C1702,Customers!$A:$A,0)),"Unknown")</f>
        <v>Silver</v>
      </c>
      <c r="AA1702" t="str">
        <f t="shared" si="26"/>
        <v>2025-03</v>
      </c>
      <c r="AB1702" t="str">
        <f>IFERROR(INDEX(Products!$I:$I,MATCH(D1702,Products!$A:$A,0)),"Unknown")</f>
        <v>SUP024</v>
      </c>
    </row>
    <row r="1703" spans="1:28" x14ac:dyDescent="0.25">
      <c r="A1703" t="s">
        <v>3653</v>
      </c>
      <c r="B1703" s="20">
        <v>45716</v>
      </c>
      <c r="C1703" t="s">
        <v>1010</v>
      </c>
      <c r="D1703" t="s">
        <v>3165</v>
      </c>
      <c r="E1703" t="s">
        <v>1068</v>
      </c>
      <c r="F1703" t="s">
        <v>308</v>
      </c>
      <c r="G1703">
        <v>1</v>
      </c>
      <c r="H1703" s="21">
        <v>1178.58</v>
      </c>
      <c r="I1703">
        <v>5</v>
      </c>
      <c r="J1703" s="21">
        <v>58.93</v>
      </c>
      <c r="K1703">
        <v>12</v>
      </c>
      <c r="L1703" s="21">
        <v>134.36000000000001</v>
      </c>
      <c r="M1703" s="21">
        <v>1254.01</v>
      </c>
      <c r="N1703" s="21">
        <v>871.26</v>
      </c>
      <c r="O1703" s="21">
        <v>248.39</v>
      </c>
      <c r="P1703" t="s">
        <v>127</v>
      </c>
      <c r="Q1703" t="s">
        <v>122</v>
      </c>
      <c r="R1703" t="s">
        <v>151</v>
      </c>
      <c r="S1703" t="s">
        <v>1098</v>
      </c>
      <c r="T1703" t="s">
        <v>153</v>
      </c>
      <c r="U1703" t="s">
        <v>154</v>
      </c>
      <c r="V1703" t="str">
        <f>IFERROR(INDEX(Products!$C:$C,MATCH(D1703,Products!$A:$A,0)),"Unknown")</f>
        <v>Men Trousers</v>
      </c>
      <c r="W1703" t="str">
        <f>IFERROR(INDEX(Products!$E:$E,MATCH(D1703,Products!$A:$A,0)),"Unknown")</f>
        <v>Wrangler</v>
      </c>
      <c r="X1703" t="str">
        <f>IFERROR(INDEX(Stores!$B:$B,MATCH(E1703,Stores!$A:$A,0)),"Unknown")</f>
        <v>TrendMart Tumakuru High Street</v>
      </c>
      <c r="Y1703" t="str">
        <f>IFERROR(INDEX(Stores!$E:$E,MATCH(E1703,Stores!$A:$A,0)),"Unknown")</f>
        <v>South Zone 2</v>
      </c>
      <c r="Z1703" t="str">
        <f>IFERROR(INDEX(Customers!$J:$J,MATCH(C1703,Customers!$A:$A,0)),"Unknown")</f>
        <v>Silver</v>
      </c>
      <c r="AA1703" t="str">
        <f t="shared" si="26"/>
        <v>2025-02</v>
      </c>
      <c r="AB1703" t="str">
        <f>IFERROR(INDEX(Products!$I:$I,MATCH(D1703,Products!$A:$A,0)),"Unknown")</f>
        <v>SUP051</v>
      </c>
    </row>
    <row r="1704" spans="1:28" x14ac:dyDescent="0.25">
      <c r="A1704" t="s">
        <v>3654</v>
      </c>
      <c r="B1704" s="20">
        <v>45609</v>
      </c>
      <c r="C1704" t="s">
        <v>1546</v>
      </c>
      <c r="D1704" t="s">
        <v>670</v>
      </c>
      <c r="E1704" t="s">
        <v>630</v>
      </c>
      <c r="F1704" t="s">
        <v>253</v>
      </c>
      <c r="G1704">
        <v>2</v>
      </c>
      <c r="H1704" s="21">
        <v>2053.4</v>
      </c>
      <c r="I1704">
        <v>20</v>
      </c>
      <c r="J1704" s="21">
        <v>821.36</v>
      </c>
      <c r="K1704">
        <v>12</v>
      </c>
      <c r="L1704" s="21">
        <v>394.25</v>
      </c>
      <c r="M1704" s="21">
        <v>3679.69</v>
      </c>
      <c r="N1704" s="21">
        <v>2756.76</v>
      </c>
      <c r="O1704" s="21">
        <v>528.67999999999995</v>
      </c>
      <c r="P1704" t="s">
        <v>124</v>
      </c>
      <c r="Q1704" t="s">
        <v>122</v>
      </c>
      <c r="R1704" t="s">
        <v>151</v>
      </c>
      <c r="S1704" t="s">
        <v>2377</v>
      </c>
      <c r="T1704" t="s">
        <v>153</v>
      </c>
      <c r="U1704" t="s">
        <v>154</v>
      </c>
      <c r="V1704" t="str">
        <f>IFERROR(INDEX(Products!$C:$C,MATCH(D1704,Products!$A:$A,0)),"Unknown")</f>
        <v>Women Sarees</v>
      </c>
      <c r="W1704" t="str">
        <f>IFERROR(INDEX(Products!$E:$E,MATCH(D1704,Products!$A:$A,0)),"Unknown")</f>
        <v>Reebok</v>
      </c>
      <c r="X1704" t="str">
        <f>IFERROR(INDEX(Stores!$B:$B,MATCH(E1704,Stores!$A:$A,0)),"Unknown")</f>
        <v>TrendMart Guntur Standard</v>
      </c>
      <c r="Y1704" t="str">
        <f>IFERROR(INDEX(Stores!$E:$E,MATCH(E1704,Stores!$A:$A,0)),"Unknown")</f>
        <v>South Zone 3</v>
      </c>
      <c r="Z1704" t="str">
        <f>IFERROR(INDEX(Customers!$J:$J,MATCH(C1704,Customers!$A:$A,0)),"Unknown")</f>
        <v>Silver</v>
      </c>
      <c r="AA1704" t="str">
        <f t="shared" si="26"/>
        <v>2024-11</v>
      </c>
      <c r="AB1704" t="str">
        <f>IFERROR(INDEX(Products!$I:$I,MATCH(D1704,Products!$A:$A,0)),"Unknown")</f>
        <v>SUP073</v>
      </c>
    </row>
    <row r="1705" spans="1:28" x14ac:dyDescent="0.25">
      <c r="A1705" t="s">
        <v>3655</v>
      </c>
      <c r="B1705" s="20">
        <v>45615</v>
      </c>
      <c r="C1705" t="s">
        <v>2739</v>
      </c>
      <c r="D1705" t="s">
        <v>2392</v>
      </c>
      <c r="E1705" t="s">
        <v>578</v>
      </c>
      <c r="F1705" t="s">
        <v>462</v>
      </c>
      <c r="G1705">
        <v>1</v>
      </c>
      <c r="H1705" s="21">
        <v>1157.8699999999999</v>
      </c>
      <c r="I1705">
        <v>30</v>
      </c>
      <c r="J1705" s="21">
        <v>347.36</v>
      </c>
      <c r="K1705">
        <v>12</v>
      </c>
      <c r="L1705" s="21">
        <v>97.26</v>
      </c>
      <c r="M1705" s="21">
        <v>907.77</v>
      </c>
      <c r="N1705" s="21">
        <v>744</v>
      </c>
      <c r="O1705" s="21">
        <v>66.510000000000005</v>
      </c>
      <c r="P1705" t="s">
        <v>125</v>
      </c>
      <c r="Q1705" t="s">
        <v>122</v>
      </c>
      <c r="R1705" t="s">
        <v>151</v>
      </c>
      <c r="S1705" t="s">
        <v>1948</v>
      </c>
      <c r="T1705" t="s">
        <v>153</v>
      </c>
      <c r="U1705" t="s">
        <v>154</v>
      </c>
      <c r="V1705" t="str">
        <f>IFERROR(INDEX(Products!$C:$C,MATCH(D1705,Products!$A:$A,0)),"Unknown")</f>
        <v>Women Kurtis</v>
      </c>
      <c r="W1705" t="str">
        <f>IFERROR(INDEX(Products!$E:$E,MATCH(D1705,Products!$A:$A,0)),"Unknown")</f>
        <v>Reebok</v>
      </c>
      <c r="X1705" t="str">
        <f>IFERROR(INDEX(Stores!$B:$B,MATCH(E1705,Stores!$A:$A,0)),"Unknown")</f>
        <v>TrendMart Vellore Standard</v>
      </c>
      <c r="Y1705" t="str">
        <f>IFERROR(INDEX(Stores!$E:$E,MATCH(E1705,Stores!$A:$A,0)),"Unknown")</f>
        <v>South Zone 1</v>
      </c>
      <c r="Z1705" t="str">
        <f>IFERROR(INDEX(Customers!$J:$J,MATCH(C1705,Customers!$A:$A,0)),"Unknown")</f>
        <v>Regular</v>
      </c>
      <c r="AA1705" t="str">
        <f t="shared" si="26"/>
        <v>2024-11</v>
      </c>
      <c r="AB1705" t="str">
        <f>IFERROR(INDEX(Products!$I:$I,MATCH(D1705,Products!$A:$A,0)),"Unknown")</f>
        <v>SUP029</v>
      </c>
    </row>
    <row r="1706" spans="1:28" x14ac:dyDescent="0.25">
      <c r="A1706" t="s">
        <v>3656</v>
      </c>
      <c r="B1706" s="20">
        <v>45436</v>
      </c>
      <c r="C1706" t="s">
        <v>1268</v>
      </c>
      <c r="D1706" t="s">
        <v>968</v>
      </c>
      <c r="E1706" t="s">
        <v>1825</v>
      </c>
      <c r="F1706" t="s">
        <v>176</v>
      </c>
      <c r="G1706">
        <v>1</v>
      </c>
      <c r="H1706" s="21">
        <v>532.41999999999996</v>
      </c>
      <c r="I1706">
        <v>5</v>
      </c>
      <c r="J1706" s="21">
        <v>26.62</v>
      </c>
      <c r="K1706">
        <v>5</v>
      </c>
      <c r="L1706" s="21">
        <v>25.29</v>
      </c>
      <c r="M1706" s="21">
        <v>531.09</v>
      </c>
      <c r="N1706" s="21">
        <v>303.61</v>
      </c>
      <c r="O1706" s="21">
        <v>202.19</v>
      </c>
      <c r="P1706" t="s">
        <v>124</v>
      </c>
      <c r="Q1706" t="s">
        <v>122</v>
      </c>
      <c r="R1706" t="s">
        <v>151</v>
      </c>
      <c r="S1706" t="s">
        <v>2216</v>
      </c>
      <c r="T1706" t="s">
        <v>153</v>
      </c>
      <c r="U1706" t="s">
        <v>154</v>
      </c>
      <c r="V1706" t="str">
        <f>IFERROR(INDEX(Products!$C:$C,MATCH(D1706,Products!$A:$A,0)),"Unknown")</f>
        <v>Accessories</v>
      </c>
      <c r="W1706" t="str">
        <f>IFERROR(INDEX(Products!$E:$E,MATCH(D1706,Products!$A:$A,0)),"Unknown")</f>
        <v>Blackberrys</v>
      </c>
      <c r="X1706" t="str">
        <f>IFERROR(INDEX(Stores!$B:$B,MATCH(E1706,Stores!$A:$A,0)),"Unknown")</f>
        <v>TrendMart Vijayawada Outlet</v>
      </c>
      <c r="Y1706" t="str">
        <f>IFERROR(INDEX(Stores!$E:$E,MATCH(E1706,Stores!$A:$A,0)),"Unknown")</f>
        <v>South Zone 3</v>
      </c>
      <c r="Z1706" t="str">
        <f>IFERROR(INDEX(Customers!$J:$J,MATCH(C1706,Customers!$A:$A,0)),"Unknown")</f>
        <v>Regular</v>
      </c>
      <c r="AA1706" t="str">
        <f t="shared" si="26"/>
        <v>2024-05</v>
      </c>
      <c r="AB1706" t="str">
        <f>IFERROR(INDEX(Products!$I:$I,MATCH(D1706,Products!$A:$A,0)),"Unknown")</f>
        <v>SUP048</v>
      </c>
    </row>
    <row r="1707" spans="1:28" x14ac:dyDescent="0.25">
      <c r="A1707" t="s">
        <v>3657</v>
      </c>
      <c r="B1707" s="20">
        <v>45713</v>
      </c>
      <c r="C1707" t="s">
        <v>1552</v>
      </c>
      <c r="D1707" t="s">
        <v>583</v>
      </c>
      <c r="E1707" t="s">
        <v>363</v>
      </c>
      <c r="F1707" t="s">
        <v>189</v>
      </c>
      <c r="G1707">
        <v>3</v>
      </c>
      <c r="H1707" s="21">
        <v>860.91</v>
      </c>
      <c r="I1707">
        <v>0</v>
      </c>
      <c r="J1707" s="21">
        <v>0</v>
      </c>
      <c r="K1707">
        <v>5</v>
      </c>
      <c r="L1707" s="21">
        <v>129.13999999999999</v>
      </c>
      <c r="M1707" s="21">
        <v>2711.87</v>
      </c>
      <c r="N1707" s="21">
        <v>1889.16</v>
      </c>
      <c r="O1707" s="21">
        <v>693.57</v>
      </c>
      <c r="P1707" t="s">
        <v>126</v>
      </c>
      <c r="Q1707" t="s">
        <v>120</v>
      </c>
      <c r="R1707" t="s">
        <v>151</v>
      </c>
      <c r="S1707" t="s">
        <v>2004</v>
      </c>
      <c r="T1707" t="s">
        <v>153</v>
      </c>
      <c r="U1707" t="s">
        <v>154</v>
      </c>
      <c r="V1707" t="str">
        <f>IFERROR(INDEX(Products!$C:$C,MATCH(D1707,Products!$A:$A,0)),"Unknown")</f>
        <v>Women Tops</v>
      </c>
      <c r="W1707" t="str">
        <f>IFERROR(INDEX(Products!$E:$E,MATCH(D1707,Products!$A:$A,0)),"Unknown")</f>
        <v>Ramraj Cotton</v>
      </c>
      <c r="X1707" t="str">
        <f>IFERROR(INDEX(Stores!$B:$B,MATCH(E1707,Stores!$A:$A,0)),"Unknown")</f>
        <v>TrendMart Thiruvananthapuram High Street</v>
      </c>
      <c r="Y1707" t="str">
        <f>IFERROR(INDEX(Stores!$E:$E,MATCH(E1707,Stores!$A:$A,0)),"Unknown")</f>
        <v>South Zone 1</v>
      </c>
      <c r="Z1707" t="str">
        <f>IFERROR(INDEX(Customers!$J:$J,MATCH(C1707,Customers!$A:$A,0)),"Unknown")</f>
        <v>Platinum</v>
      </c>
      <c r="AA1707" t="str">
        <f t="shared" si="26"/>
        <v>2025-02</v>
      </c>
      <c r="AB1707" t="str">
        <f>IFERROR(INDEX(Products!$I:$I,MATCH(D1707,Products!$A:$A,0)),"Unknown")</f>
        <v>SUP048</v>
      </c>
    </row>
    <row r="1708" spans="1:28" x14ac:dyDescent="0.25">
      <c r="A1708" t="s">
        <v>3658</v>
      </c>
      <c r="B1708" s="20">
        <v>45445</v>
      </c>
      <c r="C1708" t="s">
        <v>2357</v>
      </c>
      <c r="D1708" t="s">
        <v>455</v>
      </c>
      <c r="E1708" t="s">
        <v>81</v>
      </c>
      <c r="F1708" t="s">
        <v>397</v>
      </c>
      <c r="G1708">
        <v>1</v>
      </c>
      <c r="H1708" s="21">
        <v>5735.55</v>
      </c>
      <c r="I1708">
        <v>30</v>
      </c>
      <c r="J1708" s="21">
        <v>1720.66</v>
      </c>
      <c r="K1708">
        <v>12</v>
      </c>
      <c r="L1708" s="21">
        <v>481.79</v>
      </c>
      <c r="M1708" s="21">
        <v>4496.68</v>
      </c>
      <c r="N1708" s="21">
        <v>3748.71</v>
      </c>
      <c r="O1708" s="21">
        <v>266.18</v>
      </c>
      <c r="P1708" t="s">
        <v>123</v>
      </c>
      <c r="Q1708" t="s">
        <v>122</v>
      </c>
      <c r="R1708" t="s">
        <v>151</v>
      </c>
      <c r="S1708" t="s">
        <v>1174</v>
      </c>
      <c r="T1708" t="s">
        <v>161</v>
      </c>
      <c r="U1708" t="s">
        <v>154</v>
      </c>
      <c r="V1708" t="str">
        <f>IFERROR(INDEX(Products!$C:$C,MATCH(D1708,Products!$A:$A,0)),"Unknown")</f>
        <v>Watches</v>
      </c>
      <c r="W1708" t="str">
        <f>IFERROR(INDEX(Products!$E:$E,MATCH(D1708,Products!$A:$A,0)),"Unknown")</f>
        <v>Bata</v>
      </c>
      <c r="X1708" t="str">
        <f>IFERROR(INDEX(Stores!$B:$B,MATCH(E1708,Stores!$A:$A,0)),"Unknown")</f>
        <v>TrendMart Vijayawada High Street</v>
      </c>
      <c r="Y1708" t="str">
        <f>IFERROR(INDEX(Stores!$E:$E,MATCH(E1708,Stores!$A:$A,0)),"Unknown")</f>
        <v>South Zone 3</v>
      </c>
      <c r="Z1708" t="str">
        <f>IFERROR(INDEX(Customers!$J:$J,MATCH(C1708,Customers!$A:$A,0)),"Unknown")</f>
        <v>Silver</v>
      </c>
      <c r="AA1708" t="str">
        <f t="shared" si="26"/>
        <v>2024-06</v>
      </c>
      <c r="AB1708" t="str">
        <f>IFERROR(INDEX(Products!$I:$I,MATCH(D1708,Products!$A:$A,0)),"Unknown")</f>
        <v>SUP051</v>
      </c>
    </row>
    <row r="1709" spans="1:28" x14ac:dyDescent="0.25">
      <c r="A1709" t="s">
        <v>3659</v>
      </c>
      <c r="B1709" s="20">
        <v>45628</v>
      </c>
      <c r="C1709" t="s">
        <v>2735</v>
      </c>
      <c r="D1709" t="s">
        <v>864</v>
      </c>
      <c r="E1709" t="s">
        <v>1108</v>
      </c>
      <c r="F1709" t="s">
        <v>201</v>
      </c>
      <c r="G1709">
        <v>3</v>
      </c>
      <c r="H1709" s="21">
        <v>3131.51</v>
      </c>
      <c r="I1709">
        <v>5</v>
      </c>
      <c r="J1709" s="21">
        <v>469.73</v>
      </c>
      <c r="K1709">
        <v>3</v>
      </c>
      <c r="L1709" s="21">
        <v>267.74</v>
      </c>
      <c r="M1709" s="21">
        <v>9192.5400000000009</v>
      </c>
      <c r="N1709" s="21">
        <v>5969.79</v>
      </c>
      <c r="O1709" s="21">
        <v>2955.01</v>
      </c>
      <c r="P1709" t="s">
        <v>121</v>
      </c>
      <c r="Q1709" t="s">
        <v>120</v>
      </c>
      <c r="R1709" t="s">
        <v>151</v>
      </c>
      <c r="S1709" t="s">
        <v>3660</v>
      </c>
      <c r="T1709" t="s">
        <v>153</v>
      </c>
      <c r="U1709" t="s">
        <v>154</v>
      </c>
      <c r="V1709" t="str">
        <f>IFERROR(INDEX(Products!$C:$C,MATCH(D1709,Products!$A:$A,0)),"Unknown")</f>
        <v>Jewellery</v>
      </c>
      <c r="W1709" t="str">
        <f>IFERROR(INDEX(Products!$E:$E,MATCH(D1709,Products!$A:$A,0)),"Unknown")</f>
        <v>Wrangler</v>
      </c>
      <c r="X1709" t="str">
        <f>IFERROR(INDEX(Stores!$B:$B,MATCH(E1709,Stores!$A:$A,0)),"Unknown")</f>
        <v>TrendMart Karimnagar Standard</v>
      </c>
      <c r="Y1709" t="str">
        <f>IFERROR(INDEX(Stores!$E:$E,MATCH(E1709,Stores!$A:$A,0)),"Unknown")</f>
        <v>South Zone 2</v>
      </c>
      <c r="Z1709" t="str">
        <f>IFERROR(INDEX(Customers!$J:$J,MATCH(C1709,Customers!$A:$A,0)),"Unknown")</f>
        <v>Silver</v>
      </c>
      <c r="AA1709" t="str">
        <f t="shared" si="26"/>
        <v>2024-12</v>
      </c>
      <c r="AB1709" t="str">
        <f>IFERROR(INDEX(Products!$I:$I,MATCH(D1709,Products!$A:$A,0)),"Unknown")</f>
        <v>SUP070</v>
      </c>
    </row>
    <row r="1710" spans="1:28" x14ac:dyDescent="0.25">
      <c r="A1710" t="s">
        <v>3661</v>
      </c>
      <c r="B1710" s="20">
        <v>45386</v>
      </c>
      <c r="C1710" t="s">
        <v>3547</v>
      </c>
      <c r="D1710" t="s">
        <v>805</v>
      </c>
      <c r="E1710" t="s">
        <v>721</v>
      </c>
      <c r="F1710" t="s">
        <v>462</v>
      </c>
      <c r="G1710">
        <v>1</v>
      </c>
      <c r="H1710" s="21">
        <v>1080.51</v>
      </c>
      <c r="I1710">
        <v>0</v>
      </c>
      <c r="J1710" s="21">
        <v>0</v>
      </c>
      <c r="K1710">
        <v>12</v>
      </c>
      <c r="L1710" s="21">
        <v>129.66</v>
      </c>
      <c r="M1710" s="21">
        <v>1210.17</v>
      </c>
      <c r="N1710" s="21">
        <v>583.86</v>
      </c>
      <c r="O1710" s="21">
        <v>496.65</v>
      </c>
      <c r="P1710" t="s">
        <v>123</v>
      </c>
      <c r="Q1710" t="s">
        <v>122</v>
      </c>
      <c r="R1710" t="s">
        <v>151</v>
      </c>
      <c r="S1710" t="s">
        <v>1716</v>
      </c>
      <c r="T1710" t="s">
        <v>153</v>
      </c>
      <c r="U1710" t="s">
        <v>154</v>
      </c>
      <c r="V1710" t="str">
        <f>IFERROR(INDEX(Products!$C:$C,MATCH(D1710,Products!$A:$A,0)),"Unknown")</f>
        <v>Accessories</v>
      </c>
      <c r="W1710" t="str">
        <f>IFERROR(INDEX(Products!$E:$E,MATCH(D1710,Products!$A:$A,0)),"Unknown")</f>
        <v>Being Human</v>
      </c>
      <c r="X1710" t="str">
        <f>IFERROR(INDEX(Stores!$B:$B,MATCH(E1710,Stores!$A:$A,0)),"Unknown")</f>
        <v>TrendMart Kollam Flagship</v>
      </c>
      <c r="Y1710" t="str">
        <f>IFERROR(INDEX(Stores!$E:$E,MATCH(E1710,Stores!$A:$A,0)),"Unknown")</f>
        <v>South Zone 1</v>
      </c>
      <c r="Z1710" t="str">
        <f>IFERROR(INDEX(Customers!$J:$J,MATCH(C1710,Customers!$A:$A,0)),"Unknown")</f>
        <v>Regular</v>
      </c>
      <c r="AA1710" t="str">
        <f t="shared" si="26"/>
        <v>2024-04</v>
      </c>
      <c r="AB1710" t="str">
        <f>IFERROR(INDEX(Products!$I:$I,MATCH(D1710,Products!$A:$A,0)),"Unknown")</f>
        <v>SUP069</v>
      </c>
    </row>
    <row r="1711" spans="1:28" x14ac:dyDescent="0.25">
      <c r="A1711" t="s">
        <v>3662</v>
      </c>
      <c r="B1711" s="20">
        <v>45615</v>
      </c>
      <c r="C1711" t="s">
        <v>3663</v>
      </c>
      <c r="D1711" t="s">
        <v>1133</v>
      </c>
      <c r="E1711" t="s">
        <v>429</v>
      </c>
      <c r="F1711" t="s">
        <v>159</v>
      </c>
      <c r="G1711">
        <v>1</v>
      </c>
      <c r="H1711" s="21">
        <v>545.03</v>
      </c>
      <c r="I1711">
        <v>30</v>
      </c>
      <c r="J1711" s="21">
        <v>163.51</v>
      </c>
      <c r="K1711">
        <v>5</v>
      </c>
      <c r="L1711" s="21">
        <v>19.079999999999998</v>
      </c>
      <c r="M1711" s="21">
        <v>400.6</v>
      </c>
      <c r="N1711" s="21">
        <v>410.37</v>
      </c>
      <c r="O1711" s="21">
        <v>-28.85</v>
      </c>
      <c r="P1711" t="s">
        <v>125</v>
      </c>
      <c r="Q1711" t="s">
        <v>122</v>
      </c>
      <c r="R1711" t="s">
        <v>151</v>
      </c>
      <c r="S1711" t="s">
        <v>1907</v>
      </c>
      <c r="T1711" t="s">
        <v>153</v>
      </c>
      <c r="U1711" t="s">
        <v>184</v>
      </c>
      <c r="V1711" t="str">
        <f>IFERROR(INDEX(Products!$C:$C,MATCH(D1711,Products!$A:$A,0)),"Unknown")</f>
        <v>Sportswear</v>
      </c>
      <c r="W1711" t="str">
        <f>IFERROR(INDEX(Products!$E:$E,MATCH(D1711,Products!$A:$A,0)),"Unknown")</f>
        <v>Numero Uno</v>
      </c>
      <c r="X1711" t="str">
        <f>IFERROR(INDEX(Stores!$B:$B,MATCH(E1711,Stores!$A:$A,0)),"Unknown")</f>
        <v>TrendMart Tirunelveli Flagship</v>
      </c>
      <c r="Y1711" t="str">
        <f>IFERROR(INDEX(Stores!$E:$E,MATCH(E1711,Stores!$A:$A,0)),"Unknown")</f>
        <v>South Zone 1</v>
      </c>
      <c r="Z1711" t="str">
        <f>IFERROR(INDEX(Customers!$J:$J,MATCH(C1711,Customers!$A:$A,0)),"Unknown")</f>
        <v>Silver</v>
      </c>
      <c r="AA1711" t="str">
        <f t="shared" si="26"/>
        <v>2024-11</v>
      </c>
      <c r="AB1711" t="str">
        <f>IFERROR(INDEX(Products!$I:$I,MATCH(D1711,Products!$A:$A,0)),"Unknown")</f>
        <v>SUP082</v>
      </c>
    </row>
    <row r="1712" spans="1:28" x14ac:dyDescent="0.25">
      <c r="A1712" t="s">
        <v>3664</v>
      </c>
      <c r="B1712" s="20">
        <v>45708</v>
      </c>
      <c r="C1712" t="s">
        <v>204</v>
      </c>
      <c r="D1712" t="s">
        <v>510</v>
      </c>
      <c r="E1712" t="s">
        <v>1281</v>
      </c>
      <c r="F1712" t="s">
        <v>263</v>
      </c>
      <c r="G1712">
        <v>1</v>
      </c>
      <c r="H1712" s="21">
        <v>1147.98</v>
      </c>
      <c r="I1712">
        <v>25</v>
      </c>
      <c r="J1712" s="21">
        <v>287</v>
      </c>
      <c r="K1712">
        <v>12</v>
      </c>
      <c r="L1712" s="21">
        <v>103.32</v>
      </c>
      <c r="M1712" s="21">
        <v>964.3</v>
      </c>
      <c r="N1712" s="21">
        <v>914.72</v>
      </c>
      <c r="O1712" s="21">
        <v>-53.74</v>
      </c>
      <c r="P1712" t="s">
        <v>124</v>
      </c>
      <c r="Q1712" t="s">
        <v>122</v>
      </c>
      <c r="R1712" t="s">
        <v>151</v>
      </c>
      <c r="S1712" t="s">
        <v>555</v>
      </c>
      <c r="T1712" t="s">
        <v>153</v>
      </c>
      <c r="U1712" t="s">
        <v>184</v>
      </c>
      <c r="V1712" t="str">
        <f>IFERROR(INDEX(Products!$C:$C,MATCH(D1712,Products!$A:$A,0)),"Unknown")</f>
        <v>Sportswear</v>
      </c>
      <c r="W1712" t="str">
        <f>IFERROR(INDEX(Products!$E:$E,MATCH(D1712,Products!$A:$A,0)),"Unknown")</f>
        <v>Liberty</v>
      </c>
      <c r="X1712" t="str">
        <f>IFERROR(INDEX(Stores!$B:$B,MATCH(E1712,Stores!$A:$A,0)),"Unknown")</f>
        <v>TrendMart Visakhapatnam Standard</v>
      </c>
      <c r="Y1712" t="str">
        <f>IFERROR(INDEX(Stores!$E:$E,MATCH(E1712,Stores!$A:$A,0)),"Unknown")</f>
        <v>South Zone 3</v>
      </c>
      <c r="Z1712" t="str">
        <f>IFERROR(INDEX(Customers!$J:$J,MATCH(C1712,Customers!$A:$A,0)),"Unknown")</f>
        <v>Regular</v>
      </c>
      <c r="AA1712" t="str">
        <f t="shared" si="26"/>
        <v>2025-02</v>
      </c>
      <c r="AB1712" t="str">
        <f>IFERROR(INDEX(Products!$I:$I,MATCH(D1712,Products!$A:$A,0)),"Unknown")</f>
        <v>SUP010</v>
      </c>
    </row>
    <row r="1713" spans="1:28" x14ac:dyDescent="0.25">
      <c r="A1713" t="s">
        <v>3665</v>
      </c>
      <c r="B1713" s="20">
        <v>45743</v>
      </c>
      <c r="C1713" t="s">
        <v>2733</v>
      </c>
      <c r="D1713" t="s">
        <v>599</v>
      </c>
      <c r="E1713" t="s">
        <v>1187</v>
      </c>
      <c r="F1713" t="s">
        <v>335</v>
      </c>
      <c r="G1713">
        <v>1</v>
      </c>
      <c r="H1713" s="21">
        <v>1001.74</v>
      </c>
      <c r="I1713">
        <v>5</v>
      </c>
      <c r="J1713" s="21">
        <v>50.09</v>
      </c>
      <c r="K1713">
        <v>12</v>
      </c>
      <c r="L1713" s="21">
        <v>114.2</v>
      </c>
      <c r="M1713" s="21">
        <v>1065.8499999999999</v>
      </c>
      <c r="N1713" s="21">
        <v>645.59</v>
      </c>
      <c r="O1713" s="21">
        <v>306.06</v>
      </c>
      <c r="P1713" t="s">
        <v>125</v>
      </c>
      <c r="Q1713" t="s">
        <v>120</v>
      </c>
      <c r="R1713" t="s">
        <v>151</v>
      </c>
      <c r="S1713" t="s">
        <v>1347</v>
      </c>
      <c r="T1713" t="s">
        <v>153</v>
      </c>
      <c r="U1713" t="s">
        <v>154</v>
      </c>
      <c r="V1713" t="str">
        <f>IFERROR(INDEX(Products!$C:$C,MATCH(D1713,Products!$A:$A,0)),"Unknown")</f>
        <v>Men Shirts</v>
      </c>
      <c r="W1713" t="str">
        <f>IFERROR(INDEX(Products!$E:$E,MATCH(D1713,Products!$A:$A,0)),"Unknown")</f>
        <v>Van Heusen</v>
      </c>
      <c r="X1713" t="str">
        <f>IFERROR(INDEX(Stores!$B:$B,MATCH(E1713,Stores!$A:$A,0)),"Unknown")</f>
        <v>TrendMart Vijayawada Mall Kiosk</v>
      </c>
      <c r="Y1713" t="str">
        <f>IFERROR(INDEX(Stores!$E:$E,MATCH(E1713,Stores!$A:$A,0)),"Unknown")</f>
        <v>South Zone 3</v>
      </c>
      <c r="Z1713" t="str">
        <f>IFERROR(INDEX(Customers!$J:$J,MATCH(C1713,Customers!$A:$A,0)),"Unknown")</f>
        <v>Regular</v>
      </c>
      <c r="AA1713" t="str">
        <f t="shared" si="26"/>
        <v>2025-03</v>
      </c>
      <c r="AB1713" t="str">
        <f>IFERROR(INDEX(Products!$I:$I,MATCH(D1713,Products!$A:$A,0)),"Unknown")</f>
        <v>SUP084</v>
      </c>
    </row>
    <row r="1714" spans="1:28" x14ac:dyDescent="0.25">
      <c r="A1714" t="s">
        <v>3666</v>
      </c>
      <c r="B1714" s="20">
        <v>45525</v>
      </c>
      <c r="C1714" t="s">
        <v>1447</v>
      </c>
      <c r="D1714" t="s">
        <v>1661</v>
      </c>
      <c r="E1714" t="s">
        <v>296</v>
      </c>
      <c r="F1714" t="s">
        <v>211</v>
      </c>
      <c r="G1714">
        <v>2</v>
      </c>
      <c r="H1714" s="21">
        <v>829.32</v>
      </c>
      <c r="I1714">
        <v>0</v>
      </c>
      <c r="J1714" s="21">
        <v>0</v>
      </c>
      <c r="K1714">
        <v>5</v>
      </c>
      <c r="L1714" s="21">
        <v>82.93</v>
      </c>
      <c r="M1714" s="21">
        <v>1741.57</v>
      </c>
      <c r="N1714" s="21">
        <v>1322.68</v>
      </c>
      <c r="O1714" s="21">
        <v>335.96</v>
      </c>
      <c r="P1714" t="s">
        <v>126</v>
      </c>
      <c r="Q1714" t="s">
        <v>120</v>
      </c>
      <c r="R1714" t="s">
        <v>151</v>
      </c>
      <c r="S1714" t="s">
        <v>820</v>
      </c>
      <c r="T1714" t="s">
        <v>153</v>
      </c>
      <c r="U1714" t="s">
        <v>154</v>
      </c>
      <c r="V1714" t="str">
        <f>IFERROR(INDEX(Products!$C:$C,MATCH(D1714,Products!$A:$A,0)),"Unknown")</f>
        <v>Men Jeans</v>
      </c>
      <c r="W1714" t="str">
        <f>IFERROR(INDEX(Products!$E:$E,MATCH(D1714,Products!$A:$A,0)),"Unknown")</f>
        <v>Aurelia</v>
      </c>
      <c r="X1714" t="str">
        <f>IFERROR(INDEX(Stores!$B:$B,MATCH(E1714,Stores!$A:$A,0)),"Unknown")</f>
        <v>TrendMart Kurnool Outlet</v>
      </c>
      <c r="Y1714" t="str">
        <f>IFERROR(INDEX(Stores!$E:$E,MATCH(E1714,Stores!$A:$A,0)),"Unknown")</f>
        <v>South Zone 3</v>
      </c>
      <c r="Z1714" t="str">
        <f>IFERROR(INDEX(Customers!$J:$J,MATCH(C1714,Customers!$A:$A,0)),"Unknown")</f>
        <v>Regular</v>
      </c>
      <c r="AA1714" t="str">
        <f t="shared" si="26"/>
        <v>2024-08</v>
      </c>
      <c r="AB1714" t="str">
        <f>IFERROR(INDEX(Products!$I:$I,MATCH(D1714,Products!$A:$A,0)),"Unknown")</f>
        <v>SUP053</v>
      </c>
    </row>
    <row r="1715" spans="1:28" x14ac:dyDescent="0.25">
      <c r="A1715" t="s">
        <v>3667</v>
      </c>
      <c r="B1715" s="20">
        <v>45482</v>
      </c>
      <c r="C1715" t="s">
        <v>3668</v>
      </c>
      <c r="D1715" t="s">
        <v>386</v>
      </c>
      <c r="E1715" t="s">
        <v>302</v>
      </c>
      <c r="F1715" t="s">
        <v>281</v>
      </c>
      <c r="G1715">
        <v>1</v>
      </c>
      <c r="H1715" s="21">
        <v>1450.05</v>
      </c>
      <c r="I1715">
        <v>0</v>
      </c>
      <c r="J1715" s="21">
        <v>0</v>
      </c>
      <c r="K1715">
        <v>12</v>
      </c>
      <c r="L1715" s="21">
        <v>174.01</v>
      </c>
      <c r="M1715" s="21">
        <v>1624.06</v>
      </c>
      <c r="N1715" s="21">
        <v>1013.26</v>
      </c>
      <c r="O1715" s="21">
        <v>436.79</v>
      </c>
      <c r="P1715" t="s">
        <v>124</v>
      </c>
      <c r="Q1715" t="s">
        <v>122</v>
      </c>
      <c r="R1715" t="s">
        <v>151</v>
      </c>
      <c r="S1715" t="s">
        <v>966</v>
      </c>
      <c r="T1715" t="s">
        <v>153</v>
      </c>
      <c r="U1715" t="s">
        <v>154</v>
      </c>
      <c r="V1715" t="str">
        <f>IFERROR(INDEX(Products!$C:$C,MATCH(D1715,Products!$A:$A,0)),"Unknown")</f>
        <v>Winter Wear</v>
      </c>
      <c r="W1715" t="str">
        <f>IFERROR(INDEX(Products!$E:$E,MATCH(D1715,Products!$A:$A,0)),"Unknown")</f>
        <v>Blackberrys</v>
      </c>
      <c r="X1715" t="str">
        <f>IFERROR(INDEX(Stores!$B:$B,MATCH(E1715,Stores!$A:$A,0)),"Unknown")</f>
        <v>TrendMart Visakhapatnam Standard</v>
      </c>
      <c r="Y1715" t="str">
        <f>IFERROR(INDEX(Stores!$E:$E,MATCH(E1715,Stores!$A:$A,0)),"Unknown")</f>
        <v>South Zone 3</v>
      </c>
      <c r="Z1715" t="str">
        <f>IFERROR(INDEX(Customers!$J:$J,MATCH(C1715,Customers!$A:$A,0)),"Unknown")</f>
        <v>Platinum</v>
      </c>
      <c r="AA1715" t="str">
        <f t="shared" si="26"/>
        <v>2024-07</v>
      </c>
      <c r="AB1715" t="str">
        <f>IFERROR(INDEX(Products!$I:$I,MATCH(D1715,Products!$A:$A,0)),"Unknown")</f>
        <v>SUP051</v>
      </c>
    </row>
    <row r="1716" spans="1:28" x14ac:dyDescent="0.25">
      <c r="A1716" t="s">
        <v>3669</v>
      </c>
      <c r="B1716" s="20">
        <v>45547</v>
      </c>
      <c r="C1716" t="s">
        <v>366</v>
      </c>
      <c r="D1716" t="s">
        <v>401</v>
      </c>
      <c r="E1716" t="s">
        <v>92</v>
      </c>
      <c r="F1716" t="s">
        <v>281</v>
      </c>
      <c r="G1716">
        <v>2</v>
      </c>
      <c r="H1716" s="21">
        <v>1163.99</v>
      </c>
      <c r="I1716">
        <v>15</v>
      </c>
      <c r="J1716" s="21">
        <v>349.2</v>
      </c>
      <c r="K1716">
        <v>12</v>
      </c>
      <c r="L1716" s="21">
        <v>237.45</v>
      </c>
      <c r="M1716" s="21">
        <v>2216.23</v>
      </c>
      <c r="N1716" s="21">
        <v>1535.66</v>
      </c>
      <c r="O1716" s="21">
        <v>443.12</v>
      </c>
      <c r="P1716" t="s">
        <v>123</v>
      </c>
      <c r="Q1716" t="s">
        <v>120</v>
      </c>
      <c r="R1716" t="s">
        <v>151</v>
      </c>
      <c r="S1716" t="s">
        <v>538</v>
      </c>
      <c r="T1716" t="s">
        <v>153</v>
      </c>
      <c r="U1716" t="s">
        <v>154</v>
      </c>
      <c r="V1716" t="str">
        <f>IFERROR(INDEX(Products!$C:$C,MATCH(D1716,Products!$A:$A,0)),"Unknown")</f>
        <v>Women Jeans</v>
      </c>
      <c r="W1716" t="str">
        <f>IFERROR(INDEX(Products!$E:$E,MATCH(D1716,Products!$A:$A,0)),"Unknown")</f>
        <v>Being Human</v>
      </c>
      <c r="X1716" t="str">
        <f>IFERROR(INDEX(Stores!$B:$B,MATCH(E1716,Stores!$A:$A,0)),"Unknown")</f>
        <v>TrendMart Guntur High Street</v>
      </c>
      <c r="Y1716" t="str">
        <f>IFERROR(INDEX(Stores!$E:$E,MATCH(E1716,Stores!$A:$A,0)),"Unknown")</f>
        <v>South Zone 3</v>
      </c>
      <c r="Z1716" t="str">
        <f>IFERROR(INDEX(Customers!$J:$J,MATCH(C1716,Customers!$A:$A,0)),"Unknown")</f>
        <v>Gold</v>
      </c>
      <c r="AA1716" t="str">
        <f t="shared" si="26"/>
        <v>2024-09</v>
      </c>
      <c r="AB1716" t="str">
        <f>IFERROR(INDEX(Products!$I:$I,MATCH(D1716,Products!$A:$A,0)),"Unknown")</f>
        <v>SUP013</v>
      </c>
    </row>
    <row r="1717" spans="1:28" x14ac:dyDescent="0.25">
      <c r="A1717" t="s">
        <v>3670</v>
      </c>
      <c r="B1717" s="20">
        <v>45527</v>
      </c>
      <c r="C1717" t="s">
        <v>1337</v>
      </c>
      <c r="D1717" t="s">
        <v>1128</v>
      </c>
      <c r="E1717" t="s">
        <v>490</v>
      </c>
      <c r="F1717" t="s">
        <v>344</v>
      </c>
      <c r="G1717">
        <v>3</v>
      </c>
      <c r="H1717" s="21">
        <v>1732.36</v>
      </c>
      <c r="I1717">
        <v>10</v>
      </c>
      <c r="J1717" s="21">
        <v>519.71</v>
      </c>
      <c r="K1717">
        <v>12</v>
      </c>
      <c r="L1717" s="21">
        <v>561.28</v>
      </c>
      <c r="M1717" s="21">
        <v>5238.6499999999996</v>
      </c>
      <c r="N1717" s="21">
        <v>3347.76</v>
      </c>
      <c r="O1717" s="21">
        <v>1329.61</v>
      </c>
      <c r="P1717" t="s">
        <v>126</v>
      </c>
      <c r="Q1717" t="s">
        <v>120</v>
      </c>
      <c r="R1717" t="s">
        <v>151</v>
      </c>
      <c r="S1717" t="s">
        <v>3671</v>
      </c>
      <c r="T1717" t="s">
        <v>153</v>
      </c>
      <c r="U1717" t="s">
        <v>154</v>
      </c>
      <c r="V1717" t="str">
        <f>IFERROR(INDEX(Products!$C:$C,MATCH(D1717,Products!$A:$A,0)),"Unknown")</f>
        <v>Winter Wear</v>
      </c>
      <c r="W1717" t="str">
        <f>IFERROR(INDEX(Products!$E:$E,MATCH(D1717,Products!$A:$A,0)),"Unknown")</f>
        <v>Libas</v>
      </c>
      <c r="X1717" t="str">
        <f>IFERROR(INDEX(Stores!$B:$B,MATCH(E1717,Stores!$A:$A,0)),"Unknown")</f>
        <v>TrendMart Mangaluru Mall Kiosk</v>
      </c>
      <c r="Y1717" t="str">
        <f>IFERROR(INDEX(Stores!$E:$E,MATCH(E1717,Stores!$A:$A,0)),"Unknown")</f>
        <v>South Zone 2</v>
      </c>
      <c r="Z1717" t="str">
        <f>IFERROR(INDEX(Customers!$J:$J,MATCH(C1717,Customers!$A:$A,0)),"Unknown")</f>
        <v>Regular</v>
      </c>
      <c r="AA1717" t="str">
        <f t="shared" si="26"/>
        <v>2024-08</v>
      </c>
      <c r="AB1717" t="str">
        <f>IFERROR(INDEX(Products!$I:$I,MATCH(D1717,Products!$A:$A,0)),"Unknown")</f>
        <v>SUP007</v>
      </c>
    </row>
    <row r="1718" spans="1:28" x14ac:dyDescent="0.25">
      <c r="A1718" t="s">
        <v>3672</v>
      </c>
      <c r="B1718" s="20">
        <v>45507</v>
      </c>
      <c r="C1718" t="s">
        <v>1689</v>
      </c>
      <c r="D1718" t="s">
        <v>1156</v>
      </c>
      <c r="E1718" t="s">
        <v>541</v>
      </c>
      <c r="F1718" t="s">
        <v>462</v>
      </c>
      <c r="G1718">
        <v>2</v>
      </c>
      <c r="H1718" s="21">
        <v>687.12</v>
      </c>
      <c r="I1718">
        <v>25</v>
      </c>
      <c r="J1718" s="21">
        <v>343.56</v>
      </c>
      <c r="K1718">
        <v>5</v>
      </c>
      <c r="L1718" s="21">
        <v>51.53</v>
      </c>
      <c r="M1718" s="21">
        <v>1082.21</v>
      </c>
      <c r="N1718" s="21">
        <v>1018.88</v>
      </c>
      <c r="O1718" s="21">
        <v>11.8</v>
      </c>
      <c r="P1718" t="s">
        <v>125</v>
      </c>
      <c r="Q1718" t="s">
        <v>120</v>
      </c>
      <c r="R1718" t="s">
        <v>151</v>
      </c>
      <c r="S1718" t="s">
        <v>1826</v>
      </c>
      <c r="T1718" t="s">
        <v>161</v>
      </c>
      <c r="U1718" t="s">
        <v>154</v>
      </c>
      <c r="V1718" t="str">
        <f>IFERROR(INDEX(Products!$C:$C,MATCH(D1718,Products!$A:$A,0)),"Unknown")</f>
        <v>Kids Wear</v>
      </c>
      <c r="W1718" t="str">
        <f>IFERROR(INDEX(Products!$E:$E,MATCH(D1718,Products!$A:$A,0)),"Unknown")</f>
        <v>Allen Solly</v>
      </c>
      <c r="X1718" t="str">
        <f>IFERROR(INDEX(Stores!$B:$B,MATCH(E1718,Stores!$A:$A,0)),"Unknown")</f>
        <v>TrendMart Kochi Standard</v>
      </c>
      <c r="Y1718" t="str">
        <f>IFERROR(INDEX(Stores!$E:$E,MATCH(E1718,Stores!$A:$A,0)),"Unknown")</f>
        <v>South Zone 1</v>
      </c>
      <c r="Z1718" t="str">
        <f>IFERROR(INDEX(Customers!$J:$J,MATCH(C1718,Customers!$A:$A,0)),"Unknown")</f>
        <v>Silver</v>
      </c>
      <c r="AA1718" t="str">
        <f t="shared" si="26"/>
        <v>2024-08</v>
      </c>
      <c r="AB1718" t="str">
        <f>IFERROR(INDEX(Products!$I:$I,MATCH(D1718,Products!$A:$A,0)),"Unknown")</f>
        <v>SUP026</v>
      </c>
    </row>
    <row r="1719" spans="1:28" x14ac:dyDescent="0.25">
      <c r="A1719" t="s">
        <v>3673</v>
      </c>
      <c r="B1719" s="20">
        <v>45539</v>
      </c>
      <c r="C1719" t="s">
        <v>2858</v>
      </c>
      <c r="D1719" t="s">
        <v>469</v>
      </c>
      <c r="E1719" t="s">
        <v>89</v>
      </c>
      <c r="F1719" t="s">
        <v>344</v>
      </c>
      <c r="G1719">
        <v>4</v>
      </c>
      <c r="H1719" s="21">
        <v>897.42</v>
      </c>
      <c r="I1719">
        <v>0</v>
      </c>
      <c r="J1719" s="21">
        <v>0</v>
      </c>
      <c r="K1719">
        <v>5</v>
      </c>
      <c r="L1719" s="21">
        <v>179.48</v>
      </c>
      <c r="M1719" s="21">
        <v>3769.16</v>
      </c>
      <c r="N1719" s="21">
        <v>2272.2399999999998</v>
      </c>
      <c r="O1719" s="21">
        <v>1317.44</v>
      </c>
      <c r="P1719" t="s">
        <v>121</v>
      </c>
      <c r="Q1719" t="s">
        <v>120</v>
      </c>
      <c r="R1719" t="s">
        <v>151</v>
      </c>
      <c r="S1719" t="s">
        <v>2126</v>
      </c>
      <c r="T1719" t="s">
        <v>153</v>
      </c>
      <c r="U1719" t="s">
        <v>154</v>
      </c>
      <c r="V1719" t="str">
        <f>IFERROR(INDEX(Products!$C:$C,MATCH(D1719,Products!$A:$A,0)),"Unknown")</f>
        <v>Women Kurtis</v>
      </c>
      <c r="W1719" t="str">
        <f>IFERROR(INDEX(Products!$E:$E,MATCH(D1719,Products!$A:$A,0)),"Unknown")</f>
        <v>Libas</v>
      </c>
      <c r="X1719" t="str">
        <f>IFERROR(INDEX(Stores!$B:$B,MATCH(E1719,Stores!$A:$A,0)),"Unknown")</f>
        <v>TrendMart Kochi Standard</v>
      </c>
      <c r="Y1719" t="str">
        <f>IFERROR(INDEX(Stores!$E:$E,MATCH(E1719,Stores!$A:$A,0)),"Unknown")</f>
        <v>South Zone 1</v>
      </c>
      <c r="Z1719" t="str">
        <f>IFERROR(INDEX(Customers!$J:$J,MATCH(C1719,Customers!$A:$A,0)),"Unknown")</f>
        <v>Regular</v>
      </c>
      <c r="AA1719" t="str">
        <f t="shared" si="26"/>
        <v>2024-09</v>
      </c>
      <c r="AB1719" t="str">
        <f>IFERROR(INDEX(Products!$I:$I,MATCH(D1719,Products!$A:$A,0)),"Unknown")</f>
        <v>SUP079</v>
      </c>
    </row>
    <row r="1720" spans="1:28" x14ac:dyDescent="0.25">
      <c r="A1720" t="s">
        <v>3674</v>
      </c>
      <c r="B1720" s="20">
        <v>45422</v>
      </c>
      <c r="C1720" t="s">
        <v>2883</v>
      </c>
      <c r="D1720" t="s">
        <v>2169</v>
      </c>
      <c r="E1720" t="s">
        <v>831</v>
      </c>
      <c r="F1720" t="s">
        <v>618</v>
      </c>
      <c r="G1720">
        <v>2</v>
      </c>
      <c r="H1720" s="21">
        <v>988.8</v>
      </c>
      <c r="I1720">
        <v>0</v>
      </c>
      <c r="J1720" s="21">
        <v>0</v>
      </c>
      <c r="K1720">
        <v>5</v>
      </c>
      <c r="L1720" s="21">
        <v>98.88</v>
      </c>
      <c r="M1720" s="21">
        <v>2076.48</v>
      </c>
      <c r="N1720" s="21">
        <v>1281.52</v>
      </c>
      <c r="O1720" s="21">
        <v>696.08</v>
      </c>
      <c r="P1720" t="s">
        <v>121</v>
      </c>
      <c r="Q1720" t="s">
        <v>120</v>
      </c>
      <c r="R1720" t="s">
        <v>151</v>
      </c>
      <c r="S1720" t="s">
        <v>2603</v>
      </c>
      <c r="T1720" t="s">
        <v>153</v>
      </c>
      <c r="U1720" t="s">
        <v>154</v>
      </c>
      <c r="V1720" t="str">
        <f>IFERROR(INDEX(Products!$C:$C,MATCH(D1720,Products!$A:$A,0)),"Unknown")</f>
        <v>Men Trousers</v>
      </c>
      <c r="W1720" t="str">
        <f>IFERROR(INDEX(Products!$E:$E,MATCH(D1720,Products!$A:$A,0)),"Unknown")</f>
        <v>Titan</v>
      </c>
      <c r="X1720" t="str">
        <f>IFERROR(INDEX(Stores!$B:$B,MATCH(E1720,Stores!$A:$A,0)),"Unknown")</f>
        <v>TrendMart Vellore Standard</v>
      </c>
      <c r="Y1720" t="str">
        <f>IFERROR(INDEX(Stores!$E:$E,MATCH(E1720,Stores!$A:$A,0)),"Unknown")</f>
        <v>South Zone 1</v>
      </c>
      <c r="Z1720" t="str">
        <f>IFERROR(INDEX(Customers!$J:$J,MATCH(C1720,Customers!$A:$A,0)),"Unknown")</f>
        <v>Gold</v>
      </c>
      <c r="AA1720" t="str">
        <f t="shared" si="26"/>
        <v>2024-05</v>
      </c>
      <c r="AB1720" t="str">
        <f>IFERROR(INDEX(Products!$I:$I,MATCH(D1720,Products!$A:$A,0)),"Unknown")</f>
        <v>SUP069</v>
      </c>
    </row>
    <row r="1721" spans="1:28" x14ac:dyDescent="0.25">
      <c r="A1721" t="s">
        <v>3675</v>
      </c>
      <c r="B1721" s="20">
        <v>45595</v>
      </c>
      <c r="C1721" t="s">
        <v>3676</v>
      </c>
      <c r="D1721" t="s">
        <v>1178</v>
      </c>
      <c r="E1721" t="s">
        <v>617</v>
      </c>
      <c r="F1721" t="s">
        <v>382</v>
      </c>
      <c r="G1721">
        <v>5</v>
      </c>
      <c r="H1721" s="21">
        <v>1706.59</v>
      </c>
      <c r="I1721">
        <v>15</v>
      </c>
      <c r="J1721" s="21">
        <v>1279.94</v>
      </c>
      <c r="K1721">
        <v>12</v>
      </c>
      <c r="L1721" s="21">
        <v>870.36</v>
      </c>
      <c r="M1721" s="21">
        <v>8123.37</v>
      </c>
      <c r="N1721" s="21">
        <v>5726.05</v>
      </c>
      <c r="O1721" s="21">
        <v>1526.96</v>
      </c>
      <c r="P1721" t="s">
        <v>123</v>
      </c>
      <c r="Q1721" t="s">
        <v>120</v>
      </c>
      <c r="R1721" t="s">
        <v>151</v>
      </c>
      <c r="S1721" t="s">
        <v>243</v>
      </c>
      <c r="T1721" t="s">
        <v>153</v>
      </c>
      <c r="U1721" t="s">
        <v>154</v>
      </c>
      <c r="V1721" t="str">
        <f>IFERROR(INDEX(Products!$C:$C,MATCH(D1721,Products!$A:$A,0)),"Unknown")</f>
        <v>Footwear</v>
      </c>
      <c r="W1721" t="str">
        <f>IFERROR(INDEX(Products!$E:$E,MATCH(D1721,Products!$A:$A,0)),"Unknown")</f>
        <v>Sparx</v>
      </c>
      <c r="X1721" t="str">
        <f>IFERROR(INDEX(Stores!$B:$B,MATCH(E1721,Stores!$A:$A,0)),"Unknown")</f>
        <v>TrendMart Mangaluru High Street</v>
      </c>
      <c r="Y1721" t="str">
        <f>IFERROR(INDEX(Stores!$E:$E,MATCH(E1721,Stores!$A:$A,0)),"Unknown")</f>
        <v>South Zone 2</v>
      </c>
      <c r="Z1721" t="str">
        <f>IFERROR(INDEX(Customers!$J:$J,MATCH(C1721,Customers!$A:$A,0)),"Unknown")</f>
        <v>Gold</v>
      </c>
      <c r="AA1721" t="str">
        <f t="shared" si="26"/>
        <v>2024-10</v>
      </c>
      <c r="AB1721" t="str">
        <f>IFERROR(INDEX(Products!$I:$I,MATCH(D1721,Products!$A:$A,0)),"Unknown")</f>
        <v>SUP063</v>
      </c>
    </row>
    <row r="1722" spans="1:28" x14ac:dyDescent="0.25">
      <c r="A1722" t="s">
        <v>3677</v>
      </c>
      <c r="B1722" s="20">
        <v>45614</v>
      </c>
      <c r="C1722" t="s">
        <v>2698</v>
      </c>
      <c r="D1722" t="s">
        <v>199</v>
      </c>
      <c r="E1722" t="s">
        <v>798</v>
      </c>
      <c r="F1722" t="s">
        <v>292</v>
      </c>
      <c r="G1722">
        <v>5</v>
      </c>
      <c r="H1722" s="21">
        <v>835.09</v>
      </c>
      <c r="I1722">
        <v>0</v>
      </c>
      <c r="J1722" s="21">
        <v>0</v>
      </c>
      <c r="K1722">
        <v>5</v>
      </c>
      <c r="L1722" s="21">
        <v>208.77</v>
      </c>
      <c r="M1722" s="21">
        <v>4384.22</v>
      </c>
      <c r="N1722" s="21">
        <v>2443</v>
      </c>
      <c r="O1722" s="21">
        <v>1732.45</v>
      </c>
      <c r="P1722" t="s">
        <v>124</v>
      </c>
      <c r="Q1722" t="s">
        <v>120</v>
      </c>
      <c r="R1722" t="s">
        <v>151</v>
      </c>
      <c r="S1722" t="s">
        <v>690</v>
      </c>
      <c r="T1722" t="s">
        <v>153</v>
      </c>
      <c r="U1722" t="s">
        <v>154</v>
      </c>
      <c r="V1722" t="str">
        <f>IFERROR(INDEX(Products!$C:$C,MATCH(D1722,Products!$A:$A,0)),"Unknown")</f>
        <v>Accessories</v>
      </c>
      <c r="W1722" t="str">
        <f>IFERROR(INDEX(Products!$E:$E,MATCH(D1722,Products!$A:$A,0)),"Unknown")</f>
        <v>Arrow</v>
      </c>
      <c r="X1722" t="str">
        <f>IFERROR(INDEX(Stores!$B:$B,MATCH(E1722,Stores!$A:$A,0)),"Unknown")</f>
        <v>TrendMart Guntur Standard</v>
      </c>
      <c r="Y1722" t="str">
        <f>IFERROR(INDEX(Stores!$E:$E,MATCH(E1722,Stores!$A:$A,0)),"Unknown")</f>
        <v>South Zone 3</v>
      </c>
      <c r="Z1722" t="str">
        <f>IFERROR(INDEX(Customers!$J:$J,MATCH(C1722,Customers!$A:$A,0)),"Unknown")</f>
        <v>Gold</v>
      </c>
      <c r="AA1722" t="str">
        <f t="shared" si="26"/>
        <v>2024-11</v>
      </c>
      <c r="AB1722" t="str">
        <f>IFERROR(INDEX(Products!$I:$I,MATCH(D1722,Products!$A:$A,0)),"Unknown")</f>
        <v>SUP018</v>
      </c>
    </row>
    <row r="1723" spans="1:28" x14ac:dyDescent="0.25">
      <c r="A1723" t="s">
        <v>3678</v>
      </c>
      <c r="B1723" s="20">
        <v>45615</v>
      </c>
      <c r="C1723" t="s">
        <v>3052</v>
      </c>
      <c r="D1723" t="s">
        <v>1905</v>
      </c>
      <c r="E1723" t="s">
        <v>815</v>
      </c>
      <c r="F1723" t="s">
        <v>292</v>
      </c>
      <c r="G1723">
        <v>1</v>
      </c>
      <c r="H1723" s="21">
        <v>933.72</v>
      </c>
      <c r="I1723">
        <v>25</v>
      </c>
      <c r="J1723" s="21">
        <v>233.43</v>
      </c>
      <c r="K1723">
        <v>5</v>
      </c>
      <c r="L1723" s="21">
        <v>35.01</v>
      </c>
      <c r="M1723" s="21">
        <v>735.3</v>
      </c>
      <c r="N1723" s="21">
        <v>630.1</v>
      </c>
      <c r="O1723" s="21">
        <v>70.19</v>
      </c>
      <c r="P1723" t="s">
        <v>121</v>
      </c>
      <c r="Q1723" t="s">
        <v>120</v>
      </c>
      <c r="R1723" t="s">
        <v>151</v>
      </c>
      <c r="S1723" t="s">
        <v>3679</v>
      </c>
      <c r="T1723" t="s">
        <v>153</v>
      </c>
      <c r="U1723" t="s">
        <v>154</v>
      </c>
      <c r="V1723" t="str">
        <f>IFERROR(INDEX(Products!$C:$C,MATCH(D1723,Products!$A:$A,0)),"Unknown")</f>
        <v>Sportswear</v>
      </c>
      <c r="W1723" t="str">
        <f>IFERROR(INDEX(Products!$E:$E,MATCH(D1723,Products!$A:$A,0)),"Unknown")</f>
        <v>Pantaloons</v>
      </c>
      <c r="X1723" t="str">
        <f>IFERROR(INDEX(Stores!$B:$B,MATCH(E1723,Stores!$A:$A,0)),"Unknown")</f>
        <v>TrendMart Madurai Mall Kiosk</v>
      </c>
      <c r="Y1723" t="str">
        <f>IFERROR(INDEX(Stores!$E:$E,MATCH(E1723,Stores!$A:$A,0)),"Unknown")</f>
        <v>South Zone 1</v>
      </c>
      <c r="Z1723" t="str">
        <f>IFERROR(INDEX(Customers!$J:$J,MATCH(C1723,Customers!$A:$A,0)),"Unknown")</f>
        <v>Gold</v>
      </c>
      <c r="AA1723" t="str">
        <f t="shared" si="26"/>
        <v>2024-11</v>
      </c>
      <c r="AB1723" t="str">
        <f>IFERROR(INDEX(Products!$I:$I,MATCH(D1723,Products!$A:$A,0)),"Unknown")</f>
        <v>SUP062</v>
      </c>
    </row>
    <row r="1724" spans="1:28" x14ac:dyDescent="0.25">
      <c r="A1724" t="s">
        <v>3680</v>
      </c>
      <c r="B1724" s="20">
        <v>45610</v>
      </c>
      <c r="C1724" t="s">
        <v>1438</v>
      </c>
      <c r="D1724" t="s">
        <v>2051</v>
      </c>
      <c r="E1724" t="s">
        <v>752</v>
      </c>
      <c r="F1724" t="s">
        <v>335</v>
      </c>
      <c r="G1724">
        <v>1</v>
      </c>
      <c r="H1724" s="21">
        <v>2589.81</v>
      </c>
      <c r="I1724">
        <v>10</v>
      </c>
      <c r="J1724" s="21">
        <v>258.98</v>
      </c>
      <c r="K1724">
        <v>12</v>
      </c>
      <c r="L1724" s="21">
        <v>279.7</v>
      </c>
      <c r="M1724" s="21">
        <v>2610.5300000000002</v>
      </c>
      <c r="N1724" s="21">
        <v>1958.39</v>
      </c>
      <c r="O1724" s="21">
        <v>372.44</v>
      </c>
      <c r="P1724" t="s">
        <v>125</v>
      </c>
      <c r="Q1724" t="s">
        <v>122</v>
      </c>
      <c r="R1724" t="s">
        <v>151</v>
      </c>
      <c r="S1724" t="s">
        <v>938</v>
      </c>
      <c r="T1724" t="s">
        <v>153</v>
      </c>
      <c r="U1724" t="s">
        <v>154</v>
      </c>
      <c r="V1724" t="str">
        <f>IFERROR(INDEX(Products!$C:$C,MATCH(D1724,Products!$A:$A,0)),"Unknown")</f>
        <v>Men Ethnic</v>
      </c>
      <c r="W1724" t="str">
        <f>IFERROR(INDEX(Products!$E:$E,MATCH(D1724,Products!$A:$A,0)),"Unknown")</f>
        <v>Nike</v>
      </c>
      <c r="X1724" t="str">
        <f>IFERROR(INDEX(Stores!$B:$B,MATCH(E1724,Stores!$A:$A,0)),"Unknown")</f>
        <v>TrendMart Dindigul High Street</v>
      </c>
      <c r="Y1724" t="str">
        <f>IFERROR(INDEX(Stores!$E:$E,MATCH(E1724,Stores!$A:$A,0)),"Unknown")</f>
        <v>South Zone 1</v>
      </c>
      <c r="Z1724" t="str">
        <f>IFERROR(INDEX(Customers!$J:$J,MATCH(C1724,Customers!$A:$A,0)),"Unknown")</f>
        <v>Silver</v>
      </c>
      <c r="AA1724" t="str">
        <f t="shared" si="26"/>
        <v>2024-11</v>
      </c>
      <c r="AB1724" t="str">
        <f>IFERROR(INDEX(Products!$I:$I,MATCH(D1724,Products!$A:$A,0)),"Unknown")</f>
        <v>SUP002</v>
      </c>
    </row>
    <row r="1725" spans="1:28" x14ac:dyDescent="0.25">
      <c r="A1725" t="s">
        <v>3681</v>
      </c>
      <c r="B1725" s="20">
        <v>45556</v>
      </c>
      <c r="C1725" t="s">
        <v>148</v>
      </c>
      <c r="D1725" t="s">
        <v>531</v>
      </c>
      <c r="E1725" t="s">
        <v>477</v>
      </c>
      <c r="F1725" t="s">
        <v>176</v>
      </c>
      <c r="G1725">
        <v>1</v>
      </c>
      <c r="H1725" s="21">
        <v>3324.83</v>
      </c>
      <c r="I1725">
        <v>0</v>
      </c>
      <c r="J1725" s="21">
        <v>0</v>
      </c>
      <c r="K1725">
        <v>12</v>
      </c>
      <c r="L1725" s="21">
        <v>398.98</v>
      </c>
      <c r="M1725" s="21">
        <v>3723.81</v>
      </c>
      <c r="N1725" s="21">
        <v>2034.01</v>
      </c>
      <c r="O1725" s="21">
        <v>1290.82</v>
      </c>
      <c r="P1725" t="s">
        <v>125</v>
      </c>
      <c r="Q1725" t="s">
        <v>120</v>
      </c>
      <c r="R1725" t="s">
        <v>151</v>
      </c>
      <c r="S1725" t="s">
        <v>2904</v>
      </c>
      <c r="T1725" t="s">
        <v>161</v>
      </c>
      <c r="U1725" t="s">
        <v>154</v>
      </c>
      <c r="V1725" t="str">
        <f>IFERROR(INDEX(Products!$C:$C,MATCH(D1725,Products!$A:$A,0)),"Unknown")</f>
        <v>Handbags</v>
      </c>
      <c r="W1725" t="str">
        <f>IFERROR(INDEX(Products!$E:$E,MATCH(D1725,Products!$A:$A,0)),"Unknown")</f>
        <v>GRT Jewellers</v>
      </c>
      <c r="X1725" t="str">
        <f>IFERROR(INDEX(Stores!$B:$B,MATCH(E1725,Stores!$A:$A,0)),"Unknown")</f>
        <v>TrendMart Hubballi Standard</v>
      </c>
      <c r="Y1725" t="str">
        <f>IFERROR(INDEX(Stores!$E:$E,MATCH(E1725,Stores!$A:$A,0)),"Unknown")</f>
        <v>South Zone 2</v>
      </c>
      <c r="Z1725" t="str">
        <f>IFERROR(INDEX(Customers!$J:$J,MATCH(C1725,Customers!$A:$A,0)),"Unknown")</f>
        <v>Regular</v>
      </c>
      <c r="AA1725" t="str">
        <f t="shared" si="26"/>
        <v>2024-09</v>
      </c>
      <c r="AB1725" t="str">
        <f>IFERROR(INDEX(Products!$I:$I,MATCH(D1725,Products!$A:$A,0)),"Unknown")</f>
        <v>SUP047</v>
      </c>
    </row>
    <row r="1726" spans="1:28" x14ac:dyDescent="0.25">
      <c r="A1726" t="s">
        <v>3682</v>
      </c>
      <c r="B1726" s="20">
        <v>45634</v>
      </c>
      <c r="C1726" t="s">
        <v>459</v>
      </c>
      <c r="D1726" t="s">
        <v>740</v>
      </c>
      <c r="E1726" t="s">
        <v>83</v>
      </c>
      <c r="F1726" t="s">
        <v>532</v>
      </c>
      <c r="G1726">
        <v>4</v>
      </c>
      <c r="H1726" s="21">
        <v>2599.98</v>
      </c>
      <c r="I1726">
        <v>5</v>
      </c>
      <c r="J1726" s="21">
        <v>520</v>
      </c>
      <c r="K1726">
        <v>12</v>
      </c>
      <c r="L1726" s="21">
        <v>1185.5899999999999</v>
      </c>
      <c r="M1726" s="21">
        <v>11065.51</v>
      </c>
      <c r="N1726" s="21">
        <v>6205.68</v>
      </c>
      <c r="O1726" s="21">
        <v>3674.24</v>
      </c>
      <c r="P1726" t="s">
        <v>124</v>
      </c>
      <c r="Q1726" t="s">
        <v>122</v>
      </c>
      <c r="R1726" t="s">
        <v>151</v>
      </c>
      <c r="S1726" t="s">
        <v>1424</v>
      </c>
      <c r="T1726" t="s">
        <v>161</v>
      </c>
      <c r="U1726" t="s">
        <v>154</v>
      </c>
      <c r="V1726" t="str">
        <f>IFERROR(INDEX(Products!$C:$C,MATCH(D1726,Products!$A:$A,0)),"Unknown")</f>
        <v>Men Ethnic</v>
      </c>
      <c r="W1726" t="str">
        <f>IFERROR(INDEX(Products!$E:$E,MATCH(D1726,Products!$A:$A,0)),"Unknown")</f>
        <v>Max Fashion</v>
      </c>
      <c r="X1726" t="str">
        <f>IFERROR(INDEX(Stores!$B:$B,MATCH(E1726,Stores!$A:$A,0)),"Unknown")</f>
        <v>TrendMart Vellore Standard</v>
      </c>
      <c r="Y1726" t="str">
        <f>IFERROR(INDEX(Stores!$E:$E,MATCH(E1726,Stores!$A:$A,0)),"Unknown")</f>
        <v>South Zone 1</v>
      </c>
      <c r="Z1726" t="str">
        <f>IFERROR(INDEX(Customers!$J:$J,MATCH(C1726,Customers!$A:$A,0)),"Unknown")</f>
        <v>Gold</v>
      </c>
      <c r="AA1726" t="str">
        <f t="shared" si="26"/>
        <v>2024-12</v>
      </c>
      <c r="AB1726" t="str">
        <f>IFERROR(INDEX(Products!$I:$I,MATCH(D1726,Products!$A:$A,0)),"Unknown")</f>
        <v>SUP001</v>
      </c>
    </row>
    <row r="1727" spans="1:28" x14ac:dyDescent="0.25">
      <c r="A1727" t="s">
        <v>3683</v>
      </c>
      <c r="B1727" s="20">
        <v>45398</v>
      </c>
      <c r="C1727" t="s">
        <v>3684</v>
      </c>
      <c r="D1727" t="s">
        <v>1421</v>
      </c>
      <c r="E1727" t="s">
        <v>511</v>
      </c>
      <c r="F1727" t="s">
        <v>596</v>
      </c>
      <c r="G1727">
        <v>1</v>
      </c>
      <c r="H1727" s="21">
        <v>1250.52</v>
      </c>
      <c r="I1727">
        <v>0</v>
      </c>
      <c r="J1727" s="21">
        <v>0</v>
      </c>
      <c r="K1727">
        <v>12</v>
      </c>
      <c r="L1727" s="21">
        <v>150.06</v>
      </c>
      <c r="M1727" s="21">
        <v>1400.58</v>
      </c>
      <c r="N1727" s="21">
        <v>817.33</v>
      </c>
      <c r="O1727" s="21">
        <v>433.19</v>
      </c>
      <c r="P1727" t="s">
        <v>127</v>
      </c>
      <c r="Q1727" t="s">
        <v>122</v>
      </c>
      <c r="R1727" t="s">
        <v>151</v>
      </c>
      <c r="S1727" t="s">
        <v>3685</v>
      </c>
      <c r="T1727" t="s">
        <v>153</v>
      </c>
      <c r="U1727" t="s">
        <v>154</v>
      </c>
      <c r="V1727" t="str">
        <f>IFERROR(INDEX(Products!$C:$C,MATCH(D1727,Products!$A:$A,0)),"Unknown")</f>
        <v>Men Jeans</v>
      </c>
      <c r="W1727" t="str">
        <f>IFERROR(INDEX(Products!$E:$E,MATCH(D1727,Products!$A:$A,0)),"Unknown")</f>
        <v>Flying Machine</v>
      </c>
      <c r="X1727" t="str">
        <f>IFERROR(INDEX(Stores!$B:$B,MATCH(E1727,Stores!$A:$A,0)),"Unknown")</f>
        <v>TrendMart Khammam Standard</v>
      </c>
      <c r="Y1727" t="str">
        <f>IFERROR(INDEX(Stores!$E:$E,MATCH(E1727,Stores!$A:$A,0)),"Unknown")</f>
        <v>South Zone 2</v>
      </c>
      <c r="Z1727" t="str">
        <f>IFERROR(INDEX(Customers!$J:$J,MATCH(C1727,Customers!$A:$A,0)),"Unknown")</f>
        <v>Regular</v>
      </c>
      <c r="AA1727" t="str">
        <f t="shared" si="26"/>
        <v>2024-04</v>
      </c>
      <c r="AB1727" t="str">
        <f>IFERROR(INDEX(Products!$I:$I,MATCH(D1727,Products!$A:$A,0)),"Unknown")</f>
        <v>SUP043</v>
      </c>
    </row>
    <row r="1728" spans="1:28" x14ac:dyDescent="0.25">
      <c r="A1728" t="s">
        <v>3686</v>
      </c>
      <c r="B1728" s="20">
        <v>45679</v>
      </c>
      <c r="C1728" t="s">
        <v>1536</v>
      </c>
      <c r="D1728" t="s">
        <v>1063</v>
      </c>
      <c r="E1728" t="s">
        <v>83</v>
      </c>
      <c r="F1728" t="s">
        <v>237</v>
      </c>
      <c r="G1728">
        <v>2</v>
      </c>
      <c r="H1728" s="21">
        <v>965.31</v>
      </c>
      <c r="I1728">
        <v>0</v>
      </c>
      <c r="J1728" s="21">
        <v>0</v>
      </c>
      <c r="K1728">
        <v>5</v>
      </c>
      <c r="L1728" s="21">
        <v>96.53</v>
      </c>
      <c r="M1728" s="21">
        <v>2027.15</v>
      </c>
      <c r="N1728" s="21">
        <v>1153.94</v>
      </c>
      <c r="O1728" s="21">
        <v>776.68</v>
      </c>
      <c r="P1728" t="s">
        <v>121</v>
      </c>
      <c r="Q1728" t="s">
        <v>120</v>
      </c>
      <c r="R1728" t="s">
        <v>151</v>
      </c>
      <c r="S1728" t="s">
        <v>917</v>
      </c>
      <c r="T1728" t="s">
        <v>153</v>
      </c>
      <c r="U1728" t="s">
        <v>154</v>
      </c>
      <c r="V1728" t="str">
        <f>IFERROR(INDEX(Products!$C:$C,MATCH(D1728,Products!$A:$A,0)),"Unknown")</f>
        <v>Accessories</v>
      </c>
      <c r="W1728" t="str">
        <f>IFERROR(INDEX(Products!$E:$E,MATCH(D1728,Products!$A:$A,0)),"Unknown")</f>
        <v>Pepe Jeans</v>
      </c>
      <c r="X1728" t="str">
        <f>IFERROR(INDEX(Stores!$B:$B,MATCH(E1728,Stores!$A:$A,0)),"Unknown")</f>
        <v>TrendMart Vellore Standard</v>
      </c>
      <c r="Y1728" t="str">
        <f>IFERROR(INDEX(Stores!$E:$E,MATCH(E1728,Stores!$A:$A,0)),"Unknown")</f>
        <v>South Zone 1</v>
      </c>
      <c r="Z1728" t="str">
        <f>IFERROR(INDEX(Customers!$J:$J,MATCH(C1728,Customers!$A:$A,0)),"Unknown")</f>
        <v>Silver</v>
      </c>
      <c r="AA1728" t="str">
        <f t="shared" si="26"/>
        <v>2025-01</v>
      </c>
      <c r="AB1728" t="str">
        <f>IFERROR(INDEX(Products!$I:$I,MATCH(D1728,Products!$A:$A,0)),"Unknown")</f>
        <v>SUP056</v>
      </c>
    </row>
    <row r="1729" spans="1:28" x14ac:dyDescent="0.25">
      <c r="A1729" t="s">
        <v>3687</v>
      </c>
      <c r="B1729" s="20">
        <v>45735</v>
      </c>
      <c r="C1729" t="s">
        <v>2595</v>
      </c>
      <c r="D1729" t="s">
        <v>1415</v>
      </c>
      <c r="E1729" t="s">
        <v>1522</v>
      </c>
      <c r="F1729" t="s">
        <v>579</v>
      </c>
      <c r="G1729">
        <v>3</v>
      </c>
      <c r="H1729" s="21">
        <v>1125.83</v>
      </c>
      <c r="I1729">
        <v>0</v>
      </c>
      <c r="J1729" s="21">
        <v>0</v>
      </c>
      <c r="K1729">
        <v>12</v>
      </c>
      <c r="L1729" s="21">
        <v>405.3</v>
      </c>
      <c r="M1729" s="21">
        <v>3782.79</v>
      </c>
      <c r="N1729" s="21">
        <v>2099.52</v>
      </c>
      <c r="O1729" s="21">
        <v>1277.97</v>
      </c>
      <c r="P1729" t="s">
        <v>121</v>
      </c>
      <c r="Q1729" t="s">
        <v>120</v>
      </c>
      <c r="R1729" t="s">
        <v>151</v>
      </c>
      <c r="S1729" t="s">
        <v>3688</v>
      </c>
      <c r="T1729" t="s">
        <v>153</v>
      </c>
      <c r="U1729" t="s">
        <v>154</v>
      </c>
      <c r="V1729" t="str">
        <f>IFERROR(INDEX(Products!$C:$C,MATCH(D1729,Products!$A:$A,0)),"Unknown")</f>
        <v>Unknown</v>
      </c>
      <c r="W1729" t="str">
        <f>IFERROR(INDEX(Products!$E:$E,MATCH(D1729,Products!$A:$A,0)),"Unknown")</f>
        <v>Unknown</v>
      </c>
      <c r="X1729" t="str">
        <f>IFERROR(INDEX(Stores!$B:$B,MATCH(E1729,Stores!$A:$A,0)),"Unknown")</f>
        <v>TrendMart Guntur High Street</v>
      </c>
      <c r="Y1729" t="str">
        <f>IFERROR(INDEX(Stores!$E:$E,MATCH(E1729,Stores!$A:$A,0)),"Unknown")</f>
        <v>South Zone 3</v>
      </c>
      <c r="Z1729" t="str">
        <f>IFERROR(INDEX(Customers!$J:$J,MATCH(C1729,Customers!$A:$A,0)),"Unknown")</f>
        <v>Gold</v>
      </c>
      <c r="AA1729" t="str">
        <f t="shared" si="26"/>
        <v>2025-03</v>
      </c>
      <c r="AB1729" t="str">
        <f>IFERROR(INDEX(Products!$I:$I,MATCH(D1729,Products!$A:$A,0)),"Unknown")</f>
        <v>Unknown</v>
      </c>
    </row>
    <row r="1730" spans="1:28" x14ac:dyDescent="0.25">
      <c r="A1730" t="s">
        <v>3689</v>
      </c>
      <c r="B1730" s="20">
        <v>45537</v>
      </c>
      <c r="C1730" t="s">
        <v>1393</v>
      </c>
      <c r="D1730" t="s">
        <v>1649</v>
      </c>
      <c r="E1730" t="s">
        <v>226</v>
      </c>
      <c r="F1730" t="s">
        <v>532</v>
      </c>
      <c r="G1730">
        <v>1</v>
      </c>
      <c r="H1730" s="21">
        <v>1267.5</v>
      </c>
      <c r="I1730">
        <v>0</v>
      </c>
      <c r="J1730" s="21">
        <v>0</v>
      </c>
      <c r="K1730">
        <v>12</v>
      </c>
      <c r="L1730" s="21">
        <v>152.1</v>
      </c>
      <c r="M1730" s="21">
        <v>1419.6</v>
      </c>
      <c r="N1730" s="21">
        <v>879.48</v>
      </c>
      <c r="O1730" s="21">
        <v>388.02</v>
      </c>
      <c r="P1730" t="s">
        <v>124</v>
      </c>
      <c r="Q1730" t="s">
        <v>122</v>
      </c>
      <c r="R1730" t="s">
        <v>151</v>
      </c>
      <c r="S1730" t="s">
        <v>1448</v>
      </c>
      <c r="T1730" t="s">
        <v>153</v>
      </c>
      <c r="U1730" t="s">
        <v>154</v>
      </c>
      <c r="V1730" t="str">
        <f>IFERROR(INDEX(Products!$C:$C,MATCH(D1730,Products!$A:$A,0)),"Unknown")</f>
        <v>Belts</v>
      </c>
      <c r="W1730" t="str">
        <f>IFERROR(INDEX(Products!$E:$E,MATCH(D1730,Products!$A:$A,0)),"Unknown")</f>
        <v>Bata</v>
      </c>
      <c r="X1730" t="str">
        <f>IFERROR(INDEX(Stores!$B:$B,MATCH(E1730,Stores!$A:$A,0)),"Unknown")</f>
        <v>TrendMart Kurnool Standard</v>
      </c>
      <c r="Y1730" t="str">
        <f>IFERROR(INDEX(Stores!$E:$E,MATCH(E1730,Stores!$A:$A,0)),"Unknown")</f>
        <v>South Zone 3</v>
      </c>
      <c r="Z1730" t="str">
        <f>IFERROR(INDEX(Customers!$J:$J,MATCH(C1730,Customers!$A:$A,0)),"Unknown")</f>
        <v>Platinum</v>
      </c>
      <c r="AA1730" t="str">
        <f t="shared" ref="AA1730:AA1793" si="27">TEXT(B1730,"YYYY-MM")</f>
        <v>2024-09</v>
      </c>
      <c r="AB1730" t="str">
        <f>IFERROR(INDEX(Products!$I:$I,MATCH(D1730,Products!$A:$A,0)),"Unknown")</f>
        <v>SUP032</v>
      </c>
    </row>
    <row r="1731" spans="1:28" x14ac:dyDescent="0.25">
      <c r="A1731" t="s">
        <v>3690</v>
      </c>
      <c r="B1731" s="20">
        <v>45575</v>
      </c>
      <c r="C1731" t="s">
        <v>535</v>
      </c>
      <c r="D1731" t="s">
        <v>680</v>
      </c>
      <c r="E1731" t="s">
        <v>396</v>
      </c>
      <c r="F1731" t="s">
        <v>182</v>
      </c>
      <c r="G1731">
        <v>3</v>
      </c>
      <c r="H1731" s="21">
        <v>708.51</v>
      </c>
      <c r="I1731">
        <v>30</v>
      </c>
      <c r="J1731" s="21">
        <v>637.66</v>
      </c>
      <c r="K1731">
        <v>5</v>
      </c>
      <c r="L1731" s="21">
        <v>74.39</v>
      </c>
      <c r="M1731" s="21">
        <v>1562.26</v>
      </c>
      <c r="N1731" s="21">
        <v>1211.1300000000001</v>
      </c>
      <c r="O1731" s="21">
        <v>276.74</v>
      </c>
      <c r="P1731" t="s">
        <v>125</v>
      </c>
      <c r="Q1731" t="s">
        <v>122</v>
      </c>
      <c r="R1731" t="s">
        <v>151</v>
      </c>
      <c r="S1731" t="s">
        <v>1261</v>
      </c>
      <c r="T1731" t="s">
        <v>153</v>
      </c>
      <c r="U1731" t="s">
        <v>154</v>
      </c>
      <c r="V1731" t="str">
        <f>IFERROR(INDEX(Products!$C:$C,MATCH(D1731,Products!$A:$A,0)),"Unknown")</f>
        <v>Accessories</v>
      </c>
      <c r="W1731" t="str">
        <f>IFERROR(INDEX(Products!$E:$E,MATCH(D1731,Products!$A:$A,0)),"Unknown")</f>
        <v>Westside</v>
      </c>
      <c r="X1731" t="str">
        <f>IFERROR(INDEX(Stores!$B:$B,MATCH(E1731,Stores!$A:$A,0)),"Unknown")</f>
        <v>TrendMart Davanagere High Street</v>
      </c>
      <c r="Y1731" t="str">
        <f>IFERROR(INDEX(Stores!$E:$E,MATCH(E1731,Stores!$A:$A,0)),"Unknown")</f>
        <v>South Zone 2</v>
      </c>
      <c r="Z1731" t="str">
        <f>IFERROR(INDEX(Customers!$J:$J,MATCH(C1731,Customers!$A:$A,0)),"Unknown")</f>
        <v>Gold</v>
      </c>
      <c r="AA1731" t="str">
        <f t="shared" si="27"/>
        <v>2024-10</v>
      </c>
      <c r="AB1731" t="str">
        <f>IFERROR(INDEX(Products!$I:$I,MATCH(D1731,Products!$A:$A,0)),"Unknown")</f>
        <v>SUP064</v>
      </c>
    </row>
    <row r="1732" spans="1:28" x14ac:dyDescent="0.25">
      <c r="A1732" t="s">
        <v>3691</v>
      </c>
      <c r="B1732" s="20">
        <v>45475</v>
      </c>
      <c r="C1732" t="s">
        <v>1288</v>
      </c>
      <c r="D1732" t="s">
        <v>420</v>
      </c>
      <c r="E1732" t="s">
        <v>927</v>
      </c>
      <c r="F1732" t="s">
        <v>574</v>
      </c>
      <c r="G1732">
        <v>3</v>
      </c>
      <c r="H1732" s="21">
        <v>1081.8599999999999</v>
      </c>
      <c r="I1732">
        <v>5</v>
      </c>
      <c r="J1732" s="21">
        <v>162.28</v>
      </c>
      <c r="K1732">
        <v>12</v>
      </c>
      <c r="L1732" s="21">
        <v>370</v>
      </c>
      <c r="M1732" s="21">
        <v>3453.3</v>
      </c>
      <c r="N1732" s="21">
        <v>2598.1799999999998</v>
      </c>
      <c r="O1732" s="21">
        <v>485.12</v>
      </c>
      <c r="P1732" t="s">
        <v>124</v>
      </c>
      <c r="Q1732" t="s">
        <v>122</v>
      </c>
      <c r="R1732" t="s">
        <v>151</v>
      </c>
      <c r="S1732" t="s">
        <v>238</v>
      </c>
      <c r="T1732" t="s">
        <v>153</v>
      </c>
      <c r="U1732" t="s">
        <v>154</v>
      </c>
      <c r="V1732" t="str">
        <f>IFERROR(INDEX(Products!$C:$C,MATCH(D1732,Products!$A:$A,0)),"Unknown")</f>
        <v>Men Jeans</v>
      </c>
      <c r="W1732" t="str">
        <f>IFERROR(INDEX(Products!$E:$E,MATCH(D1732,Products!$A:$A,0)),"Unknown")</f>
        <v>Raymond</v>
      </c>
      <c r="X1732" t="str">
        <f>IFERROR(INDEX(Stores!$B:$B,MATCH(E1732,Stores!$A:$A,0)),"Unknown")</f>
        <v>TrendMart Kochi Mall Kiosk</v>
      </c>
      <c r="Y1732" t="str">
        <f>IFERROR(INDEX(Stores!$E:$E,MATCH(E1732,Stores!$A:$A,0)),"Unknown")</f>
        <v>South Zone 1</v>
      </c>
      <c r="Z1732" t="str">
        <f>IFERROR(INDEX(Customers!$J:$J,MATCH(C1732,Customers!$A:$A,0)),"Unknown")</f>
        <v>Silver</v>
      </c>
      <c r="AA1732" t="str">
        <f t="shared" si="27"/>
        <v>2024-07</v>
      </c>
      <c r="AB1732" t="str">
        <f>IFERROR(INDEX(Products!$I:$I,MATCH(D1732,Products!$A:$A,0)),"Unknown")</f>
        <v>SUP060</v>
      </c>
    </row>
    <row r="1733" spans="1:28" x14ac:dyDescent="0.25">
      <c r="A1733" t="s">
        <v>3692</v>
      </c>
      <c r="B1733" s="20">
        <v>45740</v>
      </c>
      <c r="C1733" t="s">
        <v>981</v>
      </c>
      <c r="D1733" t="s">
        <v>1219</v>
      </c>
      <c r="E1733" t="s">
        <v>90</v>
      </c>
      <c r="F1733" t="s">
        <v>308</v>
      </c>
      <c r="G1733">
        <v>1</v>
      </c>
      <c r="H1733" s="21">
        <v>2899.8</v>
      </c>
      <c r="I1733">
        <v>20</v>
      </c>
      <c r="J1733" s="21">
        <v>579.96</v>
      </c>
      <c r="K1733">
        <v>12</v>
      </c>
      <c r="L1733" s="21">
        <v>278.38</v>
      </c>
      <c r="M1733" s="21">
        <v>2598.2199999999998</v>
      </c>
      <c r="N1733" s="21">
        <v>2039.7</v>
      </c>
      <c r="O1733" s="21">
        <v>280.14</v>
      </c>
      <c r="P1733" t="s">
        <v>126</v>
      </c>
      <c r="Q1733" t="s">
        <v>120</v>
      </c>
      <c r="R1733" t="s">
        <v>151</v>
      </c>
      <c r="S1733" t="s">
        <v>928</v>
      </c>
      <c r="T1733" t="s">
        <v>153</v>
      </c>
      <c r="U1733" t="s">
        <v>154</v>
      </c>
      <c r="V1733" t="str">
        <f>IFERROR(INDEX(Products!$C:$C,MATCH(D1733,Products!$A:$A,0)),"Unknown")</f>
        <v>Watches</v>
      </c>
      <c r="W1733" t="str">
        <f>IFERROR(INDEX(Products!$E:$E,MATCH(D1733,Products!$A:$A,0)),"Unknown")</f>
        <v>Fossil</v>
      </c>
      <c r="X1733" t="str">
        <f>IFERROR(INDEX(Stores!$B:$B,MATCH(E1733,Stores!$A:$A,0)),"Unknown")</f>
        <v>TrendMart Thoothukudi Mall Kiosk</v>
      </c>
      <c r="Y1733" t="str">
        <f>IFERROR(INDEX(Stores!$E:$E,MATCH(E1733,Stores!$A:$A,0)),"Unknown")</f>
        <v>South Zone 1</v>
      </c>
      <c r="Z1733" t="str">
        <f>IFERROR(INDEX(Customers!$J:$J,MATCH(C1733,Customers!$A:$A,0)),"Unknown")</f>
        <v>Regular</v>
      </c>
      <c r="AA1733" t="str">
        <f t="shared" si="27"/>
        <v>2025-03</v>
      </c>
      <c r="AB1733" t="str">
        <f>IFERROR(INDEX(Products!$I:$I,MATCH(D1733,Products!$A:$A,0)),"Unknown")</f>
        <v>SUP054</v>
      </c>
    </row>
    <row r="1734" spans="1:28" x14ac:dyDescent="0.25">
      <c r="A1734" t="s">
        <v>3693</v>
      </c>
      <c r="B1734" s="20">
        <v>45602</v>
      </c>
      <c r="C1734" t="s">
        <v>1268</v>
      </c>
      <c r="D1734" t="s">
        <v>577</v>
      </c>
      <c r="E1734" t="s">
        <v>1187</v>
      </c>
      <c r="F1734" t="s">
        <v>263</v>
      </c>
      <c r="G1734">
        <v>3</v>
      </c>
      <c r="H1734" s="21">
        <v>1217.78</v>
      </c>
      <c r="I1734">
        <v>10</v>
      </c>
      <c r="J1734" s="21">
        <v>365.33</v>
      </c>
      <c r="K1734">
        <v>12</v>
      </c>
      <c r="L1734" s="21">
        <v>394.56</v>
      </c>
      <c r="M1734" s="21">
        <v>3682.57</v>
      </c>
      <c r="N1734" s="21">
        <v>2620.29</v>
      </c>
      <c r="O1734" s="21">
        <v>667.72</v>
      </c>
      <c r="P1734" t="s">
        <v>124</v>
      </c>
      <c r="Q1734" t="s">
        <v>120</v>
      </c>
      <c r="R1734" t="s">
        <v>151</v>
      </c>
      <c r="S1734" t="s">
        <v>1664</v>
      </c>
      <c r="T1734" t="s">
        <v>153</v>
      </c>
      <c r="U1734" t="s">
        <v>154</v>
      </c>
      <c r="V1734" t="str">
        <f>IFERROR(INDEX(Products!$C:$C,MATCH(D1734,Products!$A:$A,0)),"Unknown")</f>
        <v>Men Trousers</v>
      </c>
      <c r="W1734" t="str">
        <f>IFERROR(INDEX(Products!$E:$E,MATCH(D1734,Products!$A:$A,0)),"Unknown")</f>
        <v>Unknown</v>
      </c>
      <c r="X1734" t="str">
        <f>IFERROR(INDEX(Stores!$B:$B,MATCH(E1734,Stores!$A:$A,0)),"Unknown")</f>
        <v>TrendMart Vijayawada Mall Kiosk</v>
      </c>
      <c r="Y1734" t="str">
        <f>IFERROR(INDEX(Stores!$E:$E,MATCH(E1734,Stores!$A:$A,0)),"Unknown")</f>
        <v>South Zone 3</v>
      </c>
      <c r="Z1734" t="str">
        <f>IFERROR(INDEX(Customers!$J:$J,MATCH(C1734,Customers!$A:$A,0)),"Unknown")</f>
        <v>Regular</v>
      </c>
      <c r="AA1734" t="str">
        <f t="shared" si="27"/>
        <v>2024-11</v>
      </c>
      <c r="AB1734" t="str">
        <f>IFERROR(INDEX(Products!$I:$I,MATCH(D1734,Products!$A:$A,0)),"Unknown")</f>
        <v>SUP051</v>
      </c>
    </row>
    <row r="1735" spans="1:28" x14ac:dyDescent="0.25">
      <c r="A1735" t="s">
        <v>3694</v>
      </c>
      <c r="B1735" s="20">
        <v>45516</v>
      </c>
      <c r="C1735" t="s">
        <v>2212</v>
      </c>
      <c r="D1735" t="s">
        <v>1511</v>
      </c>
      <c r="E1735" t="s">
        <v>226</v>
      </c>
      <c r="F1735" t="s">
        <v>281</v>
      </c>
      <c r="G1735">
        <v>4</v>
      </c>
      <c r="H1735" s="21">
        <v>2326.29</v>
      </c>
      <c r="I1735">
        <v>25</v>
      </c>
      <c r="J1735" s="21">
        <v>2326.29</v>
      </c>
      <c r="K1735">
        <v>12</v>
      </c>
      <c r="L1735" s="21">
        <v>837.46</v>
      </c>
      <c r="M1735" s="21">
        <v>7816.33</v>
      </c>
      <c r="N1735" s="21">
        <v>7224.12</v>
      </c>
      <c r="O1735" s="21">
        <v>-245.25</v>
      </c>
      <c r="P1735" t="s">
        <v>123</v>
      </c>
      <c r="Q1735" t="s">
        <v>122</v>
      </c>
      <c r="R1735" t="s">
        <v>151</v>
      </c>
      <c r="S1735" t="s">
        <v>1191</v>
      </c>
      <c r="T1735" t="s">
        <v>153</v>
      </c>
      <c r="U1735" t="s">
        <v>184</v>
      </c>
      <c r="V1735" t="str">
        <f>IFERROR(INDEX(Products!$C:$C,MATCH(D1735,Products!$A:$A,0)),"Unknown")</f>
        <v>Watches</v>
      </c>
      <c r="W1735" t="str">
        <f>IFERROR(INDEX(Products!$E:$E,MATCH(D1735,Products!$A:$A,0)),"Unknown")</f>
        <v>Woodland</v>
      </c>
      <c r="X1735" t="str">
        <f>IFERROR(INDEX(Stores!$B:$B,MATCH(E1735,Stores!$A:$A,0)),"Unknown")</f>
        <v>TrendMart Kurnool Standard</v>
      </c>
      <c r="Y1735" t="str">
        <f>IFERROR(INDEX(Stores!$E:$E,MATCH(E1735,Stores!$A:$A,0)),"Unknown")</f>
        <v>South Zone 3</v>
      </c>
      <c r="Z1735" t="str">
        <f>IFERROR(INDEX(Customers!$J:$J,MATCH(C1735,Customers!$A:$A,0)),"Unknown")</f>
        <v>Silver</v>
      </c>
      <c r="AA1735" t="str">
        <f t="shared" si="27"/>
        <v>2024-08</v>
      </c>
      <c r="AB1735" t="str">
        <f>IFERROR(INDEX(Products!$I:$I,MATCH(D1735,Products!$A:$A,0)),"Unknown")</f>
        <v>SUP064</v>
      </c>
    </row>
    <row r="1736" spans="1:28" x14ac:dyDescent="0.25">
      <c r="A1736" t="s">
        <v>3695</v>
      </c>
      <c r="B1736" s="20">
        <v>45563</v>
      </c>
      <c r="C1736" t="s">
        <v>385</v>
      </c>
      <c r="D1736" t="s">
        <v>654</v>
      </c>
      <c r="E1736" t="s">
        <v>634</v>
      </c>
      <c r="F1736" t="s">
        <v>182</v>
      </c>
      <c r="G1736">
        <v>1</v>
      </c>
      <c r="H1736" s="21">
        <v>1237.44</v>
      </c>
      <c r="I1736">
        <v>15</v>
      </c>
      <c r="J1736" s="21">
        <v>185.62</v>
      </c>
      <c r="K1736">
        <v>12</v>
      </c>
      <c r="L1736" s="21">
        <v>126.22</v>
      </c>
      <c r="M1736" s="21">
        <v>1178.04</v>
      </c>
      <c r="N1736" s="21">
        <v>865.42</v>
      </c>
      <c r="O1736" s="21">
        <v>186.4</v>
      </c>
      <c r="P1736" t="s">
        <v>125</v>
      </c>
      <c r="Q1736" t="s">
        <v>120</v>
      </c>
      <c r="R1736" t="s">
        <v>151</v>
      </c>
      <c r="S1736" t="s">
        <v>816</v>
      </c>
      <c r="T1736" t="s">
        <v>161</v>
      </c>
      <c r="U1736" t="s">
        <v>154</v>
      </c>
      <c r="V1736" t="str">
        <f>IFERROR(INDEX(Products!$C:$C,MATCH(D1736,Products!$A:$A,0)),"Unknown")</f>
        <v>Women Dresses</v>
      </c>
      <c r="W1736" t="str">
        <f>IFERROR(INDEX(Products!$E:$E,MATCH(D1736,Products!$A:$A,0)),"Unknown")</f>
        <v>Indian Terrain</v>
      </c>
      <c r="X1736" t="str">
        <f>IFERROR(INDEX(Stores!$B:$B,MATCH(E1736,Stores!$A:$A,0)),"Unknown")</f>
        <v>TrendMart Thrissur High Street</v>
      </c>
      <c r="Y1736" t="str">
        <f>IFERROR(INDEX(Stores!$E:$E,MATCH(E1736,Stores!$A:$A,0)),"Unknown")</f>
        <v>South Zone 1</v>
      </c>
      <c r="Z1736" t="str">
        <f>IFERROR(INDEX(Customers!$J:$J,MATCH(C1736,Customers!$A:$A,0)),"Unknown")</f>
        <v>Platinum</v>
      </c>
      <c r="AA1736" t="str">
        <f t="shared" si="27"/>
        <v>2024-09</v>
      </c>
      <c r="AB1736" t="str">
        <f>IFERROR(INDEX(Products!$I:$I,MATCH(D1736,Products!$A:$A,0)),"Unknown")</f>
        <v>SUP049</v>
      </c>
    </row>
    <row r="1737" spans="1:28" x14ac:dyDescent="0.25">
      <c r="A1737" t="s">
        <v>3696</v>
      </c>
      <c r="B1737" s="20">
        <v>45608</v>
      </c>
      <c r="C1737" t="s">
        <v>3697</v>
      </c>
      <c r="D1737" t="s">
        <v>251</v>
      </c>
      <c r="E1737" t="s">
        <v>1187</v>
      </c>
      <c r="F1737" t="s">
        <v>579</v>
      </c>
      <c r="G1737">
        <v>1</v>
      </c>
      <c r="H1737" s="21">
        <v>779.38</v>
      </c>
      <c r="I1737">
        <v>0</v>
      </c>
      <c r="J1737" s="21">
        <v>0</v>
      </c>
      <c r="K1737">
        <v>5</v>
      </c>
      <c r="L1737" s="21">
        <v>38.97</v>
      </c>
      <c r="M1737" s="21">
        <v>818.35</v>
      </c>
      <c r="N1737" s="21">
        <v>534.80999999999995</v>
      </c>
      <c r="O1737" s="21">
        <v>244.57</v>
      </c>
      <c r="P1737" t="s">
        <v>123</v>
      </c>
      <c r="Q1737" t="s">
        <v>120</v>
      </c>
      <c r="R1737" t="s">
        <v>151</v>
      </c>
      <c r="S1737" t="s">
        <v>322</v>
      </c>
      <c r="T1737" t="s">
        <v>153</v>
      </c>
      <c r="U1737" t="s">
        <v>154</v>
      </c>
      <c r="V1737" t="str">
        <f>IFERROR(INDEX(Products!$C:$C,MATCH(D1737,Products!$A:$A,0)),"Unknown")</f>
        <v>Women Tops</v>
      </c>
      <c r="W1737" t="str">
        <f>IFERROR(INDEX(Products!$E:$E,MATCH(D1737,Products!$A:$A,0)),"Unknown")</f>
        <v>US Polo Assn</v>
      </c>
      <c r="X1737" t="str">
        <f>IFERROR(INDEX(Stores!$B:$B,MATCH(E1737,Stores!$A:$A,0)),"Unknown")</f>
        <v>TrendMart Vijayawada Mall Kiosk</v>
      </c>
      <c r="Y1737" t="str">
        <f>IFERROR(INDEX(Stores!$E:$E,MATCH(E1737,Stores!$A:$A,0)),"Unknown")</f>
        <v>South Zone 3</v>
      </c>
      <c r="Z1737" t="str">
        <f>IFERROR(INDEX(Customers!$J:$J,MATCH(C1737,Customers!$A:$A,0)),"Unknown")</f>
        <v>Regular</v>
      </c>
      <c r="AA1737" t="str">
        <f t="shared" si="27"/>
        <v>2024-11</v>
      </c>
      <c r="AB1737" t="str">
        <f>IFERROR(INDEX(Products!$I:$I,MATCH(D1737,Products!$A:$A,0)),"Unknown")</f>
        <v>SUP039</v>
      </c>
    </row>
    <row r="1738" spans="1:28" x14ac:dyDescent="0.25">
      <c r="A1738" t="s">
        <v>3698</v>
      </c>
      <c r="B1738" s="20">
        <v>45603</v>
      </c>
      <c r="C1738" t="s">
        <v>572</v>
      </c>
      <c r="D1738" t="s">
        <v>1128</v>
      </c>
      <c r="E1738" t="s">
        <v>94</v>
      </c>
      <c r="F1738" t="s">
        <v>618</v>
      </c>
      <c r="G1738">
        <v>1</v>
      </c>
      <c r="H1738" s="21">
        <v>1605.99</v>
      </c>
      <c r="I1738">
        <v>15</v>
      </c>
      <c r="J1738" s="21">
        <v>240.9</v>
      </c>
      <c r="K1738">
        <v>12</v>
      </c>
      <c r="L1738" s="21">
        <v>163.81</v>
      </c>
      <c r="M1738" s="21">
        <v>1528.9</v>
      </c>
      <c r="N1738" s="21">
        <v>1115.92</v>
      </c>
      <c r="O1738" s="21">
        <v>249.17</v>
      </c>
      <c r="P1738" t="s">
        <v>123</v>
      </c>
      <c r="Q1738" t="s">
        <v>120</v>
      </c>
      <c r="R1738" t="s">
        <v>151</v>
      </c>
      <c r="S1738" t="s">
        <v>1692</v>
      </c>
      <c r="T1738" t="s">
        <v>153</v>
      </c>
      <c r="U1738" t="s">
        <v>154</v>
      </c>
      <c r="V1738" t="str">
        <f>IFERROR(INDEX(Products!$C:$C,MATCH(D1738,Products!$A:$A,0)),"Unknown")</f>
        <v>Winter Wear</v>
      </c>
      <c r="W1738" t="str">
        <f>IFERROR(INDEX(Products!$E:$E,MATCH(D1738,Products!$A:$A,0)),"Unknown")</f>
        <v>Libas</v>
      </c>
      <c r="X1738" t="str">
        <f>IFERROR(INDEX(Stores!$B:$B,MATCH(E1738,Stores!$A:$A,0)),"Unknown")</f>
        <v>TrendMart Bengaluru Mall Kiosk</v>
      </c>
      <c r="Y1738" t="str">
        <f>IFERROR(INDEX(Stores!$E:$E,MATCH(E1738,Stores!$A:$A,0)),"Unknown")</f>
        <v>South Zone 2</v>
      </c>
      <c r="Z1738" t="str">
        <f>IFERROR(INDEX(Customers!$J:$J,MATCH(C1738,Customers!$A:$A,0)),"Unknown")</f>
        <v>Regular</v>
      </c>
      <c r="AA1738" t="str">
        <f t="shared" si="27"/>
        <v>2024-11</v>
      </c>
      <c r="AB1738" t="str">
        <f>IFERROR(INDEX(Products!$I:$I,MATCH(D1738,Products!$A:$A,0)),"Unknown")</f>
        <v>SUP007</v>
      </c>
    </row>
    <row r="1739" spans="1:28" x14ac:dyDescent="0.25">
      <c r="A1739" t="s">
        <v>3699</v>
      </c>
      <c r="B1739" s="20">
        <v>45720</v>
      </c>
      <c r="C1739" t="s">
        <v>544</v>
      </c>
      <c r="D1739" t="s">
        <v>819</v>
      </c>
      <c r="E1739" t="s">
        <v>1681</v>
      </c>
      <c r="F1739" t="s">
        <v>201</v>
      </c>
      <c r="G1739">
        <v>1</v>
      </c>
      <c r="H1739" s="21">
        <v>1700.54</v>
      </c>
      <c r="I1739">
        <v>10</v>
      </c>
      <c r="J1739" s="21">
        <v>170.05</v>
      </c>
      <c r="K1739">
        <v>12</v>
      </c>
      <c r="L1739" s="21">
        <v>183.66</v>
      </c>
      <c r="M1739" s="21">
        <v>1714.15</v>
      </c>
      <c r="N1739" s="21">
        <v>1243.3599999999999</v>
      </c>
      <c r="O1739" s="21">
        <v>287.13</v>
      </c>
      <c r="P1739" t="s">
        <v>121</v>
      </c>
      <c r="Q1739" t="s">
        <v>122</v>
      </c>
      <c r="R1739" t="s">
        <v>151</v>
      </c>
      <c r="S1739" t="s">
        <v>1356</v>
      </c>
      <c r="T1739" t="s">
        <v>153</v>
      </c>
      <c r="U1739" t="s">
        <v>154</v>
      </c>
      <c r="V1739" t="str">
        <f>IFERROR(INDEX(Products!$C:$C,MATCH(D1739,Products!$A:$A,0)),"Unknown")</f>
        <v>Footwear</v>
      </c>
      <c r="W1739" t="str">
        <f>IFERROR(INDEX(Products!$E:$E,MATCH(D1739,Products!$A:$A,0)),"Unknown")</f>
        <v>Tanishq</v>
      </c>
      <c r="X1739" t="str">
        <f>IFERROR(INDEX(Stores!$B:$B,MATCH(E1739,Stores!$A:$A,0)),"Unknown")</f>
        <v>TrendMart Warangal Standard</v>
      </c>
      <c r="Y1739" t="str">
        <f>IFERROR(INDEX(Stores!$E:$E,MATCH(E1739,Stores!$A:$A,0)),"Unknown")</f>
        <v>South Zone 2</v>
      </c>
      <c r="Z1739" t="str">
        <f>IFERROR(INDEX(Customers!$J:$J,MATCH(C1739,Customers!$A:$A,0)),"Unknown")</f>
        <v>Platinum</v>
      </c>
      <c r="AA1739" t="str">
        <f t="shared" si="27"/>
        <v>2025-03</v>
      </c>
      <c r="AB1739" t="str">
        <f>IFERROR(INDEX(Products!$I:$I,MATCH(D1739,Products!$A:$A,0)),"Unknown")</f>
        <v>SUP082</v>
      </c>
    </row>
    <row r="1740" spans="1:28" x14ac:dyDescent="0.25">
      <c r="A1740" t="s">
        <v>3700</v>
      </c>
      <c r="B1740" s="20">
        <v>45592</v>
      </c>
      <c r="C1740" t="s">
        <v>1100</v>
      </c>
      <c r="D1740" t="s">
        <v>1691</v>
      </c>
      <c r="E1740" t="s">
        <v>910</v>
      </c>
      <c r="F1740" t="s">
        <v>159</v>
      </c>
      <c r="G1740">
        <v>2</v>
      </c>
      <c r="H1740" s="21">
        <v>1084.92</v>
      </c>
      <c r="I1740">
        <v>15</v>
      </c>
      <c r="J1740" s="21">
        <v>325.48</v>
      </c>
      <c r="K1740">
        <v>12</v>
      </c>
      <c r="L1740" s="21">
        <v>221.32</v>
      </c>
      <c r="M1740" s="21">
        <v>2065.6799999999998</v>
      </c>
      <c r="N1740" s="21">
        <v>1401.86</v>
      </c>
      <c r="O1740" s="21">
        <v>442.5</v>
      </c>
      <c r="P1740" t="s">
        <v>124</v>
      </c>
      <c r="Q1740" t="s">
        <v>122</v>
      </c>
      <c r="R1740" t="s">
        <v>151</v>
      </c>
      <c r="S1740" t="s">
        <v>690</v>
      </c>
      <c r="T1740" t="s">
        <v>161</v>
      </c>
      <c r="U1740" t="s">
        <v>154</v>
      </c>
      <c r="V1740" t="str">
        <f>IFERROR(INDEX(Products!$C:$C,MATCH(D1740,Products!$A:$A,0)),"Unknown")</f>
        <v>Women Jeans</v>
      </c>
      <c r="W1740" t="str">
        <f>IFERROR(INDEX(Products!$E:$E,MATCH(D1740,Products!$A:$A,0)),"Unknown")</f>
        <v>Global Desi</v>
      </c>
      <c r="X1740" t="str">
        <f>IFERROR(INDEX(Stores!$B:$B,MATCH(E1740,Stores!$A:$A,0)),"Unknown")</f>
        <v>TrendMart Karimnagar Standard</v>
      </c>
      <c r="Y1740" t="str">
        <f>IFERROR(INDEX(Stores!$E:$E,MATCH(E1740,Stores!$A:$A,0)),"Unknown")</f>
        <v>South Zone 2</v>
      </c>
      <c r="Z1740" t="str">
        <f>IFERROR(INDEX(Customers!$J:$J,MATCH(C1740,Customers!$A:$A,0)),"Unknown")</f>
        <v>Gold</v>
      </c>
      <c r="AA1740" t="str">
        <f t="shared" si="27"/>
        <v>2024-10</v>
      </c>
      <c r="AB1740" t="str">
        <f>IFERROR(INDEX(Products!$I:$I,MATCH(D1740,Products!$A:$A,0)),"Unknown")</f>
        <v>SUP015</v>
      </c>
    </row>
    <row r="1741" spans="1:28" x14ac:dyDescent="0.25">
      <c r="A1741" t="s">
        <v>3701</v>
      </c>
      <c r="B1741" s="20">
        <v>45590</v>
      </c>
      <c r="C1741" t="s">
        <v>1255</v>
      </c>
      <c r="D1741" t="s">
        <v>251</v>
      </c>
      <c r="E1741" t="s">
        <v>86</v>
      </c>
      <c r="F1741" t="s">
        <v>150</v>
      </c>
      <c r="G1741">
        <v>4</v>
      </c>
      <c r="H1741" s="21">
        <v>795.6</v>
      </c>
      <c r="I1741">
        <v>10</v>
      </c>
      <c r="J1741" s="21">
        <v>318.24</v>
      </c>
      <c r="K1741">
        <v>5</v>
      </c>
      <c r="L1741" s="21">
        <v>143.21</v>
      </c>
      <c r="M1741" s="21">
        <v>3007.37</v>
      </c>
      <c r="N1741" s="21">
        <v>2139.2399999999998</v>
      </c>
      <c r="O1741" s="21">
        <v>724.92</v>
      </c>
      <c r="P1741" t="s">
        <v>123</v>
      </c>
      <c r="Q1741" t="s">
        <v>122</v>
      </c>
      <c r="R1741" t="s">
        <v>151</v>
      </c>
      <c r="S1741" t="s">
        <v>603</v>
      </c>
      <c r="T1741" t="s">
        <v>153</v>
      </c>
      <c r="U1741" t="s">
        <v>154</v>
      </c>
      <c r="V1741" t="str">
        <f>IFERROR(INDEX(Products!$C:$C,MATCH(D1741,Products!$A:$A,0)),"Unknown")</f>
        <v>Women Tops</v>
      </c>
      <c r="W1741" t="str">
        <f>IFERROR(INDEX(Products!$E:$E,MATCH(D1741,Products!$A:$A,0)),"Unknown")</f>
        <v>US Polo Assn</v>
      </c>
      <c r="X1741" t="str">
        <f>IFERROR(INDEX(Stores!$B:$B,MATCH(E1741,Stores!$A:$A,0)),"Unknown")</f>
        <v>TrendMart Warangal High Street</v>
      </c>
      <c r="Y1741" t="str">
        <f>IFERROR(INDEX(Stores!$E:$E,MATCH(E1741,Stores!$A:$A,0)),"Unknown")</f>
        <v>South Zone 2</v>
      </c>
      <c r="Z1741" t="str">
        <f>IFERROR(INDEX(Customers!$J:$J,MATCH(C1741,Customers!$A:$A,0)),"Unknown")</f>
        <v>Regular</v>
      </c>
      <c r="AA1741" t="str">
        <f t="shared" si="27"/>
        <v>2024-10</v>
      </c>
      <c r="AB1741" t="str">
        <f>IFERROR(INDEX(Products!$I:$I,MATCH(D1741,Products!$A:$A,0)),"Unknown")</f>
        <v>SUP039</v>
      </c>
    </row>
    <row r="1742" spans="1:28" x14ac:dyDescent="0.25">
      <c r="A1742" t="s">
        <v>3702</v>
      </c>
      <c r="B1742" s="20">
        <v>45489</v>
      </c>
      <c r="C1742" t="s">
        <v>2614</v>
      </c>
      <c r="D1742" t="s">
        <v>376</v>
      </c>
      <c r="E1742" t="s">
        <v>343</v>
      </c>
      <c r="F1742" t="s">
        <v>165</v>
      </c>
      <c r="G1742">
        <v>3</v>
      </c>
      <c r="H1742" s="21">
        <v>1423.47</v>
      </c>
      <c r="I1742">
        <v>25</v>
      </c>
      <c r="J1742" s="21">
        <v>1067.5999999999999</v>
      </c>
      <c r="K1742">
        <v>12</v>
      </c>
      <c r="L1742" s="21">
        <v>384.34</v>
      </c>
      <c r="M1742" s="21">
        <v>3587.15</v>
      </c>
      <c r="N1742" s="21">
        <v>3075.72</v>
      </c>
      <c r="O1742" s="21">
        <v>127.09</v>
      </c>
      <c r="P1742" t="s">
        <v>125</v>
      </c>
      <c r="Q1742" t="s">
        <v>120</v>
      </c>
      <c r="R1742" t="s">
        <v>151</v>
      </c>
      <c r="S1742" t="s">
        <v>2147</v>
      </c>
      <c r="T1742" t="s">
        <v>153</v>
      </c>
      <c r="U1742" t="s">
        <v>154</v>
      </c>
      <c r="V1742" t="str">
        <f>IFERROR(INDEX(Products!$C:$C,MATCH(D1742,Products!$A:$A,0)),"Unknown")</f>
        <v>Women Jeans</v>
      </c>
      <c r="W1742" t="str">
        <f>IFERROR(INDEX(Products!$E:$E,MATCH(D1742,Products!$A:$A,0)),"Unknown")</f>
        <v>Pothys</v>
      </c>
      <c r="X1742" t="str">
        <f>IFERROR(INDEX(Stores!$B:$B,MATCH(E1742,Stores!$A:$A,0)),"Unknown")</f>
        <v>TrendMart Tumakuru Outlet</v>
      </c>
      <c r="Y1742" t="str">
        <f>IFERROR(INDEX(Stores!$E:$E,MATCH(E1742,Stores!$A:$A,0)),"Unknown")</f>
        <v>South Zone 2</v>
      </c>
      <c r="Z1742" t="str">
        <f>IFERROR(INDEX(Customers!$J:$J,MATCH(C1742,Customers!$A:$A,0)),"Unknown")</f>
        <v>Silver</v>
      </c>
      <c r="AA1742" t="str">
        <f t="shared" si="27"/>
        <v>2024-07</v>
      </c>
      <c r="AB1742" t="str">
        <f>IFERROR(INDEX(Products!$I:$I,MATCH(D1742,Products!$A:$A,0)),"Unknown")</f>
        <v>SUP015</v>
      </c>
    </row>
    <row r="1743" spans="1:28" x14ac:dyDescent="0.25">
      <c r="A1743" t="s">
        <v>3703</v>
      </c>
      <c r="B1743" s="20">
        <v>45429</v>
      </c>
      <c r="C1743" t="s">
        <v>2557</v>
      </c>
      <c r="D1743" t="s">
        <v>531</v>
      </c>
      <c r="E1743" t="s">
        <v>334</v>
      </c>
      <c r="F1743" t="s">
        <v>292</v>
      </c>
      <c r="G1743">
        <v>1</v>
      </c>
      <c r="H1743" s="21">
        <v>3001.97</v>
      </c>
      <c r="I1743">
        <v>10</v>
      </c>
      <c r="J1743" s="21">
        <v>300.2</v>
      </c>
      <c r="K1743">
        <v>12</v>
      </c>
      <c r="L1743" s="21">
        <v>324.20999999999998</v>
      </c>
      <c r="M1743" s="21">
        <v>3025.98</v>
      </c>
      <c r="N1743" s="21">
        <v>2034.01</v>
      </c>
      <c r="O1743" s="21">
        <v>667.76</v>
      </c>
      <c r="P1743" t="s">
        <v>123</v>
      </c>
      <c r="Q1743" t="s">
        <v>120</v>
      </c>
      <c r="R1743" t="s">
        <v>151</v>
      </c>
      <c r="S1743" t="s">
        <v>2798</v>
      </c>
      <c r="T1743" t="s">
        <v>153</v>
      </c>
      <c r="U1743" t="s">
        <v>154</v>
      </c>
      <c r="V1743" t="str">
        <f>IFERROR(INDEX(Products!$C:$C,MATCH(D1743,Products!$A:$A,0)),"Unknown")</f>
        <v>Handbags</v>
      </c>
      <c r="W1743" t="str">
        <f>IFERROR(INDEX(Products!$E:$E,MATCH(D1743,Products!$A:$A,0)),"Unknown")</f>
        <v>GRT Jewellers</v>
      </c>
      <c r="X1743" t="str">
        <f>IFERROR(INDEX(Stores!$B:$B,MATCH(E1743,Stores!$A:$A,0)),"Unknown")</f>
        <v>TrendMart Madurai High Street</v>
      </c>
      <c r="Y1743" t="str">
        <f>IFERROR(INDEX(Stores!$E:$E,MATCH(E1743,Stores!$A:$A,0)),"Unknown")</f>
        <v>South Zone 1</v>
      </c>
      <c r="Z1743" t="str">
        <f>IFERROR(INDEX(Customers!$J:$J,MATCH(C1743,Customers!$A:$A,0)),"Unknown")</f>
        <v>Silver</v>
      </c>
      <c r="AA1743" t="str">
        <f t="shared" si="27"/>
        <v>2024-05</v>
      </c>
      <c r="AB1743" t="str">
        <f>IFERROR(INDEX(Products!$I:$I,MATCH(D1743,Products!$A:$A,0)),"Unknown")</f>
        <v>SUP047</v>
      </c>
    </row>
    <row r="1744" spans="1:28" x14ac:dyDescent="0.25">
      <c r="A1744" t="s">
        <v>3704</v>
      </c>
      <c r="B1744" s="20">
        <v>45617</v>
      </c>
      <c r="C1744" t="s">
        <v>548</v>
      </c>
      <c r="D1744" t="s">
        <v>858</v>
      </c>
      <c r="E1744" t="s">
        <v>200</v>
      </c>
      <c r="F1744" t="s">
        <v>434</v>
      </c>
      <c r="G1744">
        <v>0</v>
      </c>
      <c r="H1744" s="21">
        <v>658.8</v>
      </c>
      <c r="I1744">
        <v>5</v>
      </c>
      <c r="J1744" s="21">
        <v>0</v>
      </c>
      <c r="K1744">
        <v>5</v>
      </c>
      <c r="L1744" s="21">
        <v>0</v>
      </c>
      <c r="M1744" s="21">
        <v>0</v>
      </c>
      <c r="N1744" s="21">
        <v>0</v>
      </c>
      <c r="O1744" s="21">
        <v>0</v>
      </c>
      <c r="P1744" t="s">
        <v>124</v>
      </c>
      <c r="Q1744" t="s">
        <v>120</v>
      </c>
      <c r="R1744" t="s">
        <v>482</v>
      </c>
      <c r="S1744" t="s">
        <v>3289</v>
      </c>
      <c r="T1744" t="s">
        <v>153</v>
      </c>
      <c r="U1744" t="s">
        <v>154</v>
      </c>
      <c r="V1744" t="str">
        <f>IFERROR(INDEX(Products!$C:$C,MATCH(D1744,Products!$A:$A,0)),"Unknown")</f>
        <v>Kids Wear</v>
      </c>
      <c r="W1744" t="str">
        <f>IFERROR(INDEX(Products!$E:$E,MATCH(D1744,Products!$A:$A,0)),"Unknown")</f>
        <v>Sonata</v>
      </c>
      <c r="X1744" t="str">
        <f>IFERROR(INDEX(Stores!$B:$B,MATCH(E1744,Stores!$A:$A,0)),"Unknown")</f>
        <v>TrendMart Kozhikode Standard</v>
      </c>
      <c r="Y1744" t="str">
        <f>IFERROR(INDEX(Stores!$E:$E,MATCH(E1744,Stores!$A:$A,0)),"Unknown")</f>
        <v>South Zone 1</v>
      </c>
      <c r="Z1744" t="str">
        <f>IFERROR(INDEX(Customers!$J:$J,MATCH(C1744,Customers!$A:$A,0)),"Unknown")</f>
        <v>Regular</v>
      </c>
      <c r="AA1744" t="str">
        <f t="shared" si="27"/>
        <v>2024-11</v>
      </c>
      <c r="AB1744" t="str">
        <f>IFERROR(INDEX(Products!$I:$I,MATCH(D1744,Products!$A:$A,0)),"Unknown")</f>
        <v>SUP089</v>
      </c>
    </row>
    <row r="1745" spans="1:28" x14ac:dyDescent="0.25">
      <c r="A1745" t="s">
        <v>3705</v>
      </c>
      <c r="B1745" s="20">
        <v>45546</v>
      </c>
      <c r="C1745" t="s">
        <v>3706</v>
      </c>
      <c r="D1745" t="s">
        <v>680</v>
      </c>
      <c r="E1745" t="s">
        <v>506</v>
      </c>
      <c r="F1745" t="s">
        <v>377</v>
      </c>
      <c r="G1745">
        <v>3</v>
      </c>
      <c r="H1745" s="21">
        <v>645.59</v>
      </c>
      <c r="I1745">
        <v>0</v>
      </c>
      <c r="J1745" s="21">
        <v>0</v>
      </c>
      <c r="K1745">
        <v>5</v>
      </c>
      <c r="L1745" s="21">
        <v>96.84</v>
      </c>
      <c r="M1745" s="21">
        <v>2033.61</v>
      </c>
      <c r="N1745" s="21">
        <v>1211.1300000000001</v>
      </c>
      <c r="O1745" s="21">
        <v>725.64</v>
      </c>
      <c r="P1745" t="s">
        <v>123</v>
      </c>
      <c r="Q1745" t="s">
        <v>122</v>
      </c>
      <c r="R1745" t="s">
        <v>151</v>
      </c>
      <c r="S1745" t="s">
        <v>2418</v>
      </c>
      <c r="T1745" t="s">
        <v>153</v>
      </c>
      <c r="U1745" t="s">
        <v>154</v>
      </c>
      <c r="V1745" t="str">
        <f>IFERROR(INDEX(Products!$C:$C,MATCH(D1745,Products!$A:$A,0)),"Unknown")</f>
        <v>Accessories</v>
      </c>
      <c r="W1745" t="str">
        <f>IFERROR(INDEX(Products!$E:$E,MATCH(D1745,Products!$A:$A,0)),"Unknown")</f>
        <v>Westside</v>
      </c>
      <c r="X1745" t="str">
        <f>IFERROR(INDEX(Stores!$B:$B,MATCH(E1745,Stores!$A:$A,0)),"Unknown")</f>
        <v>TrendMart Nellore High Street</v>
      </c>
      <c r="Y1745" t="str">
        <f>IFERROR(INDEX(Stores!$E:$E,MATCH(E1745,Stores!$A:$A,0)),"Unknown")</f>
        <v>South Zone 3</v>
      </c>
      <c r="Z1745" t="str">
        <f>IFERROR(INDEX(Customers!$J:$J,MATCH(C1745,Customers!$A:$A,0)),"Unknown")</f>
        <v>Gold</v>
      </c>
      <c r="AA1745" t="str">
        <f t="shared" si="27"/>
        <v>2024-09</v>
      </c>
      <c r="AB1745" t="str">
        <f>IFERROR(INDEX(Products!$I:$I,MATCH(D1745,Products!$A:$A,0)),"Unknown")</f>
        <v>SUP064</v>
      </c>
    </row>
    <row r="1746" spans="1:28" x14ac:dyDescent="0.25">
      <c r="A1746" t="s">
        <v>3707</v>
      </c>
      <c r="B1746" s="20">
        <v>45561</v>
      </c>
      <c r="C1746" t="s">
        <v>209</v>
      </c>
      <c r="D1746" t="s">
        <v>858</v>
      </c>
      <c r="E1746" t="s">
        <v>206</v>
      </c>
      <c r="F1746" t="s">
        <v>281</v>
      </c>
      <c r="G1746">
        <v>1</v>
      </c>
      <c r="H1746" s="21">
        <v>662.31</v>
      </c>
      <c r="I1746">
        <v>20</v>
      </c>
      <c r="J1746" s="21">
        <v>132.46</v>
      </c>
      <c r="K1746">
        <v>5</v>
      </c>
      <c r="L1746" s="21">
        <v>26.49</v>
      </c>
      <c r="M1746" s="21">
        <v>556.34</v>
      </c>
      <c r="N1746" s="21">
        <v>525.45000000000005</v>
      </c>
      <c r="O1746" s="21">
        <v>4.4000000000000004</v>
      </c>
      <c r="P1746" t="s">
        <v>124</v>
      </c>
      <c r="Q1746" t="s">
        <v>120</v>
      </c>
      <c r="R1746" t="s">
        <v>151</v>
      </c>
      <c r="S1746" t="s">
        <v>183</v>
      </c>
      <c r="T1746" t="s">
        <v>153</v>
      </c>
      <c r="U1746" t="s">
        <v>154</v>
      </c>
      <c r="V1746" t="str">
        <f>IFERROR(INDEX(Products!$C:$C,MATCH(D1746,Products!$A:$A,0)),"Unknown")</f>
        <v>Kids Wear</v>
      </c>
      <c r="W1746" t="str">
        <f>IFERROR(INDEX(Products!$E:$E,MATCH(D1746,Products!$A:$A,0)),"Unknown")</f>
        <v>Sonata</v>
      </c>
      <c r="X1746" t="str">
        <f>IFERROR(INDEX(Stores!$B:$B,MATCH(E1746,Stores!$A:$A,0)),"Unknown")</f>
        <v>TrendMart Nizamabad Outlet</v>
      </c>
      <c r="Y1746" t="str">
        <f>IFERROR(INDEX(Stores!$E:$E,MATCH(E1746,Stores!$A:$A,0)),"Unknown")</f>
        <v>South Zone 2</v>
      </c>
      <c r="Z1746" t="str">
        <f>IFERROR(INDEX(Customers!$J:$J,MATCH(C1746,Customers!$A:$A,0)),"Unknown")</f>
        <v>Silver</v>
      </c>
      <c r="AA1746" t="str">
        <f t="shared" si="27"/>
        <v>2024-09</v>
      </c>
      <c r="AB1746" t="str">
        <f>IFERROR(INDEX(Products!$I:$I,MATCH(D1746,Products!$A:$A,0)),"Unknown")</f>
        <v>SUP089</v>
      </c>
    </row>
    <row r="1747" spans="1:28" x14ac:dyDescent="0.25">
      <c r="A1747" t="s">
        <v>3708</v>
      </c>
      <c r="B1747" s="20">
        <v>45601</v>
      </c>
      <c r="C1747" t="s">
        <v>887</v>
      </c>
      <c r="D1747" t="s">
        <v>267</v>
      </c>
      <c r="E1747" t="s">
        <v>351</v>
      </c>
      <c r="F1747" t="s">
        <v>618</v>
      </c>
      <c r="G1747">
        <v>1</v>
      </c>
      <c r="H1747" s="21">
        <v>778.86</v>
      </c>
      <c r="I1747">
        <v>10</v>
      </c>
      <c r="J1747" s="21">
        <v>77.89</v>
      </c>
      <c r="K1747">
        <v>5</v>
      </c>
      <c r="L1747" s="21">
        <v>35.049999999999997</v>
      </c>
      <c r="M1747" s="21">
        <v>736.02</v>
      </c>
      <c r="N1747" s="21">
        <v>443.19</v>
      </c>
      <c r="O1747" s="21">
        <v>257.77999999999997</v>
      </c>
      <c r="P1747" t="s">
        <v>121</v>
      </c>
      <c r="Q1747" t="s">
        <v>120</v>
      </c>
      <c r="R1747" t="s">
        <v>151</v>
      </c>
      <c r="S1747" t="s">
        <v>899</v>
      </c>
      <c r="T1747" t="s">
        <v>153</v>
      </c>
      <c r="U1747" t="s">
        <v>154</v>
      </c>
      <c r="V1747" t="str">
        <f>IFERROR(INDEX(Products!$C:$C,MATCH(D1747,Products!$A:$A,0)),"Unknown")</f>
        <v>Accessories</v>
      </c>
      <c r="W1747" t="str">
        <f>IFERROR(INDEX(Products!$E:$E,MATCH(D1747,Products!$A:$A,0)),"Unknown")</f>
        <v>Allen Solly</v>
      </c>
      <c r="X1747" t="str">
        <f>IFERROR(INDEX(Stores!$B:$B,MATCH(E1747,Stores!$A:$A,0)),"Unknown")</f>
        <v>TrendMart Kozhikode High Street</v>
      </c>
      <c r="Y1747" t="str">
        <f>IFERROR(INDEX(Stores!$E:$E,MATCH(E1747,Stores!$A:$A,0)),"Unknown")</f>
        <v>South Zone 1</v>
      </c>
      <c r="Z1747" t="str">
        <f>IFERROR(INDEX(Customers!$J:$J,MATCH(C1747,Customers!$A:$A,0)),"Unknown")</f>
        <v>Regular</v>
      </c>
      <c r="AA1747" t="str">
        <f t="shared" si="27"/>
        <v>2024-11</v>
      </c>
      <c r="AB1747" t="str">
        <f>IFERROR(INDEX(Products!$I:$I,MATCH(D1747,Products!$A:$A,0)),"Unknown")</f>
        <v>SUP069</v>
      </c>
    </row>
    <row r="1748" spans="1:28" x14ac:dyDescent="0.25">
      <c r="A1748" t="s">
        <v>3709</v>
      </c>
      <c r="B1748" s="20">
        <v>45582</v>
      </c>
      <c r="C1748" t="s">
        <v>3710</v>
      </c>
      <c r="D1748" t="s">
        <v>279</v>
      </c>
      <c r="E1748" t="s">
        <v>1281</v>
      </c>
      <c r="F1748" t="s">
        <v>308</v>
      </c>
      <c r="G1748">
        <v>4</v>
      </c>
      <c r="H1748" s="21">
        <v>3134.22</v>
      </c>
      <c r="I1748">
        <v>0</v>
      </c>
      <c r="J1748" s="21">
        <v>0</v>
      </c>
      <c r="K1748">
        <v>12</v>
      </c>
      <c r="L1748" s="21">
        <v>1504.43</v>
      </c>
      <c r="M1748" s="21">
        <v>14041.31</v>
      </c>
      <c r="N1748" s="21">
        <v>8277.32</v>
      </c>
      <c r="O1748" s="21">
        <v>4259.5600000000004</v>
      </c>
      <c r="P1748" t="s">
        <v>123</v>
      </c>
      <c r="Q1748" t="s">
        <v>120</v>
      </c>
      <c r="R1748" t="s">
        <v>151</v>
      </c>
      <c r="S1748" t="s">
        <v>2188</v>
      </c>
      <c r="T1748" t="s">
        <v>153</v>
      </c>
      <c r="U1748" t="s">
        <v>154</v>
      </c>
      <c r="V1748" t="str">
        <f>IFERROR(INDEX(Products!$C:$C,MATCH(D1748,Products!$A:$A,0)),"Unknown")</f>
        <v>Handbags</v>
      </c>
      <c r="W1748" t="str">
        <f>IFERROR(INDEX(Products!$E:$E,MATCH(D1748,Products!$A:$A,0)),"Unknown")</f>
        <v>Westside</v>
      </c>
      <c r="X1748" t="str">
        <f>IFERROR(INDEX(Stores!$B:$B,MATCH(E1748,Stores!$A:$A,0)),"Unknown")</f>
        <v>TrendMart Visakhapatnam Standard</v>
      </c>
      <c r="Y1748" t="str">
        <f>IFERROR(INDEX(Stores!$E:$E,MATCH(E1748,Stores!$A:$A,0)),"Unknown")</f>
        <v>South Zone 3</v>
      </c>
      <c r="Z1748" t="str">
        <f>IFERROR(INDEX(Customers!$J:$J,MATCH(C1748,Customers!$A:$A,0)),"Unknown")</f>
        <v>Silver</v>
      </c>
      <c r="AA1748" t="str">
        <f t="shared" si="27"/>
        <v>2024-10</v>
      </c>
      <c r="AB1748" t="str">
        <f>IFERROR(INDEX(Products!$I:$I,MATCH(D1748,Products!$A:$A,0)),"Unknown")</f>
        <v>SUP066</v>
      </c>
    </row>
    <row r="1749" spans="1:28" x14ac:dyDescent="0.25">
      <c r="A1749" t="s">
        <v>3711</v>
      </c>
      <c r="B1749" s="20">
        <v>45453</v>
      </c>
      <c r="C1749" t="s">
        <v>1324</v>
      </c>
      <c r="D1749" t="s">
        <v>395</v>
      </c>
      <c r="E1749" t="s">
        <v>806</v>
      </c>
      <c r="F1749" t="s">
        <v>195</v>
      </c>
      <c r="G1749">
        <v>3</v>
      </c>
      <c r="H1749" s="21">
        <v>479.89</v>
      </c>
      <c r="I1749">
        <v>0</v>
      </c>
      <c r="J1749" s="21">
        <v>0</v>
      </c>
      <c r="K1749">
        <v>5</v>
      </c>
      <c r="L1749" s="21">
        <v>71.98</v>
      </c>
      <c r="M1749" s="21">
        <v>1511.65</v>
      </c>
      <c r="N1749" s="21">
        <v>885</v>
      </c>
      <c r="O1749" s="21">
        <v>554.66999999999996</v>
      </c>
      <c r="P1749" t="s">
        <v>124</v>
      </c>
      <c r="Q1749" t="s">
        <v>122</v>
      </c>
      <c r="R1749" t="s">
        <v>151</v>
      </c>
      <c r="S1749" t="s">
        <v>1391</v>
      </c>
      <c r="T1749" t="s">
        <v>153</v>
      </c>
      <c r="U1749" t="s">
        <v>154</v>
      </c>
      <c r="V1749" t="str">
        <f>IFERROR(INDEX(Products!$C:$C,MATCH(D1749,Products!$A:$A,0)),"Unknown")</f>
        <v>Men T-Shirts</v>
      </c>
      <c r="W1749" t="str">
        <f>IFERROR(INDEX(Products!$E:$E,MATCH(D1749,Products!$A:$A,0)),"Unknown")</f>
        <v>Nalli Silks</v>
      </c>
      <c r="X1749" t="str">
        <f>IFERROR(INDEX(Stores!$B:$B,MATCH(E1749,Stores!$A:$A,0)),"Unknown")</f>
        <v>TrendMart Tirunelveli Flagship</v>
      </c>
      <c r="Y1749" t="str">
        <f>IFERROR(INDEX(Stores!$E:$E,MATCH(E1749,Stores!$A:$A,0)),"Unknown")</f>
        <v>South Zone 1</v>
      </c>
      <c r="Z1749" t="str">
        <f>IFERROR(INDEX(Customers!$J:$J,MATCH(C1749,Customers!$A:$A,0)),"Unknown")</f>
        <v>Silver</v>
      </c>
      <c r="AA1749" t="str">
        <f t="shared" si="27"/>
        <v>2024-06</v>
      </c>
      <c r="AB1749" t="str">
        <f>IFERROR(INDEX(Products!$I:$I,MATCH(D1749,Products!$A:$A,0)),"Unknown")</f>
        <v>SUP049</v>
      </c>
    </row>
    <row r="1750" spans="1:28" x14ac:dyDescent="0.25">
      <c r="A1750" t="s">
        <v>3712</v>
      </c>
      <c r="B1750" s="20">
        <v>45433</v>
      </c>
      <c r="C1750" t="s">
        <v>1947</v>
      </c>
      <c r="D1750" t="s">
        <v>199</v>
      </c>
      <c r="E1750" t="s">
        <v>1002</v>
      </c>
      <c r="F1750" t="s">
        <v>170</v>
      </c>
      <c r="G1750">
        <v>2</v>
      </c>
      <c r="H1750" s="21">
        <v>819.1</v>
      </c>
      <c r="I1750">
        <v>15</v>
      </c>
      <c r="J1750" s="21">
        <v>245.73</v>
      </c>
      <c r="K1750">
        <v>5</v>
      </c>
      <c r="L1750" s="21">
        <v>69.62</v>
      </c>
      <c r="M1750" s="21">
        <v>1462.09</v>
      </c>
      <c r="N1750" s="21">
        <v>977.2</v>
      </c>
      <c r="O1750" s="21">
        <v>415.27</v>
      </c>
      <c r="P1750" t="s">
        <v>123</v>
      </c>
      <c r="Q1750" t="s">
        <v>120</v>
      </c>
      <c r="R1750" t="s">
        <v>151</v>
      </c>
      <c r="S1750" t="s">
        <v>2938</v>
      </c>
      <c r="T1750" t="s">
        <v>153</v>
      </c>
      <c r="U1750" t="s">
        <v>154</v>
      </c>
      <c r="V1750" t="str">
        <f>IFERROR(INDEX(Products!$C:$C,MATCH(D1750,Products!$A:$A,0)),"Unknown")</f>
        <v>Accessories</v>
      </c>
      <c r="W1750" t="str">
        <f>IFERROR(INDEX(Products!$E:$E,MATCH(D1750,Products!$A:$A,0)),"Unknown")</f>
        <v>Arrow</v>
      </c>
      <c r="X1750" t="str">
        <f>IFERROR(INDEX(Stores!$B:$B,MATCH(E1750,Stores!$A:$A,0)),"Unknown")</f>
        <v>TrendMart Coimbatore Mall Kiosk</v>
      </c>
      <c r="Y1750" t="str">
        <f>IFERROR(INDEX(Stores!$E:$E,MATCH(E1750,Stores!$A:$A,0)),"Unknown")</f>
        <v>South Zone 1</v>
      </c>
      <c r="Z1750" t="str">
        <f>IFERROR(INDEX(Customers!$J:$J,MATCH(C1750,Customers!$A:$A,0)),"Unknown")</f>
        <v>Silver</v>
      </c>
      <c r="AA1750" t="str">
        <f t="shared" si="27"/>
        <v>2024-05</v>
      </c>
      <c r="AB1750" t="str">
        <f>IFERROR(INDEX(Products!$I:$I,MATCH(D1750,Products!$A:$A,0)),"Unknown")</f>
        <v>SUP018</v>
      </c>
    </row>
    <row r="1751" spans="1:28" x14ac:dyDescent="0.25">
      <c r="A1751" t="s">
        <v>3713</v>
      </c>
      <c r="B1751" s="20">
        <v>45661</v>
      </c>
      <c r="C1751" t="s">
        <v>1718</v>
      </c>
      <c r="D1751" t="s">
        <v>531</v>
      </c>
      <c r="E1751" t="s">
        <v>387</v>
      </c>
      <c r="F1751" t="s">
        <v>408</v>
      </c>
      <c r="G1751">
        <v>1</v>
      </c>
      <c r="H1751" s="21">
        <v>3343.25</v>
      </c>
      <c r="I1751">
        <v>0</v>
      </c>
      <c r="J1751" s="21">
        <v>0</v>
      </c>
      <c r="K1751">
        <v>12</v>
      </c>
      <c r="L1751" s="21">
        <v>401.19</v>
      </c>
      <c r="M1751" s="21">
        <v>3744.44</v>
      </c>
      <c r="N1751" s="21">
        <v>2034.01</v>
      </c>
      <c r="O1751" s="21">
        <v>1309.24</v>
      </c>
      <c r="P1751" t="s">
        <v>126</v>
      </c>
      <c r="Q1751" t="s">
        <v>122</v>
      </c>
      <c r="R1751" t="s">
        <v>151</v>
      </c>
      <c r="S1751" t="s">
        <v>3020</v>
      </c>
      <c r="T1751" t="s">
        <v>161</v>
      </c>
      <c r="U1751" t="s">
        <v>154</v>
      </c>
      <c r="V1751" t="str">
        <f>IFERROR(INDEX(Products!$C:$C,MATCH(D1751,Products!$A:$A,0)),"Unknown")</f>
        <v>Handbags</v>
      </c>
      <c r="W1751" t="str">
        <f>IFERROR(INDEX(Products!$E:$E,MATCH(D1751,Products!$A:$A,0)),"Unknown")</f>
        <v>GRT Jewellers</v>
      </c>
      <c r="X1751" t="str">
        <f>IFERROR(INDEX(Stores!$B:$B,MATCH(E1751,Stores!$A:$A,0)),"Unknown")</f>
        <v>TrendMart Kannur Outlet</v>
      </c>
      <c r="Y1751" t="str">
        <f>IFERROR(INDEX(Stores!$E:$E,MATCH(E1751,Stores!$A:$A,0)),"Unknown")</f>
        <v>South Zone 1</v>
      </c>
      <c r="Z1751" t="str">
        <f>IFERROR(INDEX(Customers!$J:$J,MATCH(C1751,Customers!$A:$A,0)),"Unknown")</f>
        <v>Regular</v>
      </c>
      <c r="AA1751" t="str">
        <f t="shared" si="27"/>
        <v>2025-01</v>
      </c>
      <c r="AB1751" t="str">
        <f>IFERROR(INDEX(Products!$I:$I,MATCH(D1751,Products!$A:$A,0)),"Unknown")</f>
        <v>SUP047</v>
      </c>
    </row>
    <row r="1752" spans="1:28" x14ac:dyDescent="0.25">
      <c r="A1752" t="s">
        <v>3714</v>
      </c>
      <c r="B1752" s="20">
        <v>45682</v>
      </c>
      <c r="C1752" t="s">
        <v>1270</v>
      </c>
      <c r="D1752" t="s">
        <v>1256</v>
      </c>
      <c r="E1752" t="s">
        <v>667</v>
      </c>
      <c r="F1752" t="s">
        <v>221</v>
      </c>
      <c r="G1752">
        <v>1</v>
      </c>
      <c r="H1752" s="21">
        <v>936.11</v>
      </c>
      <c r="I1752">
        <v>25</v>
      </c>
      <c r="J1752" s="21">
        <v>234.03</v>
      </c>
      <c r="K1752">
        <v>5</v>
      </c>
      <c r="L1752" s="21">
        <v>35.1</v>
      </c>
      <c r="M1752" s="21">
        <v>737.18</v>
      </c>
      <c r="N1752" s="21">
        <v>637.27</v>
      </c>
      <c r="O1752" s="21">
        <v>64.81</v>
      </c>
      <c r="P1752" t="s">
        <v>121</v>
      </c>
      <c r="Q1752" t="s">
        <v>120</v>
      </c>
      <c r="R1752" t="s">
        <v>151</v>
      </c>
      <c r="S1752" t="s">
        <v>1184</v>
      </c>
      <c r="T1752" t="s">
        <v>161</v>
      </c>
      <c r="U1752" t="s">
        <v>154</v>
      </c>
      <c r="V1752" t="str">
        <f>IFERROR(INDEX(Products!$C:$C,MATCH(D1752,Products!$A:$A,0)),"Unknown")</f>
        <v>Women Jeans</v>
      </c>
      <c r="W1752" t="str">
        <f>IFERROR(INDEX(Products!$E:$E,MATCH(D1752,Products!$A:$A,0)),"Unknown")</f>
        <v>Biba</v>
      </c>
      <c r="X1752" t="str">
        <f>IFERROR(INDEX(Stores!$B:$B,MATCH(E1752,Stores!$A:$A,0)),"Unknown")</f>
        <v>TrendMart Hyderabad High Street</v>
      </c>
      <c r="Y1752" t="str">
        <f>IFERROR(INDEX(Stores!$E:$E,MATCH(E1752,Stores!$A:$A,0)),"Unknown")</f>
        <v>South Zone 2</v>
      </c>
      <c r="Z1752" t="str">
        <f>IFERROR(INDEX(Customers!$J:$J,MATCH(C1752,Customers!$A:$A,0)),"Unknown")</f>
        <v>Silver</v>
      </c>
      <c r="AA1752" t="str">
        <f t="shared" si="27"/>
        <v>2025-01</v>
      </c>
      <c r="AB1752" t="str">
        <f>IFERROR(INDEX(Products!$I:$I,MATCH(D1752,Products!$A:$A,0)),"Unknown")</f>
        <v>SUP040</v>
      </c>
    </row>
    <row r="1753" spans="1:28" x14ac:dyDescent="0.25">
      <c r="A1753" t="s">
        <v>3715</v>
      </c>
      <c r="B1753" s="20">
        <v>45661</v>
      </c>
      <c r="C1753" t="s">
        <v>1747</v>
      </c>
      <c r="D1753" t="s">
        <v>1073</v>
      </c>
      <c r="E1753" t="s">
        <v>355</v>
      </c>
      <c r="F1753" t="s">
        <v>269</v>
      </c>
      <c r="G1753">
        <v>1</v>
      </c>
      <c r="H1753" s="21">
        <v>3168.05</v>
      </c>
      <c r="I1753">
        <v>5</v>
      </c>
      <c r="J1753" s="21">
        <v>158.4</v>
      </c>
      <c r="K1753">
        <v>12</v>
      </c>
      <c r="L1753" s="21">
        <v>361.16</v>
      </c>
      <c r="M1753" s="21">
        <v>3370.81</v>
      </c>
      <c r="N1753" s="21">
        <v>2340.46</v>
      </c>
      <c r="O1753" s="21">
        <v>669.19</v>
      </c>
      <c r="P1753" t="s">
        <v>121</v>
      </c>
      <c r="Q1753" t="s">
        <v>120</v>
      </c>
      <c r="R1753" t="s">
        <v>151</v>
      </c>
      <c r="S1753" t="s">
        <v>570</v>
      </c>
      <c r="T1753" t="s">
        <v>161</v>
      </c>
      <c r="U1753" t="s">
        <v>154</v>
      </c>
      <c r="V1753" t="str">
        <f>IFERROR(INDEX(Products!$C:$C,MATCH(D1753,Products!$A:$A,0)),"Unknown")</f>
        <v>Women Sarees</v>
      </c>
      <c r="W1753" t="str">
        <f>IFERROR(INDEX(Products!$E:$E,MATCH(D1753,Products!$A:$A,0)),"Unknown")</f>
        <v>W for Woman</v>
      </c>
      <c r="X1753" t="str">
        <f>IFERROR(INDEX(Stores!$B:$B,MATCH(E1753,Stores!$A:$A,0)),"Unknown")</f>
        <v>TrendMart Thiruvananthapuram High Street</v>
      </c>
      <c r="Y1753" t="str">
        <f>IFERROR(INDEX(Stores!$E:$E,MATCH(E1753,Stores!$A:$A,0)),"Unknown")</f>
        <v>South Zone 1</v>
      </c>
      <c r="Z1753" t="str">
        <f>IFERROR(INDEX(Customers!$J:$J,MATCH(C1753,Customers!$A:$A,0)),"Unknown")</f>
        <v>Regular</v>
      </c>
      <c r="AA1753" t="str">
        <f t="shared" si="27"/>
        <v>2025-01</v>
      </c>
      <c r="AB1753" t="str">
        <f>IFERROR(INDEX(Products!$I:$I,MATCH(D1753,Products!$A:$A,0)),"Unknown")</f>
        <v>SUP012</v>
      </c>
    </row>
    <row r="1754" spans="1:28" x14ac:dyDescent="0.25">
      <c r="A1754" t="s">
        <v>3716</v>
      </c>
      <c r="B1754" s="20">
        <v>45735</v>
      </c>
      <c r="C1754" t="s">
        <v>2945</v>
      </c>
      <c r="D1754" t="s">
        <v>558</v>
      </c>
      <c r="E1754" t="s">
        <v>541</v>
      </c>
      <c r="F1754" t="s">
        <v>618</v>
      </c>
      <c r="G1754">
        <v>2</v>
      </c>
      <c r="H1754" s="21">
        <v>672.6</v>
      </c>
      <c r="I1754">
        <v>5</v>
      </c>
      <c r="J1754" s="21">
        <v>67.260000000000005</v>
      </c>
      <c r="K1754">
        <v>5</v>
      </c>
      <c r="L1754" s="21">
        <v>63.9</v>
      </c>
      <c r="M1754" s="21">
        <v>1341.84</v>
      </c>
      <c r="N1754" s="21">
        <v>914.32</v>
      </c>
      <c r="O1754" s="21">
        <v>363.62</v>
      </c>
      <c r="P1754" t="s">
        <v>125</v>
      </c>
      <c r="Q1754" t="s">
        <v>120</v>
      </c>
      <c r="R1754" t="s">
        <v>151</v>
      </c>
      <c r="S1754" t="s">
        <v>3000</v>
      </c>
      <c r="T1754" t="s">
        <v>153</v>
      </c>
      <c r="U1754" t="s">
        <v>154</v>
      </c>
      <c r="V1754" t="str">
        <f>IFERROR(INDEX(Products!$C:$C,MATCH(D1754,Products!$A:$A,0)),"Unknown")</f>
        <v>Women Tops</v>
      </c>
      <c r="W1754" t="str">
        <f>IFERROR(INDEX(Products!$E:$E,MATCH(D1754,Products!$A:$A,0)),"Unknown")</f>
        <v>Aurelia</v>
      </c>
      <c r="X1754" t="str">
        <f>IFERROR(INDEX(Stores!$B:$B,MATCH(E1754,Stores!$A:$A,0)),"Unknown")</f>
        <v>TrendMart Kochi Standard</v>
      </c>
      <c r="Y1754" t="str">
        <f>IFERROR(INDEX(Stores!$E:$E,MATCH(E1754,Stores!$A:$A,0)),"Unknown")</f>
        <v>South Zone 1</v>
      </c>
      <c r="Z1754" t="str">
        <f>IFERROR(INDEX(Customers!$J:$J,MATCH(C1754,Customers!$A:$A,0)),"Unknown")</f>
        <v>Silver</v>
      </c>
      <c r="AA1754" t="str">
        <f t="shared" si="27"/>
        <v>2025-03</v>
      </c>
      <c r="AB1754" t="str">
        <f>IFERROR(INDEX(Products!$I:$I,MATCH(D1754,Products!$A:$A,0)),"Unknown")</f>
        <v>SUP055</v>
      </c>
    </row>
    <row r="1755" spans="1:28" x14ac:dyDescent="0.25">
      <c r="A1755" t="s">
        <v>3717</v>
      </c>
      <c r="B1755" s="20">
        <v>45546</v>
      </c>
      <c r="C1755" t="s">
        <v>2375</v>
      </c>
      <c r="D1755" t="s">
        <v>460</v>
      </c>
      <c r="E1755" t="s">
        <v>798</v>
      </c>
      <c r="F1755" t="s">
        <v>165</v>
      </c>
      <c r="G1755">
        <v>3</v>
      </c>
      <c r="H1755" s="21">
        <v>1261.92</v>
      </c>
      <c r="I1755">
        <v>15</v>
      </c>
      <c r="J1755" s="21">
        <v>567.86</v>
      </c>
      <c r="K1755">
        <v>12</v>
      </c>
      <c r="L1755" s="21">
        <v>386.15</v>
      </c>
      <c r="M1755" s="21">
        <v>3604.05</v>
      </c>
      <c r="N1755" s="21">
        <v>2735.52</v>
      </c>
      <c r="O1755" s="21">
        <v>482.38</v>
      </c>
      <c r="P1755" t="s">
        <v>123</v>
      </c>
      <c r="Q1755" t="s">
        <v>120</v>
      </c>
      <c r="R1755" t="s">
        <v>151</v>
      </c>
      <c r="S1755" t="s">
        <v>2346</v>
      </c>
      <c r="T1755" t="s">
        <v>153</v>
      </c>
      <c r="U1755" t="s">
        <v>154</v>
      </c>
      <c r="V1755" t="str">
        <f>IFERROR(INDEX(Products!$C:$C,MATCH(D1755,Products!$A:$A,0)),"Unknown")</f>
        <v>Men Trousers</v>
      </c>
      <c r="W1755" t="str">
        <f>IFERROR(INDEX(Products!$E:$E,MATCH(D1755,Products!$A:$A,0)),"Unknown")</f>
        <v>Louis Philippe</v>
      </c>
      <c r="X1755" t="str">
        <f>IFERROR(INDEX(Stores!$B:$B,MATCH(E1755,Stores!$A:$A,0)),"Unknown")</f>
        <v>TrendMart Guntur Standard</v>
      </c>
      <c r="Y1755" t="str">
        <f>IFERROR(INDEX(Stores!$E:$E,MATCH(E1755,Stores!$A:$A,0)),"Unknown")</f>
        <v>South Zone 3</v>
      </c>
      <c r="Z1755" t="str">
        <f>IFERROR(INDEX(Customers!$J:$J,MATCH(C1755,Customers!$A:$A,0)),"Unknown")</f>
        <v>Silver</v>
      </c>
      <c r="AA1755" t="str">
        <f t="shared" si="27"/>
        <v>2024-09</v>
      </c>
      <c r="AB1755" t="str">
        <f>IFERROR(INDEX(Products!$I:$I,MATCH(D1755,Products!$A:$A,0)),"Unknown")</f>
        <v>SUP034</v>
      </c>
    </row>
    <row r="1756" spans="1:28" x14ac:dyDescent="0.25">
      <c r="A1756" t="s">
        <v>3718</v>
      </c>
      <c r="B1756" s="20">
        <v>45577</v>
      </c>
      <c r="C1756" t="s">
        <v>1331</v>
      </c>
      <c r="D1756" t="s">
        <v>854</v>
      </c>
      <c r="E1756" t="s">
        <v>745</v>
      </c>
      <c r="F1756" t="s">
        <v>195</v>
      </c>
      <c r="G1756">
        <v>1</v>
      </c>
      <c r="H1756" s="21">
        <v>1279.68</v>
      </c>
      <c r="I1756">
        <v>15</v>
      </c>
      <c r="J1756" s="21">
        <v>191.95</v>
      </c>
      <c r="K1756">
        <v>3</v>
      </c>
      <c r="L1756" s="21">
        <v>32.630000000000003</v>
      </c>
      <c r="M1756" s="21">
        <v>1120.3599999999999</v>
      </c>
      <c r="N1756" s="21">
        <v>954.04</v>
      </c>
      <c r="O1756" s="21">
        <v>133.69</v>
      </c>
      <c r="P1756" t="s">
        <v>123</v>
      </c>
      <c r="Q1756" t="s">
        <v>122</v>
      </c>
      <c r="R1756" t="s">
        <v>151</v>
      </c>
      <c r="S1756" t="s">
        <v>1371</v>
      </c>
      <c r="T1756" t="s">
        <v>161</v>
      </c>
      <c r="U1756" t="s">
        <v>154</v>
      </c>
      <c r="V1756" t="str">
        <f>IFERROR(INDEX(Products!$C:$C,MATCH(D1756,Products!$A:$A,0)),"Unknown")</f>
        <v>Jewellery</v>
      </c>
      <c r="W1756" t="str">
        <f>IFERROR(INDEX(Products!$E:$E,MATCH(D1756,Products!$A:$A,0)),"Unknown")</f>
        <v>W for Woman</v>
      </c>
      <c r="X1756" t="str">
        <f>IFERROR(INDEX(Stores!$B:$B,MATCH(E1756,Stores!$A:$A,0)),"Unknown")</f>
        <v>TrendMart Thiruvananthapuram Outlet</v>
      </c>
      <c r="Y1756" t="str">
        <f>IFERROR(INDEX(Stores!$E:$E,MATCH(E1756,Stores!$A:$A,0)),"Unknown")</f>
        <v>South Zone 1</v>
      </c>
      <c r="Z1756" t="str">
        <f>IFERROR(INDEX(Customers!$J:$J,MATCH(C1756,Customers!$A:$A,0)),"Unknown")</f>
        <v>Regular</v>
      </c>
      <c r="AA1756" t="str">
        <f t="shared" si="27"/>
        <v>2024-10</v>
      </c>
      <c r="AB1756" t="str">
        <f>IFERROR(INDEX(Products!$I:$I,MATCH(D1756,Products!$A:$A,0)),"Unknown")</f>
        <v>SUP006</v>
      </c>
    </row>
    <row r="1757" spans="1:28" x14ac:dyDescent="0.25">
      <c r="A1757" t="s">
        <v>3719</v>
      </c>
      <c r="B1757" s="20">
        <v>45581</v>
      </c>
      <c r="C1757" t="s">
        <v>3720</v>
      </c>
      <c r="D1757" t="s">
        <v>1104</v>
      </c>
      <c r="E1757" t="s">
        <v>525</v>
      </c>
      <c r="F1757" t="s">
        <v>532</v>
      </c>
      <c r="G1757">
        <v>1</v>
      </c>
      <c r="H1757" s="21">
        <v>3389.17</v>
      </c>
      <c r="I1757">
        <v>5</v>
      </c>
      <c r="J1757" s="21">
        <v>169.46</v>
      </c>
      <c r="K1757">
        <v>12</v>
      </c>
      <c r="L1757" s="21">
        <v>386.37</v>
      </c>
      <c r="M1757" s="21">
        <v>3606.08</v>
      </c>
      <c r="N1757" s="21">
        <v>2374.0300000000002</v>
      </c>
      <c r="O1757" s="21">
        <v>845.68</v>
      </c>
      <c r="P1757" t="s">
        <v>123</v>
      </c>
      <c r="Q1757" t="s">
        <v>122</v>
      </c>
      <c r="R1757" t="s">
        <v>151</v>
      </c>
      <c r="S1757" t="s">
        <v>340</v>
      </c>
      <c r="T1757" t="s">
        <v>153</v>
      </c>
      <c r="U1757" t="s">
        <v>154</v>
      </c>
      <c r="V1757" t="str">
        <f>IFERROR(INDEX(Products!$C:$C,MATCH(D1757,Products!$A:$A,0)),"Unknown")</f>
        <v>Handbags</v>
      </c>
      <c r="W1757" t="str">
        <f>IFERROR(INDEX(Products!$E:$E,MATCH(D1757,Products!$A:$A,0)),"Unknown")</f>
        <v>Nalli Silks</v>
      </c>
      <c r="X1757" t="str">
        <f>IFERROR(INDEX(Stores!$B:$B,MATCH(E1757,Stores!$A:$A,0)),"Unknown")</f>
        <v>TrendMart Kollam Standard</v>
      </c>
      <c r="Y1757" t="str">
        <f>IFERROR(INDEX(Stores!$E:$E,MATCH(E1757,Stores!$A:$A,0)),"Unknown")</f>
        <v>South Zone 1</v>
      </c>
      <c r="Z1757" t="str">
        <f>IFERROR(INDEX(Customers!$J:$J,MATCH(C1757,Customers!$A:$A,0)),"Unknown")</f>
        <v>Silver</v>
      </c>
      <c r="AA1757" t="str">
        <f t="shared" si="27"/>
        <v>2024-10</v>
      </c>
      <c r="AB1757" t="str">
        <f>IFERROR(INDEX(Products!$I:$I,MATCH(D1757,Products!$A:$A,0)),"Unknown")</f>
        <v>SUP070</v>
      </c>
    </row>
    <row r="1758" spans="1:28" x14ac:dyDescent="0.25">
      <c r="A1758" t="s">
        <v>3721</v>
      </c>
      <c r="B1758" s="20">
        <v>45683</v>
      </c>
      <c r="C1758" t="s">
        <v>3684</v>
      </c>
      <c r="D1758" t="s">
        <v>273</v>
      </c>
      <c r="E1758" t="s">
        <v>96</v>
      </c>
      <c r="F1758" t="s">
        <v>550</v>
      </c>
      <c r="G1758">
        <v>3</v>
      </c>
      <c r="H1758" s="21">
        <v>1318.91</v>
      </c>
      <c r="I1758">
        <v>0</v>
      </c>
      <c r="J1758" s="21">
        <v>0</v>
      </c>
      <c r="K1758">
        <v>12</v>
      </c>
      <c r="L1758" s="21">
        <v>474.81</v>
      </c>
      <c r="M1758" s="21">
        <v>4431.54</v>
      </c>
      <c r="N1758" s="21">
        <v>2630.76</v>
      </c>
      <c r="O1758" s="21">
        <v>1325.97</v>
      </c>
      <c r="P1758" t="s">
        <v>121</v>
      </c>
      <c r="Q1758" t="s">
        <v>120</v>
      </c>
      <c r="R1758" t="s">
        <v>151</v>
      </c>
      <c r="S1758" t="s">
        <v>964</v>
      </c>
      <c r="T1758" t="s">
        <v>161</v>
      </c>
      <c r="U1758" t="s">
        <v>154</v>
      </c>
      <c r="V1758" t="str">
        <f>IFERROR(INDEX(Products!$C:$C,MATCH(D1758,Products!$A:$A,0)),"Unknown")</f>
        <v>Women Kurtis</v>
      </c>
      <c r="W1758" t="str">
        <f>IFERROR(INDEX(Products!$E:$E,MATCH(D1758,Products!$A:$A,0)),"Unknown")</f>
        <v>Indian Terrain</v>
      </c>
      <c r="X1758" t="str">
        <f>IFERROR(INDEX(Stores!$B:$B,MATCH(E1758,Stores!$A:$A,0)),"Unknown")</f>
        <v>TrendMart Shivamogga Outlet</v>
      </c>
      <c r="Y1758" t="str">
        <f>IFERROR(INDEX(Stores!$E:$E,MATCH(E1758,Stores!$A:$A,0)),"Unknown")</f>
        <v>South Zone 2</v>
      </c>
      <c r="Z1758" t="str">
        <f>IFERROR(INDEX(Customers!$J:$J,MATCH(C1758,Customers!$A:$A,0)),"Unknown")</f>
        <v>Regular</v>
      </c>
      <c r="AA1758" t="str">
        <f t="shared" si="27"/>
        <v>2025-01</v>
      </c>
      <c r="AB1758" t="str">
        <f>IFERROR(INDEX(Products!$I:$I,MATCH(D1758,Products!$A:$A,0)),"Unknown")</f>
        <v>SUP006</v>
      </c>
    </row>
    <row r="1759" spans="1:28" x14ac:dyDescent="0.25">
      <c r="A1759" t="s">
        <v>3722</v>
      </c>
      <c r="B1759" s="20">
        <v>45626</v>
      </c>
      <c r="C1759" t="s">
        <v>423</v>
      </c>
      <c r="D1759" t="s">
        <v>654</v>
      </c>
      <c r="E1759" t="s">
        <v>87</v>
      </c>
      <c r="F1759" t="s">
        <v>170</v>
      </c>
      <c r="G1759">
        <v>2</v>
      </c>
      <c r="H1759" s="21">
        <v>1211.32</v>
      </c>
      <c r="I1759">
        <v>20</v>
      </c>
      <c r="J1759" s="21">
        <v>484.53</v>
      </c>
      <c r="K1759">
        <v>12</v>
      </c>
      <c r="L1759" s="21">
        <v>232.57</v>
      </c>
      <c r="M1759" s="21">
        <v>2170.6799999999998</v>
      </c>
      <c r="N1759" s="21">
        <v>1730.84</v>
      </c>
      <c r="O1759" s="21">
        <v>207.27</v>
      </c>
      <c r="P1759" t="s">
        <v>121</v>
      </c>
      <c r="Q1759" t="s">
        <v>120</v>
      </c>
      <c r="R1759" t="s">
        <v>151</v>
      </c>
      <c r="S1759" t="s">
        <v>1692</v>
      </c>
      <c r="T1759" t="s">
        <v>161</v>
      </c>
      <c r="U1759" t="s">
        <v>154</v>
      </c>
      <c r="V1759" t="str">
        <f>IFERROR(INDEX(Products!$C:$C,MATCH(D1759,Products!$A:$A,0)),"Unknown")</f>
        <v>Women Dresses</v>
      </c>
      <c r="W1759" t="str">
        <f>IFERROR(INDEX(Products!$E:$E,MATCH(D1759,Products!$A:$A,0)),"Unknown")</f>
        <v>Indian Terrain</v>
      </c>
      <c r="X1759" t="str">
        <f>IFERROR(INDEX(Stores!$B:$B,MATCH(E1759,Stores!$A:$A,0)),"Unknown")</f>
        <v>TrendMart Thiruvananthapuram Standard</v>
      </c>
      <c r="Y1759" t="str">
        <f>IFERROR(INDEX(Stores!$E:$E,MATCH(E1759,Stores!$A:$A,0)),"Unknown")</f>
        <v>South Zone 1</v>
      </c>
      <c r="Z1759" t="str">
        <f>IFERROR(INDEX(Customers!$J:$J,MATCH(C1759,Customers!$A:$A,0)),"Unknown")</f>
        <v>Gold</v>
      </c>
      <c r="AA1759" t="str">
        <f t="shared" si="27"/>
        <v>2024-11</v>
      </c>
      <c r="AB1759" t="str">
        <f>IFERROR(INDEX(Products!$I:$I,MATCH(D1759,Products!$A:$A,0)),"Unknown")</f>
        <v>SUP049</v>
      </c>
    </row>
    <row r="1760" spans="1:28" x14ac:dyDescent="0.25">
      <c r="A1760" t="s">
        <v>3723</v>
      </c>
      <c r="B1760" s="20">
        <v>45718</v>
      </c>
      <c r="C1760" t="s">
        <v>3724</v>
      </c>
      <c r="D1760" t="s">
        <v>1905</v>
      </c>
      <c r="E1760" t="s">
        <v>81</v>
      </c>
      <c r="F1760" t="s">
        <v>344</v>
      </c>
      <c r="G1760">
        <v>4</v>
      </c>
      <c r="H1760" s="21">
        <v>1095.44</v>
      </c>
      <c r="I1760">
        <v>30</v>
      </c>
      <c r="J1760" s="21">
        <v>1314.53</v>
      </c>
      <c r="K1760">
        <v>12</v>
      </c>
      <c r="L1760" s="21">
        <v>368.07</v>
      </c>
      <c r="M1760" s="21">
        <v>3435.3</v>
      </c>
      <c r="N1760" s="21">
        <v>2520.4</v>
      </c>
      <c r="O1760" s="21">
        <v>546.83000000000004</v>
      </c>
      <c r="P1760" t="s">
        <v>123</v>
      </c>
      <c r="Q1760" t="s">
        <v>120</v>
      </c>
      <c r="R1760" t="s">
        <v>151</v>
      </c>
      <c r="S1760" t="s">
        <v>3062</v>
      </c>
      <c r="T1760" t="s">
        <v>161</v>
      </c>
      <c r="U1760" t="s">
        <v>154</v>
      </c>
      <c r="V1760" t="str">
        <f>IFERROR(INDEX(Products!$C:$C,MATCH(D1760,Products!$A:$A,0)),"Unknown")</f>
        <v>Sportswear</v>
      </c>
      <c r="W1760" t="str">
        <f>IFERROR(INDEX(Products!$E:$E,MATCH(D1760,Products!$A:$A,0)),"Unknown")</f>
        <v>Pantaloons</v>
      </c>
      <c r="X1760" t="str">
        <f>IFERROR(INDEX(Stores!$B:$B,MATCH(E1760,Stores!$A:$A,0)),"Unknown")</f>
        <v>TrendMart Vijayawada High Street</v>
      </c>
      <c r="Y1760" t="str">
        <f>IFERROR(INDEX(Stores!$E:$E,MATCH(E1760,Stores!$A:$A,0)),"Unknown")</f>
        <v>South Zone 3</v>
      </c>
      <c r="Z1760" t="str">
        <f>IFERROR(INDEX(Customers!$J:$J,MATCH(C1760,Customers!$A:$A,0)),"Unknown")</f>
        <v>Silver</v>
      </c>
      <c r="AA1760" t="str">
        <f t="shared" si="27"/>
        <v>2025-03</v>
      </c>
      <c r="AB1760" t="str">
        <f>IFERROR(INDEX(Products!$I:$I,MATCH(D1760,Products!$A:$A,0)),"Unknown")</f>
        <v>SUP062</v>
      </c>
    </row>
    <row r="1761" spans="1:28" x14ac:dyDescent="0.25">
      <c r="A1761" t="s">
        <v>3725</v>
      </c>
      <c r="B1761" s="20">
        <v>45600</v>
      </c>
      <c r="C1761" t="s">
        <v>2215</v>
      </c>
      <c r="D1761" t="s">
        <v>2402</v>
      </c>
      <c r="E1761" t="s">
        <v>247</v>
      </c>
      <c r="F1761" t="s">
        <v>403</v>
      </c>
      <c r="G1761">
        <v>2</v>
      </c>
      <c r="H1761" s="21">
        <v>1953.6</v>
      </c>
      <c r="I1761">
        <v>5</v>
      </c>
      <c r="J1761" s="21">
        <v>195.36</v>
      </c>
      <c r="K1761">
        <v>12</v>
      </c>
      <c r="L1761" s="21">
        <v>445.42</v>
      </c>
      <c r="M1761" s="21">
        <v>4157.26</v>
      </c>
      <c r="N1761" s="21">
        <v>2731.3</v>
      </c>
      <c r="O1761" s="21">
        <v>980.54</v>
      </c>
      <c r="P1761" t="s">
        <v>126</v>
      </c>
      <c r="Q1761" t="s">
        <v>120</v>
      </c>
      <c r="R1761" t="s">
        <v>151</v>
      </c>
      <c r="S1761" t="s">
        <v>1497</v>
      </c>
      <c r="T1761" t="s">
        <v>153</v>
      </c>
      <c r="U1761" t="s">
        <v>154</v>
      </c>
      <c r="V1761" t="str">
        <f>IFERROR(INDEX(Products!$C:$C,MATCH(D1761,Products!$A:$A,0)),"Unknown")</f>
        <v>Handbags</v>
      </c>
      <c r="W1761" t="str">
        <f>IFERROR(INDEX(Products!$E:$E,MATCH(D1761,Products!$A:$A,0)),"Unknown")</f>
        <v>Allen Solly</v>
      </c>
      <c r="X1761" t="str">
        <f>IFERROR(INDEX(Stores!$B:$B,MATCH(E1761,Stores!$A:$A,0)),"Unknown")</f>
        <v>TrendMart Tirupati Outlet</v>
      </c>
      <c r="Y1761" t="str">
        <f>IFERROR(INDEX(Stores!$E:$E,MATCH(E1761,Stores!$A:$A,0)),"Unknown")</f>
        <v>South Zone 3</v>
      </c>
      <c r="Z1761" t="str">
        <f>IFERROR(INDEX(Customers!$J:$J,MATCH(C1761,Customers!$A:$A,0)),"Unknown")</f>
        <v>Gold</v>
      </c>
      <c r="AA1761" t="str">
        <f t="shared" si="27"/>
        <v>2024-11</v>
      </c>
      <c r="AB1761" t="str">
        <f>IFERROR(INDEX(Products!$I:$I,MATCH(D1761,Products!$A:$A,0)),"Unknown")</f>
        <v>SUP043</v>
      </c>
    </row>
    <row r="1762" spans="1:28" x14ac:dyDescent="0.25">
      <c r="A1762" t="s">
        <v>3726</v>
      </c>
      <c r="B1762" s="20">
        <v>45652</v>
      </c>
      <c r="C1762" t="s">
        <v>1094</v>
      </c>
      <c r="D1762" t="s">
        <v>481</v>
      </c>
      <c r="E1762" t="s">
        <v>810</v>
      </c>
      <c r="F1762" t="s">
        <v>281</v>
      </c>
      <c r="G1762">
        <v>3</v>
      </c>
      <c r="H1762" s="21">
        <v>861.45</v>
      </c>
      <c r="I1762">
        <v>10</v>
      </c>
      <c r="J1762" s="21">
        <v>258.44</v>
      </c>
      <c r="K1762">
        <v>5</v>
      </c>
      <c r="L1762" s="21">
        <v>116.3</v>
      </c>
      <c r="M1762" s="21">
        <v>2442.21</v>
      </c>
      <c r="N1762" s="21">
        <v>2094.2399999999998</v>
      </c>
      <c r="O1762" s="21">
        <v>231.67</v>
      </c>
      <c r="P1762" t="s">
        <v>121</v>
      </c>
      <c r="Q1762" t="s">
        <v>120</v>
      </c>
      <c r="R1762" t="s">
        <v>151</v>
      </c>
      <c r="S1762" t="s">
        <v>920</v>
      </c>
      <c r="T1762" t="s">
        <v>153</v>
      </c>
      <c r="U1762" t="s">
        <v>154</v>
      </c>
      <c r="V1762" t="str">
        <f>IFERROR(INDEX(Products!$C:$C,MATCH(D1762,Products!$A:$A,0)),"Unknown")</f>
        <v>Women Dresses</v>
      </c>
      <c r="W1762" t="str">
        <f>IFERROR(INDEX(Products!$E:$E,MATCH(D1762,Products!$A:$A,0)),"Unknown")</f>
        <v>Jack &amp; Jones</v>
      </c>
      <c r="X1762" t="str">
        <f>IFERROR(INDEX(Stores!$B:$B,MATCH(E1762,Stores!$A:$A,0)),"Unknown")</f>
        <v>TrendMart Nizamabad Standard</v>
      </c>
      <c r="Y1762" t="str">
        <f>IFERROR(INDEX(Stores!$E:$E,MATCH(E1762,Stores!$A:$A,0)),"Unknown")</f>
        <v>South Zone 2</v>
      </c>
      <c r="Z1762" t="str">
        <f>IFERROR(INDEX(Customers!$J:$J,MATCH(C1762,Customers!$A:$A,0)),"Unknown")</f>
        <v>Silver</v>
      </c>
      <c r="AA1762" t="str">
        <f t="shared" si="27"/>
        <v>2024-12</v>
      </c>
      <c r="AB1762" t="str">
        <f>IFERROR(INDEX(Products!$I:$I,MATCH(D1762,Products!$A:$A,0)),"Unknown")</f>
        <v>SUP069</v>
      </c>
    </row>
    <row r="1763" spans="1:28" x14ac:dyDescent="0.25">
      <c r="A1763" t="s">
        <v>3727</v>
      </c>
      <c r="B1763" s="20">
        <v>45411</v>
      </c>
      <c r="C1763" t="s">
        <v>535</v>
      </c>
      <c r="D1763" t="s">
        <v>2006</v>
      </c>
      <c r="E1763" t="s">
        <v>701</v>
      </c>
      <c r="F1763" t="s">
        <v>170</v>
      </c>
      <c r="G1763">
        <v>3</v>
      </c>
      <c r="H1763" s="21">
        <v>1499.31</v>
      </c>
      <c r="I1763">
        <v>10</v>
      </c>
      <c r="J1763" s="21">
        <v>449.79</v>
      </c>
      <c r="K1763">
        <v>12</v>
      </c>
      <c r="L1763" s="21">
        <v>485.78</v>
      </c>
      <c r="M1763" s="21">
        <v>4533.92</v>
      </c>
      <c r="N1763" s="21">
        <v>3135.57</v>
      </c>
      <c r="O1763" s="21">
        <v>912.57</v>
      </c>
      <c r="P1763" t="s">
        <v>121</v>
      </c>
      <c r="Q1763" t="s">
        <v>120</v>
      </c>
      <c r="R1763" t="s">
        <v>151</v>
      </c>
      <c r="S1763" t="s">
        <v>1901</v>
      </c>
      <c r="T1763" t="s">
        <v>153</v>
      </c>
      <c r="U1763" t="s">
        <v>154</v>
      </c>
      <c r="V1763" t="str">
        <f>IFERROR(INDEX(Products!$C:$C,MATCH(D1763,Products!$A:$A,0)),"Unknown")</f>
        <v>Winter Wear</v>
      </c>
      <c r="W1763" t="str">
        <f>IFERROR(INDEX(Products!$E:$E,MATCH(D1763,Products!$A:$A,0)),"Unknown")</f>
        <v>Fossil</v>
      </c>
      <c r="X1763" t="str">
        <f>IFERROR(INDEX(Stores!$B:$B,MATCH(E1763,Stores!$A:$A,0)),"Unknown")</f>
        <v>TrendMart Vijayawada Mall Kiosk</v>
      </c>
      <c r="Y1763" t="str">
        <f>IFERROR(INDEX(Stores!$E:$E,MATCH(E1763,Stores!$A:$A,0)),"Unknown")</f>
        <v>South Zone 3</v>
      </c>
      <c r="Z1763" t="str">
        <f>IFERROR(INDEX(Customers!$J:$J,MATCH(C1763,Customers!$A:$A,0)),"Unknown")</f>
        <v>Gold</v>
      </c>
      <c r="AA1763" t="str">
        <f t="shared" si="27"/>
        <v>2024-04</v>
      </c>
      <c r="AB1763" t="str">
        <f>IFERROR(INDEX(Products!$I:$I,MATCH(D1763,Products!$A:$A,0)),"Unknown")</f>
        <v>SUP075</v>
      </c>
    </row>
    <row r="1764" spans="1:28" x14ac:dyDescent="0.25">
      <c r="A1764" t="s">
        <v>3728</v>
      </c>
      <c r="B1764" s="20">
        <v>45721</v>
      </c>
      <c r="C1764" t="s">
        <v>1149</v>
      </c>
      <c r="D1764" t="s">
        <v>1130</v>
      </c>
      <c r="E1764" t="s">
        <v>1141</v>
      </c>
      <c r="F1764" t="s">
        <v>574</v>
      </c>
      <c r="G1764">
        <v>1</v>
      </c>
      <c r="H1764" s="21">
        <v>3589.34</v>
      </c>
      <c r="I1764">
        <v>5</v>
      </c>
      <c r="J1764" s="21">
        <v>179.47</v>
      </c>
      <c r="K1764">
        <v>12</v>
      </c>
      <c r="L1764" s="21">
        <v>409.18</v>
      </c>
      <c r="M1764" s="21">
        <v>3819.05</v>
      </c>
      <c r="N1764" s="21">
        <v>2732.31</v>
      </c>
      <c r="O1764" s="21">
        <v>677.56</v>
      </c>
      <c r="P1764" t="s">
        <v>123</v>
      </c>
      <c r="Q1764" t="s">
        <v>120</v>
      </c>
      <c r="R1764" t="s">
        <v>151</v>
      </c>
      <c r="S1764" t="s">
        <v>3280</v>
      </c>
      <c r="T1764" t="s">
        <v>153</v>
      </c>
      <c r="U1764" t="s">
        <v>154</v>
      </c>
      <c r="V1764" t="str">
        <f>IFERROR(INDEX(Products!$C:$C,MATCH(D1764,Products!$A:$A,0)),"Unknown")</f>
        <v>Women Sarees</v>
      </c>
      <c r="W1764" t="str">
        <f>IFERROR(INDEX(Products!$E:$E,MATCH(D1764,Products!$A:$A,0)),"Unknown")</f>
        <v>Sparx</v>
      </c>
      <c r="X1764" t="str">
        <f>IFERROR(INDEX(Stores!$B:$B,MATCH(E1764,Stores!$A:$A,0)),"Unknown")</f>
        <v>TrendMart Kochi Standard</v>
      </c>
      <c r="Y1764" t="str">
        <f>IFERROR(INDEX(Stores!$E:$E,MATCH(E1764,Stores!$A:$A,0)),"Unknown")</f>
        <v>South Zone 1</v>
      </c>
      <c r="Z1764" t="str">
        <f>IFERROR(INDEX(Customers!$J:$J,MATCH(C1764,Customers!$A:$A,0)),"Unknown")</f>
        <v>Silver</v>
      </c>
      <c r="AA1764" t="str">
        <f t="shared" si="27"/>
        <v>2025-03</v>
      </c>
      <c r="AB1764" t="str">
        <f>IFERROR(INDEX(Products!$I:$I,MATCH(D1764,Products!$A:$A,0)),"Unknown")</f>
        <v>SUP069</v>
      </c>
    </row>
    <row r="1765" spans="1:28" x14ac:dyDescent="0.25">
      <c r="A1765" t="s">
        <v>3729</v>
      </c>
      <c r="B1765" s="20">
        <v>45551</v>
      </c>
      <c r="C1765" t="s">
        <v>1655</v>
      </c>
      <c r="D1765" t="s">
        <v>931</v>
      </c>
      <c r="E1765" t="s">
        <v>82</v>
      </c>
      <c r="F1765" t="s">
        <v>308</v>
      </c>
      <c r="G1765">
        <v>2</v>
      </c>
      <c r="H1765" s="21">
        <v>1520.24</v>
      </c>
      <c r="I1765">
        <v>0</v>
      </c>
      <c r="J1765" s="21">
        <v>0</v>
      </c>
      <c r="K1765">
        <v>12</v>
      </c>
      <c r="L1765" s="21">
        <v>364.86</v>
      </c>
      <c r="M1765" s="21">
        <v>3405.34</v>
      </c>
      <c r="N1765" s="21">
        <v>2041.8</v>
      </c>
      <c r="O1765" s="21">
        <v>998.68</v>
      </c>
      <c r="P1765" t="s">
        <v>124</v>
      </c>
      <c r="Q1765" t="s">
        <v>122</v>
      </c>
      <c r="R1765" t="s">
        <v>151</v>
      </c>
      <c r="S1765" t="s">
        <v>243</v>
      </c>
      <c r="T1765" t="s">
        <v>153</v>
      </c>
      <c r="U1765" t="s">
        <v>154</v>
      </c>
      <c r="V1765" t="str">
        <f>IFERROR(INDEX(Products!$C:$C,MATCH(D1765,Products!$A:$A,0)),"Unknown")</f>
        <v>Women Sarees</v>
      </c>
      <c r="W1765" t="str">
        <f>IFERROR(INDEX(Products!$E:$E,MATCH(D1765,Products!$A:$A,0)),"Unknown")</f>
        <v>Jack &amp; Jones</v>
      </c>
      <c r="X1765" t="str">
        <f>IFERROR(INDEX(Stores!$B:$B,MATCH(E1765,Stores!$A:$A,0)),"Unknown")</f>
        <v>TrendMart Kochi High Street</v>
      </c>
      <c r="Y1765" t="str">
        <f>IFERROR(INDEX(Stores!$E:$E,MATCH(E1765,Stores!$A:$A,0)),"Unknown")</f>
        <v>South Zone 1</v>
      </c>
      <c r="Z1765" t="str">
        <f>IFERROR(INDEX(Customers!$J:$J,MATCH(C1765,Customers!$A:$A,0)),"Unknown")</f>
        <v>Regular</v>
      </c>
      <c r="AA1765" t="str">
        <f t="shared" si="27"/>
        <v>2024-09</v>
      </c>
      <c r="AB1765" t="str">
        <f>IFERROR(INDEX(Products!$I:$I,MATCH(D1765,Products!$A:$A,0)),"Unknown")</f>
        <v>SUP058</v>
      </c>
    </row>
    <row r="1766" spans="1:28" x14ac:dyDescent="0.25">
      <c r="A1766" t="s">
        <v>3730</v>
      </c>
      <c r="B1766" s="20">
        <v>45432</v>
      </c>
      <c r="C1766" t="s">
        <v>328</v>
      </c>
      <c r="D1766" t="s">
        <v>1026</v>
      </c>
      <c r="E1766" t="s">
        <v>806</v>
      </c>
      <c r="F1766" t="s">
        <v>297</v>
      </c>
      <c r="G1766">
        <v>1</v>
      </c>
      <c r="H1766" s="21">
        <v>1410.22</v>
      </c>
      <c r="I1766">
        <v>0</v>
      </c>
      <c r="J1766" s="21">
        <v>0</v>
      </c>
      <c r="K1766">
        <v>12</v>
      </c>
      <c r="L1766" s="21">
        <v>169.23</v>
      </c>
      <c r="M1766" s="21">
        <v>1579.45</v>
      </c>
      <c r="N1766" s="21">
        <v>962.17</v>
      </c>
      <c r="O1766" s="21">
        <v>448.05</v>
      </c>
      <c r="P1766" t="s">
        <v>123</v>
      </c>
      <c r="Q1766" t="s">
        <v>120</v>
      </c>
      <c r="R1766" t="s">
        <v>151</v>
      </c>
      <c r="S1766" t="s">
        <v>1907</v>
      </c>
      <c r="T1766" t="s">
        <v>153</v>
      </c>
      <c r="U1766" t="s">
        <v>154</v>
      </c>
      <c r="V1766" t="str">
        <f>IFERROR(INDEX(Products!$C:$C,MATCH(D1766,Products!$A:$A,0)),"Unknown")</f>
        <v>Women Sarees</v>
      </c>
      <c r="W1766" t="str">
        <f>IFERROR(INDEX(Products!$E:$E,MATCH(D1766,Products!$A:$A,0)),"Unknown")</f>
        <v>Spykar</v>
      </c>
      <c r="X1766" t="str">
        <f>IFERROR(INDEX(Stores!$B:$B,MATCH(E1766,Stores!$A:$A,0)),"Unknown")</f>
        <v>TrendMart Tirunelveli Flagship</v>
      </c>
      <c r="Y1766" t="str">
        <f>IFERROR(INDEX(Stores!$E:$E,MATCH(E1766,Stores!$A:$A,0)),"Unknown")</f>
        <v>South Zone 1</v>
      </c>
      <c r="Z1766" t="str">
        <f>IFERROR(INDEX(Customers!$J:$J,MATCH(C1766,Customers!$A:$A,0)),"Unknown")</f>
        <v>Platinum</v>
      </c>
      <c r="AA1766" t="str">
        <f t="shared" si="27"/>
        <v>2024-05</v>
      </c>
      <c r="AB1766" t="str">
        <f>IFERROR(INDEX(Products!$I:$I,MATCH(D1766,Products!$A:$A,0)),"Unknown")</f>
        <v>SUP001</v>
      </c>
    </row>
    <row r="1767" spans="1:28" x14ac:dyDescent="0.25">
      <c r="A1767" t="s">
        <v>3731</v>
      </c>
      <c r="B1767" s="20">
        <v>45446</v>
      </c>
      <c r="C1767" t="s">
        <v>2510</v>
      </c>
      <c r="D1767" t="s">
        <v>1709</v>
      </c>
      <c r="E1767" t="s">
        <v>634</v>
      </c>
      <c r="F1767" t="s">
        <v>443</v>
      </c>
      <c r="G1767">
        <v>3</v>
      </c>
      <c r="H1767" s="21">
        <v>455.17</v>
      </c>
      <c r="I1767">
        <v>15</v>
      </c>
      <c r="J1767" s="21">
        <v>204.83</v>
      </c>
      <c r="K1767">
        <v>5</v>
      </c>
      <c r="L1767" s="21">
        <v>58.03</v>
      </c>
      <c r="M1767" s="21">
        <v>1218.71</v>
      </c>
      <c r="N1767" s="21">
        <v>982.08</v>
      </c>
      <c r="O1767" s="21">
        <v>178.6</v>
      </c>
      <c r="P1767" t="s">
        <v>125</v>
      </c>
      <c r="Q1767" t="s">
        <v>122</v>
      </c>
      <c r="R1767" t="s">
        <v>151</v>
      </c>
      <c r="S1767" t="s">
        <v>774</v>
      </c>
      <c r="T1767" t="s">
        <v>153</v>
      </c>
      <c r="U1767" t="s">
        <v>154</v>
      </c>
      <c r="V1767" t="str">
        <f>IFERROR(INDEX(Products!$C:$C,MATCH(D1767,Products!$A:$A,0)),"Unknown")</f>
        <v>Kids Wear</v>
      </c>
      <c r="W1767" t="str">
        <f>IFERROR(INDEX(Products!$E:$E,MATCH(D1767,Products!$A:$A,0)),"Unknown")</f>
        <v>Aurelia</v>
      </c>
      <c r="X1767" t="str">
        <f>IFERROR(INDEX(Stores!$B:$B,MATCH(E1767,Stores!$A:$A,0)),"Unknown")</f>
        <v>TrendMart Thrissur High Street</v>
      </c>
      <c r="Y1767" t="str">
        <f>IFERROR(INDEX(Stores!$E:$E,MATCH(E1767,Stores!$A:$A,0)),"Unknown")</f>
        <v>South Zone 1</v>
      </c>
      <c r="Z1767" t="str">
        <f>IFERROR(INDEX(Customers!$J:$J,MATCH(C1767,Customers!$A:$A,0)),"Unknown")</f>
        <v>Silver</v>
      </c>
      <c r="AA1767" t="str">
        <f t="shared" si="27"/>
        <v>2024-06</v>
      </c>
      <c r="AB1767" t="str">
        <f>IFERROR(INDEX(Products!$I:$I,MATCH(D1767,Products!$A:$A,0)),"Unknown")</f>
        <v>SUP055</v>
      </c>
    </row>
    <row r="1768" spans="1:28" x14ac:dyDescent="0.25">
      <c r="A1768" t="s">
        <v>3732</v>
      </c>
      <c r="B1768" s="20">
        <v>45556</v>
      </c>
      <c r="C1768" t="s">
        <v>1370</v>
      </c>
      <c r="D1768" t="s">
        <v>1026</v>
      </c>
      <c r="E1768" t="s">
        <v>639</v>
      </c>
      <c r="F1768" t="s">
        <v>303</v>
      </c>
      <c r="G1768">
        <v>3</v>
      </c>
      <c r="H1768" s="21">
        <v>1320.11</v>
      </c>
      <c r="I1768">
        <v>30</v>
      </c>
      <c r="J1768" s="21">
        <v>1188.0999999999999</v>
      </c>
      <c r="K1768">
        <v>12</v>
      </c>
      <c r="L1768" s="21">
        <v>332.67</v>
      </c>
      <c r="M1768" s="21">
        <v>3104.9</v>
      </c>
      <c r="N1768" s="21">
        <v>2886.51</v>
      </c>
      <c r="O1768" s="21">
        <v>-114.28</v>
      </c>
      <c r="P1768" t="s">
        <v>125</v>
      </c>
      <c r="Q1768" t="s">
        <v>120</v>
      </c>
      <c r="R1768" t="s">
        <v>151</v>
      </c>
      <c r="S1768" t="s">
        <v>2358</v>
      </c>
      <c r="T1768" t="s">
        <v>161</v>
      </c>
      <c r="U1768" t="s">
        <v>184</v>
      </c>
      <c r="V1768" t="str">
        <f>IFERROR(INDEX(Products!$C:$C,MATCH(D1768,Products!$A:$A,0)),"Unknown")</f>
        <v>Women Sarees</v>
      </c>
      <c r="W1768" t="str">
        <f>IFERROR(INDEX(Products!$E:$E,MATCH(D1768,Products!$A:$A,0)),"Unknown")</f>
        <v>Spykar</v>
      </c>
      <c r="X1768" t="str">
        <f>IFERROR(INDEX(Stores!$B:$B,MATCH(E1768,Stores!$A:$A,0)),"Unknown")</f>
        <v>TrendMart Kurnool Outlet</v>
      </c>
      <c r="Y1768" t="str">
        <f>IFERROR(INDEX(Stores!$E:$E,MATCH(E1768,Stores!$A:$A,0)),"Unknown")</f>
        <v>South Zone 3</v>
      </c>
      <c r="Z1768" t="str">
        <f>IFERROR(INDEX(Customers!$J:$J,MATCH(C1768,Customers!$A:$A,0)),"Unknown")</f>
        <v>Regular</v>
      </c>
      <c r="AA1768" t="str">
        <f t="shared" si="27"/>
        <v>2024-09</v>
      </c>
      <c r="AB1768" t="str">
        <f>IFERROR(INDEX(Products!$I:$I,MATCH(D1768,Products!$A:$A,0)),"Unknown")</f>
        <v>SUP001</v>
      </c>
    </row>
    <row r="1769" spans="1:28" x14ac:dyDescent="0.25">
      <c r="A1769" t="s">
        <v>3733</v>
      </c>
      <c r="B1769" s="20">
        <v>45505</v>
      </c>
      <c r="C1769" t="s">
        <v>878</v>
      </c>
      <c r="D1769" t="s">
        <v>756</v>
      </c>
      <c r="E1769" t="s">
        <v>387</v>
      </c>
      <c r="F1769" t="s">
        <v>335</v>
      </c>
      <c r="G1769">
        <v>1</v>
      </c>
      <c r="H1769" s="21">
        <v>731.57</v>
      </c>
      <c r="I1769">
        <v>25</v>
      </c>
      <c r="J1769" s="21">
        <v>182.89</v>
      </c>
      <c r="K1769">
        <v>5</v>
      </c>
      <c r="L1769" s="21">
        <v>27.43</v>
      </c>
      <c r="M1769" s="21">
        <v>576.11</v>
      </c>
      <c r="N1769" s="21">
        <v>522.38</v>
      </c>
      <c r="O1769" s="21">
        <v>26.3</v>
      </c>
      <c r="P1769" t="s">
        <v>125</v>
      </c>
      <c r="Q1769" t="s">
        <v>120</v>
      </c>
      <c r="R1769" t="s">
        <v>151</v>
      </c>
      <c r="S1769" t="s">
        <v>1682</v>
      </c>
      <c r="T1769" t="s">
        <v>153</v>
      </c>
      <c r="U1769" t="s">
        <v>154</v>
      </c>
      <c r="V1769" t="str">
        <f>IFERROR(INDEX(Products!$C:$C,MATCH(D1769,Products!$A:$A,0)),"Unknown")</f>
        <v>Women Tops</v>
      </c>
      <c r="W1769" t="str">
        <f>IFERROR(INDEX(Products!$E:$E,MATCH(D1769,Products!$A:$A,0)),"Unknown")</f>
        <v>Peter England</v>
      </c>
      <c r="X1769" t="str">
        <f>IFERROR(INDEX(Stores!$B:$B,MATCH(E1769,Stores!$A:$A,0)),"Unknown")</f>
        <v>TrendMart Kannur Outlet</v>
      </c>
      <c r="Y1769" t="str">
        <f>IFERROR(INDEX(Stores!$E:$E,MATCH(E1769,Stores!$A:$A,0)),"Unknown")</f>
        <v>South Zone 1</v>
      </c>
      <c r="Z1769" t="str">
        <f>IFERROR(INDEX(Customers!$J:$J,MATCH(C1769,Customers!$A:$A,0)),"Unknown")</f>
        <v>Silver</v>
      </c>
      <c r="AA1769" t="str">
        <f t="shared" si="27"/>
        <v>2024-08</v>
      </c>
      <c r="AB1769" t="str">
        <f>IFERROR(INDEX(Products!$I:$I,MATCH(D1769,Products!$A:$A,0)),"Unknown")</f>
        <v>SUP018</v>
      </c>
    </row>
    <row r="1770" spans="1:28" x14ac:dyDescent="0.25">
      <c r="A1770" t="s">
        <v>3734</v>
      </c>
      <c r="B1770" s="20">
        <v>45578</v>
      </c>
      <c r="C1770" t="s">
        <v>358</v>
      </c>
      <c r="D1770" t="s">
        <v>321</v>
      </c>
      <c r="E1770" t="s">
        <v>92</v>
      </c>
      <c r="F1770" t="s">
        <v>308</v>
      </c>
      <c r="G1770">
        <v>1</v>
      </c>
      <c r="H1770" s="21">
        <v>3553.87</v>
      </c>
      <c r="I1770">
        <v>0</v>
      </c>
      <c r="J1770" s="21">
        <v>0</v>
      </c>
      <c r="K1770">
        <v>12</v>
      </c>
      <c r="L1770" s="21">
        <v>426.46</v>
      </c>
      <c r="M1770" s="21">
        <v>3980.33</v>
      </c>
      <c r="N1770" s="21">
        <v>2433.3200000000002</v>
      </c>
      <c r="O1770" s="21">
        <v>1120.55</v>
      </c>
      <c r="P1770" t="s">
        <v>124</v>
      </c>
      <c r="Q1770" t="s">
        <v>120</v>
      </c>
      <c r="R1770" t="s">
        <v>151</v>
      </c>
      <c r="S1770" t="s">
        <v>718</v>
      </c>
      <c r="T1770" t="s">
        <v>161</v>
      </c>
      <c r="U1770" t="s">
        <v>154</v>
      </c>
      <c r="V1770" t="str">
        <f>IFERROR(INDEX(Products!$C:$C,MATCH(D1770,Products!$A:$A,0)),"Unknown")</f>
        <v>Watches</v>
      </c>
      <c r="W1770" t="str">
        <f>IFERROR(INDEX(Products!$E:$E,MATCH(D1770,Products!$A:$A,0)),"Unknown")</f>
        <v>Pepe Jeans</v>
      </c>
      <c r="X1770" t="str">
        <f>IFERROR(INDEX(Stores!$B:$B,MATCH(E1770,Stores!$A:$A,0)),"Unknown")</f>
        <v>TrendMart Guntur High Street</v>
      </c>
      <c r="Y1770" t="str">
        <f>IFERROR(INDEX(Stores!$E:$E,MATCH(E1770,Stores!$A:$A,0)),"Unknown")</f>
        <v>South Zone 3</v>
      </c>
      <c r="Z1770" t="str">
        <f>IFERROR(INDEX(Customers!$J:$J,MATCH(C1770,Customers!$A:$A,0)),"Unknown")</f>
        <v>Regular</v>
      </c>
      <c r="AA1770" t="str">
        <f t="shared" si="27"/>
        <v>2024-10</v>
      </c>
      <c r="AB1770" t="str">
        <f>IFERROR(INDEX(Products!$I:$I,MATCH(D1770,Products!$A:$A,0)),"Unknown")</f>
        <v>SUP079</v>
      </c>
    </row>
    <row r="1771" spans="1:28" x14ac:dyDescent="0.25">
      <c r="A1771" t="s">
        <v>3735</v>
      </c>
      <c r="B1771" s="20">
        <v>45716</v>
      </c>
      <c r="C1771" t="s">
        <v>1867</v>
      </c>
      <c r="D1771" t="s">
        <v>612</v>
      </c>
      <c r="E1771" t="s">
        <v>368</v>
      </c>
      <c r="F1771" t="s">
        <v>269</v>
      </c>
      <c r="G1771">
        <v>3</v>
      </c>
      <c r="H1771" s="21">
        <v>632.63</v>
      </c>
      <c r="I1771">
        <v>10</v>
      </c>
      <c r="J1771" s="21">
        <v>189.79</v>
      </c>
      <c r="K1771">
        <v>5</v>
      </c>
      <c r="L1771" s="21">
        <v>85.41</v>
      </c>
      <c r="M1771" s="21">
        <v>1793.51</v>
      </c>
      <c r="N1771" s="21">
        <v>1107</v>
      </c>
      <c r="O1771" s="21">
        <v>601.1</v>
      </c>
      <c r="P1771" t="s">
        <v>123</v>
      </c>
      <c r="Q1771" t="s">
        <v>122</v>
      </c>
      <c r="R1771" t="s">
        <v>151</v>
      </c>
      <c r="S1771" t="s">
        <v>816</v>
      </c>
      <c r="T1771" t="s">
        <v>153</v>
      </c>
      <c r="U1771" t="s">
        <v>154</v>
      </c>
      <c r="V1771" t="str">
        <f>IFERROR(INDEX(Products!$C:$C,MATCH(D1771,Products!$A:$A,0)),"Unknown")</f>
        <v>Men T-Shirts</v>
      </c>
      <c r="W1771" t="str">
        <f>IFERROR(INDEX(Products!$E:$E,MATCH(D1771,Products!$A:$A,0)),"Unknown")</f>
        <v>Killer Jeans</v>
      </c>
      <c r="X1771" t="str">
        <f>IFERROR(INDEX(Stores!$B:$B,MATCH(E1771,Stores!$A:$A,0)),"Unknown")</f>
        <v>TrendMart Alappuzha Outlet</v>
      </c>
      <c r="Y1771" t="str">
        <f>IFERROR(INDEX(Stores!$E:$E,MATCH(E1771,Stores!$A:$A,0)),"Unknown")</f>
        <v>South Zone 1</v>
      </c>
      <c r="Z1771" t="str">
        <f>IFERROR(INDEX(Customers!$J:$J,MATCH(C1771,Customers!$A:$A,0)),"Unknown")</f>
        <v>Gold</v>
      </c>
      <c r="AA1771" t="str">
        <f t="shared" si="27"/>
        <v>2025-02</v>
      </c>
      <c r="AB1771" t="str">
        <f>IFERROR(INDEX(Products!$I:$I,MATCH(D1771,Products!$A:$A,0)),"Unknown")</f>
        <v>SUP056</v>
      </c>
    </row>
    <row r="1772" spans="1:28" x14ac:dyDescent="0.25">
      <c r="A1772" t="s">
        <v>3736</v>
      </c>
      <c r="B1772" s="20">
        <v>45443</v>
      </c>
      <c r="C1772" t="s">
        <v>625</v>
      </c>
      <c r="D1772" t="s">
        <v>1080</v>
      </c>
      <c r="E1772" t="s">
        <v>1002</v>
      </c>
      <c r="F1772" t="s">
        <v>462</v>
      </c>
      <c r="G1772">
        <v>2</v>
      </c>
      <c r="H1772" s="21">
        <v>1363.93</v>
      </c>
      <c r="I1772">
        <v>30</v>
      </c>
      <c r="J1772" s="21">
        <v>818.36</v>
      </c>
      <c r="K1772">
        <v>12</v>
      </c>
      <c r="L1772" s="21">
        <v>229.14</v>
      </c>
      <c r="M1772" s="21">
        <v>2138.64</v>
      </c>
      <c r="N1772" s="21">
        <v>1828.7</v>
      </c>
      <c r="O1772" s="21">
        <v>80.8</v>
      </c>
      <c r="P1772" t="s">
        <v>121</v>
      </c>
      <c r="Q1772" t="s">
        <v>120</v>
      </c>
      <c r="R1772" t="s">
        <v>151</v>
      </c>
      <c r="S1772" t="s">
        <v>2824</v>
      </c>
      <c r="T1772" t="s">
        <v>153</v>
      </c>
      <c r="U1772" t="s">
        <v>154</v>
      </c>
      <c r="V1772" t="str">
        <f>IFERROR(INDEX(Products!$C:$C,MATCH(D1772,Products!$A:$A,0)),"Unknown")</f>
        <v>Winter Wear</v>
      </c>
      <c r="W1772" t="str">
        <f>IFERROR(INDEX(Products!$E:$E,MATCH(D1772,Products!$A:$A,0)),"Unknown")</f>
        <v>Max Fashion</v>
      </c>
      <c r="X1772" t="str">
        <f>IFERROR(INDEX(Stores!$B:$B,MATCH(E1772,Stores!$A:$A,0)),"Unknown")</f>
        <v>TrendMart Coimbatore Mall Kiosk</v>
      </c>
      <c r="Y1772" t="str">
        <f>IFERROR(INDEX(Stores!$E:$E,MATCH(E1772,Stores!$A:$A,0)),"Unknown")</f>
        <v>South Zone 1</v>
      </c>
      <c r="Z1772" t="str">
        <f>IFERROR(INDEX(Customers!$J:$J,MATCH(C1772,Customers!$A:$A,0)),"Unknown")</f>
        <v>Silver</v>
      </c>
      <c r="AA1772" t="str">
        <f t="shared" si="27"/>
        <v>2024-05</v>
      </c>
      <c r="AB1772" t="str">
        <f>IFERROR(INDEX(Products!$I:$I,MATCH(D1772,Products!$A:$A,0)),"Unknown")</f>
        <v>SUP017</v>
      </c>
    </row>
    <row r="1773" spans="1:28" x14ac:dyDescent="0.25">
      <c r="A1773" t="s">
        <v>3737</v>
      </c>
      <c r="B1773" s="20">
        <v>45587</v>
      </c>
      <c r="C1773" t="s">
        <v>1704</v>
      </c>
      <c r="D1773" t="s">
        <v>339</v>
      </c>
      <c r="E1773" t="s">
        <v>1825</v>
      </c>
      <c r="F1773" t="s">
        <v>189</v>
      </c>
      <c r="G1773">
        <v>2</v>
      </c>
      <c r="H1773" s="21">
        <v>891.72</v>
      </c>
      <c r="I1773">
        <v>5</v>
      </c>
      <c r="J1773" s="21">
        <v>89.17</v>
      </c>
      <c r="K1773">
        <v>5</v>
      </c>
      <c r="L1773" s="21">
        <v>84.71</v>
      </c>
      <c r="M1773" s="21">
        <v>1778.98</v>
      </c>
      <c r="N1773" s="21">
        <v>1137.06</v>
      </c>
      <c r="O1773" s="21">
        <v>557.21</v>
      </c>
      <c r="P1773" t="s">
        <v>126</v>
      </c>
      <c r="Q1773" t="s">
        <v>120</v>
      </c>
      <c r="R1773" t="s">
        <v>151</v>
      </c>
      <c r="S1773" t="s">
        <v>3367</v>
      </c>
      <c r="T1773" t="s">
        <v>153</v>
      </c>
      <c r="U1773" t="s">
        <v>154</v>
      </c>
      <c r="V1773" t="str">
        <f>IFERROR(INDEX(Products!$C:$C,MATCH(D1773,Products!$A:$A,0)),"Unknown")</f>
        <v>Women Kurtis</v>
      </c>
      <c r="W1773" t="str">
        <f>IFERROR(INDEX(Products!$E:$E,MATCH(D1773,Products!$A:$A,0)),"Unknown")</f>
        <v>Allen Solly</v>
      </c>
      <c r="X1773" t="str">
        <f>IFERROR(INDEX(Stores!$B:$B,MATCH(E1773,Stores!$A:$A,0)),"Unknown")</f>
        <v>TrendMart Vijayawada Outlet</v>
      </c>
      <c r="Y1773" t="str">
        <f>IFERROR(INDEX(Stores!$E:$E,MATCH(E1773,Stores!$A:$A,0)),"Unknown")</f>
        <v>South Zone 3</v>
      </c>
      <c r="Z1773" t="str">
        <f>IFERROR(INDEX(Customers!$J:$J,MATCH(C1773,Customers!$A:$A,0)),"Unknown")</f>
        <v>Silver</v>
      </c>
      <c r="AA1773" t="str">
        <f t="shared" si="27"/>
        <v>2024-10</v>
      </c>
      <c r="AB1773" t="str">
        <f>IFERROR(INDEX(Products!$I:$I,MATCH(D1773,Products!$A:$A,0)),"Unknown")</f>
        <v>SUP086</v>
      </c>
    </row>
    <row r="1774" spans="1:28" x14ac:dyDescent="0.25">
      <c r="A1774" t="s">
        <v>3738</v>
      </c>
      <c r="B1774" s="20">
        <v>45584</v>
      </c>
      <c r="C1774" t="s">
        <v>1441</v>
      </c>
      <c r="D1774" t="s">
        <v>1321</v>
      </c>
      <c r="E1774" t="s">
        <v>1325</v>
      </c>
      <c r="F1774" t="s">
        <v>242</v>
      </c>
      <c r="G1774">
        <v>4</v>
      </c>
      <c r="H1774" s="21">
        <v>2526.0100000000002</v>
      </c>
      <c r="I1774">
        <v>0</v>
      </c>
      <c r="J1774" s="21">
        <v>0</v>
      </c>
      <c r="K1774">
        <v>12</v>
      </c>
      <c r="L1774" s="21">
        <v>1212.48</v>
      </c>
      <c r="M1774" s="21">
        <v>11316.52</v>
      </c>
      <c r="N1774" s="21">
        <v>6918.88</v>
      </c>
      <c r="O1774" s="21">
        <v>3185.16</v>
      </c>
      <c r="P1774" t="s">
        <v>123</v>
      </c>
      <c r="Q1774" t="s">
        <v>122</v>
      </c>
      <c r="R1774" t="s">
        <v>151</v>
      </c>
      <c r="S1774" t="s">
        <v>835</v>
      </c>
      <c r="T1774" t="s">
        <v>161</v>
      </c>
      <c r="U1774" t="s">
        <v>154</v>
      </c>
      <c r="V1774" t="str">
        <f>IFERROR(INDEX(Products!$C:$C,MATCH(D1774,Products!$A:$A,0)),"Unknown")</f>
        <v>Men Ethnic</v>
      </c>
      <c r="W1774" t="str">
        <f>IFERROR(INDEX(Products!$E:$E,MATCH(D1774,Products!$A:$A,0)),"Unknown")</f>
        <v>Nalli Silks</v>
      </c>
      <c r="X1774" t="str">
        <f>IFERROR(INDEX(Stores!$B:$B,MATCH(E1774,Stores!$A:$A,0)),"Unknown")</f>
        <v>TrendMart Thrissur Standard</v>
      </c>
      <c r="Y1774" t="str">
        <f>IFERROR(INDEX(Stores!$E:$E,MATCH(E1774,Stores!$A:$A,0)),"Unknown")</f>
        <v>South Zone 1</v>
      </c>
      <c r="Z1774" t="str">
        <f>IFERROR(INDEX(Customers!$J:$J,MATCH(C1774,Customers!$A:$A,0)),"Unknown")</f>
        <v>Platinum</v>
      </c>
      <c r="AA1774" t="str">
        <f t="shared" si="27"/>
        <v>2024-10</v>
      </c>
      <c r="AB1774" t="str">
        <f>IFERROR(INDEX(Products!$I:$I,MATCH(D1774,Products!$A:$A,0)),"Unknown")</f>
        <v>SUP018</v>
      </c>
    </row>
    <row r="1775" spans="1:28" x14ac:dyDescent="0.25">
      <c r="A1775" t="s">
        <v>3739</v>
      </c>
      <c r="B1775" s="20">
        <v>45439</v>
      </c>
      <c r="C1775" t="s">
        <v>1841</v>
      </c>
      <c r="D1775" t="s">
        <v>697</v>
      </c>
      <c r="E1775" t="s">
        <v>1681</v>
      </c>
      <c r="F1775" t="s">
        <v>195</v>
      </c>
      <c r="G1775">
        <v>1</v>
      </c>
      <c r="H1775" s="21">
        <v>1028.71</v>
      </c>
      <c r="I1775">
        <v>30</v>
      </c>
      <c r="J1775" s="21">
        <v>308.61</v>
      </c>
      <c r="K1775">
        <v>12</v>
      </c>
      <c r="L1775" s="21">
        <v>86.41</v>
      </c>
      <c r="M1775" s="21">
        <v>806.51</v>
      </c>
      <c r="N1775" s="21">
        <v>699.84</v>
      </c>
      <c r="O1775" s="21">
        <v>20.260000000000002</v>
      </c>
      <c r="P1775" t="s">
        <v>124</v>
      </c>
      <c r="Q1775" t="s">
        <v>120</v>
      </c>
      <c r="R1775" t="s">
        <v>151</v>
      </c>
      <c r="S1775" t="s">
        <v>2725</v>
      </c>
      <c r="T1775" t="s">
        <v>153</v>
      </c>
      <c r="U1775" t="s">
        <v>154</v>
      </c>
      <c r="V1775" t="str">
        <f>IFERROR(INDEX(Products!$C:$C,MATCH(D1775,Products!$A:$A,0)),"Unknown")</f>
        <v>Women Tops</v>
      </c>
      <c r="W1775" t="str">
        <f>IFERROR(INDEX(Products!$E:$E,MATCH(D1775,Products!$A:$A,0)),"Unknown")</f>
        <v>Nalli Silks</v>
      </c>
      <c r="X1775" t="str">
        <f>IFERROR(INDEX(Stores!$B:$B,MATCH(E1775,Stores!$A:$A,0)),"Unknown")</f>
        <v>TrendMart Warangal Standard</v>
      </c>
      <c r="Y1775" t="str">
        <f>IFERROR(INDEX(Stores!$E:$E,MATCH(E1775,Stores!$A:$A,0)),"Unknown")</f>
        <v>South Zone 2</v>
      </c>
      <c r="Z1775" t="str">
        <f>IFERROR(INDEX(Customers!$J:$J,MATCH(C1775,Customers!$A:$A,0)),"Unknown")</f>
        <v>Silver</v>
      </c>
      <c r="AA1775" t="str">
        <f t="shared" si="27"/>
        <v>2024-05</v>
      </c>
      <c r="AB1775" t="str">
        <f>IFERROR(INDEX(Products!$I:$I,MATCH(D1775,Products!$A:$A,0)),"Unknown")</f>
        <v>SUP008</v>
      </c>
    </row>
    <row r="1776" spans="1:28" x14ac:dyDescent="0.25">
      <c r="A1776" t="s">
        <v>3740</v>
      </c>
      <c r="B1776" s="20">
        <v>45664</v>
      </c>
      <c r="C1776" t="s">
        <v>1462</v>
      </c>
      <c r="D1776" t="s">
        <v>2039</v>
      </c>
      <c r="E1776" t="s">
        <v>87</v>
      </c>
      <c r="F1776" t="s">
        <v>532</v>
      </c>
      <c r="G1776">
        <v>3</v>
      </c>
      <c r="H1776" s="21">
        <v>2968.86</v>
      </c>
      <c r="I1776">
        <v>15</v>
      </c>
      <c r="J1776" s="21">
        <v>1335.99</v>
      </c>
      <c r="K1776">
        <v>12</v>
      </c>
      <c r="L1776" s="21">
        <v>908.47</v>
      </c>
      <c r="M1776" s="21">
        <v>8479.06</v>
      </c>
      <c r="N1776" s="21">
        <v>6236.76</v>
      </c>
      <c r="O1776" s="21">
        <v>1333.83</v>
      </c>
      <c r="P1776" t="s">
        <v>125</v>
      </c>
      <c r="Q1776" t="s">
        <v>120</v>
      </c>
      <c r="R1776" t="s">
        <v>151</v>
      </c>
      <c r="S1776" t="s">
        <v>1712</v>
      </c>
      <c r="T1776" t="s">
        <v>153</v>
      </c>
      <c r="U1776" t="s">
        <v>154</v>
      </c>
      <c r="V1776" t="str">
        <f>IFERROR(INDEX(Products!$C:$C,MATCH(D1776,Products!$A:$A,0)),"Unknown")</f>
        <v>Women Sarees</v>
      </c>
      <c r="W1776" t="str">
        <f>IFERROR(INDEX(Products!$E:$E,MATCH(D1776,Products!$A:$A,0)),"Unknown")</f>
        <v>Arrow</v>
      </c>
      <c r="X1776" t="str">
        <f>IFERROR(INDEX(Stores!$B:$B,MATCH(E1776,Stores!$A:$A,0)),"Unknown")</f>
        <v>TrendMart Thiruvananthapuram Standard</v>
      </c>
      <c r="Y1776" t="str">
        <f>IFERROR(INDEX(Stores!$E:$E,MATCH(E1776,Stores!$A:$A,0)),"Unknown")</f>
        <v>South Zone 1</v>
      </c>
      <c r="Z1776" t="str">
        <f>IFERROR(INDEX(Customers!$J:$J,MATCH(C1776,Customers!$A:$A,0)),"Unknown")</f>
        <v>Silver</v>
      </c>
      <c r="AA1776" t="str">
        <f t="shared" si="27"/>
        <v>2025-01</v>
      </c>
      <c r="AB1776" t="str">
        <f>IFERROR(INDEX(Products!$I:$I,MATCH(D1776,Products!$A:$A,0)),"Unknown")</f>
        <v>SUP087</v>
      </c>
    </row>
    <row r="1777" spans="1:28" x14ac:dyDescent="0.25">
      <c r="A1777" t="s">
        <v>3741</v>
      </c>
      <c r="B1777" s="20">
        <v>45464</v>
      </c>
      <c r="C1777" t="s">
        <v>1107</v>
      </c>
      <c r="D1777" t="s">
        <v>1041</v>
      </c>
      <c r="E1777" t="s">
        <v>94</v>
      </c>
      <c r="F1777" t="s">
        <v>434</v>
      </c>
      <c r="G1777">
        <v>1</v>
      </c>
      <c r="H1777" s="21">
        <v>1095.29</v>
      </c>
      <c r="I1777">
        <v>10</v>
      </c>
      <c r="J1777" s="21">
        <v>109.53</v>
      </c>
      <c r="K1777">
        <v>12</v>
      </c>
      <c r="L1777" s="21">
        <v>118.29</v>
      </c>
      <c r="M1777" s="21">
        <v>1104.05</v>
      </c>
      <c r="N1777" s="21">
        <v>735.85</v>
      </c>
      <c r="O1777" s="21">
        <v>249.91</v>
      </c>
      <c r="P1777" t="s">
        <v>121</v>
      </c>
      <c r="Q1777" t="s">
        <v>120</v>
      </c>
      <c r="R1777" t="s">
        <v>151</v>
      </c>
      <c r="S1777" t="s">
        <v>2964</v>
      </c>
      <c r="T1777" t="s">
        <v>153</v>
      </c>
      <c r="U1777" t="s">
        <v>154</v>
      </c>
      <c r="V1777" t="str">
        <f>IFERROR(INDEX(Products!$C:$C,MATCH(D1777,Products!$A:$A,0)),"Unknown")</f>
        <v>Sportswear</v>
      </c>
      <c r="W1777" t="str">
        <f>IFERROR(INDEX(Products!$E:$E,MATCH(D1777,Products!$A:$A,0)),"Unknown")</f>
        <v>Blackberrys</v>
      </c>
      <c r="X1777" t="str">
        <f>IFERROR(INDEX(Stores!$B:$B,MATCH(E1777,Stores!$A:$A,0)),"Unknown")</f>
        <v>TrendMart Bengaluru Mall Kiosk</v>
      </c>
      <c r="Y1777" t="str">
        <f>IFERROR(INDEX(Stores!$E:$E,MATCH(E1777,Stores!$A:$A,0)),"Unknown")</f>
        <v>South Zone 2</v>
      </c>
      <c r="Z1777" t="str">
        <f>IFERROR(INDEX(Customers!$J:$J,MATCH(C1777,Customers!$A:$A,0)),"Unknown")</f>
        <v>Silver</v>
      </c>
      <c r="AA1777" t="str">
        <f t="shared" si="27"/>
        <v>2024-06</v>
      </c>
      <c r="AB1777" t="str">
        <f>IFERROR(INDEX(Products!$I:$I,MATCH(D1777,Products!$A:$A,0)),"Unknown")</f>
        <v>SUP012</v>
      </c>
    </row>
    <row r="1778" spans="1:28" x14ac:dyDescent="0.25">
      <c r="A1778" t="s">
        <v>3742</v>
      </c>
      <c r="B1778" s="20">
        <v>45447</v>
      </c>
      <c r="C1778" t="s">
        <v>3706</v>
      </c>
      <c r="D1778" t="s">
        <v>1160</v>
      </c>
      <c r="E1778" t="s">
        <v>815</v>
      </c>
      <c r="F1778" t="s">
        <v>176</v>
      </c>
      <c r="G1778">
        <v>1</v>
      </c>
      <c r="H1778" s="21">
        <v>1412.28</v>
      </c>
      <c r="I1778">
        <v>10</v>
      </c>
      <c r="J1778" s="21">
        <v>141.22999999999999</v>
      </c>
      <c r="K1778">
        <v>12</v>
      </c>
      <c r="L1778" s="21">
        <v>152.53</v>
      </c>
      <c r="M1778" s="21">
        <v>1423.58</v>
      </c>
      <c r="N1778" s="21">
        <v>975.36</v>
      </c>
      <c r="O1778" s="21">
        <v>295.69</v>
      </c>
      <c r="P1778" t="s">
        <v>121</v>
      </c>
      <c r="Q1778" t="s">
        <v>120</v>
      </c>
      <c r="R1778" t="s">
        <v>151</v>
      </c>
      <c r="S1778" t="s">
        <v>988</v>
      </c>
      <c r="T1778" t="s">
        <v>153</v>
      </c>
      <c r="U1778" t="s">
        <v>154</v>
      </c>
      <c r="V1778" t="str">
        <f>IFERROR(INDEX(Products!$C:$C,MATCH(D1778,Products!$A:$A,0)),"Unknown")</f>
        <v>Men Jeans</v>
      </c>
      <c r="W1778" t="str">
        <f>IFERROR(INDEX(Products!$E:$E,MATCH(D1778,Products!$A:$A,0)),"Unknown")</f>
        <v>Skechers</v>
      </c>
      <c r="X1778" t="str">
        <f>IFERROR(INDEX(Stores!$B:$B,MATCH(E1778,Stores!$A:$A,0)),"Unknown")</f>
        <v>TrendMart Madurai Mall Kiosk</v>
      </c>
      <c r="Y1778" t="str">
        <f>IFERROR(INDEX(Stores!$E:$E,MATCH(E1778,Stores!$A:$A,0)),"Unknown")</f>
        <v>South Zone 1</v>
      </c>
      <c r="Z1778" t="str">
        <f>IFERROR(INDEX(Customers!$J:$J,MATCH(C1778,Customers!$A:$A,0)),"Unknown")</f>
        <v>Gold</v>
      </c>
      <c r="AA1778" t="str">
        <f t="shared" si="27"/>
        <v>2024-06</v>
      </c>
      <c r="AB1778" t="str">
        <f>IFERROR(INDEX(Products!$I:$I,MATCH(D1778,Products!$A:$A,0)),"Unknown")</f>
        <v>SUP013</v>
      </c>
    </row>
    <row r="1779" spans="1:28" x14ac:dyDescent="0.25">
      <c r="A1779" t="s">
        <v>3743</v>
      </c>
      <c r="B1779" s="20">
        <v>45545</v>
      </c>
      <c r="C1779" t="s">
        <v>2667</v>
      </c>
      <c r="D1779" t="s">
        <v>1972</v>
      </c>
      <c r="E1779" t="s">
        <v>506</v>
      </c>
      <c r="F1779" t="s">
        <v>344</v>
      </c>
      <c r="G1779">
        <v>3</v>
      </c>
      <c r="H1779" s="21">
        <v>1066.29</v>
      </c>
      <c r="I1779">
        <v>10</v>
      </c>
      <c r="J1779" s="21">
        <v>319.89</v>
      </c>
      <c r="K1779">
        <v>12</v>
      </c>
      <c r="L1779" s="21">
        <v>345.48</v>
      </c>
      <c r="M1779" s="21">
        <v>3224.46</v>
      </c>
      <c r="N1779" s="21">
        <v>2167.1999999999998</v>
      </c>
      <c r="O1779" s="21">
        <v>711.78</v>
      </c>
      <c r="P1779" t="s">
        <v>124</v>
      </c>
      <c r="Q1779" t="s">
        <v>122</v>
      </c>
      <c r="R1779" t="s">
        <v>151</v>
      </c>
      <c r="S1779" t="s">
        <v>3744</v>
      </c>
      <c r="T1779" t="s">
        <v>153</v>
      </c>
      <c r="U1779" t="s">
        <v>154</v>
      </c>
      <c r="V1779" t="str">
        <f>IFERROR(INDEX(Products!$C:$C,MATCH(D1779,Products!$A:$A,0)),"Unknown")</f>
        <v>Women Jeans</v>
      </c>
      <c r="W1779" t="str">
        <f>IFERROR(INDEX(Products!$E:$E,MATCH(D1779,Products!$A:$A,0)),"Unknown")</f>
        <v>Spykar</v>
      </c>
      <c r="X1779" t="str">
        <f>IFERROR(INDEX(Stores!$B:$B,MATCH(E1779,Stores!$A:$A,0)),"Unknown")</f>
        <v>TrendMart Nellore High Street</v>
      </c>
      <c r="Y1779" t="str">
        <f>IFERROR(INDEX(Stores!$E:$E,MATCH(E1779,Stores!$A:$A,0)),"Unknown")</f>
        <v>South Zone 3</v>
      </c>
      <c r="Z1779" t="str">
        <f>IFERROR(INDEX(Customers!$J:$J,MATCH(C1779,Customers!$A:$A,0)),"Unknown")</f>
        <v>Regular</v>
      </c>
      <c r="AA1779" t="str">
        <f t="shared" si="27"/>
        <v>2024-09</v>
      </c>
      <c r="AB1779" t="str">
        <f>IFERROR(INDEX(Products!$I:$I,MATCH(D1779,Products!$A:$A,0)),"Unknown")</f>
        <v>SUP087</v>
      </c>
    </row>
    <row r="1780" spans="1:28" x14ac:dyDescent="0.25">
      <c r="A1780" t="s">
        <v>3745</v>
      </c>
      <c r="B1780" s="20">
        <v>45700</v>
      </c>
      <c r="C1780" t="s">
        <v>3379</v>
      </c>
      <c r="D1780" t="s">
        <v>261</v>
      </c>
      <c r="E1780" t="s">
        <v>541</v>
      </c>
      <c r="F1780" t="s">
        <v>532</v>
      </c>
      <c r="G1780">
        <v>1</v>
      </c>
      <c r="H1780" s="21">
        <v>1238.6500000000001</v>
      </c>
      <c r="I1780">
        <v>10</v>
      </c>
      <c r="J1780" s="21">
        <v>123.86</v>
      </c>
      <c r="K1780">
        <v>12</v>
      </c>
      <c r="L1780" s="21">
        <v>133.77000000000001</v>
      </c>
      <c r="M1780" s="21">
        <v>1248.56</v>
      </c>
      <c r="N1780" s="21">
        <v>844.65</v>
      </c>
      <c r="O1780" s="21">
        <v>270.14</v>
      </c>
      <c r="P1780" t="s">
        <v>121</v>
      </c>
      <c r="Q1780" t="s">
        <v>122</v>
      </c>
      <c r="R1780" t="s">
        <v>151</v>
      </c>
      <c r="S1780" t="s">
        <v>1664</v>
      </c>
      <c r="T1780" t="s">
        <v>153</v>
      </c>
      <c r="U1780" t="s">
        <v>154</v>
      </c>
      <c r="V1780" t="str">
        <f>IFERROR(INDEX(Products!$C:$C,MATCH(D1780,Products!$A:$A,0)),"Unknown")</f>
        <v>Women Kurtis</v>
      </c>
      <c r="W1780" t="str">
        <f>IFERROR(INDEX(Products!$E:$E,MATCH(D1780,Products!$A:$A,0)),"Unknown")</f>
        <v>Woodland</v>
      </c>
      <c r="X1780" t="str">
        <f>IFERROR(INDEX(Stores!$B:$B,MATCH(E1780,Stores!$A:$A,0)),"Unknown")</f>
        <v>TrendMart Kochi Standard</v>
      </c>
      <c r="Y1780" t="str">
        <f>IFERROR(INDEX(Stores!$E:$E,MATCH(E1780,Stores!$A:$A,0)),"Unknown")</f>
        <v>South Zone 1</v>
      </c>
      <c r="Z1780" t="str">
        <f>IFERROR(INDEX(Customers!$J:$J,MATCH(C1780,Customers!$A:$A,0)),"Unknown")</f>
        <v>Silver</v>
      </c>
      <c r="AA1780" t="str">
        <f t="shared" si="27"/>
        <v>2025-02</v>
      </c>
      <c r="AB1780" t="str">
        <f>IFERROR(INDEX(Products!$I:$I,MATCH(D1780,Products!$A:$A,0)),"Unknown")</f>
        <v>SUP071</v>
      </c>
    </row>
    <row r="1781" spans="1:28" x14ac:dyDescent="0.25">
      <c r="A1781" t="s">
        <v>3746</v>
      </c>
      <c r="B1781" s="20">
        <v>45464</v>
      </c>
      <c r="C1781" t="s">
        <v>984</v>
      </c>
      <c r="D1781" t="s">
        <v>1809</v>
      </c>
      <c r="E1781" t="s">
        <v>82</v>
      </c>
      <c r="F1781" t="s">
        <v>532</v>
      </c>
      <c r="G1781">
        <v>2</v>
      </c>
      <c r="H1781" s="21">
        <v>1023.18</v>
      </c>
      <c r="I1781">
        <v>25</v>
      </c>
      <c r="J1781" s="21">
        <v>511.59</v>
      </c>
      <c r="K1781">
        <v>12</v>
      </c>
      <c r="L1781" s="21">
        <v>184.17</v>
      </c>
      <c r="M1781" s="21">
        <v>1718.94</v>
      </c>
      <c r="N1781" s="21">
        <v>1513.18</v>
      </c>
      <c r="O1781" s="21">
        <v>21.59</v>
      </c>
      <c r="P1781" t="s">
        <v>124</v>
      </c>
      <c r="Q1781" t="s">
        <v>120</v>
      </c>
      <c r="R1781" t="s">
        <v>151</v>
      </c>
      <c r="S1781" t="s">
        <v>160</v>
      </c>
      <c r="T1781" t="s">
        <v>153</v>
      </c>
      <c r="U1781" t="s">
        <v>154</v>
      </c>
      <c r="V1781" t="str">
        <f>IFERROR(INDEX(Products!$C:$C,MATCH(D1781,Products!$A:$A,0)),"Unknown")</f>
        <v>Men Jeans</v>
      </c>
      <c r="W1781" t="str">
        <f>IFERROR(INDEX(Products!$E:$E,MATCH(D1781,Products!$A:$A,0)),"Unknown")</f>
        <v>Mufti</v>
      </c>
      <c r="X1781" t="str">
        <f>IFERROR(INDEX(Stores!$B:$B,MATCH(E1781,Stores!$A:$A,0)),"Unknown")</f>
        <v>TrendMart Kochi High Street</v>
      </c>
      <c r="Y1781" t="str">
        <f>IFERROR(INDEX(Stores!$E:$E,MATCH(E1781,Stores!$A:$A,0)),"Unknown")</f>
        <v>South Zone 1</v>
      </c>
      <c r="Z1781" t="str">
        <f>IFERROR(INDEX(Customers!$J:$J,MATCH(C1781,Customers!$A:$A,0)),"Unknown")</f>
        <v>Gold</v>
      </c>
      <c r="AA1781" t="str">
        <f t="shared" si="27"/>
        <v>2024-06</v>
      </c>
      <c r="AB1781" t="str">
        <f>IFERROR(INDEX(Products!$I:$I,MATCH(D1781,Products!$A:$A,0)),"Unknown")</f>
        <v>SUP035</v>
      </c>
    </row>
    <row r="1782" spans="1:28" x14ac:dyDescent="0.25">
      <c r="A1782" t="s">
        <v>3747</v>
      </c>
      <c r="B1782" s="20">
        <v>45628</v>
      </c>
      <c r="C1782" t="s">
        <v>3445</v>
      </c>
      <c r="D1782" t="s">
        <v>481</v>
      </c>
      <c r="E1782" t="s">
        <v>477</v>
      </c>
      <c r="F1782" t="s">
        <v>211</v>
      </c>
      <c r="G1782">
        <v>4</v>
      </c>
      <c r="H1782" s="21">
        <v>859.28</v>
      </c>
      <c r="I1782">
        <v>5</v>
      </c>
      <c r="J1782" s="21">
        <v>171.86</v>
      </c>
      <c r="K1782">
        <v>5</v>
      </c>
      <c r="L1782" s="21">
        <v>163.26</v>
      </c>
      <c r="M1782" s="21">
        <v>3428.52</v>
      </c>
      <c r="N1782" s="21">
        <v>2792.32</v>
      </c>
      <c r="O1782" s="21">
        <v>472.94</v>
      </c>
      <c r="P1782" t="s">
        <v>124</v>
      </c>
      <c r="Q1782" t="s">
        <v>120</v>
      </c>
      <c r="R1782" t="s">
        <v>151</v>
      </c>
      <c r="S1782" t="s">
        <v>1303</v>
      </c>
      <c r="T1782" t="s">
        <v>153</v>
      </c>
      <c r="U1782" t="s">
        <v>154</v>
      </c>
      <c r="V1782" t="str">
        <f>IFERROR(INDEX(Products!$C:$C,MATCH(D1782,Products!$A:$A,0)),"Unknown")</f>
        <v>Women Dresses</v>
      </c>
      <c r="W1782" t="str">
        <f>IFERROR(INDEX(Products!$E:$E,MATCH(D1782,Products!$A:$A,0)),"Unknown")</f>
        <v>Jack &amp; Jones</v>
      </c>
      <c r="X1782" t="str">
        <f>IFERROR(INDEX(Stores!$B:$B,MATCH(E1782,Stores!$A:$A,0)),"Unknown")</f>
        <v>TrendMart Hubballi Standard</v>
      </c>
      <c r="Y1782" t="str">
        <f>IFERROR(INDEX(Stores!$E:$E,MATCH(E1782,Stores!$A:$A,0)),"Unknown")</f>
        <v>South Zone 2</v>
      </c>
      <c r="Z1782" t="str">
        <f>IFERROR(INDEX(Customers!$J:$J,MATCH(C1782,Customers!$A:$A,0)),"Unknown")</f>
        <v>Platinum</v>
      </c>
      <c r="AA1782" t="str">
        <f t="shared" si="27"/>
        <v>2024-12</v>
      </c>
      <c r="AB1782" t="str">
        <f>IFERROR(INDEX(Products!$I:$I,MATCH(D1782,Products!$A:$A,0)),"Unknown")</f>
        <v>SUP069</v>
      </c>
    </row>
    <row r="1783" spans="1:28" x14ac:dyDescent="0.25">
      <c r="A1783" t="s">
        <v>3748</v>
      </c>
      <c r="B1783" s="20">
        <v>45574</v>
      </c>
      <c r="C1783" t="s">
        <v>1341</v>
      </c>
      <c r="D1783" t="s">
        <v>756</v>
      </c>
      <c r="E1783" t="s">
        <v>701</v>
      </c>
      <c r="F1783" t="s">
        <v>232</v>
      </c>
      <c r="G1783">
        <v>2</v>
      </c>
      <c r="H1783" s="21">
        <v>725.87</v>
      </c>
      <c r="I1783">
        <v>30</v>
      </c>
      <c r="J1783" s="21">
        <v>435.52</v>
      </c>
      <c r="K1783">
        <v>5</v>
      </c>
      <c r="L1783" s="21">
        <v>50.81</v>
      </c>
      <c r="M1783" s="21">
        <v>1067.03</v>
      </c>
      <c r="N1783" s="21">
        <v>1044.76</v>
      </c>
      <c r="O1783" s="21">
        <v>-28.54</v>
      </c>
      <c r="P1783" t="s">
        <v>125</v>
      </c>
      <c r="Q1783" t="s">
        <v>122</v>
      </c>
      <c r="R1783" t="s">
        <v>151</v>
      </c>
      <c r="S1783" t="s">
        <v>1567</v>
      </c>
      <c r="T1783" t="s">
        <v>153</v>
      </c>
      <c r="U1783" t="s">
        <v>184</v>
      </c>
      <c r="V1783" t="str">
        <f>IFERROR(INDEX(Products!$C:$C,MATCH(D1783,Products!$A:$A,0)),"Unknown")</f>
        <v>Women Tops</v>
      </c>
      <c r="W1783" t="str">
        <f>IFERROR(INDEX(Products!$E:$E,MATCH(D1783,Products!$A:$A,0)),"Unknown")</f>
        <v>Peter England</v>
      </c>
      <c r="X1783" t="str">
        <f>IFERROR(INDEX(Stores!$B:$B,MATCH(E1783,Stores!$A:$A,0)),"Unknown")</f>
        <v>TrendMart Vijayawada Mall Kiosk</v>
      </c>
      <c r="Y1783" t="str">
        <f>IFERROR(INDEX(Stores!$E:$E,MATCH(E1783,Stores!$A:$A,0)),"Unknown")</f>
        <v>South Zone 3</v>
      </c>
      <c r="Z1783" t="str">
        <f>IFERROR(INDEX(Customers!$J:$J,MATCH(C1783,Customers!$A:$A,0)),"Unknown")</f>
        <v>Silver</v>
      </c>
      <c r="AA1783" t="str">
        <f t="shared" si="27"/>
        <v>2024-10</v>
      </c>
      <c r="AB1783" t="str">
        <f>IFERROR(INDEX(Products!$I:$I,MATCH(D1783,Products!$A:$A,0)),"Unknown")</f>
        <v>SUP018</v>
      </c>
    </row>
    <row r="1784" spans="1:28" x14ac:dyDescent="0.25">
      <c r="A1784" t="s">
        <v>3749</v>
      </c>
      <c r="B1784" s="20">
        <v>45429</v>
      </c>
      <c r="C1784" t="s">
        <v>2818</v>
      </c>
      <c r="D1784" t="s">
        <v>1133</v>
      </c>
      <c r="E1784" t="s">
        <v>95</v>
      </c>
      <c r="F1784" t="s">
        <v>574</v>
      </c>
      <c r="G1784">
        <v>2</v>
      </c>
      <c r="H1784" s="21">
        <v>530.29999999999995</v>
      </c>
      <c r="I1784">
        <v>0</v>
      </c>
      <c r="J1784" s="21">
        <v>0</v>
      </c>
      <c r="K1784">
        <v>5</v>
      </c>
      <c r="L1784" s="21">
        <v>53.03</v>
      </c>
      <c r="M1784" s="21">
        <v>1113.6300000000001</v>
      </c>
      <c r="N1784" s="21">
        <v>820.74</v>
      </c>
      <c r="O1784" s="21">
        <v>239.86</v>
      </c>
      <c r="P1784" t="s">
        <v>124</v>
      </c>
      <c r="Q1784" t="s">
        <v>120</v>
      </c>
      <c r="R1784" t="s">
        <v>151</v>
      </c>
      <c r="S1784" t="s">
        <v>238</v>
      </c>
      <c r="T1784" t="s">
        <v>153</v>
      </c>
      <c r="U1784" t="s">
        <v>154</v>
      </c>
      <c r="V1784" t="str">
        <f>IFERROR(INDEX(Products!$C:$C,MATCH(D1784,Products!$A:$A,0)),"Unknown")</f>
        <v>Sportswear</v>
      </c>
      <c r="W1784" t="str">
        <f>IFERROR(INDEX(Products!$E:$E,MATCH(D1784,Products!$A:$A,0)),"Unknown")</f>
        <v>Numero Uno</v>
      </c>
      <c r="X1784" t="str">
        <f>IFERROR(INDEX(Stores!$B:$B,MATCH(E1784,Stores!$A:$A,0)),"Unknown")</f>
        <v>TrendMart Thrissur Standard</v>
      </c>
      <c r="Y1784" t="str">
        <f>IFERROR(INDEX(Stores!$E:$E,MATCH(E1784,Stores!$A:$A,0)),"Unknown")</f>
        <v>South Zone 1</v>
      </c>
      <c r="Z1784" t="str">
        <f>IFERROR(INDEX(Customers!$J:$J,MATCH(C1784,Customers!$A:$A,0)),"Unknown")</f>
        <v>Gold</v>
      </c>
      <c r="AA1784" t="str">
        <f t="shared" si="27"/>
        <v>2024-05</v>
      </c>
      <c r="AB1784" t="str">
        <f>IFERROR(INDEX(Products!$I:$I,MATCH(D1784,Products!$A:$A,0)),"Unknown")</f>
        <v>SUP082</v>
      </c>
    </row>
    <row r="1785" spans="1:28" x14ac:dyDescent="0.25">
      <c r="A1785" t="s">
        <v>3750</v>
      </c>
      <c r="B1785" s="20">
        <v>45547</v>
      </c>
      <c r="C1785" t="s">
        <v>1610</v>
      </c>
      <c r="D1785" t="s">
        <v>2037</v>
      </c>
      <c r="E1785" t="s">
        <v>86</v>
      </c>
      <c r="F1785" t="s">
        <v>286</v>
      </c>
      <c r="G1785">
        <v>2</v>
      </c>
      <c r="H1785" s="21">
        <v>1843.32</v>
      </c>
      <c r="I1785">
        <v>10</v>
      </c>
      <c r="J1785" s="21">
        <v>368.66</v>
      </c>
      <c r="K1785">
        <v>12</v>
      </c>
      <c r="L1785" s="21">
        <v>398.16</v>
      </c>
      <c r="M1785" s="21">
        <v>3716.14</v>
      </c>
      <c r="N1785" s="21">
        <v>2410.2800000000002</v>
      </c>
      <c r="O1785" s="21">
        <v>907.7</v>
      </c>
      <c r="P1785" t="s">
        <v>126</v>
      </c>
      <c r="Q1785" t="s">
        <v>120</v>
      </c>
      <c r="R1785" t="s">
        <v>151</v>
      </c>
      <c r="S1785" t="s">
        <v>1109</v>
      </c>
      <c r="T1785" t="s">
        <v>153</v>
      </c>
      <c r="U1785" t="s">
        <v>154</v>
      </c>
      <c r="V1785" t="str">
        <f>IFERROR(INDEX(Products!$C:$C,MATCH(D1785,Products!$A:$A,0)),"Unknown")</f>
        <v>Men Ethnic</v>
      </c>
      <c r="W1785" t="str">
        <f>IFERROR(INDEX(Products!$E:$E,MATCH(D1785,Products!$A:$A,0)),"Unknown")</f>
        <v>Skechers</v>
      </c>
      <c r="X1785" t="str">
        <f>IFERROR(INDEX(Stores!$B:$B,MATCH(E1785,Stores!$A:$A,0)),"Unknown")</f>
        <v>TrendMart Warangal High Street</v>
      </c>
      <c r="Y1785" t="str">
        <f>IFERROR(INDEX(Stores!$E:$E,MATCH(E1785,Stores!$A:$A,0)),"Unknown")</f>
        <v>South Zone 2</v>
      </c>
      <c r="Z1785" t="str">
        <f>IFERROR(INDEX(Customers!$J:$J,MATCH(C1785,Customers!$A:$A,0)),"Unknown")</f>
        <v>Gold</v>
      </c>
      <c r="AA1785" t="str">
        <f t="shared" si="27"/>
        <v>2024-09</v>
      </c>
      <c r="AB1785" t="str">
        <f>IFERROR(INDEX(Products!$I:$I,MATCH(D1785,Products!$A:$A,0)),"Unknown")</f>
        <v>SUP083</v>
      </c>
    </row>
    <row r="1786" spans="1:28" x14ac:dyDescent="0.25">
      <c r="A1786" t="s">
        <v>3751</v>
      </c>
      <c r="B1786" s="20">
        <v>45444</v>
      </c>
      <c r="C1786" t="s">
        <v>1305</v>
      </c>
      <c r="D1786" t="s">
        <v>466</v>
      </c>
      <c r="E1786" t="s">
        <v>1163</v>
      </c>
      <c r="F1786" t="s">
        <v>182</v>
      </c>
      <c r="G1786">
        <v>2</v>
      </c>
      <c r="H1786" s="21">
        <v>817.27</v>
      </c>
      <c r="I1786">
        <v>10</v>
      </c>
      <c r="J1786" s="21">
        <v>163.44999999999999</v>
      </c>
      <c r="K1786">
        <v>5</v>
      </c>
      <c r="L1786" s="21">
        <v>73.55</v>
      </c>
      <c r="M1786" s="21">
        <v>1544.64</v>
      </c>
      <c r="N1786" s="21">
        <v>1142.18</v>
      </c>
      <c r="O1786" s="21">
        <v>328.91</v>
      </c>
      <c r="P1786" t="s">
        <v>125</v>
      </c>
      <c r="Q1786" t="s">
        <v>120</v>
      </c>
      <c r="R1786" t="s">
        <v>151</v>
      </c>
      <c r="S1786" t="s">
        <v>3752</v>
      </c>
      <c r="T1786" t="s">
        <v>161</v>
      </c>
      <c r="U1786" t="s">
        <v>154</v>
      </c>
      <c r="V1786" t="str">
        <f>IFERROR(INDEX(Products!$C:$C,MATCH(D1786,Products!$A:$A,0)),"Unknown")</f>
        <v>Women Kurtis</v>
      </c>
      <c r="W1786" t="str">
        <f>IFERROR(INDEX(Products!$E:$E,MATCH(D1786,Products!$A:$A,0)),"Unknown")</f>
        <v>Fabindia</v>
      </c>
      <c r="X1786" t="str">
        <f>IFERROR(INDEX(Stores!$B:$B,MATCH(E1786,Stores!$A:$A,0)),"Unknown")</f>
        <v>TrendMart Alappuzha Outlet</v>
      </c>
      <c r="Y1786" t="str">
        <f>IFERROR(INDEX(Stores!$E:$E,MATCH(E1786,Stores!$A:$A,0)),"Unknown")</f>
        <v>South Zone 1</v>
      </c>
      <c r="Z1786" t="str">
        <f>IFERROR(INDEX(Customers!$J:$J,MATCH(C1786,Customers!$A:$A,0)),"Unknown")</f>
        <v>Gold</v>
      </c>
      <c r="AA1786" t="str">
        <f t="shared" si="27"/>
        <v>2024-06</v>
      </c>
      <c r="AB1786" t="str">
        <f>IFERROR(INDEX(Products!$I:$I,MATCH(D1786,Products!$A:$A,0)),"Unknown")</f>
        <v>SUP017</v>
      </c>
    </row>
    <row r="1787" spans="1:28" x14ac:dyDescent="0.25">
      <c r="A1787" t="s">
        <v>3753</v>
      </c>
      <c r="B1787" s="20">
        <v>45705</v>
      </c>
      <c r="C1787" t="s">
        <v>423</v>
      </c>
      <c r="D1787" t="s">
        <v>494</v>
      </c>
      <c r="E1787" t="s">
        <v>96</v>
      </c>
      <c r="F1787" t="s">
        <v>397</v>
      </c>
      <c r="G1787">
        <v>2</v>
      </c>
      <c r="H1787" s="21">
        <v>1707.39</v>
      </c>
      <c r="I1787">
        <v>25</v>
      </c>
      <c r="J1787" s="21">
        <v>853.7</v>
      </c>
      <c r="K1787">
        <v>12</v>
      </c>
      <c r="L1787" s="21">
        <v>307.33</v>
      </c>
      <c r="M1787" s="21">
        <v>2868.41</v>
      </c>
      <c r="N1787" s="21">
        <v>2281.8000000000002</v>
      </c>
      <c r="O1787" s="21">
        <v>279.27999999999997</v>
      </c>
      <c r="P1787" t="s">
        <v>123</v>
      </c>
      <c r="Q1787" t="s">
        <v>120</v>
      </c>
      <c r="R1787" t="s">
        <v>151</v>
      </c>
      <c r="S1787" t="s">
        <v>2265</v>
      </c>
      <c r="T1787" t="s">
        <v>153</v>
      </c>
      <c r="U1787" t="s">
        <v>154</v>
      </c>
      <c r="V1787" t="str">
        <f>IFERROR(INDEX(Products!$C:$C,MATCH(D1787,Products!$A:$A,0)),"Unknown")</f>
        <v>Women Dresses</v>
      </c>
      <c r="W1787" t="str">
        <f>IFERROR(INDEX(Products!$E:$E,MATCH(D1787,Products!$A:$A,0)),"Unknown")</f>
        <v>Reebok</v>
      </c>
      <c r="X1787" t="str">
        <f>IFERROR(INDEX(Stores!$B:$B,MATCH(E1787,Stores!$A:$A,0)),"Unknown")</f>
        <v>TrendMart Shivamogga Outlet</v>
      </c>
      <c r="Y1787" t="str">
        <f>IFERROR(INDEX(Stores!$E:$E,MATCH(E1787,Stores!$A:$A,0)),"Unknown")</f>
        <v>South Zone 2</v>
      </c>
      <c r="Z1787" t="str">
        <f>IFERROR(INDEX(Customers!$J:$J,MATCH(C1787,Customers!$A:$A,0)),"Unknown")</f>
        <v>Gold</v>
      </c>
      <c r="AA1787" t="str">
        <f t="shared" si="27"/>
        <v>2025-02</v>
      </c>
      <c r="AB1787" t="str">
        <f>IFERROR(INDEX(Products!$I:$I,MATCH(D1787,Products!$A:$A,0)),"Unknown")</f>
        <v>SUP085</v>
      </c>
    </row>
    <row r="1788" spans="1:28" x14ac:dyDescent="0.25">
      <c r="A1788" t="s">
        <v>3754</v>
      </c>
      <c r="B1788" s="20">
        <v>45703</v>
      </c>
      <c r="C1788" t="s">
        <v>919</v>
      </c>
      <c r="D1788" t="s">
        <v>892</v>
      </c>
      <c r="E1788" t="s">
        <v>506</v>
      </c>
      <c r="F1788" t="s">
        <v>269</v>
      </c>
      <c r="G1788">
        <v>4</v>
      </c>
      <c r="H1788" s="21">
        <v>2838.5</v>
      </c>
      <c r="I1788">
        <v>15</v>
      </c>
      <c r="J1788" s="21">
        <v>1703.1</v>
      </c>
      <c r="K1788">
        <v>12</v>
      </c>
      <c r="L1788" s="21">
        <v>1158.1099999999999</v>
      </c>
      <c r="M1788" s="21">
        <v>10809.01</v>
      </c>
      <c r="N1788" s="21">
        <v>6971.56</v>
      </c>
      <c r="O1788" s="21">
        <v>2679.34</v>
      </c>
      <c r="P1788" t="s">
        <v>123</v>
      </c>
      <c r="Q1788" t="s">
        <v>122</v>
      </c>
      <c r="R1788" t="s">
        <v>151</v>
      </c>
      <c r="S1788" t="s">
        <v>1650</v>
      </c>
      <c r="T1788" t="s">
        <v>161</v>
      </c>
      <c r="U1788" t="s">
        <v>154</v>
      </c>
      <c r="V1788" t="str">
        <f>IFERROR(INDEX(Products!$C:$C,MATCH(D1788,Products!$A:$A,0)),"Unknown")</f>
        <v>Men Ethnic</v>
      </c>
      <c r="W1788" t="str">
        <f>IFERROR(INDEX(Products!$E:$E,MATCH(D1788,Products!$A:$A,0)),"Unknown")</f>
        <v>Blackberrys</v>
      </c>
      <c r="X1788" t="str">
        <f>IFERROR(INDEX(Stores!$B:$B,MATCH(E1788,Stores!$A:$A,0)),"Unknown")</f>
        <v>TrendMart Nellore High Street</v>
      </c>
      <c r="Y1788" t="str">
        <f>IFERROR(INDEX(Stores!$E:$E,MATCH(E1788,Stores!$A:$A,0)),"Unknown")</f>
        <v>South Zone 3</v>
      </c>
      <c r="Z1788" t="str">
        <f>IFERROR(INDEX(Customers!$J:$J,MATCH(C1788,Customers!$A:$A,0)),"Unknown")</f>
        <v>Regular</v>
      </c>
      <c r="AA1788" t="str">
        <f t="shared" si="27"/>
        <v>2025-02</v>
      </c>
      <c r="AB1788" t="str">
        <f>IFERROR(INDEX(Products!$I:$I,MATCH(D1788,Products!$A:$A,0)),"Unknown")</f>
        <v>SUP084</v>
      </c>
    </row>
    <row r="1789" spans="1:28" x14ac:dyDescent="0.25">
      <c r="A1789" t="s">
        <v>3755</v>
      </c>
      <c r="B1789" s="20">
        <v>45730</v>
      </c>
      <c r="C1789" t="s">
        <v>3668</v>
      </c>
      <c r="D1789" t="s">
        <v>481</v>
      </c>
      <c r="E1789" t="s">
        <v>630</v>
      </c>
      <c r="F1789" t="s">
        <v>253</v>
      </c>
      <c r="G1789">
        <v>3</v>
      </c>
      <c r="H1789" s="21">
        <v>894.41</v>
      </c>
      <c r="I1789">
        <v>10</v>
      </c>
      <c r="J1789" s="21">
        <v>268.32</v>
      </c>
      <c r="K1789">
        <v>5</v>
      </c>
      <c r="L1789" s="21">
        <v>120.75</v>
      </c>
      <c r="M1789" s="21">
        <v>2535.66</v>
      </c>
      <c r="N1789" s="21">
        <v>2094.2399999999998</v>
      </c>
      <c r="O1789" s="21">
        <v>320.67</v>
      </c>
      <c r="P1789" t="s">
        <v>125</v>
      </c>
      <c r="Q1789" t="s">
        <v>122</v>
      </c>
      <c r="R1789" t="s">
        <v>151</v>
      </c>
      <c r="S1789" t="s">
        <v>2182</v>
      </c>
      <c r="T1789" t="s">
        <v>153</v>
      </c>
      <c r="U1789" t="s">
        <v>154</v>
      </c>
      <c r="V1789" t="str">
        <f>IFERROR(INDEX(Products!$C:$C,MATCH(D1789,Products!$A:$A,0)),"Unknown")</f>
        <v>Women Dresses</v>
      </c>
      <c r="W1789" t="str">
        <f>IFERROR(INDEX(Products!$E:$E,MATCH(D1789,Products!$A:$A,0)),"Unknown")</f>
        <v>Jack &amp; Jones</v>
      </c>
      <c r="X1789" t="str">
        <f>IFERROR(INDEX(Stores!$B:$B,MATCH(E1789,Stores!$A:$A,0)),"Unknown")</f>
        <v>TrendMart Guntur Standard</v>
      </c>
      <c r="Y1789" t="str">
        <f>IFERROR(INDEX(Stores!$E:$E,MATCH(E1789,Stores!$A:$A,0)),"Unknown")</f>
        <v>South Zone 3</v>
      </c>
      <c r="Z1789" t="str">
        <f>IFERROR(INDEX(Customers!$J:$J,MATCH(C1789,Customers!$A:$A,0)),"Unknown")</f>
        <v>Platinum</v>
      </c>
      <c r="AA1789" t="str">
        <f t="shared" si="27"/>
        <v>2025-03</v>
      </c>
      <c r="AB1789" t="str">
        <f>IFERROR(INDEX(Products!$I:$I,MATCH(D1789,Products!$A:$A,0)),"Unknown")</f>
        <v>SUP069</v>
      </c>
    </row>
    <row r="1790" spans="1:28" x14ac:dyDescent="0.25">
      <c r="A1790" t="s">
        <v>3756</v>
      </c>
      <c r="B1790" s="20">
        <v>45492</v>
      </c>
      <c r="C1790" t="s">
        <v>544</v>
      </c>
      <c r="D1790" t="s">
        <v>1312</v>
      </c>
      <c r="E1790" t="s">
        <v>1426</v>
      </c>
      <c r="F1790" t="s">
        <v>579</v>
      </c>
      <c r="G1790">
        <v>3</v>
      </c>
      <c r="H1790" s="21">
        <v>942.62</v>
      </c>
      <c r="I1790">
        <v>30</v>
      </c>
      <c r="J1790" s="21">
        <v>848.36</v>
      </c>
      <c r="K1790">
        <v>5</v>
      </c>
      <c r="L1790" s="21">
        <v>98.97</v>
      </c>
      <c r="M1790" s="21">
        <v>2078.4699999999998</v>
      </c>
      <c r="N1790" s="21">
        <v>2301.33</v>
      </c>
      <c r="O1790" s="21">
        <v>-321.83</v>
      </c>
      <c r="P1790" t="s">
        <v>121</v>
      </c>
      <c r="Q1790" t="s">
        <v>120</v>
      </c>
      <c r="R1790" t="s">
        <v>151</v>
      </c>
      <c r="S1790" t="s">
        <v>1460</v>
      </c>
      <c r="T1790" t="s">
        <v>153</v>
      </c>
      <c r="U1790" t="s">
        <v>184</v>
      </c>
      <c r="V1790" t="str">
        <f>IFERROR(INDEX(Products!$C:$C,MATCH(D1790,Products!$A:$A,0)),"Unknown")</f>
        <v>Women Kurtis</v>
      </c>
      <c r="W1790" t="str">
        <f>IFERROR(INDEX(Products!$E:$E,MATCH(D1790,Products!$A:$A,0)),"Unknown")</f>
        <v>Louis Philippe</v>
      </c>
      <c r="X1790" t="str">
        <f>IFERROR(INDEX(Stores!$B:$B,MATCH(E1790,Stores!$A:$A,0)),"Unknown")</f>
        <v>TrendMart Alappuzha Mall Kiosk</v>
      </c>
      <c r="Y1790" t="str">
        <f>IFERROR(INDEX(Stores!$E:$E,MATCH(E1790,Stores!$A:$A,0)),"Unknown")</f>
        <v>South Zone 1</v>
      </c>
      <c r="Z1790" t="str">
        <f>IFERROR(INDEX(Customers!$J:$J,MATCH(C1790,Customers!$A:$A,0)),"Unknown")</f>
        <v>Platinum</v>
      </c>
      <c r="AA1790" t="str">
        <f t="shared" si="27"/>
        <v>2024-07</v>
      </c>
      <c r="AB1790" t="str">
        <f>IFERROR(INDEX(Products!$I:$I,MATCH(D1790,Products!$A:$A,0)),"Unknown")</f>
        <v>SUP010</v>
      </c>
    </row>
    <row r="1791" spans="1:28" x14ac:dyDescent="0.25">
      <c r="A1791" t="s">
        <v>3757</v>
      </c>
      <c r="B1791" s="20">
        <v>45613</v>
      </c>
      <c r="C1791" t="s">
        <v>1831</v>
      </c>
      <c r="D1791" t="s">
        <v>1224</v>
      </c>
      <c r="E1791" t="s">
        <v>1163</v>
      </c>
      <c r="F1791" t="s">
        <v>258</v>
      </c>
      <c r="G1791">
        <v>3</v>
      </c>
      <c r="H1791" s="21">
        <v>1709.44</v>
      </c>
      <c r="I1791">
        <v>10</v>
      </c>
      <c r="J1791" s="21">
        <v>512.83000000000004</v>
      </c>
      <c r="K1791">
        <v>12</v>
      </c>
      <c r="L1791" s="21">
        <v>553.86</v>
      </c>
      <c r="M1791" s="21">
        <v>5169.3500000000004</v>
      </c>
      <c r="N1791" s="21">
        <v>3582.42</v>
      </c>
      <c r="O1791" s="21">
        <v>1033.07</v>
      </c>
      <c r="P1791" t="s">
        <v>123</v>
      </c>
      <c r="Q1791" t="s">
        <v>120</v>
      </c>
      <c r="R1791" t="s">
        <v>151</v>
      </c>
      <c r="S1791" t="s">
        <v>3758</v>
      </c>
      <c r="T1791" t="s">
        <v>161</v>
      </c>
      <c r="U1791" t="s">
        <v>154</v>
      </c>
      <c r="V1791" t="str">
        <f>IFERROR(INDEX(Products!$C:$C,MATCH(D1791,Products!$A:$A,0)),"Unknown")</f>
        <v>Men Jeans</v>
      </c>
      <c r="W1791" t="str">
        <f>IFERROR(INDEX(Products!$E:$E,MATCH(D1791,Products!$A:$A,0)),"Unknown")</f>
        <v>Killer Jeans</v>
      </c>
      <c r="X1791" t="str">
        <f>IFERROR(INDEX(Stores!$B:$B,MATCH(E1791,Stores!$A:$A,0)),"Unknown")</f>
        <v>TrendMart Alappuzha Outlet</v>
      </c>
      <c r="Y1791" t="str">
        <f>IFERROR(INDEX(Stores!$E:$E,MATCH(E1791,Stores!$A:$A,0)),"Unknown")</f>
        <v>South Zone 1</v>
      </c>
      <c r="Z1791" t="str">
        <f>IFERROR(INDEX(Customers!$J:$J,MATCH(C1791,Customers!$A:$A,0)),"Unknown")</f>
        <v>Gold</v>
      </c>
      <c r="AA1791" t="str">
        <f t="shared" si="27"/>
        <v>2024-11</v>
      </c>
      <c r="AB1791" t="str">
        <f>IFERROR(INDEX(Products!$I:$I,MATCH(D1791,Products!$A:$A,0)),"Unknown")</f>
        <v>SUP084</v>
      </c>
    </row>
    <row r="1792" spans="1:28" x14ac:dyDescent="0.25">
      <c r="A1792" t="s">
        <v>3759</v>
      </c>
      <c r="B1792" s="20">
        <v>45569</v>
      </c>
      <c r="C1792" t="s">
        <v>2870</v>
      </c>
      <c r="D1792" t="s">
        <v>937</v>
      </c>
      <c r="E1792" t="s">
        <v>588</v>
      </c>
      <c r="F1792" t="s">
        <v>574</v>
      </c>
      <c r="G1792">
        <v>1</v>
      </c>
      <c r="H1792" s="21">
        <v>1266.1300000000001</v>
      </c>
      <c r="I1792">
        <v>0</v>
      </c>
      <c r="J1792" s="21">
        <v>0</v>
      </c>
      <c r="K1792">
        <v>12</v>
      </c>
      <c r="L1792" s="21">
        <v>151.94</v>
      </c>
      <c r="M1792" s="21">
        <v>1418.07</v>
      </c>
      <c r="N1792" s="21">
        <v>861.8</v>
      </c>
      <c r="O1792" s="21">
        <v>404.33</v>
      </c>
      <c r="P1792" t="s">
        <v>125</v>
      </c>
      <c r="Q1792" t="s">
        <v>120</v>
      </c>
      <c r="R1792" t="s">
        <v>151</v>
      </c>
      <c r="S1792" t="s">
        <v>3760</v>
      </c>
      <c r="T1792" t="s">
        <v>153</v>
      </c>
      <c r="U1792" t="s">
        <v>154</v>
      </c>
      <c r="V1792" t="str">
        <f>IFERROR(INDEX(Products!$C:$C,MATCH(D1792,Products!$A:$A,0)),"Unknown")</f>
        <v>Men Shirts</v>
      </c>
      <c r="W1792" t="str">
        <f>IFERROR(INDEX(Products!$E:$E,MATCH(D1792,Products!$A:$A,0)),"Unknown")</f>
        <v>Skechers</v>
      </c>
      <c r="X1792" t="str">
        <f>IFERROR(INDEX(Stores!$B:$B,MATCH(E1792,Stores!$A:$A,0)),"Unknown")</f>
        <v>TrendMart Nizamabad Standard</v>
      </c>
      <c r="Y1792" t="str">
        <f>IFERROR(INDEX(Stores!$E:$E,MATCH(E1792,Stores!$A:$A,0)),"Unknown")</f>
        <v>South Zone 2</v>
      </c>
      <c r="Z1792" t="str">
        <f>IFERROR(INDEX(Customers!$J:$J,MATCH(C1792,Customers!$A:$A,0)),"Unknown")</f>
        <v>Platinum</v>
      </c>
      <c r="AA1792" t="str">
        <f t="shared" si="27"/>
        <v>2024-10</v>
      </c>
      <c r="AB1792" t="str">
        <f>IFERROR(INDEX(Products!$I:$I,MATCH(D1792,Products!$A:$A,0)),"Unknown")</f>
        <v>SUP042</v>
      </c>
    </row>
    <row r="1793" spans="1:28" x14ac:dyDescent="0.25">
      <c r="A1793" t="s">
        <v>3761</v>
      </c>
      <c r="B1793" s="20">
        <v>45631</v>
      </c>
      <c r="C1793" t="s">
        <v>981</v>
      </c>
      <c r="D1793" t="s">
        <v>670</v>
      </c>
      <c r="E1793" t="s">
        <v>607</v>
      </c>
      <c r="F1793" t="s">
        <v>286</v>
      </c>
      <c r="G1793">
        <v>2</v>
      </c>
      <c r="H1793" s="21">
        <v>1923.64</v>
      </c>
      <c r="I1793">
        <v>20</v>
      </c>
      <c r="J1793" s="21">
        <v>769.46</v>
      </c>
      <c r="K1793">
        <v>12</v>
      </c>
      <c r="L1793" s="21">
        <v>369.34</v>
      </c>
      <c r="M1793" s="21">
        <v>3447.16</v>
      </c>
      <c r="N1793" s="21">
        <v>2756.76</v>
      </c>
      <c r="O1793" s="21">
        <v>321.06</v>
      </c>
      <c r="P1793" t="s">
        <v>123</v>
      </c>
      <c r="Q1793" t="s">
        <v>120</v>
      </c>
      <c r="R1793" t="s">
        <v>151</v>
      </c>
      <c r="S1793" t="s">
        <v>3442</v>
      </c>
      <c r="T1793" t="s">
        <v>153</v>
      </c>
      <c r="U1793" t="s">
        <v>154</v>
      </c>
      <c r="V1793" t="str">
        <f>IFERROR(INDEX(Products!$C:$C,MATCH(D1793,Products!$A:$A,0)),"Unknown")</f>
        <v>Women Sarees</v>
      </c>
      <c r="W1793" t="str">
        <f>IFERROR(INDEX(Products!$E:$E,MATCH(D1793,Products!$A:$A,0)),"Unknown")</f>
        <v>Reebok</v>
      </c>
      <c r="X1793" t="str">
        <f>IFERROR(INDEX(Stores!$B:$B,MATCH(E1793,Stores!$A:$A,0)),"Unknown")</f>
        <v>TrendMart Thiruvananthapuram Standard</v>
      </c>
      <c r="Y1793" t="str">
        <f>IFERROR(INDEX(Stores!$E:$E,MATCH(E1793,Stores!$A:$A,0)),"Unknown")</f>
        <v>South Zone 1</v>
      </c>
      <c r="Z1793" t="str">
        <f>IFERROR(INDEX(Customers!$J:$J,MATCH(C1793,Customers!$A:$A,0)),"Unknown")</f>
        <v>Regular</v>
      </c>
      <c r="AA1793" t="str">
        <f t="shared" si="27"/>
        <v>2024-12</v>
      </c>
      <c r="AB1793" t="str">
        <f>IFERROR(INDEX(Products!$I:$I,MATCH(D1793,Products!$A:$A,0)),"Unknown")</f>
        <v>SUP073</v>
      </c>
    </row>
    <row r="1794" spans="1:28" x14ac:dyDescent="0.25">
      <c r="A1794" t="s">
        <v>3762</v>
      </c>
      <c r="B1794" s="20">
        <v>45568</v>
      </c>
      <c r="C1794" t="s">
        <v>3593</v>
      </c>
      <c r="D1794" t="s">
        <v>1564</v>
      </c>
      <c r="E1794" t="s">
        <v>588</v>
      </c>
      <c r="F1794" t="s">
        <v>397</v>
      </c>
      <c r="G1794">
        <v>1</v>
      </c>
      <c r="H1794" s="21">
        <v>880.87</v>
      </c>
      <c r="I1794">
        <v>25</v>
      </c>
      <c r="J1794" s="21">
        <v>220.22</v>
      </c>
      <c r="K1794">
        <v>5</v>
      </c>
      <c r="L1794" s="21">
        <v>33.03</v>
      </c>
      <c r="M1794" s="21">
        <v>693.68</v>
      </c>
      <c r="N1794" s="21">
        <v>695.67</v>
      </c>
      <c r="O1794" s="21">
        <v>-35.020000000000003</v>
      </c>
      <c r="P1794" t="s">
        <v>125</v>
      </c>
      <c r="Q1794" t="s">
        <v>120</v>
      </c>
      <c r="R1794" t="s">
        <v>151</v>
      </c>
      <c r="S1794" t="s">
        <v>2079</v>
      </c>
      <c r="T1794" t="s">
        <v>153</v>
      </c>
      <c r="U1794" t="s">
        <v>184</v>
      </c>
      <c r="V1794" t="str">
        <f>IFERROR(INDEX(Products!$C:$C,MATCH(D1794,Products!$A:$A,0)),"Unknown")</f>
        <v>Handbags</v>
      </c>
      <c r="W1794" t="str">
        <f>IFERROR(INDEX(Products!$E:$E,MATCH(D1794,Products!$A:$A,0)),"Unknown")</f>
        <v>W for Woman</v>
      </c>
      <c r="X1794" t="str">
        <f>IFERROR(INDEX(Stores!$B:$B,MATCH(E1794,Stores!$A:$A,0)),"Unknown")</f>
        <v>TrendMart Nizamabad Standard</v>
      </c>
      <c r="Y1794" t="str">
        <f>IFERROR(INDEX(Stores!$E:$E,MATCH(E1794,Stores!$A:$A,0)),"Unknown")</f>
        <v>South Zone 2</v>
      </c>
      <c r="Z1794" t="str">
        <f>IFERROR(INDEX(Customers!$J:$J,MATCH(C1794,Customers!$A:$A,0)),"Unknown")</f>
        <v>Regular</v>
      </c>
      <c r="AA1794" t="str">
        <f t="shared" ref="AA1794:AA1857" si="28">TEXT(B1794,"YYYY-MM")</f>
        <v>2024-10</v>
      </c>
      <c r="AB1794" t="str">
        <f>IFERROR(INDEX(Products!$I:$I,MATCH(D1794,Products!$A:$A,0)),"Unknown")</f>
        <v>SUP011</v>
      </c>
    </row>
    <row r="1795" spans="1:28" x14ac:dyDescent="0.25">
      <c r="A1795" t="s">
        <v>3763</v>
      </c>
      <c r="B1795" s="20">
        <v>45512</v>
      </c>
      <c r="C1795" t="s">
        <v>3764</v>
      </c>
      <c r="D1795" t="s">
        <v>481</v>
      </c>
      <c r="E1795" t="s">
        <v>701</v>
      </c>
      <c r="F1795" t="s">
        <v>303</v>
      </c>
      <c r="G1795">
        <v>3</v>
      </c>
      <c r="H1795" s="21">
        <v>878.67</v>
      </c>
      <c r="I1795">
        <v>15</v>
      </c>
      <c r="J1795" s="21">
        <v>395.4</v>
      </c>
      <c r="K1795">
        <v>5</v>
      </c>
      <c r="L1795" s="21">
        <v>112.03</v>
      </c>
      <c r="M1795" s="21">
        <v>2352.64</v>
      </c>
      <c r="N1795" s="21">
        <v>2094.2399999999998</v>
      </c>
      <c r="O1795" s="21">
        <v>146.37</v>
      </c>
      <c r="P1795" t="s">
        <v>121</v>
      </c>
      <c r="Q1795" t="s">
        <v>122</v>
      </c>
      <c r="R1795" t="s">
        <v>151</v>
      </c>
      <c r="S1795" t="s">
        <v>2972</v>
      </c>
      <c r="T1795" t="s">
        <v>153</v>
      </c>
      <c r="U1795" t="s">
        <v>154</v>
      </c>
      <c r="V1795" t="str">
        <f>IFERROR(INDEX(Products!$C:$C,MATCH(D1795,Products!$A:$A,0)),"Unknown")</f>
        <v>Women Dresses</v>
      </c>
      <c r="W1795" t="str">
        <f>IFERROR(INDEX(Products!$E:$E,MATCH(D1795,Products!$A:$A,0)),"Unknown")</f>
        <v>Jack &amp; Jones</v>
      </c>
      <c r="X1795" t="str">
        <f>IFERROR(INDEX(Stores!$B:$B,MATCH(E1795,Stores!$A:$A,0)),"Unknown")</f>
        <v>TrendMart Vijayawada Mall Kiosk</v>
      </c>
      <c r="Y1795" t="str">
        <f>IFERROR(INDEX(Stores!$E:$E,MATCH(E1795,Stores!$A:$A,0)),"Unknown")</f>
        <v>South Zone 3</v>
      </c>
      <c r="Z1795" t="str">
        <f>IFERROR(INDEX(Customers!$J:$J,MATCH(C1795,Customers!$A:$A,0)),"Unknown")</f>
        <v>Gold</v>
      </c>
      <c r="AA1795" t="str">
        <f t="shared" si="28"/>
        <v>2024-08</v>
      </c>
      <c r="AB1795" t="str">
        <f>IFERROR(INDEX(Products!$I:$I,MATCH(D1795,Products!$A:$A,0)),"Unknown")</f>
        <v>SUP069</v>
      </c>
    </row>
    <row r="1796" spans="1:28" x14ac:dyDescent="0.25">
      <c r="A1796" t="s">
        <v>3765</v>
      </c>
      <c r="B1796" s="20">
        <v>45423</v>
      </c>
      <c r="C1796" t="s">
        <v>3631</v>
      </c>
      <c r="D1796" t="s">
        <v>1749</v>
      </c>
      <c r="E1796" t="s">
        <v>97</v>
      </c>
      <c r="F1796" t="s">
        <v>516</v>
      </c>
      <c r="G1796">
        <v>1</v>
      </c>
      <c r="H1796" s="21">
        <v>1372.62</v>
      </c>
      <c r="I1796">
        <v>10</v>
      </c>
      <c r="J1796" s="21">
        <v>137.26</v>
      </c>
      <c r="K1796">
        <v>12</v>
      </c>
      <c r="L1796" s="21">
        <v>148.24</v>
      </c>
      <c r="M1796" s="21">
        <v>1383.6</v>
      </c>
      <c r="N1796" s="21">
        <v>893.89</v>
      </c>
      <c r="O1796" s="21">
        <v>341.47</v>
      </c>
      <c r="P1796" t="s">
        <v>123</v>
      </c>
      <c r="Q1796" t="s">
        <v>122</v>
      </c>
      <c r="R1796" t="s">
        <v>151</v>
      </c>
      <c r="S1796" t="s">
        <v>293</v>
      </c>
      <c r="T1796" t="s">
        <v>161</v>
      </c>
      <c r="U1796" t="s">
        <v>154</v>
      </c>
      <c r="V1796" t="str">
        <f>IFERROR(INDEX(Products!$C:$C,MATCH(D1796,Products!$A:$A,0)),"Unknown")</f>
        <v>Sportswear</v>
      </c>
      <c r="W1796" t="str">
        <f>IFERROR(INDEX(Products!$E:$E,MATCH(D1796,Products!$A:$A,0)),"Unknown")</f>
        <v>Pantaloons</v>
      </c>
      <c r="X1796" t="str">
        <f>IFERROR(INDEX(Stores!$B:$B,MATCH(E1796,Stores!$A:$A,0)),"Unknown")</f>
        <v>TrendMart Guntur Flagship</v>
      </c>
      <c r="Y1796" t="str">
        <f>IFERROR(INDEX(Stores!$E:$E,MATCH(E1796,Stores!$A:$A,0)),"Unknown")</f>
        <v>South Zone 3</v>
      </c>
      <c r="Z1796" t="str">
        <f>IFERROR(INDEX(Customers!$J:$J,MATCH(C1796,Customers!$A:$A,0)),"Unknown")</f>
        <v>Platinum</v>
      </c>
      <c r="AA1796" t="str">
        <f t="shared" si="28"/>
        <v>2024-05</v>
      </c>
      <c r="AB1796" t="str">
        <f>IFERROR(INDEX(Products!$I:$I,MATCH(D1796,Products!$A:$A,0)),"Unknown")</f>
        <v>SUP076</v>
      </c>
    </row>
    <row r="1797" spans="1:28" x14ac:dyDescent="0.25">
      <c r="A1797" t="s">
        <v>3766</v>
      </c>
      <c r="B1797" s="20">
        <v>45593</v>
      </c>
      <c r="C1797" t="s">
        <v>2466</v>
      </c>
      <c r="D1797" t="s">
        <v>325</v>
      </c>
      <c r="E1797" t="s">
        <v>81</v>
      </c>
      <c r="F1797" t="s">
        <v>269</v>
      </c>
      <c r="G1797">
        <v>1</v>
      </c>
      <c r="H1797" s="21">
        <v>1116.78</v>
      </c>
      <c r="I1797">
        <v>10</v>
      </c>
      <c r="J1797" s="21">
        <v>111.68</v>
      </c>
      <c r="K1797">
        <v>12</v>
      </c>
      <c r="L1797" s="21">
        <v>120.61</v>
      </c>
      <c r="M1797" s="21">
        <v>1125.71</v>
      </c>
      <c r="N1797" s="21">
        <v>759</v>
      </c>
      <c r="O1797" s="21">
        <v>246.1</v>
      </c>
      <c r="P1797" t="s">
        <v>124</v>
      </c>
      <c r="Q1797" t="s">
        <v>120</v>
      </c>
      <c r="R1797" t="s">
        <v>151</v>
      </c>
      <c r="S1797" t="s">
        <v>448</v>
      </c>
      <c r="T1797" t="s">
        <v>153</v>
      </c>
      <c r="U1797" t="s">
        <v>154</v>
      </c>
      <c r="V1797" t="str">
        <f>IFERROR(INDEX(Products!$C:$C,MATCH(D1797,Products!$A:$A,0)),"Unknown")</f>
        <v>Women Jeans</v>
      </c>
      <c r="W1797" t="str">
        <f>IFERROR(INDEX(Products!$E:$E,MATCH(D1797,Products!$A:$A,0)),"Unknown")</f>
        <v>Nalli Silks</v>
      </c>
      <c r="X1797" t="str">
        <f>IFERROR(INDEX(Stores!$B:$B,MATCH(E1797,Stores!$A:$A,0)),"Unknown")</f>
        <v>TrendMart Vijayawada High Street</v>
      </c>
      <c r="Y1797" t="str">
        <f>IFERROR(INDEX(Stores!$E:$E,MATCH(E1797,Stores!$A:$A,0)),"Unknown")</f>
        <v>South Zone 3</v>
      </c>
      <c r="Z1797" t="str">
        <f>IFERROR(INDEX(Customers!$J:$J,MATCH(C1797,Customers!$A:$A,0)),"Unknown")</f>
        <v>Regular</v>
      </c>
      <c r="AA1797" t="str">
        <f t="shared" si="28"/>
        <v>2024-10</v>
      </c>
      <c r="AB1797" t="str">
        <f>IFERROR(INDEX(Products!$I:$I,MATCH(D1797,Products!$A:$A,0)),"Unknown")</f>
        <v>SUP048</v>
      </c>
    </row>
    <row r="1798" spans="1:28" x14ac:dyDescent="0.25">
      <c r="A1798" t="s">
        <v>3767</v>
      </c>
      <c r="B1798" s="20">
        <v>45571</v>
      </c>
      <c r="C1798" t="s">
        <v>1268</v>
      </c>
      <c r="D1798" t="s">
        <v>215</v>
      </c>
      <c r="E1798" t="s">
        <v>188</v>
      </c>
      <c r="F1798" t="s">
        <v>532</v>
      </c>
      <c r="G1798">
        <v>1</v>
      </c>
      <c r="H1798" s="21">
        <v>1168.74</v>
      </c>
      <c r="I1798">
        <v>0</v>
      </c>
      <c r="J1798" s="21">
        <v>0</v>
      </c>
      <c r="K1798">
        <v>12</v>
      </c>
      <c r="L1798" s="21">
        <v>140.25</v>
      </c>
      <c r="M1798" s="21">
        <v>1308.99</v>
      </c>
      <c r="N1798" s="21">
        <v>828.44</v>
      </c>
      <c r="O1798" s="21">
        <v>340.3</v>
      </c>
      <c r="P1798" t="s">
        <v>123</v>
      </c>
      <c r="Q1798" t="s">
        <v>122</v>
      </c>
      <c r="R1798" t="s">
        <v>151</v>
      </c>
      <c r="S1798" t="s">
        <v>882</v>
      </c>
      <c r="T1798" t="s">
        <v>161</v>
      </c>
      <c r="U1798" t="s">
        <v>154</v>
      </c>
      <c r="V1798" t="str">
        <f>IFERROR(INDEX(Products!$C:$C,MATCH(D1798,Products!$A:$A,0)),"Unknown")</f>
        <v>Men Jeans</v>
      </c>
      <c r="W1798" t="str">
        <f>IFERROR(INDEX(Products!$E:$E,MATCH(D1798,Products!$A:$A,0)),"Unknown")</f>
        <v>Metro Shoes</v>
      </c>
      <c r="X1798" t="str">
        <f>IFERROR(INDEX(Stores!$B:$B,MATCH(E1798,Stores!$A:$A,0)),"Unknown")</f>
        <v>TrendMart Vijayawada Standard</v>
      </c>
      <c r="Y1798" t="str">
        <f>IFERROR(INDEX(Stores!$E:$E,MATCH(E1798,Stores!$A:$A,0)),"Unknown")</f>
        <v>South Zone 3</v>
      </c>
      <c r="Z1798" t="str">
        <f>IFERROR(INDEX(Customers!$J:$J,MATCH(C1798,Customers!$A:$A,0)),"Unknown")</f>
        <v>Regular</v>
      </c>
      <c r="AA1798" t="str">
        <f t="shared" si="28"/>
        <v>2024-10</v>
      </c>
      <c r="AB1798" t="str">
        <f>IFERROR(INDEX(Products!$I:$I,MATCH(D1798,Products!$A:$A,0)),"Unknown")</f>
        <v>SUP022</v>
      </c>
    </row>
    <row r="1799" spans="1:28" x14ac:dyDescent="0.25">
      <c r="A1799" t="s">
        <v>3768</v>
      </c>
      <c r="B1799" s="20">
        <v>45608</v>
      </c>
      <c r="C1799" t="s">
        <v>1380</v>
      </c>
      <c r="D1799" t="s">
        <v>1749</v>
      </c>
      <c r="E1799" t="s">
        <v>343</v>
      </c>
      <c r="F1799" t="s">
        <v>269</v>
      </c>
      <c r="G1799">
        <v>1</v>
      </c>
      <c r="H1799" s="21">
        <v>1360.92</v>
      </c>
      <c r="I1799">
        <v>25</v>
      </c>
      <c r="J1799" s="21">
        <v>340.23</v>
      </c>
      <c r="K1799">
        <v>12</v>
      </c>
      <c r="L1799" s="21">
        <v>122.48</v>
      </c>
      <c r="M1799" s="21">
        <v>1143.17</v>
      </c>
      <c r="N1799" s="21">
        <v>893.89</v>
      </c>
      <c r="O1799" s="21">
        <v>126.8</v>
      </c>
      <c r="P1799" t="s">
        <v>121</v>
      </c>
      <c r="Q1799" t="s">
        <v>120</v>
      </c>
      <c r="R1799" t="s">
        <v>151</v>
      </c>
      <c r="S1799" t="s">
        <v>1639</v>
      </c>
      <c r="T1799" t="s">
        <v>153</v>
      </c>
      <c r="U1799" t="s">
        <v>154</v>
      </c>
      <c r="V1799" t="str">
        <f>IFERROR(INDEX(Products!$C:$C,MATCH(D1799,Products!$A:$A,0)),"Unknown")</f>
        <v>Sportswear</v>
      </c>
      <c r="W1799" t="str">
        <f>IFERROR(INDEX(Products!$E:$E,MATCH(D1799,Products!$A:$A,0)),"Unknown")</f>
        <v>Pantaloons</v>
      </c>
      <c r="X1799" t="str">
        <f>IFERROR(INDEX(Stores!$B:$B,MATCH(E1799,Stores!$A:$A,0)),"Unknown")</f>
        <v>TrendMart Tumakuru Outlet</v>
      </c>
      <c r="Y1799" t="str">
        <f>IFERROR(INDEX(Stores!$E:$E,MATCH(E1799,Stores!$A:$A,0)),"Unknown")</f>
        <v>South Zone 2</v>
      </c>
      <c r="Z1799" t="str">
        <f>IFERROR(INDEX(Customers!$J:$J,MATCH(C1799,Customers!$A:$A,0)),"Unknown")</f>
        <v>Silver</v>
      </c>
      <c r="AA1799" t="str">
        <f t="shared" si="28"/>
        <v>2024-11</v>
      </c>
      <c r="AB1799" t="str">
        <f>IFERROR(INDEX(Products!$I:$I,MATCH(D1799,Products!$A:$A,0)),"Unknown")</f>
        <v>SUP076</v>
      </c>
    </row>
    <row r="1800" spans="1:28" x14ac:dyDescent="0.25">
      <c r="A1800" t="s">
        <v>3769</v>
      </c>
      <c r="B1800" s="20">
        <v>45423</v>
      </c>
      <c r="C1800" t="s">
        <v>1152</v>
      </c>
      <c r="D1800" t="s">
        <v>1178</v>
      </c>
      <c r="E1800" t="s">
        <v>296</v>
      </c>
      <c r="F1800" t="s">
        <v>397</v>
      </c>
      <c r="G1800">
        <v>3</v>
      </c>
      <c r="H1800" s="21">
        <v>1731.62</v>
      </c>
      <c r="I1800">
        <v>15</v>
      </c>
      <c r="J1800" s="21">
        <v>779.23</v>
      </c>
      <c r="K1800">
        <v>12</v>
      </c>
      <c r="L1800" s="21">
        <v>529.88</v>
      </c>
      <c r="M1800" s="21">
        <v>4945.51</v>
      </c>
      <c r="N1800" s="21">
        <v>3435.63</v>
      </c>
      <c r="O1800" s="21">
        <v>980</v>
      </c>
      <c r="P1800" t="s">
        <v>125</v>
      </c>
      <c r="Q1800" t="s">
        <v>120</v>
      </c>
      <c r="R1800" t="s">
        <v>151</v>
      </c>
      <c r="S1800" t="s">
        <v>2527</v>
      </c>
      <c r="T1800" t="s">
        <v>161</v>
      </c>
      <c r="U1800" t="s">
        <v>154</v>
      </c>
      <c r="V1800" t="str">
        <f>IFERROR(INDEX(Products!$C:$C,MATCH(D1800,Products!$A:$A,0)),"Unknown")</f>
        <v>Footwear</v>
      </c>
      <c r="W1800" t="str">
        <f>IFERROR(INDEX(Products!$E:$E,MATCH(D1800,Products!$A:$A,0)),"Unknown")</f>
        <v>Sparx</v>
      </c>
      <c r="X1800" t="str">
        <f>IFERROR(INDEX(Stores!$B:$B,MATCH(E1800,Stores!$A:$A,0)),"Unknown")</f>
        <v>TrendMart Kurnool Outlet</v>
      </c>
      <c r="Y1800" t="str">
        <f>IFERROR(INDEX(Stores!$E:$E,MATCH(E1800,Stores!$A:$A,0)),"Unknown")</f>
        <v>South Zone 3</v>
      </c>
      <c r="Z1800" t="str">
        <f>IFERROR(INDEX(Customers!$J:$J,MATCH(C1800,Customers!$A:$A,0)),"Unknown")</f>
        <v>Silver</v>
      </c>
      <c r="AA1800" t="str">
        <f t="shared" si="28"/>
        <v>2024-05</v>
      </c>
      <c r="AB1800" t="str">
        <f>IFERROR(INDEX(Products!$I:$I,MATCH(D1800,Products!$A:$A,0)),"Unknown")</f>
        <v>SUP063</v>
      </c>
    </row>
    <row r="1801" spans="1:28" x14ac:dyDescent="0.25">
      <c r="A1801" t="s">
        <v>3770</v>
      </c>
      <c r="B1801" s="20">
        <v>45736</v>
      </c>
      <c r="C1801" t="s">
        <v>3697</v>
      </c>
      <c r="D1801" t="s">
        <v>717</v>
      </c>
      <c r="E1801" t="s">
        <v>425</v>
      </c>
      <c r="F1801" t="s">
        <v>237</v>
      </c>
      <c r="G1801">
        <v>3</v>
      </c>
      <c r="H1801" s="21">
        <v>1754.37</v>
      </c>
      <c r="I1801">
        <v>0</v>
      </c>
      <c r="J1801" s="21">
        <v>0</v>
      </c>
      <c r="K1801">
        <v>12</v>
      </c>
      <c r="L1801" s="21">
        <v>631.57000000000005</v>
      </c>
      <c r="M1801" s="21">
        <v>5894.68</v>
      </c>
      <c r="N1801" s="21">
        <v>3399.81</v>
      </c>
      <c r="O1801" s="21">
        <v>1863.3</v>
      </c>
      <c r="P1801" t="s">
        <v>127</v>
      </c>
      <c r="Q1801" t="s">
        <v>120</v>
      </c>
      <c r="R1801" t="s">
        <v>151</v>
      </c>
      <c r="S1801" t="s">
        <v>336</v>
      </c>
      <c r="T1801" t="s">
        <v>153</v>
      </c>
      <c r="U1801" t="s">
        <v>154</v>
      </c>
      <c r="V1801" t="str">
        <f>IFERROR(INDEX(Products!$C:$C,MATCH(D1801,Products!$A:$A,0)),"Unknown")</f>
        <v>Women Dresses</v>
      </c>
      <c r="W1801" t="str">
        <f>IFERROR(INDEX(Products!$E:$E,MATCH(D1801,Products!$A:$A,0)),"Unknown")</f>
        <v>Pantaloons</v>
      </c>
      <c r="X1801" t="str">
        <f>IFERROR(INDEX(Stores!$B:$B,MATCH(E1801,Stores!$A:$A,0)),"Unknown")</f>
        <v>TrendMart Kozhikode Outlet</v>
      </c>
      <c r="Y1801" t="str">
        <f>IFERROR(INDEX(Stores!$E:$E,MATCH(E1801,Stores!$A:$A,0)),"Unknown")</f>
        <v>South Zone 1</v>
      </c>
      <c r="Z1801" t="str">
        <f>IFERROR(INDEX(Customers!$J:$J,MATCH(C1801,Customers!$A:$A,0)),"Unknown")</f>
        <v>Regular</v>
      </c>
      <c r="AA1801" t="str">
        <f t="shared" si="28"/>
        <v>2025-03</v>
      </c>
      <c r="AB1801" t="str">
        <f>IFERROR(INDEX(Products!$I:$I,MATCH(D1801,Products!$A:$A,0)),"Unknown")</f>
        <v>SUP046</v>
      </c>
    </row>
    <row r="1802" spans="1:28" x14ac:dyDescent="0.25">
      <c r="A1802" t="s">
        <v>3771</v>
      </c>
      <c r="B1802" s="20">
        <v>45557</v>
      </c>
      <c r="C1802" t="s">
        <v>320</v>
      </c>
      <c r="D1802" t="s">
        <v>1569</v>
      </c>
      <c r="E1802" t="s">
        <v>515</v>
      </c>
      <c r="F1802" t="s">
        <v>550</v>
      </c>
      <c r="G1802">
        <v>2</v>
      </c>
      <c r="H1802" s="21">
        <v>1288.79</v>
      </c>
      <c r="I1802">
        <v>0</v>
      </c>
      <c r="J1802" s="21">
        <v>0</v>
      </c>
      <c r="K1802">
        <v>12</v>
      </c>
      <c r="L1802" s="21">
        <v>309.31</v>
      </c>
      <c r="M1802" s="21">
        <v>2886.89</v>
      </c>
      <c r="N1802" s="21">
        <v>1617.98</v>
      </c>
      <c r="O1802" s="21">
        <v>959.6</v>
      </c>
      <c r="P1802" t="s">
        <v>121</v>
      </c>
      <c r="Q1802" t="s">
        <v>120</v>
      </c>
      <c r="R1802" t="s">
        <v>151</v>
      </c>
      <c r="S1802" t="s">
        <v>3206</v>
      </c>
      <c r="T1802" t="s">
        <v>161</v>
      </c>
      <c r="U1802" t="s">
        <v>154</v>
      </c>
      <c r="V1802" t="str">
        <f>IFERROR(INDEX(Products!$C:$C,MATCH(D1802,Products!$A:$A,0)),"Unknown")</f>
        <v>Women Kurtis</v>
      </c>
      <c r="W1802" t="str">
        <f>IFERROR(INDEX(Products!$E:$E,MATCH(D1802,Products!$A:$A,0)),"Unknown")</f>
        <v>Liberty</v>
      </c>
      <c r="X1802" t="str">
        <f>IFERROR(INDEX(Stores!$B:$B,MATCH(E1802,Stores!$A:$A,0)),"Unknown")</f>
        <v>TrendMart Kochi High Street</v>
      </c>
      <c r="Y1802" t="str">
        <f>IFERROR(INDEX(Stores!$E:$E,MATCH(E1802,Stores!$A:$A,0)),"Unknown")</f>
        <v>South Zone 1</v>
      </c>
      <c r="Z1802" t="str">
        <f>IFERROR(INDEX(Customers!$J:$J,MATCH(C1802,Customers!$A:$A,0)),"Unknown")</f>
        <v>Regular</v>
      </c>
      <c r="AA1802" t="str">
        <f t="shared" si="28"/>
        <v>2024-09</v>
      </c>
      <c r="AB1802" t="str">
        <f>IFERROR(INDEX(Products!$I:$I,MATCH(D1802,Products!$A:$A,0)),"Unknown")</f>
        <v>SUP079</v>
      </c>
    </row>
    <row r="1803" spans="1:28" x14ac:dyDescent="0.25">
      <c r="A1803" t="s">
        <v>3772</v>
      </c>
      <c r="B1803" s="20">
        <v>45626</v>
      </c>
      <c r="C1803" t="s">
        <v>1043</v>
      </c>
      <c r="D1803" t="s">
        <v>1156</v>
      </c>
      <c r="E1803" t="s">
        <v>639</v>
      </c>
      <c r="F1803" t="s">
        <v>532</v>
      </c>
      <c r="G1803">
        <v>1</v>
      </c>
      <c r="H1803" s="21">
        <v>741.02</v>
      </c>
      <c r="I1803">
        <v>10</v>
      </c>
      <c r="J1803" s="21">
        <v>74.099999999999994</v>
      </c>
      <c r="K1803">
        <v>5</v>
      </c>
      <c r="L1803" s="21">
        <v>33.35</v>
      </c>
      <c r="M1803" s="21">
        <v>700.27</v>
      </c>
      <c r="N1803" s="21">
        <v>509.44</v>
      </c>
      <c r="O1803" s="21">
        <v>157.47999999999999</v>
      </c>
      <c r="P1803" t="s">
        <v>121</v>
      </c>
      <c r="Q1803" t="s">
        <v>120</v>
      </c>
      <c r="R1803" t="s">
        <v>151</v>
      </c>
      <c r="S1803" t="s">
        <v>3773</v>
      </c>
      <c r="T1803" t="s">
        <v>161</v>
      </c>
      <c r="U1803" t="s">
        <v>154</v>
      </c>
      <c r="V1803" t="str">
        <f>IFERROR(INDEX(Products!$C:$C,MATCH(D1803,Products!$A:$A,0)),"Unknown")</f>
        <v>Kids Wear</v>
      </c>
      <c r="W1803" t="str">
        <f>IFERROR(INDEX(Products!$E:$E,MATCH(D1803,Products!$A:$A,0)),"Unknown")</f>
        <v>Allen Solly</v>
      </c>
      <c r="X1803" t="str">
        <f>IFERROR(INDEX(Stores!$B:$B,MATCH(E1803,Stores!$A:$A,0)),"Unknown")</f>
        <v>TrendMart Kurnool Outlet</v>
      </c>
      <c r="Y1803" t="str">
        <f>IFERROR(INDEX(Stores!$E:$E,MATCH(E1803,Stores!$A:$A,0)),"Unknown")</f>
        <v>South Zone 3</v>
      </c>
      <c r="Z1803" t="str">
        <f>IFERROR(INDEX(Customers!$J:$J,MATCH(C1803,Customers!$A:$A,0)),"Unknown")</f>
        <v>Silver</v>
      </c>
      <c r="AA1803" t="str">
        <f t="shared" si="28"/>
        <v>2024-11</v>
      </c>
      <c r="AB1803" t="str">
        <f>IFERROR(INDEX(Products!$I:$I,MATCH(D1803,Products!$A:$A,0)),"Unknown")</f>
        <v>SUP026</v>
      </c>
    </row>
    <row r="1804" spans="1:28" x14ac:dyDescent="0.25">
      <c r="A1804" t="s">
        <v>3774</v>
      </c>
      <c r="B1804" s="20">
        <v>45395</v>
      </c>
      <c r="C1804" t="s">
        <v>2838</v>
      </c>
      <c r="D1804" t="s">
        <v>520</v>
      </c>
      <c r="E1804" t="s">
        <v>701</v>
      </c>
      <c r="F1804" t="s">
        <v>221</v>
      </c>
      <c r="G1804">
        <v>3</v>
      </c>
      <c r="H1804" s="21">
        <v>1435.23</v>
      </c>
      <c r="I1804">
        <v>25</v>
      </c>
      <c r="J1804" s="21">
        <v>1076.42</v>
      </c>
      <c r="K1804">
        <v>12</v>
      </c>
      <c r="L1804" s="21">
        <v>387.51</v>
      </c>
      <c r="M1804" s="21">
        <v>3616.78</v>
      </c>
      <c r="N1804" s="21">
        <v>2709.9</v>
      </c>
      <c r="O1804" s="21">
        <v>519.37</v>
      </c>
      <c r="P1804" t="s">
        <v>125</v>
      </c>
      <c r="Q1804" t="s">
        <v>120</v>
      </c>
      <c r="R1804" t="s">
        <v>151</v>
      </c>
      <c r="S1804" t="s">
        <v>828</v>
      </c>
      <c r="T1804" t="s">
        <v>161</v>
      </c>
      <c r="U1804" t="s">
        <v>154</v>
      </c>
      <c r="V1804" t="str">
        <f>IFERROR(INDEX(Products!$C:$C,MATCH(D1804,Products!$A:$A,0)),"Unknown")</f>
        <v>Wallets</v>
      </c>
      <c r="W1804" t="str">
        <f>IFERROR(INDEX(Products!$E:$E,MATCH(D1804,Products!$A:$A,0)),"Unknown")</f>
        <v>Nike</v>
      </c>
      <c r="X1804" t="str">
        <f>IFERROR(INDEX(Stores!$B:$B,MATCH(E1804,Stores!$A:$A,0)),"Unknown")</f>
        <v>TrendMart Vijayawada Mall Kiosk</v>
      </c>
      <c r="Y1804" t="str">
        <f>IFERROR(INDEX(Stores!$E:$E,MATCH(E1804,Stores!$A:$A,0)),"Unknown")</f>
        <v>South Zone 3</v>
      </c>
      <c r="Z1804" t="str">
        <f>IFERROR(INDEX(Customers!$J:$J,MATCH(C1804,Customers!$A:$A,0)),"Unknown")</f>
        <v>Regular</v>
      </c>
      <c r="AA1804" t="str">
        <f t="shared" si="28"/>
        <v>2024-04</v>
      </c>
      <c r="AB1804" t="str">
        <f>IFERROR(INDEX(Products!$I:$I,MATCH(D1804,Products!$A:$A,0)),"Unknown")</f>
        <v>SUP027</v>
      </c>
    </row>
    <row r="1805" spans="1:28" x14ac:dyDescent="0.25">
      <c r="A1805" t="s">
        <v>3775</v>
      </c>
      <c r="B1805" s="20">
        <v>45620</v>
      </c>
      <c r="C1805" t="s">
        <v>1008</v>
      </c>
      <c r="D1805" t="s">
        <v>913</v>
      </c>
      <c r="E1805" t="s">
        <v>194</v>
      </c>
      <c r="F1805" t="s">
        <v>434</v>
      </c>
      <c r="G1805">
        <v>2</v>
      </c>
      <c r="H1805" s="21">
        <v>1514.03</v>
      </c>
      <c r="I1805">
        <v>10</v>
      </c>
      <c r="J1805" s="21">
        <v>302.81</v>
      </c>
      <c r="K1805">
        <v>12</v>
      </c>
      <c r="L1805" s="21">
        <v>327.02999999999997</v>
      </c>
      <c r="M1805" s="21">
        <v>3052.28</v>
      </c>
      <c r="N1805" s="21">
        <v>2158.94</v>
      </c>
      <c r="O1805" s="21">
        <v>566.30999999999995</v>
      </c>
      <c r="P1805" t="s">
        <v>126</v>
      </c>
      <c r="Q1805" t="s">
        <v>120</v>
      </c>
      <c r="R1805" t="s">
        <v>151</v>
      </c>
      <c r="S1805" t="s">
        <v>855</v>
      </c>
      <c r="T1805" t="s">
        <v>161</v>
      </c>
      <c r="U1805" t="s">
        <v>154</v>
      </c>
      <c r="V1805" t="str">
        <f>IFERROR(INDEX(Products!$C:$C,MATCH(D1805,Products!$A:$A,0)),"Unknown")</f>
        <v>Sportswear</v>
      </c>
      <c r="W1805" t="str">
        <f>IFERROR(INDEX(Products!$E:$E,MATCH(D1805,Products!$A:$A,0)),"Unknown")</f>
        <v>GRT Jewellers</v>
      </c>
      <c r="X1805" t="str">
        <f>IFERROR(INDEX(Stores!$B:$B,MATCH(E1805,Stores!$A:$A,0)),"Unknown")</f>
        <v>TrendMart Tirupati High Street</v>
      </c>
      <c r="Y1805" t="str">
        <f>IFERROR(INDEX(Stores!$E:$E,MATCH(E1805,Stores!$A:$A,0)),"Unknown")</f>
        <v>South Zone 3</v>
      </c>
      <c r="Z1805" t="str">
        <f>IFERROR(INDEX(Customers!$J:$J,MATCH(C1805,Customers!$A:$A,0)),"Unknown")</f>
        <v>Regular</v>
      </c>
      <c r="AA1805" t="str">
        <f t="shared" si="28"/>
        <v>2024-11</v>
      </c>
      <c r="AB1805" t="str">
        <f>IFERROR(INDEX(Products!$I:$I,MATCH(D1805,Products!$A:$A,0)),"Unknown")</f>
        <v>SUP072</v>
      </c>
    </row>
    <row r="1806" spans="1:28" x14ac:dyDescent="0.25">
      <c r="A1806" t="s">
        <v>3776</v>
      </c>
      <c r="B1806" s="20">
        <v>45595</v>
      </c>
      <c r="C1806" t="s">
        <v>1453</v>
      </c>
      <c r="D1806" t="s">
        <v>1687</v>
      </c>
      <c r="E1806" t="s">
        <v>1512</v>
      </c>
      <c r="F1806" t="s">
        <v>242</v>
      </c>
      <c r="G1806">
        <v>2</v>
      </c>
      <c r="H1806" s="21">
        <v>839.91</v>
      </c>
      <c r="I1806">
        <v>10</v>
      </c>
      <c r="J1806" s="21">
        <v>167.98</v>
      </c>
      <c r="K1806">
        <v>5</v>
      </c>
      <c r="L1806" s="21">
        <v>75.59</v>
      </c>
      <c r="M1806" s="21">
        <v>1587.43</v>
      </c>
      <c r="N1806" s="21">
        <v>962.6</v>
      </c>
      <c r="O1806" s="21">
        <v>549.24</v>
      </c>
      <c r="P1806" t="s">
        <v>126</v>
      </c>
      <c r="Q1806" t="s">
        <v>120</v>
      </c>
      <c r="R1806" t="s">
        <v>151</v>
      </c>
      <c r="S1806" t="s">
        <v>559</v>
      </c>
      <c r="T1806" t="s">
        <v>153</v>
      </c>
      <c r="U1806" t="s">
        <v>154</v>
      </c>
      <c r="V1806" t="str">
        <f>IFERROR(INDEX(Products!$C:$C,MATCH(D1806,Products!$A:$A,0)),"Unknown")</f>
        <v>Accessories</v>
      </c>
      <c r="W1806" t="str">
        <f>IFERROR(INDEX(Products!$E:$E,MATCH(D1806,Products!$A:$A,0)),"Unknown")</f>
        <v>Unknown</v>
      </c>
      <c r="X1806" t="str">
        <f>IFERROR(INDEX(Stores!$B:$B,MATCH(E1806,Stores!$A:$A,0)),"Unknown")</f>
        <v>TrendMart Erode Mall Kiosk</v>
      </c>
      <c r="Y1806" t="str">
        <f>IFERROR(INDEX(Stores!$E:$E,MATCH(E1806,Stores!$A:$A,0)),"Unknown")</f>
        <v>South Zone 1</v>
      </c>
      <c r="Z1806" t="str">
        <f>IFERROR(INDEX(Customers!$J:$J,MATCH(C1806,Customers!$A:$A,0)),"Unknown")</f>
        <v>Silver</v>
      </c>
      <c r="AA1806" t="str">
        <f t="shared" si="28"/>
        <v>2024-10</v>
      </c>
      <c r="AB1806" t="str">
        <f>IFERROR(INDEX(Products!$I:$I,MATCH(D1806,Products!$A:$A,0)),"Unknown")</f>
        <v>SUP023</v>
      </c>
    </row>
    <row r="1807" spans="1:28" x14ac:dyDescent="0.25">
      <c r="A1807" t="s">
        <v>3777</v>
      </c>
      <c r="B1807" s="20">
        <v>45563</v>
      </c>
      <c r="C1807" t="s">
        <v>2154</v>
      </c>
      <c r="D1807" t="s">
        <v>290</v>
      </c>
      <c r="E1807" t="s">
        <v>681</v>
      </c>
      <c r="F1807" t="s">
        <v>242</v>
      </c>
      <c r="G1807">
        <v>4</v>
      </c>
      <c r="H1807" s="21">
        <v>6762.89</v>
      </c>
      <c r="I1807">
        <v>15</v>
      </c>
      <c r="J1807" s="21">
        <v>4057.73</v>
      </c>
      <c r="K1807">
        <v>3</v>
      </c>
      <c r="L1807" s="21">
        <v>689.81</v>
      </c>
      <c r="M1807" s="21">
        <v>23683.64</v>
      </c>
      <c r="N1807" s="21">
        <v>18860.400000000001</v>
      </c>
      <c r="O1807" s="21">
        <v>4133.43</v>
      </c>
      <c r="P1807" t="s">
        <v>123</v>
      </c>
      <c r="Q1807" t="s">
        <v>122</v>
      </c>
      <c r="R1807" t="s">
        <v>151</v>
      </c>
      <c r="S1807" t="s">
        <v>2629</v>
      </c>
      <c r="T1807" t="s">
        <v>161</v>
      </c>
      <c r="U1807" t="s">
        <v>154</v>
      </c>
      <c r="V1807" t="str">
        <f>IFERROR(INDEX(Products!$C:$C,MATCH(D1807,Products!$A:$A,0)),"Unknown")</f>
        <v>Jewellery</v>
      </c>
      <c r="W1807" t="str">
        <f>IFERROR(INDEX(Products!$E:$E,MATCH(D1807,Products!$A:$A,0)),"Unknown")</f>
        <v>Nike</v>
      </c>
      <c r="X1807" t="str">
        <f>IFERROR(INDEX(Stores!$B:$B,MATCH(E1807,Stores!$A:$A,0)),"Unknown")</f>
        <v>TrendMart Shivamogga Mall Kiosk</v>
      </c>
      <c r="Y1807" t="str">
        <f>IFERROR(INDEX(Stores!$E:$E,MATCH(E1807,Stores!$A:$A,0)),"Unknown")</f>
        <v>South Zone 2</v>
      </c>
      <c r="Z1807" t="str">
        <f>IFERROR(INDEX(Customers!$J:$J,MATCH(C1807,Customers!$A:$A,0)),"Unknown")</f>
        <v>Silver</v>
      </c>
      <c r="AA1807" t="str">
        <f t="shared" si="28"/>
        <v>2024-09</v>
      </c>
      <c r="AB1807" t="str">
        <f>IFERROR(INDEX(Products!$I:$I,MATCH(D1807,Products!$A:$A,0)),"Unknown")</f>
        <v>SUP041</v>
      </c>
    </row>
    <row r="1808" spans="1:28" x14ac:dyDescent="0.25">
      <c r="A1808" t="s">
        <v>3778</v>
      </c>
      <c r="B1808" s="20">
        <v>45416</v>
      </c>
      <c r="C1808" t="s">
        <v>1270</v>
      </c>
      <c r="D1808" t="s">
        <v>650</v>
      </c>
      <c r="E1808" t="s">
        <v>823</v>
      </c>
      <c r="F1808" t="s">
        <v>434</v>
      </c>
      <c r="G1808">
        <v>1</v>
      </c>
      <c r="H1808" s="21">
        <v>2092.54</v>
      </c>
      <c r="I1808">
        <v>10</v>
      </c>
      <c r="J1808" s="21">
        <v>209.25</v>
      </c>
      <c r="K1808">
        <v>12</v>
      </c>
      <c r="L1808" s="21">
        <v>225.99</v>
      </c>
      <c r="M1808" s="21">
        <v>2109.2800000000002</v>
      </c>
      <c r="N1808" s="21">
        <v>1409.12</v>
      </c>
      <c r="O1808" s="21">
        <v>474.17</v>
      </c>
      <c r="P1808" t="s">
        <v>125</v>
      </c>
      <c r="Q1808" t="s">
        <v>120</v>
      </c>
      <c r="R1808" t="s">
        <v>151</v>
      </c>
      <c r="S1808" t="s">
        <v>3779</v>
      </c>
      <c r="T1808" t="s">
        <v>161</v>
      </c>
      <c r="U1808" t="s">
        <v>154</v>
      </c>
      <c r="V1808" t="str">
        <f>IFERROR(INDEX(Products!$C:$C,MATCH(D1808,Products!$A:$A,0)),"Unknown")</f>
        <v>Winter Wear</v>
      </c>
      <c r="W1808" t="str">
        <f>IFERROR(INDEX(Products!$E:$E,MATCH(D1808,Products!$A:$A,0)),"Unknown")</f>
        <v>Mufti</v>
      </c>
      <c r="X1808" t="str">
        <f>IFERROR(INDEX(Stores!$B:$B,MATCH(E1808,Stores!$A:$A,0)),"Unknown")</f>
        <v>TrendMart Thoothukudi Mall Kiosk</v>
      </c>
      <c r="Y1808" t="str">
        <f>IFERROR(INDEX(Stores!$E:$E,MATCH(E1808,Stores!$A:$A,0)),"Unknown")</f>
        <v>South Zone 1</v>
      </c>
      <c r="Z1808" t="str">
        <f>IFERROR(INDEX(Customers!$J:$J,MATCH(C1808,Customers!$A:$A,0)),"Unknown")</f>
        <v>Silver</v>
      </c>
      <c r="AA1808" t="str">
        <f t="shared" si="28"/>
        <v>2024-05</v>
      </c>
      <c r="AB1808" t="str">
        <f>IFERROR(INDEX(Products!$I:$I,MATCH(D1808,Products!$A:$A,0)),"Unknown")</f>
        <v>SUP078</v>
      </c>
    </row>
    <row r="1809" spans="1:28" x14ac:dyDescent="0.25">
      <c r="A1809" t="s">
        <v>3780</v>
      </c>
      <c r="B1809" s="20">
        <v>45615</v>
      </c>
      <c r="C1809" t="s">
        <v>2366</v>
      </c>
      <c r="D1809" t="s">
        <v>1216</v>
      </c>
      <c r="E1809" t="s">
        <v>1591</v>
      </c>
      <c r="F1809" t="s">
        <v>150</v>
      </c>
      <c r="G1809">
        <v>2</v>
      </c>
      <c r="H1809" s="21">
        <v>2173.27</v>
      </c>
      <c r="I1809">
        <v>25</v>
      </c>
      <c r="J1809" s="21">
        <v>1086.6300000000001</v>
      </c>
      <c r="K1809">
        <v>12</v>
      </c>
      <c r="L1809" s="21">
        <v>391.19</v>
      </c>
      <c r="M1809" s="21">
        <v>3651.1</v>
      </c>
      <c r="N1809" s="21">
        <v>2864.02</v>
      </c>
      <c r="O1809" s="21">
        <v>395.89</v>
      </c>
      <c r="P1809" t="s">
        <v>126</v>
      </c>
      <c r="Q1809" t="s">
        <v>122</v>
      </c>
      <c r="R1809" t="s">
        <v>151</v>
      </c>
      <c r="S1809" t="s">
        <v>309</v>
      </c>
      <c r="T1809" t="s">
        <v>153</v>
      </c>
      <c r="U1809" t="s">
        <v>154</v>
      </c>
      <c r="V1809" t="str">
        <f>IFERROR(INDEX(Products!$C:$C,MATCH(D1809,Products!$A:$A,0)),"Unknown")</f>
        <v>Footwear</v>
      </c>
      <c r="W1809" t="str">
        <f>IFERROR(INDEX(Products!$E:$E,MATCH(D1809,Products!$A:$A,0)),"Unknown")</f>
        <v>Biba</v>
      </c>
      <c r="X1809" t="str">
        <f>IFERROR(INDEX(Stores!$B:$B,MATCH(E1809,Stores!$A:$A,0)),"Unknown")</f>
        <v>TrendMart Guntur Standard</v>
      </c>
      <c r="Y1809" t="str">
        <f>IFERROR(INDEX(Stores!$E:$E,MATCH(E1809,Stores!$A:$A,0)),"Unknown")</f>
        <v>South Zone 3</v>
      </c>
      <c r="Z1809" t="str">
        <f>IFERROR(INDEX(Customers!$J:$J,MATCH(C1809,Customers!$A:$A,0)),"Unknown")</f>
        <v>Gold</v>
      </c>
      <c r="AA1809" t="str">
        <f t="shared" si="28"/>
        <v>2024-11</v>
      </c>
      <c r="AB1809" t="str">
        <f>IFERROR(INDEX(Products!$I:$I,MATCH(D1809,Products!$A:$A,0)),"Unknown")</f>
        <v>SUP048</v>
      </c>
    </row>
    <row r="1810" spans="1:28" x14ac:dyDescent="0.25">
      <c r="A1810" t="s">
        <v>3781</v>
      </c>
      <c r="B1810" s="20">
        <v>45578</v>
      </c>
      <c r="C1810" t="s">
        <v>788</v>
      </c>
      <c r="D1810" t="s">
        <v>510</v>
      </c>
      <c r="E1810" t="s">
        <v>537</v>
      </c>
      <c r="F1810" t="s">
        <v>408</v>
      </c>
      <c r="G1810">
        <v>4</v>
      </c>
      <c r="H1810" s="21">
        <v>1276.31</v>
      </c>
      <c r="I1810">
        <v>10</v>
      </c>
      <c r="J1810" s="21">
        <v>510.52</v>
      </c>
      <c r="K1810">
        <v>12</v>
      </c>
      <c r="L1810" s="21">
        <v>551.37</v>
      </c>
      <c r="M1810" s="21">
        <v>5146.09</v>
      </c>
      <c r="N1810" s="21">
        <v>3658.88</v>
      </c>
      <c r="O1810" s="21">
        <v>935.84</v>
      </c>
      <c r="P1810" t="s">
        <v>125</v>
      </c>
      <c r="Q1810" t="s">
        <v>120</v>
      </c>
      <c r="R1810" t="s">
        <v>151</v>
      </c>
      <c r="S1810" t="s">
        <v>1243</v>
      </c>
      <c r="T1810" t="s">
        <v>161</v>
      </c>
      <c r="U1810" t="s">
        <v>154</v>
      </c>
      <c r="V1810" t="str">
        <f>IFERROR(INDEX(Products!$C:$C,MATCH(D1810,Products!$A:$A,0)),"Unknown")</f>
        <v>Sportswear</v>
      </c>
      <c r="W1810" t="str">
        <f>IFERROR(INDEX(Products!$E:$E,MATCH(D1810,Products!$A:$A,0)),"Unknown")</f>
        <v>Liberty</v>
      </c>
      <c r="X1810" t="str">
        <f>IFERROR(INDEX(Stores!$B:$B,MATCH(E1810,Stores!$A:$A,0)),"Unknown")</f>
        <v>TrendMart Thrissur High Street</v>
      </c>
      <c r="Y1810" t="str">
        <f>IFERROR(INDEX(Stores!$E:$E,MATCH(E1810,Stores!$A:$A,0)),"Unknown")</f>
        <v>South Zone 1</v>
      </c>
      <c r="Z1810" t="str">
        <f>IFERROR(INDEX(Customers!$J:$J,MATCH(C1810,Customers!$A:$A,0)),"Unknown")</f>
        <v>Silver</v>
      </c>
      <c r="AA1810" t="str">
        <f t="shared" si="28"/>
        <v>2024-10</v>
      </c>
      <c r="AB1810" t="str">
        <f>IFERROR(INDEX(Products!$I:$I,MATCH(D1810,Products!$A:$A,0)),"Unknown")</f>
        <v>SUP010</v>
      </c>
    </row>
    <row r="1811" spans="1:28" x14ac:dyDescent="0.25">
      <c r="A1811" t="s">
        <v>3782</v>
      </c>
      <c r="B1811" s="20">
        <v>45720</v>
      </c>
      <c r="C1811" t="s">
        <v>1213</v>
      </c>
      <c r="D1811" t="s">
        <v>569</v>
      </c>
      <c r="E1811" t="s">
        <v>1171</v>
      </c>
      <c r="F1811" t="s">
        <v>297</v>
      </c>
      <c r="G1811">
        <v>3</v>
      </c>
      <c r="H1811" s="21">
        <v>2322.8000000000002</v>
      </c>
      <c r="I1811">
        <v>15</v>
      </c>
      <c r="J1811" s="21">
        <v>1045.26</v>
      </c>
      <c r="K1811">
        <v>12</v>
      </c>
      <c r="L1811" s="21">
        <v>710.78</v>
      </c>
      <c r="M1811" s="21">
        <v>6633.92</v>
      </c>
      <c r="N1811" s="21">
        <v>4782</v>
      </c>
      <c r="O1811" s="21">
        <v>1141.1400000000001</v>
      </c>
      <c r="P1811" t="s">
        <v>127</v>
      </c>
      <c r="Q1811" t="s">
        <v>122</v>
      </c>
      <c r="R1811" t="s">
        <v>151</v>
      </c>
      <c r="S1811" t="s">
        <v>2492</v>
      </c>
      <c r="T1811" t="s">
        <v>153</v>
      </c>
      <c r="U1811" t="s">
        <v>154</v>
      </c>
      <c r="V1811" t="str">
        <f>IFERROR(INDEX(Products!$C:$C,MATCH(D1811,Products!$A:$A,0)),"Unknown")</f>
        <v>Men Ethnic</v>
      </c>
      <c r="W1811" t="str">
        <f>IFERROR(INDEX(Products!$E:$E,MATCH(D1811,Products!$A:$A,0)),"Unknown")</f>
        <v>Fastrack</v>
      </c>
      <c r="X1811" t="str">
        <f>IFERROR(INDEX(Stores!$B:$B,MATCH(E1811,Stores!$A:$A,0)),"Unknown")</f>
        <v>TrendMart Chennai Standard</v>
      </c>
      <c r="Y1811" t="str">
        <f>IFERROR(INDEX(Stores!$E:$E,MATCH(E1811,Stores!$A:$A,0)),"Unknown")</f>
        <v>South Zone 1</v>
      </c>
      <c r="Z1811" t="str">
        <f>IFERROR(INDEX(Customers!$J:$J,MATCH(C1811,Customers!$A:$A,0)),"Unknown")</f>
        <v>Silver</v>
      </c>
      <c r="AA1811" t="str">
        <f t="shared" si="28"/>
        <v>2025-03</v>
      </c>
      <c r="AB1811" t="str">
        <f>IFERROR(INDEX(Products!$I:$I,MATCH(D1811,Products!$A:$A,0)),"Unknown")</f>
        <v>SUP014</v>
      </c>
    </row>
    <row r="1812" spans="1:28" x14ac:dyDescent="0.25">
      <c r="A1812" t="s">
        <v>3783</v>
      </c>
      <c r="B1812" s="20">
        <v>45399</v>
      </c>
      <c r="C1812" t="s">
        <v>1241</v>
      </c>
      <c r="D1812" t="s">
        <v>376</v>
      </c>
      <c r="E1812" t="s">
        <v>831</v>
      </c>
      <c r="F1812" t="s">
        <v>377</v>
      </c>
      <c r="G1812">
        <v>4</v>
      </c>
      <c r="H1812" s="21">
        <v>1343.49</v>
      </c>
      <c r="I1812">
        <v>25</v>
      </c>
      <c r="J1812" s="21">
        <v>1343.49</v>
      </c>
      <c r="K1812">
        <v>12</v>
      </c>
      <c r="L1812" s="21">
        <v>483.66</v>
      </c>
      <c r="M1812" s="21">
        <v>4514.13</v>
      </c>
      <c r="N1812" s="21">
        <v>4100.96</v>
      </c>
      <c r="O1812" s="21">
        <v>-70.489999999999995</v>
      </c>
      <c r="P1812" t="s">
        <v>125</v>
      </c>
      <c r="Q1812" t="s">
        <v>122</v>
      </c>
      <c r="R1812" t="s">
        <v>151</v>
      </c>
      <c r="S1812" t="s">
        <v>1895</v>
      </c>
      <c r="T1812" t="s">
        <v>153</v>
      </c>
      <c r="U1812" t="s">
        <v>184</v>
      </c>
      <c r="V1812" t="str">
        <f>IFERROR(INDEX(Products!$C:$C,MATCH(D1812,Products!$A:$A,0)),"Unknown")</f>
        <v>Women Jeans</v>
      </c>
      <c r="W1812" t="str">
        <f>IFERROR(INDEX(Products!$E:$E,MATCH(D1812,Products!$A:$A,0)),"Unknown")</f>
        <v>Pothys</v>
      </c>
      <c r="X1812" t="str">
        <f>IFERROR(INDEX(Stores!$B:$B,MATCH(E1812,Stores!$A:$A,0)),"Unknown")</f>
        <v>TrendMart Vellore Standard</v>
      </c>
      <c r="Y1812" t="str">
        <f>IFERROR(INDEX(Stores!$E:$E,MATCH(E1812,Stores!$A:$A,0)),"Unknown")</f>
        <v>South Zone 1</v>
      </c>
      <c r="Z1812" t="str">
        <f>IFERROR(INDEX(Customers!$J:$J,MATCH(C1812,Customers!$A:$A,0)),"Unknown")</f>
        <v>Silver</v>
      </c>
      <c r="AA1812" t="str">
        <f t="shared" si="28"/>
        <v>2024-04</v>
      </c>
      <c r="AB1812" t="str">
        <f>IFERROR(INDEX(Products!$I:$I,MATCH(D1812,Products!$A:$A,0)),"Unknown")</f>
        <v>SUP015</v>
      </c>
    </row>
    <row r="1813" spans="1:28" x14ac:dyDescent="0.25">
      <c r="A1813" t="s">
        <v>3784</v>
      </c>
      <c r="B1813" s="20">
        <v>45650</v>
      </c>
      <c r="C1813" t="s">
        <v>645</v>
      </c>
      <c r="D1813" t="s">
        <v>1466</v>
      </c>
      <c r="E1813" t="s">
        <v>1171</v>
      </c>
      <c r="F1813" t="s">
        <v>281</v>
      </c>
      <c r="G1813">
        <v>3</v>
      </c>
      <c r="H1813" s="21">
        <v>757.38</v>
      </c>
      <c r="I1813">
        <v>30</v>
      </c>
      <c r="J1813" s="21">
        <v>681.64</v>
      </c>
      <c r="K1813">
        <v>5</v>
      </c>
      <c r="L1813" s="21">
        <v>79.53</v>
      </c>
      <c r="M1813" s="21">
        <v>1670.03</v>
      </c>
      <c r="N1813" s="21">
        <v>1284.48</v>
      </c>
      <c r="O1813" s="21">
        <v>306.02</v>
      </c>
      <c r="P1813" t="s">
        <v>125</v>
      </c>
      <c r="Q1813" t="s">
        <v>120</v>
      </c>
      <c r="R1813" t="s">
        <v>151</v>
      </c>
      <c r="S1813" t="s">
        <v>417</v>
      </c>
      <c r="T1813" t="s">
        <v>153</v>
      </c>
      <c r="U1813" t="s">
        <v>154</v>
      </c>
      <c r="V1813" t="str">
        <f>IFERROR(INDEX(Products!$C:$C,MATCH(D1813,Products!$A:$A,0)),"Unknown")</f>
        <v>Men T-Shirts</v>
      </c>
      <c r="W1813" t="str">
        <f>IFERROR(INDEX(Products!$E:$E,MATCH(D1813,Products!$A:$A,0)),"Unknown")</f>
        <v>Killer Jeans</v>
      </c>
      <c r="X1813" t="str">
        <f>IFERROR(INDEX(Stores!$B:$B,MATCH(E1813,Stores!$A:$A,0)),"Unknown")</f>
        <v>TrendMart Chennai Standard</v>
      </c>
      <c r="Y1813" t="str">
        <f>IFERROR(INDEX(Stores!$E:$E,MATCH(E1813,Stores!$A:$A,0)),"Unknown")</f>
        <v>South Zone 1</v>
      </c>
      <c r="Z1813" t="str">
        <f>IFERROR(INDEX(Customers!$J:$J,MATCH(C1813,Customers!$A:$A,0)),"Unknown")</f>
        <v>Regular</v>
      </c>
      <c r="AA1813" t="str">
        <f t="shared" si="28"/>
        <v>2024-12</v>
      </c>
      <c r="AB1813" t="str">
        <f>IFERROR(INDEX(Products!$I:$I,MATCH(D1813,Products!$A:$A,0)),"Unknown")</f>
        <v>SUP069</v>
      </c>
    </row>
    <row r="1814" spans="1:28" x14ac:dyDescent="0.25">
      <c r="A1814" t="s">
        <v>3785</v>
      </c>
      <c r="B1814" s="20">
        <v>45652</v>
      </c>
      <c r="C1814" t="s">
        <v>476</v>
      </c>
      <c r="D1814" t="s">
        <v>801</v>
      </c>
      <c r="E1814" t="s">
        <v>461</v>
      </c>
      <c r="F1814" t="s">
        <v>286</v>
      </c>
      <c r="G1814">
        <v>1</v>
      </c>
      <c r="H1814" s="21">
        <v>594.57000000000005</v>
      </c>
      <c r="I1814">
        <v>0</v>
      </c>
      <c r="J1814" s="21">
        <v>0</v>
      </c>
      <c r="K1814">
        <v>5</v>
      </c>
      <c r="L1814" s="21">
        <v>29.73</v>
      </c>
      <c r="M1814" s="21">
        <v>624.29999999999995</v>
      </c>
      <c r="N1814" s="21">
        <v>424.76</v>
      </c>
      <c r="O1814" s="21">
        <v>169.81</v>
      </c>
      <c r="P1814" t="s">
        <v>125</v>
      </c>
      <c r="Q1814" t="s">
        <v>120</v>
      </c>
      <c r="R1814" t="s">
        <v>151</v>
      </c>
      <c r="S1814" t="s">
        <v>1125</v>
      </c>
      <c r="T1814" t="s">
        <v>153</v>
      </c>
      <c r="U1814" t="s">
        <v>154</v>
      </c>
      <c r="V1814" t="str">
        <f>IFERROR(INDEX(Products!$C:$C,MATCH(D1814,Products!$A:$A,0)),"Unknown")</f>
        <v>Kids Wear</v>
      </c>
      <c r="W1814" t="str">
        <f>IFERROR(INDEX(Products!$E:$E,MATCH(D1814,Products!$A:$A,0)),"Unknown")</f>
        <v>Being Human</v>
      </c>
      <c r="X1814" t="str">
        <f>IFERROR(INDEX(Stores!$B:$B,MATCH(E1814,Stores!$A:$A,0)),"Unknown")</f>
        <v>TrendMart Visakhapatnam High Street</v>
      </c>
      <c r="Y1814" t="str">
        <f>IFERROR(INDEX(Stores!$E:$E,MATCH(E1814,Stores!$A:$A,0)),"Unknown")</f>
        <v>South Zone 3</v>
      </c>
      <c r="Z1814" t="str">
        <f>IFERROR(INDEX(Customers!$J:$J,MATCH(C1814,Customers!$A:$A,0)),"Unknown")</f>
        <v>Silver</v>
      </c>
      <c r="AA1814" t="str">
        <f t="shared" si="28"/>
        <v>2024-12</v>
      </c>
      <c r="AB1814" t="str">
        <f>IFERROR(INDEX(Products!$I:$I,MATCH(D1814,Products!$A:$A,0)),"Unknown")</f>
        <v>SUP063</v>
      </c>
    </row>
    <row r="1815" spans="1:28" x14ac:dyDescent="0.25">
      <c r="A1815" t="s">
        <v>3786</v>
      </c>
      <c r="B1815" s="20">
        <v>45423</v>
      </c>
      <c r="C1815" t="s">
        <v>2855</v>
      </c>
      <c r="D1815" t="s">
        <v>1539</v>
      </c>
      <c r="E1815" t="s">
        <v>906</v>
      </c>
      <c r="F1815" t="s">
        <v>462</v>
      </c>
      <c r="G1815">
        <v>1</v>
      </c>
      <c r="H1815" s="21">
        <v>1188.67</v>
      </c>
      <c r="I1815">
        <v>5</v>
      </c>
      <c r="J1815" s="21">
        <v>59.43</v>
      </c>
      <c r="K1815">
        <v>12</v>
      </c>
      <c r="L1815" s="21">
        <v>135.51</v>
      </c>
      <c r="M1815" s="21">
        <v>1264.75</v>
      </c>
      <c r="N1815" s="21">
        <v>917.44</v>
      </c>
      <c r="O1815" s="21">
        <v>211.8</v>
      </c>
      <c r="P1815" t="s">
        <v>121</v>
      </c>
      <c r="Q1815" t="s">
        <v>122</v>
      </c>
      <c r="R1815" t="s">
        <v>151</v>
      </c>
      <c r="S1815" t="s">
        <v>2025</v>
      </c>
      <c r="T1815" t="s">
        <v>161</v>
      </c>
      <c r="U1815" t="s">
        <v>154</v>
      </c>
      <c r="V1815" t="str">
        <f>IFERROR(INDEX(Products!$C:$C,MATCH(D1815,Products!$A:$A,0)),"Unknown")</f>
        <v>Wallets</v>
      </c>
      <c r="W1815" t="str">
        <f>IFERROR(INDEX(Products!$E:$E,MATCH(D1815,Products!$A:$A,0)),"Unknown")</f>
        <v>Reebok</v>
      </c>
      <c r="X1815" t="str">
        <f>IFERROR(INDEX(Stores!$B:$B,MATCH(E1815,Stores!$A:$A,0)),"Unknown")</f>
        <v>TrendMart Vijayawada Standard</v>
      </c>
      <c r="Y1815" t="str">
        <f>IFERROR(INDEX(Stores!$E:$E,MATCH(E1815,Stores!$A:$A,0)),"Unknown")</f>
        <v>South Zone 3</v>
      </c>
      <c r="Z1815" t="str">
        <f>IFERROR(INDEX(Customers!$J:$J,MATCH(C1815,Customers!$A:$A,0)),"Unknown")</f>
        <v>Regular</v>
      </c>
      <c r="AA1815" t="str">
        <f t="shared" si="28"/>
        <v>2024-05</v>
      </c>
      <c r="AB1815" t="str">
        <f>IFERROR(INDEX(Products!$I:$I,MATCH(D1815,Products!$A:$A,0)),"Unknown")</f>
        <v>SUP007</v>
      </c>
    </row>
    <row r="1816" spans="1:28" x14ac:dyDescent="0.25">
      <c r="A1816" t="s">
        <v>3787</v>
      </c>
      <c r="B1816" s="20">
        <v>45538</v>
      </c>
      <c r="C1816" t="s">
        <v>1510</v>
      </c>
      <c r="D1816" t="s">
        <v>926</v>
      </c>
      <c r="E1816" t="s">
        <v>934</v>
      </c>
      <c r="F1816" t="s">
        <v>263</v>
      </c>
      <c r="G1816">
        <v>2</v>
      </c>
      <c r="H1816" s="21">
        <v>1137.27</v>
      </c>
      <c r="I1816">
        <v>25</v>
      </c>
      <c r="J1816" s="21">
        <v>568.63</v>
      </c>
      <c r="K1816">
        <v>12</v>
      </c>
      <c r="L1816" s="21">
        <v>204.71</v>
      </c>
      <c r="M1816" s="21">
        <v>1910.62</v>
      </c>
      <c r="N1816" s="21">
        <v>1621.24</v>
      </c>
      <c r="O1816" s="21">
        <v>84.67</v>
      </c>
      <c r="P1816" t="s">
        <v>126</v>
      </c>
      <c r="Q1816" t="s">
        <v>122</v>
      </c>
      <c r="R1816" t="s">
        <v>151</v>
      </c>
      <c r="S1816" t="s">
        <v>356</v>
      </c>
      <c r="T1816" t="s">
        <v>153</v>
      </c>
      <c r="U1816" t="s">
        <v>154</v>
      </c>
      <c r="V1816" t="str">
        <f>IFERROR(INDEX(Products!$C:$C,MATCH(D1816,Products!$A:$A,0)),"Unknown")</f>
        <v>Women Dresses</v>
      </c>
      <c r="W1816" t="str">
        <f>IFERROR(INDEX(Products!$E:$E,MATCH(D1816,Products!$A:$A,0)),"Unknown")</f>
        <v>Fabindia</v>
      </c>
      <c r="X1816" t="str">
        <f>IFERROR(INDEX(Stores!$B:$B,MATCH(E1816,Stores!$A:$A,0)),"Unknown")</f>
        <v>TrendMart Bengaluru High Street</v>
      </c>
      <c r="Y1816" t="str">
        <f>IFERROR(INDEX(Stores!$E:$E,MATCH(E1816,Stores!$A:$A,0)),"Unknown")</f>
        <v>South Zone 2</v>
      </c>
      <c r="Z1816" t="str">
        <f>IFERROR(INDEX(Customers!$J:$J,MATCH(C1816,Customers!$A:$A,0)),"Unknown")</f>
        <v>Gold</v>
      </c>
      <c r="AA1816" t="str">
        <f t="shared" si="28"/>
        <v>2024-09</v>
      </c>
      <c r="AB1816" t="str">
        <f>IFERROR(INDEX(Products!$I:$I,MATCH(D1816,Products!$A:$A,0)),"Unknown")</f>
        <v>SUP059</v>
      </c>
    </row>
    <row r="1817" spans="1:28" x14ac:dyDescent="0.25">
      <c r="A1817" t="s">
        <v>3788</v>
      </c>
      <c r="B1817" s="20">
        <v>45552</v>
      </c>
      <c r="C1817" t="s">
        <v>1739</v>
      </c>
      <c r="D1817" t="s">
        <v>1104</v>
      </c>
      <c r="E1817" t="s">
        <v>188</v>
      </c>
      <c r="F1817" t="s">
        <v>182</v>
      </c>
      <c r="G1817">
        <v>2</v>
      </c>
      <c r="H1817" s="21">
        <v>3520.77</v>
      </c>
      <c r="I1817">
        <v>25</v>
      </c>
      <c r="J1817" s="21">
        <v>1760.38</v>
      </c>
      <c r="K1817">
        <v>12</v>
      </c>
      <c r="L1817" s="21">
        <v>633.74</v>
      </c>
      <c r="M1817" s="21">
        <v>5914.9</v>
      </c>
      <c r="N1817" s="21">
        <v>4748.0600000000004</v>
      </c>
      <c r="O1817" s="21">
        <v>533.1</v>
      </c>
      <c r="P1817" t="s">
        <v>126</v>
      </c>
      <c r="Q1817" t="s">
        <v>122</v>
      </c>
      <c r="R1817" t="s">
        <v>151</v>
      </c>
      <c r="S1817" t="s">
        <v>2308</v>
      </c>
      <c r="T1817" t="s">
        <v>153</v>
      </c>
      <c r="U1817" t="s">
        <v>154</v>
      </c>
      <c r="V1817" t="str">
        <f>IFERROR(INDEX(Products!$C:$C,MATCH(D1817,Products!$A:$A,0)),"Unknown")</f>
        <v>Handbags</v>
      </c>
      <c r="W1817" t="str">
        <f>IFERROR(INDEX(Products!$E:$E,MATCH(D1817,Products!$A:$A,0)),"Unknown")</f>
        <v>Nalli Silks</v>
      </c>
      <c r="X1817" t="str">
        <f>IFERROR(INDEX(Stores!$B:$B,MATCH(E1817,Stores!$A:$A,0)),"Unknown")</f>
        <v>TrendMart Vijayawada Standard</v>
      </c>
      <c r="Y1817" t="str">
        <f>IFERROR(INDEX(Stores!$E:$E,MATCH(E1817,Stores!$A:$A,0)),"Unknown")</f>
        <v>South Zone 3</v>
      </c>
      <c r="Z1817" t="str">
        <f>IFERROR(INDEX(Customers!$J:$J,MATCH(C1817,Customers!$A:$A,0)),"Unknown")</f>
        <v>Silver</v>
      </c>
      <c r="AA1817" t="str">
        <f t="shared" si="28"/>
        <v>2024-09</v>
      </c>
      <c r="AB1817" t="str">
        <f>IFERROR(INDEX(Products!$I:$I,MATCH(D1817,Products!$A:$A,0)),"Unknown")</f>
        <v>SUP070</v>
      </c>
    </row>
    <row r="1818" spans="1:28" x14ac:dyDescent="0.25">
      <c r="A1818" t="s">
        <v>3789</v>
      </c>
      <c r="B1818" s="20">
        <v>45709</v>
      </c>
      <c r="C1818" t="s">
        <v>3790</v>
      </c>
      <c r="D1818" t="s">
        <v>680</v>
      </c>
      <c r="E1818" t="s">
        <v>456</v>
      </c>
      <c r="F1818" t="s">
        <v>462</v>
      </c>
      <c r="G1818">
        <v>0</v>
      </c>
      <c r="H1818" s="21">
        <v>685.88</v>
      </c>
      <c r="I1818">
        <v>5</v>
      </c>
      <c r="J1818" s="21">
        <v>0</v>
      </c>
      <c r="K1818">
        <v>5</v>
      </c>
      <c r="L1818" s="21">
        <v>0</v>
      </c>
      <c r="M1818" s="21">
        <v>0</v>
      </c>
      <c r="N1818" s="21">
        <v>0</v>
      </c>
      <c r="O1818" s="21">
        <v>0</v>
      </c>
      <c r="P1818" t="s">
        <v>121</v>
      </c>
      <c r="Q1818" t="s">
        <v>120</v>
      </c>
      <c r="R1818" t="s">
        <v>482</v>
      </c>
      <c r="S1818" t="s">
        <v>1636</v>
      </c>
      <c r="T1818" t="s">
        <v>153</v>
      </c>
      <c r="U1818" t="s">
        <v>154</v>
      </c>
      <c r="V1818" t="str">
        <f>IFERROR(INDEX(Products!$C:$C,MATCH(D1818,Products!$A:$A,0)),"Unknown")</f>
        <v>Accessories</v>
      </c>
      <c r="W1818" t="str">
        <f>IFERROR(INDEX(Products!$E:$E,MATCH(D1818,Products!$A:$A,0)),"Unknown")</f>
        <v>Westside</v>
      </c>
      <c r="X1818" t="str">
        <f>IFERROR(INDEX(Stores!$B:$B,MATCH(E1818,Stores!$A:$A,0)),"Unknown")</f>
        <v>TrendMart Salem Outlet</v>
      </c>
      <c r="Y1818" t="str">
        <f>IFERROR(INDEX(Stores!$E:$E,MATCH(E1818,Stores!$A:$A,0)),"Unknown")</f>
        <v>South Zone 1</v>
      </c>
      <c r="Z1818" t="str">
        <f>IFERROR(INDEX(Customers!$J:$J,MATCH(C1818,Customers!$A:$A,0)),"Unknown")</f>
        <v>Gold</v>
      </c>
      <c r="AA1818" t="str">
        <f t="shared" si="28"/>
        <v>2025-02</v>
      </c>
      <c r="AB1818" t="str">
        <f>IFERROR(INDEX(Products!$I:$I,MATCH(D1818,Products!$A:$A,0)),"Unknown")</f>
        <v>SUP064</v>
      </c>
    </row>
    <row r="1819" spans="1:28" x14ac:dyDescent="0.25">
      <c r="A1819" t="s">
        <v>3791</v>
      </c>
      <c r="B1819" s="20">
        <v>45484</v>
      </c>
      <c r="C1819" t="s">
        <v>3181</v>
      </c>
      <c r="D1819" t="s">
        <v>524</v>
      </c>
      <c r="E1819" t="s">
        <v>525</v>
      </c>
      <c r="F1819" t="s">
        <v>308</v>
      </c>
      <c r="G1819">
        <v>2</v>
      </c>
      <c r="H1819" s="21">
        <v>732.69</v>
      </c>
      <c r="I1819">
        <v>0</v>
      </c>
      <c r="J1819" s="21">
        <v>0</v>
      </c>
      <c r="K1819">
        <v>5</v>
      </c>
      <c r="L1819" s="21">
        <v>73.27</v>
      </c>
      <c r="M1819" s="21">
        <v>1538.65</v>
      </c>
      <c r="N1819" s="21">
        <v>1095.3399999999999</v>
      </c>
      <c r="O1819" s="21">
        <v>370.04</v>
      </c>
      <c r="P1819" t="s">
        <v>125</v>
      </c>
      <c r="Q1819" t="s">
        <v>120</v>
      </c>
      <c r="R1819" t="s">
        <v>151</v>
      </c>
      <c r="S1819" t="s">
        <v>3529</v>
      </c>
      <c r="T1819" t="s">
        <v>153</v>
      </c>
      <c r="U1819" t="s">
        <v>154</v>
      </c>
      <c r="V1819" t="str">
        <f>IFERROR(INDEX(Products!$C:$C,MATCH(D1819,Products!$A:$A,0)),"Unknown")</f>
        <v>Women Tops</v>
      </c>
      <c r="W1819" t="str">
        <f>IFERROR(INDEX(Products!$E:$E,MATCH(D1819,Products!$A:$A,0)),"Unknown")</f>
        <v>Indian Terrain</v>
      </c>
      <c r="X1819" t="str">
        <f>IFERROR(INDEX(Stores!$B:$B,MATCH(E1819,Stores!$A:$A,0)),"Unknown")</f>
        <v>TrendMart Kollam Standard</v>
      </c>
      <c r="Y1819" t="str">
        <f>IFERROR(INDEX(Stores!$E:$E,MATCH(E1819,Stores!$A:$A,0)),"Unknown")</f>
        <v>South Zone 1</v>
      </c>
      <c r="Z1819" t="str">
        <f>IFERROR(INDEX(Customers!$J:$J,MATCH(C1819,Customers!$A:$A,0)),"Unknown")</f>
        <v>Silver</v>
      </c>
      <c r="AA1819" t="str">
        <f t="shared" si="28"/>
        <v>2024-07</v>
      </c>
      <c r="AB1819" t="str">
        <f>IFERROR(INDEX(Products!$I:$I,MATCH(D1819,Products!$A:$A,0)),"Unknown")</f>
        <v>SUP062</v>
      </c>
    </row>
    <row r="1820" spans="1:28" x14ac:dyDescent="0.25">
      <c r="A1820" t="s">
        <v>3792</v>
      </c>
      <c r="B1820" s="20">
        <v>45523</v>
      </c>
      <c r="C1820" t="s">
        <v>3724</v>
      </c>
      <c r="D1820" t="s">
        <v>1590</v>
      </c>
      <c r="E1820" t="s">
        <v>416</v>
      </c>
      <c r="F1820" t="s">
        <v>297</v>
      </c>
      <c r="G1820">
        <v>2</v>
      </c>
      <c r="H1820" s="21">
        <v>496.47</v>
      </c>
      <c r="I1820">
        <v>10</v>
      </c>
      <c r="J1820" s="21">
        <v>99.29</v>
      </c>
      <c r="K1820">
        <v>5</v>
      </c>
      <c r="L1820" s="21">
        <v>44.68</v>
      </c>
      <c r="M1820" s="21">
        <v>938.33</v>
      </c>
      <c r="N1820" s="21">
        <v>674.18</v>
      </c>
      <c r="O1820" s="21">
        <v>219.47</v>
      </c>
      <c r="P1820" t="s">
        <v>121</v>
      </c>
      <c r="Q1820" t="s">
        <v>120</v>
      </c>
      <c r="R1820" t="s">
        <v>151</v>
      </c>
      <c r="S1820" t="s">
        <v>3182</v>
      </c>
      <c r="T1820" t="s">
        <v>153</v>
      </c>
      <c r="U1820" t="s">
        <v>154</v>
      </c>
      <c r="V1820" t="str">
        <f>IFERROR(INDEX(Products!$C:$C,MATCH(D1820,Products!$A:$A,0)),"Unknown")</f>
        <v>Kids Wear</v>
      </c>
      <c r="W1820" t="str">
        <f>IFERROR(INDEX(Products!$E:$E,MATCH(D1820,Products!$A:$A,0)),"Unknown")</f>
        <v>Peter England</v>
      </c>
      <c r="X1820" t="str">
        <f>IFERROR(INDEX(Stores!$B:$B,MATCH(E1820,Stores!$A:$A,0)),"Unknown")</f>
        <v>TrendMart Dindigul Standard</v>
      </c>
      <c r="Y1820" t="str">
        <f>IFERROR(INDEX(Stores!$E:$E,MATCH(E1820,Stores!$A:$A,0)),"Unknown")</f>
        <v>South Zone 1</v>
      </c>
      <c r="Z1820" t="str">
        <f>IFERROR(INDEX(Customers!$J:$J,MATCH(C1820,Customers!$A:$A,0)),"Unknown")</f>
        <v>Silver</v>
      </c>
      <c r="AA1820" t="str">
        <f t="shared" si="28"/>
        <v>2024-08</v>
      </c>
      <c r="AB1820" t="str">
        <f>IFERROR(INDEX(Products!$I:$I,MATCH(D1820,Products!$A:$A,0)),"Unknown")</f>
        <v>SUP065</v>
      </c>
    </row>
    <row r="1821" spans="1:28" x14ac:dyDescent="0.25">
      <c r="A1821" t="s">
        <v>3793</v>
      </c>
      <c r="B1821" s="20">
        <v>45571</v>
      </c>
      <c r="C1821" t="s">
        <v>1358</v>
      </c>
      <c r="D1821" t="s">
        <v>1036</v>
      </c>
      <c r="E1821" t="s">
        <v>578</v>
      </c>
      <c r="F1821" t="s">
        <v>176</v>
      </c>
      <c r="G1821">
        <v>2</v>
      </c>
      <c r="H1821" s="21">
        <v>961.1</v>
      </c>
      <c r="I1821">
        <v>30</v>
      </c>
      <c r="J1821" s="21">
        <v>576.66</v>
      </c>
      <c r="K1821">
        <v>5</v>
      </c>
      <c r="L1821" s="21">
        <v>67.28</v>
      </c>
      <c r="M1821" s="21">
        <v>1412.82</v>
      </c>
      <c r="N1821" s="21">
        <v>1180.04</v>
      </c>
      <c r="O1821" s="21">
        <v>165.5</v>
      </c>
      <c r="P1821" t="s">
        <v>125</v>
      </c>
      <c r="Q1821" t="s">
        <v>120</v>
      </c>
      <c r="R1821" t="s">
        <v>151</v>
      </c>
      <c r="S1821" t="s">
        <v>1578</v>
      </c>
      <c r="T1821" t="s">
        <v>161</v>
      </c>
      <c r="U1821" t="s">
        <v>154</v>
      </c>
      <c r="V1821" t="str">
        <f>IFERROR(INDEX(Products!$C:$C,MATCH(D1821,Products!$A:$A,0)),"Unknown")</f>
        <v>Belts</v>
      </c>
      <c r="W1821" t="str">
        <f>IFERROR(INDEX(Products!$E:$E,MATCH(D1821,Products!$A:$A,0)),"Unknown")</f>
        <v>Skechers</v>
      </c>
      <c r="X1821" t="str">
        <f>IFERROR(INDEX(Stores!$B:$B,MATCH(E1821,Stores!$A:$A,0)),"Unknown")</f>
        <v>TrendMart Vellore Standard</v>
      </c>
      <c r="Y1821" t="str">
        <f>IFERROR(INDEX(Stores!$E:$E,MATCH(E1821,Stores!$A:$A,0)),"Unknown")</f>
        <v>South Zone 1</v>
      </c>
      <c r="Z1821" t="str">
        <f>IFERROR(INDEX(Customers!$J:$J,MATCH(C1821,Customers!$A:$A,0)),"Unknown")</f>
        <v>Gold</v>
      </c>
      <c r="AA1821" t="str">
        <f t="shared" si="28"/>
        <v>2024-10</v>
      </c>
      <c r="AB1821" t="str">
        <f>IFERROR(INDEX(Products!$I:$I,MATCH(D1821,Products!$A:$A,0)),"Unknown")</f>
        <v>SUP085</v>
      </c>
    </row>
    <row r="1822" spans="1:28" x14ac:dyDescent="0.25">
      <c r="A1822" t="s">
        <v>3794</v>
      </c>
      <c r="B1822" s="20">
        <v>45699</v>
      </c>
      <c r="C1822" t="s">
        <v>2890</v>
      </c>
      <c r="D1822" t="s">
        <v>489</v>
      </c>
      <c r="E1822" t="s">
        <v>442</v>
      </c>
      <c r="F1822" t="s">
        <v>242</v>
      </c>
      <c r="G1822">
        <v>1</v>
      </c>
      <c r="H1822" s="21">
        <v>1461.57</v>
      </c>
      <c r="I1822">
        <v>5</v>
      </c>
      <c r="J1822" s="21">
        <v>73.08</v>
      </c>
      <c r="K1822">
        <v>12</v>
      </c>
      <c r="L1822" s="21">
        <v>166.62</v>
      </c>
      <c r="M1822" s="21">
        <v>1555.11</v>
      </c>
      <c r="N1822" s="21">
        <v>1048.71</v>
      </c>
      <c r="O1822" s="21">
        <v>339.78</v>
      </c>
      <c r="P1822" t="s">
        <v>121</v>
      </c>
      <c r="Q1822" t="s">
        <v>122</v>
      </c>
      <c r="R1822" t="s">
        <v>151</v>
      </c>
      <c r="S1822" t="s">
        <v>2205</v>
      </c>
      <c r="T1822" t="s">
        <v>153</v>
      </c>
      <c r="U1822" t="s">
        <v>154</v>
      </c>
      <c r="V1822" t="str">
        <f>IFERROR(INDEX(Products!$C:$C,MATCH(D1822,Products!$A:$A,0)),"Unknown")</f>
        <v>Women Jeans</v>
      </c>
      <c r="W1822" t="str">
        <f>IFERROR(INDEX(Products!$E:$E,MATCH(D1822,Products!$A:$A,0)),"Unknown")</f>
        <v>Woodland</v>
      </c>
      <c r="X1822" t="str">
        <f>IFERROR(INDEX(Stores!$B:$B,MATCH(E1822,Stores!$A:$A,0)),"Unknown")</f>
        <v>TrendMart Bengaluru Standard</v>
      </c>
      <c r="Y1822" t="str">
        <f>IFERROR(INDEX(Stores!$E:$E,MATCH(E1822,Stores!$A:$A,0)),"Unknown")</f>
        <v>South Zone 2</v>
      </c>
      <c r="Z1822" t="str">
        <f>IFERROR(INDEX(Customers!$J:$J,MATCH(C1822,Customers!$A:$A,0)),"Unknown")</f>
        <v>Regular</v>
      </c>
      <c r="AA1822" t="str">
        <f t="shared" si="28"/>
        <v>2025-02</v>
      </c>
      <c r="AB1822" t="str">
        <f>IFERROR(INDEX(Products!$I:$I,MATCH(D1822,Products!$A:$A,0)),"Unknown")</f>
        <v>SUP015</v>
      </c>
    </row>
    <row r="1823" spans="1:28" x14ac:dyDescent="0.25">
      <c r="A1823" t="s">
        <v>3795</v>
      </c>
      <c r="B1823" s="20">
        <v>45418</v>
      </c>
      <c r="C1823" t="s">
        <v>2702</v>
      </c>
      <c r="D1823" t="s">
        <v>2039</v>
      </c>
      <c r="E1823" t="s">
        <v>355</v>
      </c>
      <c r="F1823" t="s">
        <v>201</v>
      </c>
      <c r="G1823">
        <v>3</v>
      </c>
      <c r="H1823" s="21">
        <v>2939.76</v>
      </c>
      <c r="I1823">
        <v>15</v>
      </c>
      <c r="J1823" s="21">
        <v>1322.89</v>
      </c>
      <c r="K1823">
        <v>12</v>
      </c>
      <c r="L1823" s="21">
        <v>899.57</v>
      </c>
      <c r="M1823" s="21">
        <v>8395.9599999999991</v>
      </c>
      <c r="N1823" s="21">
        <v>6236.76</v>
      </c>
      <c r="O1823" s="21">
        <v>1259.6300000000001</v>
      </c>
      <c r="P1823" t="s">
        <v>121</v>
      </c>
      <c r="Q1823" t="s">
        <v>120</v>
      </c>
      <c r="R1823" t="s">
        <v>151</v>
      </c>
      <c r="S1823" t="s">
        <v>1653</v>
      </c>
      <c r="T1823" t="s">
        <v>153</v>
      </c>
      <c r="U1823" t="s">
        <v>154</v>
      </c>
      <c r="V1823" t="str">
        <f>IFERROR(INDEX(Products!$C:$C,MATCH(D1823,Products!$A:$A,0)),"Unknown")</f>
        <v>Women Sarees</v>
      </c>
      <c r="W1823" t="str">
        <f>IFERROR(INDEX(Products!$E:$E,MATCH(D1823,Products!$A:$A,0)),"Unknown")</f>
        <v>Arrow</v>
      </c>
      <c r="X1823" t="str">
        <f>IFERROR(INDEX(Stores!$B:$B,MATCH(E1823,Stores!$A:$A,0)),"Unknown")</f>
        <v>TrendMart Thiruvananthapuram High Street</v>
      </c>
      <c r="Y1823" t="str">
        <f>IFERROR(INDEX(Stores!$E:$E,MATCH(E1823,Stores!$A:$A,0)),"Unknown")</f>
        <v>South Zone 1</v>
      </c>
      <c r="Z1823" t="str">
        <f>IFERROR(INDEX(Customers!$J:$J,MATCH(C1823,Customers!$A:$A,0)),"Unknown")</f>
        <v>Platinum</v>
      </c>
      <c r="AA1823" t="str">
        <f t="shared" si="28"/>
        <v>2024-05</v>
      </c>
      <c r="AB1823" t="str">
        <f>IFERROR(INDEX(Products!$I:$I,MATCH(D1823,Products!$A:$A,0)),"Unknown")</f>
        <v>SUP087</v>
      </c>
    </row>
    <row r="1824" spans="1:28" x14ac:dyDescent="0.25">
      <c r="A1824" t="s">
        <v>3796</v>
      </c>
      <c r="B1824" s="20">
        <v>45492</v>
      </c>
      <c r="C1824" t="s">
        <v>2420</v>
      </c>
      <c r="D1824" t="s">
        <v>1390</v>
      </c>
      <c r="E1824" t="s">
        <v>461</v>
      </c>
      <c r="F1824" t="s">
        <v>462</v>
      </c>
      <c r="G1824">
        <v>0</v>
      </c>
      <c r="H1824" s="21">
        <v>5962.87</v>
      </c>
      <c r="I1824">
        <v>30</v>
      </c>
      <c r="J1824" s="21">
        <v>0</v>
      </c>
      <c r="K1824">
        <v>12</v>
      </c>
      <c r="L1824" s="21">
        <v>0</v>
      </c>
      <c r="M1824" s="21">
        <v>0</v>
      </c>
      <c r="N1824" s="21">
        <v>0</v>
      </c>
      <c r="O1824" s="21">
        <v>0</v>
      </c>
      <c r="P1824" t="s">
        <v>123</v>
      </c>
      <c r="Q1824" t="s">
        <v>122</v>
      </c>
      <c r="R1824" t="s">
        <v>482</v>
      </c>
      <c r="S1824" t="s">
        <v>2346</v>
      </c>
      <c r="T1824" t="s">
        <v>153</v>
      </c>
      <c r="U1824" t="s">
        <v>154</v>
      </c>
      <c r="V1824" t="str">
        <f>IFERROR(INDEX(Products!$C:$C,MATCH(D1824,Products!$A:$A,0)),"Unknown")</f>
        <v>Watches</v>
      </c>
      <c r="W1824" t="str">
        <f>IFERROR(INDEX(Products!$E:$E,MATCH(D1824,Products!$A:$A,0)),"Unknown")</f>
        <v>Metro Shoes</v>
      </c>
      <c r="X1824" t="str">
        <f>IFERROR(INDEX(Stores!$B:$B,MATCH(E1824,Stores!$A:$A,0)),"Unknown")</f>
        <v>TrendMart Visakhapatnam High Street</v>
      </c>
      <c r="Y1824" t="str">
        <f>IFERROR(INDEX(Stores!$E:$E,MATCH(E1824,Stores!$A:$A,0)),"Unknown")</f>
        <v>South Zone 3</v>
      </c>
      <c r="Z1824" t="str">
        <f>IFERROR(INDEX(Customers!$J:$J,MATCH(C1824,Customers!$A:$A,0)),"Unknown")</f>
        <v>Gold</v>
      </c>
      <c r="AA1824" t="str">
        <f t="shared" si="28"/>
        <v>2024-07</v>
      </c>
      <c r="AB1824" t="str">
        <f>IFERROR(INDEX(Products!$I:$I,MATCH(D1824,Products!$A:$A,0)),"Unknown")</f>
        <v>SUP005</v>
      </c>
    </row>
    <row r="1825" spans="1:28" x14ac:dyDescent="0.25">
      <c r="A1825" t="s">
        <v>3797</v>
      </c>
      <c r="B1825" s="20">
        <v>45384</v>
      </c>
      <c r="C1825" t="s">
        <v>3798</v>
      </c>
      <c r="D1825" t="s">
        <v>670</v>
      </c>
      <c r="E1825" t="s">
        <v>910</v>
      </c>
      <c r="F1825" t="s">
        <v>221</v>
      </c>
      <c r="G1825">
        <v>1</v>
      </c>
      <c r="H1825" s="21">
        <v>1901.56</v>
      </c>
      <c r="I1825">
        <v>10</v>
      </c>
      <c r="J1825" s="21">
        <v>190.16</v>
      </c>
      <c r="K1825">
        <v>12</v>
      </c>
      <c r="L1825" s="21">
        <v>205.37</v>
      </c>
      <c r="M1825" s="21">
        <v>1916.77</v>
      </c>
      <c r="N1825" s="21">
        <v>1378.38</v>
      </c>
      <c r="O1825" s="21">
        <v>333.02</v>
      </c>
      <c r="P1825" t="s">
        <v>124</v>
      </c>
      <c r="Q1825" t="s">
        <v>120</v>
      </c>
      <c r="R1825" t="s">
        <v>151</v>
      </c>
      <c r="S1825" t="s">
        <v>1157</v>
      </c>
      <c r="T1825" t="s">
        <v>153</v>
      </c>
      <c r="U1825" t="s">
        <v>154</v>
      </c>
      <c r="V1825" t="str">
        <f>IFERROR(INDEX(Products!$C:$C,MATCH(D1825,Products!$A:$A,0)),"Unknown")</f>
        <v>Women Sarees</v>
      </c>
      <c r="W1825" t="str">
        <f>IFERROR(INDEX(Products!$E:$E,MATCH(D1825,Products!$A:$A,0)),"Unknown")</f>
        <v>Reebok</v>
      </c>
      <c r="X1825" t="str">
        <f>IFERROR(INDEX(Stores!$B:$B,MATCH(E1825,Stores!$A:$A,0)),"Unknown")</f>
        <v>TrendMart Karimnagar Standard</v>
      </c>
      <c r="Y1825" t="str">
        <f>IFERROR(INDEX(Stores!$E:$E,MATCH(E1825,Stores!$A:$A,0)),"Unknown")</f>
        <v>South Zone 2</v>
      </c>
      <c r="Z1825" t="str">
        <f>IFERROR(INDEX(Customers!$J:$J,MATCH(C1825,Customers!$A:$A,0)),"Unknown")</f>
        <v>Regular</v>
      </c>
      <c r="AA1825" t="str">
        <f t="shared" si="28"/>
        <v>2024-04</v>
      </c>
      <c r="AB1825" t="str">
        <f>IFERROR(INDEX(Products!$I:$I,MATCH(D1825,Products!$A:$A,0)),"Unknown")</f>
        <v>SUP073</v>
      </c>
    </row>
    <row r="1826" spans="1:28" x14ac:dyDescent="0.25">
      <c r="A1826" t="s">
        <v>3799</v>
      </c>
      <c r="B1826" s="20">
        <v>45621</v>
      </c>
      <c r="C1826" t="s">
        <v>2204</v>
      </c>
      <c r="D1826" t="s">
        <v>1156</v>
      </c>
      <c r="E1826" t="s">
        <v>99</v>
      </c>
      <c r="F1826" t="s">
        <v>165</v>
      </c>
      <c r="G1826">
        <v>1</v>
      </c>
      <c r="H1826" s="21">
        <v>635.83000000000004</v>
      </c>
      <c r="I1826">
        <v>30</v>
      </c>
      <c r="J1826" s="21">
        <v>190.75</v>
      </c>
      <c r="K1826">
        <v>5</v>
      </c>
      <c r="L1826" s="21">
        <v>22.25</v>
      </c>
      <c r="M1826" s="21">
        <v>467.33</v>
      </c>
      <c r="N1826" s="21">
        <v>509.44</v>
      </c>
      <c r="O1826" s="21">
        <v>-64.36</v>
      </c>
      <c r="P1826" t="s">
        <v>124</v>
      </c>
      <c r="Q1826" t="s">
        <v>122</v>
      </c>
      <c r="R1826" t="s">
        <v>151</v>
      </c>
      <c r="S1826" t="s">
        <v>507</v>
      </c>
      <c r="T1826" t="s">
        <v>153</v>
      </c>
      <c r="U1826" t="s">
        <v>184</v>
      </c>
      <c r="V1826" t="str">
        <f>IFERROR(INDEX(Products!$C:$C,MATCH(D1826,Products!$A:$A,0)),"Unknown")</f>
        <v>Kids Wear</v>
      </c>
      <c r="W1826" t="str">
        <f>IFERROR(INDEX(Products!$E:$E,MATCH(D1826,Products!$A:$A,0)),"Unknown")</f>
        <v>Allen Solly</v>
      </c>
      <c r="X1826" t="str">
        <f>IFERROR(INDEX(Stores!$B:$B,MATCH(E1826,Stores!$A:$A,0)),"Unknown")</f>
        <v>TrendMart Hubballi Standard</v>
      </c>
      <c r="Y1826" t="str">
        <f>IFERROR(INDEX(Stores!$E:$E,MATCH(E1826,Stores!$A:$A,0)),"Unknown")</f>
        <v>South Zone 2</v>
      </c>
      <c r="Z1826" t="str">
        <f>IFERROR(INDEX(Customers!$J:$J,MATCH(C1826,Customers!$A:$A,0)),"Unknown")</f>
        <v>Silver</v>
      </c>
      <c r="AA1826" t="str">
        <f t="shared" si="28"/>
        <v>2024-11</v>
      </c>
      <c r="AB1826" t="str">
        <f>IFERROR(INDEX(Products!$I:$I,MATCH(D1826,Products!$A:$A,0)),"Unknown")</f>
        <v>SUP026</v>
      </c>
    </row>
    <row r="1827" spans="1:28" x14ac:dyDescent="0.25">
      <c r="A1827" t="s">
        <v>3800</v>
      </c>
      <c r="B1827" s="20">
        <v>45577</v>
      </c>
      <c r="C1827" t="s">
        <v>2657</v>
      </c>
      <c r="D1827" t="s">
        <v>780</v>
      </c>
      <c r="E1827" t="s">
        <v>1002</v>
      </c>
      <c r="F1827" t="s">
        <v>596</v>
      </c>
      <c r="G1827">
        <v>4</v>
      </c>
      <c r="H1827" s="21">
        <v>4174.7</v>
      </c>
      <c r="I1827">
        <v>5</v>
      </c>
      <c r="J1827" s="21">
        <v>834.94</v>
      </c>
      <c r="K1827">
        <v>12</v>
      </c>
      <c r="L1827" s="21">
        <v>1903.66</v>
      </c>
      <c r="M1827" s="21">
        <v>17767.52</v>
      </c>
      <c r="N1827" s="21">
        <v>11334.44</v>
      </c>
      <c r="O1827" s="21">
        <v>4529.42</v>
      </c>
      <c r="P1827" t="s">
        <v>125</v>
      </c>
      <c r="Q1827" t="s">
        <v>122</v>
      </c>
      <c r="R1827" t="s">
        <v>151</v>
      </c>
      <c r="S1827" t="s">
        <v>2480</v>
      </c>
      <c r="T1827" t="s">
        <v>161</v>
      </c>
      <c r="U1827" t="s">
        <v>154</v>
      </c>
      <c r="V1827" t="str">
        <f>IFERROR(INDEX(Products!$C:$C,MATCH(D1827,Products!$A:$A,0)),"Unknown")</f>
        <v>Watches</v>
      </c>
      <c r="W1827" t="str">
        <f>IFERROR(INDEX(Products!$E:$E,MATCH(D1827,Products!$A:$A,0)),"Unknown")</f>
        <v>Mufti</v>
      </c>
      <c r="X1827" t="str">
        <f>IFERROR(INDEX(Stores!$B:$B,MATCH(E1827,Stores!$A:$A,0)),"Unknown")</f>
        <v>TrendMart Coimbatore Mall Kiosk</v>
      </c>
      <c r="Y1827" t="str">
        <f>IFERROR(INDEX(Stores!$E:$E,MATCH(E1827,Stores!$A:$A,0)),"Unknown")</f>
        <v>South Zone 1</v>
      </c>
      <c r="Z1827" t="str">
        <f>IFERROR(INDEX(Customers!$J:$J,MATCH(C1827,Customers!$A:$A,0)),"Unknown")</f>
        <v>Silver</v>
      </c>
      <c r="AA1827" t="str">
        <f t="shared" si="28"/>
        <v>2024-10</v>
      </c>
      <c r="AB1827" t="str">
        <f>IFERROR(INDEX(Products!$I:$I,MATCH(D1827,Products!$A:$A,0)),"Unknown")</f>
        <v>SUP063</v>
      </c>
    </row>
    <row r="1828" spans="1:28" x14ac:dyDescent="0.25">
      <c r="A1828" t="s">
        <v>3801</v>
      </c>
      <c r="B1828" s="20">
        <v>45604</v>
      </c>
      <c r="C1828" t="s">
        <v>1530</v>
      </c>
      <c r="D1828" t="s">
        <v>888</v>
      </c>
      <c r="E1828" t="s">
        <v>1171</v>
      </c>
      <c r="F1828" t="s">
        <v>211</v>
      </c>
      <c r="G1828">
        <v>1</v>
      </c>
      <c r="H1828" s="21">
        <v>6305.1</v>
      </c>
      <c r="I1828">
        <v>30</v>
      </c>
      <c r="J1828" s="21">
        <v>1891.53</v>
      </c>
      <c r="K1828">
        <v>3</v>
      </c>
      <c r="L1828" s="21">
        <v>132.41</v>
      </c>
      <c r="M1828" s="21">
        <v>4545.9799999999996</v>
      </c>
      <c r="N1828" s="21">
        <v>4762.76</v>
      </c>
      <c r="O1828" s="21">
        <v>-349.19</v>
      </c>
      <c r="P1828" t="s">
        <v>124</v>
      </c>
      <c r="Q1828" t="s">
        <v>122</v>
      </c>
      <c r="R1828" t="s">
        <v>151</v>
      </c>
      <c r="S1828" t="s">
        <v>1583</v>
      </c>
      <c r="T1828" t="s">
        <v>153</v>
      </c>
      <c r="U1828" t="s">
        <v>184</v>
      </c>
      <c r="V1828" t="str">
        <f>IFERROR(INDEX(Products!$C:$C,MATCH(D1828,Products!$A:$A,0)),"Unknown")</f>
        <v>Jewellery</v>
      </c>
      <c r="W1828" t="str">
        <f>IFERROR(INDEX(Products!$E:$E,MATCH(D1828,Products!$A:$A,0)),"Unknown")</f>
        <v>Aurelia</v>
      </c>
      <c r="X1828" t="str">
        <f>IFERROR(INDEX(Stores!$B:$B,MATCH(E1828,Stores!$A:$A,0)),"Unknown")</f>
        <v>TrendMart Chennai Standard</v>
      </c>
      <c r="Y1828" t="str">
        <f>IFERROR(INDEX(Stores!$E:$E,MATCH(E1828,Stores!$A:$A,0)),"Unknown")</f>
        <v>South Zone 1</v>
      </c>
      <c r="Z1828" t="str">
        <f>IFERROR(INDEX(Customers!$J:$J,MATCH(C1828,Customers!$A:$A,0)),"Unknown")</f>
        <v>Regular</v>
      </c>
      <c r="AA1828" t="str">
        <f t="shared" si="28"/>
        <v>2024-11</v>
      </c>
      <c r="AB1828" t="str">
        <f>IFERROR(INDEX(Products!$I:$I,MATCH(D1828,Products!$A:$A,0)),"Unknown")</f>
        <v>SUP038</v>
      </c>
    </row>
    <row r="1829" spans="1:28" x14ac:dyDescent="0.25">
      <c r="A1829" t="s">
        <v>3802</v>
      </c>
      <c r="B1829" s="20">
        <v>45746</v>
      </c>
      <c r="C1829" t="s">
        <v>3710</v>
      </c>
      <c r="D1829" t="s">
        <v>1101</v>
      </c>
      <c r="E1829" t="s">
        <v>97</v>
      </c>
      <c r="F1829" t="s">
        <v>258</v>
      </c>
      <c r="G1829">
        <v>2</v>
      </c>
      <c r="H1829" s="21">
        <v>839.37</v>
      </c>
      <c r="I1829">
        <v>0</v>
      </c>
      <c r="J1829" s="21">
        <v>0</v>
      </c>
      <c r="K1829">
        <v>5</v>
      </c>
      <c r="L1829" s="21">
        <v>83.94</v>
      </c>
      <c r="M1829" s="21">
        <v>1762.68</v>
      </c>
      <c r="N1829" s="21">
        <v>1130.9000000000001</v>
      </c>
      <c r="O1829" s="21">
        <v>547.84</v>
      </c>
      <c r="P1829" t="s">
        <v>125</v>
      </c>
      <c r="Q1829" t="s">
        <v>120</v>
      </c>
      <c r="R1829" t="s">
        <v>151</v>
      </c>
      <c r="S1829" t="s">
        <v>2288</v>
      </c>
      <c r="T1829" t="s">
        <v>161</v>
      </c>
      <c r="U1829" t="s">
        <v>154</v>
      </c>
      <c r="V1829" t="str">
        <f>IFERROR(INDEX(Products!$C:$C,MATCH(D1829,Products!$A:$A,0)),"Unknown")</f>
        <v>Kids Wear</v>
      </c>
      <c r="W1829" t="str">
        <f>IFERROR(INDEX(Products!$E:$E,MATCH(D1829,Products!$A:$A,0)),"Unknown")</f>
        <v>Woodland</v>
      </c>
      <c r="X1829" t="str">
        <f>IFERROR(INDEX(Stores!$B:$B,MATCH(E1829,Stores!$A:$A,0)),"Unknown")</f>
        <v>TrendMart Guntur Flagship</v>
      </c>
      <c r="Y1829" t="str">
        <f>IFERROR(INDEX(Stores!$E:$E,MATCH(E1829,Stores!$A:$A,0)),"Unknown")</f>
        <v>South Zone 3</v>
      </c>
      <c r="Z1829" t="str">
        <f>IFERROR(INDEX(Customers!$J:$J,MATCH(C1829,Customers!$A:$A,0)),"Unknown")</f>
        <v>Silver</v>
      </c>
      <c r="AA1829" t="str">
        <f t="shared" si="28"/>
        <v>2025-03</v>
      </c>
      <c r="AB1829" t="str">
        <f>IFERROR(INDEX(Products!$I:$I,MATCH(D1829,Products!$A:$A,0)),"Unknown")</f>
        <v>SUP010</v>
      </c>
    </row>
    <row r="1830" spans="1:28" x14ac:dyDescent="0.25">
      <c r="A1830" t="s">
        <v>3803</v>
      </c>
      <c r="B1830" s="20">
        <v>45560</v>
      </c>
      <c r="C1830" t="s">
        <v>2802</v>
      </c>
      <c r="D1830" t="s">
        <v>654</v>
      </c>
      <c r="E1830" t="s">
        <v>914</v>
      </c>
      <c r="F1830" t="s">
        <v>532</v>
      </c>
      <c r="G1830">
        <v>4</v>
      </c>
      <c r="H1830" s="21">
        <v>1115.06</v>
      </c>
      <c r="I1830">
        <v>0</v>
      </c>
      <c r="J1830" s="21">
        <v>0</v>
      </c>
      <c r="K1830">
        <v>12</v>
      </c>
      <c r="L1830" s="21">
        <v>535.23</v>
      </c>
      <c r="M1830" s="21">
        <v>4995.47</v>
      </c>
      <c r="N1830" s="21">
        <v>3461.68</v>
      </c>
      <c r="O1830" s="21">
        <v>998.56</v>
      </c>
      <c r="P1830" t="s">
        <v>123</v>
      </c>
      <c r="Q1830" t="s">
        <v>120</v>
      </c>
      <c r="R1830" t="s">
        <v>151</v>
      </c>
      <c r="S1830" t="s">
        <v>2948</v>
      </c>
      <c r="T1830" t="s">
        <v>153</v>
      </c>
      <c r="U1830" t="s">
        <v>154</v>
      </c>
      <c r="V1830" t="str">
        <f>IFERROR(INDEX(Products!$C:$C,MATCH(D1830,Products!$A:$A,0)),"Unknown")</f>
        <v>Women Dresses</v>
      </c>
      <c r="W1830" t="str">
        <f>IFERROR(INDEX(Products!$E:$E,MATCH(D1830,Products!$A:$A,0)),"Unknown")</f>
        <v>Indian Terrain</v>
      </c>
      <c r="X1830" t="str">
        <f>IFERROR(INDEX(Stores!$B:$B,MATCH(E1830,Stores!$A:$A,0)),"Unknown")</f>
        <v>TrendMart Thiruvananthapuram Outlet</v>
      </c>
      <c r="Y1830" t="str">
        <f>IFERROR(INDEX(Stores!$E:$E,MATCH(E1830,Stores!$A:$A,0)),"Unknown")</f>
        <v>South Zone 1</v>
      </c>
      <c r="Z1830" t="str">
        <f>IFERROR(INDEX(Customers!$J:$J,MATCH(C1830,Customers!$A:$A,0)),"Unknown")</f>
        <v>Regular</v>
      </c>
      <c r="AA1830" t="str">
        <f t="shared" si="28"/>
        <v>2024-09</v>
      </c>
      <c r="AB1830" t="str">
        <f>IFERROR(INDEX(Products!$I:$I,MATCH(D1830,Products!$A:$A,0)),"Unknown")</f>
        <v>SUP049</v>
      </c>
    </row>
    <row r="1831" spans="1:28" x14ac:dyDescent="0.25">
      <c r="A1831" t="s">
        <v>3804</v>
      </c>
      <c r="B1831" s="20">
        <v>45735</v>
      </c>
      <c r="C1831" t="s">
        <v>3576</v>
      </c>
      <c r="D1831" t="s">
        <v>1088</v>
      </c>
      <c r="E1831" t="s">
        <v>1074</v>
      </c>
      <c r="F1831" t="s">
        <v>237</v>
      </c>
      <c r="G1831">
        <v>2</v>
      </c>
      <c r="H1831" s="21">
        <v>899.87</v>
      </c>
      <c r="I1831">
        <v>5</v>
      </c>
      <c r="J1831" s="21">
        <v>89.99</v>
      </c>
      <c r="K1831">
        <v>5</v>
      </c>
      <c r="L1831" s="21">
        <v>85.49</v>
      </c>
      <c r="M1831" s="21">
        <v>1795.24</v>
      </c>
      <c r="N1831" s="21">
        <v>1198.56</v>
      </c>
      <c r="O1831" s="21">
        <v>511.19</v>
      </c>
      <c r="P1831" t="s">
        <v>121</v>
      </c>
      <c r="Q1831" t="s">
        <v>120</v>
      </c>
      <c r="R1831" t="s">
        <v>151</v>
      </c>
      <c r="S1831" t="s">
        <v>2900</v>
      </c>
      <c r="T1831" t="s">
        <v>153</v>
      </c>
      <c r="U1831" t="s">
        <v>154</v>
      </c>
      <c r="V1831" t="str">
        <f>IFERROR(INDEX(Products!$C:$C,MATCH(D1831,Products!$A:$A,0)),"Unknown")</f>
        <v>Women Kurtis</v>
      </c>
      <c r="W1831" t="str">
        <f>IFERROR(INDEX(Products!$E:$E,MATCH(D1831,Products!$A:$A,0)),"Unknown")</f>
        <v>Metro Shoes</v>
      </c>
      <c r="X1831" t="str">
        <f>IFERROR(INDEX(Stores!$B:$B,MATCH(E1831,Stores!$A:$A,0)),"Unknown")</f>
        <v>TrendMart Hyderabad Standard</v>
      </c>
      <c r="Y1831" t="str">
        <f>IFERROR(INDEX(Stores!$E:$E,MATCH(E1831,Stores!$A:$A,0)),"Unknown")</f>
        <v>South Zone 2</v>
      </c>
      <c r="Z1831" t="str">
        <f>IFERROR(INDEX(Customers!$J:$J,MATCH(C1831,Customers!$A:$A,0)),"Unknown")</f>
        <v>Gold</v>
      </c>
      <c r="AA1831" t="str">
        <f t="shared" si="28"/>
        <v>2025-03</v>
      </c>
      <c r="AB1831" t="str">
        <f>IFERROR(INDEX(Products!$I:$I,MATCH(D1831,Products!$A:$A,0)),"Unknown")</f>
        <v>SUP045</v>
      </c>
    </row>
    <row r="1832" spans="1:28" x14ac:dyDescent="0.25">
      <c r="A1832" t="s">
        <v>3805</v>
      </c>
      <c r="B1832" s="20">
        <v>45739</v>
      </c>
      <c r="C1832" t="s">
        <v>3277</v>
      </c>
      <c r="D1832" t="s">
        <v>892</v>
      </c>
      <c r="E1832" t="s">
        <v>910</v>
      </c>
      <c r="F1832" t="s">
        <v>292</v>
      </c>
      <c r="G1832">
        <v>3</v>
      </c>
      <c r="H1832" s="21">
        <v>2816.04</v>
      </c>
      <c r="I1832">
        <v>0</v>
      </c>
      <c r="J1832" s="21">
        <v>0</v>
      </c>
      <c r="K1832">
        <v>12</v>
      </c>
      <c r="L1832" s="21">
        <v>1013.77</v>
      </c>
      <c r="M1832" s="21">
        <v>9461.89</v>
      </c>
      <c r="N1832" s="21">
        <v>5228.67</v>
      </c>
      <c r="O1832" s="21">
        <v>3219.45</v>
      </c>
      <c r="P1832" t="s">
        <v>121</v>
      </c>
      <c r="Q1832" t="s">
        <v>122</v>
      </c>
      <c r="R1832" t="s">
        <v>151</v>
      </c>
      <c r="S1832" t="s">
        <v>694</v>
      </c>
      <c r="T1832" t="s">
        <v>161</v>
      </c>
      <c r="U1832" t="s">
        <v>154</v>
      </c>
      <c r="V1832" t="str">
        <f>IFERROR(INDEX(Products!$C:$C,MATCH(D1832,Products!$A:$A,0)),"Unknown")</f>
        <v>Men Ethnic</v>
      </c>
      <c r="W1832" t="str">
        <f>IFERROR(INDEX(Products!$E:$E,MATCH(D1832,Products!$A:$A,0)),"Unknown")</f>
        <v>Blackberrys</v>
      </c>
      <c r="X1832" t="str">
        <f>IFERROR(INDEX(Stores!$B:$B,MATCH(E1832,Stores!$A:$A,0)),"Unknown")</f>
        <v>TrendMart Karimnagar Standard</v>
      </c>
      <c r="Y1832" t="str">
        <f>IFERROR(INDEX(Stores!$E:$E,MATCH(E1832,Stores!$A:$A,0)),"Unknown")</f>
        <v>South Zone 2</v>
      </c>
      <c r="Z1832" t="str">
        <f>IFERROR(INDEX(Customers!$J:$J,MATCH(C1832,Customers!$A:$A,0)),"Unknown")</f>
        <v>Gold</v>
      </c>
      <c r="AA1832" t="str">
        <f t="shared" si="28"/>
        <v>2025-03</v>
      </c>
      <c r="AB1832" t="str">
        <f>IFERROR(INDEX(Products!$I:$I,MATCH(D1832,Products!$A:$A,0)),"Unknown")</f>
        <v>SUP084</v>
      </c>
    </row>
    <row r="1833" spans="1:28" x14ac:dyDescent="0.25">
      <c r="A1833" t="s">
        <v>3806</v>
      </c>
      <c r="B1833" s="20">
        <v>45520</v>
      </c>
      <c r="C1833" t="s">
        <v>809</v>
      </c>
      <c r="D1833" t="s">
        <v>756</v>
      </c>
      <c r="E1833" t="s">
        <v>1281</v>
      </c>
      <c r="F1833" t="s">
        <v>258</v>
      </c>
      <c r="G1833">
        <v>2</v>
      </c>
      <c r="H1833" s="21">
        <v>761.96</v>
      </c>
      <c r="I1833">
        <v>30</v>
      </c>
      <c r="J1833" s="21">
        <v>457.18</v>
      </c>
      <c r="K1833">
        <v>5</v>
      </c>
      <c r="L1833" s="21">
        <v>53.34</v>
      </c>
      <c r="M1833" s="21">
        <v>1120.08</v>
      </c>
      <c r="N1833" s="21">
        <v>1044.76</v>
      </c>
      <c r="O1833" s="21">
        <v>21.98</v>
      </c>
      <c r="P1833" t="s">
        <v>126</v>
      </c>
      <c r="Q1833" t="s">
        <v>122</v>
      </c>
      <c r="R1833" t="s">
        <v>313</v>
      </c>
      <c r="S1833" t="s">
        <v>542</v>
      </c>
      <c r="T1833" t="s">
        <v>153</v>
      </c>
      <c r="U1833" t="s">
        <v>154</v>
      </c>
      <c r="V1833" t="str">
        <f>IFERROR(INDEX(Products!$C:$C,MATCH(D1833,Products!$A:$A,0)),"Unknown")</f>
        <v>Women Tops</v>
      </c>
      <c r="W1833" t="str">
        <f>IFERROR(INDEX(Products!$E:$E,MATCH(D1833,Products!$A:$A,0)),"Unknown")</f>
        <v>Peter England</v>
      </c>
      <c r="X1833" t="str">
        <f>IFERROR(INDEX(Stores!$B:$B,MATCH(E1833,Stores!$A:$A,0)),"Unknown")</f>
        <v>TrendMart Visakhapatnam Standard</v>
      </c>
      <c r="Y1833" t="str">
        <f>IFERROR(INDEX(Stores!$E:$E,MATCH(E1833,Stores!$A:$A,0)),"Unknown")</f>
        <v>South Zone 3</v>
      </c>
      <c r="Z1833" t="str">
        <f>IFERROR(INDEX(Customers!$J:$J,MATCH(C1833,Customers!$A:$A,0)),"Unknown")</f>
        <v>Regular</v>
      </c>
      <c r="AA1833" t="str">
        <f t="shared" si="28"/>
        <v>2024-08</v>
      </c>
      <c r="AB1833" t="str">
        <f>IFERROR(INDEX(Products!$I:$I,MATCH(D1833,Products!$A:$A,0)),"Unknown")</f>
        <v>SUP018</v>
      </c>
    </row>
    <row r="1834" spans="1:28" x14ac:dyDescent="0.25">
      <c r="A1834" t="s">
        <v>3807</v>
      </c>
      <c r="B1834" s="20">
        <v>45623</v>
      </c>
      <c r="C1834" t="s">
        <v>3245</v>
      </c>
      <c r="D1834" t="s">
        <v>1101</v>
      </c>
      <c r="E1834" t="s">
        <v>470</v>
      </c>
      <c r="F1834" t="s">
        <v>242</v>
      </c>
      <c r="G1834">
        <v>3</v>
      </c>
      <c r="H1834" s="21">
        <v>830.76</v>
      </c>
      <c r="I1834">
        <v>30</v>
      </c>
      <c r="J1834" s="21">
        <v>747.68</v>
      </c>
      <c r="K1834">
        <v>5</v>
      </c>
      <c r="L1834" s="21">
        <v>87.23</v>
      </c>
      <c r="M1834" s="21">
        <v>1831.83</v>
      </c>
      <c r="N1834" s="21">
        <v>1696.35</v>
      </c>
      <c r="O1834" s="21">
        <v>48.25</v>
      </c>
      <c r="P1834" t="s">
        <v>121</v>
      </c>
      <c r="Q1834" t="s">
        <v>120</v>
      </c>
      <c r="R1834" t="s">
        <v>151</v>
      </c>
      <c r="S1834" t="s">
        <v>3484</v>
      </c>
      <c r="T1834" t="s">
        <v>153</v>
      </c>
      <c r="U1834" t="s">
        <v>154</v>
      </c>
      <c r="V1834" t="str">
        <f>IFERROR(INDEX(Products!$C:$C,MATCH(D1834,Products!$A:$A,0)),"Unknown")</f>
        <v>Kids Wear</v>
      </c>
      <c r="W1834" t="str">
        <f>IFERROR(INDEX(Products!$E:$E,MATCH(D1834,Products!$A:$A,0)),"Unknown")</f>
        <v>Woodland</v>
      </c>
      <c r="X1834" t="str">
        <f>IFERROR(INDEX(Stores!$B:$B,MATCH(E1834,Stores!$A:$A,0)),"Unknown")</f>
        <v>TrendMart Thiruvananthapuram High Street</v>
      </c>
      <c r="Y1834" t="str">
        <f>IFERROR(INDEX(Stores!$E:$E,MATCH(E1834,Stores!$A:$A,0)),"Unknown")</f>
        <v>South Zone 1</v>
      </c>
      <c r="Z1834" t="str">
        <f>IFERROR(INDEX(Customers!$J:$J,MATCH(C1834,Customers!$A:$A,0)),"Unknown")</f>
        <v>Silver</v>
      </c>
      <c r="AA1834" t="str">
        <f t="shared" si="28"/>
        <v>2024-11</v>
      </c>
      <c r="AB1834" t="str">
        <f>IFERROR(INDEX(Products!$I:$I,MATCH(D1834,Products!$A:$A,0)),"Unknown")</f>
        <v>SUP010</v>
      </c>
    </row>
    <row r="1835" spans="1:28" x14ac:dyDescent="0.25">
      <c r="A1835" t="s">
        <v>3808</v>
      </c>
      <c r="B1835" s="20">
        <v>45605</v>
      </c>
      <c r="C1835" t="s">
        <v>1857</v>
      </c>
      <c r="D1835" t="s">
        <v>2751</v>
      </c>
      <c r="E1835" t="s">
        <v>95</v>
      </c>
      <c r="F1835" t="s">
        <v>221</v>
      </c>
      <c r="G1835">
        <v>1</v>
      </c>
      <c r="H1835" s="21">
        <v>470.62</v>
      </c>
      <c r="I1835">
        <v>10</v>
      </c>
      <c r="J1835" s="21">
        <v>47.06</v>
      </c>
      <c r="K1835">
        <v>5</v>
      </c>
      <c r="L1835" s="21">
        <v>21.18</v>
      </c>
      <c r="M1835" s="21">
        <v>444.74</v>
      </c>
      <c r="N1835" s="21">
        <v>319.07</v>
      </c>
      <c r="O1835" s="21">
        <v>104.49</v>
      </c>
      <c r="P1835" t="s">
        <v>121</v>
      </c>
      <c r="Q1835" t="s">
        <v>122</v>
      </c>
      <c r="R1835" t="s">
        <v>151</v>
      </c>
      <c r="S1835" t="s">
        <v>2070</v>
      </c>
      <c r="T1835" t="s">
        <v>161</v>
      </c>
      <c r="U1835" t="s">
        <v>154</v>
      </c>
      <c r="V1835" t="str">
        <f>IFERROR(INDEX(Products!$C:$C,MATCH(D1835,Products!$A:$A,0)),"Unknown")</f>
        <v>Belts</v>
      </c>
      <c r="W1835" t="str">
        <f>IFERROR(INDEX(Products!$E:$E,MATCH(D1835,Products!$A:$A,0)),"Unknown")</f>
        <v>AND</v>
      </c>
      <c r="X1835" t="str">
        <f>IFERROR(INDEX(Stores!$B:$B,MATCH(E1835,Stores!$A:$A,0)),"Unknown")</f>
        <v>TrendMart Thrissur Standard</v>
      </c>
      <c r="Y1835" t="str">
        <f>IFERROR(INDEX(Stores!$E:$E,MATCH(E1835,Stores!$A:$A,0)),"Unknown")</f>
        <v>South Zone 1</v>
      </c>
      <c r="Z1835" t="str">
        <f>IFERROR(INDEX(Customers!$J:$J,MATCH(C1835,Customers!$A:$A,0)),"Unknown")</f>
        <v>Regular</v>
      </c>
      <c r="AA1835" t="str">
        <f t="shared" si="28"/>
        <v>2024-11</v>
      </c>
      <c r="AB1835" t="str">
        <f>IFERROR(INDEX(Products!$I:$I,MATCH(D1835,Products!$A:$A,0)),"Unknown")</f>
        <v>SUP026</v>
      </c>
    </row>
    <row r="1836" spans="1:28" x14ac:dyDescent="0.25">
      <c r="A1836" t="s">
        <v>3809</v>
      </c>
      <c r="B1836" s="20">
        <v>45499</v>
      </c>
      <c r="C1836" t="s">
        <v>459</v>
      </c>
      <c r="D1836" t="s">
        <v>629</v>
      </c>
      <c r="E1836" t="s">
        <v>280</v>
      </c>
      <c r="F1836" t="s">
        <v>579</v>
      </c>
      <c r="G1836">
        <v>3</v>
      </c>
      <c r="H1836" s="21">
        <v>6736.69</v>
      </c>
      <c r="I1836">
        <v>25</v>
      </c>
      <c r="J1836" s="21">
        <v>5052.5200000000004</v>
      </c>
      <c r="K1836">
        <v>3</v>
      </c>
      <c r="L1836" s="21">
        <v>454.73</v>
      </c>
      <c r="M1836" s="21">
        <v>15612.28</v>
      </c>
      <c r="N1836" s="21">
        <v>14601.63</v>
      </c>
      <c r="O1836" s="21">
        <v>555.91999999999996</v>
      </c>
      <c r="P1836" t="s">
        <v>123</v>
      </c>
      <c r="Q1836" t="s">
        <v>120</v>
      </c>
      <c r="R1836" t="s">
        <v>151</v>
      </c>
      <c r="S1836" t="s">
        <v>1733</v>
      </c>
      <c r="T1836" t="s">
        <v>153</v>
      </c>
      <c r="U1836" t="s">
        <v>154</v>
      </c>
      <c r="V1836" t="str">
        <f>IFERROR(INDEX(Products!$C:$C,MATCH(D1836,Products!$A:$A,0)),"Unknown")</f>
        <v>Jewellery</v>
      </c>
      <c r="W1836" t="str">
        <f>IFERROR(INDEX(Products!$E:$E,MATCH(D1836,Products!$A:$A,0)),"Unknown")</f>
        <v>Global Desi</v>
      </c>
      <c r="X1836" t="str">
        <f>IFERROR(INDEX(Stores!$B:$B,MATCH(E1836,Stores!$A:$A,0)),"Unknown")</f>
        <v>TrendMart Chennai Standard</v>
      </c>
      <c r="Y1836" t="str">
        <f>IFERROR(INDEX(Stores!$E:$E,MATCH(E1836,Stores!$A:$A,0)),"Unknown")</f>
        <v>South Zone 1</v>
      </c>
      <c r="Z1836" t="str">
        <f>IFERROR(INDEX(Customers!$J:$J,MATCH(C1836,Customers!$A:$A,0)),"Unknown")</f>
        <v>Gold</v>
      </c>
      <c r="AA1836" t="str">
        <f t="shared" si="28"/>
        <v>2024-07</v>
      </c>
      <c r="AB1836" t="str">
        <f>IFERROR(INDEX(Products!$I:$I,MATCH(D1836,Products!$A:$A,0)),"Unknown")</f>
        <v>SUP066</v>
      </c>
    </row>
    <row r="1837" spans="1:28" x14ac:dyDescent="0.25">
      <c r="A1837" t="s">
        <v>3810</v>
      </c>
      <c r="B1837" s="20">
        <v>45701</v>
      </c>
      <c r="C1837" t="s">
        <v>1173</v>
      </c>
      <c r="D1837" t="s">
        <v>814</v>
      </c>
      <c r="E1837" t="s">
        <v>396</v>
      </c>
      <c r="F1837" t="s">
        <v>532</v>
      </c>
      <c r="G1837">
        <v>1</v>
      </c>
      <c r="H1837" s="21">
        <v>597.85</v>
      </c>
      <c r="I1837">
        <v>25</v>
      </c>
      <c r="J1837" s="21">
        <v>149.46</v>
      </c>
      <c r="K1837">
        <v>5</v>
      </c>
      <c r="L1837" s="21">
        <v>22.42</v>
      </c>
      <c r="M1837" s="21">
        <v>470.81</v>
      </c>
      <c r="N1837" s="21">
        <v>364.61</v>
      </c>
      <c r="O1837" s="21">
        <v>83.78</v>
      </c>
      <c r="P1837" t="s">
        <v>123</v>
      </c>
      <c r="Q1837" t="s">
        <v>120</v>
      </c>
      <c r="R1837" t="s">
        <v>151</v>
      </c>
      <c r="S1837" t="s">
        <v>1184</v>
      </c>
      <c r="T1837" t="s">
        <v>153</v>
      </c>
      <c r="U1837" t="s">
        <v>154</v>
      </c>
      <c r="V1837" t="str">
        <f>IFERROR(INDEX(Products!$C:$C,MATCH(D1837,Products!$A:$A,0)),"Unknown")</f>
        <v>Men T-Shirts</v>
      </c>
      <c r="W1837" t="str">
        <f>IFERROR(INDEX(Products!$E:$E,MATCH(D1837,Products!$A:$A,0)),"Unknown")</f>
        <v>Woodland</v>
      </c>
      <c r="X1837" t="str">
        <f>IFERROR(INDEX(Stores!$B:$B,MATCH(E1837,Stores!$A:$A,0)),"Unknown")</f>
        <v>TrendMart Davanagere High Street</v>
      </c>
      <c r="Y1837" t="str">
        <f>IFERROR(INDEX(Stores!$E:$E,MATCH(E1837,Stores!$A:$A,0)),"Unknown")</f>
        <v>South Zone 2</v>
      </c>
      <c r="Z1837" t="str">
        <f>IFERROR(INDEX(Customers!$J:$J,MATCH(C1837,Customers!$A:$A,0)),"Unknown")</f>
        <v>Regular</v>
      </c>
      <c r="AA1837" t="str">
        <f t="shared" si="28"/>
        <v>2025-02</v>
      </c>
      <c r="AB1837" t="str">
        <f>IFERROR(INDEX(Products!$I:$I,MATCH(D1837,Products!$A:$A,0)),"Unknown")</f>
        <v>SUP051</v>
      </c>
    </row>
    <row r="1838" spans="1:28" x14ac:dyDescent="0.25">
      <c r="A1838" t="s">
        <v>3811</v>
      </c>
      <c r="B1838" s="20">
        <v>45708</v>
      </c>
      <c r="C1838" t="s">
        <v>163</v>
      </c>
      <c r="D1838" t="s">
        <v>751</v>
      </c>
      <c r="E1838" t="s">
        <v>216</v>
      </c>
      <c r="F1838" t="s">
        <v>237</v>
      </c>
      <c r="G1838">
        <v>1</v>
      </c>
      <c r="H1838" s="21">
        <v>1350.54</v>
      </c>
      <c r="I1838">
        <v>15</v>
      </c>
      <c r="J1838" s="21">
        <v>202.58</v>
      </c>
      <c r="K1838">
        <v>12</v>
      </c>
      <c r="L1838" s="21">
        <v>137.76</v>
      </c>
      <c r="M1838" s="21">
        <v>1285.72</v>
      </c>
      <c r="N1838" s="21">
        <v>939.13</v>
      </c>
      <c r="O1838" s="21">
        <v>208.83</v>
      </c>
      <c r="P1838" t="s">
        <v>124</v>
      </c>
      <c r="Q1838" t="s">
        <v>122</v>
      </c>
      <c r="R1838" t="s">
        <v>151</v>
      </c>
      <c r="S1838" t="s">
        <v>2480</v>
      </c>
      <c r="T1838" t="s">
        <v>153</v>
      </c>
      <c r="U1838" t="s">
        <v>154</v>
      </c>
      <c r="V1838" t="str">
        <f>IFERROR(INDEX(Products!$C:$C,MATCH(D1838,Products!$A:$A,0)),"Unknown")</f>
        <v>Wallets</v>
      </c>
      <c r="W1838" t="str">
        <f>IFERROR(INDEX(Products!$E:$E,MATCH(D1838,Products!$A:$A,0)),"Unknown")</f>
        <v>Numero Uno</v>
      </c>
      <c r="X1838" t="str">
        <f>IFERROR(INDEX(Stores!$B:$B,MATCH(E1838,Stores!$A:$A,0)),"Unknown")</f>
        <v>TrendMart Madurai Mall Kiosk</v>
      </c>
      <c r="Y1838" t="str">
        <f>IFERROR(INDEX(Stores!$E:$E,MATCH(E1838,Stores!$A:$A,0)),"Unknown")</f>
        <v>South Zone 1</v>
      </c>
      <c r="Z1838" t="str">
        <f>IFERROR(INDEX(Customers!$J:$J,MATCH(C1838,Customers!$A:$A,0)),"Unknown")</f>
        <v>Silver</v>
      </c>
      <c r="AA1838" t="str">
        <f t="shared" si="28"/>
        <v>2025-02</v>
      </c>
      <c r="AB1838" t="str">
        <f>IFERROR(INDEX(Products!$I:$I,MATCH(D1838,Products!$A:$A,0)),"Unknown")</f>
        <v>SUP029</v>
      </c>
    </row>
    <row r="1839" spans="1:28" x14ac:dyDescent="0.25">
      <c r="A1839" t="s">
        <v>3812</v>
      </c>
      <c r="B1839" s="20">
        <v>45426</v>
      </c>
      <c r="C1839" t="s">
        <v>3813</v>
      </c>
      <c r="D1839" t="s">
        <v>424</v>
      </c>
      <c r="E1839" t="s">
        <v>442</v>
      </c>
      <c r="F1839" t="s">
        <v>532</v>
      </c>
      <c r="G1839">
        <v>0</v>
      </c>
      <c r="H1839" s="21">
        <v>322.99</v>
      </c>
      <c r="I1839">
        <v>0</v>
      </c>
      <c r="J1839" s="21">
        <v>0</v>
      </c>
      <c r="K1839">
        <v>5</v>
      </c>
      <c r="L1839" s="21">
        <v>0</v>
      </c>
      <c r="M1839" s="21">
        <v>0</v>
      </c>
      <c r="N1839" s="21">
        <v>0</v>
      </c>
      <c r="O1839" s="21">
        <v>0</v>
      </c>
      <c r="P1839" t="s">
        <v>121</v>
      </c>
      <c r="Q1839" t="s">
        <v>120</v>
      </c>
      <c r="R1839" t="s">
        <v>482</v>
      </c>
      <c r="S1839" t="s">
        <v>1339</v>
      </c>
      <c r="T1839" t="s">
        <v>153</v>
      </c>
      <c r="U1839" t="s">
        <v>154</v>
      </c>
      <c r="V1839" t="str">
        <f>IFERROR(INDEX(Products!$C:$C,MATCH(D1839,Products!$A:$A,0)),"Unknown")</f>
        <v>Belts</v>
      </c>
      <c r="W1839" t="str">
        <f>IFERROR(INDEX(Products!$E:$E,MATCH(D1839,Products!$A:$A,0)),"Unknown")</f>
        <v>Raymond</v>
      </c>
      <c r="X1839" t="str">
        <f>IFERROR(INDEX(Stores!$B:$B,MATCH(E1839,Stores!$A:$A,0)),"Unknown")</f>
        <v>TrendMart Bengaluru Standard</v>
      </c>
      <c r="Y1839" t="str">
        <f>IFERROR(INDEX(Stores!$E:$E,MATCH(E1839,Stores!$A:$A,0)),"Unknown")</f>
        <v>South Zone 2</v>
      </c>
      <c r="Z1839" t="str">
        <f>IFERROR(INDEX(Customers!$J:$J,MATCH(C1839,Customers!$A:$A,0)),"Unknown")</f>
        <v>Regular</v>
      </c>
      <c r="AA1839" t="str">
        <f t="shared" si="28"/>
        <v>2024-05</v>
      </c>
      <c r="AB1839" t="str">
        <f>IFERROR(INDEX(Products!$I:$I,MATCH(D1839,Products!$A:$A,0)),"Unknown")</f>
        <v>SUP002</v>
      </c>
    </row>
    <row r="1840" spans="1:28" x14ac:dyDescent="0.25">
      <c r="A1840" t="s">
        <v>3814</v>
      </c>
      <c r="B1840" s="20">
        <v>45521</v>
      </c>
      <c r="C1840" t="s">
        <v>2099</v>
      </c>
      <c r="D1840" t="s">
        <v>1616</v>
      </c>
      <c r="E1840" t="s">
        <v>1002</v>
      </c>
      <c r="F1840" t="s">
        <v>403</v>
      </c>
      <c r="G1840">
        <v>4</v>
      </c>
      <c r="H1840" s="21">
        <v>4935.79</v>
      </c>
      <c r="I1840">
        <v>20</v>
      </c>
      <c r="J1840" s="21">
        <v>3948.63</v>
      </c>
      <c r="K1840">
        <v>12</v>
      </c>
      <c r="L1840" s="21">
        <v>1895.34</v>
      </c>
      <c r="M1840" s="21">
        <v>17689.87</v>
      </c>
      <c r="N1840" s="21">
        <v>12092.52</v>
      </c>
      <c r="O1840" s="21">
        <v>3702.01</v>
      </c>
      <c r="P1840" t="s">
        <v>123</v>
      </c>
      <c r="Q1840" t="s">
        <v>122</v>
      </c>
      <c r="R1840" t="s">
        <v>151</v>
      </c>
      <c r="S1840" t="s">
        <v>3138</v>
      </c>
      <c r="T1840" t="s">
        <v>161</v>
      </c>
      <c r="U1840" t="s">
        <v>154</v>
      </c>
      <c r="V1840" t="str">
        <f>IFERROR(INDEX(Products!$C:$C,MATCH(D1840,Products!$A:$A,0)),"Unknown")</f>
        <v>Women Sarees</v>
      </c>
      <c r="W1840" t="str">
        <f>IFERROR(INDEX(Products!$E:$E,MATCH(D1840,Products!$A:$A,0)),"Unknown")</f>
        <v>Max Fashion</v>
      </c>
      <c r="X1840" t="str">
        <f>IFERROR(INDEX(Stores!$B:$B,MATCH(E1840,Stores!$A:$A,0)),"Unknown")</f>
        <v>TrendMart Coimbatore Mall Kiosk</v>
      </c>
      <c r="Y1840" t="str">
        <f>IFERROR(INDEX(Stores!$E:$E,MATCH(E1840,Stores!$A:$A,0)),"Unknown")</f>
        <v>South Zone 1</v>
      </c>
      <c r="Z1840" t="str">
        <f>IFERROR(INDEX(Customers!$J:$J,MATCH(C1840,Customers!$A:$A,0)),"Unknown")</f>
        <v>Gold</v>
      </c>
      <c r="AA1840" t="str">
        <f t="shared" si="28"/>
        <v>2024-08</v>
      </c>
      <c r="AB1840" t="str">
        <f>IFERROR(INDEX(Products!$I:$I,MATCH(D1840,Products!$A:$A,0)),"Unknown")</f>
        <v>SUP047</v>
      </c>
    </row>
    <row r="1841" spans="1:28" x14ac:dyDescent="0.25">
      <c r="A1841" t="s">
        <v>3815</v>
      </c>
      <c r="B1841" s="20">
        <v>45736</v>
      </c>
      <c r="C1841" t="s">
        <v>2448</v>
      </c>
      <c r="D1841" t="s">
        <v>805</v>
      </c>
      <c r="E1841" t="s">
        <v>355</v>
      </c>
      <c r="F1841" t="s">
        <v>382</v>
      </c>
      <c r="G1841">
        <v>3</v>
      </c>
      <c r="H1841" s="21">
        <v>1078.3900000000001</v>
      </c>
      <c r="I1841">
        <v>20</v>
      </c>
      <c r="J1841" s="21">
        <v>647.03</v>
      </c>
      <c r="K1841">
        <v>12</v>
      </c>
      <c r="L1841" s="21">
        <v>310.58</v>
      </c>
      <c r="M1841" s="21">
        <v>2898.72</v>
      </c>
      <c r="N1841" s="21">
        <v>1751.58</v>
      </c>
      <c r="O1841" s="21">
        <v>836.56</v>
      </c>
      <c r="P1841" t="s">
        <v>124</v>
      </c>
      <c r="Q1841" t="s">
        <v>120</v>
      </c>
      <c r="R1841" t="s">
        <v>151</v>
      </c>
      <c r="S1841" t="s">
        <v>3779</v>
      </c>
      <c r="T1841" t="s">
        <v>153</v>
      </c>
      <c r="U1841" t="s">
        <v>154</v>
      </c>
      <c r="V1841" t="str">
        <f>IFERROR(INDEX(Products!$C:$C,MATCH(D1841,Products!$A:$A,0)),"Unknown")</f>
        <v>Accessories</v>
      </c>
      <c r="W1841" t="str">
        <f>IFERROR(INDEX(Products!$E:$E,MATCH(D1841,Products!$A:$A,0)),"Unknown")</f>
        <v>Being Human</v>
      </c>
      <c r="X1841" t="str">
        <f>IFERROR(INDEX(Stores!$B:$B,MATCH(E1841,Stores!$A:$A,0)),"Unknown")</f>
        <v>TrendMart Thiruvananthapuram High Street</v>
      </c>
      <c r="Y1841" t="str">
        <f>IFERROR(INDEX(Stores!$E:$E,MATCH(E1841,Stores!$A:$A,0)),"Unknown")</f>
        <v>South Zone 1</v>
      </c>
      <c r="Z1841" t="str">
        <f>IFERROR(INDEX(Customers!$J:$J,MATCH(C1841,Customers!$A:$A,0)),"Unknown")</f>
        <v>Silver</v>
      </c>
      <c r="AA1841" t="str">
        <f t="shared" si="28"/>
        <v>2025-03</v>
      </c>
      <c r="AB1841" t="str">
        <f>IFERROR(INDEX(Products!$I:$I,MATCH(D1841,Products!$A:$A,0)),"Unknown")</f>
        <v>SUP069</v>
      </c>
    </row>
    <row r="1842" spans="1:28" x14ac:dyDescent="0.25">
      <c r="A1842" t="s">
        <v>3816</v>
      </c>
      <c r="B1842" s="20">
        <v>45523</v>
      </c>
      <c r="C1842" t="s">
        <v>3817</v>
      </c>
      <c r="D1842" t="s">
        <v>905</v>
      </c>
      <c r="E1842" t="s">
        <v>1017</v>
      </c>
      <c r="F1842" t="s">
        <v>269</v>
      </c>
      <c r="G1842">
        <v>2</v>
      </c>
      <c r="H1842" s="21">
        <v>571.97</v>
      </c>
      <c r="I1842">
        <v>0</v>
      </c>
      <c r="J1842" s="21">
        <v>0</v>
      </c>
      <c r="K1842">
        <v>5</v>
      </c>
      <c r="L1842" s="21">
        <v>57.2</v>
      </c>
      <c r="M1842" s="21">
        <v>1201.1400000000001</v>
      </c>
      <c r="N1842" s="21">
        <v>742.24</v>
      </c>
      <c r="O1842" s="21">
        <v>401.7</v>
      </c>
      <c r="P1842" t="s">
        <v>126</v>
      </c>
      <c r="Q1842" t="s">
        <v>120</v>
      </c>
      <c r="R1842" t="s">
        <v>151</v>
      </c>
      <c r="S1842" t="s">
        <v>1359</v>
      </c>
      <c r="T1842" t="s">
        <v>153</v>
      </c>
      <c r="U1842" t="s">
        <v>154</v>
      </c>
      <c r="V1842" t="str">
        <f>IFERROR(INDEX(Products!$C:$C,MATCH(D1842,Products!$A:$A,0)),"Unknown")</f>
        <v>Wallets</v>
      </c>
      <c r="W1842" t="str">
        <f>IFERROR(INDEX(Products!$E:$E,MATCH(D1842,Products!$A:$A,0)),"Unknown")</f>
        <v>Global Desi</v>
      </c>
      <c r="X1842" t="str">
        <f>IFERROR(INDEX(Stores!$B:$B,MATCH(E1842,Stores!$A:$A,0)),"Unknown")</f>
        <v>TrendMart Mangaluru Standard</v>
      </c>
      <c r="Y1842" t="str">
        <f>IFERROR(INDEX(Stores!$E:$E,MATCH(E1842,Stores!$A:$A,0)),"Unknown")</f>
        <v>South Zone 2</v>
      </c>
      <c r="Z1842" t="str">
        <f>IFERROR(INDEX(Customers!$J:$J,MATCH(C1842,Customers!$A:$A,0)),"Unknown")</f>
        <v>Silver</v>
      </c>
      <c r="AA1842" t="str">
        <f t="shared" si="28"/>
        <v>2024-08</v>
      </c>
      <c r="AB1842" t="str">
        <f>IFERROR(INDEX(Products!$I:$I,MATCH(D1842,Products!$A:$A,0)),"Unknown")</f>
        <v>SUP051</v>
      </c>
    </row>
    <row r="1843" spans="1:28" x14ac:dyDescent="0.25">
      <c r="A1843" t="s">
        <v>3818</v>
      </c>
      <c r="B1843" s="20">
        <v>45599</v>
      </c>
      <c r="C1843" t="s">
        <v>621</v>
      </c>
      <c r="D1843" t="s">
        <v>1972</v>
      </c>
      <c r="E1843" t="s">
        <v>268</v>
      </c>
      <c r="F1843" t="s">
        <v>195</v>
      </c>
      <c r="G1843">
        <v>1</v>
      </c>
      <c r="H1843" s="21">
        <v>1125.2</v>
      </c>
      <c r="I1843">
        <v>20</v>
      </c>
      <c r="J1843" s="21">
        <v>225.04</v>
      </c>
      <c r="K1843">
        <v>12</v>
      </c>
      <c r="L1843" s="21">
        <v>108.02</v>
      </c>
      <c r="M1843" s="21">
        <v>1008.18</v>
      </c>
      <c r="N1843" s="21">
        <v>722.4</v>
      </c>
      <c r="O1843" s="21">
        <v>177.76</v>
      </c>
      <c r="P1843" t="s">
        <v>121</v>
      </c>
      <c r="Q1843" t="s">
        <v>120</v>
      </c>
      <c r="R1843" t="s">
        <v>151</v>
      </c>
      <c r="S1843" t="s">
        <v>1232</v>
      </c>
      <c r="T1843" t="s">
        <v>161</v>
      </c>
      <c r="U1843" t="s">
        <v>154</v>
      </c>
      <c r="V1843" t="str">
        <f>IFERROR(INDEX(Products!$C:$C,MATCH(D1843,Products!$A:$A,0)),"Unknown")</f>
        <v>Women Jeans</v>
      </c>
      <c r="W1843" t="str">
        <f>IFERROR(INDEX(Products!$E:$E,MATCH(D1843,Products!$A:$A,0)),"Unknown")</f>
        <v>Spykar</v>
      </c>
      <c r="X1843" t="str">
        <f>IFERROR(INDEX(Stores!$B:$B,MATCH(E1843,Stores!$A:$A,0)),"Unknown")</f>
        <v>TrendMart Kochi High Street</v>
      </c>
      <c r="Y1843" t="str">
        <f>IFERROR(INDEX(Stores!$E:$E,MATCH(E1843,Stores!$A:$A,0)),"Unknown")</f>
        <v>South Zone 1</v>
      </c>
      <c r="Z1843" t="str">
        <f>IFERROR(INDEX(Customers!$J:$J,MATCH(C1843,Customers!$A:$A,0)),"Unknown")</f>
        <v>Gold</v>
      </c>
      <c r="AA1843" t="str">
        <f t="shared" si="28"/>
        <v>2024-11</v>
      </c>
      <c r="AB1843" t="str">
        <f>IFERROR(INDEX(Products!$I:$I,MATCH(D1843,Products!$A:$A,0)),"Unknown")</f>
        <v>SUP087</v>
      </c>
    </row>
    <row r="1844" spans="1:28" x14ac:dyDescent="0.25">
      <c r="A1844" t="s">
        <v>3819</v>
      </c>
      <c r="B1844" s="20">
        <v>45522</v>
      </c>
      <c r="C1844" t="s">
        <v>3820</v>
      </c>
      <c r="D1844" t="s">
        <v>290</v>
      </c>
      <c r="E1844" t="s">
        <v>363</v>
      </c>
      <c r="F1844" t="s">
        <v>275</v>
      </c>
      <c r="G1844">
        <v>2</v>
      </c>
      <c r="H1844" s="21">
        <v>6899.66</v>
      </c>
      <c r="I1844">
        <v>10</v>
      </c>
      <c r="J1844" s="21">
        <v>1379.93</v>
      </c>
      <c r="K1844">
        <v>3</v>
      </c>
      <c r="L1844" s="21">
        <v>372.58</v>
      </c>
      <c r="M1844" s="21">
        <v>12791.97</v>
      </c>
      <c r="N1844" s="21">
        <v>9430.2000000000007</v>
      </c>
      <c r="O1844" s="21">
        <v>2989.19</v>
      </c>
      <c r="P1844" t="s">
        <v>121</v>
      </c>
      <c r="Q1844" t="s">
        <v>122</v>
      </c>
      <c r="R1844" t="s">
        <v>151</v>
      </c>
      <c r="S1844" t="s">
        <v>3305</v>
      </c>
      <c r="T1844" t="s">
        <v>161</v>
      </c>
      <c r="U1844" t="s">
        <v>154</v>
      </c>
      <c r="V1844" t="str">
        <f>IFERROR(INDEX(Products!$C:$C,MATCH(D1844,Products!$A:$A,0)),"Unknown")</f>
        <v>Jewellery</v>
      </c>
      <c r="W1844" t="str">
        <f>IFERROR(INDEX(Products!$E:$E,MATCH(D1844,Products!$A:$A,0)),"Unknown")</f>
        <v>Nike</v>
      </c>
      <c r="X1844" t="str">
        <f>IFERROR(INDEX(Stores!$B:$B,MATCH(E1844,Stores!$A:$A,0)),"Unknown")</f>
        <v>TrendMart Thiruvananthapuram High Street</v>
      </c>
      <c r="Y1844" t="str">
        <f>IFERROR(INDEX(Stores!$E:$E,MATCH(E1844,Stores!$A:$A,0)),"Unknown")</f>
        <v>South Zone 1</v>
      </c>
      <c r="Z1844" t="str">
        <f>IFERROR(INDEX(Customers!$J:$J,MATCH(C1844,Customers!$A:$A,0)),"Unknown")</f>
        <v>Silver</v>
      </c>
      <c r="AA1844" t="str">
        <f t="shared" si="28"/>
        <v>2024-08</v>
      </c>
      <c r="AB1844" t="str">
        <f>IFERROR(INDEX(Products!$I:$I,MATCH(D1844,Products!$A:$A,0)),"Unknown")</f>
        <v>SUP041</v>
      </c>
    </row>
    <row r="1845" spans="1:28" x14ac:dyDescent="0.25">
      <c r="A1845" t="s">
        <v>3821</v>
      </c>
      <c r="B1845" s="20">
        <v>45429</v>
      </c>
      <c r="C1845" t="s">
        <v>952</v>
      </c>
      <c r="D1845" t="s">
        <v>1520</v>
      </c>
      <c r="E1845" t="s">
        <v>617</v>
      </c>
      <c r="F1845" t="s">
        <v>275</v>
      </c>
      <c r="G1845">
        <v>2</v>
      </c>
      <c r="H1845" s="21">
        <v>4296.97</v>
      </c>
      <c r="I1845">
        <v>0</v>
      </c>
      <c r="J1845" s="21">
        <v>0</v>
      </c>
      <c r="K1845">
        <v>12</v>
      </c>
      <c r="L1845" s="21">
        <v>1031.27</v>
      </c>
      <c r="M1845" s="21">
        <v>9625.2099999999991</v>
      </c>
      <c r="N1845" s="21">
        <v>6473.14</v>
      </c>
      <c r="O1845" s="21">
        <v>2120.8000000000002</v>
      </c>
      <c r="P1845" t="s">
        <v>127</v>
      </c>
      <c r="Q1845" t="s">
        <v>122</v>
      </c>
      <c r="R1845" t="s">
        <v>151</v>
      </c>
      <c r="S1845" t="s">
        <v>668</v>
      </c>
      <c r="T1845" t="s">
        <v>153</v>
      </c>
      <c r="U1845" t="s">
        <v>154</v>
      </c>
      <c r="V1845" t="str">
        <f>IFERROR(INDEX(Products!$C:$C,MATCH(D1845,Products!$A:$A,0)),"Unknown")</f>
        <v>Women Sarees</v>
      </c>
      <c r="W1845" t="str">
        <f>IFERROR(INDEX(Products!$E:$E,MATCH(D1845,Products!$A:$A,0)),"Unknown")</f>
        <v>Pepe Jeans</v>
      </c>
      <c r="X1845" t="str">
        <f>IFERROR(INDEX(Stores!$B:$B,MATCH(E1845,Stores!$A:$A,0)),"Unknown")</f>
        <v>TrendMart Mangaluru High Street</v>
      </c>
      <c r="Y1845" t="str">
        <f>IFERROR(INDEX(Stores!$E:$E,MATCH(E1845,Stores!$A:$A,0)),"Unknown")</f>
        <v>South Zone 2</v>
      </c>
      <c r="Z1845" t="str">
        <f>IFERROR(INDEX(Customers!$J:$J,MATCH(C1845,Customers!$A:$A,0)),"Unknown")</f>
        <v>Regular</v>
      </c>
      <c r="AA1845" t="str">
        <f t="shared" si="28"/>
        <v>2024-05</v>
      </c>
      <c r="AB1845" t="str">
        <f>IFERROR(INDEX(Products!$I:$I,MATCH(D1845,Products!$A:$A,0)),"Unknown")</f>
        <v>SUP009</v>
      </c>
    </row>
    <row r="1846" spans="1:28" x14ac:dyDescent="0.25">
      <c r="A1846" t="s">
        <v>3822</v>
      </c>
      <c r="B1846" s="20">
        <v>45576</v>
      </c>
      <c r="C1846" t="s">
        <v>2510</v>
      </c>
      <c r="D1846" t="s">
        <v>2553</v>
      </c>
      <c r="E1846" t="s">
        <v>806</v>
      </c>
      <c r="F1846" t="s">
        <v>201</v>
      </c>
      <c r="G1846">
        <v>1</v>
      </c>
      <c r="H1846" s="21">
        <v>3811.98</v>
      </c>
      <c r="I1846">
        <v>20</v>
      </c>
      <c r="J1846" s="21">
        <v>762.4</v>
      </c>
      <c r="K1846">
        <v>12</v>
      </c>
      <c r="L1846" s="21">
        <v>365.95</v>
      </c>
      <c r="M1846" s="21">
        <v>3415.53</v>
      </c>
      <c r="N1846" s="21">
        <v>2630.84</v>
      </c>
      <c r="O1846" s="21">
        <v>418.74</v>
      </c>
      <c r="P1846" t="s">
        <v>125</v>
      </c>
      <c r="Q1846" t="s">
        <v>120</v>
      </c>
      <c r="R1846" t="s">
        <v>151</v>
      </c>
      <c r="S1846" t="s">
        <v>1829</v>
      </c>
      <c r="T1846" t="s">
        <v>153</v>
      </c>
      <c r="U1846" t="s">
        <v>154</v>
      </c>
      <c r="V1846" t="str">
        <f>IFERROR(INDEX(Products!$C:$C,MATCH(D1846,Products!$A:$A,0)),"Unknown")</f>
        <v>Watches</v>
      </c>
      <c r="W1846" t="str">
        <f>IFERROR(INDEX(Products!$E:$E,MATCH(D1846,Products!$A:$A,0)),"Unknown")</f>
        <v>Reebok</v>
      </c>
      <c r="X1846" t="str">
        <f>IFERROR(INDEX(Stores!$B:$B,MATCH(E1846,Stores!$A:$A,0)),"Unknown")</f>
        <v>TrendMart Tirunelveli Flagship</v>
      </c>
      <c r="Y1846" t="str">
        <f>IFERROR(INDEX(Stores!$E:$E,MATCH(E1846,Stores!$A:$A,0)),"Unknown")</f>
        <v>South Zone 1</v>
      </c>
      <c r="Z1846" t="str">
        <f>IFERROR(INDEX(Customers!$J:$J,MATCH(C1846,Customers!$A:$A,0)),"Unknown")</f>
        <v>Silver</v>
      </c>
      <c r="AA1846" t="str">
        <f t="shared" si="28"/>
        <v>2024-10</v>
      </c>
      <c r="AB1846" t="str">
        <f>IFERROR(INDEX(Products!$I:$I,MATCH(D1846,Products!$A:$A,0)),"Unknown")</f>
        <v>SUP039</v>
      </c>
    </row>
    <row r="1847" spans="1:28" x14ac:dyDescent="0.25">
      <c r="A1847" t="s">
        <v>3823</v>
      </c>
      <c r="B1847" s="20">
        <v>45709</v>
      </c>
      <c r="C1847" t="s">
        <v>3556</v>
      </c>
      <c r="D1847" t="s">
        <v>814</v>
      </c>
      <c r="E1847" t="s">
        <v>188</v>
      </c>
      <c r="F1847" t="s">
        <v>532</v>
      </c>
      <c r="G1847">
        <v>3</v>
      </c>
      <c r="H1847" s="21">
        <v>590.98</v>
      </c>
      <c r="I1847">
        <v>5</v>
      </c>
      <c r="J1847" s="21">
        <v>88.65</v>
      </c>
      <c r="K1847">
        <v>5</v>
      </c>
      <c r="L1847" s="21">
        <v>84.21</v>
      </c>
      <c r="M1847" s="21">
        <v>1768.5</v>
      </c>
      <c r="N1847" s="21">
        <v>1093.83</v>
      </c>
      <c r="O1847" s="21">
        <v>590.46</v>
      </c>
      <c r="P1847" t="s">
        <v>125</v>
      </c>
      <c r="Q1847" t="s">
        <v>122</v>
      </c>
      <c r="R1847" t="s">
        <v>151</v>
      </c>
      <c r="S1847" t="s">
        <v>1299</v>
      </c>
      <c r="T1847" t="s">
        <v>153</v>
      </c>
      <c r="U1847" t="s">
        <v>154</v>
      </c>
      <c r="V1847" t="str">
        <f>IFERROR(INDEX(Products!$C:$C,MATCH(D1847,Products!$A:$A,0)),"Unknown")</f>
        <v>Men T-Shirts</v>
      </c>
      <c r="W1847" t="str">
        <f>IFERROR(INDEX(Products!$E:$E,MATCH(D1847,Products!$A:$A,0)),"Unknown")</f>
        <v>Woodland</v>
      </c>
      <c r="X1847" t="str">
        <f>IFERROR(INDEX(Stores!$B:$B,MATCH(E1847,Stores!$A:$A,0)),"Unknown")</f>
        <v>TrendMart Vijayawada Standard</v>
      </c>
      <c r="Y1847" t="str">
        <f>IFERROR(INDEX(Stores!$E:$E,MATCH(E1847,Stores!$A:$A,0)),"Unknown")</f>
        <v>South Zone 3</v>
      </c>
      <c r="Z1847" t="str">
        <f>IFERROR(INDEX(Customers!$J:$J,MATCH(C1847,Customers!$A:$A,0)),"Unknown")</f>
        <v>Silver</v>
      </c>
      <c r="AA1847" t="str">
        <f t="shared" si="28"/>
        <v>2025-02</v>
      </c>
      <c r="AB1847" t="str">
        <f>IFERROR(INDEX(Products!$I:$I,MATCH(D1847,Products!$A:$A,0)),"Unknown")</f>
        <v>SUP051</v>
      </c>
    </row>
    <row r="1848" spans="1:28" x14ac:dyDescent="0.25">
      <c r="A1848" t="s">
        <v>3824</v>
      </c>
      <c r="B1848" s="20">
        <v>45536</v>
      </c>
      <c r="C1848" t="s">
        <v>3547</v>
      </c>
      <c r="D1848" t="s">
        <v>367</v>
      </c>
      <c r="E1848" t="s">
        <v>1962</v>
      </c>
      <c r="F1848" t="s">
        <v>201</v>
      </c>
      <c r="G1848">
        <v>1</v>
      </c>
      <c r="H1848" s="21">
        <v>844.4</v>
      </c>
      <c r="I1848">
        <v>10</v>
      </c>
      <c r="J1848" s="21">
        <v>84.44</v>
      </c>
      <c r="K1848">
        <v>3</v>
      </c>
      <c r="L1848" s="21">
        <v>22.8</v>
      </c>
      <c r="M1848" s="21">
        <v>782.76</v>
      </c>
      <c r="N1848" s="21">
        <v>556.99</v>
      </c>
      <c r="O1848" s="21">
        <v>202.97</v>
      </c>
      <c r="P1848" t="s">
        <v>123</v>
      </c>
      <c r="Q1848" t="s">
        <v>120</v>
      </c>
      <c r="R1848" t="s">
        <v>151</v>
      </c>
      <c r="S1848" t="s">
        <v>1326</v>
      </c>
      <c r="T1848" t="s">
        <v>161</v>
      </c>
      <c r="U1848" t="s">
        <v>154</v>
      </c>
      <c r="V1848" t="str">
        <f>IFERROR(INDEX(Products!$C:$C,MATCH(D1848,Products!$A:$A,0)),"Unknown")</f>
        <v>Jewellery</v>
      </c>
      <c r="W1848" t="str">
        <f>IFERROR(INDEX(Products!$E:$E,MATCH(D1848,Products!$A:$A,0)),"Unknown")</f>
        <v>Aurelia</v>
      </c>
      <c r="X1848" t="str">
        <f>IFERROR(INDEX(Stores!$B:$B,MATCH(E1848,Stores!$A:$A,0)),"Unknown")</f>
        <v>TrendMart Guntur High Street</v>
      </c>
      <c r="Y1848" t="str">
        <f>IFERROR(INDEX(Stores!$E:$E,MATCH(E1848,Stores!$A:$A,0)),"Unknown")</f>
        <v>South Zone 3</v>
      </c>
      <c r="Z1848" t="str">
        <f>IFERROR(INDEX(Customers!$J:$J,MATCH(C1848,Customers!$A:$A,0)),"Unknown")</f>
        <v>Regular</v>
      </c>
      <c r="AA1848" t="str">
        <f t="shared" si="28"/>
        <v>2024-09</v>
      </c>
      <c r="AB1848" t="str">
        <f>IFERROR(INDEX(Products!$I:$I,MATCH(D1848,Products!$A:$A,0)),"Unknown")</f>
        <v>SUP067</v>
      </c>
    </row>
    <row r="1849" spans="1:28" x14ac:dyDescent="0.25">
      <c r="A1849" t="s">
        <v>3825</v>
      </c>
      <c r="B1849" s="20">
        <v>45562</v>
      </c>
      <c r="C1849" t="s">
        <v>3826</v>
      </c>
      <c r="D1849" t="s">
        <v>367</v>
      </c>
      <c r="E1849" t="s">
        <v>906</v>
      </c>
      <c r="F1849" t="s">
        <v>189</v>
      </c>
      <c r="G1849">
        <v>2</v>
      </c>
      <c r="H1849" s="21">
        <v>744.53</v>
      </c>
      <c r="I1849">
        <v>25</v>
      </c>
      <c r="J1849" s="21">
        <v>372.26</v>
      </c>
      <c r="K1849">
        <v>3</v>
      </c>
      <c r="L1849" s="21">
        <v>33.5</v>
      </c>
      <c r="M1849" s="21">
        <v>1150.3</v>
      </c>
      <c r="N1849" s="21">
        <v>1113.98</v>
      </c>
      <c r="O1849" s="21">
        <v>2.82</v>
      </c>
      <c r="P1849" t="s">
        <v>125</v>
      </c>
      <c r="Q1849" t="s">
        <v>120</v>
      </c>
      <c r="R1849" t="s">
        <v>151</v>
      </c>
      <c r="S1849" t="s">
        <v>2915</v>
      </c>
      <c r="T1849" t="s">
        <v>153</v>
      </c>
      <c r="U1849" t="s">
        <v>154</v>
      </c>
      <c r="V1849" t="str">
        <f>IFERROR(INDEX(Products!$C:$C,MATCH(D1849,Products!$A:$A,0)),"Unknown")</f>
        <v>Jewellery</v>
      </c>
      <c r="W1849" t="str">
        <f>IFERROR(INDEX(Products!$E:$E,MATCH(D1849,Products!$A:$A,0)),"Unknown")</f>
        <v>Aurelia</v>
      </c>
      <c r="X1849" t="str">
        <f>IFERROR(INDEX(Stores!$B:$B,MATCH(E1849,Stores!$A:$A,0)),"Unknown")</f>
        <v>TrendMart Vijayawada Standard</v>
      </c>
      <c r="Y1849" t="str">
        <f>IFERROR(INDEX(Stores!$E:$E,MATCH(E1849,Stores!$A:$A,0)),"Unknown")</f>
        <v>South Zone 3</v>
      </c>
      <c r="Z1849" t="str">
        <f>IFERROR(INDEX(Customers!$J:$J,MATCH(C1849,Customers!$A:$A,0)),"Unknown")</f>
        <v>Regular</v>
      </c>
      <c r="AA1849" t="str">
        <f t="shared" si="28"/>
        <v>2024-09</v>
      </c>
      <c r="AB1849" t="str">
        <f>IFERROR(INDEX(Products!$I:$I,MATCH(D1849,Products!$A:$A,0)),"Unknown")</f>
        <v>SUP067</v>
      </c>
    </row>
    <row r="1850" spans="1:28" x14ac:dyDescent="0.25">
      <c r="A1850" t="s">
        <v>3827</v>
      </c>
      <c r="B1850" s="20">
        <v>45588</v>
      </c>
      <c r="C1850" t="s">
        <v>2927</v>
      </c>
      <c r="D1850" t="s">
        <v>801</v>
      </c>
      <c r="E1850" t="s">
        <v>1591</v>
      </c>
      <c r="F1850" t="s">
        <v>275</v>
      </c>
      <c r="G1850">
        <v>1</v>
      </c>
      <c r="H1850" s="21">
        <v>635.46</v>
      </c>
      <c r="I1850">
        <v>10</v>
      </c>
      <c r="J1850" s="21">
        <v>63.55</v>
      </c>
      <c r="K1850">
        <v>5</v>
      </c>
      <c r="L1850" s="21">
        <v>28.6</v>
      </c>
      <c r="M1850" s="21">
        <v>600.51</v>
      </c>
      <c r="N1850" s="21">
        <v>424.76</v>
      </c>
      <c r="O1850" s="21">
        <v>147.15</v>
      </c>
      <c r="P1850" t="s">
        <v>125</v>
      </c>
      <c r="Q1850" t="s">
        <v>122</v>
      </c>
      <c r="R1850" t="s">
        <v>151</v>
      </c>
      <c r="S1850" t="s">
        <v>2584</v>
      </c>
      <c r="T1850" t="s">
        <v>153</v>
      </c>
      <c r="U1850" t="s">
        <v>154</v>
      </c>
      <c r="V1850" t="str">
        <f>IFERROR(INDEX(Products!$C:$C,MATCH(D1850,Products!$A:$A,0)),"Unknown")</f>
        <v>Kids Wear</v>
      </c>
      <c r="W1850" t="str">
        <f>IFERROR(INDEX(Products!$E:$E,MATCH(D1850,Products!$A:$A,0)),"Unknown")</f>
        <v>Being Human</v>
      </c>
      <c r="X1850" t="str">
        <f>IFERROR(INDEX(Stores!$B:$B,MATCH(E1850,Stores!$A:$A,0)),"Unknown")</f>
        <v>TrendMart Guntur Standard</v>
      </c>
      <c r="Y1850" t="str">
        <f>IFERROR(INDEX(Stores!$E:$E,MATCH(E1850,Stores!$A:$A,0)),"Unknown")</f>
        <v>South Zone 3</v>
      </c>
      <c r="Z1850" t="str">
        <f>IFERROR(INDEX(Customers!$J:$J,MATCH(C1850,Customers!$A:$A,0)),"Unknown")</f>
        <v>Regular</v>
      </c>
      <c r="AA1850" t="str">
        <f t="shared" si="28"/>
        <v>2024-10</v>
      </c>
      <c r="AB1850" t="str">
        <f>IFERROR(INDEX(Products!$I:$I,MATCH(D1850,Products!$A:$A,0)),"Unknown")</f>
        <v>SUP063</v>
      </c>
    </row>
    <row r="1851" spans="1:28" x14ac:dyDescent="0.25">
      <c r="A1851" t="s">
        <v>3828</v>
      </c>
      <c r="B1851" s="20">
        <v>45595</v>
      </c>
      <c r="C1851" t="s">
        <v>2795</v>
      </c>
      <c r="D1851" t="s">
        <v>1204</v>
      </c>
      <c r="E1851" t="s">
        <v>815</v>
      </c>
      <c r="F1851" t="s">
        <v>269</v>
      </c>
      <c r="G1851">
        <v>1</v>
      </c>
      <c r="H1851" s="21">
        <v>772.95</v>
      </c>
      <c r="I1851">
        <v>10</v>
      </c>
      <c r="J1851" s="21">
        <v>77.3</v>
      </c>
      <c r="K1851">
        <v>5</v>
      </c>
      <c r="L1851" s="21">
        <v>34.78</v>
      </c>
      <c r="M1851" s="21">
        <v>730.43</v>
      </c>
      <c r="N1851" s="21">
        <v>414.5</v>
      </c>
      <c r="O1851" s="21">
        <v>281.14999999999998</v>
      </c>
      <c r="P1851" t="s">
        <v>121</v>
      </c>
      <c r="Q1851" t="s">
        <v>122</v>
      </c>
      <c r="R1851" t="s">
        <v>151</v>
      </c>
      <c r="S1851" t="s">
        <v>2151</v>
      </c>
      <c r="T1851" t="s">
        <v>153</v>
      </c>
      <c r="U1851" t="s">
        <v>154</v>
      </c>
      <c r="V1851" t="str">
        <f>IFERROR(INDEX(Products!$C:$C,MATCH(D1851,Products!$A:$A,0)),"Unknown")</f>
        <v>Accessories</v>
      </c>
      <c r="W1851" t="str">
        <f>IFERROR(INDEX(Products!$E:$E,MATCH(D1851,Products!$A:$A,0)),"Unknown")</f>
        <v>Pepe Jeans</v>
      </c>
      <c r="X1851" t="str">
        <f>IFERROR(INDEX(Stores!$B:$B,MATCH(E1851,Stores!$A:$A,0)),"Unknown")</f>
        <v>TrendMart Madurai Mall Kiosk</v>
      </c>
      <c r="Y1851" t="str">
        <f>IFERROR(INDEX(Stores!$E:$E,MATCH(E1851,Stores!$A:$A,0)),"Unknown")</f>
        <v>South Zone 1</v>
      </c>
      <c r="Z1851" t="str">
        <f>IFERROR(INDEX(Customers!$J:$J,MATCH(C1851,Customers!$A:$A,0)),"Unknown")</f>
        <v>Gold</v>
      </c>
      <c r="AA1851" t="str">
        <f t="shared" si="28"/>
        <v>2024-10</v>
      </c>
      <c r="AB1851" t="str">
        <f>IFERROR(INDEX(Products!$I:$I,MATCH(D1851,Products!$A:$A,0)),"Unknown")</f>
        <v>SUP008</v>
      </c>
    </row>
    <row r="1852" spans="1:28" x14ac:dyDescent="0.25">
      <c r="A1852" t="s">
        <v>3829</v>
      </c>
      <c r="B1852" s="20">
        <v>45433</v>
      </c>
      <c r="C1852" t="s">
        <v>2444</v>
      </c>
      <c r="D1852" t="s">
        <v>1537</v>
      </c>
      <c r="E1852" t="s">
        <v>360</v>
      </c>
      <c r="F1852" t="s">
        <v>462</v>
      </c>
      <c r="G1852">
        <v>4</v>
      </c>
      <c r="H1852" s="21">
        <v>1139.31</v>
      </c>
      <c r="I1852">
        <v>30</v>
      </c>
      <c r="J1852" s="21">
        <v>1367.17</v>
      </c>
      <c r="K1852">
        <v>12</v>
      </c>
      <c r="L1852" s="21">
        <v>382.81</v>
      </c>
      <c r="M1852" s="21">
        <v>3572.88</v>
      </c>
      <c r="N1852" s="21">
        <v>3663.48</v>
      </c>
      <c r="O1852" s="21">
        <v>-473.41</v>
      </c>
      <c r="P1852" t="s">
        <v>124</v>
      </c>
      <c r="Q1852" t="s">
        <v>122</v>
      </c>
      <c r="R1852" t="s">
        <v>151</v>
      </c>
      <c r="S1852" t="s">
        <v>958</v>
      </c>
      <c r="T1852" t="s">
        <v>153</v>
      </c>
      <c r="U1852" t="s">
        <v>184</v>
      </c>
      <c r="V1852" t="str">
        <f>IFERROR(INDEX(Products!$C:$C,MATCH(D1852,Products!$A:$A,0)),"Unknown")</f>
        <v>Men Jeans</v>
      </c>
      <c r="W1852" t="str">
        <f>IFERROR(INDEX(Products!$E:$E,MATCH(D1852,Products!$A:$A,0)),"Unknown")</f>
        <v>Fabindia</v>
      </c>
      <c r="X1852" t="str">
        <f>IFERROR(INDEX(Stores!$B:$B,MATCH(E1852,Stores!$A:$A,0)),"Unknown")</f>
        <v>TrendMart Kochi Standard</v>
      </c>
      <c r="Y1852" t="str">
        <f>IFERROR(INDEX(Stores!$E:$E,MATCH(E1852,Stores!$A:$A,0)),"Unknown")</f>
        <v>South Zone 1</v>
      </c>
      <c r="Z1852" t="str">
        <f>IFERROR(INDEX(Customers!$J:$J,MATCH(C1852,Customers!$A:$A,0)),"Unknown")</f>
        <v>Regular</v>
      </c>
      <c r="AA1852" t="str">
        <f t="shared" si="28"/>
        <v>2024-05</v>
      </c>
      <c r="AB1852" t="str">
        <f>IFERROR(INDEX(Products!$I:$I,MATCH(D1852,Products!$A:$A,0)),"Unknown")</f>
        <v>SUP044</v>
      </c>
    </row>
    <row r="1853" spans="1:28" x14ac:dyDescent="0.25">
      <c r="A1853" t="s">
        <v>3830</v>
      </c>
      <c r="B1853" s="20">
        <v>45724</v>
      </c>
      <c r="C1853" t="s">
        <v>2542</v>
      </c>
      <c r="D1853" t="s">
        <v>261</v>
      </c>
      <c r="E1853" t="s">
        <v>94</v>
      </c>
      <c r="F1853" t="s">
        <v>201</v>
      </c>
      <c r="G1853">
        <v>1</v>
      </c>
      <c r="H1853" s="21">
        <v>1386.52</v>
      </c>
      <c r="I1853">
        <v>5</v>
      </c>
      <c r="J1853" s="21">
        <v>69.33</v>
      </c>
      <c r="K1853">
        <v>12</v>
      </c>
      <c r="L1853" s="21">
        <v>158.06</v>
      </c>
      <c r="M1853" s="21">
        <v>1475.25</v>
      </c>
      <c r="N1853" s="21">
        <v>844.65</v>
      </c>
      <c r="O1853" s="21">
        <v>472.54</v>
      </c>
      <c r="P1853" t="s">
        <v>123</v>
      </c>
      <c r="Q1853" t="s">
        <v>120</v>
      </c>
      <c r="R1853" t="s">
        <v>151</v>
      </c>
      <c r="S1853" t="s">
        <v>373</v>
      </c>
      <c r="T1853" t="s">
        <v>161</v>
      </c>
      <c r="U1853" t="s">
        <v>154</v>
      </c>
      <c r="V1853" t="str">
        <f>IFERROR(INDEX(Products!$C:$C,MATCH(D1853,Products!$A:$A,0)),"Unknown")</f>
        <v>Women Kurtis</v>
      </c>
      <c r="W1853" t="str">
        <f>IFERROR(INDEX(Products!$E:$E,MATCH(D1853,Products!$A:$A,0)),"Unknown")</f>
        <v>Woodland</v>
      </c>
      <c r="X1853" t="str">
        <f>IFERROR(INDEX(Stores!$B:$B,MATCH(E1853,Stores!$A:$A,0)),"Unknown")</f>
        <v>TrendMart Bengaluru Mall Kiosk</v>
      </c>
      <c r="Y1853" t="str">
        <f>IFERROR(INDEX(Stores!$E:$E,MATCH(E1853,Stores!$A:$A,0)),"Unknown")</f>
        <v>South Zone 2</v>
      </c>
      <c r="Z1853" t="str">
        <f>IFERROR(INDEX(Customers!$J:$J,MATCH(C1853,Customers!$A:$A,0)),"Unknown")</f>
        <v>Silver</v>
      </c>
      <c r="AA1853" t="str">
        <f t="shared" si="28"/>
        <v>2025-03</v>
      </c>
      <c r="AB1853" t="str">
        <f>IFERROR(INDEX(Products!$I:$I,MATCH(D1853,Products!$A:$A,0)),"Unknown")</f>
        <v>SUP071</v>
      </c>
    </row>
    <row r="1854" spans="1:28" x14ac:dyDescent="0.25">
      <c r="A1854" t="s">
        <v>3831</v>
      </c>
      <c r="B1854" s="20">
        <v>45535</v>
      </c>
      <c r="C1854" t="s">
        <v>2988</v>
      </c>
      <c r="D1854" t="s">
        <v>573</v>
      </c>
      <c r="E1854" t="s">
        <v>910</v>
      </c>
      <c r="F1854" t="s">
        <v>335</v>
      </c>
      <c r="G1854">
        <v>1</v>
      </c>
      <c r="H1854" s="21">
        <v>1087.1199999999999</v>
      </c>
      <c r="I1854">
        <v>15</v>
      </c>
      <c r="J1854" s="21">
        <v>163.07</v>
      </c>
      <c r="K1854">
        <v>12</v>
      </c>
      <c r="L1854" s="21">
        <v>110.89</v>
      </c>
      <c r="M1854" s="21">
        <v>1034.94</v>
      </c>
      <c r="N1854" s="21">
        <v>720.53</v>
      </c>
      <c r="O1854" s="21">
        <v>203.52</v>
      </c>
      <c r="P1854" t="s">
        <v>125</v>
      </c>
      <c r="Q1854" t="s">
        <v>120</v>
      </c>
      <c r="R1854" t="s">
        <v>151</v>
      </c>
      <c r="S1854" t="s">
        <v>1574</v>
      </c>
      <c r="T1854" t="s">
        <v>161</v>
      </c>
      <c r="U1854" t="s">
        <v>154</v>
      </c>
      <c r="V1854" t="str">
        <f>IFERROR(INDEX(Products!$C:$C,MATCH(D1854,Products!$A:$A,0)),"Unknown")</f>
        <v>Women Jeans</v>
      </c>
      <c r="W1854" t="str">
        <f>IFERROR(INDEX(Products!$E:$E,MATCH(D1854,Products!$A:$A,0)),"Unknown")</f>
        <v>Sonata</v>
      </c>
      <c r="X1854" t="str">
        <f>IFERROR(INDEX(Stores!$B:$B,MATCH(E1854,Stores!$A:$A,0)),"Unknown")</f>
        <v>TrendMart Karimnagar Standard</v>
      </c>
      <c r="Y1854" t="str">
        <f>IFERROR(INDEX(Stores!$E:$E,MATCH(E1854,Stores!$A:$A,0)),"Unknown")</f>
        <v>South Zone 2</v>
      </c>
      <c r="Z1854" t="str">
        <f>IFERROR(INDEX(Customers!$J:$J,MATCH(C1854,Customers!$A:$A,0)),"Unknown")</f>
        <v>Silver</v>
      </c>
      <c r="AA1854" t="str">
        <f t="shared" si="28"/>
        <v>2024-08</v>
      </c>
      <c r="AB1854" t="str">
        <f>IFERROR(INDEX(Products!$I:$I,MATCH(D1854,Products!$A:$A,0)),"Unknown")</f>
        <v>SUP017</v>
      </c>
    </row>
    <row r="1855" spans="1:28" x14ac:dyDescent="0.25">
      <c r="A1855" t="s">
        <v>3832</v>
      </c>
      <c r="B1855" s="20">
        <v>45644</v>
      </c>
      <c r="C1855" t="s">
        <v>2971</v>
      </c>
      <c r="D1855" t="s">
        <v>697</v>
      </c>
      <c r="E1855" t="s">
        <v>262</v>
      </c>
      <c r="F1855" t="s">
        <v>221</v>
      </c>
      <c r="G1855">
        <v>3</v>
      </c>
      <c r="H1855" s="21">
        <v>1049.1600000000001</v>
      </c>
      <c r="I1855">
        <v>15</v>
      </c>
      <c r="J1855" s="21">
        <v>472.12</v>
      </c>
      <c r="K1855">
        <v>12</v>
      </c>
      <c r="L1855" s="21">
        <v>321.04000000000002</v>
      </c>
      <c r="M1855" s="21">
        <v>2996.4</v>
      </c>
      <c r="N1855" s="21">
        <v>2099.52</v>
      </c>
      <c r="O1855" s="21">
        <v>575.84</v>
      </c>
      <c r="P1855" t="s">
        <v>126</v>
      </c>
      <c r="Q1855" t="s">
        <v>120</v>
      </c>
      <c r="R1855" t="s">
        <v>151</v>
      </c>
      <c r="S1855" t="s">
        <v>3095</v>
      </c>
      <c r="T1855" t="s">
        <v>153</v>
      </c>
      <c r="U1855" t="s">
        <v>154</v>
      </c>
      <c r="V1855" t="str">
        <f>IFERROR(INDEX(Products!$C:$C,MATCH(D1855,Products!$A:$A,0)),"Unknown")</f>
        <v>Women Tops</v>
      </c>
      <c r="W1855" t="str">
        <f>IFERROR(INDEX(Products!$E:$E,MATCH(D1855,Products!$A:$A,0)),"Unknown")</f>
        <v>Nalli Silks</v>
      </c>
      <c r="X1855" t="str">
        <f>IFERROR(INDEX(Stores!$B:$B,MATCH(E1855,Stores!$A:$A,0)),"Unknown")</f>
        <v>TrendMart Thoothukudi Outlet</v>
      </c>
      <c r="Y1855" t="str">
        <f>IFERROR(INDEX(Stores!$E:$E,MATCH(E1855,Stores!$A:$A,0)),"Unknown")</f>
        <v>South Zone 1</v>
      </c>
      <c r="Z1855" t="str">
        <f>IFERROR(INDEX(Customers!$J:$J,MATCH(C1855,Customers!$A:$A,0)),"Unknown")</f>
        <v>Gold</v>
      </c>
      <c r="AA1855" t="str">
        <f t="shared" si="28"/>
        <v>2024-12</v>
      </c>
      <c r="AB1855" t="str">
        <f>IFERROR(INDEX(Products!$I:$I,MATCH(D1855,Products!$A:$A,0)),"Unknown")</f>
        <v>SUP008</v>
      </c>
    </row>
    <row r="1856" spans="1:28" x14ac:dyDescent="0.25">
      <c r="A1856" t="s">
        <v>3833</v>
      </c>
      <c r="B1856" s="20">
        <v>45596</v>
      </c>
      <c r="C1856" t="s">
        <v>3834</v>
      </c>
      <c r="D1856" t="s">
        <v>968</v>
      </c>
      <c r="E1856" t="s">
        <v>296</v>
      </c>
      <c r="F1856" t="s">
        <v>165</v>
      </c>
      <c r="G1856">
        <v>3</v>
      </c>
      <c r="H1856" s="21">
        <v>575.1</v>
      </c>
      <c r="I1856">
        <v>0</v>
      </c>
      <c r="J1856" s="21">
        <v>0</v>
      </c>
      <c r="K1856">
        <v>5</v>
      </c>
      <c r="L1856" s="21">
        <v>86.27</v>
      </c>
      <c r="M1856" s="21">
        <v>1811.57</v>
      </c>
      <c r="N1856" s="21">
        <v>910.83</v>
      </c>
      <c r="O1856" s="21">
        <v>814.47</v>
      </c>
      <c r="P1856" t="s">
        <v>125</v>
      </c>
      <c r="Q1856" t="s">
        <v>122</v>
      </c>
      <c r="R1856" t="s">
        <v>151</v>
      </c>
      <c r="S1856" t="s">
        <v>597</v>
      </c>
      <c r="T1856" t="s">
        <v>153</v>
      </c>
      <c r="U1856" t="s">
        <v>154</v>
      </c>
      <c r="V1856" t="str">
        <f>IFERROR(INDEX(Products!$C:$C,MATCH(D1856,Products!$A:$A,0)),"Unknown")</f>
        <v>Accessories</v>
      </c>
      <c r="W1856" t="str">
        <f>IFERROR(INDEX(Products!$E:$E,MATCH(D1856,Products!$A:$A,0)),"Unknown")</f>
        <v>Blackberrys</v>
      </c>
      <c r="X1856" t="str">
        <f>IFERROR(INDEX(Stores!$B:$B,MATCH(E1856,Stores!$A:$A,0)),"Unknown")</f>
        <v>TrendMart Kurnool Outlet</v>
      </c>
      <c r="Y1856" t="str">
        <f>IFERROR(INDEX(Stores!$E:$E,MATCH(E1856,Stores!$A:$A,0)),"Unknown")</f>
        <v>South Zone 3</v>
      </c>
      <c r="Z1856" t="str">
        <f>IFERROR(INDEX(Customers!$J:$J,MATCH(C1856,Customers!$A:$A,0)),"Unknown")</f>
        <v>Regular</v>
      </c>
      <c r="AA1856" t="str">
        <f t="shared" si="28"/>
        <v>2024-10</v>
      </c>
      <c r="AB1856" t="str">
        <f>IFERROR(INDEX(Products!$I:$I,MATCH(D1856,Products!$A:$A,0)),"Unknown")</f>
        <v>SUP048</v>
      </c>
    </row>
    <row r="1857" spans="1:28" x14ac:dyDescent="0.25">
      <c r="A1857" t="s">
        <v>3835</v>
      </c>
      <c r="B1857" s="20">
        <v>45725</v>
      </c>
      <c r="C1857" t="s">
        <v>289</v>
      </c>
      <c r="D1857" t="s">
        <v>767</v>
      </c>
      <c r="E1857" t="s">
        <v>302</v>
      </c>
      <c r="F1857" t="s">
        <v>443</v>
      </c>
      <c r="G1857">
        <v>1</v>
      </c>
      <c r="H1857" s="21">
        <v>445.06</v>
      </c>
      <c r="I1857">
        <v>15</v>
      </c>
      <c r="J1857" s="21">
        <v>66.760000000000005</v>
      </c>
      <c r="K1857">
        <v>5</v>
      </c>
      <c r="L1857" s="21">
        <v>18.91</v>
      </c>
      <c r="M1857" s="21">
        <v>397.21</v>
      </c>
      <c r="N1857" s="21">
        <v>262.06</v>
      </c>
      <c r="O1857" s="21">
        <v>116.24</v>
      </c>
      <c r="P1857" t="s">
        <v>123</v>
      </c>
      <c r="Q1857" t="s">
        <v>120</v>
      </c>
      <c r="R1857" t="s">
        <v>151</v>
      </c>
      <c r="S1857" t="s">
        <v>889</v>
      </c>
      <c r="T1857" t="s">
        <v>161</v>
      </c>
      <c r="U1857" t="s">
        <v>154</v>
      </c>
      <c r="V1857" t="str">
        <f>IFERROR(INDEX(Products!$C:$C,MATCH(D1857,Products!$A:$A,0)),"Unknown")</f>
        <v>Men T-Shirts</v>
      </c>
      <c r="W1857" t="str">
        <f>IFERROR(INDEX(Products!$E:$E,MATCH(D1857,Products!$A:$A,0)),"Unknown")</f>
        <v>Skechers</v>
      </c>
      <c r="X1857" t="str">
        <f>IFERROR(INDEX(Stores!$B:$B,MATCH(E1857,Stores!$A:$A,0)),"Unknown")</f>
        <v>TrendMart Visakhapatnam Standard</v>
      </c>
      <c r="Y1857" t="str">
        <f>IFERROR(INDEX(Stores!$E:$E,MATCH(E1857,Stores!$A:$A,0)),"Unknown")</f>
        <v>South Zone 3</v>
      </c>
      <c r="Z1857" t="str">
        <f>IFERROR(INDEX(Customers!$J:$J,MATCH(C1857,Customers!$A:$A,0)),"Unknown")</f>
        <v>Silver</v>
      </c>
      <c r="AA1857" t="str">
        <f t="shared" si="28"/>
        <v>2025-03</v>
      </c>
      <c r="AB1857" t="str">
        <f>IFERROR(INDEX(Products!$I:$I,MATCH(D1857,Products!$A:$A,0)),"Unknown")</f>
        <v>SUP061</v>
      </c>
    </row>
    <row r="1858" spans="1:28" x14ac:dyDescent="0.25">
      <c r="A1858" t="s">
        <v>3836</v>
      </c>
      <c r="B1858" s="20">
        <v>45575</v>
      </c>
      <c r="C1858" t="s">
        <v>3837</v>
      </c>
      <c r="D1858" t="s">
        <v>1130</v>
      </c>
      <c r="E1858" t="s">
        <v>470</v>
      </c>
      <c r="F1858" t="s">
        <v>263</v>
      </c>
      <c r="G1858">
        <v>4</v>
      </c>
      <c r="H1858" s="21">
        <v>3483.66</v>
      </c>
      <c r="I1858">
        <v>25</v>
      </c>
      <c r="J1858" s="21">
        <v>3483.66</v>
      </c>
      <c r="K1858">
        <v>12</v>
      </c>
      <c r="L1858" s="21">
        <v>1254.1199999999999</v>
      </c>
      <c r="M1858" s="21">
        <v>11705.1</v>
      </c>
      <c r="N1858" s="21">
        <v>10929.24</v>
      </c>
      <c r="O1858" s="21">
        <v>-478.26</v>
      </c>
      <c r="P1858" t="s">
        <v>123</v>
      </c>
      <c r="Q1858" t="s">
        <v>120</v>
      </c>
      <c r="R1858" t="s">
        <v>151</v>
      </c>
      <c r="S1858" t="s">
        <v>2190</v>
      </c>
      <c r="T1858" t="s">
        <v>153</v>
      </c>
      <c r="U1858" t="s">
        <v>184</v>
      </c>
      <c r="V1858" t="str">
        <f>IFERROR(INDEX(Products!$C:$C,MATCH(D1858,Products!$A:$A,0)),"Unknown")</f>
        <v>Women Sarees</v>
      </c>
      <c r="W1858" t="str">
        <f>IFERROR(INDEX(Products!$E:$E,MATCH(D1858,Products!$A:$A,0)),"Unknown")</f>
        <v>Sparx</v>
      </c>
      <c r="X1858" t="str">
        <f>IFERROR(INDEX(Stores!$B:$B,MATCH(E1858,Stores!$A:$A,0)),"Unknown")</f>
        <v>TrendMart Thiruvananthapuram High Street</v>
      </c>
      <c r="Y1858" t="str">
        <f>IFERROR(INDEX(Stores!$E:$E,MATCH(E1858,Stores!$A:$A,0)),"Unknown")</f>
        <v>South Zone 1</v>
      </c>
      <c r="Z1858" t="str">
        <f>IFERROR(INDEX(Customers!$J:$J,MATCH(C1858,Customers!$A:$A,0)),"Unknown")</f>
        <v>Silver</v>
      </c>
      <c r="AA1858" t="str">
        <f t="shared" ref="AA1858:AA1921" si="29">TEXT(B1858,"YYYY-MM")</f>
        <v>2024-10</v>
      </c>
      <c r="AB1858" t="str">
        <f>IFERROR(INDEX(Products!$I:$I,MATCH(D1858,Products!$A:$A,0)),"Unknown")</f>
        <v>SUP069</v>
      </c>
    </row>
    <row r="1859" spans="1:28" x14ac:dyDescent="0.25">
      <c r="A1859" t="s">
        <v>3838</v>
      </c>
      <c r="B1859" s="20">
        <v>45571</v>
      </c>
      <c r="C1859" t="s">
        <v>2921</v>
      </c>
      <c r="D1859" t="s">
        <v>469</v>
      </c>
      <c r="E1859" t="s">
        <v>351</v>
      </c>
      <c r="F1859" t="s">
        <v>269</v>
      </c>
      <c r="G1859">
        <v>1</v>
      </c>
      <c r="H1859" s="21">
        <v>950.78</v>
      </c>
      <c r="I1859">
        <v>30</v>
      </c>
      <c r="J1859" s="21">
        <v>285.23</v>
      </c>
      <c r="K1859">
        <v>5</v>
      </c>
      <c r="L1859" s="21">
        <v>33.28</v>
      </c>
      <c r="M1859" s="21">
        <v>698.83</v>
      </c>
      <c r="N1859" s="21">
        <v>568.05999999999995</v>
      </c>
      <c r="O1859" s="21">
        <v>97.49</v>
      </c>
      <c r="P1859" t="s">
        <v>124</v>
      </c>
      <c r="Q1859" t="s">
        <v>120</v>
      </c>
      <c r="R1859" t="s">
        <v>151</v>
      </c>
      <c r="S1859" t="s">
        <v>1384</v>
      </c>
      <c r="T1859" t="s">
        <v>161</v>
      </c>
      <c r="U1859" t="s">
        <v>154</v>
      </c>
      <c r="V1859" t="str">
        <f>IFERROR(INDEX(Products!$C:$C,MATCH(D1859,Products!$A:$A,0)),"Unknown")</f>
        <v>Women Kurtis</v>
      </c>
      <c r="W1859" t="str">
        <f>IFERROR(INDEX(Products!$E:$E,MATCH(D1859,Products!$A:$A,0)),"Unknown")</f>
        <v>Libas</v>
      </c>
      <c r="X1859" t="str">
        <f>IFERROR(INDEX(Stores!$B:$B,MATCH(E1859,Stores!$A:$A,0)),"Unknown")</f>
        <v>TrendMart Kozhikode High Street</v>
      </c>
      <c r="Y1859" t="str">
        <f>IFERROR(INDEX(Stores!$E:$E,MATCH(E1859,Stores!$A:$A,0)),"Unknown")</f>
        <v>South Zone 1</v>
      </c>
      <c r="Z1859" t="str">
        <f>IFERROR(INDEX(Customers!$J:$J,MATCH(C1859,Customers!$A:$A,0)),"Unknown")</f>
        <v>Regular</v>
      </c>
      <c r="AA1859" t="str">
        <f t="shared" si="29"/>
        <v>2024-10</v>
      </c>
      <c r="AB1859" t="str">
        <f>IFERROR(INDEX(Products!$I:$I,MATCH(D1859,Products!$A:$A,0)),"Unknown")</f>
        <v>SUP079</v>
      </c>
    </row>
    <row r="1860" spans="1:28" x14ac:dyDescent="0.25">
      <c r="A1860" t="s">
        <v>3839</v>
      </c>
      <c r="B1860" s="20">
        <v>45425</v>
      </c>
      <c r="C1860" t="s">
        <v>2557</v>
      </c>
      <c r="D1860" t="s">
        <v>1691</v>
      </c>
      <c r="E1860" t="s">
        <v>1074</v>
      </c>
      <c r="F1860" t="s">
        <v>579</v>
      </c>
      <c r="G1860">
        <v>2</v>
      </c>
      <c r="H1860" s="21">
        <v>987.81</v>
      </c>
      <c r="I1860">
        <v>10</v>
      </c>
      <c r="J1860" s="21">
        <v>197.56</v>
      </c>
      <c r="K1860">
        <v>5</v>
      </c>
      <c r="L1860" s="21">
        <v>88.9</v>
      </c>
      <c r="M1860" s="21">
        <v>1866.96</v>
      </c>
      <c r="N1860" s="21">
        <v>1401.86</v>
      </c>
      <c r="O1860" s="21">
        <v>376.2</v>
      </c>
      <c r="P1860" t="s">
        <v>121</v>
      </c>
      <c r="Q1860" t="s">
        <v>122</v>
      </c>
      <c r="R1860" t="s">
        <v>151</v>
      </c>
      <c r="S1860" t="s">
        <v>982</v>
      </c>
      <c r="T1860" t="s">
        <v>153</v>
      </c>
      <c r="U1860" t="s">
        <v>154</v>
      </c>
      <c r="V1860" t="str">
        <f>IFERROR(INDEX(Products!$C:$C,MATCH(D1860,Products!$A:$A,0)),"Unknown")</f>
        <v>Women Jeans</v>
      </c>
      <c r="W1860" t="str">
        <f>IFERROR(INDEX(Products!$E:$E,MATCH(D1860,Products!$A:$A,0)),"Unknown")</f>
        <v>Global Desi</v>
      </c>
      <c r="X1860" t="str">
        <f>IFERROR(INDEX(Stores!$B:$B,MATCH(E1860,Stores!$A:$A,0)),"Unknown")</f>
        <v>TrendMart Hyderabad Standard</v>
      </c>
      <c r="Y1860" t="str">
        <f>IFERROR(INDEX(Stores!$E:$E,MATCH(E1860,Stores!$A:$A,0)),"Unknown")</f>
        <v>South Zone 2</v>
      </c>
      <c r="Z1860" t="str">
        <f>IFERROR(INDEX(Customers!$J:$J,MATCH(C1860,Customers!$A:$A,0)),"Unknown")</f>
        <v>Silver</v>
      </c>
      <c r="AA1860" t="str">
        <f t="shared" si="29"/>
        <v>2024-05</v>
      </c>
      <c r="AB1860" t="str">
        <f>IFERROR(INDEX(Products!$I:$I,MATCH(D1860,Products!$A:$A,0)),"Unknown")</f>
        <v>SUP015</v>
      </c>
    </row>
    <row r="1861" spans="1:28" x14ac:dyDescent="0.25">
      <c r="A1861" t="s">
        <v>3840</v>
      </c>
      <c r="B1861" s="20">
        <v>45728</v>
      </c>
      <c r="C1861" t="s">
        <v>3307</v>
      </c>
      <c r="D1861" t="s">
        <v>312</v>
      </c>
      <c r="E1861" t="s">
        <v>200</v>
      </c>
      <c r="F1861" t="s">
        <v>532</v>
      </c>
      <c r="G1861">
        <v>1</v>
      </c>
      <c r="H1861" s="21">
        <v>1186.1400000000001</v>
      </c>
      <c r="I1861">
        <v>10</v>
      </c>
      <c r="J1861" s="21">
        <v>118.61</v>
      </c>
      <c r="K1861">
        <v>12</v>
      </c>
      <c r="L1861" s="21">
        <v>128.1</v>
      </c>
      <c r="M1861" s="21">
        <v>1195.6300000000001</v>
      </c>
      <c r="N1861" s="21">
        <v>865.92</v>
      </c>
      <c r="O1861" s="21">
        <v>201.61</v>
      </c>
      <c r="P1861" t="s">
        <v>124</v>
      </c>
      <c r="Q1861" t="s">
        <v>120</v>
      </c>
      <c r="R1861" t="s">
        <v>151</v>
      </c>
      <c r="S1861" t="s">
        <v>2619</v>
      </c>
      <c r="T1861" t="s">
        <v>153</v>
      </c>
      <c r="U1861" t="s">
        <v>154</v>
      </c>
      <c r="V1861" t="str">
        <f>IFERROR(INDEX(Products!$C:$C,MATCH(D1861,Products!$A:$A,0)),"Unknown")</f>
        <v>Handbags</v>
      </c>
      <c r="W1861" t="str">
        <f>IFERROR(INDEX(Products!$E:$E,MATCH(D1861,Products!$A:$A,0)),"Unknown")</f>
        <v>Wrangler</v>
      </c>
      <c r="X1861" t="str">
        <f>IFERROR(INDEX(Stores!$B:$B,MATCH(E1861,Stores!$A:$A,0)),"Unknown")</f>
        <v>TrendMart Kozhikode Standard</v>
      </c>
      <c r="Y1861" t="str">
        <f>IFERROR(INDEX(Stores!$E:$E,MATCH(E1861,Stores!$A:$A,0)),"Unknown")</f>
        <v>South Zone 1</v>
      </c>
      <c r="Z1861" t="str">
        <f>IFERROR(INDEX(Customers!$J:$J,MATCH(C1861,Customers!$A:$A,0)),"Unknown")</f>
        <v>Silver</v>
      </c>
      <c r="AA1861" t="str">
        <f t="shared" si="29"/>
        <v>2025-03</v>
      </c>
      <c r="AB1861" t="str">
        <f>IFERROR(INDEX(Products!$I:$I,MATCH(D1861,Products!$A:$A,0)),"Unknown")</f>
        <v>SUP008</v>
      </c>
    </row>
    <row r="1862" spans="1:28" x14ac:dyDescent="0.25">
      <c r="A1862" t="s">
        <v>3841</v>
      </c>
      <c r="B1862" s="20">
        <v>45630</v>
      </c>
      <c r="C1862" t="s">
        <v>1420</v>
      </c>
      <c r="D1862" t="s">
        <v>246</v>
      </c>
      <c r="E1862" t="s">
        <v>806</v>
      </c>
      <c r="F1862" t="s">
        <v>403</v>
      </c>
      <c r="G1862">
        <v>1</v>
      </c>
      <c r="H1862" s="21">
        <v>1293.99</v>
      </c>
      <c r="I1862">
        <v>30</v>
      </c>
      <c r="J1862" s="21">
        <v>388.2</v>
      </c>
      <c r="K1862">
        <v>12</v>
      </c>
      <c r="L1862" s="21">
        <v>108.69</v>
      </c>
      <c r="M1862" s="21">
        <v>1014.48</v>
      </c>
      <c r="N1862" s="21">
        <v>865.48</v>
      </c>
      <c r="O1862" s="21">
        <v>40.31</v>
      </c>
      <c r="P1862" t="s">
        <v>121</v>
      </c>
      <c r="Q1862" t="s">
        <v>122</v>
      </c>
      <c r="R1862" t="s">
        <v>151</v>
      </c>
      <c r="S1862" t="s">
        <v>3616</v>
      </c>
      <c r="T1862" t="s">
        <v>153</v>
      </c>
      <c r="U1862" t="s">
        <v>154</v>
      </c>
      <c r="V1862" t="str">
        <f>IFERROR(INDEX(Products!$C:$C,MATCH(D1862,Products!$A:$A,0)),"Unknown")</f>
        <v>Women Dresses</v>
      </c>
      <c r="W1862" t="str">
        <f>IFERROR(INDEX(Products!$E:$E,MATCH(D1862,Products!$A:$A,0)),"Unknown")</f>
        <v>Tanishq</v>
      </c>
      <c r="X1862" t="str">
        <f>IFERROR(INDEX(Stores!$B:$B,MATCH(E1862,Stores!$A:$A,0)),"Unknown")</f>
        <v>TrendMart Tirunelveli Flagship</v>
      </c>
      <c r="Y1862" t="str">
        <f>IFERROR(INDEX(Stores!$E:$E,MATCH(E1862,Stores!$A:$A,0)),"Unknown")</f>
        <v>South Zone 1</v>
      </c>
      <c r="Z1862" t="str">
        <f>IFERROR(INDEX(Customers!$J:$J,MATCH(C1862,Customers!$A:$A,0)),"Unknown")</f>
        <v>Regular</v>
      </c>
      <c r="AA1862" t="str">
        <f t="shared" si="29"/>
        <v>2024-12</v>
      </c>
      <c r="AB1862" t="str">
        <f>IFERROR(INDEX(Products!$I:$I,MATCH(D1862,Products!$A:$A,0)),"Unknown")</f>
        <v>SUP002</v>
      </c>
    </row>
    <row r="1863" spans="1:28" x14ac:dyDescent="0.25">
      <c r="A1863" t="s">
        <v>3842</v>
      </c>
      <c r="B1863" s="20">
        <v>45466</v>
      </c>
      <c r="C1863" t="s">
        <v>1029</v>
      </c>
      <c r="D1863" t="s">
        <v>1133</v>
      </c>
      <c r="E1863" t="s">
        <v>81</v>
      </c>
      <c r="F1863" t="s">
        <v>297</v>
      </c>
      <c r="G1863">
        <v>2</v>
      </c>
      <c r="H1863" s="21">
        <v>556.88</v>
      </c>
      <c r="I1863">
        <v>25</v>
      </c>
      <c r="J1863" s="21">
        <v>278.44</v>
      </c>
      <c r="K1863">
        <v>5</v>
      </c>
      <c r="L1863" s="21">
        <v>41.77</v>
      </c>
      <c r="M1863" s="21">
        <v>877.09</v>
      </c>
      <c r="N1863" s="21">
        <v>820.74</v>
      </c>
      <c r="O1863" s="21">
        <v>14.58</v>
      </c>
      <c r="P1863" t="s">
        <v>123</v>
      </c>
      <c r="Q1863" t="s">
        <v>122</v>
      </c>
      <c r="R1863" t="s">
        <v>151</v>
      </c>
      <c r="S1863" t="s">
        <v>1603</v>
      </c>
      <c r="T1863" t="s">
        <v>161</v>
      </c>
      <c r="U1863" t="s">
        <v>154</v>
      </c>
      <c r="V1863" t="str">
        <f>IFERROR(INDEX(Products!$C:$C,MATCH(D1863,Products!$A:$A,0)),"Unknown")</f>
        <v>Sportswear</v>
      </c>
      <c r="W1863" t="str">
        <f>IFERROR(INDEX(Products!$E:$E,MATCH(D1863,Products!$A:$A,0)),"Unknown")</f>
        <v>Numero Uno</v>
      </c>
      <c r="X1863" t="str">
        <f>IFERROR(INDEX(Stores!$B:$B,MATCH(E1863,Stores!$A:$A,0)),"Unknown")</f>
        <v>TrendMart Vijayawada High Street</v>
      </c>
      <c r="Y1863" t="str">
        <f>IFERROR(INDEX(Stores!$E:$E,MATCH(E1863,Stores!$A:$A,0)),"Unknown")</f>
        <v>South Zone 3</v>
      </c>
      <c r="Z1863" t="str">
        <f>IFERROR(INDEX(Customers!$J:$J,MATCH(C1863,Customers!$A:$A,0)),"Unknown")</f>
        <v>Gold</v>
      </c>
      <c r="AA1863" t="str">
        <f t="shared" si="29"/>
        <v>2024-06</v>
      </c>
      <c r="AB1863" t="str">
        <f>IFERROR(INDEX(Products!$I:$I,MATCH(D1863,Products!$A:$A,0)),"Unknown")</f>
        <v>SUP082</v>
      </c>
    </row>
    <row r="1864" spans="1:28" x14ac:dyDescent="0.25">
      <c r="A1864" t="s">
        <v>3843</v>
      </c>
      <c r="B1864" s="20">
        <v>45550</v>
      </c>
      <c r="C1864" t="s">
        <v>2830</v>
      </c>
      <c r="D1864" t="s">
        <v>376</v>
      </c>
      <c r="E1864" t="s">
        <v>815</v>
      </c>
      <c r="F1864" t="s">
        <v>281</v>
      </c>
      <c r="G1864">
        <v>1</v>
      </c>
      <c r="H1864" s="21">
        <v>1358.51</v>
      </c>
      <c r="I1864">
        <v>0</v>
      </c>
      <c r="J1864" s="21">
        <v>0</v>
      </c>
      <c r="K1864">
        <v>12</v>
      </c>
      <c r="L1864" s="21">
        <v>163.02000000000001</v>
      </c>
      <c r="M1864" s="21">
        <v>1521.53</v>
      </c>
      <c r="N1864" s="21">
        <v>1025.24</v>
      </c>
      <c r="O1864" s="21">
        <v>333.27</v>
      </c>
      <c r="P1864" t="s">
        <v>124</v>
      </c>
      <c r="Q1864" t="s">
        <v>120</v>
      </c>
      <c r="R1864" t="s">
        <v>151</v>
      </c>
      <c r="S1864" t="s">
        <v>663</v>
      </c>
      <c r="T1864" t="s">
        <v>161</v>
      </c>
      <c r="U1864" t="s">
        <v>154</v>
      </c>
      <c r="V1864" t="str">
        <f>IFERROR(INDEX(Products!$C:$C,MATCH(D1864,Products!$A:$A,0)),"Unknown")</f>
        <v>Women Jeans</v>
      </c>
      <c r="W1864" t="str">
        <f>IFERROR(INDEX(Products!$E:$E,MATCH(D1864,Products!$A:$A,0)),"Unknown")</f>
        <v>Pothys</v>
      </c>
      <c r="X1864" t="str">
        <f>IFERROR(INDEX(Stores!$B:$B,MATCH(E1864,Stores!$A:$A,0)),"Unknown")</f>
        <v>TrendMart Madurai Mall Kiosk</v>
      </c>
      <c r="Y1864" t="str">
        <f>IFERROR(INDEX(Stores!$E:$E,MATCH(E1864,Stores!$A:$A,0)),"Unknown")</f>
        <v>South Zone 1</v>
      </c>
      <c r="Z1864" t="str">
        <f>IFERROR(INDEX(Customers!$J:$J,MATCH(C1864,Customers!$A:$A,0)),"Unknown")</f>
        <v>Silver</v>
      </c>
      <c r="AA1864" t="str">
        <f t="shared" si="29"/>
        <v>2024-09</v>
      </c>
      <c r="AB1864" t="str">
        <f>IFERROR(INDEX(Products!$I:$I,MATCH(D1864,Products!$A:$A,0)),"Unknown")</f>
        <v>SUP015</v>
      </c>
    </row>
    <row r="1865" spans="1:28" x14ac:dyDescent="0.25">
      <c r="A1865" t="s">
        <v>3844</v>
      </c>
      <c r="B1865" s="20">
        <v>45721</v>
      </c>
      <c r="C1865" t="s">
        <v>3156</v>
      </c>
      <c r="D1865" t="s">
        <v>773</v>
      </c>
      <c r="E1865" t="s">
        <v>334</v>
      </c>
      <c r="F1865" t="s">
        <v>550</v>
      </c>
      <c r="G1865">
        <v>1</v>
      </c>
      <c r="H1865" s="21">
        <v>3412.08</v>
      </c>
      <c r="I1865">
        <v>20</v>
      </c>
      <c r="J1865" s="21">
        <v>682.42</v>
      </c>
      <c r="K1865">
        <v>12</v>
      </c>
      <c r="L1865" s="21">
        <v>327.56</v>
      </c>
      <c r="M1865" s="21">
        <v>3057.22</v>
      </c>
      <c r="N1865" s="21">
        <v>2710.05</v>
      </c>
      <c r="O1865" s="21">
        <v>19.61</v>
      </c>
      <c r="P1865" t="s">
        <v>125</v>
      </c>
      <c r="Q1865" t="s">
        <v>120</v>
      </c>
      <c r="R1865" t="s">
        <v>151</v>
      </c>
      <c r="S1865" t="s">
        <v>1217</v>
      </c>
      <c r="T1865" t="s">
        <v>153</v>
      </c>
      <c r="U1865" t="s">
        <v>154</v>
      </c>
      <c r="V1865" t="str">
        <f>IFERROR(INDEX(Products!$C:$C,MATCH(D1865,Products!$A:$A,0)),"Unknown")</f>
        <v>Women Sarees</v>
      </c>
      <c r="W1865" t="str">
        <f>IFERROR(INDEX(Products!$E:$E,MATCH(D1865,Products!$A:$A,0)),"Unknown")</f>
        <v>Bata</v>
      </c>
      <c r="X1865" t="str">
        <f>IFERROR(INDEX(Stores!$B:$B,MATCH(E1865,Stores!$A:$A,0)),"Unknown")</f>
        <v>TrendMart Madurai High Street</v>
      </c>
      <c r="Y1865" t="str">
        <f>IFERROR(INDEX(Stores!$E:$E,MATCH(E1865,Stores!$A:$A,0)),"Unknown")</f>
        <v>South Zone 1</v>
      </c>
      <c r="Z1865" t="str">
        <f>IFERROR(INDEX(Customers!$J:$J,MATCH(C1865,Customers!$A:$A,0)),"Unknown")</f>
        <v>Silver</v>
      </c>
      <c r="AA1865" t="str">
        <f t="shared" si="29"/>
        <v>2025-03</v>
      </c>
      <c r="AB1865" t="str">
        <f>IFERROR(INDEX(Products!$I:$I,MATCH(D1865,Products!$A:$A,0)),"Unknown")</f>
        <v>SUP086</v>
      </c>
    </row>
    <row r="1866" spans="1:28" x14ac:dyDescent="0.25">
      <c r="A1866" t="s">
        <v>3845</v>
      </c>
      <c r="B1866" s="20">
        <v>45609</v>
      </c>
      <c r="C1866" t="s">
        <v>3151</v>
      </c>
      <c r="D1866" t="s">
        <v>1055</v>
      </c>
      <c r="E1866" t="s">
        <v>241</v>
      </c>
      <c r="F1866" t="s">
        <v>462</v>
      </c>
      <c r="G1866">
        <v>1</v>
      </c>
      <c r="H1866" s="21">
        <v>1525.26</v>
      </c>
      <c r="I1866">
        <v>5</v>
      </c>
      <c r="J1866" s="21">
        <v>76.260000000000005</v>
      </c>
      <c r="K1866">
        <v>12</v>
      </c>
      <c r="L1866" s="21">
        <v>173.88</v>
      </c>
      <c r="M1866" s="21">
        <v>1622.88</v>
      </c>
      <c r="N1866" s="21">
        <v>1116.33</v>
      </c>
      <c r="O1866" s="21">
        <v>332.67</v>
      </c>
      <c r="P1866" t="s">
        <v>121</v>
      </c>
      <c r="Q1866" t="s">
        <v>122</v>
      </c>
      <c r="R1866" t="s">
        <v>151</v>
      </c>
      <c r="S1866" t="s">
        <v>2516</v>
      </c>
      <c r="T1866" t="s">
        <v>153</v>
      </c>
      <c r="U1866" t="s">
        <v>154</v>
      </c>
      <c r="V1866" t="str">
        <f>IFERROR(INDEX(Products!$C:$C,MATCH(D1866,Products!$A:$A,0)),"Unknown")</f>
        <v>Wallets</v>
      </c>
      <c r="W1866" t="str">
        <f>IFERROR(INDEX(Products!$E:$E,MATCH(D1866,Products!$A:$A,0)),"Unknown")</f>
        <v>Nalli Silks</v>
      </c>
      <c r="X1866" t="str">
        <f>IFERROR(INDEX(Stores!$B:$B,MATCH(E1866,Stores!$A:$A,0)),"Unknown")</f>
        <v>TrendMart Nizamabad Mall Kiosk</v>
      </c>
      <c r="Y1866" t="str">
        <f>IFERROR(INDEX(Stores!$E:$E,MATCH(E1866,Stores!$A:$A,0)),"Unknown")</f>
        <v>South Zone 2</v>
      </c>
      <c r="Z1866" t="str">
        <f>IFERROR(INDEX(Customers!$J:$J,MATCH(C1866,Customers!$A:$A,0)),"Unknown")</f>
        <v>Platinum</v>
      </c>
      <c r="AA1866" t="str">
        <f t="shared" si="29"/>
        <v>2024-11</v>
      </c>
      <c r="AB1866" t="str">
        <f>IFERROR(INDEX(Products!$I:$I,MATCH(D1866,Products!$A:$A,0)),"Unknown")</f>
        <v>SUP016</v>
      </c>
    </row>
    <row r="1867" spans="1:28" x14ac:dyDescent="0.25">
      <c r="A1867" t="s">
        <v>3846</v>
      </c>
      <c r="B1867" s="20">
        <v>45557</v>
      </c>
      <c r="C1867" t="s">
        <v>1457</v>
      </c>
      <c r="D1867" t="s">
        <v>646</v>
      </c>
      <c r="E1867" t="s">
        <v>1017</v>
      </c>
      <c r="F1867" t="s">
        <v>516</v>
      </c>
      <c r="G1867">
        <v>3</v>
      </c>
      <c r="H1867" s="21">
        <v>852.21</v>
      </c>
      <c r="I1867">
        <v>0</v>
      </c>
      <c r="J1867" s="21">
        <v>0</v>
      </c>
      <c r="K1867">
        <v>5</v>
      </c>
      <c r="L1867" s="21">
        <v>127.83</v>
      </c>
      <c r="M1867" s="21">
        <v>2684.46</v>
      </c>
      <c r="N1867" s="21">
        <v>1536.33</v>
      </c>
      <c r="O1867" s="21">
        <v>1020.3</v>
      </c>
      <c r="P1867" t="s">
        <v>124</v>
      </c>
      <c r="Q1867" t="s">
        <v>120</v>
      </c>
      <c r="R1867" t="s">
        <v>151</v>
      </c>
      <c r="S1867" t="s">
        <v>430</v>
      </c>
      <c r="T1867" t="s">
        <v>161</v>
      </c>
      <c r="U1867" t="s">
        <v>154</v>
      </c>
      <c r="V1867" t="str">
        <f>IFERROR(INDEX(Products!$C:$C,MATCH(D1867,Products!$A:$A,0)),"Unknown")</f>
        <v>Sportswear</v>
      </c>
      <c r="W1867" t="str">
        <f>IFERROR(INDEX(Products!$E:$E,MATCH(D1867,Products!$A:$A,0)),"Unknown")</f>
        <v>Fabindia</v>
      </c>
      <c r="X1867" t="str">
        <f>IFERROR(INDEX(Stores!$B:$B,MATCH(E1867,Stores!$A:$A,0)),"Unknown")</f>
        <v>TrendMart Mangaluru Standard</v>
      </c>
      <c r="Y1867" t="str">
        <f>IFERROR(INDEX(Stores!$E:$E,MATCH(E1867,Stores!$A:$A,0)),"Unknown")</f>
        <v>South Zone 2</v>
      </c>
      <c r="Z1867" t="str">
        <f>IFERROR(INDEX(Customers!$J:$J,MATCH(C1867,Customers!$A:$A,0)),"Unknown")</f>
        <v>Platinum</v>
      </c>
      <c r="AA1867" t="str">
        <f t="shared" si="29"/>
        <v>2024-09</v>
      </c>
      <c r="AB1867" t="str">
        <f>IFERROR(INDEX(Products!$I:$I,MATCH(D1867,Products!$A:$A,0)),"Unknown")</f>
        <v>SUP087</v>
      </c>
    </row>
    <row r="1868" spans="1:28" x14ac:dyDescent="0.25">
      <c r="A1868" t="s">
        <v>3847</v>
      </c>
      <c r="B1868" s="20">
        <v>45566</v>
      </c>
      <c r="C1868" t="s">
        <v>328</v>
      </c>
      <c r="D1868" t="s">
        <v>697</v>
      </c>
      <c r="E1868" t="s">
        <v>671</v>
      </c>
      <c r="F1868" t="s">
        <v>297</v>
      </c>
      <c r="G1868">
        <v>1</v>
      </c>
      <c r="H1868" s="21">
        <v>1122.8499999999999</v>
      </c>
      <c r="I1868">
        <v>15</v>
      </c>
      <c r="J1868" s="21">
        <v>168.43</v>
      </c>
      <c r="K1868">
        <v>12</v>
      </c>
      <c r="L1868" s="21">
        <v>114.53</v>
      </c>
      <c r="M1868" s="21">
        <v>1068.95</v>
      </c>
      <c r="N1868" s="21">
        <v>699.84</v>
      </c>
      <c r="O1868" s="21">
        <v>254.58</v>
      </c>
      <c r="P1868" t="s">
        <v>123</v>
      </c>
      <c r="Q1868" t="s">
        <v>122</v>
      </c>
      <c r="R1868" t="s">
        <v>151</v>
      </c>
      <c r="S1868" t="s">
        <v>2898</v>
      </c>
      <c r="T1868" t="s">
        <v>153</v>
      </c>
      <c r="U1868" t="s">
        <v>154</v>
      </c>
      <c r="V1868" t="str">
        <f>IFERROR(INDEX(Products!$C:$C,MATCH(D1868,Products!$A:$A,0)),"Unknown")</f>
        <v>Women Tops</v>
      </c>
      <c r="W1868" t="str">
        <f>IFERROR(INDEX(Products!$E:$E,MATCH(D1868,Products!$A:$A,0)),"Unknown")</f>
        <v>Nalli Silks</v>
      </c>
      <c r="X1868" t="str">
        <f>IFERROR(INDEX(Stores!$B:$B,MATCH(E1868,Stores!$A:$A,0)),"Unknown")</f>
        <v>TrendMart Hyderabad Mall Kiosk</v>
      </c>
      <c r="Y1868" t="str">
        <f>IFERROR(INDEX(Stores!$E:$E,MATCH(E1868,Stores!$A:$A,0)),"Unknown")</f>
        <v>South Zone 2</v>
      </c>
      <c r="Z1868" t="str">
        <f>IFERROR(INDEX(Customers!$J:$J,MATCH(C1868,Customers!$A:$A,0)),"Unknown")</f>
        <v>Platinum</v>
      </c>
      <c r="AA1868" t="str">
        <f t="shared" si="29"/>
        <v>2024-10</v>
      </c>
      <c r="AB1868" t="str">
        <f>IFERROR(INDEX(Products!$I:$I,MATCH(D1868,Products!$A:$A,0)),"Unknown")</f>
        <v>SUP008</v>
      </c>
    </row>
    <row r="1869" spans="1:28" x14ac:dyDescent="0.25">
      <c r="A1869" t="s">
        <v>3848</v>
      </c>
      <c r="B1869" s="20">
        <v>45572</v>
      </c>
      <c r="C1869" t="s">
        <v>2253</v>
      </c>
      <c r="D1869" t="s">
        <v>1036</v>
      </c>
      <c r="E1869" t="s">
        <v>268</v>
      </c>
      <c r="F1869" t="s">
        <v>377</v>
      </c>
      <c r="G1869">
        <v>1</v>
      </c>
      <c r="H1869" s="21">
        <v>869.69</v>
      </c>
      <c r="I1869">
        <v>0</v>
      </c>
      <c r="J1869" s="21">
        <v>0</v>
      </c>
      <c r="K1869">
        <v>5</v>
      </c>
      <c r="L1869" s="21">
        <v>43.48</v>
      </c>
      <c r="M1869" s="21">
        <v>913.17</v>
      </c>
      <c r="N1869" s="21">
        <v>590.02</v>
      </c>
      <c r="O1869" s="21">
        <v>279.67</v>
      </c>
      <c r="P1869" t="s">
        <v>121</v>
      </c>
      <c r="Q1869" t="s">
        <v>120</v>
      </c>
      <c r="R1869" t="s">
        <v>151</v>
      </c>
      <c r="S1869" t="s">
        <v>152</v>
      </c>
      <c r="T1869" t="s">
        <v>153</v>
      </c>
      <c r="U1869" t="s">
        <v>154</v>
      </c>
      <c r="V1869" t="str">
        <f>IFERROR(INDEX(Products!$C:$C,MATCH(D1869,Products!$A:$A,0)),"Unknown")</f>
        <v>Belts</v>
      </c>
      <c r="W1869" t="str">
        <f>IFERROR(INDEX(Products!$E:$E,MATCH(D1869,Products!$A:$A,0)),"Unknown")</f>
        <v>Skechers</v>
      </c>
      <c r="X1869" t="str">
        <f>IFERROR(INDEX(Stores!$B:$B,MATCH(E1869,Stores!$A:$A,0)),"Unknown")</f>
        <v>TrendMart Kochi High Street</v>
      </c>
      <c r="Y1869" t="str">
        <f>IFERROR(INDEX(Stores!$E:$E,MATCH(E1869,Stores!$A:$A,0)),"Unknown")</f>
        <v>South Zone 1</v>
      </c>
      <c r="Z1869" t="str">
        <f>IFERROR(INDEX(Customers!$J:$J,MATCH(C1869,Customers!$A:$A,0)),"Unknown")</f>
        <v>Regular</v>
      </c>
      <c r="AA1869" t="str">
        <f t="shared" si="29"/>
        <v>2024-10</v>
      </c>
      <c r="AB1869" t="str">
        <f>IFERROR(INDEX(Products!$I:$I,MATCH(D1869,Products!$A:$A,0)),"Unknown")</f>
        <v>SUP085</v>
      </c>
    </row>
    <row r="1870" spans="1:28" x14ac:dyDescent="0.25">
      <c r="A1870" t="s">
        <v>3849</v>
      </c>
      <c r="B1870" s="20">
        <v>45594</v>
      </c>
      <c r="C1870" t="s">
        <v>3073</v>
      </c>
      <c r="D1870" t="s">
        <v>1296</v>
      </c>
      <c r="E1870" t="s">
        <v>461</v>
      </c>
      <c r="F1870" t="s">
        <v>403</v>
      </c>
      <c r="G1870">
        <v>2</v>
      </c>
      <c r="H1870" s="21">
        <v>942.14</v>
      </c>
      <c r="I1870">
        <v>0</v>
      </c>
      <c r="J1870" s="21">
        <v>0</v>
      </c>
      <c r="K1870">
        <v>5</v>
      </c>
      <c r="L1870" s="21">
        <v>94.21</v>
      </c>
      <c r="M1870" s="21">
        <v>1978.49</v>
      </c>
      <c r="N1870" s="21">
        <v>1342.38</v>
      </c>
      <c r="O1870" s="21">
        <v>541.9</v>
      </c>
      <c r="P1870" t="s">
        <v>121</v>
      </c>
      <c r="Q1870" t="s">
        <v>120</v>
      </c>
      <c r="R1870" t="s">
        <v>151</v>
      </c>
      <c r="S1870" t="s">
        <v>1801</v>
      </c>
      <c r="T1870" t="s">
        <v>153</v>
      </c>
      <c r="U1870" t="s">
        <v>154</v>
      </c>
      <c r="V1870" t="str">
        <f>IFERROR(INDEX(Products!$C:$C,MATCH(D1870,Products!$A:$A,0)),"Unknown")</f>
        <v>Handbags</v>
      </c>
      <c r="W1870" t="str">
        <f>IFERROR(INDEX(Products!$E:$E,MATCH(D1870,Products!$A:$A,0)),"Unknown")</f>
        <v>Tanishq</v>
      </c>
      <c r="X1870" t="str">
        <f>IFERROR(INDEX(Stores!$B:$B,MATCH(E1870,Stores!$A:$A,0)),"Unknown")</f>
        <v>TrendMart Visakhapatnam High Street</v>
      </c>
      <c r="Y1870" t="str">
        <f>IFERROR(INDEX(Stores!$E:$E,MATCH(E1870,Stores!$A:$A,0)),"Unknown")</f>
        <v>South Zone 3</v>
      </c>
      <c r="Z1870" t="str">
        <f>IFERROR(INDEX(Customers!$J:$J,MATCH(C1870,Customers!$A:$A,0)),"Unknown")</f>
        <v>Regular</v>
      </c>
      <c r="AA1870" t="str">
        <f t="shared" si="29"/>
        <v>2024-10</v>
      </c>
      <c r="AB1870" t="str">
        <f>IFERROR(INDEX(Products!$I:$I,MATCH(D1870,Products!$A:$A,0)),"Unknown")</f>
        <v>SUP083</v>
      </c>
    </row>
    <row r="1871" spans="1:28" x14ac:dyDescent="0.25">
      <c r="A1871" t="s">
        <v>3850</v>
      </c>
      <c r="B1871" s="20">
        <v>45534</v>
      </c>
      <c r="C1871" t="s">
        <v>2722</v>
      </c>
      <c r="D1871" t="s">
        <v>174</v>
      </c>
      <c r="E1871" t="s">
        <v>1068</v>
      </c>
      <c r="F1871" t="s">
        <v>532</v>
      </c>
      <c r="G1871">
        <v>2</v>
      </c>
      <c r="H1871" s="21">
        <v>845.03</v>
      </c>
      <c r="I1871">
        <v>0</v>
      </c>
      <c r="J1871" s="21">
        <v>0</v>
      </c>
      <c r="K1871">
        <v>5</v>
      </c>
      <c r="L1871" s="21">
        <v>84.5</v>
      </c>
      <c r="M1871" s="21">
        <v>1774.56</v>
      </c>
      <c r="N1871" s="21">
        <v>1079.52</v>
      </c>
      <c r="O1871" s="21">
        <v>610.54</v>
      </c>
      <c r="P1871" t="s">
        <v>125</v>
      </c>
      <c r="Q1871" t="s">
        <v>120</v>
      </c>
      <c r="R1871" t="s">
        <v>151</v>
      </c>
      <c r="S1871" t="s">
        <v>3321</v>
      </c>
      <c r="T1871" t="s">
        <v>153</v>
      </c>
      <c r="U1871" t="s">
        <v>154</v>
      </c>
      <c r="V1871" t="str">
        <f>IFERROR(INDEX(Products!$C:$C,MATCH(D1871,Products!$A:$A,0)),"Unknown")</f>
        <v>Women Kurtis</v>
      </c>
      <c r="W1871" t="str">
        <f>IFERROR(INDEX(Products!$E:$E,MATCH(D1871,Products!$A:$A,0)),"Unknown")</f>
        <v>Reebok</v>
      </c>
      <c r="X1871" t="str">
        <f>IFERROR(INDEX(Stores!$B:$B,MATCH(E1871,Stores!$A:$A,0)),"Unknown")</f>
        <v>TrendMart Tumakuru High Street</v>
      </c>
      <c r="Y1871" t="str">
        <f>IFERROR(INDEX(Stores!$E:$E,MATCH(E1871,Stores!$A:$A,0)),"Unknown")</f>
        <v>South Zone 2</v>
      </c>
      <c r="Z1871" t="str">
        <f>IFERROR(INDEX(Customers!$J:$J,MATCH(C1871,Customers!$A:$A,0)),"Unknown")</f>
        <v>Gold</v>
      </c>
      <c r="AA1871" t="str">
        <f t="shared" si="29"/>
        <v>2024-08</v>
      </c>
      <c r="AB1871" t="str">
        <f>IFERROR(INDEX(Products!$I:$I,MATCH(D1871,Products!$A:$A,0)),"Unknown")</f>
        <v>SUP012</v>
      </c>
    </row>
    <row r="1872" spans="1:28" x14ac:dyDescent="0.25">
      <c r="A1872" t="s">
        <v>3851</v>
      </c>
      <c r="B1872" s="20">
        <v>45572</v>
      </c>
      <c r="C1872" t="s">
        <v>3852</v>
      </c>
      <c r="D1872" t="s">
        <v>569</v>
      </c>
      <c r="E1872" t="s">
        <v>667</v>
      </c>
      <c r="F1872" t="s">
        <v>303</v>
      </c>
      <c r="G1872">
        <v>1</v>
      </c>
      <c r="H1872" s="21">
        <v>2380.37</v>
      </c>
      <c r="I1872">
        <v>10</v>
      </c>
      <c r="J1872" s="21">
        <v>238.04</v>
      </c>
      <c r="K1872">
        <v>12</v>
      </c>
      <c r="L1872" s="21">
        <v>257.08</v>
      </c>
      <c r="M1872" s="21">
        <v>2399.41</v>
      </c>
      <c r="N1872" s="21">
        <v>1594</v>
      </c>
      <c r="O1872" s="21">
        <v>548.33000000000004</v>
      </c>
      <c r="P1872" t="s">
        <v>125</v>
      </c>
      <c r="Q1872" t="s">
        <v>120</v>
      </c>
      <c r="R1872" t="s">
        <v>151</v>
      </c>
      <c r="S1872" t="s">
        <v>2516</v>
      </c>
      <c r="T1872" t="s">
        <v>153</v>
      </c>
      <c r="U1872" t="s">
        <v>154</v>
      </c>
      <c r="V1872" t="str">
        <f>IFERROR(INDEX(Products!$C:$C,MATCH(D1872,Products!$A:$A,0)),"Unknown")</f>
        <v>Men Ethnic</v>
      </c>
      <c r="W1872" t="str">
        <f>IFERROR(INDEX(Products!$E:$E,MATCH(D1872,Products!$A:$A,0)),"Unknown")</f>
        <v>Fastrack</v>
      </c>
      <c r="X1872" t="str">
        <f>IFERROR(INDEX(Stores!$B:$B,MATCH(E1872,Stores!$A:$A,0)),"Unknown")</f>
        <v>TrendMart Hyderabad High Street</v>
      </c>
      <c r="Y1872" t="str">
        <f>IFERROR(INDEX(Stores!$E:$E,MATCH(E1872,Stores!$A:$A,0)),"Unknown")</f>
        <v>South Zone 2</v>
      </c>
      <c r="Z1872" t="str">
        <f>IFERROR(INDEX(Customers!$J:$J,MATCH(C1872,Customers!$A:$A,0)),"Unknown")</f>
        <v>Gold</v>
      </c>
      <c r="AA1872" t="str">
        <f t="shared" si="29"/>
        <v>2024-10</v>
      </c>
      <c r="AB1872" t="str">
        <f>IFERROR(INDEX(Products!$I:$I,MATCH(D1872,Products!$A:$A,0)),"Unknown")</f>
        <v>SUP014</v>
      </c>
    </row>
    <row r="1873" spans="1:28" x14ac:dyDescent="0.25">
      <c r="A1873" t="s">
        <v>3853</v>
      </c>
      <c r="B1873" s="20">
        <v>45409</v>
      </c>
      <c r="C1873" t="s">
        <v>2371</v>
      </c>
      <c r="D1873" t="s">
        <v>751</v>
      </c>
      <c r="E1873" t="s">
        <v>607</v>
      </c>
      <c r="F1873" t="s">
        <v>532</v>
      </c>
      <c r="G1873">
        <v>1</v>
      </c>
      <c r="H1873" s="21">
        <v>1357.89</v>
      </c>
      <c r="I1873">
        <v>5</v>
      </c>
      <c r="J1873" s="21">
        <v>67.89</v>
      </c>
      <c r="K1873">
        <v>12</v>
      </c>
      <c r="L1873" s="21">
        <v>154.80000000000001</v>
      </c>
      <c r="M1873" s="21">
        <v>1444.8</v>
      </c>
      <c r="N1873" s="21">
        <v>939.13</v>
      </c>
      <c r="O1873" s="21">
        <v>350.87</v>
      </c>
      <c r="P1873" t="s">
        <v>123</v>
      </c>
      <c r="Q1873" t="s">
        <v>122</v>
      </c>
      <c r="R1873" t="s">
        <v>151</v>
      </c>
      <c r="S1873" t="s">
        <v>3239</v>
      </c>
      <c r="T1873" t="s">
        <v>161</v>
      </c>
      <c r="U1873" t="s">
        <v>154</v>
      </c>
      <c r="V1873" t="str">
        <f>IFERROR(INDEX(Products!$C:$C,MATCH(D1873,Products!$A:$A,0)),"Unknown")</f>
        <v>Wallets</v>
      </c>
      <c r="W1873" t="str">
        <f>IFERROR(INDEX(Products!$E:$E,MATCH(D1873,Products!$A:$A,0)),"Unknown")</f>
        <v>Numero Uno</v>
      </c>
      <c r="X1873" t="str">
        <f>IFERROR(INDEX(Stores!$B:$B,MATCH(E1873,Stores!$A:$A,0)),"Unknown")</f>
        <v>TrendMart Thiruvananthapuram Standard</v>
      </c>
      <c r="Y1873" t="str">
        <f>IFERROR(INDEX(Stores!$E:$E,MATCH(E1873,Stores!$A:$A,0)),"Unknown")</f>
        <v>South Zone 1</v>
      </c>
      <c r="Z1873" t="str">
        <f>IFERROR(INDEX(Customers!$J:$J,MATCH(C1873,Customers!$A:$A,0)),"Unknown")</f>
        <v>Regular</v>
      </c>
      <c r="AA1873" t="str">
        <f t="shared" si="29"/>
        <v>2024-04</v>
      </c>
      <c r="AB1873" t="str">
        <f>IFERROR(INDEX(Products!$I:$I,MATCH(D1873,Products!$A:$A,0)),"Unknown")</f>
        <v>SUP029</v>
      </c>
    </row>
    <row r="1874" spans="1:28" x14ac:dyDescent="0.25">
      <c r="A1874" t="s">
        <v>3854</v>
      </c>
      <c r="B1874" s="20">
        <v>45567</v>
      </c>
      <c r="C1874" t="s">
        <v>1800</v>
      </c>
      <c r="D1874" t="s">
        <v>531</v>
      </c>
      <c r="E1874" t="s">
        <v>334</v>
      </c>
      <c r="F1874" t="s">
        <v>516</v>
      </c>
      <c r="G1874">
        <v>3</v>
      </c>
      <c r="H1874" s="21">
        <v>3157.98</v>
      </c>
      <c r="I1874">
        <v>0</v>
      </c>
      <c r="J1874" s="21">
        <v>0</v>
      </c>
      <c r="K1874">
        <v>12</v>
      </c>
      <c r="L1874" s="21">
        <v>1136.8699999999999</v>
      </c>
      <c r="M1874" s="21">
        <v>10610.81</v>
      </c>
      <c r="N1874" s="21">
        <v>6102.03</v>
      </c>
      <c r="O1874" s="21">
        <v>3371.91</v>
      </c>
      <c r="P1874" t="s">
        <v>123</v>
      </c>
      <c r="Q1874" t="s">
        <v>122</v>
      </c>
      <c r="R1874" t="s">
        <v>151</v>
      </c>
      <c r="S1874" t="s">
        <v>287</v>
      </c>
      <c r="T1874" t="s">
        <v>153</v>
      </c>
      <c r="U1874" t="s">
        <v>154</v>
      </c>
      <c r="V1874" t="str">
        <f>IFERROR(INDEX(Products!$C:$C,MATCH(D1874,Products!$A:$A,0)),"Unknown")</f>
        <v>Handbags</v>
      </c>
      <c r="W1874" t="str">
        <f>IFERROR(INDEX(Products!$E:$E,MATCH(D1874,Products!$A:$A,0)),"Unknown")</f>
        <v>GRT Jewellers</v>
      </c>
      <c r="X1874" t="str">
        <f>IFERROR(INDEX(Stores!$B:$B,MATCH(E1874,Stores!$A:$A,0)),"Unknown")</f>
        <v>TrendMart Madurai High Street</v>
      </c>
      <c r="Y1874" t="str">
        <f>IFERROR(INDEX(Stores!$E:$E,MATCH(E1874,Stores!$A:$A,0)),"Unknown")</f>
        <v>South Zone 1</v>
      </c>
      <c r="Z1874" t="str">
        <f>IFERROR(INDEX(Customers!$J:$J,MATCH(C1874,Customers!$A:$A,0)),"Unknown")</f>
        <v>Platinum</v>
      </c>
      <c r="AA1874" t="str">
        <f t="shared" si="29"/>
        <v>2024-10</v>
      </c>
      <c r="AB1874" t="str">
        <f>IFERROR(INDEX(Products!$I:$I,MATCH(D1874,Products!$A:$A,0)),"Unknown")</f>
        <v>SUP047</v>
      </c>
    </row>
    <row r="1875" spans="1:28" x14ac:dyDescent="0.25">
      <c r="A1875" t="s">
        <v>3855</v>
      </c>
      <c r="B1875" s="20">
        <v>45414</v>
      </c>
      <c r="C1875" t="s">
        <v>446</v>
      </c>
      <c r="D1875" t="s">
        <v>587</v>
      </c>
      <c r="E1875" t="s">
        <v>181</v>
      </c>
      <c r="F1875" t="s">
        <v>443</v>
      </c>
      <c r="G1875">
        <v>1</v>
      </c>
      <c r="H1875" s="21">
        <v>3050.11</v>
      </c>
      <c r="I1875">
        <v>0</v>
      </c>
      <c r="J1875" s="21">
        <v>0</v>
      </c>
      <c r="K1875">
        <v>12</v>
      </c>
      <c r="L1875" s="21">
        <v>366.01</v>
      </c>
      <c r="M1875" s="21">
        <v>3416.12</v>
      </c>
      <c r="N1875" s="21">
        <v>2135.85</v>
      </c>
      <c r="O1875" s="21">
        <v>914.26</v>
      </c>
      <c r="P1875" t="s">
        <v>121</v>
      </c>
      <c r="Q1875" t="s">
        <v>120</v>
      </c>
      <c r="R1875" t="s">
        <v>151</v>
      </c>
      <c r="S1875" t="s">
        <v>304</v>
      </c>
      <c r="T1875" t="s">
        <v>153</v>
      </c>
      <c r="U1875" t="s">
        <v>154</v>
      </c>
      <c r="V1875" t="str">
        <f>IFERROR(INDEX(Products!$C:$C,MATCH(D1875,Products!$A:$A,0)),"Unknown")</f>
        <v>Handbags</v>
      </c>
      <c r="W1875" t="str">
        <f>IFERROR(INDEX(Products!$E:$E,MATCH(D1875,Products!$A:$A,0)),"Unknown")</f>
        <v>Tanishq</v>
      </c>
      <c r="X1875" t="str">
        <f>IFERROR(INDEX(Stores!$B:$B,MATCH(E1875,Stores!$A:$A,0)),"Unknown")</f>
        <v>TrendMart Kurnool High Street</v>
      </c>
      <c r="Y1875" t="str">
        <f>IFERROR(INDEX(Stores!$E:$E,MATCH(E1875,Stores!$A:$A,0)),"Unknown")</f>
        <v>South Zone 3</v>
      </c>
      <c r="Z1875" t="str">
        <f>IFERROR(INDEX(Customers!$J:$J,MATCH(C1875,Customers!$A:$A,0)),"Unknown")</f>
        <v>Platinum</v>
      </c>
      <c r="AA1875" t="str">
        <f t="shared" si="29"/>
        <v>2024-05</v>
      </c>
      <c r="AB1875" t="str">
        <f>IFERROR(INDEX(Products!$I:$I,MATCH(D1875,Products!$A:$A,0)),"Unknown")</f>
        <v>SUP029</v>
      </c>
    </row>
    <row r="1876" spans="1:28" x14ac:dyDescent="0.25">
      <c r="A1876" t="s">
        <v>3856</v>
      </c>
      <c r="B1876" s="20">
        <v>45701</v>
      </c>
      <c r="C1876" t="s">
        <v>661</v>
      </c>
      <c r="D1876" t="s">
        <v>968</v>
      </c>
      <c r="E1876" t="s">
        <v>368</v>
      </c>
      <c r="F1876" t="s">
        <v>269</v>
      </c>
      <c r="G1876">
        <v>1</v>
      </c>
      <c r="H1876" s="21">
        <v>541.48</v>
      </c>
      <c r="I1876">
        <v>0</v>
      </c>
      <c r="J1876" s="21">
        <v>0</v>
      </c>
      <c r="K1876">
        <v>5</v>
      </c>
      <c r="L1876" s="21">
        <v>27.07</v>
      </c>
      <c r="M1876" s="21">
        <v>568.54999999999995</v>
      </c>
      <c r="N1876" s="21">
        <v>303.61</v>
      </c>
      <c r="O1876" s="21">
        <v>237.87</v>
      </c>
      <c r="P1876" t="s">
        <v>123</v>
      </c>
      <c r="Q1876" t="s">
        <v>120</v>
      </c>
      <c r="R1876" t="s">
        <v>151</v>
      </c>
      <c r="S1876" t="s">
        <v>1733</v>
      </c>
      <c r="T1876" t="s">
        <v>153</v>
      </c>
      <c r="U1876" t="s">
        <v>154</v>
      </c>
      <c r="V1876" t="str">
        <f>IFERROR(INDEX(Products!$C:$C,MATCH(D1876,Products!$A:$A,0)),"Unknown")</f>
        <v>Accessories</v>
      </c>
      <c r="W1876" t="str">
        <f>IFERROR(INDEX(Products!$E:$E,MATCH(D1876,Products!$A:$A,0)),"Unknown")</f>
        <v>Blackberrys</v>
      </c>
      <c r="X1876" t="str">
        <f>IFERROR(INDEX(Stores!$B:$B,MATCH(E1876,Stores!$A:$A,0)),"Unknown")</f>
        <v>TrendMart Alappuzha Outlet</v>
      </c>
      <c r="Y1876" t="str">
        <f>IFERROR(INDEX(Stores!$E:$E,MATCH(E1876,Stores!$A:$A,0)),"Unknown")</f>
        <v>South Zone 1</v>
      </c>
      <c r="Z1876" t="str">
        <f>IFERROR(INDEX(Customers!$J:$J,MATCH(C1876,Customers!$A:$A,0)),"Unknown")</f>
        <v>Silver</v>
      </c>
      <c r="AA1876" t="str">
        <f t="shared" si="29"/>
        <v>2025-02</v>
      </c>
      <c r="AB1876" t="str">
        <f>IFERROR(INDEX(Products!$I:$I,MATCH(D1876,Products!$A:$A,0)),"Unknown")</f>
        <v>SUP048</v>
      </c>
    </row>
    <row r="1877" spans="1:28" x14ac:dyDescent="0.25">
      <c r="A1877" t="s">
        <v>3857</v>
      </c>
      <c r="B1877" s="20">
        <v>45500</v>
      </c>
      <c r="C1877" t="s">
        <v>493</v>
      </c>
      <c r="D1877" t="s">
        <v>1292</v>
      </c>
      <c r="E1877" t="s">
        <v>97</v>
      </c>
      <c r="F1877" t="s">
        <v>377</v>
      </c>
      <c r="G1877">
        <v>3</v>
      </c>
      <c r="H1877" s="21">
        <v>540.58000000000004</v>
      </c>
      <c r="I1877">
        <v>25</v>
      </c>
      <c r="J1877" s="21">
        <v>405.44</v>
      </c>
      <c r="K1877">
        <v>5</v>
      </c>
      <c r="L1877" s="21">
        <v>60.81</v>
      </c>
      <c r="M1877" s="21">
        <v>1277.1099999999999</v>
      </c>
      <c r="N1877" s="21">
        <v>1046.25</v>
      </c>
      <c r="O1877" s="21">
        <v>170.05</v>
      </c>
      <c r="P1877" t="s">
        <v>124</v>
      </c>
      <c r="Q1877" t="s">
        <v>120</v>
      </c>
      <c r="R1877" t="s">
        <v>151</v>
      </c>
      <c r="S1877" t="s">
        <v>3294</v>
      </c>
      <c r="T1877" t="s">
        <v>161</v>
      </c>
      <c r="U1877" t="s">
        <v>154</v>
      </c>
      <c r="V1877" t="str">
        <f>IFERROR(INDEX(Products!$C:$C,MATCH(D1877,Products!$A:$A,0)),"Unknown")</f>
        <v>Men T-Shirts</v>
      </c>
      <c r="W1877" t="str">
        <f>IFERROR(INDEX(Products!$E:$E,MATCH(D1877,Products!$A:$A,0)),"Unknown")</f>
        <v>Metro Shoes</v>
      </c>
      <c r="X1877" t="str">
        <f>IFERROR(INDEX(Stores!$B:$B,MATCH(E1877,Stores!$A:$A,0)),"Unknown")</f>
        <v>TrendMart Guntur Flagship</v>
      </c>
      <c r="Y1877" t="str">
        <f>IFERROR(INDEX(Stores!$E:$E,MATCH(E1877,Stores!$A:$A,0)),"Unknown")</f>
        <v>South Zone 3</v>
      </c>
      <c r="Z1877" t="str">
        <f>IFERROR(INDEX(Customers!$J:$J,MATCH(C1877,Customers!$A:$A,0)),"Unknown")</f>
        <v>Regular</v>
      </c>
      <c r="AA1877" t="str">
        <f t="shared" si="29"/>
        <v>2024-07</v>
      </c>
      <c r="AB1877" t="str">
        <f>IFERROR(INDEX(Products!$I:$I,MATCH(D1877,Products!$A:$A,0)),"Unknown")</f>
        <v>SUP024</v>
      </c>
    </row>
    <row r="1878" spans="1:28" x14ac:dyDescent="0.25">
      <c r="A1878" t="s">
        <v>3858</v>
      </c>
      <c r="B1878" s="20">
        <v>45726</v>
      </c>
      <c r="C1878" t="s">
        <v>3684</v>
      </c>
      <c r="D1878" t="s">
        <v>1454</v>
      </c>
      <c r="E1878" t="s">
        <v>798</v>
      </c>
      <c r="F1878" t="s">
        <v>532</v>
      </c>
      <c r="G1878">
        <v>2</v>
      </c>
      <c r="H1878" s="21">
        <v>725.39</v>
      </c>
      <c r="I1878">
        <v>5</v>
      </c>
      <c r="J1878" s="21">
        <v>72.540000000000006</v>
      </c>
      <c r="K1878">
        <v>5</v>
      </c>
      <c r="L1878" s="21">
        <v>68.91</v>
      </c>
      <c r="M1878" s="21">
        <v>1447.15</v>
      </c>
      <c r="N1878" s="21">
        <v>1140.3599999999999</v>
      </c>
      <c r="O1878" s="21">
        <v>237.88</v>
      </c>
      <c r="P1878" t="s">
        <v>123</v>
      </c>
      <c r="Q1878" t="s">
        <v>120</v>
      </c>
      <c r="R1878" t="s">
        <v>151</v>
      </c>
      <c r="S1878" t="s">
        <v>1272</v>
      </c>
      <c r="T1878" t="s">
        <v>153</v>
      </c>
      <c r="U1878" t="s">
        <v>154</v>
      </c>
      <c r="V1878" t="str">
        <f>IFERROR(INDEX(Products!$C:$C,MATCH(D1878,Products!$A:$A,0)),"Unknown")</f>
        <v>Wallets</v>
      </c>
      <c r="W1878" t="str">
        <f>IFERROR(INDEX(Products!$E:$E,MATCH(D1878,Products!$A:$A,0)),"Unknown")</f>
        <v>Skechers</v>
      </c>
      <c r="X1878" t="str">
        <f>IFERROR(INDEX(Stores!$B:$B,MATCH(E1878,Stores!$A:$A,0)),"Unknown")</f>
        <v>TrendMart Guntur Standard</v>
      </c>
      <c r="Y1878" t="str">
        <f>IFERROR(INDEX(Stores!$E:$E,MATCH(E1878,Stores!$A:$A,0)),"Unknown")</f>
        <v>South Zone 3</v>
      </c>
      <c r="Z1878" t="str">
        <f>IFERROR(INDEX(Customers!$J:$J,MATCH(C1878,Customers!$A:$A,0)),"Unknown")</f>
        <v>Regular</v>
      </c>
      <c r="AA1878" t="str">
        <f t="shared" si="29"/>
        <v>2025-03</v>
      </c>
      <c r="AB1878" t="str">
        <f>IFERROR(INDEX(Products!$I:$I,MATCH(D1878,Products!$A:$A,0)),"Unknown")</f>
        <v>SUP013</v>
      </c>
    </row>
    <row r="1879" spans="1:28" x14ac:dyDescent="0.25">
      <c r="A1879" t="s">
        <v>3859</v>
      </c>
      <c r="B1879" s="20">
        <v>45510</v>
      </c>
      <c r="C1879" t="s">
        <v>2270</v>
      </c>
      <c r="D1879" t="s">
        <v>1920</v>
      </c>
      <c r="E1879" t="s">
        <v>1023</v>
      </c>
      <c r="F1879" t="s">
        <v>269</v>
      </c>
      <c r="G1879">
        <v>1</v>
      </c>
      <c r="H1879" s="21">
        <v>889.27</v>
      </c>
      <c r="I1879">
        <v>25</v>
      </c>
      <c r="J1879" s="21">
        <v>222.32</v>
      </c>
      <c r="K1879">
        <v>5</v>
      </c>
      <c r="L1879" s="21">
        <v>33.35</v>
      </c>
      <c r="M1879" s="21">
        <v>700.3</v>
      </c>
      <c r="N1879" s="21">
        <v>535.47</v>
      </c>
      <c r="O1879" s="21">
        <v>131.47999999999999</v>
      </c>
      <c r="P1879" t="s">
        <v>121</v>
      </c>
      <c r="Q1879" t="s">
        <v>120</v>
      </c>
      <c r="R1879" t="s">
        <v>151</v>
      </c>
      <c r="S1879" t="s">
        <v>1217</v>
      </c>
      <c r="T1879" t="s">
        <v>153</v>
      </c>
      <c r="U1879" t="s">
        <v>154</v>
      </c>
      <c r="V1879" t="str">
        <f>IFERROR(INDEX(Products!$C:$C,MATCH(D1879,Products!$A:$A,0)),"Unknown")</f>
        <v>Accessories</v>
      </c>
      <c r="W1879" t="str">
        <f>IFERROR(INDEX(Products!$E:$E,MATCH(D1879,Products!$A:$A,0)),"Unknown")</f>
        <v>Metro Shoes</v>
      </c>
      <c r="X1879" t="str">
        <f>IFERROR(INDEX(Stores!$B:$B,MATCH(E1879,Stores!$A:$A,0)),"Unknown")</f>
        <v>TrendMart Kochi High Street</v>
      </c>
      <c r="Y1879" t="str">
        <f>IFERROR(INDEX(Stores!$E:$E,MATCH(E1879,Stores!$A:$A,0)),"Unknown")</f>
        <v>South Zone 1</v>
      </c>
      <c r="Z1879" t="str">
        <f>IFERROR(INDEX(Customers!$J:$J,MATCH(C1879,Customers!$A:$A,0)),"Unknown")</f>
        <v>Platinum</v>
      </c>
      <c r="AA1879" t="str">
        <f t="shared" si="29"/>
        <v>2024-08</v>
      </c>
      <c r="AB1879" t="str">
        <f>IFERROR(INDEX(Products!$I:$I,MATCH(D1879,Products!$A:$A,0)),"Unknown")</f>
        <v>SUP003</v>
      </c>
    </row>
    <row r="1880" spans="1:28" x14ac:dyDescent="0.25">
      <c r="A1880" t="s">
        <v>3860</v>
      </c>
      <c r="B1880" s="20">
        <v>45629</v>
      </c>
      <c r="C1880" t="s">
        <v>454</v>
      </c>
      <c r="D1880" t="s">
        <v>1156</v>
      </c>
      <c r="E1880" t="s">
        <v>83</v>
      </c>
      <c r="F1880" t="s">
        <v>165</v>
      </c>
      <c r="G1880">
        <v>3</v>
      </c>
      <c r="H1880" s="21">
        <v>638.83000000000004</v>
      </c>
      <c r="I1880">
        <v>10</v>
      </c>
      <c r="J1880" s="21">
        <v>191.65</v>
      </c>
      <c r="K1880">
        <v>5</v>
      </c>
      <c r="L1880" s="21">
        <v>86.24</v>
      </c>
      <c r="M1880" s="21">
        <v>1811.08</v>
      </c>
      <c r="N1880" s="21">
        <v>1528.32</v>
      </c>
      <c r="O1880" s="21">
        <v>196.52</v>
      </c>
      <c r="P1880" t="s">
        <v>121</v>
      </c>
      <c r="Q1880" t="s">
        <v>122</v>
      </c>
      <c r="R1880" t="s">
        <v>151</v>
      </c>
      <c r="S1880" t="s">
        <v>503</v>
      </c>
      <c r="T1880" t="s">
        <v>153</v>
      </c>
      <c r="U1880" t="s">
        <v>154</v>
      </c>
      <c r="V1880" t="str">
        <f>IFERROR(INDEX(Products!$C:$C,MATCH(D1880,Products!$A:$A,0)),"Unknown")</f>
        <v>Kids Wear</v>
      </c>
      <c r="W1880" t="str">
        <f>IFERROR(INDEX(Products!$E:$E,MATCH(D1880,Products!$A:$A,0)),"Unknown")</f>
        <v>Allen Solly</v>
      </c>
      <c r="X1880" t="str">
        <f>IFERROR(INDEX(Stores!$B:$B,MATCH(E1880,Stores!$A:$A,0)),"Unknown")</f>
        <v>TrendMart Vellore Standard</v>
      </c>
      <c r="Y1880" t="str">
        <f>IFERROR(INDEX(Stores!$E:$E,MATCH(E1880,Stores!$A:$A,0)),"Unknown")</f>
        <v>South Zone 1</v>
      </c>
      <c r="Z1880" t="str">
        <f>IFERROR(INDEX(Customers!$J:$J,MATCH(C1880,Customers!$A:$A,0)),"Unknown")</f>
        <v>Silver</v>
      </c>
      <c r="AA1880" t="str">
        <f t="shared" si="29"/>
        <v>2024-12</v>
      </c>
      <c r="AB1880" t="str">
        <f>IFERROR(INDEX(Products!$I:$I,MATCH(D1880,Products!$A:$A,0)),"Unknown")</f>
        <v>SUP026</v>
      </c>
    </row>
    <row r="1881" spans="1:28" x14ac:dyDescent="0.25">
      <c r="A1881" t="s">
        <v>3861</v>
      </c>
      <c r="B1881" s="20">
        <v>45636</v>
      </c>
      <c r="C1881" t="s">
        <v>2115</v>
      </c>
      <c r="D1881" t="s">
        <v>1759</v>
      </c>
      <c r="E1881" t="s">
        <v>216</v>
      </c>
      <c r="F1881" t="s">
        <v>150</v>
      </c>
      <c r="G1881">
        <v>2</v>
      </c>
      <c r="H1881" s="21">
        <v>2797.21</v>
      </c>
      <c r="I1881">
        <v>10</v>
      </c>
      <c r="J1881" s="21">
        <v>559.44000000000005</v>
      </c>
      <c r="K1881">
        <v>12</v>
      </c>
      <c r="L1881" s="21">
        <v>604.20000000000005</v>
      </c>
      <c r="M1881" s="21">
        <v>5639.18</v>
      </c>
      <c r="N1881" s="21">
        <v>3881.58</v>
      </c>
      <c r="O1881" s="21">
        <v>1153.4000000000001</v>
      </c>
      <c r="P1881" t="s">
        <v>125</v>
      </c>
      <c r="Q1881" t="s">
        <v>120</v>
      </c>
      <c r="R1881" t="s">
        <v>151</v>
      </c>
      <c r="S1881" t="s">
        <v>1614</v>
      </c>
      <c r="T1881" t="s">
        <v>153</v>
      </c>
      <c r="U1881" t="s">
        <v>154</v>
      </c>
      <c r="V1881" t="str">
        <f>IFERROR(INDEX(Products!$C:$C,MATCH(D1881,Products!$A:$A,0)),"Unknown")</f>
        <v>Winter Wear</v>
      </c>
      <c r="W1881" t="str">
        <f>IFERROR(INDEX(Products!$E:$E,MATCH(D1881,Products!$A:$A,0)),"Unknown")</f>
        <v>Bata</v>
      </c>
      <c r="X1881" t="str">
        <f>IFERROR(INDEX(Stores!$B:$B,MATCH(E1881,Stores!$A:$A,0)),"Unknown")</f>
        <v>TrendMart Madurai Mall Kiosk</v>
      </c>
      <c r="Y1881" t="str">
        <f>IFERROR(INDEX(Stores!$E:$E,MATCH(E1881,Stores!$A:$A,0)),"Unknown")</f>
        <v>South Zone 1</v>
      </c>
      <c r="Z1881" t="str">
        <f>IFERROR(INDEX(Customers!$J:$J,MATCH(C1881,Customers!$A:$A,0)),"Unknown")</f>
        <v>Gold</v>
      </c>
      <c r="AA1881" t="str">
        <f t="shared" si="29"/>
        <v>2024-12</v>
      </c>
      <c r="AB1881" t="str">
        <f>IFERROR(INDEX(Products!$I:$I,MATCH(D1881,Products!$A:$A,0)),"Unknown")</f>
        <v>SUP028</v>
      </c>
    </row>
    <row r="1882" spans="1:28" x14ac:dyDescent="0.25">
      <c r="A1882" t="s">
        <v>3862</v>
      </c>
      <c r="B1882" s="20">
        <v>45463</v>
      </c>
      <c r="C1882" t="s">
        <v>1501</v>
      </c>
      <c r="D1882" t="s">
        <v>1219</v>
      </c>
      <c r="E1882" t="s">
        <v>318</v>
      </c>
      <c r="F1882" t="s">
        <v>618</v>
      </c>
      <c r="G1882">
        <v>2</v>
      </c>
      <c r="H1882" s="21">
        <v>2873.93</v>
      </c>
      <c r="I1882">
        <v>10</v>
      </c>
      <c r="J1882" s="21">
        <v>574.79</v>
      </c>
      <c r="K1882">
        <v>12</v>
      </c>
      <c r="L1882" s="21">
        <v>620.77</v>
      </c>
      <c r="M1882" s="21">
        <v>5793.84</v>
      </c>
      <c r="N1882" s="21">
        <v>4079.4</v>
      </c>
      <c r="O1882" s="21">
        <v>1093.67</v>
      </c>
      <c r="P1882" t="s">
        <v>123</v>
      </c>
      <c r="Q1882" t="s">
        <v>120</v>
      </c>
      <c r="R1882" t="s">
        <v>151</v>
      </c>
      <c r="S1882" t="s">
        <v>3291</v>
      </c>
      <c r="T1882" t="s">
        <v>153</v>
      </c>
      <c r="U1882" t="s">
        <v>154</v>
      </c>
      <c r="V1882" t="str">
        <f>IFERROR(INDEX(Products!$C:$C,MATCH(D1882,Products!$A:$A,0)),"Unknown")</f>
        <v>Watches</v>
      </c>
      <c r="W1882" t="str">
        <f>IFERROR(INDEX(Products!$E:$E,MATCH(D1882,Products!$A:$A,0)),"Unknown")</f>
        <v>Fossil</v>
      </c>
      <c r="X1882" t="str">
        <f>IFERROR(INDEX(Stores!$B:$B,MATCH(E1882,Stores!$A:$A,0)),"Unknown")</f>
        <v>TrendMart Guntur Outlet</v>
      </c>
      <c r="Y1882" t="str">
        <f>IFERROR(INDEX(Stores!$E:$E,MATCH(E1882,Stores!$A:$A,0)),"Unknown")</f>
        <v>South Zone 3</v>
      </c>
      <c r="Z1882" t="str">
        <f>IFERROR(INDEX(Customers!$J:$J,MATCH(C1882,Customers!$A:$A,0)),"Unknown")</f>
        <v>Regular</v>
      </c>
      <c r="AA1882" t="str">
        <f t="shared" si="29"/>
        <v>2024-06</v>
      </c>
      <c r="AB1882" t="str">
        <f>IFERROR(INDEX(Products!$I:$I,MATCH(D1882,Products!$A:$A,0)),"Unknown")</f>
        <v>SUP054</v>
      </c>
    </row>
    <row r="1883" spans="1:28" x14ac:dyDescent="0.25">
      <c r="A1883" t="s">
        <v>3863</v>
      </c>
      <c r="B1883" s="20">
        <v>45584</v>
      </c>
      <c r="C1883" t="s">
        <v>1355</v>
      </c>
      <c r="D1883" t="s">
        <v>587</v>
      </c>
      <c r="E1883" t="s">
        <v>806</v>
      </c>
      <c r="F1883" t="s">
        <v>434</v>
      </c>
      <c r="G1883">
        <v>2</v>
      </c>
      <c r="H1883" s="21">
        <v>3463.81</v>
      </c>
      <c r="I1883">
        <v>0</v>
      </c>
      <c r="J1883" s="21">
        <v>0</v>
      </c>
      <c r="K1883">
        <v>12</v>
      </c>
      <c r="L1883" s="21">
        <v>831.31</v>
      </c>
      <c r="M1883" s="21">
        <v>7758.93</v>
      </c>
      <c r="N1883" s="21">
        <v>4271.7</v>
      </c>
      <c r="O1883" s="21">
        <v>2655.92</v>
      </c>
      <c r="P1883" t="s">
        <v>125</v>
      </c>
      <c r="Q1883" t="s">
        <v>122</v>
      </c>
      <c r="R1883" t="s">
        <v>151</v>
      </c>
      <c r="S1883" t="s">
        <v>3428</v>
      </c>
      <c r="T1883" t="s">
        <v>161</v>
      </c>
      <c r="U1883" t="s">
        <v>154</v>
      </c>
      <c r="V1883" t="str">
        <f>IFERROR(INDEX(Products!$C:$C,MATCH(D1883,Products!$A:$A,0)),"Unknown")</f>
        <v>Handbags</v>
      </c>
      <c r="W1883" t="str">
        <f>IFERROR(INDEX(Products!$E:$E,MATCH(D1883,Products!$A:$A,0)),"Unknown")</f>
        <v>Tanishq</v>
      </c>
      <c r="X1883" t="str">
        <f>IFERROR(INDEX(Stores!$B:$B,MATCH(E1883,Stores!$A:$A,0)),"Unknown")</f>
        <v>TrendMart Tirunelveli Flagship</v>
      </c>
      <c r="Y1883" t="str">
        <f>IFERROR(INDEX(Stores!$E:$E,MATCH(E1883,Stores!$A:$A,0)),"Unknown")</f>
        <v>South Zone 1</v>
      </c>
      <c r="Z1883" t="str">
        <f>IFERROR(INDEX(Customers!$J:$J,MATCH(C1883,Customers!$A:$A,0)),"Unknown")</f>
        <v>Silver</v>
      </c>
      <c r="AA1883" t="str">
        <f t="shared" si="29"/>
        <v>2024-10</v>
      </c>
      <c r="AB1883" t="str">
        <f>IFERROR(INDEX(Products!$I:$I,MATCH(D1883,Products!$A:$A,0)),"Unknown")</f>
        <v>SUP029</v>
      </c>
    </row>
    <row r="1884" spans="1:28" x14ac:dyDescent="0.25">
      <c r="A1884" t="s">
        <v>3864</v>
      </c>
      <c r="B1884" s="20">
        <v>45632</v>
      </c>
      <c r="C1884" t="s">
        <v>1800</v>
      </c>
      <c r="D1884" t="s">
        <v>1044</v>
      </c>
      <c r="E1884" t="s">
        <v>1426</v>
      </c>
      <c r="F1884" t="s">
        <v>434</v>
      </c>
      <c r="G1884">
        <v>5</v>
      </c>
      <c r="H1884" s="21">
        <v>552.69000000000005</v>
      </c>
      <c r="I1884">
        <v>20</v>
      </c>
      <c r="J1884" s="21">
        <v>552.69000000000005</v>
      </c>
      <c r="K1884">
        <v>5</v>
      </c>
      <c r="L1884" s="21">
        <v>110.54</v>
      </c>
      <c r="M1884" s="21">
        <v>2321.3000000000002</v>
      </c>
      <c r="N1884" s="21">
        <v>1675.75</v>
      </c>
      <c r="O1884" s="21">
        <v>535.01</v>
      </c>
      <c r="P1884" t="s">
        <v>124</v>
      </c>
      <c r="Q1884" t="s">
        <v>120</v>
      </c>
      <c r="R1884" t="s">
        <v>151</v>
      </c>
      <c r="S1884" t="s">
        <v>1497</v>
      </c>
      <c r="T1884" t="s">
        <v>153</v>
      </c>
      <c r="U1884" t="s">
        <v>154</v>
      </c>
      <c r="V1884" t="str">
        <f>IFERROR(INDEX(Products!$C:$C,MATCH(D1884,Products!$A:$A,0)),"Unknown")</f>
        <v>Men T-Shirts</v>
      </c>
      <c r="W1884" t="str">
        <f>IFERROR(INDEX(Products!$E:$E,MATCH(D1884,Products!$A:$A,0)),"Unknown")</f>
        <v>Mufti</v>
      </c>
      <c r="X1884" t="str">
        <f>IFERROR(INDEX(Stores!$B:$B,MATCH(E1884,Stores!$A:$A,0)),"Unknown")</f>
        <v>TrendMart Alappuzha Mall Kiosk</v>
      </c>
      <c r="Y1884" t="str">
        <f>IFERROR(INDEX(Stores!$E:$E,MATCH(E1884,Stores!$A:$A,0)),"Unknown")</f>
        <v>South Zone 1</v>
      </c>
      <c r="Z1884" t="str">
        <f>IFERROR(INDEX(Customers!$J:$J,MATCH(C1884,Customers!$A:$A,0)),"Unknown")</f>
        <v>Platinum</v>
      </c>
      <c r="AA1884" t="str">
        <f t="shared" si="29"/>
        <v>2024-12</v>
      </c>
      <c r="AB1884" t="str">
        <f>IFERROR(INDEX(Products!$I:$I,MATCH(D1884,Products!$A:$A,0)),"Unknown")</f>
        <v>SUP042</v>
      </c>
    </row>
    <row r="1885" spans="1:28" x14ac:dyDescent="0.25">
      <c r="A1885" t="s">
        <v>3865</v>
      </c>
      <c r="B1885" s="20">
        <v>45692</v>
      </c>
      <c r="C1885" t="s">
        <v>3602</v>
      </c>
      <c r="D1885" t="s">
        <v>993</v>
      </c>
      <c r="E1885" t="s">
        <v>291</v>
      </c>
      <c r="F1885" t="s">
        <v>574</v>
      </c>
      <c r="G1885">
        <v>2</v>
      </c>
      <c r="H1885" s="21">
        <v>1042.55</v>
      </c>
      <c r="I1885">
        <v>0</v>
      </c>
      <c r="J1885" s="21">
        <v>0</v>
      </c>
      <c r="K1885">
        <v>12</v>
      </c>
      <c r="L1885" s="21">
        <v>250.21</v>
      </c>
      <c r="M1885" s="21">
        <v>2335.31</v>
      </c>
      <c r="N1885" s="21">
        <v>1442.58</v>
      </c>
      <c r="O1885" s="21">
        <v>642.52</v>
      </c>
      <c r="P1885" t="s">
        <v>123</v>
      </c>
      <c r="Q1885" t="s">
        <v>122</v>
      </c>
      <c r="R1885" t="s">
        <v>151</v>
      </c>
      <c r="S1885" t="s">
        <v>2423</v>
      </c>
      <c r="T1885" t="s">
        <v>153</v>
      </c>
      <c r="U1885" t="s">
        <v>154</v>
      </c>
      <c r="V1885" t="str">
        <f>IFERROR(INDEX(Products!$C:$C,MATCH(D1885,Products!$A:$A,0)),"Unknown")</f>
        <v>Men Jeans</v>
      </c>
      <c r="W1885" t="str">
        <f>IFERROR(INDEX(Products!$E:$E,MATCH(D1885,Products!$A:$A,0)),"Unknown")</f>
        <v>Louis Philippe</v>
      </c>
      <c r="X1885" t="str">
        <f>IFERROR(INDEX(Stores!$B:$B,MATCH(E1885,Stores!$A:$A,0)),"Unknown")</f>
        <v>TrendMart Khammam Standard</v>
      </c>
      <c r="Y1885" t="str">
        <f>IFERROR(INDEX(Stores!$E:$E,MATCH(E1885,Stores!$A:$A,0)),"Unknown")</f>
        <v>South Zone 2</v>
      </c>
      <c r="Z1885" t="str">
        <f>IFERROR(INDEX(Customers!$J:$J,MATCH(C1885,Customers!$A:$A,0)),"Unknown")</f>
        <v>Platinum</v>
      </c>
      <c r="AA1885" t="str">
        <f t="shared" si="29"/>
        <v>2025-02</v>
      </c>
      <c r="AB1885" t="str">
        <f>IFERROR(INDEX(Products!$I:$I,MATCH(D1885,Products!$A:$A,0)),"Unknown")</f>
        <v>SUP088</v>
      </c>
    </row>
    <row r="1886" spans="1:28" x14ac:dyDescent="0.25">
      <c r="A1886" t="s">
        <v>3866</v>
      </c>
      <c r="B1886" s="20">
        <v>45393</v>
      </c>
      <c r="C1886" t="s">
        <v>2917</v>
      </c>
      <c r="D1886" t="s">
        <v>858</v>
      </c>
      <c r="E1886" t="s">
        <v>515</v>
      </c>
      <c r="F1886" t="s">
        <v>189</v>
      </c>
      <c r="G1886">
        <v>2</v>
      </c>
      <c r="H1886" s="21">
        <v>713.44</v>
      </c>
      <c r="I1886">
        <v>0</v>
      </c>
      <c r="J1886" s="21">
        <v>0</v>
      </c>
      <c r="K1886">
        <v>5</v>
      </c>
      <c r="L1886" s="21">
        <v>71.34</v>
      </c>
      <c r="M1886" s="21">
        <v>1498.22</v>
      </c>
      <c r="N1886" s="21">
        <v>1050.9000000000001</v>
      </c>
      <c r="O1886" s="21">
        <v>375.98</v>
      </c>
      <c r="P1886" t="s">
        <v>121</v>
      </c>
      <c r="Q1886" t="s">
        <v>120</v>
      </c>
      <c r="R1886" t="s">
        <v>151</v>
      </c>
      <c r="S1886" t="s">
        <v>2642</v>
      </c>
      <c r="T1886" t="s">
        <v>153</v>
      </c>
      <c r="U1886" t="s">
        <v>154</v>
      </c>
      <c r="V1886" t="str">
        <f>IFERROR(INDEX(Products!$C:$C,MATCH(D1886,Products!$A:$A,0)),"Unknown")</f>
        <v>Kids Wear</v>
      </c>
      <c r="W1886" t="str">
        <f>IFERROR(INDEX(Products!$E:$E,MATCH(D1886,Products!$A:$A,0)),"Unknown")</f>
        <v>Sonata</v>
      </c>
      <c r="X1886" t="str">
        <f>IFERROR(INDEX(Stores!$B:$B,MATCH(E1886,Stores!$A:$A,0)),"Unknown")</f>
        <v>TrendMart Kochi High Street</v>
      </c>
      <c r="Y1886" t="str">
        <f>IFERROR(INDEX(Stores!$E:$E,MATCH(E1886,Stores!$A:$A,0)),"Unknown")</f>
        <v>South Zone 1</v>
      </c>
      <c r="Z1886" t="str">
        <f>IFERROR(INDEX(Customers!$J:$J,MATCH(C1886,Customers!$A:$A,0)),"Unknown")</f>
        <v>Silver</v>
      </c>
      <c r="AA1886" t="str">
        <f t="shared" si="29"/>
        <v>2024-04</v>
      </c>
      <c r="AB1886" t="str">
        <f>IFERROR(INDEX(Products!$I:$I,MATCH(D1886,Products!$A:$A,0)),"Unknown")</f>
        <v>SUP089</v>
      </c>
    </row>
    <row r="1887" spans="1:28" x14ac:dyDescent="0.25">
      <c r="A1887" t="s">
        <v>3867</v>
      </c>
      <c r="B1887" s="20">
        <v>45545</v>
      </c>
      <c r="C1887" t="s">
        <v>1723</v>
      </c>
      <c r="D1887" t="s">
        <v>520</v>
      </c>
      <c r="E1887" t="s">
        <v>1962</v>
      </c>
      <c r="F1887" t="s">
        <v>221</v>
      </c>
      <c r="G1887">
        <v>2</v>
      </c>
      <c r="H1887" s="21">
        <v>1327.32</v>
      </c>
      <c r="I1887">
        <v>10</v>
      </c>
      <c r="J1887" s="21">
        <v>265.45999999999998</v>
      </c>
      <c r="K1887">
        <v>12</v>
      </c>
      <c r="L1887" s="21">
        <v>286.7</v>
      </c>
      <c r="M1887" s="21">
        <v>2675.88</v>
      </c>
      <c r="N1887" s="21">
        <v>1806.6</v>
      </c>
      <c r="O1887" s="21">
        <v>582.58000000000004</v>
      </c>
      <c r="P1887" t="s">
        <v>125</v>
      </c>
      <c r="Q1887" t="s">
        <v>122</v>
      </c>
      <c r="R1887" t="s">
        <v>151</v>
      </c>
      <c r="S1887" t="s">
        <v>3484</v>
      </c>
      <c r="T1887" t="s">
        <v>153</v>
      </c>
      <c r="U1887" t="s">
        <v>154</v>
      </c>
      <c r="V1887" t="str">
        <f>IFERROR(INDEX(Products!$C:$C,MATCH(D1887,Products!$A:$A,0)),"Unknown")</f>
        <v>Wallets</v>
      </c>
      <c r="W1887" t="str">
        <f>IFERROR(INDEX(Products!$E:$E,MATCH(D1887,Products!$A:$A,0)),"Unknown")</f>
        <v>Nike</v>
      </c>
      <c r="X1887" t="str">
        <f>IFERROR(INDEX(Stores!$B:$B,MATCH(E1887,Stores!$A:$A,0)),"Unknown")</f>
        <v>TrendMart Guntur High Street</v>
      </c>
      <c r="Y1887" t="str">
        <f>IFERROR(INDEX(Stores!$E:$E,MATCH(E1887,Stores!$A:$A,0)),"Unknown")</f>
        <v>South Zone 3</v>
      </c>
      <c r="Z1887" t="str">
        <f>IFERROR(INDEX(Customers!$J:$J,MATCH(C1887,Customers!$A:$A,0)),"Unknown")</f>
        <v>Regular</v>
      </c>
      <c r="AA1887" t="str">
        <f t="shared" si="29"/>
        <v>2024-09</v>
      </c>
      <c r="AB1887" t="str">
        <f>IFERROR(INDEX(Products!$I:$I,MATCH(D1887,Products!$A:$A,0)),"Unknown")</f>
        <v>SUP027</v>
      </c>
    </row>
    <row r="1888" spans="1:28" x14ac:dyDescent="0.25">
      <c r="A1888" t="s">
        <v>3868</v>
      </c>
      <c r="B1888" s="20">
        <v>45441</v>
      </c>
      <c r="C1888" t="s">
        <v>1605</v>
      </c>
      <c r="D1888" t="s">
        <v>1073</v>
      </c>
      <c r="E1888" t="s">
        <v>506</v>
      </c>
      <c r="F1888" t="s">
        <v>550</v>
      </c>
      <c r="G1888">
        <v>2</v>
      </c>
      <c r="H1888" s="21">
        <v>3057.28</v>
      </c>
      <c r="I1888">
        <v>5</v>
      </c>
      <c r="J1888" s="21">
        <v>305.73</v>
      </c>
      <c r="K1888">
        <v>12</v>
      </c>
      <c r="L1888" s="21">
        <v>697.06</v>
      </c>
      <c r="M1888" s="21">
        <v>6505.89</v>
      </c>
      <c r="N1888" s="21">
        <v>4680.92</v>
      </c>
      <c r="O1888" s="21">
        <v>1127.9100000000001</v>
      </c>
      <c r="P1888" t="s">
        <v>123</v>
      </c>
      <c r="Q1888" t="s">
        <v>120</v>
      </c>
      <c r="R1888" t="s">
        <v>151</v>
      </c>
      <c r="S1888" t="s">
        <v>928</v>
      </c>
      <c r="T1888" t="s">
        <v>153</v>
      </c>
      <c r="U1888" t="s">
        <v>154</v>
      </c>
      <c r="V1888" t="str">
        <f>IFERROR(INDEX(Products!$C:$C,MATCH(D1888,Products!$A:$A,0)),"Unknown")</f>
        <v>Women Sarees</v>
      </c>
      <c r="W1888" t="str">
        <f>IFERROR(INDEX(Products!$E:$E,MATCH(D1888,Products!$A:$A,0)),"Unknown")</f>
        <v>W for Woman</v>
      </c>
      <c r="X1888" t="str">
        <f>IFERROR(INDEX(Stores!$B:$B,MATCH(E1888,Stores!$A:$A,0)),"Unknown")</f>
        <v>TrendMart Nellore High Street</v>
      </c>
      <c r="Y1888" t="str">
        <f>IFERROR(INDEX(Stores!$E:$E,MATCH(E1888,Stores!$A:$A,0)),"Unknown")</f>
        <v>South Zone 3</v>
      </c>
      <c r="Z1888" t="str">
        <f>IFERROR(INDEX(Customers!$J:$J,MATCH(C1888,Customers!$A:$A,0)),"Unknown")</f>
        <v>Gold</v>
      </c>
      <c r="AA1888" t="str">
        <f t="shared" si="29"/>
        <v>2024-05</v>
      </c>
      <c r="AB1888" t="str">
        <f>IFERROR(INDEX(Products!$I:$I,MATCH(D1888,Products!$A:$A,0)),"Unknown")</f>
        <v>SUP012</v>
      </c>
    </row>
    <row r="1889" spans="1:28" x14ac:dyDescent="0.25">
      <c r="A1889" t="s">
        <v>3869</v>
      </c>
      <c r="B1889" s="20">
        <v>45602</v>
      </c>
      <c r="C1889" t="s">
        <v>2487</v>
      </c>
      <c r="D1889" t="s">
        <v>257</v>
      </c>
      <c r="E1889" t="s">
        <v>241</v>
      </c>
      <c r="F1889" t="s">
        <v>211</v>
      </c>
      <c r="G1889">
        <v>3</v>
      </c>
      <c r="H1889" s="21">
        <v>956.48</v>
      </c>
      <c r="I1889">
        <v>30</v>
      </c>
      <c r="J1889" s="21">
        <v>860.83</v>
      </c>
      <c r="K1889">
        <v>5</v>
      </c>
      <c r="L1889" s="21">
        <v>100.43</v>
      </c>
      <c r="M1889" s="21">
        <v>2109.04</v>
      </c>
      <c r="N1889" s="21">
        <v>2163.66</v>
      </c>
      <c r="O1889" s="21">
        <v>-155.05000000000001</v>
      </c>
      <c r="P1889" t="s">
        <v>125</v>
      </c>
      <c r="Q1889" t="s">
        <v>120</v>
      </c>
      <c r="R1889" t="s">
        <v>151</v>
      </c>
      <c r="S1889" t="s">
        <v>3870</v>
      </c>
      <c r="T1889" t="s">
        <v>153</v>
      </c>
      <c r="U1889" t="s">
        <v>184</v>
      </c>
      <c r="V1889" t="str">
        <f>IFERROR(INDEX(Products!$C:$C,MATCH(D1889,Products!$A:$A,0)),"Unknown")</f>
        <v>Men Shirts</v>
      </c>
      <c r="W1889" t="str">
        <f>IFERROR(INDEX(Products!$E:$E,MATCH(D1889,Products!$A:$A,0)),"Unknown")</f>
        <v>Indian Terrain</v>
      </c>
      <c r="X1889" t="str">
        <f>IFERROR(INDEX(Stores!$B:$B,MATCH(E1889,Stores!$A:$A,0)),"Unknown")</f>
        <v>TrendMart Nizamabad Mall Kiosk</v>
      </c>
      <c r="Y1889" t="str">
        <f>IFERROR(INDEX(Stores!$E:$E,MATCH(E1889,Stores!$A:$A,0)),"Unknown")</f>
        <v>South Zone 2</v>
      </c>
      <c r="Z1889" t="str">
        <f>IFERROR(INDEX(Customers!$J:$J,MATCH(C1889,Customers!$A:$A,0)),"Unknown")</f>
        <v>Gold</v>
      </c>
      <c r="AA1889" t="str">
        <f t="shared" si="29"/>
        <v>2024-11</v>
      </c>
      <c r="AB1889" t="str">
        <f>IFERROR(INDEX(Products!$I:$I,MATCH(D1889,Products!$A:$A,0)),"Unknown")</f>
        <v>SUP080</v>
      </c>
    </row>
    <row r="1890" spans="1:28" x14ac:dyDescent="0.25">
      <c r="A1890" t="s">
        <v>3871</v>
      </c>
      <c r="B1890" s="20">
        <v>45405</v>
      </c>
      <c r="C1890" t="s">
        <v>316</v>
      </c>
      <c r="D1890" t="s">
        <v>558</v>
      </c>
      <c r="E1890" t="s">
        <v>1512</v>
      </c>
      <c r="F1890" t="s">
        <v>165</v>
      </c>
      <c r="G1890">
        <v>4</v>
      </c>
      <c r="H1890" s="21">
        <v>675.99</v>
      </c>
      <c r="I1890">
        <v>0</v>
      </c>
      <c r="J1890" s="21">
        <v>0</v>
      </c>
      <c r="K1890">
        <v>5</v>
      </c>
      <c r="L1890" s="21">
        <v>135.19999999999999</v>
      </c>
      <c r="M1890" s="21">
        <v>2839.16</v>
      </c>
      <c r="N1890" s="21">
        <v>1828.64</v>
      </c>
      <c r="O1890" s="21">
        <v>875.32</v>
      </c>
      <c r="P1890" t="s">
        <v>127</v>
      </c>
      <c r="Q1890" t="s">
        <v>120</v>
      </c>
      <c r="R1890" t="s">
        <v>151</v>
      </c>
      <c r="S1890" t="s">
        <v>3627</v>
      </c>
      <c r="T1890" t="s">
        <v>153</v>
      </c>
      <c r="U1890" t="s">
        <v>154</v>
      </c>
      <c r="V1890" t="str">
        <f>IFERROR(INDEX(Products!$C:$C,MATCH(D1890,Products!$A:$A,0)),"Unknown")</f>
        <v>Women Tops</v>
      </c>
      <c r="W1890" t="str">
        <f>IFERROR(INDEX(Products!$E:$E,MATCH(D1890,Products!$A:$A,0)),"Unknown")</f>
        <v>Aurelia</v>
      </c>
      <c r="X1890" t="str">
        <f>IFERROR(INDEX(Stores!$B:$B,MATCH(E1890,Stores!$A:$A,0)),"Unknown")</f>
        <v>TrendMart Erode Mall Kiosk</v>
      </c>
      <c r="Y1890" t="str">
        <f>IFERROR(INDEX(Stores!$E:$E,MATCH(E1890,Stores!$A:$A,0)),"Unknown")</f>
        <v>South Zone 1</v>
      </c>
      <c r="Z1890" t="str">
        <f>IFERROR(INDEX(Customers!$J:$J,MATCH(C1890,Customers!$A:$A,0)),"Unknown")</f>
        <v>Regular</v>
      </c>
      <c r="AA1890" t="str">
        <f t="shared" si="29"/>
        <v>2024-04</v>
      </c>
      <c r="AB1890" t="str">
        <f>IFERROR(INDEX(Products!$I:$I,MATCH(D1890,Products!$A:$A,0)),"Unknown")</f>
        <v>SUP055</v>
      </c>
    </row>
    <row r="1891" spans="1:28" x14ac:dyDescent="0.25">
      <c r="A1891" t="s">
        <v>3872</v>
      </c>
      <c r="B1891" s="20">
        <v>45703</v>
      </c>
      <c r="C1891" t="s">
        <v>797</v>
      </c>
      <c r="D1891" t="s">
        <v>1224</v>
      </c>
      <c r="E1891" t="s">
        <v>927</v>
      </c>
      <c r="F1891" t="s">
        <v>201</v>
      </c>
      <c r="G1891">
        <v>1</v>
      </c>
      <c r="H1891" s="21">
        <v>1582.14</v>
      </c>
      <c r="I1891">
        <v>0</v>
      </c>
      <c r="J1891" s="21">
        <v>0</v>
      </c>
      <c r="K1891">
        <v>12</v>
      </c>
      <c r="L1891" s="21">
        <v>189.86</v>
      </c>
      <c r="M1891" s="21">
        <v>1772</v>
      </c>
      <c r="N1891" s="21">
        <v>1194.1400000000001</v>
      </c>
      <c r="O1891" s="21">
        <v>388</v>
      </c>
      <c r="P1891" t="s">
        <v>123</v>
      </c>
      <c r="Q1891" t="s">
        <v>120</v>
      </c>
      <c r="R1891" t="s">
        <v>151</v>
      </c>
      <c r="S1891" t="s">
        <v>1914</v>
      </c>
      <c r="T1891" t="s">
        <v>161</v>
      </c>
      <c r="U1891" t="s">
        <v>154</v>
      </c>
      <c r="V1891" t="str">
        <f>IFERROR(INDEX(Products!$C:$C,MATCH(D1891,Products!$A:$A,0)),"Unknown")</f>
        <v>Men Jeans</v>
      </c>
      <c r="W1891" t="str">
        <f>IFERROR(INDEX(Products!$E:$E,MATCH(D1891,Products!$A:$A,0)),"Unknown")</f>
        <v>Killer Jeans</v>
      </c>
      <c r="X1891" t="str">
        <f>IFERROR(INDEX(Stores!$B:$B,MATCH(E1891,Stores!$A:$A,0)),"Unknown")</f>
        <v>TrendMart Kochi Mall Kiosk</v>
      </c>
      <c r="Y1891" t="str">
        <f>IFERROR(INDEX(Stores!$E:$E,MATCH(E1891,Stores!$A:$A,0)),"Unknown")</f>
        <v>South Zone 1</v>
      </c>
      <c r="Z1891" t="str">
        <f>IFERROR(INDEX(Customers!$J:$J,MATCH(C1891,Customers!$A:$A,0)),"Unknown")</f>
        <v>Platinum</v>
      </c>
      <c r="AA1891" t="str">
        <f t="shared" si="29"/>
        <v>2025-02</v>
      </c>
      <c r="AB1891" t="str">
        <f>IFERROR(INDEX(Products!$I:$I,MATCH(D1891,Products!$A:$A,0)),"Unknown")</f>
        <v>SUP084</v>
      </c>
    </row>
    <row r="1892" spans="1:28" x14ac:dyDescent="0.25">
      <c r="A1892" t="s">
        <v>3873</v>
      </c>
      <c r="B1892" s="20">
        <v>45473</v>
      </c>
      <c r="C1892" t="s">
        <v>2013</v>
      </c>
      <c r="D1892" t="s">
        <v>1111</v>
      </c>
      <c r="E1892" t="s">
        <v>200</v>
      </c>
      <c r="F1892" t="s">
        <v>303</v>
      </c>
      <c r="G1892">
        <v>4</v>
      </c>
      <c r="H1892" s="21">
        <v>2278.1999999999998</v>
      </c>
      <c r="I1892">
        <v>20</v>
      </c>
      <c r="J1892" s="21">
        <v>1822.56</v>
      </c>
      <c r="K1892">
        <v>12</v>
      </c>
      <c r="L1892" s="21">
        <v>874.83</v>
      </c>
      <c r="M1892" s="21">
        <v>8165.07</v>
      </c>
      <c r="N1892" s="21">
        <v>6707.68</v>
      </c>
      <c r="O1892" s="21">
        <v>582.55999999999995</v>
      </c>
      <c r="P1892" t="s">
        <v>125</v>
      </c>
      <c r="Q1892" t="s">
        <v>120</v>
      </c>
      <c r="R1892" t="s">
        <v>151</v>
      </c>
      <c r="S1892" t="s">
        <v>953</v>
      </c>
      <c r="T1892" t="s">
        <v>161</v>
      </c>
      <c r="U1892" t="s">
        <v>154</v>
      </c>
      <c r="V1892" t="str">
        <f>IFERROR(INDEX(Products!$C:$C,MATCH(D1892,Products!$A:$A,0)),"Unknown")</f>
        <v>Men Ethnic</v>
      </c>
      <c r="W1892" t="str">
        <f>IFERROR(INDEX(Products!$E:$E,MATCH(D1892,Products!$A:$A,0)),"Unknown")</f>
        <v>Raymond</v>
      </c>
      <c r="X1892" t="str">
        <f>IFERROR(INDEX(Stores!$B:$B,MATCH(E1892,Stores!$A:$A,0)),"Unknown")</f>
        <v>TrendMart Kozhikode Standard</v>
      </c>
      <c r="Y1892" t="str">
        <f>IFERROR(INDEX(Stores!$E:$E,MATCH(E1892,Stores!$A:$A,0)),"Unknown")</f>
        <v>South Zone 1</v>
      </c>
      <c r="Z1892" t="str">
        <f>IFERROR(INDEX(Customers!$J:$J,MATCH(C1892,Customers!$A:$A,0)),"Unknown")</f>
        <v>Gold</v>
      </c>
      <c r="AA1892" t="str">
        <f t="shared" si="29"/>
        <v>2024-06</v>
      </c>
      <c r="AB1892" t="str">
        <f>IFERROR(INDEX(Products!$I:$I,MATCH(D1892,Products!$A:$A,0)),"Unknown")</f>
        <v>SUP018</v>
      </c>
    </row>
    <row r="1893" spans="1:28" x14ac:dyDescent="0.25">
      <c r="A1893" t="s">
        <v>3874</v>
      </c>
      <c r="B1893" s="20">
        <v>45666</v>
      </c>
      <c r="C1893" t="s">
        <v>2228</v>
      </c>
      <c r="D1893" t="s">
        <v>1044</v>
      </c>
      <c r="E1893" t="s">
        <v>613</v>
      </c>
      <c r="F1893" t="s">
        <v>263</v>
      </c>
      <c r="G1893">
        <v>4</v>
      </c>
      <c r="H1893" s="21">
        <v>562.72</v>
      </c>
      <c r="I1893">
        <v>0</v>
      </c>
      <c r="J1893" s="21">
        <v>0</v>
      </c>
      <c r="K1893">
        <v>5</v>
      </c>
      <c r="L1893" s="21">
        <v>112.54</v>
      </c>
      <c r="M1893" s="21">
        <v>2363.42</v>
      </c>
      <c r="N1893" s="21">
        <v>1340.6</v>
      </c>
      <c r="O1893" s="21">
        <v>910.28</v>
      </c>
      <c r="P1893" t="s">
        <v>125</v>
      </c>
      <c r="Q1893" t="s">
        <v>122</v>
      </c>
      <c r="R1893" t="s">
        <v>151</v>
      </c>
      <c r="S1893" t="s">
        <v>448</v>
      </c>
      <c r="T1893" t="s">
        <v>153</v>
      </c>
      <c r="U1893" t="s">
        <v>154</v>
      </c>
      <c r="V1893" t="str">
        <f>IFERROR(INDEX(Products!$C:$C,MATCH(D1893,Products!$A:$A,0)),"Unknown")</f>
        <v>Men T-Shirts</v>
      </c>
      <c r="W1893" t="str">
        <f>IFERROR(INDEX(Products!$E:$E,MATCH(D1893,Products!$A:$A,0)),"Unknown")</f>
        <v>Mufti</v>
      </c>
      <c r="X1893" t="str">
        <f>IFERROR(INDEX(Stores!$B:$B,MATCH(E1893,Stores!$A:$A,0)),"Unknown")</f>
        <v>TrendMart Kochi Mall Kiosk</v>
      </c>
      <c r="Y1893" t="str">
        <f>IFERROR(INDEX(Stores!$E:$E,MATCH(E1893,Stores!$A:$A,0)),"Unknown")</f>
        <v>South Zone 1</v>
      </c>
      <c r="Z1893" t="str">
        <f>IFERROR(INDEX(Customers!$J:$J,MATCH(C1893,Customers!$A:$A,0)),"Unknown")</f>
        <v>Regular</v>
      </c>
      <c r="AA1893" t="str">
        <f t="shared" si="29"/>
        <v>2025-01</v>
      </c>
      <c r="AB1893" t="str">
        <f>IFERROR(INDEX(Products!$I:$I,MATCH(D1893,Products!$A:$A,0)),"Unknown")</f>
        <v>SUP042</v>
      </c>
    </row>
    <row r="1894" spans="1:28" x14ac:dyDescent="0.25">
      <c r="A1894" t="s">
        <v>3875</v>
      </c>
      <c r="B1894" s="20">
        <v>45740</v>
      </c>
      <c r="C1894" t="s">
        <v>762</v>
      </c>
      <c r="D1894" t="s">
        <v>267</v>
      </c>
      <c r="E1894" t="s">
        <v>927</v>
      </c>
      <c r="F1894" t="s">
        <v>182</v>
      </c>
      <c r="G1894">
        <v>2</v>
      </c>
      <c r="H1894" s="21">
        <v>744.24</v>
      </c>
      <c r="I1894">
        <v>10</v>
      </c>
      <c r="J1894" s="21">
        <v>148.85</v>
      </c>
      <c r="K1894">
        <v>5</v>
      </c>
      <c r="L1894" s="21">
        <v>66.98</v>
      </c>
      <c r="M1894" s="21">
        <v>1406.61</v>
      </c>
      <c r="N1894" s="21">
        <v>886.38</v>
      </c>
      <c r="O1894" s="21">
        <v>-739.25</v>
      </c>
      <c r="P1894" t="s">
        <v>123</v>
      </c>
      <c r="Q1894" t="s">
        <v>120</v>
      </c>
      <c r="R1894" t="s">
        <v>151</v>
      </c>
      <c r="S1894" t="s">
        <v>1678</v>
      </c>
      <c r="T1894" t="s">
        <v>153</v>
      </c>
      <c r="U1894" t="s">
        <v>184</v>
      </c>
      <c r="V1894" t="str">
        <f>IFERROR(INDEX(Products!$C:$C,MATCH(D1894,Products!$A:$A,0)),"Unknown")</f>
        <v>Accessories</v>
      </c>
      <c r="W1894" t="str">
        <f>IFERROR(INDEX(Products!$E:$E,MATCH(D1894,Products!$A:$A,0)),"Unknown")</f>
        <v>Allen Solly</v>
      </c>
      <c r="X1894" t="str">
        <f>IFERROR(INDEX(Stores!$B:$B,MATCH(E1894,Stores!$A:$A,0)),"Unknown")</f>
        <v>TrendMart Kochi Mall Kiosk</v>
      </c>
      <c r="Y1894" t="str">
        <f>IFERROR(INDEX(Stores!$E:$E,MATCH(E1894,Stores!$A:$A,0)),"Unknown")</f>
        <v>South Zone 1</v>
      </c>
      <c r="Z1894" t="str">
        <f>IFERROR(INDEX(Customers!$J:$J,MATCH(C1894,Customers!$A:$A,0)),"Unknown")</f>
        <v>Regular</v>
      </c>
      <c r="AA1894" t="str">
        <f t="shared" si="29"/>
        <v>2025-03</v>
      </c>
      <c r="AB1894" t="str">
        <f>IFERROR(INDEX(Products!$I:$I,MATCH(D1894,Products!$A:$A,0)),"Unknown")</f>
        <v>SUP069</v>
      </c>
    </row>
    <row r="1895" spans="1:28" x14ac:dyDescent="0.25">
      <c r="A1895" t="s">
        <v>3876</v>
      </c>
      <c r="B1895" s="20">
        <v>45553</v>
      </c>
      <c r="C1895" t="s">
        <v>2510</v>
      </c>
      <c r="D1895" t="s">
        <v>325</v>
      </c>
      <c r="E1895" t="s">
        <v>226</v>
      </c>
      <c r="F1895" t="s">
        <v>516</v>
      </c>
      <c r="G1895">
        <v>3</v>
      </c>
      <c r="H1895" s="21">
        <v>1148.4000000000001</v>
      </c>
      <c r="I1895">
        <v>10</v>
      </c>
      <c r="J1895" s="21">
        <v>344.52</v>
      </c>
      <c r="K1895">
        <v>12</v>
      </c>
      <c r="L1895" s="21">
        <v>372.08</v>
      </c>
      <c r="M1895" s="21">
        <v>3472.76</v>
      </c>
      <c r="N1895" s="21">
        <v>2277</v>
      </c>
      <c r="O1895" s="21">
        <v>823.68</v>
      </c>
      <c r="P1895" t="s">
        <v>121</v>
      </c>
      <c r="Q1895" t="s">
        <v>122</v>
      </c>
      <c r="R1895" t="s">
        <v>151</v>
      </c>
      <c r="S1895" t="s">
        <v>1220</v>
      </c>
      <c r="T1895" t="s">
        <v>153</v>
      </c>
      <c r="U1895" t="s">
        <v>154</v>
      </c>
      <c r="V1895" t="str">
        <f>IFERROR(INDEX(Products!$C:$C,MATCH(D1895,Products!$A:$A,0)),"Unknown")</f>
        <v>Women Jeans</v>
      </c>
      <c r="W1895" t="str">
        <f>IFERROR(INDEX(Products!$E:$E,MATCH(D1895,Products!$A:$A,0)),"Unknown")</f>
        <v>Nalli Silks</v>
      </c>
      <c r="X1895" t="str">
        <f>IFERROR(INDEX(Stores!$B:$B,MATCH(E1895,Stores!$A:$A,0)),"Unknown")</f>
        <v>TrendMart Kurnool Standard</v>
      </c>
      <c r="Y1895" t="str">
        <f>IFERROR(INDEX(Stores!$E:$E,MATCH(E1895,Stores!$A:$A,0)),"Unknown")</f>
        <v>South Zone 3</v>
      </c>
      <c r="Z1895" t="str">
        <f>IFERROR(INDEX(Customers!$J:$J,MATCH(C1895,Customers!$A:$A,0)),"Unknown")</f>
        <v>Silver</v>
      </c>
      <c r="AA1895" t="str">
        <f t="shared" si="29"/>
        <v>2024-09</v>
      </c>
      <c r="AB1895" t="str">
        <f>IFERROR(INDEX(Products!$I:$I,MATCH(D1895,Products!$A:$A,0)),"Unknown")</f>
        <v>SUP048</v>
      </c>
    </row>
    <row r="1896" spans="1:28" x14ac:dyDescent="0.25">
      <c r="A1896" t="s">
        <v>3877</v>
      </c>
      <c r="B1896" s="20">
        <v>45484</v>
      </c>
      <c r="C1896" t="s">
        <v>1377</v>
      </c>
      <c r="D1896" t="s">
        <v>814</v>
      </c>
      <c r="E1896" t="s">
        <v>1002</v>
      </c>
      <c r="F1896" t="s">
        <v>269</v>
      </c>
      <c r="G1896">
        <v>2</v>
      </c>
      <c r="H1896" s="21">
        <v>591.51</v>
      </c>
      <c r="I1896">
        <v>0</v>
      </c>
      <c r="J1896" s="21">
        <v>0</v>
      </c>
      <c r="K1896">
        <v>5</v>
      </c>
      <c r="L1896" s="21">
        <v>59.15</v>
      </c>
      <c r="M1896" s="21">
        <v>1242.17</v>
      </c>
      <c r="N1896" s="21">
        <v>729.22</v>
      </c>
      <c r="O1896" s="21">
        <v>453.8</v>
      </c>
      <c r="P1896" t="s">
        <v>121</v>
      </c>
      <c r="Q1896" t="s">
        <v>120</v>
      </c>
      <c r="R1896" t="s">
        <v>151</v>
      </c>
      <c r="S1896" t="s">
        <v>2136</v>
      </c>
      <c r="T1896" t="s">
        <v>153</v>
      </c>
      <c r="U1896" t="s">
        <v>154</v>
      </c>
      <c r="V1896" t="str">
        <f>IFERROR(INDEX(Products!$C:$C,MATCH(D1896,Products!$A:$A,0)),"Unknown")</f>
        <v>Men T-Shirts</v>
      </c>
      <c r="W1896" t="str">
        <f>IFERROR(INDEX(Products!$E:$E,MATCH(D1896,Products!$A:$A,0)),"Unknown")</f>
        <v>Woodland</v>
      </c>
      <c r="X1896" t="str">
        <f>IFERROR(INDEX(Stores!$B:$B,MATCH(E1896,Stores!$A:$A,0)),"Unknown")</f>
        <v>TrendMart Coimbatore Mall Kiosk</v>
      </c>
      <c r="Y1896" t="str">
        <f>IFERROR(INDEX(Stores!$E:$E,MATCH(E1896,Stores!$A:$A,0)),"Unknown")</f>
        <v>South Zone 1</v>
      </c>
      <c r="Z1896" t="str">
        <f>IFERROR(INDEX(Customers!$J:$J,MATCH(C1896,Customers!$A:$A,0)),"Unknown")</f>
        <v>Silver</v>
      </c>
      <c r="AA1896" t="str">
        <f t="shared" si="29"/>
        <v>2024-07</v>
      </c>
      <c r="AB1896" t="str">
        <f>IFERROR(INDEX(Products!$I:$I,MATCH(D1896,Products!$A:$A,0)),"Unknown")</f>
        <v>SUP051</v>
      </c>
    </row>
    <row r="1897" spans="1:28" x14ac:dyDescent="0.25">
      <c r="A1897" t="s">
        <v>3878</v>
      </c>
      <c r="B1897" s="20">
        <v>45494</v>
      </c>
      <c r="C1897" t="s">
        <v>1629</v>
      </c>
      <c r="D1897" t="s">
        <v>498</v>
      </c>
      <c r="E1897" t="s">
        <v>815</v>
      </c>
      <c r="F1897" t="s">
        <v>434</v>
      </c>
      <c r="G1897">
        <v>1</v>
      </c>
      <c r="H1897" s="21">
        <v>451.16</v>
      </c>
      <c r="I1897">
        <v>0</v>
      </c>
      <c r="J1897" s="21">
        <v>0</v>
      </c>
      <c r="K1897">
        <v>5</v>
      </c>
      <c r="L1897" s="21">
        <v>22.56</v>
      </c>
      <c r="M1897" s="21">
        <v>473.72</v>
      </c>
      <c r="N1897" s="21">
        <v>315.13</v>
      </c>
      <c r="O1897" s="21">
        <v>136.03</v>
      </c>
      <c r="P1897" t="s">
        <v>123</v>
      </c>
      <c r="Q1897" t="s">
        <v>120</v>
      </c>
      <c r="R1897" t="s">
        <v>151</v>
      </c>
      <c r="S1897" t="s">
        <v>2918</v>
      </c>
      <c r="T1897" t="s">
        <v>161</v>
      </c>
      <c r="U1897" t="s">
        <v>154</v>
      </c>
      <c r="V1897" t="str">
        <f>IFERROR(INDEX(Products!$C:$C,MATCH(D1897,Products!$A:$A,0)),"Unknown")</f>
        <v>Belts</v>
      </c>
      <c r="W1897" t="str">
        <f>IFERROR(INDEX(Products!$E:$E,MATCH(D1897,Products!$A:$A,0)),"Unknown")</f>
        <v>Nike</v>
      </c>
      <c r="X1897" t="str">
        <f>IFERROR(INDEX(Stores!$B:$B,MATCH(E1897,Stores!$A:$A,0)),"Unknown")</f>
        <v>TrendMart Madurai Mall Kiosk</v>
      </c>
      <c r="Y1897" t="str">
        <f>IFERROR(INDEX(Stores!$E:$E,MATCH(E1897,Stores!$A:$A,0)),"Unknown")</f>
        <v>South Zone 1</v>
      </c>
      <c r="Z1897" t="str">
        <f>IFERROR(INDEX(Customers!$J:$J,MATCH(C1897,Customers!$A:$A,0)),"Unknown")</f>
        <v>Gold</v>
      </c>
      <c r="AA1897" t="str">
        <f t="shared" si="29"/>
        <v>2024-07</v>
      </c>
      <c r="AB1897" t="str">
        <f>IFERROR(INDEX(Products!$I:$I,MATCH(D1897,Products!$A:$A,0)),"Unknown")</f>
        <v>SUP071</v>
      </c>
    </row>
    <row r="1898" spans="1:28" x14ac:dyDescent="0.25">
      <c r="A1898" t="s">
        <v>3879</v>
      </c>
      <c r="B1898" s="20">
        <v>45479</v>
      </c>
      <c r="C1898" t="s">
        <v>2099</v>
      </c>
      <c r="D1898" t="s">
        <v>769</v>
      </c>
      <c r="E1898" t="s">
        <v>721</v>
      </c>
      <c r="F1898" t="s">
        <v>377</v>
      </c>
      <c r="G1898">
        <v>2</v>
      </c>
      <c r="H1898" s="21">
        <v>1553.85</v>
      </c>
      <c r="I1898">
        <v>10</v>
      </c>
      <c r="J1898" s="21">
        <v>310.77</v>
      </c>
      <c r="K1898">
        <v>12</v>
      </c>
      <c r="L1898" s="21">
        <v>335.63</v>
      </c>
      <c r="M1898" s="21">
        <v>3132.56</v>
      </c>
      <c r="N1898" s="21">
        <v>2230.38</v>
      </c>
      <c r="O1898" s="21">
        <v>566.54999999999995</v>
      </c>
      <c r="P1898" t="s">
        <v>121</v>
      </c>
      <c r="Q1898" t="s">
        <v>120</v>
      </c>
      <c r="R1898" t="s">
        <v>151</v>
      </c>
      <c r="S1898" t="s">
        <v>1293</v>
      </c>
      <c r="T1898" t="s">
        <v>161</v>
      </c>
      <c r="U1898" t="s">
        <v>154</v>
      </c>
      <c r="V1898" t="str">
        <f>IFERROR(INDEX(Products!$C:$C,MATCH(D1898,Products!$A:$A,0)),"Unknown")</f>
        <v>Sportswear</v>
      </c>
      <c r="W1898" t="str">
        <f>IFERROR(INDEX(Products!$E:$E,MATCH(D1898,Products!$A:$A,0)),"Unknown")</f>
        <v>Allen Solly</v>
      </c>
      <c r="X1898" t="str">
        <f>IFERROR(INDEX(Stores!$B:$B,MATCH(E1898,Stores!$A:$A,0)),"Unknown")</f>
        <v>TrendMart Kollam Flagship</v>
      </c>
      <c r="Y1898" t="str">
        <f>IFERROR(INDEX(Stores!$E:$E,MATCH(E1898,Stores!$A:$A,0)),"Unknown")</f>
        <v>South Zone 1</v>
      </c>
      <c r="Z1898" t="str">
        <f>IFERROR(INDEX(Customers!$J:$J,MATCH(C1898,Customers!$A:$A,0)),"Unknown")</f>
        <v>Gold</v>
      </c>
      <c r="AA1898" t="str">
        <f t="shared" si="29"/>
        <v>2024-07</v>
      </c>
      <c r="AB1898" t="str">
        <f>IFERROR(INDEX(Products!$I:$I,MATCH(D1898,Products!$A:$A,0)),"Unknown")</f>
        <v>SUP029</v>
      </c>
    </row>
    <row r="1899" spans="1:28" x14ac:dyDescent="0.25">
      <c r="A1899" t="s">
        <v>3880</v>
      </c>
      <c r="B1899" s="20">
        <v>45524</v>
      </c>
      <c r="C1899" t="s">
        <v>465</v>
      </c>
      <c r="D1899" t="s">
        <v>210</v>
      </c>
      <c r="E1899" t="s">
        <v>88</v>
      </c>
      <c r="F1899" t="s">
        <v>232</v>
      </c>
      <c r="G1899">
        <v>2</v>
      </c>
      <c r="H1899" s="21">
        <v>1746.73</v>
      </c>
      <c r="I1899">
        <v>10</v>
      </c>
      <c r="J1899" s="21">
        <v>349.35</v>
      </c>
      <c r="K1899">
        <v>12</v>
      </c>
      <c r="L1899" s="21">
        <v>377.29</v>
      </c>
      <c r="M1899" s="21">
        <v>3521.4</v>
      </c>
      <c r="N1899" s="21">
        <v>2799.7</v>
      </c>
      <c r="O1899" s="21">
        <v>344.41</v>
      </c>
      <c r="P1899" t="s">
        <v>125</v>
      </c>
      <c r="Q1899" t="s">
        <v>122</v>
      </c>
      <c r="R1899" t="s">
        <v>151</v>
      </c>
      <c r="S1899" t="s">
        <v>486</v>
      </c>
      <c r="T1899" t="s">
        <v>153</v>
      </c>
      <c r="U1899" t="s">
        <v>154</v>
      </c>
      <c r="V1899" t="str">
        <f>IFERROR(INDEX(Products!$C:$C,MATCH(D1899,Products!$A:$A,0)),"Unknown")</f>
        <v>Women Dresses</v>
      </c>
      <c r="W1899" t="str">
        <f>IFERROR(INDEX(Products!$E:$E,MATCH(D1899,Products!$A:$A,0)),"Unknown")</f>
        <v>Nike</v>
      </c>
      <c r="X1899" t="str">
        <f>IFERROR(INDEX(Stores!$B:$B,MATCH(E1899,Stores!$A:$A,0)),"Unknown")</f>
        <v>TrendMart Kozhikode Mall Kiosk</v>
      </c>
      <c r="Y1899" t="str">
        <f>IFERROR(INDEX(Stores!$E:$E,MATCH(E1899,Stores!$A:$A,0)),"Unknown")</f>
        <v>South Zone 1</v>
      </c>
      <c r="Z1899" t="str">
        <f>IFERROR(INDEX(Customers!$J:$J,MATCH(C1899,Customers!$A:$A,0)),"Unknown")</f>
        <v>Regular</v>
      </c>
      <c r="AA1899" t="str">
        <f t="shared" si="29"/>
        <v>2024-08</v>
      </c>
      <c r="AB1899" t="str">
        <f>IFERROR(INDEX(Products!$I:$I,MATCH(D1899,Products!$A:$A,0)),"Unknown")</f>
        <v>SUP073</v>
      </c>
    </row>
    <row r="1900" spans="1:28" x14ac:dyDescent="0.25">
      <c r="A1900" t="s">
        <v>3881</v>
      </c>
      <c r="B1900" s="20">
        <v>45624</v>
      </c>
      <c r="C1900" t="s">
        <v>1752</v>
      </c>
      <c r="D1900" t="s">
        <v>1709</v>
      </c>
      <c r="E1900" t="s">
        <v>490</v>
      </c>
      <c r="F1900" t="s">
        <v>269</v>
      </c>
      <c r="G1900">
        <v>1</v>
      </c>
      <c r="H1900" s="21">
        <v>438.85</v>
      </c>
      <c r="I1900">
        <v>0</v>
      </c>
      <c r="J1900" s="21">
        <v>0</v>
      </c>
      <c r="K1900">
        <v>5</v>
      </c>
      <c r="L1900" s="21">
        <v>21.94</v>
      </c>
      <c r="M1900" s="21">
        <v>460.79</v>
      </c>
      <c r="N1900" s="21">
        <v>327.36</v>
      </c>
      <c r="O1900" s="21">
        <v>111.49</v>
      </c>
      <c r="P1900" t="s">
        <v>123</v>
      </c>
      <c r="Q1900" t="s">
        <v>120</v>
      </c>
      <c r="R1900" t="s">
        <v>151</v>
      </c>
      <c r="S1900" t="s">
        <v>1878</v>
      </c>
      <c r="T1900" t="s">
        <v>153</v>
      </c>
      <c r="U1900" t="s">
        <v>154</v>
      </c>
      <c r="V1900" t="str">
        <f>IFERROR(INDEX(Products!$C:$C,MATCH(D1900,Products!$A:$A,0)),"Unknown")</f>
        <v>Kids Wear</v>
      </c>
      <c r="W1900" t="str">
        <f>IFERROR(INDEX(Products!$E:$E,MATCH(D1900,Products!$A:$A,0)),"Unknown")</f>
        <v>Aurelia</v>
      </c>
      <c r="X1900" t="str">
        <f>IFERROR(INDEX(Stores!$B:$B,MATCH(E1900,Stores!$A:$A,0)),"Unknown")</f>
        <v>TrendMart Mangaluru Mall Kiosk</v>
      </c>
      <c r="Y1900" t="str">
        <f>IFERROR(INDEX(Stores!$E:$E,MATCH(E1900,Stores!$A:$A,0)),"Unknown")</f>
        <v>South Zone 2</v>
      </c>
      <c r="Z1900" t="str">
        <f>IFERROR(INDEX(Customers!$J:$J,MATCH(C1900,Customers!$A:$A,0)),"Unknown")</f>
        <v>Silver</v>
      </c>
      <c r="AA1900" t="str">
        <f t="shared" si="29"/>
        <v>2024-11</v>
      </c>
      <c r="AB1900" t="str">
        <f>IFERROR(INDEX(Products!$I:$I,MATCH(D1900,Products!$A:$A,0)),"Unknown")</f>
        <v>SUP055</v>
      </c>
    </row>
    <row r="1901" spans="1:28" x14ac:dyDescent="0.25">
      <c r="A1901" t="s">
        <v>3882</v>
      </c>
      <c r="B1901" s="20">
        <v>45729</v>
      </c>
      <c r="C1901" t="s">
        <v>2360</v>
      </c>
      <c r="D1901" t="s">
        <v>342</v>
      </c>
      <c r="E1901" t="s">
        <v>721</v>
      </c>
      <c r="F1901" t="s">
        <v>292</v>
      </c>
      <c r="G1901">
        <v>0</v>
      </c>
      <c r="H1901" s="21">
        <v>4867.74</v>
      </c>
      <c r="I1901">
        <v>0</v>
      </c>
      <c r="J1901" s="21">
        <v>0</v>
      </c>
      <c r="K1901">
        <v>12</v>
      </c>
      <c r="L1901" s="21">
        <v>0</v>
      </c>
      <c r="M1901" s="21">
        <v>0</v>
      </c>
      <c r="N1901" s="21">
        <v>0</v>
      </c>
      <c r="O1901" s="21">
        <v>0</v>
      </c>
      <c r="P1901" t="s">
        <v>121</v>
      </c>
      <c r="Q1901" t="s">
        <v>120</v>
      </c>
      <c r="R1901" t="s">
        <v>482</v>
      </c>
      <c r="S1901" t="s">
        <v>314</v>
      </c>
      <c r="T1901" t="s">
        <v>153</v>
      </c>
      <c r="U1901" t="s">
        <v>154</v>
      </c>
      <c r="V1901" t="str">
        <f>IFERROR(INDEX(Products!$C:$C,MATCH(D1901,Products!$A:$A,0)),"Unknown")</f>
        <v>Watches</v>
      </c>
      <c r="W1901" t="str">
        <f>IFERROR(INDEX(Products!$E:$E,MATCH(D1901,Products!$A:$A,0)),"Unknown")</f>
        <v>Pepe Jeans</v>
      </c>
      <c r="X1901" t="str">
        <f>IFERROR(INDEX(Stores!$B:$B,MATCH(E1901,Stores!$A:$A,0)),"Unknown")</f>
        <v>TrendMart Kollam Flagship</v>
      </c>
      <c r="Y1901" t="str">
        <f>IFERROR(INDEX(Stores!$E:$E,MATCH(E1901,Stores!$A:$A,0)),"Unknown")</f>
        <v>South Zone 1</v>
      </c>
      <c r="Z1901" t="str">
        <f>IFERROR(INDEX(Customers!$J:$J,MATCH(C1901,Customers!$A:$A,0)),"Unknown")</f>
        <v>Regular</v>
      </c>
      <c r="AA1901" t="str">
        <f t="shared" si="29"/>
        <v>2025-03</v>
      </c>
      <c r="AB1901" t="str">
        <f>IFERROR(INDEX(Products!$I:$I,MATCH(D1901,Products!$A:$A,0)),"Unknown")</f>
        <v>SUP052</v>
      </c>
    </row>
    <row r="1902" spans="1:28" x14ac:dyDescent="0.25">
      <c r="A1902" t="s">
        <v>3883</v>
      </c>
      <c r="B1902" s="20">
        <v>45543</v>
      </c>
      <c r="C1902" t="s">
        <v>1723</v>
      </c>
      <c r="D1902" t="s">
        <v>1186</v>
      </c>
      <c r="E1902" t="s">
        <v>934</v>
      </c>
      <c r="F1902" t="s">
        <v>532</v>
      </c>
      <c r="G1902">
        <v>1</v>
      </c>
      <c r="H1902" s="21">
        <v>1117.3599999999999</v>
      </c>
      <c r="I1902">
        <v>0</v>
      </c>
      <c r="J1902" s="21">
        <v>0</v>
      </c>
      <c r="K1902">
        <v>12</v>
      </c>
      <c r="L1902" s="21">
        <v>134.08000000000001</v>
      </c>
      <c r="M1902" s="21">
        <v>1251.44</v>
      </c>
      <c r="N1902" s="21">
        <v>815.45</v>
      </c>
      <c r="O1902" s="21">
        <v>301.91000000000003</v>
      </c>
      <c r="P1902" t="s">
        <v>123</v>
      </c>
      <c r="Q1902" t="s">
        <v>122</v>
      </c>
      <c r="R1902" t="s">
        <v>151</v>
      </c>
      <c r="S1902" t="s">
        <v>2900</v>
      </c>
      <c r="T1902" t="s">
        <v>161</v>
      </c>
      <c r="U1902" t="s">
        <v>154</v>
      </c>
      <c r="V1902" t="str">
        <f>IFERROR(INDEX(Products!$C:$C,MATCH(D1902,Products!$A:$A,0)),"Unknown")</f>
        <v>Wallets</v>
      </c>
      <c r="W1902" t="str">
        <f>IFERROR(INDEX(Products!$E:$E,MATCH(D1902,Products!$A:$A,0)),"Unknown")</f>
        <v>Levi's</v>
      </c>
      <c r="X1902" t="str">
        <f>IFERROR(INDEX(Stores!$B:$B,MATCH(E1902,Stores!$A:$A,0)),"Unknown")</f>
        <v>TrendMart Bengaluru High Street</v>
      </c>
      <c r="Y1902" t="str">
        <f>IFERROR(INDEX(Stores!$E:$E,MATCH(E1902,Stores!$A:$A,0)),"Unknown")</f>
        <v>South Zone 2</v>
      </c>
      <c r="Z1902" t="str">
        <f>IFERROR(INDEX(Customers!$J:$J,MATCH(C1902,Customers!$A:$A,0)),"Unknown")</f>
        <v>Regular</v>
      </c>
      <c r="AA1902" t="str">
        <f t="shared" si="29"/>
        <v>2024-09</v>
      </c>
      <c r="AB1902" t="str">
        <f>IFERROR(INDEX(Products!$I:$I,MATCH(D1902,Products!$A:$A,0)),"Unknown")</f>
        <v>SUP045</v>
      </c>
    </row>
    <row r="1903" spans="1:28" x14ac:dyDescent="0.25">
      <c r="A1903" t="s">
        <v>3884</v>
      </c>
      <c r="B1903" s="20">
        <v>45583</v>
      </c>
      <c r="C1903" t="s">
        <v>2722</v>
      </c>
      <c r="D1903" t="s">
        <v>931</v>
      </c>
      <c r="E1903" t="s">
        <v>578</v>
      </c>
      <c r="F1903" t="s">
        <v>159</v>
      </c>
      <c r="G1903">
        <v>2</v>
      </c>
      <c r="H1903" s="21">
        <v>1477.47</v>
      </c>
      <c r="I1903">
        <v>10</v>
      </c>
      <c r="J1903" s="21">
        <v>295.49</v>
      </c>
      <c r="K1903">
        <v>12</v>
      </c>
      <c r="L1903" s="21">
        <v>319.13</v>
      </c>
      <c r="M1903" s="21">
        <v>2978.58</v>
      </c>
      <c r="N1903" s="21">
        <v>2041.8</v>
      </c>
      <c r="O1903" s="21">
        <v>617.65</v>
      </c>
      <c r="P1903" t="s">
        <v>121</v>
      </c>
      <c r="Q1903" t="s">
        <v>120</v>
      </c>
      <c r="R1903" t="s">
        <v>151</v>
      </c>
      <c r="S1903" t="s">
        <v>2182</v>
      </c>
      <c r="T1903" t="s">
        <v>153</v>
      </c>
      <c r="U1903" t="s">
        <v>154</v>
      </c>
      <c r="V1903" t="str">
        <f>IFERROR(INDEX(Products!$C:$C,MATCH(D1903,Products!$A:$A,0)),"Unknown")</f>
        <v>Women Sarees</v>
      </c>
      <c r="W1903" t="str">
        <f>IFERROR(INDEX(Products!$E:$E,MATCH(D1903,Products!$A:$A,0)),"Unknown")</f>
        <v>Jack &amp; Jones</v>
      </c>
      <c r="X1903" t="str">
        <f>IFERROR(INDEX(Stores!$B:$B,MATCH(E1903,Stores!$A:$A,0)),"Unknown")</f>
        <v>TrendMart Vellore Standard</v>
      </c>
      <c r="Y1903" t="str">
        <f>IFERROR(INDEX(Stores!$E:$E,MATCH(E1903,Stores!$A:$A,0)),"Unknown")</f>
        <v>South Zone 1</v>
      </c>
      <c r="Z1903" t="str">
        <f>IFERROR(INDEX(Customers!$J:$J,MATCH(C1903,Customers!$A:$A,0)),"Unknown")</f>
        <v>Gold</v>
      </c>
      <c r="AA1903" t="str">
        <f t="shared" si="29"/>
        <v>2024-10</v>
      </c>
      <c r="AB1903" t="str">
        <f>IFERROR(INDEX(Products!$I:$I,MATCH(D1903,Products!$A:$A,0)),"Unknown")</f>
        <v>SUP058</v>
      </c>
    </row>
    <row r="1904" spans="1:28" x14ac:dyDescent="0.25">
      <c r="A1904" t="s">
        <v>3885</v>
      </c>
      <c r="B1904" s="20">
        <v>45481</v>
      </c>
      <c r="C1904" t="s">
        <v>548</v>
      </c>
      <c r="D1904" t="s">
        <v>740</v>
      </c>
      <c r="E1904" t="s">
        <v>442</v>
      </c>
      <c r="F1904" t="s">
        <v>574</v>
      </c>
      <c r="G1904">
        <v>2</v>
      </c>
      <c r="H1904" s="21">
        <v>2275.5100000000002</v>
      </c>
      <c r="I1904">
        <v>0</v>
      </c>
      <c r="J1904" s="21">
        <v>0</v>
      </c>
      <c r="K1904">
        <v>12</v>
      </c>
      <c r="L1904" s="21">
        <v>546.12</v>
      </c>
      <c r="M1904" s="21">
        <v>5097.1400000000003</v>
      </c>
      <c r="N1904" s="21">
        <v>3102.84</v>
      </c>
      <c r="O1904" s="21">
        <v>1448.18</v>
      </c>
      <c r="P1904" t="s">
        <v>121</v>
      </c>
      <c r="Q1904" t="s">
        <v>122</v>
      </c>
      <c r="R1904" t="s">
        <v>151</v>
      </c>
      <c r="S1904" t="s">
        <v>802</v>
      </c>
      <c r="T1904" t="s">
        <v>153</v>
      </c>
      <c r="U1904" t="s">
        <v>154</v>
      </c>
      <c r="V1904" t="str">
        <f>IFERROR(INDEX(Products!$C:$C,MATCH(D1904,Products!$A:$A,0)),"Unknown")</f>
        <v>Men Ethnic</v>
      </c>
      <c r="W1904" t="str">
        <f>IFERROR(INDEX(Products!$E:$E,MATCH(D1904,Products!$A:$A,0)),"Unknown")</f>
        <v>Max Fashion</v>
      </c>
      <c r="X1904" t="str">
        <f>IFERROR(INDEX(Stores!$B:$B,MATCH(E1904,Stores!$A:$A,0)),"Unknown")</f>
        <v>TrendMart Bengaluru Standard</v>
      </c>
      <c r="Y1904" t="str">
        <f>IFERROR(INDEX(Stores!$E:$E,MATCH(E1904,Stores!$A:$A,0)),"Unknown")</f>
        <v>South Zone 2</v>
      </c>
      <c r="Z1904" t="str">
        <f>IFERROR(INDEX(Customers!$J:$J,MATCH(C1904,Customers!$A:$A,0)),"Unknown")</f>
        <v>Regular</v>
      </c>
      <c r="AA1904" t="str">
        <f t="shared" si="29"/>
        <v>2024-07</v>
      </c>
      <c r="AB1904" t="str">
        <f>IFERROR(INDEX(Products!$I:$I,MATCH(D1904,Products!$A:$A,0)),"Unknown")</f>
        <v>SUP001</v>
      </c>
    </row>
    <row r="1905" spans="1:28" x14ac:dyDescent="0.25">
      <c r="A1905" t="s">
        <v>3886</v>
      </c>
      <c r="B1905" s="20">
        <v>45426</v>
      </c>
      <c r="C1905" t="s">
        <v>3887</v>
      </c>
      <c r="D1905" t="s">
        <v>1590</v>
      </c>
      <c r="E1905" t="s">
        <v>490</v>
      </c>
      <c r="F1905" t="s">
        <v>258</v>
      </c>
      <c r="G1905">
        <v>1</v>
      </c>
      <c r="H1905" s="21">
        <v>487.19</v>
      </c>
      <c r="I1905">
        <v>0</v>
      </c>
      <c r="J1905" s="21">
        <v>0</v>
      </c>
      <c r="K1905">
        <v>5</v>
      </c>
      <c r="L1905" s="21">
        <v>24.36</v>
      </c>
      <c r="M1905" s="21">
        <v>511.55</v>
      </c>
      <c r="N1905" s="21">
        <v>337.09</v>
      </c>
      <c r="O1905" s="21">
        <v>150.1</v>
      </c>
      <c r="P1905" t="s">
        <v>125</v>
      </c>
      <c r="Q1905" t="s">
        <v>120</v>
      </c>
      <c r="R1905" t="s">
        <v>151</v>
      </c>
      <c r="S1905" t="s">
        <v>985</v>
      </c>
      <c r="T1905" t="s">
        <v>153</v>
      </c>
      <c r="U1905" t="s">
        <v>154</v>
      </c>
      <c r="V1905" t="str">
        <f>IFERROR(INDEX(Products!$C:$C,MATCH(D1905,Products!$A:$A,0)),"Unknown")</f>
        <v>Kids Wear</v>
      </c>
      <c r="W1905" t="str">
        <f>IFERROR(INDEX(Products!$E:$E,MATCH(D1905,Products!$A:$A,0)),"Unknown")</f>
        <v>Peter England</v>
      </c>
      <c r="X1905" t="str">
        <f>IFERROR(INDEX(Stores!$B:$B,MATCH(E1905,Stores!$A:$A,0)),"Unknown")</f>
        <v>TrendMart Mangaluru Mall Kiosk</v>
      </c>
      <c r="Y1905" t="str">
        <f>IFERROR(INDEX(Stores!$E:$E,MATCH(E1905,Stores!$A:$A,0)),"Unknown")</f>
        <v>South Zone 2</v>
      </c>
      <c r="Z1905" t="str">
        <f>IFERROR(INDEX(Customers!$J:$J,MATCH(C1905,Customers!$A:$A,0)),"Unknown")</f>
        <v>Regular</v>
      </c>
      <c r="AA1905" t="str">
        <f t="shared" si="29"/>
        <v>2024-05</v>
      </c>
      <c r="AB1905" t="str">
        <f>IFERROR(INDEX(Products!$I:$I,MATCH(D1905,Products!$A:$A,0)),"Unknown")</f>
        <v>SUP065</v>
      </c>
    </row>
    <row r="1906" spans="1:28" x14ac:dyDescent="0.25">
      <c r="A1906" t="s">
        <v>3888</v>
      </c>
      <c r="B1906" s="20">
        <v>45572</v>
      </c>
      <c r="C1906" t="s">
        <v>2702</v>
      </c>
      <c r="D1906" t="s">
        <v>801</v>
      </c>
      <c r="E1906" t="s">
        <v>1512</v>
      </c>
      <c r="F1906" t="s">
        <v>159</v>
      </c>
      <c r="G1906">
        <v>2</v>
      </c>
      <c r="H1906" s="21">
        <v>634.09</v>
      </c>
      <c r="I1906">
        <v>10</v>
      </c>
      <c r="J1906" s="21">
        <v>126.82</v>
      </c>
      <c r="K1906">
        <v>5</v>
      </c>
      <c r="L1906" s="21">
        <v>57.07</v>
      </c>
      <c r="M1906" s="21">
        <v>1198.43</v>
      </c>
      <c r="N1906" s="21">
        <v>849.52</v>
      </c>
      <c r="O1906" s="21">
        <v>291.83999999999997</v>
      </c>
      <c r="P1906" t="s">
        <v>121</v>
      </c>
      <c r="Q1906" t="s">
        <v>120</v>
      </c>
      <c r="R1906" t="s">
        <v>151</v>
      </c>
      <c r="S1906" t="s">
        <v>2348</v>
      </c>
      <c r="T1906" t="s">
        <v>153</v>
      </c>
      <c r="U1906" t="s">
        <v>154</v>
      </c>
      <c r="V1906" t="str">
        <f>IFERROR(INDEX(Products!$C:$C,MATCH(D1906,Products!$A:$A,0)),"Unknown")</f>
        <v>Kids Wear</v>
      </c>
      <c r="W1906" t="str">
        <f>IFERROR(INDEX(Products!$E:$E,MATCH(D1906,Products!$A:$A,0)),"Unknown")</f>
        <v>Being Human</v>
      </c>
      <c r="X1906" t="str">
        <f>IFERROR(INDEX(Stores!$B:$B,MATCH(E1906,Stores!$A:$A,0)),"Unknown")</f>
        <v>TrendMart Erode Mall Kiosk</v>
      </c>
      <c r="Y1906" t="str">
        <f>IFERROR(INDEX(Stores!$E:$E,MATCH(E1906,Stores!$A:$A,0)),"Unknown")</f>
        <v>South Zone 1</v>
      </c>
      <c r="Z1906" t="str">
        <f>IFERROR(INDEX(Customers!$J:$J,MATCH(C1906,Customers!$A:$A,0)),"Unknown")</f>
        <v>Platinum</v>
      </c>
      <c r="AA1906" t="str">
        <f t="shared" si="29"/>
        <v>2024-10</v>
      </c>
      <c r="AB1906" t="str">
        <f>IFERROR(INDEX(Products!$I:$I,MATCH(D1906,Products!$A:$A,0)),"Unknown")</f>
        <v>SUP063</v>
      </c>
    </row>
    <row r="1907" spans="1:28" x14ac:dyDescent="0.25">
      <c r="A1907" t="s">
        <v>3889</v>
      </c>
      <c r="B1907" s="20">
        <v>45549</v>
      </c>
      <c r="C1907" t="s">
        <v>2507</v>
      </c>
      <c r="D1907" t="s">
        <v>913</v>
      </c>
      <c r="E1907" t="s">
        <v>387</v>
      </c>
      <c r="F1907" t="s">
        <v>403</v>
      </c>
      <c r="G1907">
        <v>2</v>
      </c>
      <c r="H1907" s="21">
        <v>1429.49</v>
      </c>
      <c r="I1907">
        <v>5</v>
      </c>
      <c r="J1907" s="21">
        <v>142.94999999999999</v>
      </c>
      <c r="K1907">
        <v>12</v>
      </c>
      <c r="L1907" s="21">
        <v>325.92</v>
      </c>
      <c r="M1907" s="21">
        <v>3041.95</v>
      </c>
      <c r="N1907" s="21">
        <v>2158.94</v>
      </c>
      <c r="O1907" s="21">
        <v>557.09</v>
      </c>
      <c r="P1907" t="s">
        <v>124</v>
      </c>
      <c r="Q1907" t="s">
        <v>120</v>
      </c>
      <c r="R1907" t="s">
        <v>151</v>
      </c>
      <c r="S1907" t="s">
        <v>838</v>
      </c>
      <c r="T1907" t="s">
        <v>161</v>
      </c>
      <c r="U1907" t="s">
        <v>154</v>
      </c>
      <c r="V1907" t="str">
        <f>IFERROR(INDEX(Products!$C:$C,MATCH(D1907,Products!$A:$A,0)),"Unknown")</f>
        <v>Sportswear</v>
      </c>
      <c r="W1907" t="str">
        <f>IFERROR(INDEX(Products!$E:$E,MATCH(D1907,Products!$A:$A,0)),"Unknown")</f>
        <v>GRT Jewellers</v>
      </c>
      <c r="X1907" t="str">
        <f>IFERROR(INDEX(Stores!$B:$B,MATCH(E1907,Stores!$A:$A,0)),"Unknown")</f>
        <v>TrendMart Kannur Outlet</v>
      </c>
      <c r="Y1907" t="str">
        <f>IFERROR(INDEX(Stores!$E:$E,MATCH(E1907,Stores!$A:$A,0)),"Unknown")</f>
        <v>South Zone 1</v>
      </c>
      <c r="Z1907" t="str">
        <f>IFERROR(INDEX(Customers!$J:$J,MATCH(C1907,Customers!$A:$A,0)),"Unknown")</f>
        <v>Silver</v>
      </c>
      <c r="AA1907" t="str">
        <f t="shared" si="29"/>
        <v>2024-09</v>
      </c>
      <c r="AB1907" t="str">
        <f>IFERROR(INDEX(Products!$I:$I,MATCH(D1907,Products!$A:$A,0)),"Unknown")</f>
        <v>SUP072</v>
      </c>
    </row>
    <row r="1908" spans="1:28" x14ac:dyDescent="0.25">
      <c r="A1908" t="s">
        <v>3890</v>
      </c>
      <c r="B1908" s="20">
        <v>45623</v>
      </c>
      <c r="C1908" t="s">
        <v>1888</v>
      </c>
      <c r="D1908" t="s">
        <v>756</v>
      </c>
      <c r="E1908" t="s">
        <v>89</v>
      </c>
      <c r="F1908" t="s">
        <v>159</v>
      </c>
      <c r="G1908">
        <v>1</v>
      </c>
      <c r="H1908" s="21">
        <v>774.19</v>
      </c>
      <c r="I1908">
        <v>30</v>
      </c>
      <c r="J1908" s="21">
        <v>232.26</v>
      </c>
      <c r="K1908">
        <v>5</v>
      </c>
      <c r="L1908" s="21">
        <v>27.1</v>
      </c>
      <c r="M1908" s="21">
        <v>569.03</v>
      </c>
      <c r="N1908" s="21">
        <v>522.38</v>
      </c>
      <c r="O1908" s="21">
        <v>19.55</v>
      </c>
      <c r="P1908" t="s">
        <v>121</v>
      </c>
      <c r="Q1908" t="s">
        <v>122</v>
      </c>
      <c r="R1908" t="s">
        <v>151</v>
      </c>
      <c r="S1908" t="s">
        <v>1112</v>
      </c>
      <c r="T1908" t="s">
        <v>153</v>
      </c>
      <c r="U1908" t="s">
        <v>154</v>
      </c>
      <c r="V1908" t="str">
        <f>IFERROR(INDEX(Products!$C:$C,MATCH(D1908,Products!$A:$A,0)),"Unknown")</f>
        <v>Women Tops</v>
      </c>
      <c r="W1908" t="str">
        <f>IFERROR(INDEX(Products!$E:$E,MATCH(D1908,Products!$A:$A,0)),"Unknown")</f>
        <v>Peter England</v>
      </c>
      <c r="X1908" t="str">
        <f>IFERROR(INDEX(Stores!$B:$B,MATCH(E1908,Stores!$A:$A,0)),"Unknown")</f>
        <v>TrendMart Kochi Standard</v>
      </c>
      <c r="Y1908" t="str">
        <f>IFERROR(INDEX(Stores!$E:$E,MATCH(E1908,Stores!$A:$A,0)),"Unknown")</f>
        <v>South Zone 1</v>
      </c>
      <c r="Z1908" t="str">
        <f>IFERROR(INDEX(Customers!$J:$J,MATCH(C1908,Customers!$A:$A,0)),"Unknown")</f>
        <v>Regular</v>
      </c>
      <c r="AA1908" t="str">
        <f t="shared" si="29"/>
        <v>2024-11</v>
      </c>
      <c r="AB1908" t="str">
        <f>IFERROR(INDEX(Products!$I:$I,MATCH(D1908,Products!$A:$A,0)),"Unknown")</f>
        <v>SUP018</v>
      </c>
    </row>
    <row r="1909" spans="1:28" x14ac:dyDescent="0.25">
      <c r="A1909" t="s">
        <v>3891</v>
      </c>
      <c r="B1909" s="20">
        <v>45566</v>
      </c>
      <c r="C1909" t="s">
        <v>2733</v>
      </c>
      <c r="D1909" t="s">
        <v>1504</v>
      </c>
      <c r="E1909" t="s">
        <v>1187</v>
      </c>
      <c r="F1909" t="s">
        <v>195</v>
      </c>
      <c r="G1909">
        <v>1</v>
      </c>
      <c r="H1909" s="21">
        <v>1593.41</v>
      </c>
      <c r="I1909">
        <v>5</v>
      </c>
      <c r="J1909" s="21">
        <v>79.67</v>
      </c>
      <c r="K1909">
        <v>12</v>
      </c>
      <c r="L1909" s="21">
        <v>181.65</v>
      </c>
      <c r="M1909" s="21">
        <v>1695.39</v>
      </c>
      <c r="N1909" s="21">
        <v>1144.5899999999999</v>
      </c>
      <c r="O1909" s="21">
        <v>369.15</v>
      </c>
      <c r="P1909" t="s">
        <v>121</v>
      </c>
      <c r="Q1909" t="s">
        <v>122</v>
      </c>
      <c r="R1909" t="s">
        <v>151</v>
      </c>
      <c r="S1909" t="s">
        <v>917</v>
      </c>
      <c r="T1909" t="s">
        <v>153</v>
      </c>
      <c r="U1909" t="s">
        <v>154</v>
      </c>
      <c r="V1909" t="str">
        <f>IFERROR(INDEX(Products!$C:$C,MATCH(D1909,Products!$A:$A,0)),"Unknown")</f>
        <v>Women Dresses</v>
      </c>
      <c r="W1909" t="str">
        <f>IFERROR(INDEX(Products!$E:$E,MATCH(D1909,Products!$A:$A,0)),"Unknown")</f>
        <v>Westside</v>
      </c>
      <c r="X1909" t="str">
        <f>IFERROR(INDEX(Stores!$B:$B,MATCH(E1909,Stores!$A:$A,0)),"Unknown")</f>
        <v>TrendMart Vijayawada Mall Kiosk</v>
      </c>
      <c r="Y1909" t="str">
        <f>IFERROR(INDEX(Stores!$E:$E,MATCH(E1909,Stores!$A:$A,0)),"Unknown")</f>
        <v>South Zone 3</v>
      </c>
      <c r="Z1909" t="str">
        <f>IFERROR(INDEX(Customers!$J:$J,MATCH(C1909,Customers!$A:$A,0)),"Unknown")</f>
        <v>Regular</v>
      </c>
      <c r="AA1909" t="str">
        <f t="shared" si="29"/>
        <v>2024-10</v>
      </c>
      <c r="AB1909" t="str">
        <f>IFERROR(INDEX(Products!$I:$I,MATCH(D1909,Products!$A:$A,0)),"Unknown")</f>
        <v>SUP010</v>
      </c>
    </row>
    <row r="1910" spans="1:28" x14ac:dyDescent="0.25">
      <c r="A1910" t="s">
        <v>3892</v>
      </c>
      <c r="B1910" s="20">
        <v>45745</v>
      </c>
      <c r="C1910" t="s">
        <v>229</v>
      </c>
      <c r="D1910" t="s">
        <v>1224</v>
      </c>
      <c r="E1910" t="s">
        <v>429</v>
      </c>
      <c r="F1910" t="s">
        <v>532</v>
      </c>
      <c r="G1910">
        <v>1</v>
      </c>
      <c r="H1910" s="21">
        <v>1551.05</v>
      </c>
      <c r="I1910">
        <v>0</v>
      </c>
      <c r="J1910" s="21">
        <v>0</v>
      </c>
      <c r="K1910">
        <v>12</v>
      </c>
      <c r="L1910" s="21">
        <v>186.13</v>
      </c>
      <c r="M1910" s="21">
        <v>1737.18</v>
      </c>
      <c r="N1910" s="21">
        <v>1194.1400000000001</v>
      </c>
      <c r="O1910" s="21">
        <v>356.91</v>
      </c>
      <c r="P1910" t="s">
        <v>126</v>
      </c>
      <c r="Q1910" t="s">
        <v>120</v>
      </c>
      <c r="R1910" t="s">
        <v>151</v>
      </c>
      <c r="S1910" t="s">
        <v>1567</v>
      </c>
      <c r="T1910" t="s">
        <v>161</v>
      </c>
      <c r="U1910" t="s">
        <v>154</v>
      </c>
      <c r="V1910" t="str">
        <f>IFERROR(INDEX(Products!$C:$C,MATCH(D1910,Products!$A:$A,0)),"Unknown")</f>
        <v>Men Jeans</v>
      </c>
      <c r="W1910" t="str">
        <f>IFERROR(INDEX(Products!$E:$E,MATCH(D1910,Products!$A:$A,0)),"Unknown")</f>
        <v>Killer Jeans</v>
      </c>
      <c r="X1910" t="str">
        <f>IFERROR(INDEX(Stores!$B:$B,MATCH(E1910,Stores!$A:$A,0)),"Unknown")</f>
        <v>TrendMart Tirunelveli Flagship</v>
      </c>
      <c r="Y1910" t="str">
        <f>IFERROR(INDEX(Stores!$E:$E,MATCH(E1910,Stores!$A:$A,0)),"Unknown")</f>
        <v>South Zone 1</v>
      </c>
      <c r="Z1910" t="str">
        <f>IFERROR(INDEX(Customers!$J:$J,MATCH(C1910,Customers!$A:$A,0)),"Unknown")</f>
        <v>Silver</v>
      </c>
      <c r="AA1910" t="str">
        <f t="shared" si="29"/>
        <v>2025-03</v>
      </c>
      <c r="AB1910" t="str">
        <f>IFERROR(INDEX(Products!$I:$I,MATCH(D1910,Products!$A:$A,0)),"Unknown")</f>
        <v>SUP084</v>
      </c>
    </row>
    <row r="1911" spans="1:28" x14ac:dyDescent="0.25">
      <c r="A1911" t="s">
        <v>3893</v>
      </c>
      <c r="B1911" s="20">
        <v>45603</v>
      </c>
      <c r="C1911" t="s">
        <v>3684</v>
      </c>
      <c r="D1911" t="s">
        <v>210</v>
      </c>
      <c r="E1911" t="s">
        <v>588</v>
      </c>
      <c r="F1911" t="s">
        <v>618</v>
      </c>
      <c r="G1911">
        <v>3</v>
      </c>
      <c r="H1911" s="21">
        <v>1700.04</v>
      </c>
      <c r="I1911">
        <v>10</v>
      </c>
      <c r="J1911" s="21">
        <v>510.01</v>
      </c>
      <c r="K1911">
        <v>12</v>
      </c>
      <c r="L1911" s="21">
        <v>550.80999999999995</v>
      </c>
      <c r="M1911" s="21">
        <v>5140.92</v>
      </c>
      <c r="N1911" s="21">
        <v>4199.55</v>
      </c>
      <c r="O1911" s="21">
        <v>390.56</v>
      </c>
      <c r="P1911" t="s">
        <v>123</v>
      </c>
      <c r="Q1911" t="s">
        <v>120</v>
      </c>
      <c r="R1911" t="s">
        <v>151</v>
      </c>
      <c r="S1911" t="s">
        <v>3894</v>
      </c>
      <c r="T1911" t="s">
        <v>153</v>
      </c>
      <c r="U1911" t="s">
        <v>154</v>
      </c>
      <c r="V1911" t="str">
        <f>IFERROR(INDEX(Products!$C:$C,MATCH(D1911,Products!$A:$A,0)),"Unknown")</f>
        <v>Women Dresses</v>
      </c>
      <c r="W1911" t="str">
        <f>IFERROR(INDEX(Products!$E:$E,MATCH(D1911,Products!$A:$A,0)),"Unknown")</f>
        <v>Nike</v>
      </c>
      <c r="X1911" t="str">
        <f>IFERROR(INDEX(Stores!$B:$B,MATCH(E1911,Stores!$A:$A,0)),"Unknown")</f>
        <v>TrendMart Nizamabad Standard</v>
      </c>
      <c r="Y1911" t="str">
        <f>IFERROR(INDEX(Stores!$E:$E,MATCH(E1911,Stores!$A:$A,0)),"Unknown")</f>
        <v>South Zone 2</v>
      </c>
      <c r="Z1911" t="str">
        <f>IFERROR(INDEX(Customers!$J:$J,MATCH(C1911,Customers!$A:$A,0)),"Unknown")</f>
        <v>Regular</v>
      </c>
      <c r="AA1911" t="str">
        <f t="shared" si="29"/>
        <v>2024-11</v>
      </c>
      <c r="AB1911" t="str">
        <f>IFERROR(INDEX(Products!$I:$I,MATCH(D1911,Products!$A:$A,0)),"Unknown")</f>
        <v>SUP073</v>
      </c>
    </row>
    <row r="1912" spans="1:28" x14ac:dyDescent="0.25">
      <c r="A1912" t="s">
        <v>3895</v>
      </c>
      <c r="B1912" s="20">
        <v>45596</v>
      </c>
      <c r="C1912" t="s">
        <v>1253</v>
      </c>
      <c r="D1912" t="s">
        <v>285</v>
      </c>
      <c r="E1912" t="s">
        <v>752</v>
      </c>
      <c r="F1912" t="s">
        <v>150</v>
      </c>
      <c r="G1912">
        <v>2</v>
      </c>
      <c r="H1912" s="21">
        <v>735.78</v>
      </c>
      <c r="I1912">
        <v>30</v>
      </c>
      <c r="J1912" s="21">
        <v>441.47</v>
      </c>
      <c r="K1912">
        <v>5</v>
      </c>
      <c r="L1912" s="21">
        <v>51.5</v>
      </c>
      <c r="M1912" s="21">
        <v>1081.5899999999999</v>
      </c>
      <c r="N1912" s="21">
        <v>998.62</v>
      </c>
      <c r="O1912" s="21">
        <v>31.47</v>
      </c>
      <c r="P1912" t="s">
        <v>121</v>
      </c>
      <c r="Q1912" t="s">
        <v>120</v>
      </c>
      <c r="R1912" t="s">
        <v>151</v>
      </c>
      <c r="S1912" t="s">
        <v>1102</v>
      </c>
      <c r="T1912" t="s">
        <v>153</v>
      </c>
      <c r="U1912" t="s">
        <v>154</v>
      </c>
      <c r="V1912" t="str">
        <f>IFERROR(INDEX(Products!$C:$C,MATCH(D1912,Products!$A:$A,0)),"Unknown")</f>
        <v>Kids Wear</v>
      </c>
      <c r="W1912" t="str">
        <f>IFERROR(INDEX(Products!$E:$E,MATCH(D1912,Products!$A:$A,0)),"Unknown")</f>
        <v>Global Desi</v>
      </c>
      <c r="X1912" t="str">
        <f>IFERROR(INDEX(Stores!$B:$B,MATCH(E1912,Stores!$A:$A,0)),"Unknown")</f>
        <v>TrendMart Dindigul High Street</v>
      </c>
      <c r="Y1912" t="str">
        <f>IFERROR(INDEX(Stores!$E:$E,MATCH(E1912,Stores!$A:$A,0)),"Unknown")</f>
        <v>South Zone 1</v>
      </c>
      <c r="Z1912" t="str">
        <f>IFERROR(INDEX(Customers!$J:$J,MATCH(C1912,Customers!$A:$A,0)),"Unknown")</f>
        <v>Gold</v>
      </c>
      <c r="AA1912" t="str">
        <f t="shared" si="29"/>
        <v>2024-10</v>
      </c>
      <c r="AB1912" t="str">
        <f>IFERROR(INDEX(Products!$I:$I,MATCH(D1912,Products!$A:$A,0)),"Unknown")</f>
        <v>SUP008</v>
      </c>
    </row>
    <row r="1913" spans="1:28" x14ac:dyDescent="0.25">
      <c r="A1913" t="s">
        <v>3896</v>
      </c>
      <c r="B1913" s="20">
        <v>45459</v>
      </c>
      <c r="C1913" t="s">
        <v>649</v>
      </c>
      <c r="D1913" t="s">
        <v>205</v>
      </c>
      <c r="E1913" t="s">
        <v>701</v>
      </c>
      <c r="F1913" t="s">
        <v>403</v>
      </c>
      <c r="G1913">
        <v>1</v>
      </c>
      <c r="H1913" s="21">
        <v>1160.55</v>
      </c>
      <c r="I1913">
        <v>0</v>
      </c>
      <c r="J1913" s="21">
        <v>0</v>
      </c>
      <c r="K1913">
        <v>12</v>
      </c>
      <c r="L1913" s="21">
        <v>139.27000000000001</v>
      </c>
      <c r="M1913" s="21">
        <v>1299.82</v>
      </c>
      <c r="N1913" s="21">
        <v>692.53</v>
      </c>
      <c r="O1913" s="21">
        <v>468.02</v>
      </c>
      <c r="P1913" t="s">
        <v>124</v>
      </c>
      <c r="Q1913" t="s">
        <v>120</v>
      </c>
      <c r="R1913" t="s">
        <v>151</v>
      </c>
      <c r="S1913" t="s">
        <v>879</v>
      </c>
      <c r="T1913" t="s">
        <v>161</v>
      </c>
      <c r="U1913" t="s">
        <v>154</v>
      </c>
      <c r="V1913" t="str">
        <f>IFERROR(INDEX(Products!$C:$C,MATCH(D1913,Products!$A:$A,0)),"Unknown")</f>
        <v>Women Jeans</v>
      </c>
      <c r="W1913" t="str">
        <f>IFERROR(INDEX(Products!$E:$E,MATCH(D1913,Products!$A:$A,0)),"Unknown")</f>
        <v>Sonata</v>
      </c>
      <c r="X1913" t="str">
        <f>IFERROR(INDEX(Stores!$B:$B,MATCH(E1913,Stores!$A:$A,0)),"Unknown")</f>
        <v>TrendMart Vijayawada Mall Kiosk</v>
      </c>
      <c r="Y1913" t="str">
        <f>IFERROR(INDEX(Stores!$E:$E,MATCH(E1913,Stores!$A:$A,0)),"Unknown")</f>
        <v>South Zone 3</v>
      </c>
      <c r="Z1913" t="str">
        <f>IFERROR(INDEX(Customers!$J:$J,MATCH(C1913,Customers!$A:$A,0)),"Unknown")</f>
        <v>Silver</v>
      </c>
      <c r="AA1913" t="str">
        <f t="shared" si="29"/>
        <v>2024-06</v>
      </c>
      <c r="AB1913" t="str">
        <f>IFERROR(INDEX(Products!$I:$I,MATCH(D1913,Products!$A:$A,0)),"Unknown")</f>
        <v>SUP014</v>
      </c>
    </row>
    <row r="1914" spans="1:28" x14ac:dyDescent="0.25">
      <c r="A1914" t="s">
        <v>3897</v>
      </c>
      <c r="B1914" s="20">
        <v>45624</v>
      </c>
      <c r="C1914" t="s">
        <v>3334</v>
      </c>
      <c r="D1914" t="s">
        <v>1928</v>
      </c>
      <c r="E1914" t="s">
        <v>1017</v>
      </c>
      <c r="F1914" t="s">
        <v>574</v>
      </c>
      <c r="G1914">
        <v>3</v>
      </c>
      <c r="H1914" s="21">
        <v>884.24</v>
      </c>
      <c r="I1914">
        <v>30</v>
      </c>
      <c r="J1914" s="21">
        <v>795.82</v>
      </c>
      <c r="K1914">
        <v>5</v>
      </c>
      <c r="L1914" s="21">
        <v>92.84</v>
      </c>
      <c r="M1914" s="21">
        <v>1949.74</v>
      </c>
      <c r="N1914" s="21">
        <v>1974.57</v>
      </c>
      <c r="O1914" s="21">
        <v>-117.67</v>
      </c>
      <c r="P1914" t="s">
        <v>123</v>
      </c>
      <c r="Q1914" t="s">
        <v>122</v>
      </c>
      <c r="R1914" t="s">
        <v>151</v>
      </c>
      <c r="S1914" t="s">
        <v>1650</v>
      </c>
      <c r="T1914" t="s">
        <v>153</v>
      </c>
      <c r="U1914" t="s">
        <v>184</v>
      </c>
      <c r="V1914" t="str">
        <f>IFERROR(INDEX(Products!$C:$C,MATCH(D1914,Products!$A:$A,0)),"Unknown")</f>
        <v>Men Jeans</v>
      </c>
      <c r="W1914" t="str">
        <f>IFERROR(INDEX(Products!$E:$E,MATCH(D1914,Products!$A:$A,0)),"Unknown")</f>
        <v>Skechers</v>
      </c>
      <c r="X1914" t="str">
        <f>IFERROR(INDEX(Stores!$B:$B,MATCH(E1914,Stores!$A:$A,0)),"Unknown")</f>
        <v>TrendMart Mangaluru Standard</v>
      </c>
      <c r="Y1914" t="str">
        <f>IFERROR(INDEX(Stores!$E:$E,MATCH(E1914,Stores!$A:$A,0)),"Unknown")</f>
        <v>South Zone 2</v>
      </c>
      <c r="Z1914" t="str">
        <f>IFERROR(INDEX(Customers!$J:$J,MATCH(C1914,Customers!$A:$A,0)),"Unknown")</f>
        <v>Regular</v>
      </c>
      <c r="AA1914" t="str">
        <f t="shared" si="29"/>
        <v>2024-11</v>
      </c>
      <c r="AB1914" t="str">
        <f>IFERROR(INDEX(Products!$I:$I,MATCH(D1914,Products!$A:$A,0)),"Unknown")</f>
        <v>SUP015</v>
      </c>
    </row>
    <row r="1915" spans="1:28" x14ac:dyDescent="0.25">
      <c r="A1915" t="s">
        <v>3898</v>
      </c>
      <c r="B1915" s="20">
        <v>45643</v>
      </c>
      <c r="C1915" t="s">
        <v>933</v>
      </c>
      <c r="D1915" t="s">
        <v>1407</v>
      </c>
      <c r="E1915" t="s">
        <v>216</v>
      </c>
      <c r="F1915" t="s">
        <v>618</v>
      </c>
      <c r="G1915">
        <v>1</v>
      </c>
      <c r="H1915" s="21">
        <v>1137.79</v>
      </c>
      <c r="I1915">
        <v>0</v>
      </c>
      <c r="J1915" s="21">
        <v>0</v>
      </c>
      <c r="K1915">
        <v>12</v>
      </c>
      <c r="L1915" s="21">
        <v>136.53</v>
      </c>
      <c r="M1915" s="21">
        <v>1274.32</v>
      </c>
      <c r="N1915" s="21">
        <v>765.23</v>
      </c>
      <c r="O1915" s="21">
        <v>372.56</v>
      </c>
      <c r="P1915" t="s">
        <v>126</v>
      </c>
      <c r="Q1915" t="s">
        <v>120</v>
      </c>
      <c r="R1915" t="s">
        <v>151</v>
      </c>
      <c r="S1915" t="s">
        <v>2904</v>
      </c>
      <c r="T1915" t="s">
        <v>153</v>
      </c>
      <c r="U1915" t="s">
        <v>154</v>
      </c>
      <c r="V1915" t="str">
        <f>IFERROR(INDEX(Products!$C:$C,MATCH(D1915,Products!$A:$A,0)),"Unknown")</f>
        <v>Belts</v>
      </c>
      <c r="W1915" t="str">
        <f>IFERROR(INDEX(Products!$E:$E,MATCH(D1915,Products!$A:$A,0)),"Unknown")</f>
        <v>Pantaloons</v>
      </c>
      <c r="X1915" t="str">
        <f>IFERROR(INDEX(Stores!$B:$B,MATCH(E1915,Stores!$A:$A,0)),"Unknown")</f>
        <v>TrendMart Madurai Mall Kiosk</v>
      </c>
      <c r="Y1915" t="str">
        <f>IFERROR(INDEX(Stores!$E:$E,MATCH(E1915,Stores!$A:$A,0)),"Unknown")</f>
        <v>South Zone 1</v>
      </c>
      <c r="Z1915" t="str">
        <f>IFERROR(INDEX(Customers!$J:$J,MATCH(C1915,Customers!$A:$A,0)),"Unknown")</f>
        <v>Silver</v>
      </c>
      <c r="AA1915" t="str">
        <f t="shared" si="29"/>
        <v>2024-12</v>
      </c>
      <c r="AB1915" t="str">
        <f>IFERROR(INDEX(Products!$I:$I,MATCH(D1915,Products!$A:$A,0)),"Unknown")</f>
        <v>SUP030</v>
      </c>
    </row>
    <row r="1916" spans="1:28" x14ac:dyDescent="0.25">
      <c r="A1916" t="s">
        <v>3899</v>
      </c>
      <c r="B1916" s="20">
        <v>45585</v>
      </c>
      <c r="C1916" t="s">
        <v>156</v>
      </c>
      <c r="D1916" t="s">
        <v>362</v>
      </c>
      <c r="E1916" t="s">
        <v>910</v>
      </c>
      <c r="F1916" t="s">
        <v>532</v>
      </c>
      <c r="G1916">
        <v>1</v>
      </c>
      <c r="H1916" s="21">
        <v>1359.06</v>
      </c>
      <c r="I1916">
        <v>20</v>
      </c>
      <c r="J1916" s="21">
        <v>271.81</v>
      </c>
      <c r="K1916">
        <v>12</v>
      </c>
      <c r="L1916" s="21">
        <v>130.47</v>
      </c>
      <c r="M1916" s="21">
        <v>1217.72</v>
      </c>
      <c r="N1916" s="21">
        <v>887.02</v>
      </c>
      <c r="O1916" s="21">
        <v>200.23</v>
      </c>
      <c r="P1916" t="s">
        <v>125</v>
      </c>
      <c r="Q1916" t="s">
        <v>120</v>
      </c>
      <c r="R1916" t="s">
        <v>151</v>
      </c>
      <c r="S1916" t="s">
        <v>1735</v>
      </c>
      <c r="T1916" t="s">
        <v>161</v>
      </c>
      <c r="U1916" t="s">
        <v>154</v>
      </c>
      <c r="V1916" t="str">
        <f>IFERROR(INDEX(Products!$C:$C,MATCH(D1916,Products!$A:$A,0)),"Unknown")</f>
        <v>Men Trousers</v>
      </c>
      <c r="W1916" t="str">
        <f>IFERROR(INDEX(Products!$E:$E,MATCH(D1916,Products!$A:$A,0)),"Unknown")</f>
        <v>Pepe Jeans</v>
      </c>
      <c r="X1916" t="str">
        <f>IFERROR(INDEX(Stores!$B:$B,MATCH(E1916,Stores!$A:$A,0)),"Unknown")</f>
        <v>TrendMart Karimnagar Standard</v>
      </c>
      <c r="Y1916" t="str">
        <f>IFERROR(INDEX(Stores!$E:$E,MATCH(E1916,Stores!$A:$A,0)),"Unknown")</f>
        <v>South Zone 2</v>
      </c>
      <c r="Z1916" t="str">
        <f>IFERROR(INDEX(Customers!$J:$J,MATCH(C1916,Customers!$A:$A,0)),"Unknown")</f>
        <v>Regular</v>
      </c>
      <c r="AA1916" t="str">
        <f t="shared" si="29"/>
        <v>2024-10</v>
      </c>
      <c r="AB1916" t="str">
        <f>IFERROR(INDEX(Products!$I:$I,MATCH(D1916,Products!$A:$A,0)),"Unknown")</f>
        <v>SUP028</v>
      </c>
    </row>
    <row r="1917" spans="1:28" x14ac:dyDescent="0.25">
      <c r="A1917" t="s">
        <v>3900</v>
      </c>
      <c r="B1917" s="20">
        <v>45497</v>
      </c>
      <c r="C1917" t="s">
        <v>3813</v>
      </c>
      <c r="D1917" t="s">
        <v>1080</v>
      </c>
      <c r="E1917" t="s">
        <v>86</v>
      </c>
      <c r="F1917" t="s">
        <v>579</v>
      </c>
      <c r="G1917">
        <v>1</v>
      </c>
      <c r="H1917" s="21">
        <v>1341.23</v>
      </c>
      <c r="I1917">
        <v>5</v>
      </c>
      <c r="J1917" s="21">
        <v>67.06</v>
      </c>
      <c r="K1917">
        <v>12</v>
      </c>
      <c r="L1917" s="21">
        <v>152.9</v>
      </c>
      <c r="M1917" s="21">
        <v>1427.07</v>
      </c>
      <c r="N1917" s="21">
        <v>914.35</v>
      </c>
      <c r="O1917" s="21">
        <v>359.82</v>
      </c>
      <c r="P1917" t="s">
        <v>126</v>
      </c>
      <c r="Q1917" t="s">
        <v>120</v>
      </c>
      <c r="R1917" t="s">
        <v>151</v>
      </c>
      <c r="S1917" t="s">
        <v>1516</v>
      </c>
      <c r="T1917" t="s">
        <v>153</v>
      </c>
      <c r="U1917" t="s">
        <v>154</v>
      </c>
      <c r="V1917" t="str">
        <f>IFERROR(INDEX(Products!$C:$C,MATCH(D1917,Products!$A:$A,0)),"Unknown")</f>
        <v>Winter Wear</v>
      </c>
      <c r="W1917" t="str">
        <f>IFERROR(INDEX(Products!$E:$E,MATCH(D1917,Products!$A:$A,0)),"Unknown")</f>
        <v>Max Fashion</v>
      </c>
      <c r="X1917" t="str">
        <f>IFERROR(INDEX(Stores!$B:$B,MATCH(E1917,Stores!$A:$A,0)),"Unknown")</f>
        <v>TrendMart Warangal High Street</v>
      </c>
      <c r="Y1917" t="str">
        <f>IFERROR(INDEX(Stores!$E:$E,MATCH(E1917,Stores!$A:$A,0)),"Unknown")</f>
        <v>South Zone 2</v>
      </c>
      <c r="Z1917" t="str">
        <f>IFERROR(INDEX(Customers!$J:$J,MATCH(C1917,Customers!$A:$A,0)),"Unknown")</f>
        <v>Regular</v>
      </c>
      <c r="AA1917" t="str">
        <f t="shared" si="29"/>
        <v>2024-07</v>
      </c>
      <c r="AB1917" t="str">
        <f>IFERROR(INDEX(Products!$I:$I,MATCH(D1917,Products!$A:$A,0)),"Unknown")</f>
        <v>SUP017</v>
      </c>
    </row>
    <row r="1918" spans="1:28" x14ac:dyDescent="0.25">
      <c r="A1918" t="s">
        <v>3901</v>
      </c>
      <c r="B1918" s="20">
        <v>45623</v>
      </c>
      <c r="C1918" t="s">
        <v>163</v>
      </c>
      <c r="D1918" t="s">
        <v>498</v>
      </c>
      <c r="E1918" t="s">
        <v>343</v>
      </c>
      <c r="F1918" t="s">
        <v>258</v>
      </c>
      <c r="G1918">
        <v>1</v>
      </c>
      <c r="H1918" s="21">
        <v>445.61</v>
      </c>
      <c r="I1918">
        <v>5</v>
      </c>
      <c r="J1918" s="21">
        <v>22.28</v>
      </c>
      <c r="K1918">
        <v>5</v>
      </c>
      <c r="L1918" s="21">
        <v>21.17</v>
      </c>
      <c r="M1918" s="21">
        <v>444.5</v>
      </c>
      <c r="N1918" s="21">
        <v>315.13</v>
      </c>
      <c r="O1918" s="21">
        <v>108.2</v>
      </c>
      <c r="P1918" t="s">
        <v>123</v>
      </c>
      <c r="Q1918" t="s">
        <v>122</v>
      </c>
      <c r="R1918" t="s">
        <v>151</v>
      </c>
      <c r="S1918" t="s">
        <v>2900</v>
      </c>
      <c r="T1918" t="s">
        <v>153</v>
      </c>
      <c r="U1918" t="s">
        <v>154</v>
      </c>
      <c r="V1918" t="str">
        <f>IFERROR(INDEX(Products!$C:$C,MATCH(D1918,Products!$A:$A,0)),"Unknown")</f>
        <v>Belts</v>
      </c>
      <c r="W1918" t="str">
        <f>IFERROR(INDEX(Products!$E:$E,MATCH(D1918,Products!$A:$A,0)),"Unknown")</f>
        <v>Nike</v>
      </c>
      <c r="X1918" t="str">
        <f>IFERROR(INDEX(Stores!$B:$B,MATCH(E1918,Stores!$A:$A,0)),"Unknown")</f>
        <v>TrendMart Tumakuru Outlet</v>
      </c>
      <c r="Y1918" t="str">
        <f>IFERROR(INDEX(Stores!$E:$E,MATCH(E1918,Stores!$A:$A,0)),"Unknown")</f>
        <v>South Zone 2</v>
      </c>
      <c r="Z1918" t="str">
        <f>IFERROR(INDEX(Customers!$J:$J,MATCH(C1918,Customers!$A:$A,0)),"Unknown")</f>
        <v>Silver</v>
      </c>
      <c r="AA1918" t="str">
        <f t="shared" si="29"/>
        <v>2024-11</v>
      </c>
      <c r="AB1918" t="str">
        <f>IFERROR(INDEX(Products!$I:$I,MATCH(D1918,Products!$A:$A,0)),"Unknown")</f>
        <v>SUP071</v>
      </c>
    </row>
    <row r="1919" spans="1:28" x14ac:dyDescent="0.25">
      <c r="A1919" t="s">
        <v>3902</v>
      </c>
      <c r="B1919" s="20">
        <v>45573</v>
      </c>
      <c r="C1919" t="s">
        <v>930</v>
      </c>
      <c r="D1919" t="s">
        <v>861</v>
      </c>
      <c r="E1919" t="s">
        <v>727</v>
      </c>
      <c r="F1919" t="s">
        <v>397</v>
      </c>
      <c r="G1919">
        <v>4</v>
      </c>
      <c r="H1919" s="21">
        <v>1721.67</v>
      </c>
      <c r="I1919">
        <v>25</v>
      </c>
      <c r="J1919" s="21">
        <v>1721.67</v>
      </c>
      <c r="K1919">
        <v>12</v>
      </c>
      <c r="L1919" s="21">
        <v>619.79999999999995</v>
      </c>
      <c r="M1919" s="21">
        <v>5784.81</v>
      </c>
      <c r="N1919" s="21">
        <v>4559.24</v>
      </c>
      <c r="O1919" s="21">
        <v>605.77</v>
      </c>
      <c r="P1919" t="s">
        <v>125</v>
      </c>
      <c r="Q1919" t="s">
        <v>120</v>
      </c>
      <c r="R1919" t="s">
        <v>151</v>
      </c>
      <c r="S1919" t="s">
        <v>3168</v>
      </c>
      <c r="T1919" t="s">
        <v>153</v>
      </c>
      <c r="U1919" t="s">
        <v>154</v>
      </c>
      <c r="V1919" t="str">
        <f>IFERROR(INDEX(Products!$C:$C,MATCH(D1919,Products!$A:$A,0)),"Unknown")</f>
        <v>Women Jeans</v>
      </c>
      <c r="W1919" t="str">
        <f>IFERROR(INDEX(Products!$E:$E,MATCH(D1919,Products!$A:$A,0)),"Unknown")</f>
        <v>Spykar</v>
      </c>
      <c r="X1919" t="str">
        <f>IFERROR(INDEX(Stores!$B:$B,MATCH(E1919,Stores!$A:$A,0)),"Unknown")</f>
        <v>TrendMart Nizamabad Standard</v>
      </c>
      <c r="Y1919" t="str">
        <f>IFERROR(INDEX(Stores!$E:$E,MATCH(E1919,Stores!$A:$A,0)),"Unknown")</f>
        <v>South Zone 2</v>
      </c>
      <c r="Z1919" t="str">
        <f>IFERROR(INDEX(Customers!$J:$J,MATCH(C1919,Customers!$A:$A,0)),"Unknown")</f>
        <v>Silver</v>
      </c>
      <c r="AA1919" t="str">
        <f t="shared" si="29"/>
        <v>2024-10</v>
      </c>
      <c r="AB1919" t="str">
        <f>IFERROR(INDEX(Products!$I:$I,MATCH(D1919,Products!$A:$A,0)),"Unknown")</f>
        <v>SUP088</v>
      </c>
    </row>
    <row r="1920" spans="1:28" x14ac:dyDescent="0.25">
      <c r="A1920" t="s">
        <v>3903</v>
      </c>
      <c r="B1920" s="20">
        <v>45571</v>
      </c>
      <c r="C1920" t="s">
        <v>2692</v>
      </c>
      <c r="D1920" t="s">
        <v>1780</v>
      </c>
      <c r="E1920" t="s">
        <v>93</v>
      </c>
      <c r="F1920" t="s">
        <v>397</v>
      </c>
      <c r="G1920">
        <v>2</v>
      </c>
      <c r="H1920" s="21">
        <v>1320.59</v>
      </c>
      <c r="I1920">
        <v>5</v>
      </c>
      <c r="J1920" s="21">
        <v>132.06</v>
      </c>
      <c r="K1920">
        <v>3</v>
      </c>
      <c r="L1920" s="21">
        <v>75.27</v>
      </c>
      <c r="M1920" s="21">
        <v>2584.39</v>
      </c>
      <c r="N1920" s="21">
        <v>1820.92</v>
      </c>
      <c r="O1920" s="21">
        <v>688.2</v>
      </c>
      <c r="P1920" t="s">
        <v>121</v>
      </c>
      <c r="Q1920" t="s">
        <v>122</v>
      </c>
      <c r="R1920" t="s">
        <v>151</v>
      </c>
      <c r="S1920" t="s">
        <v>2575</v>
      </c>
      <c r="T1920" t="s">
        <v>161</v>
      </c>
      <c r="U1920" t="s">
        <v>154</v>
      </c>
      <c r="V1920" t="str">
        <f>IFERROR(INDEX(Products!$C:$C,MATCH(D1920,Products!$A:$A,0)),"Unknown")</f>
        <v>Jewellery</v>
      </c>
      <c r="W1920" t="str">
        <f>IFERROR(INDEX(Products!$E:$E,MATCH(D1920,Products!$A:$A,0)),"Unknown")</f>
        <v>Flying Machine</v>
      </c>
      <c r="X1920" t="str">
        <f>IFERROR(INDEX(Stores!$B:$B,MATCH(E1920,Stores!$A:$A,0)),"Unknown")</f>
        <v>TrendMart Thiruvananthapuram High Street</v>
      </c>
      <c r="Y1920" t="str">
        <f>IFERROR(INDEX(Stores!$E:$E,MATCH(E1920,Stores!$A:$A,0)),"Unknown")</f>
        <v>South Zone 1</v>
      </c>
      <c r="Z1920" t="str">
        <f>IFERROR(INDEX(Customers!$J:$J,MATCH(C1920,Customers!$A:$A,0)),"Unknown")</f>
        <v>Regular</v>
      </c>
      <c r="AA1920" t="str">
        <f t="shared" si="29"/>
        <v>2024-10</v>
      </c>
      <c r="AB1920" t="str">
        <f>IFERROR(INDEX(Products!$I:$I,MATCH(D1920,Products!$A:$A,0)),"Unknown")</f>
        <v>SUP039</v>
      </c>
    </row>
    <row r="1921" spans="1:28" x14ac:dyDescent="0.25">
      <c r="A1921" t="s">
        <v>3904</v>
      </c>
      <c r="B1921" s="20">
        <v>45482</v>
      </c>
      <c r="C1921" t="s">
        <v>2529</v>
      </c>
      <c r="D1921" t="s">
        <v>654</v>
      </c>
      <c r="E1921" t="s">
        <v>1442</v>
      </c>
      <c r="F1921" t="s">
        <v>258</v>
      </c>
      <c r="G1921">
        <v>1</v>
      </c>
      <c r="H1921" s="21">
        <v>1201.79</v>
      </c>
      <c r="I1921">
        <v>0</v>
      </c>
      <c r="J1921" s="21">
        <v>0</v>
      </c>
      <c r="K1921">
        <v>12</v>
      </c>
      <c r="L1921" s="21">
        <v>144.21</v>
      </c>
      <c r="M1921" s="21">
        <v>1346</v>
      </c>
      <c r="N1921" s="21">
        <v>865.42</v>
      </c>
      <c r="O1921" s="21">
        <v>336.37</v>
      </c>
      <c r="P1921" t="s">
        <v>121</v>
      </c>
      <c r="Q1921" t="s">
        <v>122</v>
      </c>
      <c r="R1921" t="s">
        <v>151</v>
      </c>
      <c r="S1921" t="s">
        <v>3905</v>
      </c>
      <c r="T1921" t="s">
        <v>153</v>
      </c>
      <c r="U1921" t="s">
        <v>154</v>
      </c>
      <c r="V1921" t="str">
        <f>IFERROR(INDEX(Products!$C:$C,MATCH(D1921,Products!$A:$A,0)),"Unknown")</f>
        <v>Women Dresses</v>
      </c>
      <c r="W1921" t="str">
        <f>IFERROR(INDEX(Products!$E:$E,MATCH(D1921,Products!$A:$A,0)),"Unknown")</f>
        <v>Indian Terrain</v>
      </c>
      <c r="X1921" t="str">
        <f>IFERROR(INDEX(Stores!$B:$B,MATCH(E1921,Stores!$A:$A,0)),"Unknown")</f>
        <v>TrendMart Vellore High Street</v>
      </c>
      <c r="Y1921" t="str">
        <f>IFERROR(INDEX(Stores!$E:$E,MATCH(E1921,Stores!$A:$A,0)),"Unknown")</f>
        <v>South Zone 1</v>
      </c>
      <c r="Z1921" t="str">
        <f>IFERROR(INDEX(Customers!$J:$J,MATCH(C1921,Customers!$A:$A,0)),"Unknown")</f>
        <v>Regular</v>
      </c>
      <c r="AA1921" t="str">
        <f t="shared" si="29"/>
        <v>2024-07</v>
      </c>
      <c r="AB1921" t="str">
        <f>IFERROR(INDEX(Products!$I:$I,MATCH(D1921,Products!$A:$A,0)),"Unknown")</f>
        <v>SUP049</v>
      </c>
    </row>
    <row r="1922" spans="1:28" x14ac:dyDescent="0.25">
      <c r="A1922" t="s">
        <v>3906</v>
      </c>
      <c r="B1922" s="20">
        <v>45586</v>
      </c>
      <c r="C1922" t="s">
        <v>1346</v>
      </c>
      <c r="D1922" t="s">
        <v>1197</v>
      </c>
      <c r="E1922" t="s">
        <v>831</v>
      </c>
      <c r="F1922" t="s">
        <v>189</v>
      </c>
      <c r="G1922">
        <v>1</v>
      </c>
      <c r="H1922" s="21">
        <v>1004.7</v>
      </c>
      <c r="I1922">
        <v>0</v>
      </c>
      <c r="J1922" s="21">
        <v>0</v>
      </c>
      <c r="K1922">
        <v>12</v>
      </c>
      <c r="L1922" s="21">
        <v>120.56</v>
      </c>
      <c r="M1922" s="21">
        <v>1125.26</v>
      </c>
      <c r="N1922" s="21">
        <v>828.52</v>
      </c>
      <c r="O1922" s="21">
        <v>176.18</v>
      </c>
      <c r="P1922" t="s">
        <v>124</v>
      </c>
      <c r="Q1922" t="s">
        <v>120</v>
      </c>
      <c r="R1922" t="s">
        <v>151</v>
      </c>
      <c r="S1922" t="s">
        <v>2126</v>
      </c>
      <c r="T1922" t="s">
        <v>153</v>
      </c>
      <c r="U1922" t="s">
        <v>154</v>
      </c>
      <c r="V1922" t="str">
        <f>IFERROR(INDEX(Products!$C:$C,MATCH(D1922,Products!$A:$A,0)),"Unknown")</f>
        <v>Women Jeans</v>
      </c>
      <c r="W1922" t="str">
        <f>IFERROR(INDEX(Products!$E:$E,MATCH(D1922,Products!$A:$A,0)),"Unknown")</f>
        <v>Van Heusen</v>
      </c>
      <c r="X1922" t="str">
        <f>IFERROR(INDEX(Stores!$B:$B,MATCH(E1922,Stores!$A:$A,0)),"Unknown")</f>
        <v>TrendMart Vellore Standard</v>
      </c>
      <c r="Y1922" t="str">
        <f>IFERROR(INDEX(Stores!$E:$E,MATCH(E1922,Stores!$A:$A,0)),"Unknown")</f>
        <v>South Zone 1</v>
      </c>
      <c r="Z1922" t="str">
        <f>IFERROR(INDEX(Customers!$J:$J,MATCH(C1922,Customers!$A:$A,0)),"Unknown")</f>
        <v>Regular</v>
      </c>
      <c r="AA1922" t="str">
        <f t="shared" ref="AA1922:AA1985" si="30">TEXT(B1922,"YYYY-MM")</f>
        <v>2024-10</v>
      </c>
      <c r="AB1922" t="str">
        <f>IFERROR(INDEX(Products!$I:$I,MATCH(D1922,Products!$A:$A,0)),"Unknown")</f>
        <v>SUP021</v>
      </c>
    </row>
    <row r="1923" spans="1:28" x14ac:dyDescent="0.25">
      <c r="A1923" t="s">
        <v>3907</v>
      </c>
      <c r="B1923" s="20">
        <v>45745</v>
      </c>
      <c r="C1923" t="s">
        <v>3908</v>
      </c>
      <c r="D1923" t="s">
        <v>1905</v>
      </c>
      <c r="E1923" t="s">
        <v>906</v>
      </c>
      <c r="F1923" t="s">
        <v>150</v>
      </c>
      <c r="G1923">
        <v>1</v>
      </c>
      <c r="H1923" s="21">
        <v>1039.69</v>
      </c>
      <c r="I1923">
        <v>0</v>
      </c>
      <c r="J1923" s="21">
        <v>0</v>
      </c>
      <c r="K1923">
        <v>12</v>
      </c>
      <c r="L1923" s="21">
        <v>124.76</v>
      </c>
      <c r="M1923" s="21">
        <v>1164.45</v>
      </c>
      <c r="N1923" s="21">
        <v>630.1</v>
      </c>
      <c r="O1923" s="21">
        <v>409.59</v>
      </c>
      <c r="P1923" t="s">
        <v>126</v>
      </c>
      <c r="Q1923" t="s">
        <v>120</v>
      </c>
      <c r="R1923" t="s">
        <v>151</v>
      </c>
      <c r="S1923" t="s">
        <v>2714</v>
      </c>
      <c r="T1923" t="s">
        <v>161</v>
      </c>
      <c r="U1923" t="s">
        <v>154</v>
      </c>
      <c r="V1923" t="str">
        <f>IFERROR(INDEX(Products!$C:$C,MATCH(D1923,Products!$A:$A,0)),"Unknown")</f>
        <v>Sportswear</v>
      </c>
      <c r="W1923" t="str">
        <f>IFERROR(INDEX(Products!$E:$E,MATCH(D1923,Products!$A:$A,0)),"Unknown")</f>
        <v>Pantaloons</v>
      </c>
      <c r="X1923" t="str">
        <f>IFERROR(INDEX(Stores!$B:$B,MATCH(E1923,Stores!$A:$A,0)),"Unknown")</f>
        <v>TrendMart Vijayawada Standard</v>
      </c>
      <c r="Y1923" t="str">
        <f>IFERROR(INDEX(Stores!$E:$E,MATCH(E1923,Stores!$A:$A,0)),"Unknown")</f>
        <v>South Zone 3</v>
      </c>
      <c r="Z1923" t="str">
        <f>IFERROR(INDEX(Customers!$J:$J,MATCH(C1923,Customers!$A:$A,0)),"Unknown")</f>
        <v>Silver</v>
      </c>
      <c r="AA1923" t="str">
        <f t="shared" si="30"/>
        <v>2025-03</v>
      </c>
      <c r="AB1923" t="str">
        <f>IFERROR(INDEX(Products!$I:$I,MATCH(D1923,Products!$A:$A,0)),"Unknown")</f>
        <v>SUP062</v>
      </c>
    </row>
    <row r="1924" spans="1:28" x14ac:dyDescent="0.25">
      <c r="A1924" t="s">
        <v>3909</v>
      </c>
      <c r="B1924" s="20">
        <v>45576</v>
      </c>
      <c r="C1924" t="s">
        <v>1331</v>
      </c>
      <c r="D1924" t="s">
        <v>947</v>
      </c>
      <c r="E1924" t="s">
        <v>823</v>
      </c>
      <c r="F1924" t="s">
        <v>211</v>
      </c>
      <c r="G1924">
        <v>2</v>
      </c>
      <c r="H1924" s="21">
        <v>729.12</v>
      </c>
      <c r="I1924">
        <v>0</v>
      </c>
      <c r="J1924" s="21">
        <v>0</v>
      </c>
      <c r="K1924">
        <v>5</v>
      </c>
      <c r="L1924" s="21">
        <v>72.91</v>
      </c>
      <c r="M1924" s="21">
        <v>1531.15</v>
      </c>
      <c r="N1924" s="21">
        <v>1138.7</v>
      </c>
      <c r="O1924" s="21">
        <v>319.54000000000002</v>
      </c>
      <c r="P1924" t="s">
        <v>125</v>
      </c>
      <c r="Q1924" t="s">
        <v>122</v>
      </c>
      <c r="R1924" t="s">
        <v>151</v>
      </c>
      <c r="S1924" t="s">
        <v>1698</v>
      </c>
      <c r="T1924" t="s">
        <v>153</v>
      </c>
      <c r="U1924" t="s">
        <v>154</v>
      </c>
      <c r="V1924" t="str">
        <f>IFERROR(INDEX(Products!$C:$C,MATCH(D1924,Products!$A:$A,0)),"Unknown")</f>
        <v>Women Kurtis</v>
      </c>
      <c r="W1924" t="str">
        <f>IFERROR(INDEX(Products!$E:$E,MATCH(D1924,Products!$A:$A,0)),"Unknown")</f>
        <v>Sonata</v>
      </c>
      <c r="X1924" t="str">
        <f>IFERROR(INDEX(Stores!$B:$B,MATCH(E1924,Stores!$A:$A,0)),"Unknown")</f>
        <v>TrendMart Thoothukudi Mall Kiosk</v>
      </c>
      <c r="Y1924" t="str">
        <f>IFERROR(INDEX(Stores!$E:$E,MATCH(E1924,Stores!$A:$A,0)),"Unknown")</f>
        <v>South Zone 1</v>
      </c>
      <c r="Z1924" t="str">
        <f>IFERROR(INDEX(Customers!$J:$J,MATCH(C1924,Customers!$A:$A,0)),"Unknown")</f>
        <v>Regular</v>
      </c>
      <c r="AA1924" t="str">
        <f t="shared" si="30"/>
        <v>2024-10</v>
      </c>
      <c r="AB1924" t="str">
        <f>IFERROR(INDEX(Products!$I:$I,MATCH(D1924,Products!$A:$A,0)),"Unknown")</f>
        <v>SUP001</v>
      </c>
    </row>
    <row r="1925" spans="1:28" x14ac:dyDescent="0.25">
      <c r="A1925" t="s">
        <v>3910</v>
      </c>
      <c r="B1925" s="20">
        <v>45438</v>
      </c>
      <c r="C1925" t="s">
        <v>3178</v>
      </c>
      <c r="D1925" t="s">
        <v>1550</v>
      </c>
      <c r="E1925" t="s">
        <v>741</v>
      </c>
      <c r="F1925" t="s">
        <v>377</v>
      </c>
      <c r="G1925">
        <v>1</v>
      </c>
      <c r="H1925" s="21">
        <v>2674.75</v>
      </c>
      <c r="I1925">
        <v>15</v>
      </c>
      <c r="J1925" s="21">
        <v>401.21</v>
      </c>
      <c r="K1925">
        <v>12</v>
      </c>
      <c r="L1925" s="21">
        <v>272.82</v>
      </c>
      <c r="M1925" s="21">
        <v>2546.36</v>
      </c>
      <c r="N1925" s="21">
        <v>1862.35</v>
      </c>
      <c r="O1925" s="21">
        <v>411.19</v>
      </c>
      <c r="P1925" t="s">
        <v>123</v>
      </c>
      <c r="Q1925" t="s">
        <v>120</v>
      </c>
      <c r="R1925" t="s">
        <v>151</v>
      </c>
      <c r="S1925" t="s">
        <v>1387</v>
      </c>
      <c r="T1925" t="s">
        <v>161</v>
      </c>
      <c r="U1925" t="s">
        <v>154</v>
      </c>
      <c r="V1925" t="str">
        <f>IFERROR(INDEX(Products!$C:$C,MATCH(D1925,Products!$A:$A,0)),"Unknown")</f>
        <v>Footwear</v>
      </c>
      <c r="W1925" t="str">
        <f>IFERROR(INDEX(Products!$E:$E,MATCH(D1925,Products!$A:$A,0)),"Unknown")</f>
        <v>Pothys</v>
      </c>
      <c r="X1925" t="str">
        <f>IFERROR(INDEX(Stores!$B:$B,MATCH(E1925,Stores!$A:$A,0)),"Unknown")</f>
        <v>TrendMart Nellore Mall Kiosk</v>
      </c>
      <c r="Y1925" t="str">
        <f>IFERROR(INDEX(Stores!$E:$E,MATCH(E1925,Stores!$A:$A,0)),"Unknown")</f>
        <v>South Zone 3</v>
      </c>
      <c r="Z1925" t="str">
        <f>IFERROR(INDEX(Customers!$J:$J,MATCH(C1925,Customers!$A:$A,0)),"Unknown")</f>
        <v>Regular</v>
      </c>
      <c r="AA1925" t="str">
        <f t="shared" si="30"/>
        <v>2024-05</v>
      </c>
      <c r="AB1925" t="str">
        <f>IFERROR(INDEX(Products!$I:$I,MATCH(D1925,Products!$A:$A,0)),"Unknown")</f>
        <v>SUP061</v>
      </c>
    </row>
    <row r="1926" spans="1:28" x14ac:dyDescent="0.25">
      <c r="A1926" t="s">
        <v>3911</v>
      </c>
      <c r="B1926" s="20">
        <v>45429</v>
      </c>
      <c r="C1926" t="s">
        <v>2362</v>
      </c>
      <c r="D1926" t="s">
        <v>697</v>
      </c>
      <c r="E1926" t="s">
        <v>914</v>
      </c>
      <c r="F1926" t="s">
        <v>237</v>
      </c>
      <c r="G1926">
        <v>1</v>
      </c>
      <c r="H1926" s="21">
        <v>1051.54</v>
      </c>
      <c r="I1926">
        <v>5</v>
      </c>
      <c r="J1926" s="21">
        <v>52.58</v>
      </c>
      <c r="K1926">
        <v>12</v>
      </c>
      <c r="L1926" s="21">
        <v>119.88</v>
      </c>
      <c r="M1926" s="21">
        <v>1118.8399999999999</v>
      </c>
      <c r="N1926" s="21">
        <v>699.84</v>
      </c>
      <c r="O1926" s="21">
        <v>299.12</v>
      </c>
      <c r="P1926" t="s">
        <v>121</v>
      </c>
      <c r="Q1926" t="s">
        <v>122</v>
      </c>
      <c r="R1926" t="s">
        <v>151</v>
      </c>
      <c r="S1926" t="s">
        <v>3912</v>
      </c>
      <c r="T1926" t="s">
        <v>153</v>
      </c>
      <c r="U1926" t="s">
        <v>154</v>
      </c>
      <c r="V1926" t="str">
        <f>IFERROR(INDEX(Products!$C:$C,MATCH(D1926,Products!$A:$A,0)),"Unknown")</f>
        <v>Women Tops</v>
      </c>
      <c r="W1926" t="str">
        <f>IFERROR(INDEX(Products!$E:$E,MATCH(D1926,Products!$A:$A,0)),"Unknown")</f>
        <v>Nalli Silks</v>
      </c>
      <c r="X1926" t="str">
        <f>IFERROR(INDEX(Stores!$B:$B,MATCH(E1926,Stores!$A:$A,0)),"Unknown")</f>
        <v>TrendMart Thiruvananthapuram Outlet</v>
      </c>
      <c r="Y1926" t="str">
        <f>IFERROR(INDEX(Stores!$E:$E,MATCH(E1926,Stores!$A:$A,0)),"Unknown")</f>
        <v>South Zone 1</v>
      </c>
      <c r="Z1926" t="str">
        <f>IFERROR(INDEX(Customers!$J:$J,MATCH(C1926,Customers!$A:$A,0)),"Unknown")</f>
        <v>Silver</v>
      </c>
      <c r="AA1926" t="str">
        <f t="shared" si="30"/>
        <v>2024-05</v>
      </c>
      <c r="AB1926" t="str">
        <f>IFERROR(INDEX(Products!$I:$I,MATCH(D1926,Products!$A:$A,0)),"Unknown")</f>
        <v>SUP008</v>
      </c>
    </row>
    <row r="1927" spans="1:28" x14ac:dyDescent="0.25">
      <c r="A1927" t="s">
        <v>3913</v>
      </c>
      <c r="B1927" s="20">
        <v>45601</v>
      </c>
      <c r="C1927" t="s">
        <v>586</v>
      </c>
      <c r="D1927" t="s">
        <v>1407</v>
      </c>
      <c r="E1927" t="s">
        <v>910</v>
      </c>
      <c r="F1927" t="s">
        <v>269</v>
      </c>
      <c r="G1927">
        <v>2</v>
      </c>
      <c r="H1927" s="21">
        <v>1129.3699999999999</v>
      </c>
      <c r="I1927">
        <v>0</v>
      </c>
      <c r="J1927" s="21">
        <v>0</v>
      </c>
      <c r="K1927">
        <v>12</v>
      </c>
      <c r="L1927" s="21">
        <v>271.05</v>
      </c>
      <c r="M1927" s="21">
        <v>2529.79</v>
      </c>
      <c r="N1927" s="21">
        <v>1530.46</v>
      </c>
      <c r="O1927" s="21">
        <v>728.28</v>
      </c>
      <c r="P1927" t="s">
        <v>123</v>
      </c>
      <c r="Q1927" t="s">
        <v>120</v>
      </c>
      <c r="R1927" t="s">
        <v>151</v>
      </c>
      <c r="S1927" t="s">
        <v>2256</v>
      </c>
      <c r="T1927" t="s">
        <v>153</v>
      </c>
      <c r="U1927" t="s">
        <v>154</v>
      </c>
      <c r="V1927" t="str">
        <f>IFERROR(INDEX(Products!$C:$C,MATCH(D1927,Products!$A:$A,0)),"Unknown")</f>
        <v>Belts</v>
      </c>
      <c r="W1927" t="str">
        <f>IFERROR(INDEX(Products!$E:$E,MATCH(D1927,Products!$A:$A,0)),"Unknown")</f>
        <v>Pantaloons</v>
      </c>
      <c r="X1927" t="str">
        <f>IFERROR(INDEX(Stores!$B:$B,MATCH(E1927,Stores!$A:$A,0)),"Unknown")</f>
        <v>TrendMart Karimnagar Standard</v>
      </c>
      <c r="Y1927" t="str">
        <f>IFERROR(INDEX(Stores!$E:$E,MATCH(E1927,Stores!$A:$A,0)),"Unknown")</f>
        <v>South Zone 2</v>
      </c>
      <c r="Z1927" t="str">
        <f>IFERROR(INDEX(Customers!$J:$J,MATCH(C1927,Customers!$A:$A,0)),"Unknown")</f>
        <v>Gold</v>
      </c>
      <c r="AA1927" t="str">
        <f t="shared" si="30"/>
        <v>2024-11</v>
      </c>
      <c r="AB1927" t="str">
        <f>IFERROR(INDEX(Products!$I:$I,MATCH(D1927,Products!$A:$A,0)),"Unknown")</f>
        <v>SUP030</v>
      </c>
    </row>
    <row r="1928" spans="1:28" x14ac:dyDescent="0.25">
      <c r="A1928" t="s">
        <v>3914</v>
      </c>
      <c r="B1928" s="20">
        <v>45635</v>
      </c>
      <c r="C1928" t="s">
        <v>1331</v>
      </c>
      <c r="D1928" t="s">
        <v>1224</v>
      </c>
      <c r="E1928" t="s">
        <v>521</v>
      </c>
      <c r="F1928" t="s">
        <v>434</v>
      </c>
      <c r="G1928">
        <v>3</v>
      </c>
      <c r="H1928" s="21">
        <v>1617.03</v>
      </c>
      <c r="I1928">
        <v>0</v>
      </c>
      <c r="J1928" s="21">
        <v>0</v>
      </c>
      <c r="K1928">
        <v>12</v>
      </c>
      <c r="L1928" s="21">
        <v>582.13</v>
      </c>
      <c r="M1928" s="21">
        <v>5433.22</v>
      </c>
      <c r="N1928" s="21">
        <v>3582.42</v>
      </c>
      <c r="O1928" s="21">
        <v>1268.67</v>
      </c>
      <c r="P1928" t="s">
        <v>123</v>
      </c>
      <c r="Q1928" t="s">
        <v>120</v>
      </c>
      <c r="R1928" t="s">
        <v>151</v>
      </c>
      <c r="S1928" t="s">
        <v>3197</v>
      </c>
      <c r="T1928" t="s">
        <v>153</v>
      </c>
      <c r="U1928" t="s">
        <v>154</v>
      </c>
      <c r="V1928" t="str">
        <f>IFERROR(INDEX(Products!$C:$C,MATCH(D1928,Products!$A:$A,0)),"Unknown")</f>
        <v>Men Jeans</v>
      </c>
      <c r="W1928" t="str">
        <f>IFERROR(INDEX(Products!$E:$E,MATCH(D1928,Products!$A:$A,0)),"Unknown")</f>
        <v>Killer Jeans</v>
      </c>
      <c r="X1928" t="str">
        <f>IFERROR(INDEX(Stores!$B:$B,MATCH(E1928,Stores!$A:$A,0)),"Unknown")</f>
        <v>TrendMart Tirupati Standard</v>
      </c>
      <c r="Y1928" t="str">
        <f>IFERROR(INDEX(Stores!$E:$E,MATCH(E1928,Stores!$A:$A,0)),"Unknown")</f>
        <v>South Zone 3</v>
      </c>
      <c r="Z1928" t="str">
        <f>IFERROR(INDEX(Customers!$J:$J,MATCH(C1928,Customers!$A:$A,0)),"Unknown")</f>
        <v>Regular</v>
      </c>
      <c r="AA1928" t="str">
        <f t="shared" si="30"/>
        <v>2024-12</v>
      </c>
      <c r="AB1928" t="str">
        <f>IFERROR(INDEX(Products!$I:$I,MATCH(D1928,Products!$A:$A,0)),"Unknown")</f>
        <v>SUP084</v>
      </c>
    </row>
    <row r="1929" spans="1:28" x14ac:dyDescent="0.25">
      <c r="A1929" t="s">
        <v>3915</v>
      </c>
      <c r="B1929" s="20">
        <v>45416</v>
      </c>
      <c r="C1929" t="s">
        <v>1684</v>
      </c>
      <c r="D1929" t="s">
        <v>415</v>
      </c>
      <c r="E1929" t="s">
        <v>93</v>
      </c>
      <c r="F1929" t="s">
        <v>170</v>
      </c>
      <c r="G1929">
        <v>1</v>
      </c>
      <c r="H1929" s="21">
        <v>1582.5</v>
      </c>
      <c r="I1929">
        <v>10</v>
      </c>
      <c r="J1929" s="21">
        <v>158.25</v>
      </c>
      <c r="K1929">
        <v>12</v>
      </c>
      <c r="L1929" s="21">
        <v>170.91</v>
      </c>
      <c r="M1929" s="21">
        <v>1595.16</v>
      </c>
      <c r="N1929" s="21">
        <v>1047.48</v>
      </c>
      <c r="O1929" s="21">
        <v>376.77</v>
      </c>
      <c r="P1929" t="s">
        <v>124</v>
      </c>
      <c r="Q1929" t="s">
        <v>120</v>
      </c>
      <c r="R1929" t="s">
        <v>151</v>
      </c>
      <c r="S1929" t="s">
        <v>2681</v>
      </c>
      <c r="T1929" t="s">
        <v>161</v>
      </c>
      <c r="U1929" t="s">
        <v>154</v>
      </c>
      <c r="V1929" t="str">
        <f>IFERROR(INDEX(Products!$C:$C,MATCH(D1929,Products!$A:$A,0)),"Unknown")</f>
        <v>Women Jeans</v>
      </c>
      <c r="W1929" t="str">
        <f>IFERROR(INDEX(Products!$E:$E,MATCH(D1929,Products!$A:$A,0)),"Unknown")</f>
        <v>Killer Jeans</v>
      </c>
      <c r="X1929" t="str">
        <f>IFERROR(INDEX(Stores!$B:$B,MATCH(E1929,Stores!$A:$A,0)),"Unknown")</f>
        <v>TrendMart Thiruvananthapuram High Street</v>
      </c>
      <c r="Y1929" t="str">
        <f>IFERROR(INDEX(Stores!$E:$E,MATCH(E1929,Stores!$A:$A,0)),"Unknown")</f>
        <v>South Zone 1</v>
      </c>
      <c r="Z1929" t="str">
        <f>IFERROR(INDEX(Customers!$J:$J,MATCH(C1929,Customers!$A:$A,0)),"Unknown")</f>
        <v>Silver</v>
      </c>
      <c r="AA1929" t="str">
        <f t="shared" si="30"/>
        <v>2024-05</v>
      </c>
      <c r="AB1929" t="str">
        <f>IFERROR(INDEX(Products!$I:$I,MATCH(D1929,Products!$A:$A,0)),"Unknown")</f>
        <v>SUP070</v>
      </c>
    </row>
    <row r="1930" spans="1:28" x14ac:dyDescent="0.25">
      <c r="A1930" t="s">
        <v>3916</v>
      </c>
      <c r="B1930" s="20">
        <v>45566</v>
      </c>
      <c r="C1930" t="s">
        <v>3340</v>
      </c>
      <c r="D1930" t="s">
        <v>1088</v>
      </c>
      <c r="E1930" t="s">
        <v>247</v>
      </c>
      <c r="F1930" t="s">
        <v>397</v>
      </c>
      <c r="G1930">
        <v>1</v>
      </c>
      <c r="H1930" s="21">
        <v>870.49</v>
      </c>
      <c r="I1930">
        <v>20</v>
      </c>
      <c r="J1930" s="21">
        <v>174.1</v>
      </c>
      <c r="K1930">
        <v>5</v>
      </c>
      <c r="L1930" s="21">
        <v>34.82</v>
      </c>
      <c r="M1930" s="21">
        <v>731.21</v>
      </c>
      <c r="N1930" s="21">
        <v>599.28</v>
      </c>
      <c r="O1930" s="21">
        <v>97.11</v>
      </c>
      <c r="P1930" t="s">
        <v>123</v>
      </c>
      <c r="Q1930" t="s">
        <v>120</v>
      </c>
      <c r="R1930" t="s">
        <v>151</v>
      </c>
      <c r="S1930" t="s">
        <v>1910</v>
      </c>
      <c r="T1930" t="s">
        <v>153</v>
      </c>
      <c r="U1930" t="s">
        <v>154</v>
      </c>
      <c r="V1930" t="str">
        <f>IFERROR(INDEX(Products!$C:$C,MATCH(D1930,Products!$A:$A,0)),"Unknown")</f>
        <v>Women Kurtis</v>
      </c>
      <c r="W1930" t="str">
        <f>IFERROR(INDEX(Products!$E:$E,MATCH(D1930,Products!$A:$A,0)),"Unknown")</f>
        <v>Metro Shoes</v>
      </c>
      <c r="X1930" t="str">
        <f>IFERROR(INDEX(Stores!$B:$B,MATCH(E1930,Stores!$A:$A,0)),"Unknown")</f>
        <v>TrendMart Tirupati Outlet</v>
      </c>
      <c r="Y1930" t="str">
        <f>IFERROR(INDEX(Stores!$E:$E,MATCH(E1930,Stores!$A:$A,0)),"Unknown")</f>
        <v>South Zone 3</v>
      </c>
      <c r="Z1930" t="str">
        <f>IFERROR(INDEX(Customers!$J:$J,MATCH(C1930,Customers!$A:$A,0)),"Unknown")</f>
        <v>Gold</v>
      </c>
      <c r="AA1930" t="str">
        <f t="shared" si="30"/>
        <v>2024-10</v>
      </c>
      <c r="AB1930" t="str">
        <f>IFERROR(INDEX(Products!$I:$I,MATCH(D1930,Products!$A:$A,0)),"Unknown")</f>
        <v>SUP045</v>
      </c>
    </row>
    <row r="1931" spans="1:28" x14ac:dyDescent="0.25">
      <c r="A1931" t="s">
        <v>3917</v>
      </c>
      <c r="B1931" s="20">
        <v>45554</v>
      </c>
      <c r="C1931" t="s">
        <v>2437</v>
      </c>
      <c r="D1931" t="s">
        <v>489</v>
      </c>
      <c r="E1931" t="s">
        <v>188</v>
      </c>
      <c r="F1931" t="s">
        <v>443</v>
      </c>
      <c r="G1931">
        <v>3</v>
      </c>
      <c r="H1931" s="21">
        <v>1468.21</v>
      </c>
      <c r="I1931">
        <v>10</v>
      </c>
      <c r="J1931" s="21">
        <v>440.46</v>
      </c>
      <c r="K1931">
        <v>12</v>
      </c>
      <c r="L1931" s="21">
        <v>475.7</v>
      </c>
      <c r="M1931" s="21">
        <v>4439.87</v>
      </c>
      <c r="N1931" s="21">
        <v>3146.13</v>
      </c>
      <c r="O1931" s="21">
        <v>818.04</v>
      </c>
      <c r="P1931" t="s">
        <v>124</v>
      </c>
      <c r="Q1931" t="s">
        <v>120</v>
      </c>
      <c r="R1931" t="s">
        <v>151</v>
      </c>
      <c r="S1931" t="s">
        <v>326</v>
      </c>
      <c r="T1931" t="s">
        <v>153</v>
      </c>
      <c r="U1931" t="s">
        <v>154</v>
      </c>
      <c r="V1931" t="str">
        <f>IFERROR(INDEX(Products!$C:$C,MATCH(D1931,Products!$A:$A,0)),"Unknown")</f>
        <v>Women Jeans</v>
      </c>
      <c r="W1931" t="str">
        <f>IFERROR(INDEX(Products!$E:$E,MATCH(D1931,Products!$A:$A,0)),"Unknown")</f>
        <v>Woodland</v>
      </c>
      <c r="X1931" t="str">
        <f>IFERROR(INDEX(Stores!$B:$B,MATCH(E1931,Stores!$A:$A,0)),"Unknown")</f>
        <v>TrendMart Vijayawada Standard</v>
      </c>
      <c r="Y1931" t="str">
        <f>IFERROR(INDEX(Stores!$E:$E,MATCH(E1931,Stores!$A:$A,0)),"Unknown")</f>
        <v>South Zone 3</v>
      </c>
      <c r="Z1931" t="str">
        <f>IFERROR(INDEX(Customers!$J:$J,MATCH(C1931,Customers!$A:$A,0)),"Unknown")</f>
        <v>Gold</v>
      </c>
      <c r="AA1931" t="str">
        <f t="shared" si="30"/>
        <v>2024-09</v>
      </c>
      <c r="AB1931" t="str">
        <f>IFERROR(INDEX(Products!$I:$I,MATCH(D1931,Products!$A:$A,0)),"Unknown")</f>
        <v>SUP015</v>
      </c>
    </row>
    <row r="1932" spans="1:28" x14ac:dyDescent="0.25">
      <c r="A1932" t="s">
        <v>3918</v>
      </c>
      <c r="B1932" s="20">
        <v>45537</v>
      </c>
      <c r="C1932" t="s">
        <v>1430</v>
      </c>
      <c r="D1932" t="s">
        <v>2759</v>
      </c>
      <c r="E1932" t="s">
        <v>360</v>
      </c>
      <c r="F1932" t="s">
        <v>532</v>
      </c>
      <c r="G1932">
        <v>1</v>
      </c>
      <c r="H1932" s="21">
        <v>661.34</v>
      </c>
      <c r="I1932">
        <v>30</v>
      </c>
      <c r="J1932" s="21">
        <v>198.4</v>
      </c>
      <c r="K1932">
        <v>5</v>
      </c>
      <c r="L1932" s="21">
        <v>23.15</v>
      </c>
      <c r="M1932" s="21">
        <v>486.09</v>
      </c>
      <c r="N1932" s="21">
        <v>403.9</v>
      </c>
      <c r="O1932" s="21">
        <v>59.04</v>
      </c>
      <c r="P1932" t="s">
        <v>121</v>
      </c>
      <c r="Q1932" t="s">
        <v>122</v>
      </c>
      <c r="R1932" t="s">
        <v>151</v>
      </c>
      <c r="S1932" t="s">
        <v>3138</v>
      </c>
      <c r="T1932" t="s">
        <v>153</v>
      </c>
      <c r="U1932" t="s">
        <v>154</v>
      </c>
      <c r="V1932" t="str">
        <f>IFERROR(INDEX(Products!$C:$C,MATCH(D1932,Products!$A:$A,0)),"Unknown")</f>
        <v>Men T-Shirts</v>
      </c>
      <c r="W1932" t="str">
        <f>IFERROR(INDEX(Products!$E:$E,MATCH(D1932,Products!$A:$A,0)),"Unknown")</f>
        <v>Libas</v>
      </c>
      <c r="X1932" t="str">
        <f>IFERROR(INDEX(Stores!$B:$B,MATCH(E1932,Stores!$A:$A,0)),"Unknown")</f>
        <v>TrendMart Kochi Standard</v>
      </c>
      <c r="Y1932" t="str">
        <f>IFERROR(INDEX(Stores!$E:$E,MATCH(E1932,Stores!$A:$A,0)),"Unknown")</f>
        <v>South Zone 1</v>
      </c>
      <c r="Z1932" t="str">
        <f>IFERROR(INDEX(Customers!$J:$J,MATCH(C1932,Customers!$A:$A,0)),"Unknown")</f>
        <v>Regular</v>
      </c>
      <c r="AA1932" t="str">
        <f t="shared" si="30"/>
        <v>2024-09</v>
      </c>
      <c r="AB1932" t="str">
        <f>IFERROR(INDEX(Products!$I:$I,MATCH(D1932,Products!$A:$A,0)),"Unknown")</f>
        <v>SUP041</v>
      </c>
    </row>
    <row r="1933" spans="1:28" x14ac:dyDescent="0.25">
      <c r="A1933" t="s">
        <v>3919</v>
      </c>
      <c r="B1933" s="20">
        <v>45619</v>
      </c>
      <c r="C1933" t="s">
        <v>1383</v>
      </c>
      <c r="D1933" t="s">
        <v>545</v>
      </c>
      <c r="E1933" t="s">
        <v>1023</v>
      </c>
      <c r="F1933" t="s">
        <v>297</v>
      </c>
      <c r="G1933">
        <v>1</v>
      </c>
      <c r="H1933" s="21">
        <v>1474.45</v>
      </c>
      <c r="I1933">
        <v>10</v>
      </c>
      <c r="J1933" s="21">
        <v>147.44</v>
      </c>
      <c r="K1933">
        <v>12</v>
      </c>
      <c r="L1933" s="21">
        <v>159.24</v>
      </c>
      <c r="M1933" s="21">
        <v>1486.25</v>
      </c>
      <c r="N1933" s="21">
        <v>834.96</v>
      </c>
      <c r="O1933" s="21">
        <v>492.05</v>
      </c>
      <c r="P1933" t="s">
        <v>121</v>
      </c>
      <c r="Q1933" t="s">
        <v>120</v>
      </c>
      <c r="R1933" t="s">
        <v>151</v>
      </c>
      <c r="S1933" t="s">
        <v>2358</v>
      </c>
      <c r="T1933" t="s">
        <v>161</v>
      </c>
      <c r="U1933" t="s">
        <v>154</v>
      </c>
      <c r="V1933" t="str">
        <f>IFERROR(INDEX(Products!$C:$C,MATCH(D1933,Products!$A:$A,0)),"Unknown")</f>
        <v>Women Jeans</v>
      </c>
      <c r="W1933" t="str">
        <f>IFERROR(INDEX(Products!$E:$E,MATCH(D1933,Products!$A:$A,0)),"Unknown")</f>
        <v>US Polo Assn</v>
      </c>
      <c r="X1933" t="str">
        <f>IFERROR(INDEX(Stores!$B:$B,MATCH(E1933,Stores!$A:$A,0)),"Unknown")</f>
        <v>TrendMart Kochi High Street</v>
      </c>
      <c r="Y1933" t="str">
        <f>IFERROR(INDEX(Stores!$E:$E,MATCH(E1933,Stores!$A:$A,0)),"Unknown")</f>
        <v>South Zone 1</v>
      </c>
      <c r="Z1933" t="str">
        <f>IFERROR(INDEX(Customers!$J:$J,MATCH(C1933,Customers!$A:$A,0)),"Unknown")</f>
        <v>Silver</v>
      </c>
      <c r="AA1933" t="str">
        <f t="shared" si="30"/>
        <v>2024-11</v>
      </c>
      <c r="AB1933" t="str">
        <f>IFERROR(INDEX(Products!$I:$I,MATCH(D1933,Products!$A:$A,0)),"Unknown")</f>
        <v>SUP041</v>
      </c>
    </row>
    <row r="1934" spans="1:28" x14ac:dyDescent="0.25">
      <c r="A1934" t="s">
        <v>3920</v>
      </c>
      <c r="B1934" s="20">
        <v>45645</v>
      </c>
      <c r="C1934" t="s">
        <v>1324</v>
      </c>
      <c r="D1934" t="s">
        <v>670</v>
      </c>
      <c r="E1934" t="s">
        <v>810</v>
      </c>
      <c r="F1934" t="s">
        <v>211</v>
      </c>
      <c r="G1934">
        <v>2</v>
      </c>
      <c r="H1934" s="21">
        <v>1968.49</v>
      </c>
      <c r="I1934">
        <v>10</v>
      </c>
      <c r="J1934" s="21">
        <v>393.7</v>
      </c>
      <c r="K1934">
        <v>12</v>
      </c>
      <c r="L1934" s="21">
        <v>425.19</v>
      </c>
      <c r="M1934" s="21">
        <v>3968.47</v>
      </c>
      <c r="N1934" s="21">
        <v>2756.76</v>
      </c>
      <c r="O1934" s="21">
        <v>786.52</v>
      </c>
      <c r="P1934" t="s">
        <v>121</v>
      </c>
      <c r="Q1934" t="s">
        <v>122</v>
      </c>
      <c r="R1934" t="s">
        <v>151</v>
      </c>
      <c r="S1934" t="s">
        <v>2296</v>
      </c>
      <c r="T1934" t="s">
        <v>153</v>
      </c>
      <c r="U1934" t="s">
        <v>154</v>
      </c>
      <c r="V1934" t="str">
        <f>IFERROR(INDEX(Products!$C:$C,MATCH(D1934,Products!$A:$A,0)),"Unknown")</f>
        <v>Women Sarees</v>
      </c>
      <c r="W1934" t="str">
        <f>IFERROR(INDEX(Products!$E:$E,MATCH(D1934,Products!$A:$A,0)),"Unknown")</f>
        <v>Reebok</v>
      </c>
      <c r="X1934" t="str">
        <f>IFERROR(INDEX(Stores!$B:$B,MATCH(E1934,Stores!$A:$A,0)),"Unknown")</f>
        <v>TrendMart Nizamabad Standard</v>
      </c>
      <c r="Y1934" t="str">
        <f>IFERROR(INDEX(Stores!$E:$E,MATCH(E1934,Stores!$A:$A,0)),"Unknown")</f>
        <v>South Zone 2</v>
      </c>
      <c r="Z1934" t="str">
        <f>IFERROR(INDEX(Customers!$J:$J,MATCH(C1934,Customers!$A:$A,0)),"Unknown")</f>
        <v>Silver</v>
      </c>
      <c r="AA1934" t="str">
        <f t="shared" si="30"/>
        <v>2024-12</v>
      </c>
      <c r="AB1934" t="str">
        <f>IFERROR(INDEX(Products!$I:$I,MATCH(D1934,Products!$A:$A,0)),"Unknown")</f>
        <v>SUP073</v>
      </c>
    </row>
    <row r="1935" spans="1:28" x14ac:dyDescent="0.25">
      <c r="A1935" t="s">
        <v>3921</v>
      </c>
      <c r="B1935" s="20">
        <v>45526</v>
      </c>
      <c r="C1935" t="s">
        <v>446</v>
      </c>
      <c r="D1935" t="s">
        <v>1156</v>
      </c>
      <c r="E1935" t="s">
        <v>823</v>
      </c>
      <c r="F1935" t="s">
        <v>170</v>
      </c>
      <c r="G1935">
        <v>0</v>
      </c>
      <c r="H1935" s="21">
        <v>611.83000000000004</v>
      </c>
      <c r="I1935">
        <v>0</v>
      </c>
      <c r="J1935" s="21">
        <v>0</v>
      </c>
      <c r="K1935">
        <v>5</v>
      </c>
      <c r="L1935" s="21">
        <v>0</v>
      </c>
      <c r="M1935" s="21">
        <v>0</v>
      </c>
      <c r="N1935" s="21">
        <v>0</v>
      </c>
      <c r="O1935" s="21">
        <v>0</v>
      </c>
      <c r="P1935" t="s">
        <v>121</v>
      </c>
      <c r="Q1935" t="s">
        <v>120</v>
      </c>
      <c r="R1935" t="s">
        <v>482</v>
      </c>
      <c r="S1935" t="s">
        <v>928</v>
      </c>
      <c r="T1935" t="s">
        <v>153</v>
      </c>
      <c r="U1935" t="s">
        <v>154</v>
      </c>
      <c r="V1935" t="str">
        <f>IFERROR(INDEX(Products!$C:$C,MATCH(D1935,Products!$A:$A,0)),"Unknown")</f>
        <v>Kids Wear</v>
      </c>
      <c r="W1935" t="str">
        <f>IFERROR(INDEX(Products!$E:$E,MATCH(D1935,Products!$A:$A,0)),"Unknown")</f>
        <v>Allen Solly</v>
      </c>
      <c r="X1935" t="str">
        <f>IFERROR(INDEX(Stores!$B:$B,MATCH(E1935,Stores!$A:$A,0)),"Unknown")</f>
        <v>TrendMart Thoothukudi Mall Kiosk</v>
      </c>
      <c r="Y1935" t="str">
        <f>IFERROR(INDEX(Stores!$E:$E,MATCH(E1935,Stores!$A:$A,0)),"Unknown")</f>
        <v>South Zone 1</v>
      </c>
      <c r="Z1935" t="str">
        <f>IFERROR(INDEX(Customers!$J:$J,MATCH(C1935,Customers!$A:$A,0)),"Unknown")</f>
        <v>Platinum</v>
      </c>
      <c r="AA1935" t="str">
        <f t="shared" si="30"/>
        <v>2024-08</v>
      </c>
      <c r="AB1935" t="str">
        <f>IFERROR(INDEX(Products!$I:$I,MATCH(D1935,Products!$A:$A,0)),"Unknown")</f>
        <v>SUP026</v>
      </c>
    </row>
    <row r="1936" spans="1:28" x14ac:dyDescent="0.25">
      <c r="A1936" t="s">
        <v>3922</v>
      </c>
      <c r="B1936" s="20">
        <v>45561</v>
      </c>
      <c r="C1936" t="s">
        <v>3123</v>
      </c>
      <c r="D1936" t="s">
        <v>1071</v>
      </c>
      <c r="E1936" t="s">
        <v>671</v>
      </c>
      <c r="F1936" t="s">
        <v>532</v>
      </c>
      <c r="G1936">
        <v>2</v>
      </c>
      <c r="H1936" s="21">
        <v>2109.69</v>
      </c>
      <c r="I1936">
        <v>30</v>
      </c>
      <c r="J1936" s="21">
        <v>1265.81</v>
      </c>
      <c r="K1936">
        <v>12</v>
      </c>
      <c r="L1936" s="21">
        <v>354.43</v>
      </c>
      <c r="M1936" s="21">
        <v>3308</v>
      </c>
      <c r="N1936" s="21">
        <v>3084.46</v>
      </c>
      <c r="O1936" s="21">
        <v>-130.88999999999999</v>
      </c>
      <c r="P1936" t="s">
        <v>121</v>
      </c>
      <c r="Q1936" t="s">
        <v>122</v>
      </c>
      <c r="R1936" t="s">
        <v>151</v>
      </c>
      <c r="S1936" t="s">
        <v>3022</v>
      </c>
      <c r="T1936" t="s">
        <v>153</v>
      </c>
      <c r="U1936" t="s">
        <v>184</v>
      </c>
      <c r="V1936" t="str">
        <f>IFERROR(INDEX(Products!$C:$C,MATCH(D1936,Products!$A:$A,0)),"Unknown")</f>
        <v>Footwear</v>
      </c>
      <c r="W1936" t="str">
        <f>IFERROR(INDEX(Products!$E:$E,MATCH(D1936,Products!$A:$A,0)),"Unknown")</f>
        <v>Max Fashion</v>
      </c>
      <c r="X1936" t="str">
        <f>IFERROR(INDEX(Stores!$B:$B,MATCH(E1936,Stores!$A:$A,0)),"Unknown")</f>
        <v>TrendMart Hyderabad Mall Kiosk</v>
      </c>
      <c r="Y1936" t="str">
        <f>IFERROR(INDEX(Stores!$E:$E,MATCH(E1936,Stores!$A:$A,0)),"Unknown")</f>
        <v>South Zone 2</v>
      </c>
      <c r="Z1936" t="str">
        <f>IFERROR(INDEX(Customers!$J:$J,MATCH(C1936,Customers!$A:$A,0)),"Unknown")</f>
        <v>Silver</v>
      </c>
      <c r="AA1936" t="str">
        <f t="shared" si="30"/>
        <v>2024-09</v>
      </c>
      <c r="AB1936" t="str">
        <f>IFERROR(INDEX(Products!$I:$I,MATCH(D1936,Products!$A:$A,0)),"Unknown")</f>
        <v>SUP039</v>
      </c>
    </row>
    <row r="1937" spans="1:28" x14ac:dyDescent="0.25">
      <c r="A1937" t="s">
        <v>3923</v>
      </c>
      <c r="B1937" s="20">
        <v>45548</v>
      </c>
      <c r="C1937" t="s">
        <v>1181</v>
      </c>
      <c r="D1937" t="s">
        <v>1668</v>
      </c>
      <c r="E1937" t="s">
        <v>351</v>
      </c>
      <c r="F1937" t="s">
        <v>382</v>
      </c>
      <c r="G1937">
        <v>4</v>
      </c>
      <c r="H1937" s="21">
        <v>1347.96</v>
      </c>
      <c r="I1937">
        <v>25</v>
      </c>
      <c r="J1937" s="21">
        <v>1347.96</v>
      </c>
      <c r="K1937">
        <v>12</v>
      </c>
      <c r="L1937" s="21">
        <v>485.27</v>
      </c>
      <c r="M1937" s="21">
        <v>4529.1499999999996</v>
      </c>
      <c r="N1937" s="21">
        <v>3573.48</v>
      </c>
      <c r="O1937" s="21">
        <v>470.4</v>
      </c>
      <c r="P1937" t="s">
        <v>124</v>
      </c>
      <c r="Q1937" t="s">
        <v>120</v>
      </c>
      <c r="R1937" t="s">
        <v>151</v>
      </c>
      <c r="S1937" t="s">
        <v>2619</v>
      </c>
      <c r="T1937" t="s">
        <v>153</v>
      </c>
      <c r="U1937" t="s">
        <v>154</v>
      </c>
      <c r="V1937" t="str">
        <f>IFERROR(INDEX(Products!$C:$C,MATCH(D1937,Products!$A:$A,0)),"Unknown")</f>
        <v>Women Kurtis</v>
      </c>
      <c r="W1937" t="str">
        <f>IFERROR(INDEX(Products!$E:$E,MATCH(D1937,Products!$A:$A,0)),"Unknown")</f>
        <v>Liberty</v>
      </c>
      <c r="X1937" t="str">
        <f>IFERROR(INDEX(Stores!$B:$B,MATCH(E1937,Stores!$A:$A,0)),"Unknown")</f>
        <v>TrendMart Kozhikode High Street</v>
      </c>
      <c r="Y1937" t="str">
        <f>IFERROR(INDEX(Stores!$E:$E,MATCH(E1937,Stores!$A:$A,0)),"Unknown")</f>
        <v>South Zone 1</v>
      </c>
      <c r="Z1937" t="str">
        <f>IFERROR(INDEX(Customers!$J:$J,MATCH(C1937,Customers!$A:$A,0)),"Unknown")</f>
        <v>Gold</v>
      </c>
      <c r="AA1937" t="str">
        <f t="shared" si="30"/>
        <v>2024-09</v>
      </c>
      <c r="AB1937" t="str">
        <f>IFERROR(INDEX(Products!$I:$I,MATCH(D1937,Products!$A:$A,0)),"Unknown")</f>
        <v>SUP022</v>
      </c>
    </row>
    <row r="1938" spans="1:28" x14ac:dyDescent="0.25">
      <c r="A1938" t="s">
        <v>3924</v>
      </c>
      <c r="B1938" s="20">
        <v>45678</v>
      </c>
      <c r="C1938" t="s">
        <v>3925</v>
      </c>
      <c r="D1938" t="s">
        <v>2597</v>
      </c>
      <c r="E1938" t="s">
        <v>525</v>
      </c>
      <c r="F1938" t="s">
        <v>221</v>
      </c>
      <c r="G1938">
        <v>4</v>
      </c>
      <c r="H1938" s="21">
        <v>845.97</v>
      </c>
      <c r="I1938">
        <v>25</v>
      </c>
      <c r="J1938" s="21">
        <v>845.97</v>
      </c>
      <c r="K1938">
        <v>5</v>
      </c>
      <c r="L1938" s="21">
        <v>126.9</v>
      </c>
      <c r="M1938" s="21">
        <v>2664.81</v>
      </c>
      <c r="N1938" s="21">
        <v>2302.88</v>
      </c>
      <c r="O1938" s="21">
        <v>235.03</v>
      </c>
      <c r="P1938" t="s">
        <v>125</v>
      </c>
      <c r="Q1938" t="s">
        <v>120</v>
      </c>
      <c r="R1938" t="s">
        <v>151</v>
      </c>
      <c r="S1938" t="s">
        <v>764</v>
      </c>
      <c r="T1938" t="s">
        <v>153</v>
      </c>
      <c r="U1938" t="s">
        <v>154</v>
      </c>
      <c r="V1938" t="str">
        <f>IFERROR(INDEX(Products!$C:$C,MATCH(D1938,Products!$A:$A,0)),"Unknown")</f>
        <v>Men Trousers</v>
      </c>
      <c r="W1938" t="str">
        <f>IFERROR(INDEX(Products!$E:$E,MATCH(D1938,Products!$A:$A,0)),"Unknown")</f>
        <v>Peter England</v>
      </c>
      <c r="X1938" t="str">
        <f>IFERROR(INDEX(Stores!$B:$B,MATCH(E1938,Stores!$A:$A,0)),"Unknown")</f>
        <v>TrendMart Kollam Standard</v>
      </c>
      <c r="Y1938" t="str">
        <f>IFERROR(INDEX(Stores!$E:$E,MATCH(E1938,Stores!$A:$A,0)),"Unknown")</f>
        <v>South Zone 1</v>
      </c>
      <c r="Z1938" t="str">
        <f>IFERROR(INDEX(Customers!$J:$J,MATCH(C1938,Customers!$A:$A,0)),"Unknown")</f>
        <v>Gold</v>
      </c>
      <c r="AA1938" t="str">
        <f t="shared" si="30"/>
        <v>2025-01</v>
      </c>
      <c r="AB1938" t="str">
        <f>IFERROR(INDEX(Products!$I:$I,MATCH(D1938,Products!$A:$A,0)),"Unknown")</f>
        <v>SUP008</v>
      </c>
    </row>
    <row r="1939" spans="1:28" x14ac:dyDescent="0.25">
      <c r="A1939" t="s">
        <v>3926</v>
      </c>
      <c r="B1939" s="20">
        <v>45397</v>
      </c>
      <c r="C1939" t="s">
        <v>3852</v>
      </c>
      <c r="D1939" t="s">
        <v>949</v>
      </c>
      <c r="E1939" t="s">
        <v>910</v>
      </c>
      <c r="F1939" t="s">
        <v>182</v>
      </c>
      <c r="G1939">
        <v>3</v>
      </c>
      <c r="H1939" s="21">
        <v>1451.98</v>
      </c>
      <c r="I1939">
        <v>30</v>
      </c>
      <c r="J1939" s="21">
        <v>1306.78</v>
      </c>
      <c r="K1939">
        <v>12</v>
      </c>
      <c r="L1939" s="21">
        <v>365.9</v>
      </c>
      <c r="M1939" s="21">
        <v>3415.06</v>
      </c>
      <c r="N1939" s="21">
        <v>2965.71</v>
      </c>
      <c r="O1939" s="21">
        <v>83.45</v>
      </c>
      <c r="P1939" t="s">
        <v>125</v>
      </c>
      <c r="Q1939" t="s">
        <v>120</v>
      </c>
      <c r="R1939" t="s">
        <v>151</v>
      </c>
      <c r="S1939" t="s">
        <v>152</v>
      </c>
      <c r="T1939" t="s">
        <v>153</v>
      </c>
      <c r="U1939" t="s">
        <v>154</v>
      </c>
      <c r="V1939" t="str">
        <f>IFERROR(INDEX(Products!$C:$C,MATCH(D1939,Products!$A:$A,0)),"Unknown")</f>
        <v>Handbags</v>
      </c>
      <c r="W1939" t="str">
        <f>IFERROR(INDEX(Products!$E:$E,MATCH(D1939,Products!$A:$A,0)),"Unknown")</f>
        <v>Fastrack</v>
      </c>
      <c r="X1939" t="str">
        <f>IFERROR(INDEX(Stores!$B:$B,MATCH(E1939,Stores!$A:$A,0)),"Unknown")</f>
        <v>TrendMart Karimnagar Standard</v>
      </c>
      <c r="Y1939" t="str">
        <f>IFERROR(INDEX(Stores!$E:$E,MATCH(E1939,Stores!$A:$A,0)),"Unknown")</f>
        <v>South Zone 2</v>
      </c>
      <c r="Z1939" t="str">
        <f>IFERROR(INDEX(Customers!$J:$J,MATCH(C1939,Customers!$A:$A,0)),"Unknown")</f>
        <v>Gold</v>
      </c>
      <c r="AA1939" t="str">
        <f t="shared" si="30"/>
        <v>2024-04</v>
      </c>
      <c r="AB1939" t="str">
        <f>IFERROR(INDEX(Products!$I:$I,MATCH(D1939,Products!$A:$A,0)),"Unknown")</f>
        <v>SUP069</v>
      </c>
    </row>
    <row r="1940" spans="1:28" x14ac:dyDescent="0.25">
      <c r="A1940" t="s">
        <v>3927</v>
      </c>
      <c r="B1940" s="20">
        <v>45737</v>
      </c>
      <c r="C1940" t="s">
        <v>450</v>
      </c>
      <c r="D1940" t="s">
        <v>312</v>
      </c>
      <c r="E1940" t="s">
        <v>721</v>
      </c>
      <c r="F1940" t="s">
        <v>443</v>
      </c>
      <c r="G1940">
        <v>3</v>
      </c>
      <c r="H1940" s="21">
        <v>1173.98</v>
      </c>
      <c r="I1940">
        <v>5</v>
      </c>
      <c r="J1940" s="21">
        <v>176.1</v>
      </c>
      <c r="K1940">
        <v>12</v>
      </c>
      <c r="L1940" s="21">
        <v>401.5</v>
      </c>
      <c r="M1940" s="21">
        <v>3747.34</v>
      </c>
      <c r="N1940" s="21">
        <v>2597.7600000000002</v>
      </c>
      <c r="O1940" s="21">
        <v>748.08</v>
      </c>
      <c r="P1940" t="s">
        <v>125</v>
      </c>
      <c r="Q1940" t="s">
        <v>120</v>
      </c>
      <c r="R1940" t="s">
        <v>151</v>
      </c>
      <c r="S1940" t="s">
        <v>1975</v>
      </c>
      <c r="T1940" t="s">
        <v>153</v>
      </c>
      <c r="U1940" t="s">
        <v>154</v>
      </c>
      <c r="V1940" t="str">
        <f>IFERROR(INDEX(Products!$C:$C,MATCH(D1940,Products!$A:$A,0)),"Unknown")</f>
        <v>Handbags</v>
      </c>
      <c r="W1940" t="str">
        <f>IFERROR(INDEX(Products!$E:$E,MATCH(D1940,Products!$A:$A,0)),"Unknown")</f>
        <v>Wrangler</v>
      </c>
      <c r="X1940" t="str">
        <f>IFERROR(INDEX(Stores!$B:$B,MATCH(E1940,Stores!$A:$A,0)),"Unknown")</f>
        <v>TrendMart Kollam Flagship</v>
      </c>
      <c r="Y1940" t="str">
        <f>IFERROR(INDEX(Stores!$E:$E,MATCH(E1940,Stores!$A:$A,0)),"Unknown")</f>
        <v>South Zone 1</v>
      </c>
      <c r="Z1940" t="str">
        <f>IFERROR(INDEX(Customers!$J:$J,MATCH(C1940,Customers!$A:$A,0)),"Unknown")</f>
        <v>Platinum</v>
      </c>
      <c r="AA1940" t="str">
        <f t="shared" si="30"/>
        <v>2025-03</v>
      </c>
      <c r="AB1940" t="str">
        <f>IFERROR(INDEX(Products!$I:$I,MATCH(D1940,Products!$A:$A,0)),"Unknown")</f>
        <v>SUP008</v>
      </c>
    </row>
    <row r="1941" spans="1:28" x14ac:dyDescent="0.25">
      <c r="A1941" t="s">
        <v>3928</v>
      </c>
      <c r="B1941" s="20">
        <v>45600</v>
      </c>
      <c r="C1941" t="s">
        <v>3131</v>
      </c>
      <c r="D1941" t="s">
        <v>1877</v>
      </c>
      <c r="E1941" t="s">
        <v>506</v>
      </c>
      <c r="F1941" t="s">
        <v>408</v>
      </c>
      <c r="G1941">
        <v>3</v>
      </c>
      <c r="H1941" s="21">
        <v>1801.1</v>
      </c>
      <c r="I1941">
        <v>5</v>
      </c>
      <c r="J1941" s="21">
        <v>270.17</v>
      </c>
      <c r="K1941">
        <v>12</v>
      </c>
      <c r="L1941" s="21">
        <v>615.98</v>
      </c>
      <c r="M1941" s="21">
        <v>5749.11</v>
      </c>
      <c r="N1941" s="21">
        <v>3994.65</v>
      </c>
      <c r="O1941" s="21">
        <v>1138.48</v>
      </c>
      <c r="P1941" t="s">
        <v>124</v>
      </c>
      <c r="Q1941" t="s">
        <v>122</v>
      </c>
      <c r="R1941" t="s">
        <v>151</v>
      </c>
      <c r="S1941" t="s">
        <v>1384</v>
      </c>
      <c r="T1941" t="s">
        <v>153</v>
      </c>
      <c r="U1941" t="s">
        <v>154</v>
      </c>
      <c r="V1941" t="str">
        <f>IFERROR(INDEX(Products!$C:$C,MATCH(D1941,Products!$A:$A,0)),"Unknown")</f>
        <v>Women Sarees</v>
      </c>
      <c r="W1941" t="str">
        <f>IFERROR(INDEX(Products!$E:$E,MATCH(D1941,Products!$A:$A,0)),"Unknown")</f>
        <v>Sonata</v>
      </c>
      <c r="X1941" t="str">
        <f>IFERROR(INDEX(Stores!$B:$B,MATCH(E1941,Stores!$A:$A,0)),"Unknown")</f>
        <v>TrendMart Nellore High Street</v>
      </c>
      <c r="Y1941" t="str">
        <f>IFERROR(INDEX(Stores!$E:$E,MATCH(E1941,Stores!$A:$A,0)),"Unknown")</f>
        <v>South Zone 3</v>
      </c>
      <c r="Z1941" t="str">
        <f>IFERROR(INDEX(Customers!$J:$J,MATCH(C1941,Customers!$A:$A,0)),"Unknown")</f>
        <v>Silver</v>
      </c>
      <c r="AA1941" t="str">
        <f t="shared" si="30"/>
        <v>2024-11</v>
      </c>
      <c r="AB1941" t="str">
        <f>IFERROR(INDEX(Products!$I:$I,MATCH(D1941,Products!$A:$A,0)),"Unknown")</f>
        <v>SUP073</v>
      </c>
    </row>
    <row r="1942" spans="1:28" x14ac:dyDescent="0.25">
      <c r="A1942" t="s">
        <v>3929</v>
      </c>
      <c r="B1942" s="20">
        <v>45393</v>
      </c>
      <c r="C1942" t="s">
        <v>1239</v>
      </c>
      <c r="D1942" t="s">
        <v>805</v>
      </c>
      <c r="E1942" t="s">
        <v>511</v>
      </c>
      <c r="F1942" t="s">
        <v>150</v>
      </c>
      <c r="G1942">
        <v>1</v>
      </c>
      <c r="H1942" s="21">
        <v>1071.3499999999999</v>
      </c>
      <c r="I1942">
        <v>20</v>
      </c>
      <c r="J1942" s="21">
        <v>214.27</v>
      </c>
      <c r="K1942">
        <v>12</v>
      </c>
      <c r="L1942" s="21">
        <v>102.85</v>
      </c>
      <c r="M1942" s="21">
        <v>959.93</v>
      </c>
      <c r="N1942" s="21">
        <v>583.86</v>
      </c>
      <c r="O1942" s="21">
        <v>273.22000000000003</v>
      </c>
      <c r="P1942" t="s">
        <v>123</v>
      </c>
      <c r="Q1942" t="s">
        <v>122</v>
      </c>
      <c r="R1942" t="s">
        <v>151</v>
      </c>
      <c r="S1942" t="s">
        <v>3930</v>
      </c>
      <c r="T1942" t="s">
        <v>153</v>
      </c>
      <c r="U1942" t="s">
        <v>154</v>
      </c>
      <c r="V1942" t="str">
        <f>IFERROR(INDEX(Products!$C:$C,MATCH(D1942,Products!$A:$A,0)),"Unknown")</f>
        <v>Accessories</v>
      </c>
      <c r="W1942" t="str">
        <f>IFERROR(INDEX(Products!$E:$E,MATCH(D1942,Products!$A:$A,0)),"Unknown")</f>
        <v>Being Human</v>
      </c>
      <c r="X1942" t="str">
        <f>IFERROR(INDEX(Stores!$B:$B,MATCH(E1942,Stores!$A:$A,0)),"Unknown")</f>
        <v>TrendMart Khammam Standard</v>
      </c>
      <c r="Y1942" t="str">
        <f>IFERROR(INDEX(Stores!$E:$E,MATCH(E1942,Stores!$A:$A,0)),"Unknown")</f>
        <v>South Zone 2</v>
      </c>
      <c r="Z1942" t="str">
        <f>IFERROR(INDEX(Customers!$J:$J,MATCH(C1942,Customers!$A:$A,0)),"Unknown")</f>
        <v>Silver</v>
      </c>
      <c r="AA1942" t="str">
        <f t="shared" si="30"/>
        <v>2024-04</v>
      </c>
      <c r="AB1942" t="str">
        <f>IFERROR(INDEX(Products!$I:$I,MATCH(D1942,Products!$A:$A,0)),"Unknown")</f>
        <v>SUP069</v>
      </c>
    </row>
    <row r="1943" spans="1:28" x14ac:dyDescent="0.25">
      <c r="A1943" t="s">
        <v>3931</v>
      </c>
      <c r="B1943" s="20">
        <v>45547</v>
      </c>
      <c r="C1943" t="s">
        <v>3932</v>
      </c>
      <c r="D1943" t="s">
        <v>1140</v>
      </c>
      <c r="E1943" t="s">
        <v>451</v>
      </c>
      <c r="F1943" t="s">
        <v>292</v>
      </c>
      <c r="G1943">
        <v>2</v>
      </c>
      <c r="H1943" s="21">
        <v>1360.64</v>
      </c>
      <c r="I1943">
        <v>10</v>
      </c>
      <c r="J1943" s="21">
        <v>272.13</v>
      </c>
      <c r="K1943">
        <v>12</v>
      </c>
      <c r="L1943" s="21">
        <v>293.89999999999998</v>
      </c>
      <c r="M1943" s="21">
        <v>2743.05</v>
      </c>
      <c r="N1943" s="21">
        <v>1789.36</v>
      </c>
      <c r="O1943" s="21">
        <v>659.79</v>
      </c>
      <c r="P1943" t="s">
        <v>124</v>
      </c>
      <c r="Q1943" t="s">
        <v>120</v>
      </c>
      <c r="R1943" t="s">
        <v>151</v>
      </c>
      <c r="S1943" t="s">
        <v>2272</v>
      </c>
      <c r="T1943" t="s">
        <v>153</v>
      </c>
      <c r="U1943" t="s">
        <v>154</v>
      </c>
      <c r="V1943" t="str">
        <f>IFERROR(INDEX(Products!$C:$C,MATCH(D1943,Products!$A:$A,0)),"Unknown")</f>
        <v>Sportswear</v>
      </c>
      <c r="W1943" t="str">
        <f>IFERROR(INDEX(Products!$E:$E,MATCH(D1943,Products!$A:$A,0)),"Unknown")</f>
        <v>Bata</v>
      </c>
      <c r="X1943" t="str">
        <f>IFERROR(INDEX(Stores!$B:$B,MATCH(E1943,Stores!$A:$A,0)),"Unknown")</f>
        <v>TrendMart Thoothukudi High Street</v>
      </c>
      <c r="Y1943" t="str">
        <f>IFERROR(INDEX(Stores!$E:$E,MATCH(E1943,Stores!$A:$A,0)),"Unknown")</f>
        <v>South Zone 1</v>
      </c>
      <c r="Z1943" t="str">
        <f>IFERROR(INDEX(Customers!$J:$J,MATCH(C1943,Customers!$A:$A,0)),"Unknown")</f>
        <v>Platinum</v>
      </c>
      <c r="AA1943" t="str">
        <f t="shared" si="30"/>
        <v>2024-09</v>
      </c>
      <c r="AB1943" t="str">
        <f>IFERROR(INDEX(Products!$I:$I,MATCH(D1943,Products!$A:$A,0)),"Unknown")</f>
        <v>SUP065</v>
      </c>
    </row>
    <row r="1944" spans="1:28" x14ac:dyDescent="0.25">
      <c r="A1944" t="s">
        <v>3933</v>
      </c>
      <c r="B1944" s="20">
        <v>45618</v>
      </c>
      <c r="C1944" t="s">
        <v>2458</v>
      </c>
      <c r="D1944" t="s">
        <v>301</v>
      </c>
      <c r="E1944" t="s">
        <v>95</v>
      </c>
      <c r="F1944" t="s">
        <v>221</v>
      </c>
      <c r="G1944">
        <v>1</v>
      </c>
      <c r="H1944" s="21">
        <v>1533.42</v>
      </c>
      <c r="I1944">
        <v>25</v>
      </c>
      <c r="J1944" s="21">
        <v>383.36</v>
      </c>
      <c r="K1944">
        <v>12</v>
      </c>
      <c r="L1944" s="21">
        <v>138.01</v>
      </c>
      <c r="M1944" s="21">
        <v>1288.07</v>
      </c>
      <c r="N1944" s="21">
        <v>971.65</v>
      </c>
      <c r="O1944" s="21">
        <v>178.41</v>
      </c>
      <c r="P1944" t="s">
        <v>124</v>
      </c>
      <c r="Q1944" t="s">
        <v>120</v>
      </c>
      <c r="R1944" t="s">
        <v>151</v>
      </c>
      <c r="S1944" t="s">
        <v>1102</v>
      </c>
      <c r="T1944" t="s">
        <v>153</v>
      </c>
      <c r="U1944" t="s">
        <v>154</v>
      </c>
      <c r="V1944" t="str">
        <f>IFERROR(INDEX(Products!$C:$C,MATCH(D1944,Products!$A:$A,0)),"Unknown")</f>
        <v>Women Jeans</v>
      </c>
      <c r="W1944" t="str">
        <f>IFERROR(INDEX(Products!$E:$E,MATCH(D1944,Products!$A:$A,0)),"Unknown")</f>
        <v>Unknown</v>
      </c>
      <c r="X1944" t="str">
        <f>IFERROR(INDEX(Stores!$B:$B,MATCH(E1944,Stores!$A:$A,0)),"Unknown")</f>
        <v>TrendMart Thrissur Standard</v>
      </c>
      <c r="Y1944" t="str">
        <f>IFERROR(INDEX(Stores!$E:$E,MATCH(E1944,Stores!$A:$A,0)),"Unknown")</f>
        <v>South Zone 1</v>
      </c>
      <c r="Z1944" t="str">
        <f>IFERROR(INDEX(Customers!$J:$J,MATCH(C1944,Customers!$A:$A,0)),"Unknown")</f>
        <v>Silver</v>
      </c>
      <c r="AA1944" t="str">
        <f t="shared" si="30"/>
        <v>2024-11</v>
      </c>
      <c r="AB1944" t="str">
        <f>IFERROR(INDEX(Products!$I:$I,MATCH(D1944,Products!$A:$A,0)),"Unknown")</f>
        <v>SUP050</v>
      </c>
    </row>
    <row r="1945" spans="1:28" x14ac:dyDescent="0.25">
      <c r="A1945" t="s">
        <v>3934</v>
      </c>
      <c r="B1945" s="20">
        <v>45390</v>
      </c>
      <c r="C1945" t="s">
        <v>3935</v>
      </c>
      <c r="D1945" t="s">
        <v>301</v>
      </c>
      <c r="E1945" t="s">
        <v>216</v>
      </c>
      <c r="F1945" t="s">
        <v>579</v>
      </c>
      <c r="G1945">
        <v>4</v>
      </c>
      <c r="H1945" s="21">
        <v>1429.79</v>
      </c>
      <c r="I1945">
        <v>20</v>
      </c>
      <c r="J1945" s="21">
        <v>1143.83</v>
      </c>
      <c r="K1945">
        <v>12</v>
      </c>
      <c r="L1945" s="21">
        <v>549.04</v>
      </c>
      <c r="M1945" s="21">
        <v>5124.37</v>
      </c>
      <c r="N1945" s="21">
        <v>3886.6</v>
      </c>
      <c r="O1945" s="21">
        <v>688.73</v>
      </c>
      <c r="P1945" t="s">
        <v>125</v>
      </c>
      <c r="Q1945" t="s">
        <v>122</v>
      </c>
      <c r="R1945" t="s">
        <v>151</v>
      </c>
      <c r="S1945" t="s">
        <v>1696</v>
      </c>
      <c r="T1945" t="s">
        <v>153</v>
      </c>
      <c r="U1945" t="s">
        <v>154</v>
      </c>
      <c r="V1945" t="str">
        <f>IFERROR(INDEX(Products!$C:$C,MATCH(D1945,Products!$A:$A,0)),"Unknown")</f>
        <v>Women Jeans</v>
      </c>
      <c r="W1945" t="str">
        <f>IFERROR(INDEX(Products!$E:$E,MATCH(D1945,Products!$A:$A,0)),"Unknown")</f>
        <v>Unknown</v>
      </c>
      <c r="X1945" t="str">
        <f>IFERROR(INDEX(Stores!$B:$B,MATCH(E1945,Stores!$A:$A,0)),"Unknown")</f>
        <v>TrendMart Madurai Mall Kiosk</v>
      </c>
      <c r="Y1945" t="str">
        <f>IFERROR(INDEX(Stores!$E:$E,MATCH(E1945,Stores!$A:$A,0)),"Unknown")</f>
        <v>South Zone 1</v>
      </c>
      <c r="Z1945" t="str">
        <f>IFERROR(INDEX(Customers!$J:$J,MATCH(C1945,Customers!$A:$A,0)),"Unknown")</f>
        <v>Silver</v>
      </c>
      <c r="AA1945" t="str">
        <f t="shared" si="30"/>
        <v>2024-04</v>
      </c>
      <c r="AB1945" t="str">
        <f>IFERROR(INDEX(Products!$I:$I,MATCH(D1945,Products!$A:$A,0)),"Unknown")</f>
        <v>SUP050</v>
      </c>
    </row>
    <row r="1946" spans="1:28" x14ac:dyDescent="0.25">
      <c r="A1946" t="s">
        <v>3936</v>
      </c>
      <c r="B1946" s="20">
        <v>45592</v>
      </c>
      <c r="C1946" t="s">
        <v>3937</v>
      </c>
      <c r="D1946" t="s">
        <v>531</v>
      </c>
      <c r="E1946" t="s">
        <v>831</v>
      </c>
      <c r="F1946" t="s">
        <v>335</v>
      </c>
      <c r="G1946">
        <v>1</v>
      </c>
      <c r="H1946" s="21">
        <v>3313.99</v>
      </c>
      <c r="I1946">
        <v>30</v>
      </c>
      <c r="J1946" s="21">
        <v>994.2</v>
      </c>
      <c r="K1946">
        <v>12</v>
      </c>
      <c r="L1946" s="21">
        <v>278.37</v>
      </c>
      <c r="M1946" s="21">
        <v>2598.16</v>
      </c>
      <c r="N1946" s="21">
        <v>2034.01</v>
      </c>
      <c r="O1946" s="21">
        <v>285.77999999999997</v>
      </c>
      <c r="P1946" t="s">
        <v>124</v>
      </c>
      <c r="Q1946" t="s">
        <v>120</v>
      </c>
      <c r="R1946" t="s">
        <v>151</v>
      </c>
      <c r="S1946" t="s">
        <v>1724</v>
      </c>
      <c r="T1946" t="s">
        <v>161</v>
      </c>
      <c r="U1946" t="s">
        <v>154</v>
      </c>
      <c r="V1946" t="str">
        <f>IFERROR(INDEX(Products!$C:$C,MATCH(D1946,Products!$A:$A,0)),"Unknown")</f>
        <v>Handbags</v>
      </c>
      <c r="W1946" t="str">
        <f>IFERROR(INDEX(Products!$E:$E,MATCH(D1946,Products!$A:$A,0)),"Unknown")</f>
        <v>GRT Jewellers</v>
      </c>
      <c r="X1946" t="str">
        <f>IFERROR(INDEX(Stores!$B:$B,MATCH(E1946,Stores!$A:$A,0)),"Unknown")</f>
        <v>TrendMart Vellore Standard</v>
      </c>
      <c r="Y1946" t="str">
        <f>IFERROR(INDEX(Stores!$E:$E,MATCH(E1946,Stores!$A:$A,0)),"Unknown")</f>
        <v>South Zone 1</v>
      </c>
      <c r="Z1946" t="str">
        <f>IFERROR(INDEX(Customers!$J:$J,MATCH(C1946,Customers!$A:$A,0)),"Unknown")</f>
        <v>Silver</v>
      </c>
      <c r="AA1946" t="str">
        <f t="shared" si="30"/>
        <v>2024-10</v>
      </c>
      <c r="AB1946" t="str">
        <f>IFERROR(INDEX(Products!$I:$I,MATCH(D1946,Products!$A:$A,0)),"Unknown")</f>
        <v>SUP047</v>
      </c>
    </row>
    <row r="1947" spans="1:28" x14ac:dyDescent="0.25">
      <c r="A1947" t="s">
        <v>3938</v>
      </c>
      <c r="B1947" s="20">
        <v>45570</v>
      </c>
      <c r="C1947" t="s">
        <v>2529</v>
      </c>
      <c r="D1947" t="s">
        <v>236</v>
      </c>
      <c r="E1947" t="s">
        <v>1962</v>
      </c>
      <c r="F1947" t="s">
        <v>618</v>
      </c>
      <c r="G1947">
        <v>2</v>
      </c>
      <c r="H1947" s="21">
        <v>921.53</v>
      </c>
      <c r="I1947">
        <v>30</v>
      </c>
      <c r="J1947" s="21">
        <v>552.91999999999996</v>
      </c>
      <c r="K1947">
        <v>5</v>
      </c>
      <c r="L1947" s="21">
        <v>64.510000000000005</v>
      </c>
      <c r="M1947" s="21">
        <v>1354.65</v>
      </c>
      <c r="N1947" s="21">
        <v>1100.02</v>
      </c>
      <c r="O1947" s="21">
        <v>190.12</v>
      </c>
      <c r="P1947" t="s">
        <v>121</v>
      </c>
      <c r="Q1947" t="s">
        <v>120</v>
      </c>
      <c r="R1947" t="s">
        <v>151</v>
      </c>
      <c r="S1947" t="s">
        <v>1995</v>
      </c>
      <c r="T1947" t="s">
        <v>161</v>
      </c>
      <c r="U1947" t="s">
        <v>154</v>
      </c>
      <c r="V1947" t="str">
        <f>IFERROR(INDEX(Products!$C:$C,MATCH(D1947,Products!$A:$A,0)),"Unknown")</f>
        <v>Women Tops</v>
      </c>
      <c r="W1947" t="str">
        <f>IFERROR(INDEX(Products!$E:$E,MATCH(D1947,Products!$A:$A,0)),"Unknown")</f>
        <v>Nike</v>
      </c>
      <c r="X1947" t="str">
        <f>IFERROR(INDEX(Stores!$B:$B,MATCH(E1947,Stores!$A:$A,0)),"Unknown")</f>
        <v>TrendMart Guntur High Street</v>
      </c>
      <c r="Y1947" t="str">
        <f>IFERROR(INDEX(Stores!$E:$E,MATCH(E1947,Stores!$A:$A,0)),"Unknown")</f>
        <v>South Zone 3</v>
      </c>
      <c r="Z1947" t="str">
        <f>IFERROR(INDEX(Customers!$J:$J,MATCH(C1947,Customers!$A:$A,0)),"Unknown")</f>
        <v>Regular</v>
      </c>
      <c r="AA1947" t="str">
        <f t="shared" si="30"/>
        <v>2024-10</v>
      </c>
      <c r="AB1947" t="str">
        <f>IFERROR(INDEX(Products!$I:$I,MATCH(D1947,Products!$A:$A,0)),"Unknown")</f>
        <v>SUP075</v>
      </c>
    </row>
    <row r="1948" spans="1:28" x14ac:dyDescent="0.25">
      <c r="A1948" t="s">
        <v>3939</v>
      </c>
      <c r="B1948" s="20">
        <v>45633</v>
      </c>
      <c r="C1948" t="s">
        <v>2605</v>
      </c>
      <c r="D1948" t="s">
        <v>717</v>
      </c>
      <c r="E1948" t="s">
        <v>537</v>
      </c>
      <c r="F1948" t="s">
        <v>182</v>
      </c>
      <c r="G1948">
        <v>2</v>
      </c>
      <c r="H1948" s="21">
        <v>1837.2</v>
      </c>
      <c r="I1948">
        <v>25</v>
      </c>
      <c r="J1948" s="21">
        <v>918.6</v>
      </c>
      <c r="K1948">
        <v>12</v>
      </c>
      <c r="L1948" s="21">
        <v>330.7</v>
      </c>
      <c r="M1948" s="21">
        <v>3086.5</v>
      </c>
      <c r="N1948" s="21">
        <v>2266.54</v>
      </c>
      <c r="O1948" s="21">
        <v>489.26</v>
      </c>
      <c r="P1948" t="s">
        <v>124</v>
      </c>
      <c r="Q1948" t="s">
        <v>122</v>
      </c>
      <c r="R1948" t="s">
        <v>151</v>
      </c>
      <c r="S1948" t="s">
        <v>2025</v>
      </c>
      <c r="T1948" t="s">
        <v>161</v>
      </c>
      <c r="U1948" t="s">
        <v>154</v>
      </c>
      <c r="V1948" t="str">
        <f>IFERROR(INDEX(Products!$C:$C,MATCH(D1948,Products!$A:$A,0)),"Unknown")</f>
        <v>Women Dresses</v>
      </c>
      <c r="W1948" t="str">
        <f>IFERROR(INDEX(Products!$E:$E,MATCH(D1948,Products!$A:$A,0)),"Unknown")</f>
        <v>Pantaloons</v>
      </c>
      <c r="X1948" t="str">
        <f>IFERROR(INDEX(Stores!$B:$B,MATCH(E1948,Stores!$A:$A,0)),"Unknown")</f>
        <v>TrendMart Thrissur High Street</v>
      </c>
      <c r="Y1948" t="str">
        <f>IFERROR(INDEX(Stores!$E:$E,MATCH(E1948,Stores!$A:$A,0)),"Unknown")</f>
        <v>South Zone 1</v>
      </c>
      <c r="Z1948" t="str">
        <f>IFERROR(INDEX(Customers!$J:$J,MATCH(C1948,Customers!$A:$A,0)),"Unknown")</f>
        <v>Gold</v>
      </c>
      <c r="AA1948" t="str">
        <f t="shared" si="30"/>
        <v>2024-12</v>
      </c>
      <c r="AB1948" t="str">
        <f>IFERROR(INDEX(Products!$I:$I,MATCH(D1948,Products!$A:$A,0)),"Unknown")</f>
        <v>SUP046</v>
      </c>
    </row>
    <row r="1949" spans="1:28" x14ac:dyDescent="0.25">
      <c r="A1949" t="s">
        <v>3940</v>
      </c>
      <c r="B1949" s="20">
        <v>45626</v>
      </c>
      <c r="C1949" t="s">
        <v>572</v>
      </c>
      <c r="D1949" t="s">
        <v>359</v>
      </c>
      <c r="E1949" t="s">
        <v>701</v>
      </c>
      <c r="F1949" t="s">
        <v>596</v>
      </c>
      <c r="G1949">
        <v>1</v>
      </c>
      <c r="H1949" s="21">
        <v>2618.34</v>
      </c>
      <c r="I1949">
        <v>0</v>
      </c>
      <c r="J1949" s="21">
        <v>0</v>
      </c>
      <c r="K1949">
        <v>12</v>
      </c>
      <c r="L1949" s="21">
        <v>314.2</v>
      </c>
      <c r="M1949" s="21">
        <v>2932.54</v>
      </c>
      <c r="N1949" s="21">
        <v>1804.37</v>
      </c>
      <c r="O1949" s="21">
        <v>813.97</v>
      </c>
      <c r="P1949" t="s">
        <v>121</v>
      </c>
      <c r="Q1949" t="s">
        <v>120</v>
      </c>
      <c r="R1949" t="s">
        <v>151</v>
      </c>
      <c r="S1949" t="s">
        <v>1978</v>
      </c>
      <c r="T1949" t="s">
        <v>161</v>
      </c>
      <c r="U1949" t="s">
        <v>154</v>
      </c>
      <c r="V1949" t="str">
        <f>IFERROR(INDEX(Products!$C:$C,MATCH(D1949,Products!$A:$A,0)),"Unknown")</f>
        <v>Men Ethnic</v>
      </c>
      <c r="W1949" t="str">
        <f>IFERROR(INDEX(Products!$E:$E,MATCH(D1949,Products!$A:$A,0)),"Unknown")</f>
        <v>US Polo Assn</v>
      </c>
      <c r="X1949" t="str">
        <f>IFERROR(INDEX(Stores!$B:$B,MATCH(E1949,Stores!$A:$A,0)),"Unknown")</f>
        <v>TrendMart Vijayawada Mall Kiosk</v>
      </c>
      <c r="Y1949" t="str">
        <f>IFERROR(INDEX(Stores!$E:$E,MATCH(E1949,Stores!$A:$A,0)),"Unknown")</f>
        <v>South Zone 3</v>
      </c>
      <c r="Z1949" t="str">
        <f>IFERROR(INDEX(Customers!$J:$J,MATCH(C1949,Customers!$A:$A,0)),"Unknown")</f>
        <v>Regular</v>
      </c>
      <c r="AA1949" t="str">
        <f t="shared" si="30"/>
        <v>2024-11</v>
      </c>
      <c r="AB1949" t="str">
        <f>IFERROR(INDEX(Products!$I:$I,MATCH(D1949,Products!$A:$A,0)),"Unknown")</f>
        <v>SUP036</v>
      </c>
    </row>
    <row r="1950" spans="1:28" x14ac:dyDescent="0.25">
      <c r="A1950" t="s">
        <v>3941</v>
      </c>
      <c r="B1950" s="20">
        <v>45683</v>
      </c>
      <c r="C1950" t="s">
        <v>3576</v>
      </c>
      <c r="D1950" t="s">
        <v>317</v>
      </c>
      <c r="E1950" t="s">
        <v>268</v>
      </c>
      <c r="F1950" t="s">
        <v>532</v>
      </c>
      <c r="G1950">
        <v>2</v>
      </c>
      <c r="H1950" s="21">
        <v>2229.6999999999998</v>
      </c>
      <c r="I1950">
        <v>10</v>
      </c>
      <c r="J1950" s="21">
        <v>445.94</v>
      </c>
      <c r="K1950">
        <v>12</v>
      </c>
      <c r="L1950" s="21">
        <v>481.62</v>
      </c>
      <c r="M1950" s="21">
        <v>4495.08</v>
      </c>
      <c r="N1950" s="21">
        <v>2923.46</v>
      </c>
      <c r="O1950" s="21">
        <v>1090</v>
      </c>
      <c r="P1950" t="s">
        <v>125</v>
      </c>
      <c r="Q1950" t="s">
        <v>122</v>
      </c>
      <c r="R1950" t="s">
        <v>151</v>
      </c>
      <c r="S1950" t="s">
        <v>444</v>
      </c>
      <c r="T1950" t="s">
        <v>161</v>
      </c>
      <c r="U1950" t="s">
        <v>154</v>
      </c>
      <c r="V1950" t="str">
        <f>IFERROR(INDEX(Products!$C:$C,MATCH(D1950,Products!$A:$A,0)),"Unknown")</f>
        <v>Handbags</v>
      </c>
      <c r="W1950" t="str">
        <f>IFERROR(INDEX(Products!$E:$E,MATCH(D1950,Products!$A:$A,0)),"Unknown")</f>
        <v>Titan</v>
      </c>
      <c r="X1950" t="str">
        <f>IFERROR(INDEX(Stores!$B:$B,MATCH(E1950,Stores!$A:$A,0)),"Unknown")</f>
        <v>TrendMart Kochi High Street</v>
      </c>
      <c r="Y1950" t="str">
        <f>IFERROR(INDEX(Stores!$E:$E,MATCH(E1950,Stores!$A:$A,0)),"Unknown")</f>
        <v>South Zone 1</v>
      </c>
      <c r="Z1950" t="str">
        <f>IFERROR(INDEX(Customers!$J:$J,MATCH(C1950,Customers!$A:$A,0)),"Unknown")</f>
        <v>Gold</v>
      </c>
      <c r="AA1950" t="str">
        <f t="shared" si="30"/>
        <v>2025-01</v>
      </c>
      <c r="AB1950" t="str">
        <f>IFERROR(INDEX(Products!$I:$I,MATCH(D1950,Products!$A:$A,0)),"Unknown")</f>
        <v>SUP027</v>
      </c>
    </row>
    <row r="1951" spans="1:28" x14ac:dyDescent="0.25">
      <c r="A1951" t="s">
        <v>3942</v>
      </c>
      <c r="B1951" s="20">
        <v>45650</v>
      </c>
      <c r="C1951" t="s">
        <v>797</v>
      </c>
      <c r="D1951" t="s">
        <v>290</v>
      </c>
      <c r="E1951" t="s">
        <v>291</v>
      </c>
      <c r="F1951" t="s">
        <v>165</v>
      </c>
      <c r="G1951">
        <v>2</v>
      </c>
      <c r="H1951" s="21">
        <v>6373.66</v>
      </c>
      <c r="I1951">
        <v>0</v>
      </c>
      <c r="J1951" s="21">
        <v>0</v>
      </c>
      <c r="K1951">
        <v>3</v>
      </c>
      <c r="L1951" s="21">
        <v>382.42</v>
      </c>
      <c r="M1951" s="21">
        <v>13129.74</v>
      </c>
      <c r="N1951" s="21">
        <v>9430.2000000000007</v>
      </c>
      <c r="O1951" s="21">
        <v>3317.12</v>
      </c>
      <c r="P1951" t="s">
        <v>124</v>
      </c>
      <c r="Q1951" t="s">
        <v>122</v>
      </c>
      <c r="R1951" t="s">
        <v>151</v>
      </c>
      <c r="S1951" t="s">
        <v>2688</v>
      </c>
      <c r="T1951" t="s">
        <v>153</v>
      </c>
      <c r="U1951" t="s">
        <v>154</v>
      </c>
      <c r="V1951" t="str">
        <f>IFERROR(INDEX(Products!$C:$C,MATCH(D1951,Products!$A:$A,0)),"Unknown")</f>
        <v>Jewellery</v>
      </c>
      <c r="W1951" t="str">
        <f>IFERROR(INDEX(Products!$E:$E,MATCH(D1951,Products!$A:$A,0)),"Unknown")</f>
        <v>Nike</v>
      </c>
      <c r="X1951" t="str">
        <f>IFERROR(INDEX(Stores!$B:$B,MATCH(E1951,Stores!$A:$A,0)),"Unknown")</f>
        <v>TrendMart Khammam Standard</v>
      </c>
      <c r="Y1951" t="str">
        <f>IFERROR(INDEX(Stores!$E:$E,MATCH(E1951,Stores!$A:$A,0)),"Unknown")</f>
        <v>South Zone 2</v>
      </c>
      <c r="Z1951" t="str">
        <f>IFERROR(INDEX(Customers!$J:$J,MATCH(C1951,Customers!$A:$A,0)),"Unknown")</f>
        <v>Platinum</v>
      </c>
      <c r="AA1951" t="str">
        <f t="shared" si="30"/>
        <v>2024-12</v>
      </c>
      <c r="AB1951" t="str">
        <f>IFERROR(INDEX(Products!$I:$I,MATCH(D1951,Products!$A:$A,0)),"Unknown")</f>
        <v>SUP041</v>
      </c>
    </row>
    <row r="1952" spans="1:28" x14ac:dyDescent="0.25">
      <c r="A1952" t="s">
        <v>3943</v>
      </c>
      <c r="B1952" s="20">
        <v>45567</v>
      </c>
      <c r="C1952" t="s">
        <v>710</v>
      </c>
      <c r="D1952" t="s">
        <v>554</v>
      </c>
      <c r="E1952" t="s">
        <v>1825</v>
      </c>
      <c r="F1952" t="s">
        <v>532</v>
      </c>
      <c r="G1952">
        <v>4</v>
      </c>
      <c r="H1952" s="21">
        <v>843.26</v>
      </c>
      <c r="I1952">
        <v>30</v>
      </c>
      <c r="J1952" s="21">
        <v>1011.91</v>
      </c>
      <c r="K1952">
        <v>5</v>
      </c>
      <c r="L1952" s="21">
        <v>118.06</v>
      </c>
      <c r="M1952" s="21">
        <v>2479.19</v>
      </c>
      <c r="N1952" s="21">
        <v>2589.1999999999998</v>
      </c>
      <c r="O1952" s="21">
        <v>-228.07</v>
      </c>
      <c r="P1952" t="s">
        <v>124</v>
      </c>
      <c r="Q1952" t="s">
        <v>120</v>
      </c>
      <c r="R1952" t="s">
        <v>151</v>
      </c>
      <c r="S1952" t="s">
        <v>177</v>
      </c>
      <c r="T1952" t="s">
        <v>153</v>
      </c>
      <c r="U1952" t="s">
        <v>184</v>
      </c>
      <c r="V1952" t="str">
        <f>IFERROR(INDEX(Products!$C:$C,MATCH(D1952,Products!$A:$A,0)),"Unknown")</f>
        <v>Women Kurtis</v>
      </c>
      <c r="W1952" t="str">
        <f>IFERROR(INDEX(Products!$E:$E,MATCH(D1952,Products!$A:$A,0)),"Unknown")</f>
        <v>Fossil</v>
      </c>
      <c r="X1952" t="str">
        <f>IFERROR(INDEX(Stores!$B:$B,MATCH(E1952,Stores!$A:$A,0)),"Unknown")</f>
        <v>TrendMart Vijayawada Outlet</v>
      </c>
      <c r="Y1952" t="str">
        <f>IFERROR(INDEX(Stores!$E:$E,MATCH(E1952,Stores!$A:$A,0)),"Unknown")</f>
        <v>South Zone 3</v>
      </c>
      <c r="Z1952" t="str">
        <f>IFERROR(INDEX(Customers!$J:$J,MATCH(C1952,Customers!$A:$A,0)),"Unknown")</f>
        <v>Gold</v>
      </c>
      <c r="AA1952" t="str">
        <f t="shared" si="30"/>
        <v>2024-10</v>
      </c>
      <c r="AB1952" t="str">
        <f>IFERROR(INDEX(Products!$I:$I,MATCH(D1952,Products!$A:$A,0)),"Unknown")</f>
        <v>SUP018</v>
      </c>
    </row>
    <row r="1953" spans="1:28" x14ac:dyDescent="0.25">
      <c r="A1953" t="s">
        <v>3944</v>
      </c>
      <c r="B1953" s="20">
        <v>45629</v>
      </c>
      <c r="C1953" t="s">
        <v>385</v>
      </c>
      <c r="D1953" t="s">
        <v>164</v>
      </c>
      <c r="E1953" t="s">
        <v>96</v>
      </c>
      <c r="F1953" t="s">
        <v>269</v>
      </c>
      <c r="G1953">
        <v>1</v>
      </c>
      <c r="H1953" s="21">
        <v>3849.83</v>
      </c>
      <c r="I1953">
        <v>15</v>
      </c>
      <c r="J1953" s="21">
        <v>577.47</v>
      </c>
      <c r="K1953">
        <v>12</v>
      </c>
      <c r="L1953" s="21">
        <v>392.68</v>
      </c>
      <c r="M1953" s="21">
        <v>3665.04</v>
      </c>
      <c r="N1953" s="21">
        <v>2633.56</v>
      </c>
      <c r="O1953" s="21">
        <v>638.79999999999995</v>
      </c>
      <c r="P1953" t="s">
        <v>123</v>
      </c>
      <c r="Q1953" t="s">
        <v>120</v>
      </c>
      <c r="R1953" t="s">
        <v>151</v>
      </c>
      <c r="S1953" t="s">
        <v>2238</v>
      </c>
      <c r="T1953" t="s">
        <v>153</v>
      </c>
      <c r="U1953" t="s">
        <v>154</v>
      </c>
      <c r="V1953" t="str">
        <f>IFERROR(INDEX(Products!$C:$C,MATCH(D1953,Products!$A:$A,0)),"Unknown")</f>
        <v>Women Sarees</v>
      </c>
      <c r="W1953" t="str">
        <f>IFERROR(INDEX(Products!$E:$E,MATCH(D1953,Products!$A:$A,0)),"Unknown")</f>
        <v>Westside</v>
      </c>
      <c r="X1953" t="str">
        <f>IFERROR(INDEX(Stores!$B:$B,MATCH(E1953,Stores!$A:$A,0)),"Unknown")</f>
        <v>TrendMart Shivamogga Outlet</v>
      </c>
      <c r="Y1953" t="str">
        <f>IFERROR(INDEX(Stores!$E:$E,MATCH(E1953,Stores!$A:$A,0)),"Unknown")</f>
        <v>South Zone 2</v>
      </c>
      <c r="Z1953" t="str">
        <f>IFERROR(INDEX(Customers!$J:$J,MATCH(C1953,Customers!$A:$A,0)),"Unknown")</f>
        <v>Platinum</v>
      </c>
      <c r="AA1953" t="str">
        <f t="shared" si="30"/>
        <v>2024-12</v>
      </c>
      <c r="AB1953" t="str">
        <f>IFERROR(INDEX(Products!$I:$I,MATCH(D1953,Products!$A:$A,0)),"Unknown")</f>
        <v>SUP069</v>
      </c>
    </row>
    <row r="1954" spans="1:28" x14ac:dyDescent="0.25">
      <c r="A1954" t="s">
        <v>3945</v>
      </c>
      <c r="B1954" s="20">
        <v>45473</v>
      </c>
      <c r="C1954" t="s">
        <v>2559</v>
      </c>
      <c r="D1954" t="s">
        <v>2759</v>
      </c>
      <c r="E1954" t="s">
        <v>95</v>
      </c>
      <c r="F1954" t="s">
        <v>281</v>
      </c>
      <c r="G1954">
        <v>4</v>
      </c>
      <c r="H1954" s="21">
        <v>694.92</v>
      </c>
      <c r="I1954">
        <v>10</v>
      </c>
      <c r="J1954" s="21">
        <v>277.97000000000003</v>
      </c>
      <c r="K1954">
        <v>5</v>
      </c>
      <c r="L1954" s="21">
        <v>125.09</v>
      </c>
      <c r="M1954" s="21">
        <v>2626.8</v>
      </c>
      <c r="N1954" s="21">
        <v>1615.6</v>
      </c>
      <c r="O1954" s="21">
        <v>886.11</v>
      </c>
      <c r="P1954" t="s">
        <v>126</v>
      </c>
      <c r="Q1954" t="s">
        <v>120</v>
      </c>
      <c r="R1954" t="s">
        <v>151</v>
      </c>
      <c r="S1954" t="s">
        <v>1603</v>
      </c>
      <c r="T1954" t="s">
        <v>161</v>
      </c>
      <c r="U1954" t="s">
        <v>154</v>
      </c>
      <c r="V1954" t="str">
        <f>IFERROR(INDEX(Products!$C:$C,MATCH(D1954,Products!$A:$A,0)),"Unknown")</f>
        <v>Men T-Shirts</v>
      </c>
      <c r="W1954" t="str">
        <f>IFERROR(INDEX(Products!$E:$E,MATCH(D1954,Products!$A:$A,0)),"Unknown")</f>
        <v>Libas</v>
      </c>
      <c r="X1954" t="str">
        <f>IFERROR(INDEX(Stores!$B:$B,MATCH(E1954,Stores!$A:$A,0)),"Unknown")</f>
        <v>TrendMart Thrissur Standard</v>
      </c>
      <c r="Y1954" t="str">
        <f>IFERROR(INDEX(Stores!$E:$E,MATCH(E1954,Stores!$A:$A,0)),"Unknown")</f>
        <v>South Zone 1</v>
      </c>
      <c r="Z1954" t="str">
        <f>IFERROR(INDEX(Customers!$J:$J,MATCH(C1954,Customers!$A:$A,0)),"Unknown")</f>
        <v>Silver</v>
      </c>
      <c r="AA1954" t="str">
        <f t="shared" si="30"/>
        <v>2024-06</v>
      </c>
      <c r="AB1954" t="str">
        <f>IFERROR(INDEX(Products!$I:$I,MATCH(D1954,Products!$A:$A,0)),"Unknown")</f>
        <v>SUP041</v>
      </c>
    </row>
    <row r="1955" spans="1:28" x14ac:dyDescent="0.25">
      <c r="A1955" t="s">
        <v>3946</v>
      </c>
      <c r="B1955" s="20">
        <v>45412</v>
      </c>
      <c r="C1955" t="s">
        <v>3434</v>
      </c>
      <c r="D1955" t="s">
        <v>433</v>
      </c>
      <c r="E1955" t="s">
        <v>425</v>
      </c>
      <c r="F1955" t="s">
        <v>516</v>
      </c>
      <c r="G1955">
        <v>3</v>
      </c>
      <c r="H1955" s="21">
        <v>809.72</v>
      </c>
      <c r="I1955">
        <v>0</v>
      </c>
      <c r="J1955" s="21">
        <v>0</v>
      </c>
      <c r="K1955">
        <v>5</v>
      </c>
      <c r="L1955" s="21">
        <v>121.46</v>
      </c>
      <c r="M1955" s="21">
        <v>2550.62</v>
      </c>
      <c r="N1955" s="21">
        <v>1719.27</v>
      </c>
      <c r="O1955" s="21">
        <v>709.89</v>
      </c>
      <c r="P1955" t="s">
        <v>124</v>
      </c>
      <c r="Q1955" t="s">
        <v>120</v>
      </c>
      <c r="R1955" t="s">
        <v>151</v>
      </c>
      <c r="S1955" t="s">
        <v>3484</v>
      </c>
      <c r="T1955" t="s">
        <v>153</v>
      </c>
      <c r="U1955" t="s">
        <v>154</v>
      </c>
      <c r="V1955" t="str">
        <f>IFERROR(INDEX(Products!$C:$C,MATCH(D1955,Products!$A:$A,0)),"Unknown")</f>
        <v>Women Kurtis</v>
      </c>
      <c r="W1955" t="str">
        <f>IFERROR(INDEX(Products!$E:$E,MATCH(D1955,Products!$A:$A,0)),"Unknown")</f>
        <v>Nike</v>
      </c>
      <c r="X1955" t="str">
        <f>IFERROR(INDEX(Stores!$B:$B,MATCH(E1955,Stores!$A:$A,0)),"Unknown")</f>
        <v>TrendMart Kozhikode Outlet</v>
      </c>
      <c r="Y1955" t="str">
        <f>IFERROR(INDEX(Stores!$E:$E,MATCH(E1955,Stores!$A:$A,0)),"Unknown")</f>
        <v>South Zone 1</v>
      </c>
      <c r="Z1955" t="str">
        <f>IFERROR(INDEX(Customers!$J:$J,MATCH(C1955,Customers!$A:$A,0)),"Unknown")</f>
        <v>Regular</v>
      </c>
      <c r="AA1955" t="str">
        <f t="shared" si="30"/>
        <v>2024-04</v>
      </c>
      <c r="AB1955" t="str">
        <f>IFERROR(INDEX(Products!$I:$I,MATCH(D1955,Products!$A:$A,0)),"Unknown")</f>
        <v>SUP012</v>
      </c>
    </row>
    <row r="1956" spans="1:28" x14ac:dyDescent="0.25">
      <c r="A1956" t="s">
        <v>3947</v>
      </c>
      <c r="B1956" s="20">
        <v>45737</v>
      </c>
      <c r="C1956" t="s">
        <v>2248</v>
      </c>
      <c r="D1956" t="s">
        <v>1407</v>
      </c>
      <c r="E1956" t="s">
        <v>477</v>
      </c>
      <c r="F1956" t="s">
        <v>263</v>
      </c>
      <c r="G1956">
        <v>1</v>
      </c>
      <c r="H1956" s="21">
        <v>1153.93</v>
      </c>
      <c r="I1956">
        <v>0</v>
      </c>
      <c r="J1956" s="21">
        <v>0</v>
      </c>
      <c r="K1956">
        <v>12</v>
      </c>
      <c r="L1956" s="21">
        <v>138.47</v>
      </c>
      <c r="M1956" s="21">
        <v>1292.4000000000001</v>
      </c>
      <c r="N1956" s="21">
        <v>765.23</v>
      </c>
      <c r="O1956" s="21">
        <v>388.7</v>
      </c>
      <c r="P1956" t="s">
        <v>121</v>
      </c>
      <c r="Q1956" t="s">
        <v>120</v>
      </c>
      <c r="R1956" t="s">
        <v>151</v>
      </c>
      <c r="S1956" t="s">
        <v>1297</v>
      </c>
      <c r="T1956" t="s">
        <v>153</v>
      </c>
      <c r="U1956" t="s">
        <v>154</v>
      </c>
      <c r="V1956" t="str">
        <f>IFERROR(INDEX(Products!$C:$C,MATCH(D1956,Products!$A:$A,0)),"Unknown")</f>
        <v>Belts</v>
      </c>
      <c r="W1956" t="str">
        <f>IFERROR(INDEX(Products!$E:$E,MATCH(D1956,Products!$A:$A,0)),"Unknown")</f>
        <v>Pantaloons</v>
      </c>
      <c r="X1956" t="str">
        <f>IFERROR(INDEX(Stores!$B:$B,MATCH(E1956,Stores!$A:$A,0)),"Unknown")</f>
        <v>TrendMart Hubballi Standard</v>
      </c>
      <c r="Y1956" t="str">
        <f>IFERROR(INDEX(Stores!$E:$E,MATCH(E1956,Stores!$A:$A,0)),"Unknown")</f>
        <v>South Zone 2</v>
      </c>
      <c r="Z1956" t="str">
        <f>IFERROR(INDEX(Customers!$J:$J,MATCH(C1956,Customers!$A:$A,0)),"Unknown")</f>
        <v>Silver</v>
      </c>
      <c r="AA1956" t="str">
        <f t="shared" si="30"/>
        <v>2025-03</v>
      </c>
      <c r="AB1956" t="str">
        <f>IFERROR(INDEX(Products!$I:$I,MATCH(D1956,Products!$A:$A,0)),"Unknown")</f>
        <v>SUP030</v>
      </c>
    </row>
    <row r="1957" spans="1:28" x14ac:dyDescent="0.25">
      <c r="A1957" t="s">
        <v>3948</v>
      </c>
      <c r="B1957" s="20">
        <v>45608</v>
      </c>
      <c r="C1957" t="s">
        <v>2362</v>
      </c>
      <c r="D1957" t="s">
        <v>367</v>
      </c>
      <c r="E1957" t="s">
        <v>343</v>
      </c>
      <c r="F1957" t="s">
        <v>579</v>
      </c>
      <c r="G1957">
        <v>2</v>
      </c>
      <c r="H1957" s="21">
        <v>753.64</v>
      </c>
      <c r="I1957">
        <v>0</v>
      </c>
      <c r="J1957" s="21">
        <v>0</v>
      </c>
      <c r="K1957">
        <v>3</v>
      </c>
      <c r="L1957" s="21">
        <v>45.22</v>
      </c>
      <c r="M1957" s="21">
        <v>1552.5</v>
      </c>
      <c r="N1957" s="21">
        <v>1113.98</v>
      </c>
      <c r="O1957" s="21">
        <v>393.3</v>
      </c>
      <c r="P1957" t="s">
        <v>126</v>
      </c>
      <c r="Q1957" t="s">
        <v>122</v>
      </c>
      <c r="R1957" t="s">
        <v>313</v>
      </c>
      <c r="S1957" t="s">
        <v>2714</v>
      </c>
      <c r="T1957" t="s">
        <v>153</v>
      </c>
      <c r="U1957" t="s">
        <v>154</v>
      </c>
      <c r="V1957" t="str">
        <f>IFERROR(INDEX(Products!$C:$C,MATCH(D1957,Products!$A:$A,0)),"Unknown")</f>
        <v>Jewellery</v>
      </c>
      <c r="W1957" t="str">
        <f>IFERROR(INDEX(Products!$E:$E,MATCH(D1957,Products!$A:$A,0)),"Unknown")</f>
        <v>Aurelia</v>
      </c>
      <c r="X1957" t="str">
        <f>IFERROR(INDEX(Stores!$B:$B,MATCH(E1957,Stores!$A:$A,0)),"Unknown")</f>
        <v>TrendMart Tumakuru Outlet</v>
      </c>
      <c r="Y1957" t="str">
        <f>IFERROR(INDEX(Stores!$E:$E,MATCH(E1957,Stores!$A:$A,0)),"Unknown")</f>
        <v>South Zone 2</v>
      </c>
      <c r="Z1957" t="str">
        <f>IFERROR(INDEX(Customers!$J:$J,MATCH(C1957,Customers!$A:$A,0)),"Unknown")</f>
        <v>Silver</v>
      </c>
      <c r="AA1957" t="str">
        <f t="shared" si="30"/>
        <v>2024-11</v>
      </c>
      <c r="AB1957" t="str">
        <f>IFERROR(INDEX(Products!$I:$I,MATCH(D1957,Products!$A:$A,0)),"Unknown")</f>
        <v>SUP067</v>
      </c>
    </row>
    <row r="1958" spans="1:28" x14ac:dyDescent="0.25">
      <c r="A1958" t="s">
        <v>3949</v>
      </c>
      <c r="B1958" s="20">
        <v>45588</v>
      </c>
      <c r="C1958" t="s">
        <v>1239</v>
      </c>
      <c r="D1958" t="s">
        <v>830</v>
      </c>
      <c r="E1958" t="s">
        <v>89</v>
      </c>
      <c r="F1958" t="s">
        <v>159</v>
      </c>
      <c r="G1958">
        <v>3</v>
      </c>
      <c r="H1958" s="21">
        <v>852.88</v>
      </c>
      <c r="I1958">
        <v>20</v>
      </c>
      <c r="J1958" s="21">
        <v>511.73</v>
      </c>
      <c r="K1958">
        <v>5</v>
      </c>
      <c r="L1958" s="21">
        <v>102.35</v>
      </c>
      <c r="M1958" s="21">
        <v>2149.2600000000002</v>
      </c>
      <c r="N1958" s="21">
        <v>1710.6</v>
      </c>
      <c r="O1958" s="21">
        <v>336.31</v>
      </c>
      <c r="P1958" t="s">
        <v>123</v>
      </c>
      <c r="Q1958" t="s">
        <v>120</v>
      </c>
      <c r="R1958" t="s">
        <v>151</v>
      </c>
      <c r="S1958" t="s">
        <v>364</v>
      </c>
      <c r="T1958" t="s">
        <v>153</v>
      </c>
      <c r="U1958" t="s">
        <v>154</v>
      </c>
      <c r="V1958" t="str">
        <f>IFERROR(INDEX(Products!$C:$C,MATCH(D1958,Products!$A:$A,0)),"Unknown")</f>
        <v>Men Shirts</v>
      </c>
      <c r="W1958" t="str">
        <f>IFERROR(INDEX(Products!$E:$E,MATCH(D1958,Products!$A:$A,0)),"Unknown")</f>
        <v>AND</v>
      </c>
      <c r="X1958" t="str">
        <f>IFERROR(INDEX(Stores!$B:$B,MATCH(E1958,Stores!$A:$A,0)),"Unknown")</f>
        <v>TrendMart Kochi Standard</v>
      </c>
      <c r="Y1958" t="str">
        <f>IFERROR(INDEX(Stores!$E:$E,MATCH(E1958,Stores!$A:$A,0)),"Unknown")</f>
        <v>South Zone 1</v>
      </c>
      <c r="Z1958" t="str">
        <f>IFERROR(INDEX(Customers!$J:$J,MATCH(C1958,Customers!$A:$A,0)),"Unknown")</f>
        <v>Silver</v>
      </c>
      <c r="AA1958" t="str">
        <f t="shared" si="30"/>
        <v>2024-10</v>
      </c>
      <c r="AB1958" t="str">
        <f>IFERROR(INDEX(Products!$I:$I,MATCH(D1958,Products!$A:$A,0)),"Unknown")</f>
        <v>SUP012</v>
      </c>
    </row>
    <row r="1959" spans="1:28" x14ac:dyDescent="0.25">
      <c r="A1959" t="s">
        <v>3950</v>
      </c>
      <c r="B1959" s="20">
        <v>45455</v>
      </c>
      <c r="C1959" t="s">
        <v>2851</v>
      </c>
      <c r="D1959" t="s">
        <v>693</v>
      </c>
      <c r="E1959" t="s">
        <v>200</v>
      </c>
      <c r="F1959" t="s">
        <v>596</v>
      </c>
      <c r="G1959">
        <v>3</v>
      </c>
      <c r="H1959" s="21">
        <v>2864.65</v>
      </c>
      <c r="I1959">
        <v>30</v>
      </c>
      <c r="J1959" s="21">
        <v>2578.19</v>
      </c>
      <c r="K1959">
        <v>12</v>
      </c>
      <c r="L1959" s="21">
        <v>721.89</v>
      </c>
      <c r="M1959" s="21">
        <v>6737.65</v>
      </c>
      <c r="N1959" s="21">
        <v>6594.66</v>
      </c>
      <c r="O1959" s="21">
        <v>-578.9</v>
      </c>
      <c r="P1959" t="s">
        <v>123</v>
      </c>
      <c r="Q1959" t="s">
        <v>122</v>
      </c>
      <c r="R1959" t="s">
        <v>151</v>
      </c>
      <c r="S1959" t="s">
        <v>426</v>
      </c>
      <c r="T1959" t="s">
        <v>153</v>
      </c>
      <c r="U1959" t="s">
        <v>184</v>
      </c>
      <c r="V1959" t="str">
        <f>IFERROR(INDEX(Products!$C:$C,MATCH(D1959,Products!$A:$A,0)),"Unknown")</f>
        <v>Handbags</v>
      </c>
      <c r="W1959" t="str">
        <f>IFERROR(INDEX(Products!$E:$E,MATCH(D1959,Products!$A:$A,0)),"Unknown")</f>
        <v>Woodland</v>
      </c>
      <c r="X1959" t="str">
        <f>IFERROR(INDEX(Stores!$B:$B,MATCH(E1959,Stores!$A:$A,0)),"Unknown")</f>
        <v>TrendMart Kozhikode Standard</v>
      </c>
      <c r="Y1959" t="str">
        <f>IFERROR(INDEX(Stores!$E:$E,MATCH(E1959,Stores!$A:$A,0)),"Unknown")</f>
        <v>South Zone 1</v>
      </c>
      <c r="Z1959" t="str">
        <f>IFERROR(INDEX(Customers!$J:$J,MATCH(C1959,Customers!$A:$A,0)),"Unknown")</f>
        <v>Regular</v>
      </c>
      <c r="AA1959" t="str">
        <f t="shared" si="30"/>
        <v>2024-06</v>
      </c>
      <c r="AB1959" t="str">
        <f>IFERROR(INDEX(Products!$I:$I,MATCH(D1959,Products!$A:$A,0)),"Unknown")</f>
        <v>SUP090</v>
      </c>
    </row>
    <row r="1960" spans="1:28" x14ac:dyDescent="0.25">
      <c r="A1960" t="s">
        <v>3951</v>
      </c>
      <c r="B1960" s="20">
        <v>45420</v>
      </c>
      <c r="C1960" t="s">
        <v>2298</v>
      </c>
      <c r="D1960" t="s">
        <v>2353</v>
      </c>
      <c r="E1960" t="s">
        <v>85</v>
      </c>
      <c r="F1960" t="s">
        <v>443</v>
      </c>
      <c r="G1960">
        <v>2</v>
      </c>
      <c r="H1960" s="21">
        <v>695.72</v>
      </c>
      <c r="I1960">
        <v>10</v>
      </c>
      <c r="J1960" s="21">
        <v>139.13999999999999</v>
      </c>
      <c r="K1960">
        <v>5</v>
      </c>
      <c r="L1960" s="21">
        <v>62.62</v>
      </c>
      <c r="M1960" s="21">
        <v>1314.92</v>
      </c>
      <c r="N1960" s="21">
        <v>1008.1</v>
      </c>
      <c r="O1960" s="21">
        <v>244.2</v>
      </c>
      <c r="P1960" t="s">
        <v>121</v>
      </c>
      <c r="Q1960" t="s">
        <v>122</v>
      </c>
      <c r="R1960" t="s">
        <v>151</v>
      </c>
      <c r="S1960" t="s">
        <v>1439</v>
      </c>
      <c r="T1960" t="s">
        <v>153</v>
      </c>
      <c r="U1960" t="s">
        <v>154</v>
      </c>
      <c r="V1960" t="str">
        <f>IFERROR(INDEX(Products!$C:$C,MATCH(D1960,Products!$A:$A,0)),"Unknown")</f>
        <v>Sportswear</v>
      </c>
      <c r="W1960" t="str">
        <f>IFERROR(INDEX(Products!$E:$E,MATCH(D1960,Products!$A:$A,0)),"Unknown")</f>
        <v>Mufti</v>
      </c>
      <c r="X1960" t="str">
        <f>IFERROR(INDEX(Stores!$B:$B,MATCH(E1960,Stores!$A:$A,0)),"Unknown")</f>
        <v>TrendMart Kalaburagi Mall Kiosk</v>
      </c>
      <c r="Y1960" t="str">
        <f>IFERROR(INDEX(Stores!$E:$E,MATCH(E1960,Stores!$A:$A,0)),"Unknown")</f>
        <v>South Zone 2</v>
      </c>
      <c r="Z1960" t="str">
        <f>IFERROR(INDEX(Customers!$J:$J,MATCH(C1960,Customers!$A:$A,0)),"Unknown")</f>
        <v>Platinum</v>
      </c>
      <c r="AA1960" t="str">
        <f t="shared" si="30"/>
        <v>2024-05</v>
      </c>
      <c r="AB1960" t="str">
        <f>IFERROR(INDEX(Products!$I:$I,MATCH(D1960,Products!$A:$A,0)),"Unknown")</f>
        <v>SUP020</v>
      </c>
    </row>
    <row r="1961" spans="1:28" x14ac:dyDescent="0.25">
      <c r="A1961" t="s">
        <v>3952</v>
      </c>
      <c r="B1961" s="20">
        <v>45634</v>
      </c>
      <c r="C1961" t="s">
        <v>1515</v>
      </c>
      <c r="D1961" t="s">
        <v>905</v>
      </c>
      <c r="E1961" t="s">
        <v>425</v>
      </c>
      <c r="F1961" t="s">
        <v>221</v>
      </c>
      <c r="G1961">
        <v>1</v>
      </c>
      <c r="H1961" s="21">
        <v>639.45000000000005</v>
      </c>
      <c r="I1961">
        <v>10</v>
      </c>
      <c r="J1961" s="21">
        <v>63.95</v>
      </c>
      <c r="K1961">
        <v>5</v>
      </c>
      <c r="L1961" s="21">
        <v>28.77</v>
      </c>
      <c r="M1961" s="21">
        <v>604.27</v>
      </c>
      <c r="N1961" s="21">
        <v>371.12</v>
      </c>
      <c r="O1961" s="21">
        <v>204.38</v>
      </c>
      <c r="P1961" t="s">
        <v>121</v>
      </c>
      <c r="Q1961" t="s">
        <v>120</v>
      </c>
      <c r="R1961" t="s">
        <v>151</v>
      </c>
      <c r="S1961" t="s">
        <v>838</v>
      </c>
      <c r="T1961" t="s">
        <v>161</v>
      </c>
      <c r="U1961" t="s">
        <v>154</v>
      </c>
      <c r="V1961" t="str">
        <f>IFERROR(INDEX(Products!$C:$C,MATCH(D1961,Products!$A:$A,0)),"Unknown")</f>
        <v>Wallets</v>
      </c>
      <c r="W1961" t="str">
        <f>IFERROR(INDEX(Products!$E:$E,MATCH(D1961,Products!$A:$A,0)),"Unknown")</f>
        <v>Global Desi</v>
      </c>
      <c r="X1961" t="str">
        <f>IFERROR(INDEX(Stores!$B:$B,MATCH(E1961,Stores!$A:$A,0)),"Unknown")</f>
        <v>TrendMart Kozhikode Outlet</v>
      </c>
      <c r="Y1961" t="str">
        <f>IFERROR(INDEX(Stores!$E:$E,MATCH(E1961,Stores!$A:$A,0)),"Unknown")</f>
        <v>South Zone 1</v>
      </c>
      <c r="Z1961" t="str">
        <f>IFERROR(INDEX(Customers!$J:$J,MATCH(C1961,Customers!$A:$A,0)),"Unknown")</f>
        <v>Regular</v>
      </c>
      <c r="AA1961" t="str">
        <f t="shared" si="30"/>
        <v>2024-12</v>
      </c>
      <c r="AB1961" t="str">
        <f>IFERROR(INDEX(Products!$I:$I,MATCH(D1961,Products!$A:$A,0)),"Unknown")</f>
        <v>SUP051</v>
      </c>
    </row>
    <row r="1962" spans="1:28" x14ac:dyDescent="0.25">
      <c r="A1962" t="s">
        <v>3953</v>
      </c>
      <c r="B1962" s="20">
        <v>45553</v>
      </c>
      <c r="C1962" t="s">
        <v>3445</v>
      </c>
      <c r="D1962" t="s">
        <v>864</v>
      </c>
      <c r="E1962" t="s">
        <v>1023</v>
      </c>
      <c r="F1962" t="s">
        <v>532</v>
      </c>
      <c r="G1962">
        <v>4</v>
      </c>
      <c r="H1962" s="21">
        <v>3182.12</v>
      </c>
      <c r="I1962">
        <v>20</v>
      </c>
      <c r="J1962" s="21">
        <v>2545.6999999999998</v>
      </c>
      <c r="K1962">
        <v>3</v>
      </c>
      <c r="L1962" s="21">
        <v>305.48</v>
      </c>
      <c r="M1962" s="21">
        <v>10488.26</v>
      </c>
      <c r="N1962" s="21">
        <v>7959.72</v>
      </c>
      <c r="O1962" s="21">
        <v>2223.06</v>
      </c>
      <c r="P1962" t="s">
        <v>123</v>
      </c>
      <c r="Q1962" t="s">
        <v>120</v>
      </c>
      <c r="R1962" t="s">
        <v>151</v>
      </c>
      <c r="S1962" t="s">
        <v>1619</v>
      </c>
      <c r="T1962" t="s">
        <v>153</v>
      </c>
      <c r="U1962" t="s">
        <v>154</v>
      </c>
      <c r="V1962" t="str">
        <f>IFERROR(INDEX(Products!$C:$C,MATCH(D1962,Products!$A:$A,0)),"Unknown")</f>
        <v>Jewellery</v>
      </c>
      <c r="W1962" t="str">
        <f>IFERROR(INDEX(Products!$E:$E,MATCH(D1962,Products!$A:$A,0)),"Unknown")</f>
        <v>Wrangler</v>
      </c>
      <c r="X1962" t="str">
        <f>IFERROR(INDEX(Stores!$B:$B,MATCH(E1962,Stores!$A:$A,0)),"Unknown")</f>
        <v>TrendMart Kochi High Street</v>
      </c>
      <c r="Y1962" t="str">
        <f>IFERROR(INDEX(Stores!$E:$E,MATCH(E1962,Stores!$A:$A,0)),"Unknown")</f>
        <v>South Zone 1</v>
      </c>
      <c r="Z1962" t="str">
        <f>IFERROR(INDEX(Customers!$J:$J,MATCH(C1962,Customers!$A:$A,0)),"Unknown")</f>
        <v>Platinum</v>
      </c>
      <c r="AA1962" t="str">
        <f t="shared" si="30"/>
        <v>2024-09</v>
      </c>
      <c r="AB1962" t="str">
        <f>IFERROR(INDEX(Products!$I:$I,MATCH(D1962,Products!$A:$A,0)),"Unknown")</f>
        <v>SUP070</v>
      </c>
    </row>
    <row r="1963" spans="1:28" x14ac:dyDescent="0.25">
      <c r="A1963" t="s">
        <v>3954</v>
      </c>
      <c r="B1963" s="20">
        <v>45562</v>
      </c>
      <c r="C1963" t="s">
        <v>1700</v>
      </c>
      <c r="D1963" t="s">
        <v>633</v>
      </c>
      <c r="E1963" t="s">
        <v>96</v>
      </c>
      <c r="F1963" t="s">
        <v>275</v>
      </c>
      <c r="G1963">
        <v>3</v>
      </c>
      <c r="H1963" s="21">
        <v>651.48</v>
      </c>
      <c r="I1963">
        <v>5</v>
      </c>
      <c r="J1963" s="21">
        <v>97.72</v>
      </c>
      <c r="K1963">
        <v>5</v>
      </c>
      <c r="L1963" s="21">
        <v>92.84</v>
      </c>
      <c r="M1963" s="21">
        <v>1949.56</v>
      </c>
      <c r="N1963" s="21">
        <v>1253.76</v>
      </c>
      <c r="O1963" s="21">
        <v>602.96</v>
      </c>
      <c r="P1963" t="s">
        <v>121</v>
      </c>
      <c r="Q1963" t="s">
        <v>120</v>
      </c>
      <c r="R1963" t="s">
        <v>151</v>
      </c>
      <c r="S1963" t="s">
        <v>953</v>
      </c>
      <c r="T1963" t="s">
        <v>153</v>
      </c>
      <c r="U1963" t="s">
        <v>154</v>
      </c>
      <c r="V1963" t="str">
        <f>IFERROR(INDEX(Products!$C:$C,MATCH(D1963,Products!$A:$A,0)),"Unknown")</f>
        <v>Men T-Shirts</v>
      </c>
      <c r="W1963" t="str">
        <f>IFERROR(INDEX(Products!$E:$E,MATCH(D1963,Products!$A:$A,0)),"Unknown")</f>
        <v>Reebok</v>
      </c>
      <c r="X1963" t="str">
        <f>IFERROR(INDEX(Stores!$B:$B,MATCH(E1963,Stores!$A:$A,0)),"Unknown")</f>
        <v>TrendMart Shivamogga Outlet</v>
      </c>
      <c r="Y1963" t="str">
        <f>IFERROR(INDEX(Stores!$E:$E,MATCH(E1963,Stores!$A:$A,0)),"Unknown")</f>
        <v>South Zone 2</v>
      </c>
      <c r="Z1963" t="str">
        <f>IFERROR(INDEX(Customers!$J:$J,MATCH(C1963,Customers!$A:$A,0)),"Unknown")</f>
        <v>Silver</v>
      </c>
      <c r="AA1963" t="str">
        <f t="shared" si="30"/>
        <v>2024-09</v>
      </c>
      <c r="AB1963" t="str">
        <f>IFERROR(INDEX(Products!$I:$I,MATCH(D1963,Products!$A:$A,0)),"Unknown")</f>
        <v>SUP046</v>
      </c>
    </row>
    <row r="1964" spans="1:28" x14ac:dyDescent="0.25">
      <c r="A1964" t="s">
        <v>3955</v>
      </c>
      <c r="B1964" s="20">
        <v>45510</v>
      </c>
      <c r="C1964" t="s">
        <v>898</v>
      </c>
      <c r="D1964" t="s">
        <v>756</v>
      </c>
      <c r="E1964" t="s">
        <v>727</v>
      </c>
      <c r="F1964" t="s">
        <v>532</v>
      </c>
      <c r="G1964">
        <v>2</v>
      </c>
      <c r="H1964" s="21">
        <v>741.43</v>
      </c>
      <c r="I1964">
        <v>0</v>
      </c>
      <c r="J1964" s="21">
        <v>0</v>
      </c>
      <c r="K1964">
        <v>5</v>
      </c>
      <c r="L1964" s="21">
        <v>74.14</v>
      </c>
      <c r="M1964" s="21">
        <v>1557</v>
      </c>
      <c r="N1964" s="21">
        <v>1044.76</v>
      </c>
      <c r="O1964" s="21">
        <v>438.1</v>
      </c>
      <c r="P1964" t="s">
        <v>123</v>
      </c>
      <c r="Q1964" t="s">
        <v>122</v>
      </c>
      <c r="R1964" t="s">
        <v>151</v>
      </c>
      <c r="S1964" t="s">
        <v>1771</v>
      </c>
      <c r="T1964" t="s">
        <v>153</v>
      </c>
      <c r="U1964" t="s">
        <v>154</v>
      </c>
      <c r="V1964" t="str">
        <f>IFERROR(INDEX(Products!$C:$C,MATCH(D1964,Products!$A:$A,0)),"Unknown")</f>
        <v>Women Tops</v>
      </c>
      <c r="W1964" t="str">
        <f>IFERROR(INDEX(Products!$E:$E,MATCH(D1964,Products!$A:$A,0)),"Unknown")</f>
        <v>Peter England</v>
      </c>
      <c r="X1964" t="str">
        <f>IFERROR(INDEX(Stores!$B:$B,MATCH(E1964,Stores!$A:$A,0)),"Unknown")</f>
        <v>TrendMart Nizamabad Standard</v>
      </c>
      <c r="Y1964" t="str">
        <f>IFERROR(INDEX(Stores!$E:$E,MATCH(E1964,Stores!$A:$A,0)),"Unknown")</f>
        <v>South Zone 2</v>
      </c>
      <c r="Z1964" t="str">
        <f>IFERROR(INDEX(Customers!$J:$J,MATCH(C1964,Customers!$A:$A,0)),"Unknown")</f>
        <v>Gold</v>
      </c>
      <c r="AA1964" t="str">
        <f t="shared" si="30"/>
        <v>2024-08</v>
      </c>
      <c r="AB1964" t="str">
        <f>IFERROR(INDEX(Products!$I:$I,MATCH(D1964,Products!$A:$A,0)),"Unknown")</f>
        <v>SUP018</v>
      </c>
    </row>
    <row r="1965" spans="1:28" x14ac:dyDescent="0.25">
      <c r="A1965" t="s">
        <v>3956</v>
      </c>
      <c r="B1965" s="20">
        <v>45535</v>
      </c>
      <c r="C1965" t="s">
        <v>1291</v>
      </c>
      <c r="D1965" t="s">
        <v>2129</v>
      </c>
      <c r="E1965" t="s">
        <v>456</v>
      </c>
      <c r="F1965" t="s">
        <v>242</v>
      </c>
      <c r="G1965">
        <v>3</v>
      </c>
      <c r="H1965" s="21">
        <v>2831.14</v>
      </c>
      <c r="I1965">
        <v>5</v>
      </c>
      <c r="J1965" s="21">
        <v>424.67</v>
      </c>
      <c r="K1965">
        <v>12</v>
      </c>
      <c r="L1965" s="21">
        <v>968.25</v>
      </c>
      <c r="M1965" s="21">
        <v>9037</v>
      </c>
      <c r="N1965" s="21">
        <v>5664.87</v>
      </c>
      <c r="O1965" s="21">
        <v>2403.88</v>
      </c>
      <c r="P1965" t="s">
        <v>125</v>
      </c>
      <c r="Q1965" t="s">
        <v>120</v>
      </c>
      <c r="R1965" t="s">
        <v>151</v>
      </c>
      <c r="S1965" t="s">
        <v>352</v>
      </c>
      <c r="T1965" t="s">
        <v>161</v>
      </c>
      <c r="U1965" t="s">
        <v>154</v>
      </c>
      <c r="V1965" t="str">
        <f>IFERROR(INDEX(Products!$C:$C,MATCH(D1965,Products!$A:$A,0)),"Unknown")</f>
        <v>Men Ethnic</v>
      </c>
      <c r="W1965" t="str">
        <f>IFERROR(INDEX(Products!$E:$E,MATCH(D1965,Products!$A:$A,0)),"Unknown")</f>
        <v>Reebok</v>
      </c>
      <c r="X1965" t="str">
        <f>IFERROR(INDEX(Stores!$B:$B,MATCH(E1965,Stores!$A:$A,0)),"Unknown")</f>
        <v>TrendMart Salem Outlet</v>
      </c>
      <c r="Y1965" t="str">
        <f>IFERROR(INDEX(Stores!$E:$E,MATCH(E1965,Stores!$A:$A,0)),"Unknown")</f>
        <v>South Zone 1</v>
      </c>
      <c r="Z1965" t="str">
        <f>IFERROR(INDEX(Customers!$J:$J,MATCH(C1965,Customers!$A:$A,0)),"Unknown")</f>
        <v>Gold</v>
      </c>
      <c r="AA1965" t="str">
        <f t="shared" si="30"/>
        <v>2024-08</v>
      </c>
      <c r="AB1965" t="str">
        <f>IFERROR(INDEX(Products!$I:$I,MATCH(D1965,Products!$A:$A,0)),"Unknown")</f>
        <v>SUP029</v>
      </c>
    </row>
    <row r="1966" spans="1:28" x14ac:dyDescent="0.25">
      <c r="A1966" t="s">
        <v>3957</v>
      </c>
      <c r="B1966" s="20">
        <v>45613</v>
      </c>
      <c r="C1966" t="s">
        <v>1527</v>
      </c>
      <c r="D1966" t="s">
        <v>2019</v>
      </c>
      <c r="E1966" t="s">
        <v>914</v>
      </c>
      <c r="F1966" t="s">
        <v>377</v>
      </c>
      <c r="G1966">
        <v>2</v>
      </c>
      <c r="H1966" s="21">
        <v>2158.9899999999998</v>
      </c>
      <c r="I1966">
        <v>15</v>
      </c>
      <c r="J1966" s="21">
        <v>647.70000000000005</v>
      </c>
      <c r="K1966">
        <v>12</v>
      </c>
      <c r="L1966" s="21">
        <v>440.43</v>
      </c>
      <c r="M1966" s="21">
        <v>4110.71</v>
      </c>
      <c r="N1966" s="21">
        <v>3009.58</v>
      </c>
      <c r="O1966" s="21">
        <v>660.7</v>
      </c>
      <c r="P1966" t="s">
        <v>121</v>
      </c>
      <c r="Q1966" t="s">
        <v>120</v>
      </c>
      <c r="R1966" t="s">
        <v>151</v>
      </c>
      <c r="S1966" t="s">
        <v>1806</v>
      </c>
      <c r="T1966" t="s">
        <v>161</v>
      </c>
      <c r="U1966" t="s">
        <v>154</v>
      </c>
      <c r="V1966" t="str">
        <f>IFERROR(INDEX(Products!$C:$C,MATCH(D1966,Products!$A:$A,0)),"Unknown")</f>
        <v>Footwear</v>
      </c>
      <c r="W1966" t="str">
        <f>IFERROR(INDEX(Products!$E:$E,MATCH(D1966,Products!$A:$A,0)),"Unknown")</f>
        <v>Bata</v>
      </c>
      <c r="X1966" t="str">
        <f>IFERROR(INDEX(Stores!$B:$B,MATCH(E1966,Stores!$A:$A,0)),"Unknown")</f>
        <v>TrendMart Thiruvananthapuram Outlet</v>
      </c>
      <c r="Y1966" t="str">
        <f>IFERROR(INDEX(Stores!$E:$E,MATCH(E1966,Stores!$A:$A,0)),"Unknown")</f>
        <v>South Zone 1</v>
      </c>
      <c r="Z1966" t="str">
        <f>IFERROR(INDEX(Customers!$J:$J,MATCH(C1966,Customers!$A:$A,0)),"Unknown")</f>
        <v>Gold</v>
      </c>
      <c r="AA1966" t="str">
        <f t="shared" si="30"/>
        <v>2024-11</v>
      </c>
      <c r="AB1966" t="str">
        <f>IFERROR(INDEX(Products!$I:$I,MATCH(D1966,Products!$A:$A,0)),"Unknown")</f>
        <v>SUP004</v>
      </c>
    </row>
    <row r="1967" spans="1:28" x14ac:dyDescent="0.25">
      <c r="A1967" t="s">
        <v>3958</v>
      </c>
      <c r="B1967" s="20">
        <v>45389</v>
      </c>
      <c r="C1967" t="s">
        <v>2761</v>
      </c>
      <c r="D1967" t="s">
        <v>1095</v>
      </c>
      <c r="E1967" t="s">
        <v>456</v>
      </c>
      <c r="F1967" t="s">
        <v>408</v>
      </c>
      <c r="G1967">
        <v>1</v>
      </c>
      <c r="H1967" s="21">
        <v>1196.5899999999999</v>
      </c>
      <c r="I1967">
        <v>0</v>
      </c>
      <c r="J1967" s="21">
        <v>0</v>
      </c>
      <c r="K1967">
        <v>12</v>
      </c>
      <c r="L1967" s="21">
        <v>143.59</v>
      </c>
      <c r="M1967" s="21">
        <v>1340.18</v>
      </c>
      <c r="N1967" s="21">
        <v>769.63</v>
      </c>
      <c r="O1967" s="21">
        <v>426.96</v>
      </c>
      <c r="P1967" t="s">
        <v>124</v>
      </c>
      <c r="Q1967" t="s">
        <v>120</v>
      </c>
      <c r="R1967" t="s">
        <v>151</v>
      </c>
      <c r="S1967" t="s">
        <v>2311</v>
      </c>
      <c r="T1967" t="s">
        <v>161</v>
      </c>
      <c r="U1967" t="s">
        <v>154</v>
      </c>
      <c r="V1967" t="str">
        <f>IFERROR(INDEX(Products!$C:$C,MATCH(D1967,Products!$A:$A,0)),"Unknown")</f>
        <v>Women Dresses</v>
      </c>
      <c r="W1967" t="str">
        <f>IFERROR(INDEX(Products!$E:$E,MATCH(D1967,Products!$A:$A,0)),"Unknown")</f>
        <v>Ramraj Cotton</v>
      </c>
      <c r="X1967" t="str">
        <f>IFERROR(INDEX(Stores!$B:$B,MATCH(E1967,Stores!$A:$A,0)),"Unknown")</f>
        <v>TrendMart Salem Outlet</v>
      </c>
      <c r="Y1967" t="str">
        <f>IFERROR(INDEX(Stores!$E:$E,MATCH(E1967,Stores!$A:$A,0)),"Unknown")</f>
        <v>South Zone 1</v>
      </c>
      <c r="Z1967" t="str">
        <f>IFERROR(INDEX(Customers!$J:$J,MATCH(C1967,Customers!$A:$A,0)),"Unknown")</f>
        <v>Gold</v>
      </c>
      <c r="AA1967" t="str">
        <f t="shared" si="30"/>
        <v>2024-04</v>
      </c>
      <c r="AB1967" t="str">
        <f>IFERROR(INDEX(Products!$I:$I,MATCH(D1967,Products!$A:$A,0)),"Unknown")</f>
        <v>SUP054</v>
      </c>
    </row>
    <row r="1968" spans="1:28" x14ac:dyDescent="0.25">
      <c r="A1968" t="s">
        <v>3959</v>
      </c>
      <c r="B1968" s="20">
        <v>45592</v>
      </c>
      <c r="C1968" t="s">
        <v>3455</v>
      </c>
      <c r="D1968" t="s">
        <v>633</v>
      </c>
      <c r="E1968" t="s">
        <v>1522</v>
      </c>
      <c r="F1968" t="s">
        <v>344</v>
      </c>
      <c r="G1968">
        <v>5</v>
      </c>
      <c r="H1968" s="21">
        <v>714.14</v>
      </c>
      <c r="I1968">
        <v>20</v>
      </c>
      <c r="J1968" s="21">
        <v>714.14</v>
      </c>
      <c r="K1968">
        <v>5</v>
      </c>
      <c r="L1968" s="21">
        <v>142.83000000000001</v>
      </c>
      <c r="M1968" s="21">
        <v>2999.39</v>
      </c>
      <c r="N1968" s="21">
        <v>2089.6</v>
      </c>
      <c r="O1968" s="21">
        <v>766.96</v>
      </c>
      <c r="P1968" t="s">
        <v>121</v>
      </c>
      <c r="Q1968" t="s">
        <v>120</v>
      </c>
      <c r="R1968" t="s">
        <v>151</v>
      </c>
      <c r="S1968" t="s">
        <v>330</v>
      </c>
      <c r="T1968" t="s">
        <v>161</v>
      </c>
      <c r="U1968" t="s">
        <v>154</v>
      </c>
      <c r="V1968" t="str">
        <f>IFERROR(INDEX(Products!$C:$C,MATCH(D1968,Products!$A:$A,0)),"Unknown")</f>
        <v>Men T-Shirts</v>
      </c>
      <c r="W1968" t="str">
        <f>IFERROR(INDEX(Products!$E:$E,MATCH(D1968,Products!$A:$A,0)),"Unknown")</f>
        <v>Reebok</v>
      </c>
      <c r="X1968" t="str">
        <f>IFERROR(INDEX(Stores!$B:$B,MATCH(E1968,Stores!$A:$A,0)),"Unknown")</f>
        <v>TrendMart Guntur High Street</v>
      </c>
      <c r="Y1968" t="str">
        <f>IFERROR(INDEX(Stores!$E:$E,MATCH(E1968,Stores!$A:$A,0)),"Unknown")</f>
        <v>South Zone 3</v>
      </c>
      <c r="Z1968" t="str">
        <f>IFERROR(INDEX(Customers!$J:$J,MATCH(C1968,Customers!$A:$A,0)),"Unknown")</f>
        <v>Platinum</v>
      </c>
      <c r="AA1968" t="str">
        <f t="shared" si="30"/>
        <v>2024-10</v>
      </c>
      <c r="AB1968" t="str">
        <f>IFERROR(INDEX(Products!$I:$I,MATCH(D1968,Products!$A:$A,0)),"Unknown")</f>
        <v>SUP046</v>
      </c>
    </row>
    <row r="1969" spans="1:28" x14ac:dyDescent="0.25">
      <c r="A1969" t="s">
        <v>3960</v>
      </c>
      <c r="B1969" s="20">
        <v>45638</v>
      </c>
      <c r="C1969" t="s">
        <v>995</v>
      </c>
      <c r="D1969" t="s">
        <v>858</v>
      </c>
      <c r="E1969" t="s">
        <v>727</v>
      </c>
      <c r="F1969" t="s">
        <v>335</v>
      </c>
      <c r="G1969">
        <v>3</v>
      </c>
      <c r="H1969" s="21">
        <v>682.98</v>
      </c>
      <c r="I1969">
        <v>5</v>
      </c>
      <c r="J1969" s="21">
        <v>102.45</v>
      </c>
      <c r="K1969">
        <v>5</v>
      </c>
      <c r="L1969" s="21">
        <v>97.32</v>
      </c>
      <c r="M1969" s="21">
        <v>2043.81</v>
      </c>
      <c r="N1969" s="21">
        <v>1576.35</v>
      </c>
      <c r="O1969" s="21">
        <v>370.14</v>
      </c>
      <c r="P1969" t="s">
        <v>127</v>
      </c>
      <c r="Q1969" t="s">
        <v>120</v>
      </c>
      <c r="R1969" t="s">
        <v>151</v>
      </c>
      <c r="S1969" t="s">
        <v>3961</v>
      </c>
      <c r="T1969" t="s">
        <v>153</v>
      </c>
      <c r="U1969" t="s">
        <v>154</v>
      </c>
      <c r="V1969" t="str">
        <f>IFERROR(INDEX(Products!$C:$C,MATCH(D1969,Products!$A:$A,0)),"Unknown")</f>
        <v>Kids Wear</v>
      </c>
      <c r="W1969" t="str">
        <f>IFERROR(INDEX(Products!$E:$E,MATCH(D1969,Products!$A:$A,0)),"Unknown")</f>
        <v>Sonata</v>
      </c>
      <c r="X1969" t="str">
        <f>IFERROR(INDEX(Stores!$B:$B,MATCH(E1969,Stores!$A:$A,0)),"Unknown")</f>
        <v>TrendMart Nizamabad Standard</v>
      </c>
      <c r="Y1969" t="str">
        <f>IFERROR(INDEX(Stores!$E:$E,MATCH(E1969,Stores!$A:$A,0)),"Unknown")</f>
        <v>South Zone 2</v>
      </c>
      <c r="Z1969" t="str">
        <f>IFERROR(INDEX(Customers!$J:$J,MATCH(C1969,Customers!$A:$A,0)),"Unknown")</f>
        <v>Silver</v>
      </c>
      <c r="AA1969" t="str">
        <f t="shared" si="30"/>
        <v>2024-12</v>
      </c>
      <c r="AB1969" t="str">
        <f>IFERROR(INDEX(Products!$I:$I,MATCH(D1969,Products!$A:$A,0)),"Unknown")</f>
        <v>SUP089</v>
      </c>
    </row>
    <row r="1970" spans="1:28" x14ac:dyDescent="0.25">
      <c r="A1970" t="s">
        <v>3962</v>
      </c>
      <c r="B1970" s="20">
        <v>45728</v>
      </c>
      <c r="C1970" t="s">
        <v>2739</v>
      </c>
      <c r="D1970" t="s">
        <v>769</v>
      </c>
      <c r="E1970" t="s">
        <v>302</v>
      </c>
      <c r="F1970" t="s">
        <v>550</v>
      </c>
      <c r="G1970">
        <v>3</v>
      </c>
      <c r="H1970" s="21">
        <v>1567.04</v>
      </c>
      <c r="I1970">
        <v>10</v>
      </c>
      <c r="J1970" s="21">
        <v>470.11</v>
      </c>
      <c r="K1970">
        <v>12</v>
      </c>
      <c r="L1970" s="21">
        <v>507.72</v>
      </c>
      <c r="M1970" s="21">
        <v>4738.7299999999996</v>
      </c>
      <c r="N1970" s="21">
        <v>3345.57</v>
      </c>
      <c r="O1970" s="21">
        <v>885.44</v>
      </c>
      <c r="P1970" t="s">
        <v>121</v>
      </c>
      <c r="Q1970" t="s">
        <v>120</v>
      </c>
      <c r="R1970" t="s">
        <v>151</v>
      </c>
      <c r="S1970" t="s">
        <v>1482</v>
      </c>
      <c r="T1970" t="s">
        <v>153</v>
      </c>
      <c r="U1970" t="s">
        <v>154</v>
      </c>
      <c r="V1970" t="str">
        <f>IFERROR(INDEX(Products!$C:$C,MATCH(D1970,Products!$A:$A,0)),"Unknown")</f>
        <v>Sportswear</v>
      </c>
      <c r="W1970" t="str">
        <f>IFERROR(INDEX(Products!$E:$E,MATCH(D1970,Products!$A:$A,0)),"Unknown")</f>
        <v>Allen Solly</v>
      </c>
      <c r="X1970" t="str">
        <f>IFERROR(INDEX(Stores!$B:$B,MATCH(E1970,Stores!$A:$A,0)),"Unknown")</f>
        <v>TrendMart Visakhapatnam Standard</v>
      </c>
      <c r="Y1970" t="str">
        <f>IFERROR(INDEX(Stores!$E:$E,MATCH(E1970,Stores!$A:$A,0)),"Unknown")</f>
        <v>South Zone 3</v>
      </c>
      <c r="Z1970" t="str">
        <f>IFERROR(INDEX(Customers!$J:$J,MATCH(C1970,Customers!$A:$A,0)),"Unknown")</f>
        <v>Regular</v>
      </c>
      <c r="AA1970" t="str">
        <f t="shared" si="30"/>
        <v>2025-03</v>
      </c>
      <c r="AB1970" t="str">
        <f>IFERROR(INDEX(Products!$I:$I,MATCH(D1970,Products!$A:$A,0)),"Unknown")</f>
        <v>SUP029</v>
      </c>
    </row>
    <row r="1971" spans="1:28" x14ac:dyDescent="0.25">
      <c r="A1971" t="s">
        <v>3963</v>
      </c>
      <c r="B1971" s="20">
        <v>45722</v>
      </c>
      <c r="C1971" t="s">
        <v>1010</v>
      </c>
      <c r="D1971" t="s">
        <v>520</v>
      </c>
      <c r="E1971" t="s">
        <v>927</v>
      </c>
      <c r="F1971" t="s">
        <v>189</v>
      </c>
      <c r="G1971">
        <v>1</v>
      </c>
      <c r="H1971" s="21">
        <v>1278.54</v>
      </c>
      <c r="I1971">
        <v>10</v>
      </c>
      <c r="J1971" s="21">
        <v>127.85</v>
      </c>
      <c r="K1971">
        <v>12</v>
      </c>
      <c r="L1971" s="21">
        <v>138.08000000000001</v>
      </c>
      <c r="M1971" s="21">
        <v>1288.77</v>
      </c>
      <c r="N1971" s="21">
        <v>903.3</v>
      </c>
      <c r="O1971" s="21">
        <v>247.39</v>
      </c>
      <c r="P1971" t="s">
        <v>127</v>
      </c>
      <c r="Q1971" t="s">
        <v>120</v>
      </c>
      <c r="R1971" t="s">
        <v>151</v>
      </c>
      <c r="S1971" t="s">
        <v>3280</v>
      </c>
      <c r="T1971" t="s">
        <v>153</v>
      </c>
      <c r="U1971" t="s">
        <v>154</v>
      </c>
      <c r="V1971" t="str">
        <f>IFERROR(INDEX(Products!$C:$C,MATCH(D1971,Products!$A:$A,0)),"Unknown")</f>
        <v>Wallets</v>
      </c>
      <c r="W1971" t="str">
        <f>IFERROR(INDEX(Products!$E:$E,MATCH(D1971,Products!$A:$A,0)),"Unknown")</f>
        <v>Nike</v>
      </c>
      <c r="X1971" t="str">
        <f>IFERROR(INDEX(Stores!$B:$B,MATCH(E1971,Stores!$A:$A,0)),"Unknown")</f>
        <v>TrendMart Kochi Mall Kiosk</v>
      </c>
      <c r="Y1971" t="str">
        <f>IFERROR(INDEX(Stores!$E:$E,MATCH(E1971,Stores!$A:$A,0)),"Unknown")</f>
        <v>South Zone 1</v>
      </c>
      <c r="Z1971" t="str">
        <f>IFERROR(INDEX(Customers!$J:$J,MATCH(C1971,Customers!$A:$A,0)),"Unknown")</f>
        <v>Silver</v>
      </c>
      <c r="AA1971" t="str">
        <f t="shared" si="30"/>
        <v>2025-03</v>
      </c>
      <c r="AB1971" t="str">
        <f>IFERROR(INDEX(Products!$I:$I,MATCH(D1971,Products!$A:$A,0)),"Unknown")</f>
        <v>SUP027</v>
      </c>
    </row>
    <row r="1972" spans="1:28" x14ac:dyDescent="0.25">
      <c r="A1972" t="s">
        <v>3964</v>
      </c>
      <c r="B1972" s="20">
        <v>45495</v>
      </c>
      <c r="C1972" t="s">
        <v>2471</v>
      </c>
      <c r="D1972" t="s">
        <v>2751</v>
      </c>
      <c r="E1972" t="s">
        <v>521</v>
      </c>
      <c r="F1972" t="s">
        <v>195</v>
      </c>
      <c r="G1972">
        <v>2</v>
      </c>
      <c r="H1972" s="21">
        <v>406.01</v>
      </c>
      <c r="I1972">
        <v>10</v>
      </c>
      <c r="J1972" s="21">
        <v>81.2</v>
      </c>
      <c r="K1972">
        <v>5</v>
      </c>
      <c r="L1972" s="21">
        <v>36.54</v>
      </c>
      <c r="M1972" s="21">
        <v>767.36</v>
      </c>
      <c r="N1972" s="21">
        <v>638.14</v>
      </c>
      <c r="O1972" s="21">
        <v>92.68</v>
      </c>
      <c r="P1972" t="s">
        <v>125</v>
      </c>
      <c r="Q1972" t="s">
        <v>120</v>
      </c>
      <c r="R1972" t="s">
        <v>151</v>
      </c>
      <c r="S1972" t="s">
        <v>1674</v>
      </c>
      <c r="T1972" t="s">
        <v>153</v>
      </c>
      <c r="U1972" t="s">
        <v>154</v>
      </c>
      <c r="V1972" t="str">
        <f>IFERROR(INDEX(Products!$C:$C,MATCH(D1972,Products!$A:$A,0)),"Unknown")</f>
        <v>Belts</v>
      </c>
      <c r="W1972" t="str">
        <f>IFERROR(INDEX(Products!$E:$E,MATCH(D1972,Products!$A:$A,0)),"Unknown")</f>
        <v>AND</v>
      </c>
      <c r="X1972" t="str">
        <f>IFERROR(INDEX(Stores!$B:$B,MATCH(E1972,Stores!$A:$A,0)),"Unknown")</f>
        <v>TrendMart Tirupati Standard</v>
      </c>
      <c r="Y1972" t="str">
        <f>IFERROR(INDEX(Stores!$E:$E,MATCH(E1972,Stores!$A:$A,0)),"Unknown")</f>
        <v>South Zone 3</v>
      </c>
      <c r="Z1972" t="str">
        <f>IFERROR(INDEX(Customers!$J:$J,MATCH(C1972,Customers!$A:$A,0)),"Unknown")</f>
        <v>Regular</v>
      </c>
      <c r="AA1972" t="str">
        <f t="shared" si="30"/>
        <v>2024-07</v>
      </c>
      <c r="AB1972" t="str">
        <f>IFERROR(INDEX(Products!$I:$I,MATCH(D1972,Products!$A:$A,0)),"Unknown")</f>
        <v>SUP026</v>
      </c>
    </row>
    <row r="1973" spans="1:28" x14ac:dyDescent="0.25">
      <c r="A1973" t="s">
        <v>3965</v>
      </c>
      <c r="B1973" s="20">
        <v>45408</v>
      </c>
      <c r="C1973" t="s">
        <v>582</v>
      </c>
      <c r="D1973" t="s">
        <v>433</v>
      </c>
      <c r="E1973" t="s">
        <v>92</v>
      </c>
      <c r="F1973" t="s">
        <v>286</v>
      </c>
      <c r="G1973">
        <v>1</v>
      </c>
      <c r="H1973" s="21">
        <v>848.72</v>
      </c>
      <c r="I1973">
        <v>30</v>
      </c>
      <c r="J1973" s="21">
        <v>254.62</v>
      </c>
      <c r="K1973">
        <v>5</v>
      </c>
      <c r="L1973" s="21">
        <v>29.7</v>
      </c>
      <c r="M1973" s="21">
        <v>623.79999999999995</v>
      </c>
      <c r="N1973" s="21">
        <v>573.09</v>
      </c>
      <c r="O1973" s="21">
        <v>21.01</v>
      </c>
      <c r="P1973" t="s">
        <v>124</v>
      </c>
      <c r="Q1973" t="s">
        <v>120</v>
      </c>
      <c r="R1973" t="s">
        <v>151</v>
      </c>
      <c r="S1973" t="s">
        <v>2072</v>
      </c>
      <c r="T1973" t="s">
        <v>153</v>
      </c>
      <c r="U1973" t="s">
        <v>154</v>
      </c>
      <c r="V1973" t="str">
        <f>IFERROR(INDEX(Products!$C:$C,MATCH(D1973,Products!$A:$A,0)),"Unknown")</f>
        <v>Women Kurtis</v>
      </c>
      <c r="W1973" t="str">
        <f>IFERROR(INDEX(Products!$E:$E,MATCH(D1973,Products!$A:$A,0)),"Unknown")</f>
        <v>Nike</v>
      </c>
      <c r="X1973" t="str">
        <f>IFERROR(INDEX(Stores!$B:$B,MATCH(E1973,Stores!$A:$A,0)),"Unknown")</f>
        <v>TrendMart Guntur High Street</v>
      </c>
      <c r="Y1973" t="str">
        <f>IFERROR(INDEX(Stores!$E:$E,MATCH(E1973,Stores!$A:$A,0)),"Unknown")</f>
        <v>South Zone 3</v>
      </c>
      <c r="Z1973" t="str">
        <f>IFERROR(INDEX(Customers!$J:$J,MATCH(C1973,Customers!$A:$A,0)),"Unknown")</f>
        <v>Silver</v>
      </c>
      <c r="AA1973" t="str">
        <f t="shared" si="30"/>
        <v>2024-04</v>
      </c>
      <c r="AB1973" t="str">
        <f>IFERROR(INDEX(Products!$I:$I,MATCH(D1973,Products!$A:$A,0)),"Unknown")</f>
        <v>SUP012</v>
      </c>
    </row>
    <row r="1974" spans="1:28" x14ac:dyDescent="0.25">
      <c r="A1974" t="s">
        <v>3966</v>
      </c>
      <c r="B1974" s="20">
        <v>45633</v>
      </c>
      <c r="C1974" t="s">
        <v>2936</v>
      </c>
      <c r="D1974" t="s">
        <v>1780</v>
      </c>
      <c r="E1974" t="s">
        <v>188</v>
      </c>
      <c r="F1974" t="s">
        <v>269</v>
      </c>
      <c r="G1974">
        <v>1</v>
      </c>
      <c r="H1974" s="21">
        <v>1275.6400000000001</v>
      </c>
      <c r="I1974">
        <v>25</v>
      </c>
      <c r="J1974" s="21">
        <v>318.91000000000003</v>
      </c>
      <c r="K1974">
        <v>3</v>
      </c>
      <c r="L1974" s="21">
        <v>28.7</v>
      </c>
      <c r="M1974" s="21">
        <v>985.43</v>
      </c>
      <c r="N1974" s="21">
        <v>910.46</v>
      </c>
      <c r="O1974" s="21">
        <v>46.27</v>
      </c>
      <c r="P1974" t="s">
        <v>125</v>
      </c>
      <c r="Q1974" t="s">
        <v>122</v>
      </c>
      <c r="R1974" t="s">
        <v>151</v>
      </c>
      <c r="S1974" t="s">
        <v>1027</v>
      </c>
      <c r="T1974" t="s">
        <v>161</v>
      </c>
      <c r="U1974" t="s">
        <v>154</v>
      </c>
      <c r="V1974" t="str">
        <f>IFERROR(INDEX(Products!$C:$C,MATCH(D1974,Products!$A:$A,0)),"Unknown")</f>
        <v>Jewellery</v>
      </c>
      <c r="W1974" t="str">
        <f>IFERROR(INDEX(Products!$E:$E,MATCH(D1974,Products!$A:$A,0)),"Unknown")</f>
        <v>Flying Machine</v>
      </c>
      <c r="X1974" t="str">
        <f>IFERROR(INDEX(Stores!$B:$B,MATCH(E1974,Stores!$A:$A,0)),"Unknown")</f>
        <v>TrendMart Vijayawada Standard</v>
      </c>
      <c r="Y1974" t="str">
        <f>IFERROR(INDEX(Stores!$E:$E,MATCH(E1974,Stores!$A:$A,0)),"Unknown")</f>
        <v>South Zone 3</v>
      </c>
      <c r="Z1974" t="str">
        <f>IFERROR(INDEX(Customers!$J:$J,MATCH(C1974,Customers!$A:$A,0)),"Unknown")</f>
        <v>Regular</v>
      </c>
      <c r="AA1974" t="str">
        <f t="shared" si="30"/>
        <v>2024-12</v>
      </c>
      <c r="AB1974" t="str">
        <f>IFERROR(INDEX(Products!$I:$I,MATCH(D1974,Products!$A:$A,0)),"Unknown")</f>
        <v>SUP039</v>
      </c>
    </row>
    <row r="1975" spans="1:28" x14ac:dyDescent="0.25">
      <c r="A1975" t="s">
        <v>3967</v>
      </c>
      <c r="B1975" s="20">
        <v>45577</v>
      </c>
      <c r="C1975" t="s">
        <v>3826</v>
      </c>
      <c r="D1975" t="s">
        <v>864</v>
      </c>
      <c r="E1975" t="s">
        <v>363</v>
      </c>
      <c r="F1975" t="s">
        <v>242</v>
      </c>
      <c r="G1975">
        <v>1</v>
      </c>
      <c r="H1975" s="21">
        <v>3183.75</v>
      </c>
      <c r="I1975">
        <v>0</v>
      </c>
      <c r="J1975" s="21">
        <v>0</v>
      </c>
      <c r="K1975">
        <v>3</v>
      </c>
      <c r="L1975" s="21">
        <v>95.51</v>
      </c>
      <c r="M1975" s="21">
        <v>3279.26</v>
      </c>
      <c r="N1975" s="21">
        <v>1989.93</v>
      </c>
      <c r="O1975" s="21">
        <v>1193.82</v>
      </c>
      <c r="P1975" t="s">
        <v>123</v>
      </c>
      <c r="Q1975" t="s">
        <v>120</v>
      </c>
      <c r="R1975" t="s">
        <v>151</v>
      </c>
      <c r="S1975" t="s">
        <v>807</v>
      </c>
      <c r="T1975" t="s">
        <v>161</v>
      </c>
      <c r="U1975" t="s">
        <v>154</v>
      </c>
      <c r="V1975" t="str">
        <f>IFERROR(INDEX(Products!$C:$C,MATCH(D1975,Products!$A:$A,0)),"Unknown")</f>
        <v>Jewellery</v>
      </c>
      <c r="W1975" t="str">
        <f>IFERROR(INDEX(Products!$E:$E,MATCH(D1975,Products!$A:$A,0)),"Unknown")</f>
        <v>Wrangler</v>
      </c>
      <c r="X1975" t="str">
        <f>IFERROR(INDEX(Stores!$B:$B,MATCH(E1975,Stores!$A:$A,0)),"Unknown")</f>
        <v>TrendMart Thiruvananthapuram High Street</v>
      </c>
      <c r="Y1975" t="str">
        <f>IFERROR(INDEX(Stores!$E:$E,MATCH(E1975,Stores!$A:$A,0)),"Unknown")</f>
        <v>South Zone 1</v>
      </c>
      <c r="Z1975" t="str">
        <f>IFERROR(INDEX(Customers!$J:$J,MATCH(C1975,Customers!$A:$A,0)),"Unknown")</f>
        <v>Regular</v>
      </c>
      <c r="AA1975" t="str">
        <f t="shared" si="30"/>
        <v>2024-10</v>
      </c>
      <c r="AB1975" t="str">
        <f>IFERROR(INDEX(Products!$I:$I,MATCH(D1975,Products!$A:$A,0)),"Unknown")</f>
        <v>SUP070</v>
      </c>
    </row>
    <row r="1976" spans="1:28" x14ac:dyDescent="0.25">
      <c r="A1976" t="s">
        <v>3968</v>
      </c>
      <c r="B1976" s="20">
        <v>45733</v>
      </c>
      <c r="C1976" t="s">
        <v>3969</v>
      </c>
      <c r="D1976" t="s">
        <v>2064</v>
      </c>
      <c r="E1976" t="s">
        <v>429</v>
      </c>
      <c r="F1976" t="s">
        <v>221</v>
      </c>
      <c r="G1976">
        <v>1</v>
      </c>
      <c r="H1976" s="21">
        <v>1765.53</v>
      </c>
      <c r="I1976">
        <v>10</v>
      </c>
      <c r="J1976" s="21">
        <v>176.55</v>
      </c>
      <c r="K1976">
        <v>12</v>
      </c>
      <c r="L1976" s="21">
        <v>190.68</v>
      </c>
      <c r="M1976" s="21">
        <v>1779.66</v>
      </c>
      <c r="N1976" s="21">
        <v>1183.4100000000001</v>
      </c>
      <c r="O1976" s="21">
        <v>405.57</v>
      </c>
      <c r="P1976" t="s">
        <v>125</v>
      </c>
      <c r="Q1976" t="s">
        <v>122</v>
      </c>
      <c r="R1976" t="s">
        <v>151</v>
      </c>
      <c r="S1976" t="s">
        <v>2918</v>
      </c>
      <c r="T1976" t="s">
        <v>153</v>
      </c>
      <c r="U1976" t="s">
        <v>154</v>
      </c>
      <c r="V1976" t="str">
        <f>IFERROR(INDEX(Products!$C:$C,MATCH(D1976,Products!$A:$A,0)),"Unknown")</f>
        <v>Watches</v>
      </c>
      <c r="W1976" t="str">
        <f>IFERROR(INDEX(Products!$E:$E,MATCH(D1976,Products!$A:$A,0)),"Unknown")</f>
        <v>Nalli Silks</v>
      </c>
      <c r="X1976" t="str">
        <f>IFERROR(INDEX(Stores!$B:$B,MATCH(E1976,Stores!$A:$A,0)),"Unknown")</f>
        <v>TrendMart Tirunelveli Flagship</v>
      </c>
      <c r="Y1976" t="str">
        <f>IFERROR(INDEX(Stores!$E:$E,MATCH(E1976,Stores!$A:$A,0)),"Unknown")</f>
        <v>South Zone 1</v>
      </c>
      <c r="Z1976" t="str">
        <f>IFERROR(INDEX(Customers!$J:$J,MATCH(C1976,Customers!$A:$A,0)),"Unknown")</f>
        <v>Regular</v>
      </c>
      <c r="AA1976" t="str">
        <f t="shared" si="30"/>
        <v>2025-03</v>
      </c>
      <c r="AB1976" t="str">
        <f>IFERROR(INDEX(Products!$I:$I,MATCH(D1976,Products!$A:$A,0)),"Unknown")</f>
        <v>SUP020</v>
      </c>
    </row>
    <row r="1977" spans="1:28" x14ac:dyDescent="0.25">
      <c r="A1977" t="s">
        <v>3970</v>
      </c>
      <c r="B1977" s="20">
        <v>45598</v>
      </c>
      <c r="C1977" t="s">
        <v>3061</v>
      </c>
      <c r="D1977" t="s">
        <v>3087</v>
      </c>
      <c r="E1977" t="s">
        <v>1141</v>
      </c>
      <c r="F1977" t="s">
        <v>237</v>
      </c>
      <c r="G1977">
        <v>1</v>
      </c>
      <c r="H1977" s="21">
        <v>1066.0999999999999</v>
      </c>
      <c r="I1977">
        <v>5</v>
      </c>
      <c r="J1977" s="21">
        <v>53.3</v>
      </c>
      <c r="K1977">
        <v>12</v>
      </c>
      <c r="L1977" s="21">
        <v>121.54</v>
      </c>
      <c r="M1977" s="21">
        <v>1134.3399999999999</v>
      </c>
      <c r="N1977" s="21">
        <v>706.99</v>
      </c>
      <c r="O1977" s="21">
        <v>305.81</v>
      </c>
      <c r="P1977" t="s">
        <v>124</v>
      </c>
      <c r="Q1977" t="s">
        <v>122</v>
      </c>
      <c r="R1977" t="s">
        <v>151</v>
      </c>
      <c r="S1977" t="s">
        <v>988</v>
      </c>
      <c r="T1977" t="s">
        <v>161</v>
      </c>
      <c r="U1977" t="s">
        <v>154</v>
      </c>
      <c r="V1977" t="str">
        <f>IFERROR(INDEX(Products!$C:$C,MATCH(D1977,Products!$A:$A,0)),"Unknown")</f>
        <v>Men Trousers</v>
      </c>
      <c r="W1977" t="str">
        <f>IFERROR(INDEX(Products!$E:$E,MATCH(D1977,Products!$A:$A,0)),"Unknown")</f>
        <v>Skechers</v>
      </c>
      <c r="X1977" t="str">
        <f>IFERROR(INDEX(Stores!$B:$B,MATCH(E1977,Stores!$A:$A,0)),"Unknown")</f>
        <v>TrendMart Kochi Standard</v>
      </c>
      <c r="Y1977" t="str">
        <f>IFERROR(INDEX(Stores!$E:$E,MATCH(E1977,Stores!$A:$A,0)),"Unknown")</f>
        <v>South Zone 1</v>
      </c>
      <c r="Z1977" t="str">
        <f>IFERROR(INDEX(Customers!$J:$J,MATCH(C1977,Customers!$A:$A,0)),"Unknown")</f>
        <v>Regular</v>
      </c>
      <c r="AA1977" t="str">
        <f t="shared" si="30"/>
        <v>2024-11</v>
      </c>
      <c r="AB1977" t="str">
        <f>IFERROR(INDEX(Products!$I:$I,MATCH(D1977,Products!$A:$A,0)),"Unknown")</f>
        <v>SUP067</v>
      </c>
    </row>
    <row r="1978" spans="1:28" x14ac:dyDescent="0.25">
      <c r="A1978" t="s">
        <v>3971</v>
      </c>
      <c r="B1978" s="20">
        <v>45737</v>
      </c>
      <c r="C1978" t="s">
        <v>2708</v>
      </c>
      <c r="D1978" t="s">
        <v>2039</v>
      </c>
      <c r="E1978" t="s">
        <v>188</v>
      </c>
      <c r="F1978" t="s">
        <v>532</v>
      </c>
      <c r="G1978">
        <v>1</v>
      </c>
      <c r="H1978" s="21">
        <v>2857.65</v>
      </c>
      <c r="I1978">
        <v>20</v>
      </c>
      <c r="J1978" s="21">
        <v>571.53</v>
      </c>
      <c r="K1978">
        <v>12</v>
      </c>
      <c r="L1978" s="21">
        <v>274.33</v>
      </c>
      <c r="M1978" s="21">
        <v>2560.4499999999998</v>
      </c>
      <c r="N1978" s="21">
        <v>2078.92</v>
      </c>
      <c r="O1978" s="21">
        <v>207.2</v>
      </c>
      <c r="P1978" t="s">
        <v>121</v>
      </c>
      <c r="Q1978" t="s">
        <v>120</v>
      </c>
      <c r="R1978" t="s">
        <v>151</v>
      </c>
      <c r="S1978" t="s">
        <v>2318</v>
      </c>
      <c r="T1978" t="s">
        <v>153</v>
      </c>
      <c r="U1978" t="s">
        <v>154</v>
      </c>
      <c r="V1978" t="str">
        <f>IFERROR(INDEX(Products!$C:$C,MATCH(D1978,Products!$A:$A,0)),"Unknown")</f>
        <v>Women Sarees</v>
      </c>
      <c r="W1978" t="str">
        <f>IFERROR(INDEX(Products!$E:$E,MATCH(D1978,Products!$A:$A,0)),"Unknown")</f>
        <v>Arrow</v>
      </c>
      <c r="X1978" t="str">
        <f>IFERROR(INDEX(Stores!$B:$B,MATCH(E1978,Stores!$A:$A,0)),"Unknown")</f>
        <v>TrendMart Vijayawada Standard</v>
      </c>
      <c r="Y1978" t="str">
        <f>IFERROR(INDEX(Stores!$E:$E,MATCH(E1978,Stores!$A:$A,0)),"Unknown")</f>
        <v>South Zone 3</v>
      </c>
      <c r="Z1978" t="str">
        <f>IFERROR(INDEX(Customers!$J:$J,MATCH(C1978,Customers!$A:$A,0)),"Unknown")</f>
        <v>Silver</v>
      </c>
      <c r="AA1978" t="str">
        <f t="shared" si="30"/>
        <v>2025-03</v>
      </c>
      <c r="AB1978" t="str">
        <f>IFERROR(INDEX(Products!$I:$I,MATCH(D1978,Products!$A:$A,0)),"Unknown")</f>
        <v>SUP087</v>
      </c>
    </row>
    <row r="1979" spans="1:28" x14ac:dyDescent="0.25">
      <c r="A1979" t="s">
        <v>3972</v>
      </c>
      <c r="B1979" s="20">
        <v>45654</v>
      </c>
      <c r="C1979" t="s">
        <v>3973</v>
      </c>
      <c r="D1979" t="s">
        <v>697</v>
      </c>
      <c r="E1979" t="s">
        <v>181</v>
      </c>
      <c r="F1979" t="s">
        <v>176</v>
      </c>
      <c r="G1979">
        <v>4</v>
      </c>
      <c r="H1979" s="21">
        <v>1111.81</v>
      </c>
      <c r="I1979">
        <v>25</v>
      </c>
      <c r="J1979" s="21">
        <v>1111.81</v>
      </c>
      <c r="K1979">
        <v>12</v>
      </c>
      <c r="L1979" s="21">
        <v>400.25</v>
      </c>
      <c r="M1979" s="21">
        <v>3735.68</v>
      </c>
      <c r="N1979" s="21">
        <v>2799.36</v>
      </c>
      <c r="O1979" s="21">
        <v>536.07000000000005</v>
      </c>
      <c r="P1979" t="s">
        <v>125</v>
      </c>
      <c r="Q1979" t="s">
        <v>122</v>
      </c>
      <c r="R1979" t="s">
        <v>151</v>
      </c>
      <c r="S1979" t="s">
        <v>2731</v>
      </c>
      <c r="T1979" t="s">
        <v>161</v>
      </c>
      <c r="U1979" t="s">
        <v>154</v>
      </c>
      <c r="V1979" t="str">
        <f>IFERROR(INDEX(Products!$C:$C,MATCH(D1979,Products!$A:$A,0)),"Unknown")</f>
        <v>Women Tops</v>
      </c>
      <c r="W1979" t="str">
        <f>IFERROR(INDEX(Products!$E:$E,MATCH(D1979,Products!$A:$A,0)),"Unknown")</f>
        <v>Nalli Silks</v>
      </c>
      <c r="X1979" t="str">
        <f>IFERROR(INDEX(Stores!$B:$B,MATCH(E1979,Stores!$A:$A,0)),"Unknown")</f>
        <v>TrendMart Kurnool High Street</v>
      </c>
      <c r="Y1979" t="str">
        <f>IFERROR(INDEX(Stores!$E:$E,MATCH(E1979,Stores!$A:$A,0)),"Unknown")</f>
        <v>South Zone 3</v>
      </c>
      <c r="Z1979" t="str">
        <f>IFERROR(INDEX(Customers!$J:$J,MATCH(C1979,Customers!$A:$A,0)),"Unknown")</f>
        <v>Silver</v>
      </c>
      <c r="AA1979" t="str">
        <f t="shared" si="30"/>
        <v>2024-12</v>
      </c>
      <c r="AB1979" t="str">
        <f>IFERROR(INDEX(Products!$I:$I,MATCH(D1979,Products!$A:$A,0)),"Unknown")</f>
        <v>SUP008</v>
      </c>
    </row>
    <row r="1980" spans="1:28" x14ac:dyDescent="0.25">
      <c r="A1980" t="s">
        <v>3974</v>
      </c>
      <c r="B1980" s="20">
        <v>45487</v>
      </c>
      <c r="C1980" t="s">
        <v>1082</v>
      </c>
      <c r="D1980" t="s">
        <v>2392</v>
      </c>
      <c r="E1980" t="s">
        <v>425</v>
      </c>
      <c r="F1980" t="s">
        <v>308</v>
      </c>
      <c r="G1980">
        <v>1</v>
      </c>
      <c r="H1980" s="21">
        <v>1198.52</v>
      </c>
      <c r="I1980">
        <v>10</v>
      </c>
      <c r="J1980" s="21">
        <v>119.85</v>
      </c>
      <c r="K1980">
        <v>12</v>
      </c>
      <c r="L1980" s="21">
        <v>129.44</v>
      </c>
      <c r="M1980" s="21">
        <v>1208.1099999999999</v>
      </c>
      <c r="N1980" s="21">
        <v>744</v>
      </c>
      <c r="O1980" s="21">
        <v>334.67</v>
      </c>
      <c r="P1980" t="s">
        <v>124</v>
      </c>
      <c r="Q1980" t="s">
        <v>122</v>
      </c>
      <c r="R1980" t="s">
        <v>151</v>
      </c>
      <c r="S1980" t="s">
        <v>728</v>
      </c>
      <c r="T1980" t="s">
        <v>161</v>
      </c>
      <c r="U1980" t="s">
        <v>154</v>
      </c>
      <c r="V1980" t="str">
        <f>IFERROR(INDEX(Products!$C:$C,MATCH(D1980,Products!$A:$A,0)),"Unknown")</f>
        <v>Women Kurtis</v>
      </c>
      <c r="W1980" t="str">
        <f>IFERROR(INDEX(Products!$E:$E,MATCH(D1980,Products!$A:$A,0)),"Unknown")</f>
        <v>Reebok</v>
      </c>
      <c r="X1980" t="str">
        <f>IFERROR(INDEX(Stores!$B:$B,MATCH(E1980,Stores!$A:$A,0)),"Unknown")</f>
        <v>TrendMart Kozhikode Outlet</v>
      </c>
      <c r="Y1980" t="str">
        <f>IFERROR(INDEX(Stores!$E:$E,MATCH(E1980,Stores!$A:$A,0)),"Unknown")</f>
        <v>South Zone 1</v>
      </c>
      <c r="Z1980" t="str">
        <f>IFERROR(INDEX(Customers!$J:$J,MATCH(C1980,Customers!$A:$A,0)),"Unknown")</f>
        <v>Regular</v>
      </c>
      <c r="AA1980" t="str">
        <f t="shared" si="30"/>
        <v>2024-07</v>
      </c>
      <c r="AB1980" t="str">
        <f>IFERROR(INDEX(Products!$I:$I,MATCH(D1980,Products!$A:$A,0)),"Unknown")</f>
        <v>SUP029</v>
      </c>
    </row>
    <row r="1981" spans="1:28" x14ac:dyDescent="0.25">
      <c r="A1981" t="s">
        <v>3975</v>
      </c>
      <c r="B1981" s="20">
        <v>45513</v>
      </c>
      <c r="C1981" t="s">
        <v>3976</v>
      </c>
      <c r="D1981" t="s">
        <v>769</v>
      </c>
      <c r="E1981" t="s">
        <v>396</v>
      </c>
      <c r="F1981" t="s">
        <v>550</v>
      </c>
      <c r="G1981">
        <v>1</v>
      </c>
      <c r="H1981" s="21">
        <v>1549.8</v>
      </c>
      <c r="I1981">
        <v>20</v>
      </c>
      <c r="J1981" s="21">
        <v>309.95999999999998</v>
      </c>
      <c r="K1981">
        <v>12</v>
      </c>
      <c r="L1981" s="21">
        <v>148.78</v>
      </c>
      <c r="M1981" s="21">
        <v>1388.62</v>
      </c>
      <c r="N1981" s="21">
        <v>1115.19</v>
      </c>
      <c r="O1981" s="21">
        <v>124.65</v>
      </c>
      <c r="P1981" t="s">
        <v>126</v>
      </c>
      <c r="Q1981" t="s">
        <v>120</v>
      </c>
      <c r="R1981" t="s">
        <v>151</v>
      </c>
      <c r="S1981" t="s">
        <v>3912</v>
      </c>
      <c r="T1981" t="s">
        <v>153</v>
      </c>
      <c r="U1981" t="s">
        <v>154</v>
      </c>
      <c r="V1981" t="str">
        <f>IFERROR(INDEX(Products!$C:$C,MATCH(D1981,Products!$A:$A,0)),"Unknown")</f>
        <v>Sportswear</v>
      </c>
      <c r="W1981" t="str">
        <f>IFERROR(INDEX(Products!$E:$E,MATCH(D1981,Products!$A:$A,0)),"Unknown")</f>
        <v>Allen Solly</v>
      </c>
      <c r="X1981" t="str">
        <f>IFERROR(INDEX(Stores!$B:$B,MATCH(E1981,Stores!$A:$A,0)),"Unknown")</f>
        <v>TrendMart Davanagere High Street</v>
      </c>
      <c r="Y1981" t="str">
        <f>IFERROR(INDEX(Stores!$E:$E,MATCH(E1981,Stores!$A:$A,0)),"Unknown")</f>
        <v>South Zone 2</v>
      </c>
      <c r="Z1981" t="str">
        <f>IFERROR(INDEX(Customers!$J:$J,MATCH(C1981,Customers!$A:$A,0)),"Unknown")</f>
        <v>Regular</v>
      </c>
      <c r="AA1981" t="str">
        <f t="shared" si="30"/>
        <v>2024-08</v>
      </c>
      <c r="AB1981" t="str">
        <f>IFERROR(INDEX(Products!$I:$I,MATCH(D1981,Products!$A:$A,0)),"Unknown")</f>
        <v>SUP029</v>
      </c>
    </row>
    <row r="1982" spans="1:28" x14ac:dyDescent="0.25">
      <c r="A1982" t="s">
        <v>3977</v>
      </c>
      <c r="B1982" s="20">
        <v>45540</v>
      </c>
      <c r="C1982" t="s">
        <v>2086</v>
      </c>
      <c r="D1982" t="s">
        <v>740</v>
      </c>
      <c r="E1982" t="s">
        <v>82</v>
      </c>
      <c r="F1982" t="s">
        <v>159</v>
      </c>
      <c r="G1982">
        <v>1</v>
      </c>
      <c r="H1982" s="21">
        <v>2434.11</v>
      </c>
      <c r="I1982">
        <v>30</v>
      </c>
      <c r="J1982" s="21">
        <v>730.23</v>
      </c>
      <c r="K1982">
        <v>12</v>
      </c>
      <c r="L1982" s="21">
        <v>204.47</v>
      </c>
      <c r="M1982" s="21">
        <v>1908.35</v>
      </c>
      <c r="N1982" s="21">
        <v>1551.42</v>
      </c>
      <c r="O1982" s="21">
        <v>152.46</v>
      </c>
      <c r="P1982" t="s">
        <v>121</v>
      </c>
      <c r="Q1982" t="s">
        <v>120</v>
      </c>
      <c r="R1982" t="s">
        <v>151</v>
      </c>
      <c r="S1982" t="s">
        <v>1153</v>
      </c>
      <c r="T1982" t="s">
        <v>153</v>
      </c>
      <c r="U1982" t="s">
        <v>154</v>
      </c>
      <c r="V1982" t="str">
        <f>IFERROR(INDEX(Products!$C:$C,MATCH(D1982,Products!$A:$A,0)),"Unknown")</f>
        <v>Men Ethnic</v>
      </c>
      <c r="W1982" t="str">
        <f>IFERROR(INDEX(Products!$E:$E,MATCH(D1982,Products!$A:$A,0)),"Unknown")</f>
        <v>Max Fashion</v>
      </c>
      <c r="X1982" t="str">
        <f>IFERROR(INDEX(Stores!$B:$B,MATCH(E1982,Stores!$A:$A,0)),"Unknown")</f>
        <v>TrendMart Kochi High Street</v>
      </c>
      <c r="Y1982" t="str">
        <f>IFERROR(INDEX(Stores!$E:$E,MATCH(E1982,Stores!$A:$A,0)),"Unknown")</f>
        <v>South Zone 1</v>
      </c>
      <c r="Z1982" t="str">
        <f>IFERROR(INDEX(Customers!$J:$J,MATCH(C1982,Customers!$A:$A,0)),"Unknown")</f>
        <v>Regular</v>
      </c>
      <c r="AA1982" t="str">
        <f t="shared" si="30"/>
        <v>2024-09</v>
      </c>
      <c r="AB1982" t="str">
        <f>IFERROR(INDEX(Products!$I:$I,MATCH(D1982,Products!$A:$A,0)),"Unknown")</f>
        <v>SUP001</v>
      </c>
    </row>
    <row r="1983" spans="1:28" x14ac:dyDescent="0.25">
      <c r="A1983" t="s">
        <v>3978</v>
      </c>
      <c r="B1983" s="20">
        <v>45459</v>
      </c>
      <c r="C1983" t="s">
        <v>278</v>
      </c>
      <c r="D1983" t="s">
        <v>469</v>
      </c>
      <c r="E1983" t="s">
        <v>360</v>
      </c>
      <c r="F1983" t="s">
        <v>574</v>
      </c>
      <c r="G1983">
        <v>1</v>
      </c>
      <c r="H1983" s="21">
        <v>916.58</v>
      </c>
      <c r="I1983">
        <v>5</v>
      </c>
      <c r="J1983" s="21">
        <v>45.83</v>
      </c>
      <c r="K1983">
        <v>5</v>
      </c>
      <c r="L1983" s="21">
        <v>43.54</v>
      </c>
      <c r="M1983" s="21">
        <v>914.29</v>
      </c>
      <c r="N1983" s="21">
        <v>568.05999999999995</v>
      </c>
      <c r="O1983" s="21">
        <v>302.69</v>
      </c>
      <c r="P1983" t="s">
        <v>123</v>
      </c>
      <c r="Q1983" t="s">
        <v>120</v>
      </c>
      <c r="R1983" t="s">
        <v>151</v>
      </c>
      <c r="S1983" t="s">
        <v>3752</v>
      </c>
      <c r="T1983" t="s">
        <v>161</v>
      </c>
      <c r="U1983" t="s">
        <v>154</v>
      </c>
      <c r="V1983" t="str">
        <f>IFERROR(INDEX(Products!$C:$C,MATCH(D1983,Products!$A:$A,0)),"Unknown")</f>
        <v>Women Kurtis</v>
      </c>
      <c r="W1983" t="str">
        <f>IFERROR(INDEX(Products!$E:$E,MATCH(D1983,Products!$A:$A,0)),"Unknown")</f>
        <v>Libas</v>
      </c>
      <c r="X1983" t="str">
        <f>IFERROR(INDEX(Stores!$B:$B,MATCH(E1983,Stores!$A:$A,0)),"Unknown")</f>
        <v>TrendMart Kochi Standard</v>
      </c>
      <c r="Y1983" t="str">
        <f>IFERROR(INDEX(Stores!$E:$E,MATCH(E1983,Stores!$A:$A,0)),"Unknown")</f>
        <v>South Zone 1</v>
      </c>
      <c r="Z1983" t="str">
        <f>IFERROR(INDEX(Customers!$J:$J,MATCH(C1983,Customers!$A:$A,0)),"Unknown")</f>
        <v>Regular</v>
      </c>
      <c r="AA1983" t="str">
        <f t="shared" si="30"/>
        <v>2024-06</v>
      </c>
      <c r="AB1983" t="str">
        <f>IFERROR(INDEX(Products!$I:$I,MATCH(D1983,Products!$A:$A,0)),"Unknown")</f>
        <v>SUP079</v>
      </c>
    </row>
    <row r="1984" spans="1:28" x14ac:dyDescent="0.25">
      <c r="A1984" t="s">
        <v>3979</v>
      </c>
      <c r="B1984" s="20">
        <v>45657</v>
      </c>
      <c r="C1984" t="s">
        <v>2667</v>
      </c>
      <c r="D1984" t="s">
        <v>2019</v>
      </c>
      <c r="E1984" t="s">
        <v>727</v>
      </c>
      <c r="F1984" t="s">
        <v>382</v>
      </c>
      <c r="G1984">
        <v>2</v>
      </c>
      <c r="H1984" s="21">
        <v>2119.71</v>
      </c>
      <c r="I1984">
        <v>20</v>
      </c>
      <c r="J1984" s="21">
        <v>847.88</v>
      </c>
      <c r="K1984">
        <v>12</v>
      </c>
      <c r="L1984" s="21">
        <v>406.98</v>
      </c>
      <c r="M1984" s="21">
        <v>3798.52</v>
      </c>
      <c r="N1984" s="21">
        <v>3009.58</v>
      </c>
      <c r="O1984" s="21">
        <v>381.96</v>
      </c>
      <c r="P1984" t="s">
        <v>124</v>
      </c>
      <c r="Q1984" t="s">
        <v>120</v>
      </c>
      <c r="R1984" t="s">
        <v>151</v>
      </c>
      <c r="S1984" t="s">
        <v>2867</v>
      </c>
      <c r="T1984" t="s">
        <v>153</v>
      </c>
      <c r="U1984" t="s">
        <v>154</v>
      </c>
      <c r="V1984" t="str">
        <f>IFERROR(INDEX(Products!$C:$C,MATCH(D1984,Products!$A:$A,0)),"Unknown")</f>
        <v>Footwear</v>
      </c>
      <c r="W1984" t="str">
        <f>IFERROR(INDEX(Products!$E:$E,MATCH(D1984,Products!$A:$A,0)),"Unknown")</f>
        <v>Bata</v>
      </c>
      <c r="X1984" t="str">
        <f>IFERROR(INDEX(Stores!$B:$B,MATCH(E1984,Stores!$A:$A,0)),"Unknown")</f>
        <v>TrendMart Nizamabad Standard</v>
      </c>
      <c r="Y1984" t="str">
        <f>IFERROR(INDEX(Stores!$E:$E,MATCH(E1984,Stores!$A:$A,0)),"Unknown")</f>
        <v>South Zone 2</v>
      </c>
      <c r="Z1984" t="str">
        <f>IFERROR(INDEX(Customers!$J:$J,MATCH(C1984,Customers!$A:$A,0)),"Unknown")</f>
        <v>Regular</v>
      </c>
      <c r="AA1984" t="str">
        <f t="shared" si="30"/>
        <v>2024-12</v>
      </c>
      <c r="AB1984" t="str">
        <f>IFERROR(INDEX(Products!$I:$I,MATCH(D1984,Products!$A:$A,0)),"Unknown")</f>
        <v>SUP004</v>
      </c>
    </row>
    <row r="1985" spans="1:28" x14ac:dyDescent="0.25">
      <c r="A1985" t="s">
        <v>3980</v>
      </c>
      <c r="B1985" s="20">
        <v>45418</v>
      </c>
      <c r="C1985" t="s">
        <v>853</v>
      </c>
      <c r="D1985" t="s">
        <v>149</v>
      </c>
      <c r="E1985" t="s">
        <v>1512</v>
      </c>
      <c r="F1985" t="s">
        <v>269</v>
      </c>
      <c r="G1985">
        <v>1</v>
      </c>
      <c r="H1985" s="21">
        <v>758.75</v>
      </c>
      <c r="I1985">
        <v>0</v>
      </c>
      <c r="J1985" s="21">
        <v>0</v>
      </c>
      <c r="K1985">
        <v>5</v>
      </c>
      <c r="L1985" s="21">
        <v>37.94</v>
      </c>
      <c r="M1985" s="21">
        <v>796.69</v>
      </c>
      <c r="N1985" s="21">
        <v>496.67</v>
      </c>
      <c r="O1985" s="21">
        <v>262.08</v>
      </c>
      <c r="P1985" t="s">
        <v>125</v>
      </c>
      <c r="Q1985" t="s">
        <v>120</v>
      </c>
      <c r="R1985" t="s">
        <v>151</v>
      </c>
      <c r="S1985" t="s">
        <v>2717</v>
      </c>
      <c r="T1985" t="s">
        <v>153</v>
      </c>
      <c r="U1985" t="s">
        <v>154</v>
      </c>
      <c r="V1985" t="str">
        <f>IFERROR(INDEX(Products!$C:$C,MATCH(D1985,Products!$A:$A,0)),"Unknown")</f>
        <v>Women Kurtis</v>
      </c>
      <c r="W1985" t="str">
        <f>IFERROR(INDEX(Products!$E:$E,MATCH(D1985,Products!$A:$A,0)),"Unknown")</f>
        <v>Pepe Jeans</v>
      </c>
      <c r="X1985" t="str">
        <f>IFERROR(INDEX(Stores!$B:$B,MATCH(E1985,Stores!$A:$A,0)),"Unknown")</f>
        <v>TrendMart Erode Mall Kiosk</v>
      </c>
      <c r="Y1985" t="str">
        <f>IFERROR(INDEX(Stores!$E:$E,MATCH(E1985,Stores!$A:$A,0)),"Unknown")</f>
        <v>South Zone 1</v>
      </c>
      <c r="Z1985" t="str">
        <f>IFERROR(INDEX(Customers!$J:$J,MATCH(C1985,Customers!$A:$A,0)),"Unknown")</f>
        <v>Gold</v>
      </c>
      <c r="AA1985" t="str">
        <f t="shared" si="30"/>
        <v>2024-05</v>
      </c>
      <c r="AB1985" t="str">
        <f>IFERROR(INDEX(Products!$I:$I,MATCH(D1985,Products!$A:$A,0)),"Unknown")</f>
        <v>SUP049</v>
      </c>
    </row>
    <row r="1986" spans="1:28" x14ac:dyDescent="0.25">
      <c r="A1986" t="s">
        <v>3981</v>
      </c>
      <c r="B1986" s="20">
        <v>45577</v>
      </c>
      <c r="C1986" t="s">
        <v>3982</v>
      </c>
      <c r="D1986" t="s">
        <v>558</v>
      </c>
      <c r="E1986" t="s">
        <v>521</v>
      </c>
      <c r="F1986" t="s">
        <v>532</v>
      </c>
      <c r="G1986">
        <v>3</v>
      </c>
      <c r="H1986" s="21">
        <v>684.05</v>
      </c>
      <c r="I1986">
        <v>0</v>
      </c>
      <c r="J1986" s="21">
        <v>0</v>
      </c>
      <c r="K1986">
        <v>5</v>
      </c>
      <c r="L1986" s="21">
        <v>102.61</v>
      </c>
      <c r="M1986" s="21">
        <v>2154.7600000000002</v>
      </c>
      <c r="N1986" s="21">
        <v>1371.48</v>
      </c>
      <c r="O1986" s="21">
        <v>680.67</v>
      </c>
      <c r="P1986" t="s">
        <v>125</v>
      </c>
      <c r="Q1986" t="s">
        <v>120</v>
      </c>
      <c r="R1986" t="s">
        <v>151</v>
      </c>
      <c r="S1986" t="s">
        <v>3983</v>
      </c>
      <c r="T1986" t="s">
        <v>161</v>
      </c>
      <c r="U1986" t="s">
        <v>154</v>
      </c>
      <c r="V1986" t="str">
        <f>IFERROR(INDEX(Products!$C:$C,MATCH(D1986,Products!$A:$A,0)),"Unknown")</f>
        <v>Women Tops</v>
      </c>
      <c r="W1986" t="str">
        <f>IFERROR(INDEX(Products!$E:$E,MATCH(D1986,Products!$A:$A,0)),"Unknown")</f>
        <v>Aurelia</v>
      </c>
      <c r="X1986" t="str">
        <f>IFERROR(INDEX(Stores!$B:$B,MATCH(E1986,Stores!$A:$A,0)),"Unknown")</f>
        <v>TrendMart Tirupati Standard</v>
      </c>
      <c r="Y1986" t="str">
        <f>IFERROR(INDEX(Stores!$E:$E,MATCH(E1986,Stores!$A:$A,0)),"Unknown")</f>
        <v>South Zone 3</v>
      </c>
      <c r="Z1986" t="str">
        <f>IFERROR(INDEX(Customers!$J:$J,MATCH(C1986,Customers!$A:$A,0)),"Unknown")</f>
        <v>Platinum</v>
      </c>
      <c r="AA1986" t="str">
        <f t="shared" ref="AA1986:AA2049" si="31">TEXT(B1986,"YYYY-MM")</f>
        <v>2024-10</v>
      </c>
      <c r="AB1986" t="str">
        <f>IFERROR(INDEX(Products!$I:$I,MATCH(D1986,Products!$A:$A,0)),"Unknown")</f>
        <v>SUP055</v>
      </c>
    </row>
    <row r="1987" spans="1:28" x14ac:dyDescent="0.25">
      <c r="A1987" t="s">
        <v>3984</v>
      </c>
      <c r="B1987" s="20">
        <v>45461</v>
      </c>
      <c r="C1987" t="s">
        <v>441</v>
      </c>
      <c r="D1987" t="s">
        <v>502</v>
      </c>
      <c r="E1987" t="s">
        <v>85</v>
      </c>
      <c r="F1987" t="s">
        <v>574</v>
      </c>
      <c r="G1987">
        <v>4</v>
      </c>
      <c r="H1987" s="21">
        <v>3070.43</v>
      </c>
      <c r="I1987">
        <v>10</v>
      </c>
      <c r="J1987" s="21">
        <v>1228.17</v>
      </c>
      <c r="K1987">
        <v>12</v>
      </c>
      <c r="L1987" s="21">
        <v>1326.43</v>
      </c>
      <c r="M1987" s="21">
        <v>12379.98</v>
      </c>
      <c r="N1987" s="21">
        <v>8605.36</v>
      </c>
      <c r="O1987" s="21">
        <v>2448.19</v>
      </c>
      <c r="P1987" t="s">
        <v>124</v>
      </c>
      <c r="Q1987" t="s">
        <v>120</v>
      </c>
      <c r="R1987" t="s">
        <v>151</v>
      </c>
      <c r="S1987" t="s">
        <v>1122</v>
      </c>
      <c r="T1987" t="s">
        <v>153</v>
      </c>
      <c r="U1987" t="s">
        <v>154</v>
      </c>
      <c r="V1987" t="str">
        <f>IFERROR(INDEX(Products!$C:$C,MATCH(D1987,Products!$A:$A,0)),"Unknown")</f>
        <v>Handbags</v>
      </c>
      <c r="W1987" t="str">
        <f>IFERROR(INDEX(Products!$E:$E,MATCH(D1987,Products!$A:$A,0)),"Unknown")</f>
        <v>Libas</v>
      </c>
      <c r="X1987" t="str">
        <f>IFERROR(INDEX(Stores!$B:$B,MATCH(E1987,Stores!$A:$A,0)),"Unknown")</f>
        <v>TrendMart Kalaburagi Mall Kiosk</v>
      </c>
      <c r="Y1987" t="str">
        <f>IFERROR(INDEX(Stores!$E:$E,MATCH(E1987,Stores!$A:$A,0)),"Unknown")</f>
        <v>South Zone 2</v>
      </c>
      <c r="Z1987" t="str">
        <f>IFERROR(INDEX(Customers!$J:$J,MATCH(C1987,Customers!$A:$A,0)),"Unknown")</f>
        <v>Gold</v>
      </c>
      <c r="AA1987" t="str">
        <f t="shared" si="31"/>
        <v>2024-06</v>
      </c>
      <c r="AB1987" t="str">
        <f>IFERROR(INDEX(Products!$I:$I,MATCH(D1987,Products!$A:$A,0)),"Unknown")</f>
        <v>SUP070</v>
      </c>
    </row>
    <row r="1988" spans="1:28" x14ac:dyDescent="0.25">
      <c r="A1988" t="s">
        <v>3985</v>
      </c>
      <c r="B1988" s="20">
        <v>45527</v>
      </c>
      <c r="C1988" t="s">
        <v>3190</v>
      </c>
      <c r="D1988" t="s">
        <v>333</v>
      </c>
      <c r="E1988" t="s">
        <v>247</v>
      </c>
      <c r="F1988" t="s">
        <v>150</v>
      </c>
      <c r="G1988">
        <v>1</v>
      </c>
      <c r="H1988" s="21">
        <v>2561.12</v>
      </c>
      <c r="I1988">
        <v>10</v>
      </c>
      <c r="J1988" s="21">
        <v>256.11</v>
      </c>
      <c r="K1988">
        <v>12</v>
      </c>
      <c r="L1988" s="21">
        <v>276.60000000000002</v>
      </c>
      <c r="M1988" s="21">
        <v>2581.61</v>
      </c>
      <c r="N1988" s="21">
        <v>1767.32</v>
      </c>
      <c r="O1988" s="21">
        <v>537.69000000000005</v>
      </c>
      <c r="P1988" t="s">
        <v>125</v>
      </c>
      <c r="Q1988" t="s">
        <v>122</v>
      </c>
      <c r="R1988" t="s">
        <v>151</v>
      </c>
      <c r="S1988" t="s">
        <v>1712</v>
      </c>
      <c r="T1988" t="s">
        <v>153</v>
      </c>
      <c r="U1988" t="s">
        <v>154</v>
      </c>
      <c r="V1988" t="str">
        <f>IFERROR(INDEX(Products!$C:$C,MATCH(D1988,Products!$A:$A,0)),"Unknown")</f>
        <v>Winter Wear</v>
      </c>
      <c r="W1988" t="str">
        <f>IFERROR(INDEX(Products!$E:$E,MATCH(D1988,Products!$A:$A,0)),"Unknown")</f>
        <v>GRT Jewellers</v>
      </c>
      <c r="X1988" t="str">
        <f>IFERROR(INDEX(Stores!$B:$B,MATCH(E1988,Stores!$A:$A,0)),"Unknown")</f>
        <v>TrendMart Tirupati Outlet</v>
      </c>
      <c r="Y1988" t="str">
        <f>IFERROR(INDEX(Stores!$E:$E,MATCH(E1988,Stores!$A:$A,0)),"Unknown")</f>
        <v>South Zone 3</v>
      </c>
      <c r="Z1988" t="str">
        <f>IFERROR(INDEX(Customers!$J:$J,MATCH(C1988,Customers!$A:$A,0)),"Unknown")</f>
        <v>Regular</v>
      </c>
      <c r="AA1988" t="str">
        <f t="shared" si="31"/>
        <v>2024-08</v>
      </c>
      <c r="AB1988" t="str">
        <f>IFERROR(INDEX(Products!$I:$I,MATCH(D1988,Products!$A:$A,0)),"Unknown")</f>
        <v>SUP052</v>
      </c>
    </row>
    <row r="1989" spans="1:28" x14ac:dyDescent="0.25">
      <c r="A1989" t="s">
        <v>3986</v>
      </c>
      <c r="B1989" s="20">
        <v>45472</v>
      </c>
      <c r="C1989" t="s">
        <v>3580</v>
      </c>
      <c r="D1989" t="s">
        <v>1421</v>
      </c>
      <c r="E1989" t="s">
        <v>578</v>
      </c>
      <c r="F1989" t="s">
        <v>201</v>
      </c>
      <c r="G1989">
        <v>3</v>
      </c>
      <c r="H1989" s="21">
        <v>1173.0999999999999</v>
      </c>
      <c r="I1989">
        <v>0</v>
      </c>
      <c r="J1989" s="21">
        <v>0</v>
      </c>
      <c r="K1989">
        <v>12</v>
      </c>
      <c r="L1989" s="21">
        <v>422.32</v>
      </c>
      <c r="M1989" s="21">
        <v>3941.62</v>
      </c>
      <c r="N1989" s="21">
        <v>2451.9899999999998</v>
      </c>
      <c r="O1989" s="21">
        <v>1067.31</v>
      </c>
      <c r="P1989" t="s">
        <v>124</v>
      </c>
      <c r="Q1989" t="s">
        <v>120</v>
      </c>
      <c r="R1989" t="s">
        <v>151</v>
      </c>
      <c r="S1989" t="s">
        <v>555</v>
      </c>
      <c r="T1989" t="s">
        <v>161</v>
      </c>
      <c r="U1989" t="s">
        <v>154</v>
      </c>
      <c r="V1989" t="str">
        <f>IFERROR(INDEX(Products!$C:$C,MATCH(D1989,Products!$A:$A,0)),"Unknown")</f>
        <v>Men Jeans</v>
      </c>
      <c r="W1989" t="str">
        <f>IFERROR(INDEX(Products!$E:$E,MATCH(D1989,Products!$A:$A,0)),"Unknown")</f>
        <v>Flying Machine</v>
      </c>
      <c r="X1989" t="str">
        <f>IFERROR(INDEX(Stores!$B:$B,MATCH(E1989,Stores!$A:$A,0)),"Unknown")</f>
        <v>TrendMart Vellore Standard</v>
      </c>
      <c r="Y1989" t="str">
        <f>IFERROR(INDEX(Stores!$E:$E,MATCH(E1989,Stores!$A:$A,0)),"Unknown")</f>
        <v>South Zone 1</v>
      </c>
      <c r="Z1989" t="str">
        <f>IFERROR(INDEX(Customers!$J:$J,MATCH(C1989,Customers!$A:$A,0)),"Unknown")</f>
        <v>Silver</v>
      </c>
      <c r="AA1989" t="str">
        <f t="shared" si="31"/>
        <v>2024-06</v>
      </c>
      <c r="AB1989" t="str">
        <f>IFERROR(INDEX(Products!$I:$I,MATCH(D1989,Products!$A:$A,0)),"Unknown")</f>
        <v>SUP043</v>
      </c>
    </row>
    <row r="1990" spans="1:28" x14ac:dyDescent="0.25">
      <c r="A1990" t="s">
        <v>3987</v>
      </c>
      <c r="B1990" s="20">
        <v>45496</v>
      </c>
      <c r="C1990" t="s">
        <v>1434</v>
      </c>
      <c r="D1990" t="s">
        <v>854</v>
      </c>
      <c r="E1990" t="s">
        <v>1512</v>
      </c>
      <c r="F1990" t="s">
        <v>532</v>
      </c>
      <c r="G1990">
        <v>2</v>
      </c>
      <c r="H1990" s="21">
        <v>1193.0999999999999</v>
      </c>
      <c r="I1990">
        <v>0</v>
      </c>
      <c r="J1990" s="21">
        <v>0</v>
      </c>
      <c r="K1990">
        <v>3</v>
      </c>
      <c r="L1990" s="21">
        <v>71.59</v>
      </c>
      <c r="M1990" s="21">
        <v>2457.79</v>
      </c>
      <c r="N1990" s="21">
        <v>1908.08</v>
      </c>
      <c r="O1990" s="21">
        <v>478.12</v>
      </c>
      <c r="P1990" t="s">
        <v>123</v>
      </c>
      <c r="Q1990" t="s">
        <v>120</v>
      </c>
      <c r="R1990" t="s">
        <v>313</v>
      </c>
      <c r="S1990" t="s">
        <v>2418</v>
      </c>
      <c r="T1990" t="s">
        <v>153</v>
      </c>
      <c r="U1990" t="s">
        <v>154</v>
      </c>
      <c r="V1990" t="str">
        <f>IFERROR(INDEX(Products!$C:$C,MATCH(D1990,Products!$A:$A,0)),"Unknown")</f>
        <v>Jewellery</v>
      </c>
      <c r="W1990" t="str">
        <f>IFERROR(INDEX(Products!$E:$E,MATCH(D1990,Products!$A:$A,0)),"Unknown")</f>
        <v>W for Woman</v>
      </c>
      <c r="X1990" t="str">
        <f>IFERROR(INDEX(Stores!$B:$B,MATCH(E1990,Stores!$A:$A,0)),"Unknown")</f>
        <v>TrendMart Erode Mall Kiosk</v>
      </c>
      <c r="Y1990" t="str">
        <f>IFERROR(INDEX(Stores!$E:$E,MATCH(E1990,Stores!$A:$A,0)),"Unknown")</f>
        <v>South Zone 1</v>
      </c>
      <c r="Z1990" t="str">
        <f>IFERROR(INDEX(Customers!$J:$J,MATCH(C1990,Customers!$A:$A,0)),"Unknown")</f>
        <v>Gold</v>
      </c>
      <c r="AA1990" t="str">
        <f t="shared" si="31"/>
        <v>2024-07</v>
      </c>
      <c r="AB1990" t="str">
        <f>IFERROR(INDEX(Products!$I:$I,MATCH(D1990,Products!$A:$A,0)),"Unknown")</f>
        <v>SUP006</v>
      </c>
    </row>
    <row r="1991" spans="1:28" x14ac:dyDescent="0.25">
      <c r="A1991" t="s">
        <v>3988</v>
      </c>
      <c r="B1991" s="20">
        <v>45574</v>
      </c>
      <c r="C1991" t="s">
        <v>2199</v>
      </c>
      <c r="D1991" t="s">
        <v>279</v>
      </c>
      <c r="E1991" t="s">
        <v>456</v>
      </c>
      <c r="F1991" t="s">
        <v>462</v>
      </c>
      <c r="G1991">
        <v>1</v>
      </c>
      <c r="H1991" s="21">
        <v>3044.88</v>
      </c>
      <c r="I1991">
        <v>20</v>
      </c>
      <c r="J1991" s="21">
        <v>608.98</v>
      </c>
      <c r="K1991">
        <v>12</v>
      </c>
      <c r="L1991" s="21">
        <v>292.31</v>
      </c>
      <c r="M1991" s="21">
        <v>2728.21</v>
      </c>
      <c r="N1991" s="21">
        <v>2069.33</v>
      </c>
      <c r="O1991" s="21">
        <v>366.57</v>
      </c>
      <c r="P1991" t="s">
        <v>124</v>
      </c>
      <c r="Q1991" t="s">
        <v>120</v>
      </c>
      <c r="R1991" t="s">
        <v>151</v>
      </c>
      <c r="S1991" t="s">
        <v>3007</v>
      </c>
      <c r="T1991" t="s">
        <v>153</v>
      </c>
      <c r="U1991" t="s">
        <v>154</v>
      </c>
      <c r="V1991" t="str">
        <f>IFERROR(INDEX(Products!$C:$C,MATCH(D1991,Products!$A:$A,0)),"Unknown")</f>
        <v>Handbags</v>
      </c>
      <c r="W1991" t="str">
        <f>IFERROR(INDEX(Products!$E:$E,MATCH(D1991,Products!$A:$A,0)),"Unknown")</f>
        <v>Westside</v>
      </c>
      <c r="X1991" t="str">
        <f>IFERROR(INDEX(Stores!$B:$B,MATCH(E1991,Stores!$A:$A,0)),"Unknown")</f>
        <v>TrendMart Salem Outlet</v>
      </c>
      <c r="Y1991" t="str">
        <f>IFERROR(INDEX(Stores!$E:$E,MATCH(E1991,Stores!$A:$A,0)),"Unknown")</f>
        <v>South Zone 1</v>
      </c>
      <c r="Z1991" t="str">
        <f>IFERROR(INDEX(Customers!$J:$J,MATCH(C1991,Customers!$A:$A,0)),"Unknown")</f>
        <v>Regular</v>
      </c>
      <c r="AA1991" t="str">
        <f t="shared" si="31"/>
        <v>2024-10</v>
      </c>
      <c r="AB1991" t="str">
        <f>IFERROR(INDEX(Products!$I:$I,MATCH(D1991,Products!$A:$A,0)),"Unknown")</f>
        <v>SUP066</v>
      </c>
    </row>
    <row r="1992" spans="1:28" x14ac:dyDescent="0.25">
      <c r="A1992" t="s">
        <v>3989</v>
      </c>
      <c r="B1992" s="20">
        <v>45608</v>
      </c>
      <c r="C1992" t="s">
        <v>1481</v>
      </c>
      <c r="D1992" t="s">
        <v>236</v>
      </c>
      <c r="E1992" t="s">
        <v>588</v>
      </c>
      <c r="F1992" t="s">
        <v>408</v>
      </c>
      <c r="G1992">
        <v>1</v>
      </c>
      <c r="H1992" s="21">
        <v>782.96</v>
      </c>
      <c r="I1992">
        <v>15</v>
      </c>
      <c r="J1992" s="21">
        <v>117.44</v>
      </c>
      <c r="K1992">
        <v>5</v>
      </c>
      <c r="L1992" s="21">
        <v>33.28</v>
      </c>
      <c r="M1992" s="21">
        <v>698.8</v>
      </c>
      <c r="N1992" s="21">
        <v>550.01</v>
      </c>
      <c r="O1992" s="21">
        <v>115.51</v>
      </c>
      <c r="P1992" t="s">
        <v>123</v>
      </c>
      <c r="Q1992" t="s">
        <v>122</v>
      </c>
      <c r="R1992" t="s">
        <v>151</v>
      </c>
      <c r="S1992" t="s">
        <v>2103</v>
      </c>
      <c r="T1992" t="s">
        <v>153</v>
      </c>
      <c r="U1992" t="s">
        <v>154</v>
      </c>
      <c r="V1992" t="str">
        <f>IFERROR(INDEX(Products!$C:$C,MATCH(D1992,Products!$A:$A,0)),"Unknown")</f>
        <v>Women Tops</v>
      </c>
      <c r="W1992" t="str">
        <f>IFERROR(INDEX(Products!$E:$E,MATCH(D1992,Products!$A:$A,0)),"Unknown")</f>
        <v>Nike</v>
      </c>
      <c r="X1992" t="str">
        <f>IFERROR(INDEX(Stores!$B:$B,MATCH(E1992,Stores!$A:$A,0)),"Unknown")</f>
        <v>TrendMart Nizamabad Standard</v>
      </c>
      <c r="Y1992" t="str">
        <f>IFERROR(INDEX(Stores!$E:$E,MATCH(E1992,Stores!$A:$A,0)),"Unknown")</f>
        <v>South Zone 2</v>
      </c>
      <c r="Z1992" t="str">
        <f>IFERROR(INDEX(Customers!$J:$J,MATCH(C1992,Customers!$A:$A,0)),"Unknown")</f>
        <v>Silver</v>
      </c>
      <c r="AA1992" t="str">
        <f t="shared" si="31"/>
        <v>2024-11</v>
      </c>
      <c r="AB1992" t="str">
        <f>IFERROR(INDEX(Products!$I:$I,MATCH(D1992,Products!$A:$A,0)),"Unknown")</f>
        <v>SUP075</v>
      </c>
    </row>
    <row r="1993" spans="1:28" x14ac:dyDescent="0.25">
      <c r="A1993" t="s">
        <v>3990</v>
      </c>
      <c r="B1993" s="20">
        <v>45723</v>
      </c>
      <c r="C1993" t="s">
        <v>3243</v>
      </c>
      <c r="D1993" t="s">
        <v>236</v>
      </c>
      <c r="E1993" t="s">
        <v>194</v>
      </c>
      <c r="F1993" t="s">
        <v>221</v>
      </c>
      <c r="G1993">
        <v>3</v>
      </c>
      <c r="H1993" s="21">
        <v>821.63</v>
      </c>
      <c r="I1993">
        <v>10</v>
      </c>
      <c r="J1993" s="21">
        <v>246.49</v>
      </c>
      <c r="K1993">
        <v>5</v>
      </c>
      <c r="L1993" s="21">
        <v>110.92</v>
      </c>
      <c r="M1993" s="21">
        <v>2329.3200000000002</v>
      </c>
      <c r="N1993" s="21">
        <v>1650.03</v>
      </c>
      <c r="O1993" s="21">
        <v>568.37</v>
      </c>
      <c r="P1993" t="s">
        <v>125</v>
      </c>
      <c r="Q1993" t="s">
        <v>120</v>
      </c>
      <c r="R1993" t="s">
        <v>151</v>
      </c>
      <c r="S1993" t="s">
        <v>1307</v>
      </c>
      <c r="T1993" t="s">
        <v>153</v>
      </c>
      <c r="U1993" t="s">
        <v>154</v>
      </c>
      <c r="V1993" t="str">
        <f>IFERROR(INDEX(Products!$C:$C,MATCH(D1993,Products!$A:$A,0)),"Unknown")</f>
        <v>Women Tops</v>
      </c>
      <c r="W1993" t="str">
        <f>IFERROR(INDEX(Products!$E:$E,MATCH(D1993,Products!$A:$A,0)),"Unknown")</f>
        <v>Nike</v>
      </c>
      <c r="X1993" t="str">
        <f>IFERROR(INDEX(Stores!$B:$B,MATCH(E1993,Stores!$A:$A,0)),"Unknown")</f>
        <v>TrendMart Tirupati High Street</v>
      </c>
      <c r="Y1993" t="str">
        <f>IFERROR(INDEX(Stores!$E:$E,MATCH(E1993,Stores!$A:$A,0)),"Unknown")</f>
        <v>South Zone 3</v>
      </c>
      <c r="Z1993" t="str">
        <f>IFERROR(INDEX(Customers!$J:$J,MATCH(C1993,Customers!$A:$A,0)),"Unknown")</f>
        <v>Gold</v>
      </c>
      <c r="AA1993" t="str">
        <f t="shared" si="31"/>
        <v>2025-03</v>
      </c>
      <c r="AB1993" t="str">
        <f>IFERROR(INDEX(Products!$I:$I,MATCH(D1993,Products!$A:$A,0)),"Unknown")</f>
        <v>SUP075</v>
      </c>
    </row>
    <row r="1994" spans="1:28" x14ac:dyDescent="0.25">
      <c r="A1994" t="s">
        <v>3991</v>
      </c>
      <c r="B1994" s="20">
        <v>45549</v>
      </c>
      <c r="C1994" t="s">
        <v>797</v>
      </c>
      <c r="D1994" t="s">
        <v>926</v>
      </c>
      <c r="E1994" t="s">
        <v>86</v>
      </c>
      <c r="F1994" t="s">
        <v>286</v>
      </c>
      <c r="G1994">
        <v>1</v>
      </c>
      <c r="H1994" s="21">
        <v>1248.1300000000001</v>
      </c>
      <c r="I1994">
        <v>30</v>
      </c>
      <c r="J1994" s="21">
        <v>374.44</v>
      </c>
      <c r="K1994">
        <v>12</v>
      </c>
      <c r="L1994" s="21">
        <v>104.84</v>
      </c>
      <c r="M1994" s="21">
        <v>978.53</v>
      </c>
      <c r="N1994" s="21">
        <v>810.62</v>
      </c>
      <c r="O1994" s="21">
        <v>63.07</v>
      </c>
      <c r="P1994" t="s">
        <v>124</v>
      </c>
      <c r="Q1994" t="s">
        <v>122</v>
      </c>
      <c r="R1994" t="s">
        <v>313</v>
      </c>
      <c r="S1994" t="s">
        <v>1716</v>
      </c>
      <c r="T1994" t="s">
        <v>161</v>
      </c>
      <c r="U1994" t="s">
        <v>154</v>
      </c>
      <c r="V1994" t="str">
        <f>IFERROR(INDEX(Products!$C:$C,MATCH(D1994,Products!$A:$A,0)),"Unknown")</f>
        <v>Women Dresses</v>
      </c>
      <c r="W1994" t="str">
        <f>IFERROR(INDEX(Products!$E:$E,MATCH(D1994,Products!$A:$A,0)),"Unknown")</f>
        <v>Fabindia</v>
      </c>
      <c r="X1994" t="str">
        <f>IFERROR(INDEX(Stores!$B:$B,MATCH(E1994,Stores!$A:$A,0)),"Unknown")</f>
        <v>TrendMart Warangal High Street</v>
      </c>
      <c r="Y1994" t="str">
        <f>IFERROR(INDEX(Stores!$E:$E,MATCH(E1994,Stores!$A:$A,0)),"Unknown")</f>
        <v>South Zone 2</v>
      </c>
      <c r="Z1994" t="str">
        <f>IFERROR(INDEX(Customers!$J:$J,MATCH(C1994,Customers!$A:$A,0)),"Unknown")</f>
        <v>Platinum</v>
      </c>
      <c r="AA1994" t="str">
        <f t="shared" si="31"/>
        <v>2024-09</v>
      </c>
      <c r="AB1994" t="str">
        <f>IFERROR(INDEX(Products!$I:$I,MATCH(D1994,Products!$A:$A,0)),"Unknown")</f>
        <v>SUP059</v>
      </c>
    </row>
    <row r="1995" spans="1:28" x14ac:dyDescent="0.25">
      <c r="A1995" t="s">
        <v>3992</v>
      </c>
      <c r="B1995" s="20">
        <v>45458</v>
      </c>
      <c r="C1995" t="s">
        <v>1704</v>
      </c>
      <c r="D1995" t="s">
        <v>524</v>
      </c>
      <c r="E1995" t="s">
        <v>86</v>
      </c>
      <c r="F1995" t="s">
        <v>532</v>
      </c>
      <c r="G1995">
        <v>2</v>
      </c>
      <c r="H1995" s="21">
        <v>742.48</v>
      </c>
      <c r="I1995">
        <v>5</v>
      </c>
      <c r="J1995" s="21">
        <v>74.25</v>
      </c>
      <c r="K1995">
        <v>5</v>
      </c>
      <c r="L1995" s="21">
        <v>70.540000000000006</v>
      </c>
      <c r="M1995" s="21">
        <v>1481.25</v>
      </c>
      <c r="N1995" s="21">
        <v>1095.3399999999999</v>
      </c>
      <c r="O1995" s="21">
        <v>315.37</v>
      </c>
      <c r="P1995" t="s">
        <v>124</v>
      </c>
      <c r="Q1995" t="s">
        <v>122</v>
      </c>
      <c r="R1995" t="s">
        <v>151</v>
      </c>
      <c r="S1995" t="s">
        <v>378</v>
      </c>
      <c r="T1995" t="s">
        <v>161</v>
      </c>
      <c r="U1995" t="s">
        <v>154</v>
      </c>
      <c r="V1995" t="str">
        <f>IFERROR(INDEX(Products!$C:$C,MATCH(D1995,Products!$A:$A,0)),"Unknown")</f>
        <v>Women Tops</v>
      </c>
      <c r="W1995" t="str">
        <f>IFERROR(INDEX(Products!$E:$E,MATCH(D1995,Products!$A:$A,0)),"Unknown")</f>
        <v>Indian Terrain</v>
      </c>
      <c r="X1995" t="str">
        <f>IFERROR(INDEX(Stores!$B:$B,MATCH(E1995,Stores!$A:$A,0)),"Unknown")</f>
        <v>TrendMart Warangal High Street</v>
      </c>
      <c r="Y1995" t="str">
        <f>IFERROR(INDEX(Stores!$E:$E,MATCH(E1995,Stores!$A:$A,0)),"Unknown")</f>
        <v>South Zone 2</v>
      </c>
      <c r="Z1995" t="str">
        <f>IFERROR(INDEX(Customers!$J:$J,MATCH(C1995,Customers!$A:$A,0)),"Unknown")</f>
        <v>Silver</v>
      </c>
      <c r="AA1995" t="str">
        <f t="shared" si="31"/>
        <v>2024-06</v>
      </c>
      <c r="AB1995" t="str">
        <f>IFERROR(INDEX(Products!$I:$I,MATCH(D1995,Products!$A:$A,0)),"Unknown")</f>
        <v>SUP062</v>
      </c>
    </row>
    <row r="1996" spans="1:28" x14ac:dyDescent="0.25">
      <c r="A1996" t="s">
        <v>3993</v>
      </c>
      <c r="B1996" s="20">
        <v>45459</v>
      </c>
      <c r="C1996" t="s">
        <v>509</v>
      </c>
      <c r="D1996" t="s">
        <v>658</v>
      </c>
      <c r="E1996" t="s">
        <v>86</v>
      </c>
      <c r="F1996" t="s">
        <v>176</v>
      </c>
      <c r="G1996">
        <v>1</v>
      </c>
      <c r="H1996" s="21">
        <v>298.56</v>
      </c>
      <c r="I1996">
        <v>10</v>
      </c>
      <c r="J1996" s="21">
        <v>29.86</v>
      </c>
      <c r="K1996">
        <v>5</v>
      </c>
      <c r="L1996" s="21">
        <v>13.44</v>
      </c>
      <c r="M1996" s="21">
        <v>282.14</v>
      </c>
      <c r="N1996" s="21">
        <v>171.9</v>
      </c>
      <c r="O1996" s="21">
        <v>96.8</v>
      </c>
      <c r="P1996" t="s">
        <v>124</v>
      </c>
      <c r="Q1996" t="s">
        <v>122</v>
      </c>
      <c r="R1996" t="s">
        <v>151</v>
      </c>
      <c r="S1996" t="s">
        <v>1222</v>
      </c>
      <c r="T1996" t="s">
        <v>161</v>
      </c>
      <c r="U1996" t="s">
        <v>154</v>
      </c>
      <c r="V1996" t="str">
        <f>IFERROR(INDEX(Products!$C:$C,MATCH(D1996,Products!$A:$A,0)),"Unknown")</f>
        <v>Accessories</v>
      </c>
      <c r="W1996" t="str">
        <f>IFERROR(INDEX(Products!$E:$E,MATCH(D1996,Products!$A:$A,0)),"Unknown")</f>
        <v>Flying Machine</v>
      </c>
      <c r="X1996" t="str">
        <f>IFERROR(INDEX(Stores!$B:$B,MATCH(E1996,Stores!$A:$A,0)),"Unknown")</f>
        <v>TrendMart Warangal High Street</v>
      </c>
      <c r="Y1996" t="str">
        <f>IFERROR(INDEX(Stores!$E:$E,MATCH(E1996,Stores!$A:$A,0)),"Unknown")</f>
        <v>South Zone 2</v>
      </c>
      <c r="Z1996" t="str">
        <f>IFERROR(INDEX(Customers!$J:$J,MATCH(C1996,Customers!$A:$A,0)),"Unknown")</f>
        <v>Gold</v>
      </c>
      <c r="AA1996" t="str">
        <f t="shared" si="31"/>
        <v>2024-06</v>
      </c>
      <c r="AB1996" t="str">
        <f>IFERROR(INDEX(Products!$I:$I,MATCH(D1996,Products!$A:$A,0)),"Unknown")</f>
        <v>SUP002</v>
      </c>
    </row>
    <row r="1997" spans="1:28" x14ac:dyDescent="0.25">
      <c r="A1997" t="s">
        <v>3994</v>
      </c>
      <c r="B1997" s="20">
        <v>45562</v>
      </c>
      <c r="C1997" t="s">
        <v>148</v>
      </c>
      <c r="D1997" t="s">
        <v>2759</v>
      </c>
      <c r="E1997" t="s">
        <v>268</v>
      </c>
      <c r="F1997" t="s">
        <v>292</v>
      </c>
      <c r="G1997">
        <v>5</v>
      </c>
      <c r="H1997" s="21">
        <v>651.4</v>
      </c>
      <c r="I1997">
        <v>30</v>
      </c>
      <c r="J1997" s="21">
        <v>977.1</v>
      </c>
      <c r="K1997">
        <v>5</v>
      </c>
      <c r="L1997" s="21">
        <v>114</v>
      </c>
      <c r="M1997" s="21">
        <v>2393.9</v>
      </c>
      <c r="N1997" s="21">
        <v>2019.5</v>
      </c>
      <c r="O1997" s="21">
        <v>260.39999999999998</v>
      </c>
      <c r="P1997" t="s">
        <v>123</v>
      </c>
      <c r="Q1997" t="s">
        <v>120</v>
      </c>
      <c r="R1997" t="s">
        <v>151</v>
      </c>
      <c r="S1997" t="s">
        <v>2380</v>
      </c>
      <c r="T1997" t="s">
        <v>153</v>
      </c>
      <c r="U1997" t="s">
        <v>154</v>
      </c>
      <c r="V1997" t="str">
        <f>IFERROR(INDEX(Products!$C:$C,MATCH(D1997,Products!$A:$A,0)),"Unknown")</f>
        <v>Men T-Shirts</v>
      </c>
      <c r="W1997" t="str">
        <f>IFERROR(INDEX(Products!$E:$E,MATCH(D1997,Products!$A:$A,0)),"Unknown")</f>
        <v>Libas</v>
      </c>
      <c r="X1997" t="str">
        <f>IFERROR(INDEX(Stores!$B:$B,MATCH(E1997,Stores!$A:$A,0)),"Unknown")</f>
        <v>TrendMart Kochi High Street</v>
      </c>
      <c r="Y1997" t="str">
        <f>IFERROR(INDEX(Stores!$E:$E,MATCH(E1997,Stores!$A:$A,0)),"Unknown")</f>
        <v>South Zone 1</v>
      </c>
      <c r="Z1997" t="str">
        <f>IFERROR(INDEX(Customers!$J:$J,MATCH(C1997,Customers!$A:$A,0)),"Unknown")</f>
        <v>Regular</v>
      </c>
      <c r="AA1997" t="str">
        <f t="shared" si="31"/>
        <v>2024-09</v>
      </c>
      <c r="AB1997" t="str">
        <f>IFERROR(INDEX(Products!$I:$I,MATCH(D1997,Products!$A:$A,0)),"Unknown")</f>
        <v>SUP041</v>
      </c>
    </row>
    <row r="1998" spans="1:28" x14ac:dyDescent="0.25">
      <c r="A1998" t="s">
        <v>3995</v>
      </c>
      <c r="B1998" s="20">
        <v>45646</v>
      </c>
      <c r="C1998" t="s">
        <v>3580</v>
      </c>
      <c r="D1998" t="s">
        <v>220</v>
      </c>
      <c r="E1998" t="s">
        <v>82</v>
      </c>
      <c r="F1998" t="s">
        <v>579</v>
      </c>
      <c r="G1998">
        <v>4</v>
      </c>
      <c r="H1998" s="21">
        <v>5400.85</v>
      </c>
      <c r="I1998">
        <v>20</v>
      </c>
      <c r="J1998" s="21">
        <v>4320.68</v>
      </c>
      <c r="K1998">
        <v>12</v>
      </c>
      <c r="L1998" s="21">
        <v>2073.9299999999998</v>
      </c>
      <c r="M1998" s="21">
        <v>19356.650000000001</v>
      </c>
      <c r="N1998" s="21">
        <v>15883.44</v>
      </c>
      <c r="O1998" s="21">
        <v>1399.28</v>
      </c>
      <c r="P1998" t="s">
        <v>127</v>
      </c>
      <c r="Q1998" t="s">
        <v>120</v>
      </c>
      <c r="R1998" t="s">
        <v>151</v>
      </c>
      <c r="S1998" t="s">
        <v>1230</v>
      </c>
      <c r="T1998" t="s">
        <v>153</v>
      </c>
      <c r="U1998" t="s">
        <v>154</v>
      </c>
      <c r="V1998" t="str">
        <f>IFERROR(INDEX(Products!$C:$C,MATCH(D1998,Products!$A:$A,0)),"Unknown")</f>
        <v>Watches</v>
      </c>
      <c r="W1998" t="str">
        <f>IFERROR(INDEX(Products!$E:$E,MATCH(D1998,Products!$A:$A,0)),"Unknown")</f>
        <v>Global Desi</v>
      </c>
      <c r="X1998" t="str">
        <f>IFERROR(INDEX(Stores!$B:$B,MATCH(E1998,Stores!$A:$A,0)),"Unknown")</f>
        <v>TrendMart Kochi High Street</v>
      </c>
      <c r="Y1998" t="str">
        <f>IFERROR(INDEX(Stores!$E:$E,MATCH(E1998,Stores!$A:$A,0)),"Unknown")</f>
        <v>South Zone 1</v>
      </c>
      <c r="Z1998" t="str">
        <f>IFERROR(INDEX(Customers!$J:$J,MATCH(C1998,Customers!$A:$A,0)),"Unknown")</f>
        <v>Silver</v>
      </c>
      <c r="AA1998" t="str">
        <f t="shared" si="31"/>
        <v>2024-12</v>
      </c>
      <c r="AB1998" t="str">
        <f>IFERROR(INDEX(Products!$I:$I,MATCH(D1998,Products!$A:$A,0)),"Unknown")</f>
        <v>SUP055</v>
      </c>
    </row>
    <row r="1999" spans="1:28" x14ac:dyDescent="0.25">
      <c r="A1999" t="s">
        <v>3996</v>
      </c>
      <c r="B1999" s="20">
        <v>45516</v>
      </c>
      <c r="C1999" t="s">
        <v>3431</v>
      </c>
      <c r="D1999" t="s">
        <v>395</v>
      </c>
      <c r="E1999" t="s">
        <v>175</v>
      </c>
      <c r="F1999" t="s">
        <v>335</v>
      </c>
      <c r="G1999">
        <v>2</v>
      </c>
      <c r="H1999" s="21">
        <v>463.42</v>
      </c>
      <c r="I1999">
        <v>10</v>
      </c>
      <c r="J1999" s="21">
        <v>92.68</v>
      </c>
      <c r="K1999">
        <v>5</v>
      </c>
      <c r="L1999" s="21">
        <v>41.71</v>
      </c>
      <c r="M1999" s="21">
        <v>875.87</v>
      </c>
      <c r="N1999" s="21">
        <v>590</v>
      </c>
      <c r="O1999" s="21">
        <v>244.16</v>
      </c>
      <c r="P1999" t="s">
        <v>125</v>
      </c>
      <c r="Q1999" t="s">
        <v>122</v>
      </c>
      <c r="R1999" t="s">
        <v>151</v>
      </c>
      <c r="S1999" t="s">
        <v>2502</v>
      </c>
      <c r="T1999" t="s">
        <v>153</v>
      </c>
      <c r="U1999" t="s">
        <v>154</v>
      </c>
      <c r="V1999" t="str">
        <f>IFERROR(INDEX(Products!$C:$C,MATCH(D1999,Products!$A:$A,0)),"Unknown")</f>
        <v>Men T-Shirts</v>
      </c>
      <c r="W1999" t="str">
        <f>IFERROR(INDEX(Products!$E:$E,MATCH(D1999,Products!$A:$A,0)),"Unknown")</f>
        <v>Nalli Silks</v>
      </c>
      <c r="X1999" t="str">
        <f>IFERROR(INDEX(Stores!$B:$B,MATCH(E1999,Stores!$A:$A,0)),"Unknown")</f>
        <v>TrendMart Thoothukudi Flagship</v>
      </c>
      <c r="Y1999" t="str">
        <f>IFERROR(INDEX(Stores!$E:$E,MATCH(E1999,Stores!$A:$A,0)),"Unknown")</f>
        <v>South Zone 1</v>
      </c>
      <c r="Z1999" t="str">
        <f>IFERROR(INDEX(Customers!$J:$J,MATCH(C1999,Customers!$A:$A,0)),"Unknown")</f>
        <v>Gold</v>
      </c>
      <c r="AA1999" t="str">
        <f t="shared" si="31"/>
        <v>2024-08</v>
      </c>
      <c r="AB1999" t="str">
        <f>IFERROR(INDEX(Products!$I:$I,MATCH(D1999,Products!$A:$A,0)),"Unknown")</f>
        <v>SUP049</v>
      </c>
    </row>
    <row r="2000" spans="1:28" x14ac:dyDescent="0.25">
      <c r="A2000" t="s">
        <v>3997</v>
      </c>
      <c r="B2000" s="20">
        <v>45419</v>
      </c>
      <c r="C2000" t="s">
        <v>1961</v>
      </c>
      <c r="D2000" t="s">
        <v>1178</v>
      </c>
      <c r="E2000" t="s">
        <v>1681</v>
      </c>
      <c r="F2000" t="s">
        <v>150</v>
      </c>
      <c r="G2000">
        <v>1</v>
      </c>
      <c r="H2000" s="21">
        <v>1734.92</v>
      </c>
      <c r="I2000">
        <v>10</v>
      </c>
      <c r="J2000" s="21">
        <v>173.49</v>
      </c>
      <c r="K2000">
        <v>12</v>
      </c>
      <c r="L2000" s="21">
        <v>187.37</v>
      </c>
      <c r="M2000" s="21">
        <v>1748.8</v>
      </c>
      <c r="N2000" s="21">
        <v>1145.21</v>
      </c>
      <c r="O2000" s="21">
        <v>416.22</v>
      </c>
      <c r="P2000" t="s">
        <v>125</v>
      </c>
      <c r="Q2000" t="s">
        <v>120</v>
      </c>
      <c r="R2000" t="s">
        <v>151</v>
      </c>
      <c r="S2000" t="s">
        <v>953</v>
      </c>
      <c r="T2000" t="s">
        <v>153</v>
      </c>
      <c r="U2000" t="s">
        <v>154</v>
      </c>
      <c r="V2000" t="str">
        <f>IFERROR(INDEX(Products!$C:$C,MATCH(D2000,Products!$A:$A,0)),"Unknown")</f>
        <v>Footwear</v>
      </c>
      <c r="W2000" t="str">
        <f>IFERROR(INDEX(Products!$E:$E,MATCH(D2000,Products!$A:$A,0)),"Unknown")</f>
        <v>Sparx</v>
      </c>
      <c r="X2000" t="str">
        <f>IFERROR(INDEX(Stores!$B:$B,MATCH(E2000,Stores!$A:$A,0)),"Unknown")</f>
        <v>TrendMart Warangal Standard</v>
      </c>
      <c r="Y2000" t="str">
        <f>IFERROR(INDEX(Stores!$E:$E,MATCH(E2000,Stores!$A:$A,0)),"Unknown")</f>
        <v>South Zone 2</v>
      </c>
      <c r="Z2000" t="str">
        <f>IFERROR(INDEX(Customers!$J:$J,MATCH(C2000,Customers!$A:$A,0)),"Unknown")</f>
        <v>Silver</v>
      </c>
      <c r="AA2000" t="str">
        <f t="shared" si="31"/>
        <v>2024-05</v>
      </c>
      <c r="AB2000" t="str">
        <f>IFERROR(INDEX(Products!$I:$I,MATCH(D2000,Products!$A:$A,0)),"Unknown")</f>
        <v>SUP063</v>
      </c>
    </row>
    <row r="2001" spans="1:28" x14ac:dyDescent="0.25">
      <c r="A2001" t="s">
        <v>3998</v>
      </c>
      <c r="B2001" s="20">
        <v>45698</v>
      </c>
      <c r="C2001" t="s">
        <v>2420</v>
      </c>
      <c r="D2001" t="s">
        <v>545</v>
      </c>
      <c r="E2001" t="s">
        <v>181</v>
      </c>
      <c r="F2001" t="s">
        <v>263</v>
      </c>
      <c r="G2001">
        <v>5</v>
      </c>
      <c r="H2001" s="21">
        <v>1323.77</v>
      </c>
      <c r="I2001">
        <v>0</v>
      </c>
      <c r="J2001" s="21">
        <v>0</v>
      </c>
      <c r="K2001">
        <v>12</v>
      </c>
      <c r="L2001" s="21">
        <v>794.26</v>
      </c>
      <c r="M2001" s="21">
        <v>7413.11</v>
      </c>
      <c r="N2001" s="21">
        <v>4174.8</v>
      </c>
      <c r="O2001" s="21">
        <v>2444.0500000000002</v>
      </c>
      <c r="P2001" t="s">
        <v>121</v>
      </c>
      <c r="Q2001" t="s">
        <v>122</v>
      </c>
      <c r="R2001" t="s">
        <v>151</v>
      </c>
      <c r="S2001" t="s">
        <v>2474</v>
      </c>
      <c r="T2001" t="s">
        <v>153</v>
      </c>
      <c r="U2001" t="s">
        <v>154</v>
      </c>
      <c r="V2001" t="str">
        <f>IFERROR(INDEX(Products!$C:$C,MATCH(D2001,Products!$A:$A,0)),"Unknown")</f>
        <v>Women Jeans</v>
      </c>
      <c r="W2001" t="str">
        <f>IFERROR(INDEX(Products!$E:$E,MATCH(D2001,Products!$A:$A,0)),"Unknown")</f>
        <v>US Polo Assn</v>
      </c>
      <c r="X2001" t="str">
        <f>IFERROR(INDEX(Stores!$B:$B,MATCH(E2001,Stores!$A:$A,0)),"Unknown")</f>
        <v>TrendMart Kurnool High Street</v>
      </c>
      <c r="Y2001" t="str">
        <f>IFERROR(INDEX(Stores!$E:$E,MATCH(E2001,Stores!$A:$A,0)),"Unknown")</f>
        <v>South Zone 3</v>
      </c>
      <c r="Z2001" t="str">
        <f>IFERROR(INDEX(Customers!$J:$J,MATCH(C2001,Customers!$A:$A,0)),"Unknown")</f>
        <v>Gold</v>
      </c>
      <c r="AA2001" t="str">
        <f t="shared" si="31"/>
        <v>2025-02</v>
      </c>
      <c r="AB2001" t="str">
        <f>IFERROR(INDEX(Products!$I:$I,MATCH(D2001,Products!$A:$A,0)),"Unknown")</f>
        <v>SUP041</v>
      </c>
    </row>
    <row r="2002" spans="1:28" x14ac:dyDescent="0.25">
      <c r="A2002" t="s">
        <v>3999</v>
      </c>
      <c r="B2002" s="20">
        <v>45710</v>
      </c>
      <c r="C2002" t="s">
        <v>3323</v>
      </c>
      <c r="D2002" t="s">
        <v>814</v>
      </c>
      <c r="E2002" t="s">
        <v>98</v>
      </c>
      <c r="F2002" t="s">
        <v>275</v>
      </c>
      <c r="G2002">
        <v>2</v>
      </c>
      <c r="H2002" s="21">
        <v>672.46</v>
      </c>
      <c r="I2002">
        <v>0</v>
      </c>
      <c r="J2002" s="21">
        <v>0</v>
      </c>
      <c r="K2002">
        <v>5</v>
      </c>
      <c r="L2002" s="21">
        <v>67.25</v>
      </c>
      <c r="M2002" s="21">
        <v>1412.17</v>
      </c>
      <c r="N2002" s="21">
        <v>729.22</v>
      </c>
      <c r="O2002" s="21">
        <v>615.70000000000005</v>
      </c>
      <c r="P2002" t="s">
        <v>124</v>
      </c>
      <c r="Q2002" t="s">
        <v>120</v>
      </c>
      <c r="R2002" t="s">
        <v>151</v>
      </c>
      <c r="S2002" t="s">
        <v>417</v>
      </c>
      <c r="T2002" t="s">
        <v>161</v>
      </c>
      <c r="U2002" t="s">
        <v>154</v>
      </c>
      <c r="V2002" t="str">
        <f>IFERROR(INDEX(Products!$C:$C,MATCH(D2002,Products!$A:$A,0)),"Unknown")</f>
        <v>Men T-Shirts</v>
      </c>
      <c r="W2002" t="str">
        <f>IFERROR(INDEX(Products!$E:$E,MATCH(D2002,Products!$A:$A,0)),"Unknown")</f>
        <v>Woodland</v>
      </c>
      <c r="X2002" t="str">
        <f>IFERROR(INDEX(Stores!$B:$B,MATCH(E2002,Stores!$A:$A,0)),"Unknown")</f>
        <v>TrendMart Bengaluru Flagship</v>
      </c>
      <c r="Y2002" t="str">
        <f>IFERROR(INDEX(Stores!$E:$E,MATCH(E2002,Stores!$A:$A,0)),"Unknown")</f>
        <v>South Zone 2</v>
      </c>
      <c r="Z2002" t="str">
        <f>IFERROR(INDEX(Customers!$J:$J,MATCH(C2002,Customers!$A:$A,0)),"Unknown")</f>
        <v>Platinum</v>
      </c>
      <c r="AA2002" t="str">
        <f t="shared" si="31"/>
        <v>2025-02</v>
      </c>
      <c r="AB2002" t="str">
        <f>IFERROR(INDEX(Products!$I:$I,MATCH(D2002,Products!$A:$A,0)),"Unknown")</f>
        <v>SUP051</v>
      </c>
    </row>
    <row r="2003" spans="1:28" x14ac:dyDescent="0.25">
      <c r="A2003" t="s">
        <v>4000</v>
      </c>
      <c r="B2003" s="20">
        <v>45576</v>
      </c>
      <c r="C2003" t="s">
        <v>488</v>
      </c>
      <c r="D2003" t="s">
        <v>267</v>
      </c>
      <c r="E2003" t="s">
        <v>363</v>
      </c>
      <c r="F2003" t="s">
        <v>201</v>
      </c>
      <c r="G2003">
        <v>1</v>
      </c>
      <c r="H2003" s="21">
        <v>739.7</v>
      </c>
      <c r="I2003">
        <v>30</v>
      </c>
      <c r="J2003" s="21">
        <v>221.91</v>
      </c>
      <c r="K2003">
        <v>5</v>
      </c>
      <c r="L2003" s="21">
        <v>25.89</v>
      </c>
      <c r="M2003" s="21">
        <v>543.67999999999995</v>
      </c>
      <c r="N2003" s="21">
        <v>443.19</v>
      </c>
      <c r="O2003" s="21">
        <v>74.599999999999994</v>
      </c>
      <c r="P2003" t="s">
        <v>126</v>
      </c>
      <c r="Q2003" t="s">
        <v>120</v>
      </c>
      <c r="R2003" t="s">
        <v>151</v>
      </c>
      <c r="S2003" t="s">
        <v>2213</v>
      </c>
      <c r="T2003" t="s">
        <v>153</v>
      </c>
      <c r="U2003" t="s">
        <v>154</v>
      </c>
      <c r="V2003" t="str">
        <f>IFERROR(INDEX(Products!$C:$C,MATCH(D2003,Products!$A:$A,0)),"Unknown")</f>
        <v>Accessories</v>
      </c>
      <c r="W2003" t="str">
        <f>IFERROR(INDEX(Products!$E:$E,MATCH(D2003,Products!$A:$A,0)),"Unknown")</f>
        <v>Allen Solly</v>
      </c>
      <c r="X2003" t="str">
        <f>IFERROR(INDEX(Stores!$B:$B,MATCH(E2003,Stores!$A:$A,0)),"Unknown")</f>
        <v>TrendMart Thiruvananthapuram High Street</v>
      </c>
      <c r="Y2003" t="str">
        <f>IFERROR(INDEX(Stores!$E:$E,MATCH(E2003,Stores!$A:$A,0)),"Unknown")</f>
        <v>South Zone 1</v>
      </c>
      <c r="Z2003" t="str">
        <f>IFERROR(INDEX(Customers!$J:$J,MATCH(C2003,Customers!$A:$A,0)),"Unknown")</f>
        <v>Gold</v>
      </c>
      <c r="AA2003" t="str">
        <f t="shared" si="31"/>
        <v>2024-10</v>
      </c>
      <c r="AB2003" t="str">
        <f>IFERROR(INDEX(Products!$I:$I,MATCH(D2003,Products!$A:$A,0)),"Unknown")</f>
        <v>SUP069</v>
      </c>
    </row>
    <row r="2004" spans="1:28" x14ac:dyDescent="0.25">
      <c r="A2004" t="s">
        <v>4001</v>
      </c>
      <c r="B2004" s="20">
        <v>45563</v>
      </c>
      <c r="C2004" t="s">
        <v>4002</v>
      </c>
      <c r="D2004" t="s">
        <v>633</v>
      </c>
      <c r="E2004" t="s">
        <v>451</v>
      </c>
      <c r="F2004" t="s">
        <v>232</v>
      </c>
      <c r="G2004">
        <v>6</v>
      </c>
      <c r="H2004" s="21">
        <v>733.98</v>
      </c>
      <c r="I2004">
        <v>10</v>
      </c>
      <c r="J2004" s="21">
        <v>440.39</v>
      </c>
      <c r="K2004">
        <v>5</v>
      </c>
      <c r="L2004" s="21">
        <v>198.17</v>
      </c>
      <c r="M2004" s="21">
        <v>4161.66</v>
      </c>
      <c r="N2004" s="21">
        <v>2507.52</v>
      </c>
      <c r="O2004" s="21">
        <v>1455.97</v>
      </c>
      <c r="P2004" t="s">
        <v>124</v>
      </c>
      <c r="Q2004" t="s">
        <v>122</v>
      </c>
      <c r="R2004" t="s">
        <v>151</v>
      </c>
      <c r="S2004" t="s">
        <v>735</v>
      </c>
      <c r="T2004" t="s">
        <v>161</v>
      </c>
      <c r="U2004" t="s">
        <v>154</v>
      </c>
      <c r="V2004" t="str">
        <f>IFERROR(INDEX(Products!$C:$C,MATCH(D2004,Products!$A:$A,0)),"Unknown")</f>
        <v>Men T-Shirts</v>
      </c>
      <c r="W2004" t="str">
        <f>IFERROR(INDEX(Products!$E:$E,MATCH(D2004,Products!$A:$A,0)),"Unknown")</f>
        <v>Reebok</v>
      </c>
      <c r="X2004" t="str">
        <f>IFERROR(INDEX(Stores!$B:$B,MATCH(E2004,Stores!$A:$A,0)),"Unknown")</f>
        <v>TrendMart Thoothukudi High Street</v>
      </c>
      <c r="Y2004" t="str">
        <f>IFERROR(INDEX(Stores!$E:$E,MATCH(E2004,Stores!$A:$A,0)),"Unknown")</f>
        <v>South Zone 1</v>
      </c>
      <c r="Z2004" t="str">
        <f>IFERROR(INDEX(Customers!$J:$J,MATCH(C2004,Customers!$A:$A,0)),"Unknown")</f>
        <v>Gold</v>
      </c>
      <c r="AA2004" t="str">
        <f t="shared" si="31"/>
        <v>2024-09</v>
      </c>
      <c r="AB2004" t="str">
        <f>IFERROR(INDEX(Products!$I:$I,MATCH(D2004,Products!$A:$A,0)),"Unknown")</f>
        <v>SUP046</v>
      </c>
    </row>
    <row r="2005" spans="1:28" x14ac:dyDescent="0.25">
      <c r="A2005" t="s">
        <v>4003</v>
      </c>
      <c r="B2005" s="20">
        <v>45511</v>
      </c>
      <c r="C2005" t="s">
        <v>946</v>
      </c>
      <c r="D2005" t="s">
        <v>1543</v>
      </c>
      <c r="E2005" t="s">
        <v>515</v>
      </c>
      <c r="F2005" t="s">
        <v>189</v>
      </c>
      <c r="G2005">
        <v>1</v>
      </c>
      <c r="H2005" s="21">
        <v>2211.9</v>
      </c>
      <c r="I2005">
        <v>0</v>
      </c>
      <c r="J2005" s="21">
        <v>0</v>
      </c>
      <c r="K2005">
        <v>12</v>
      </c>
      <c r="L2005" s="21">
        <v>265.43</v>
      </c>
      <c r="M2005" s="21">
        <v>2477.33</v>
      </c>
      <c r="N2005" s="21">
        <v>1580.02</v>
      </c>
      <c r="O2005" s="21">
        <v>631.88</v>
      </c>
      <c r="P2005" t="s">
        <v>123</v>
      </c>
      <c r="Q2005" t="s">
        <v>120</v>
      </c>
      <c r="R2005" t="s">
        <v>151</v>
      </c>
      <c r="S2005" t="s">
        <v>463</v>
      </c>
      <c r="T2005" t="s">
        <v>153</v>
      </c>
      <c r="U2005" t="s">
        <v>154</v>
      </c>
      <c r="V2005" t="str">
        <f>IFERROR(INDEX(Products!$C:$C,MATCH(D2005,Products!$A:$A,0)),"Unknown")</f>
        <v>Men Ethnic</v>
      </c>
      <c r="W2005" t="str">
        <f>IFERROR(INDEX(Products!$E:$E,MATCH(D2005,Products!$A:$A,0)),"Unknown")</f>
        <v>Woodland</v>
      </c>
      <c r="X2005" t="str">
        <f>IFERROR(INDEX(Stores!$B:$B,MATCH(E2005,Stores!$A:$A,0)),"Unknown")</f>
        <v>TrendMart Kochi High Street</v>
      </c>
      <c r="Y2005" t="str">
        <f>IFERROR(INDEX(Stores!$E:$E,MATCH(E2005,Stores!$A:$A,0)),"Unknown")</f>
        <v>South Zone 1</v>
      </c>
      <c r="Z2005" t="str">
        <f>IFERROR(INDEX(Customers!$J:$J,MATCH(C2005,Customers!$A:$A,0)),"Unknown")</f>
        <v>Silver</v>
      </c>
      <c r="AA2005" t="str">
        <f t="shared" si="31"/>
        <v>2024-08</v>
      </c>
      <c r="AB2005" t="str">
        <f>IFERROR(INDEX(Products!$I:$I,MATCH(D2005,Products!$A:$A,0)),"Unknown")</f>
        <v>SUP079</v>
      </c>
    </row>
    <row r="2006" spans="1:28" x14ac:dyDescent="0.25">
      <c r="A2006" t="s">
        <v>4004</v>
      </c>
      <c r="B2006" s="20">
        <v>45549</v>
      </c>
      <c r="C2006" t="s">
        <v>338</v>
      </c>
      <c r="D2006" t="s">
        <v>1415</v>
      </c>
      <c r="E2006" t="s">
        <v>355</v>
      </c>
      <c r="F2006" t="s">
        <v>221</v>
      </c>
      <c r="G2006">
        <v>1</v>
      </c>
      <c r="H2006" s="21">
        <v>779.31</v>
      </c>
      <c r="I2006">
        <v>5</v>
      </c>
      <c r="J2006" s="21">
        <v>38.97</v>
      </c>
      <c r="K2006">
        <v>5</v>
      </c>
      <c r="L2006" s="21">
        <v>37.020000000000003</v>
      </c>
      <c r="M2006" s="21">
        <v>777.36</v>
      </c>
      <c r="N2006" s="21">
        <v>513.84</v>
      </c>
      <c r="O2006" s="21">
        <v>226.5</v>
      </c>
      <c r="P2006" t="s">
        <v>121</v>
      </c>
      <c r="Q2006" t="s">
        <v>122</v>
      </c>
      <c r="R2006" t="s">
        <v>151</v>
      </c>
      <c r="S2006" t="s">
        <v>2147</v>
      </c>
      <c r="T2006" t="s">
        <v>161</v>
      </c>
      <c r="U2006" t="s">
        <v>154</v>
      </c>
      <c r="V2006" t="str">
        <f>IFERROR(INDEX(Products!$C:$C,MATCH(D2006,Products!$A:$A,0)),"Unknown")</f>
        <v>Unknown</v>
      </c>
      <c r="W2006" t="str">
        <f>IFERROR(INDEX(Products!$E:$E,MATCH(D2006,Products!$A:$A,0)),"Unknown")</f>
        <v>Unknown</v>
      </c>
      <c r="X2006" t="str">
        <f>IFERROR(INDEX(Stores!$B:$B,MATCH(E2006,Stores!$A:$A,0)),"Unknown")</f>
        <v>TrendMart Thiruvananthapuram High Street</v>
      </c>
      <c r="Y2006" t="str">
        <f>IFERROR(INDEX(Stores!$E:$E,MATCH(E2006,Stores!$A:$A,0)),"Unknown")</f>
        <v>South Zone 1</v>
      </c>
      <c r="Z2006" t="str">
        <f>IFERROR(INDEX(Customers!$J:$J,MATCH(C2006,Customers!$A:$A,0)),"Unknown")</f>
        <v>Platinum</v>
      </c>
      <c r="AA2006" t="str">
        <f t="shared" si="31"/>
        <v>2024-09</v>
      </c>
      <c r="AB2006" t="str">
        <f>IFERROR(INDEX(Products!$I:$I,MATCH(D2006,Products!$A:$A,0)),"Unknown")</f>
        <v>Unknown</v>
      </c>
    </row>
    <row r="2007" spans="1:28" x14ac:dyDescent="0.25">
      <c r="A2007" t="s">
        <v>4005</v>
      </c>
      <c r="B2007" s="20">
        <v>45638</v>
      </c>
      <c r="C2007" t="s">
        <v>2062</v>
      </c>
      <c r="D2007" t="s">
        <v>822</v>
      </c>
      <c r="E2007" t="s">
        <v>470</v>
      </c>
      <c r="F2007" t="s">
        <v>150</v>
      </c>
      <c r="G2007">
        <v>2</v>
      </c>
      <c r="H2007" s="21">
        <v>2054.0700000000002</v>
      </c>
      <c r="I2007">
        <v>10</v>
      </c>
      <c r="J2007" s="21">
        <v>410.81</v>
      </c>
      <c r="K2007">
        <v>12</v>
      </c>
      <c r="L2007" s="21">
        <v>443.68</v>
      </c>
      <c r="M2007" s="21">
        <v>4141.01</v>
      </c>
      <c r="N2007" s="21">
        <v>2985.42</v>
      </c>
      <c r="O2007" s="21">
        <v>711.91</v>
      </c>
      <c r="P2007" t="s">
        <v>124</v>
      </c>
      <c r="Q2007" t="s">
        <v>120</v>
      </c>
      <c r="R2007" t="s">
        <v>151</v>
      </c>
      <c r="S2007" t="s">
        <v>4006</v>
      </c>
      <c r="T2007" t="s">
        <v>153</v>
      </c>
      <c r="U2007" t="s">
        <v>154</v>
      </c>
      <c r="V2007" t="str">
        <f>IFERROR(INDEX(Products!$C:$C,MATCH(D2007,Products!$A:$A,0)),"Unknown")</f>
        <v>Footwear</v>
      </c>
      <c r="W2007" t="str">
        <f>IFERROR(INDEX(Products!$E:$E,MATCH(D2007,Products!$A:$A,0)),"Unknown")</f>
        <v>AND</v>
      </c>
      <c r="X2007" t="str">
        <f>IFERROR(INDEX(Stores!$B:$B,MATCH(E2007,Stores!$A:$A,0)),"Unknown")</f>
        <v>TrendMart Thiruvananthapuram High Street</v>
      </c>
      <c r="Y2007" t="str">
        <f>IFERROR(INDEX(Stores!$E:$E,MATCH(E2007,Stores!$A:$A,0)),"Unknown")</f>
        <v>South Zone 1</v>
      </c>
      <c r="Z2007" t="str">
        <f>IFERROR(INDEX(Customers!$J:$J,MATCH(C2007,Customers!$A:$A,0)),"Unknown")</f>
        <v>Gold</v>
      </c>
      <c r="AA2007" t="str">
        <f t="shared" si="31"/>
        <v>2024-12</v>
      </c>
      <c r="AB2007" t="str">
        <f>IFERROR(INDEX(Products!$I:$I,MATCH(D2007,Products!$A:$A,0)),"Unknown")</f>
        <v>SUP002</v>
      </c>
    </row>
    <row r="2008" spans="1:28" x14ac:dyDescent="0.25">
      <c r="A2008" t="s">
        <v>4007</v>
      </c>
      <c r="B2008" s="20">
        <v>45667</v>
      </c>
      <c r="C2008" t="s">
        <v>2957</v>
      </c>
      <c r="D2008" t="s">
        <v>1816</v>
      </c>
      <c r="E2008" t="s">
        <v>351</v>
      </c>
      <c r="F2008" t="s">
        <v>377</v>
      </c>
      <c r="G2008">
        <v>4</v>
      </c>
      <c r="H2008" s="21">
        <v>1289.0999999999999</v>
      </c>
      <c r="I2008">
        <v>25</v>
      </c>
      <c r="J2008" s="21">
        <v>1289.0999999999999</v>
      </c>
      <c r="K2008">
        <v>12</v>
      </c>
      <c r="L2008" s="21">
        <v>464.08</v>
      </c>
      <c r="M2008" s="21">
        <v>4331.38</v>
      </c>
      <c r="N2008" s="21">
        <v>3625.2</v>
      </c>
      <c r="O2008" s="21">
        <v>242.1</v>
      </c>
      <c r="P2008" t="s">
        <v>125</v>
      </c>
      <c r="Q2008" t="s">
        <v>120</v>
      </c>
      <c r="R2008" t="s">
        <v>151</v>
      </c>
      <c r="S2008" t="s">
        <v>2731</v>
      </c>
      <c r="T2008" t="s">
        <v>153</v>
      </c>
      <c r="U2008" t="s">
        <v>154</v>
      </c>
      <c r="V2008" t="str">
        <f>IFERROR(INDEX(Products!$C:$C,MATCH(D2008,Products!$A:$A,0)),"Unknown")</f>
        <v>Wallets</v>
      </c>
      <c r="W2008" t="str">
        <f>IFERROR(INDEX(Products!$E:$E,MATCH(D2008,Products!$A:$A,0)),"Unknown")</f>
        <v>Louis Philippe</v>
      </c>
      <c r="X2008" t="str">
        <f>IFERROR(INDEX(Stores!$B:$B,MATCH(E2008,Stores!$A:$A,0)),"Unknown")</f>
        <v>TrendMart Kozhikode High Street</v>
      </c>
      <c r="Y2008" t="str">
        <f>IFERROR(INDEX(Stores!$E:$E,MATCH(E2008,Stores!$A:$A,0)),"Unknown")</f>
        <v>South Zone 1</v>
      </c>
      <c r="Z2008" t="str">
        <f>IFERROR(INDEX(Customers!$J:$J,MATCH(C2008,Customers!$A:$A,0)),"Unknown")</f>
        <v>Silver</v>
      </c>
      <c r="AA2008" t="str">
        <f t="shared" si="31"/>
        <v>2025-01</v>
      </c>
      <c r="AB2008" t="str">
        <f>IFERROR(INDEX(Products!$I:$I,MATCH(D2008,Products!$A:$A,0)),"Unknown")</f>
        <v>SUP076</v>
      </c>
    </row>
    <row r="2009" spans="1:28" x14ac:dyDescent="0.25">
      <c r="A2009" t="s">
        <v>4008</v>
      </c>
      <c r="B2009" s="20">
        <v>45489</v>
      </c>
      <c r="C2009" t="s">
        <v>2174</v>
      </c>
      <c r="D2009" t="s">
        <v>685</v>
      </c>
      <c r="E2009" t="s">
        <v>461</v>
      </c>
      <c r="F2009" t="s">
        <v>232</v>
      </c>
      <c r="G2009">
        <v>2</v>
      </c>
      <c r="H2009" s="21">
        <v>995.91</v>
      </c>
      <c r="I2009">
        <v>25</v>
      </c>
      <c r="J2009" s="21">
        <v>497.95</v>
      </c>
      <c r="K2009">
        <v>5</v>
      </c>
      <c r="L2009" s="21">
        <v>74.69</v>
      </c>
      <c r="M2009" s="21">
        <v>1568.56</v>
      </c>
      <c r="N2009" s="21">
        <v>1252.52</v>
      </c>
      <c r="O2009" s="21">
        <v>241.35</v>
      </c>
      <c r="P2009" t="s">
        <v>121</v>
      </c>
      <c r="Q2009" t="s">
        <v>122</v>
      </c>
      <c r="R2009" t="s">
        <v>151</v>
      </c>
      <c r="S2009" t="s">
        <v>1771</v>
      </c>
      <c r="T2009" t="s">
        <v>153</v>
      </c>
      <c r="U2009" t="s">
        <v>154</v>
      </c>
      <c r="V2009" t="str">
        <f>IFERROR(INDEX(Products!$C:$C,MATCH(D2009,Products!$A:$A,0)),"Unknown")</f>
        <v>Sportswear</v>
      </c>
      <c r="W2009" t="str">
        <f>IFERROR(INDEX(Products!$E:$E,MATCH(D2009,Products!$A:$A,0)),"Unknown")</f>
        <v>Being Human</v>
      </c>
      <c r="X2009" t="str">
        <f>IFERROR(INDEX(Stores!$B:$B,MATCH(E2009,Stores!$A:$A,0)),"Unknown")</f>
        <v>TrendMart Visakhapatnam High Street</v>
      </c>
      <c r="Y2009" t="str">
        <f>IFERROR(INDEX(Stores!$E:$E,MATCH(E2009,Stores!$A:$A,0)),"Unknown")</f>
        <v>South Zone 3</v>
      </c>
      <c r="Z2009" t="str">
        <f>IFERROR(INDEX(Customers!$J:$J,MATCH(C2009,Customers!$A:$A,0)),"Unknown")</f>
        <v>Gold</v>
      </c>
      <c r="AA2009" t="str">
        <f t="shared" si="31"/>
        <v>2024-07</v>
      </c>
      <c r="AB2009" t="str">
        <f>IFERROR(INDEX(Products!$I:$I,MATCH(D2009,Products!$A:$A,0)),"Unknown")</f>
        <v>SUP066</v>
      </c>
    </row>
    <row r="2010" spans="1:28" x14ac:dyDescent="0.25">
      <c r="A2010" t="s">
        <v>4009</v>
      </c>
      <c r="B2010" s="20">
        <v>45392</v>
      </c>
      <c r="C2010" t="s">
        <v>2099</v>
      </c>
      <c r="D2010" t="s">
        <v>662</v>
      </c>
      <c r="E2010" t="s">
        <v>541</v>
      </c>
      <c r="F2010" t="s">
        <v>344</v>
      </c>
      <c r="G2010">
        <v>5</v>
      </c>
      <c r="H2010" s="21">
        <v>515.51</v>
      </c>
      <c r="I2010">
        <v>25</v>
      </c>
      <c r="J2010" s="21">
        <v>644.39</v>
      </c>
      <c r="K2010">
        <v>5</v>
      </c>
      <c r="L2010" s="21">
        <v>96.66</v>
      </c>
      <c r="M2010" s="21">
        <v>2029.82</v>
      </c>
      <c r="N2010" s="21">
        <v>1499.3</v>
      </c>
      <c r="O2010" s="21">
        <v>433.86</v>
      </c>
      <c r="P2010" t="s">
        <v>124</v>
      </c>
      <c r="Q2010" t="s">
        <v>120</v>
      </c>
      <c r="R2010" t="s">
        <v>151</v>
      </c>
      <c r="S2010" t="s">
        <v>1875</v>
      </c>
      <c r="T2010" t="s">
        <v>153</v>
      </c>
      <c r="U2010" t="s">
        <v>154</v>
      </c>
      <c r="V2010" t="str">
        <f>IFERROR(INDEX(Products!$C:$C,MATCH(D2010,Products!$A:$A,0)),"Unknown")</f>
        <v>Men T-Shirts</v>
      </c>
      <c r="W2010" t="str">
        <f>IFERROR(INDEX(Products!$E:$E,MATCH(D2010,Products!$A:$A,0)),"Unknown")</f>
        <v>Global Desi</v>
      </c>
      <c r="X2010" t="str">
        <f>IFERROR(INDEX(Stores!$B:$B,MATCH(E2010,Stores!$A:$A,0)),"Unknown")</f>
        <v>TrendMart Kochi Standard</v>
      </c>
      <c r="Y2010" t="str">
        <f>IFERROR(INDEX(Stores!$E:$E,MATCH(E2010,Stores!$A:$A,0)),"Unknown")</f>
        <v>South Zone 1</v>
      </c>
      <c r="Z2010" t="str">
        <f>IFERROR(INDEX(Customers!$J:$J,MATCH(C2010,Customers!$A:$A,0)),"Unknown")</f>
        <v>Gold</v>
      </c>
      <c r="AA2010" t="str">
        <f t="shared" si="31"/>
        <v>2024-04</v>
      </c>
      <c r="AB2010" t="str">
        <f>IFERROR(INDEX(Products!$I:$I,MATCH(D2010,Products!$A:$A,0)),"Unknown")</f>
        <v>SUP049</v>
      </c>
    </row>
    <row r="2011" spans="1:28" x14ac:dyDescent="0.25">
      <c r="A2011" t="s">
        <v>4010</v>
      </c>
      <c r="B2011" s="20">
        <v>45384</v>
      </c>
      <c r="C2011" t="s">
        <v>576</v>
      </c>
      <c r="D2011" t="s">
        <v>830</v>
      </c>
      <c r="E2011" t="s">
        <v>1141</v>
      </c>
      <c r="F2011" t="s">
        <v>150</v>
      </c>
      <c r="G2011">
        <v>2</v>
      </c>
      <c r="H2011" s="21">
        <v>830.72</v>
      </c>
      <c r="I2011">
        <v>0</v>
      </c>
      <c r="J2011" s="21">
        <v>0</v>
      </c>
      <c r="K2011">
        <v>5</v>
      </c>
      <c r="L2011" s="21">
        <v>83.07</v>
      </c>
      <c r="M2011" s="21">
        <v>1744.51</v>
      </c>
      <c r="N2011" s="21">
        <v>1140.4000000000001</v>
      </c>
      <c r="O2011" s="21">
        <v>521.04</v>
      </c>
      <c r="P2011" t="s">
        <v>125</v>
      </c>
      <c r="Q2011" t="s">
        <v>122</v>
      </c>
      <c r="R2011" t="s">
        <v>313</v>
      </c>
      <c r="S2011" t="s">
        <v>2477</v>
      </c>
      <c r="T2011" t="s">
        <v>153</v>
      </c>
      <c r="U2011" t="s">
        <v>154</v>
      </c>
      <c r="V2011" t="str">
        <f>IFERROR(INDEX(Products!$C:$C,MATCH(D2011,Products!$A:$A,0)),"Unknown")</f>
        <v>Men Shirts</v>
      </c>
      <c r="W2011" t="str">
        <f>IFERROR(INDEX(Products!$E:$E,MATCH(D2011,Products!$A:$A,0)),"Unknown")</f>
        <v>AND</v>
      </c>
      <c r="X2011" t="str">
        <f>IFERROR(INDEX(Stores!$B:$B,MATCH(E2011,Stores!$A:$A,0)),"Unknown")</f>
        <v>TrendMart Kochi Standard</v>
      </c>
      <c r="Y2011" t="str">
        <f>IFERROR(INDEX(Stores!$E:$E,MATCH(E2011,Stores!$A:$A,0)),"Unknown")</f>
        <v>South Zone 1</v>
      </c>
      <c r="Z2011" t="str">
        <f>IFERROR(INDEX(Customers!$J:$J,MATCH(C2011,Customers!$A:$A,0)),"Unknown")</f>
        <v>Gold</v>
      </c>
      <c r="AA2011" t="str">
        <f t="shared" si="31"/>
        <v>2024-04</v>
      </c>
      <c r="AB2011" t="str">
        <f>IFERROR(INDEX(Products!$I:$I,MATCH(D2011,Products!$A:$A,0)),"Unknown")</f>
        <v>SUP012</v>
      </c>
    </row>
    <row r="2012" spans="1:28" x14ac:dyDescent="0.25">
      <c r="A2012" t="s">
        <v>4011</v>
      </c>
      <c r="B2012" s="20">
        <v>45499</v>
      </c>
      <c r="C2012" t="s">
        <v>1959</v>
      </c>
      <c r="D2012" t="s">
        <v>415</v>
      </c>
      <c r="E2012" t="s">
        <v>82</v>
      </c>
      <c r="F2012" t="s">
        <v>618</v>
      </c>
      <c r="G2012">
        <v>1</v>
      </c>
      <c r="H2012" s="21">
        <v>1503.04</v>
      </c>
      <c r="I2012">
        <v>25</v>
      </c>
      <c r="J2012" s="21">
        <v>375.76</v>
      </c>
      <c r="K2012">
        <v>12</v>
      </c>
      <c r="L2012" s="21">
        <v>135.27000000000001</v>
      </c>
      <c r="M2012" s="21">
        <v>1262.55</v>
      </c>
      <c r="N2012" s="21">
        <v>1047.48</v>
      </c>
      <c r="O2012" s="21">
        <v>79.8</v>
      </c>
      <c r="P2012" t="s">
        <v>123</v>
      </c>
      <c r="Q2012" t="s">
        <v>120</v>
      </c>
      <c r="R2012" t="s">
        <v>151</v>
      </c>
      <c r="S2012" t="s">
        <v>562</v>
      </c>
      <c r="T2012" t="s">
        <v>153</v>
      </c>
      <c r="U2012" t="s">
        <v>154</v>
      </c>
      <c r="V2012" t="str">
        <f>IFERROR(INDEX(Products!$C:$C,MATCH(D2012,Products!$A:$A,0)),"Unknown")</f>
        <v>Women Jeans</v>
      </c>
      <c r="W2012" t="str">
        <f>IFERROR(INDEX(Products!$E:$E,MATCH(D2012,Products!$A:$A,0)),"Unknown")</f>
        <v>Killer Jeans</v>
      </c>
      <c r="X2012" t="str">
        <f>IFERROR(INDEX(Stores!$B:$B,MATCH(E2012,Stores!$A:$A,0)),"Unknown")</f>
        <v>TrendMart Kochi High Street</v>
      </c>
      <c r="Y2012" t="str">
        <f>IFERROR(INDEX(Stores!$E:$E,MATCH(E2012,Stores!$A:$A,0)),"Unknown")</f>
        <v>South Zone 1</v>
      </c>
      <c r="Z2012" t="str">
        <f>IFERROR(INDEX(Customers!$J:$J,MATCH(C2012,Customers!$A:$A,0)),"Unknown")</f>
        <v>Silver</v>
      </c>
      <c r="AA2012" t="str">
        <f t="shared" si="31"/>
        <v>2024-07</v>
      </c>
      <c r="AB2012" t="str">
        <f>IFERROR(INDEX(Products!$I:$I,MATCH(D2012,Products!$A:$A,0)),"Unknown")</f>
        <v>SUP070</v>
      </c>
    </row>
    <row r="2013" spans="1:28" x14ac:dyDescent="0.25">
      <c r="A2013" t="s">
        <v>4012</v>
      </c>
      <c r="B2013" s="20">
        <v>45545</v>
      </c>
      <c r="C2013" t="s">
        <v>3134</v>
      </c>
      <c r="D2013" t="s">
        <v>633</v>
      </c>
      <c r="E2013" t="s">
        <v>1825</v>
      </c>
      <c r="F2013" t="s">
        <v>550</v>
      </c>
      <c r="G2013">
        <v>1</v>
      </c>
      <c r="H2013" s="21">
        <v>673.64</v>
      </c>
      <c r="I2013">
        <v>30</v>
      </c>
      <c r="J2013" s="21">
        <v>202.09</v>
      </c>
      <c r="K2013">
        <v>5</v>
      </c>
      <c r="L2013" s="21">
        <v>23.58</v>
      </c>
      <c r="M2013" s="21">
        <v>495.13</v>
      </c>
      <c r="N2013" s="21">
        <v>417.92</v>
      </c>
      <c r="O2013" s="21">
        <v>53.63</v>
      </c>
      <c r="P2013" t="s">
        <v>124</v>
      </c>
      <c r="Q2013" t="s">
        <v>120</v>
      </c>
      <c r="R2013" t="s">
        <v>151</v>
      </c>
      <c r="S2013" t="s">
        <v>2575</v>
      </c>
      <c r="T2013" t="s">
        <v>153</v>
      </c>
      <c r="U2013" t="s">
        <v>154</v>
      </c>
      <c r="V2013" t="str">
        <f>IFERROR(INDEX(Products!$C:$C,MATCH(D2013,Products!$A:$A,0)),"Unknown")</f>
        <v>Men T-Shirts</v>
      </c>
      <c r="W2013" t="str">
        <f>IFERROR(INDEX(Products!$E:$E,MATCH(D2013,Products!$A:$A,0)),"Unknown")</f>
        <v>Reebok</v>
      </c>
      <c r="X2013" t="str">
        <f>IFERROR(INDEX(Stores!$B:$B,MATCH(E2013,Stores!$A:$A,0)),"Unknown")</f>
        <v>TrendMart Vijayawada Outlet</v>
      </c>
      <c r="Y2013" t="str">
        <f>IFERROR(INDEX(Stores!$E:$E,MATCH(E2013,Stores!$A:$A,0)),"Unknown")</f>
        <v>South Zone 3</v>
      </c>
      <c r="Z2013" t="str">
        <f>IFERROR(INDEX(Customers!$J:$J,MATCH(C2013,Customers!$A:$A,0)),"Unknown")</f>
        <v>Silver</v>
      </c>
      <c r="AA2013" t="str">
        <f t="shared" si="31"/>
        <v>2024-09</v>
      </c>
      <c r="AB2013" t="str">
        <f>IFERROR(INDEX(Products!$I:$I,MATCH(D2013,Products!$A:$A,0)),"Unknown")</f>
        <v>SUP046</v>
      </c>
    </row>
    <row r="2014" spans="1:28" x14ac:dyDescent="0.25">
      <c r="A2014" t="s">
        <v>4013</v>
      </c>
      <c r="B2014" s="20">
        <v>45551</v>
      </c>
      <c r="C2014" t="s">
        <v>1067</v>
      </c>
      <c r="D2014" t="s">
        <v>230</v>
      </c>
      <c r="E2014" t="s">
        <v>727</v>
      </c>
      <c r="F2014" t="s">
        <v>408</v>
      </c>
      <c r="G2014">
        <v>3</v>
      </c>
      <c r="H2014" s="21">
        <v>1467.12</v>
      </c>
      <c r="I2014">
        <v>0</v>
      </c>
      <c r="J2014" s="21">
        <v>0</v>
      </c>
      <c r="K2014">
        <v>12</v>
      </c>
      <c r="L2014" s="21">
        <v>528.16</v>
      </c>
      <c r="M2014" s="21">
        <v>4929.5200000000004</v>
      </c>
      <c r="N2014" s="21">
        <v>2838.9</v>
      </c>
      <c r="O2014" s="21">
        <v>1562.46</v>
      </c>
      <c r="P2014" t="s">
        <v>125</v>
      </c>
      <c r="Q2014" t="s">
        <v>120</v>
      </c>
      <c r="R2014" t="s">
        <v>151</v>
      </c>
      <c r="S2014" t="s">
        <v>309</v>
      </c>
      <c r="T2014" t="s">
        <v>153</v>
      </c>
      <c r="U2014" t="s">
        <v>154</v>
      </c>
      <c r="V2014" t="str">
        <f>IFERROR(INDEX(Products!$C:$C,MATCH(D2014,Products!$A:$A,0)),"Unknown")</f>
        <v>Watches</v>
      </c>
      <c r="W2014" t="str">
        <f>IFERROR(INDEX(Products!$E:$E,MATCH(D2014,Products!$A:$A,0)),"Unknown")</f>
        <v>Wrangler</v>
      </c>
      <c r="X2014" t="str">
        <f>IFERROR(INDEX(Stores!$B:$B,MATCH(E2014,Stores!$A:$A,0)),"Unknown")</f>
        <v>TrendMart Nizamabad Standard</v>
      </c>
      <c r="Y2014" t="str">
        <f>IFERROR(INDEX(Stores!$E:$E,MATCH(E2014,Stores!$A:$A,0)),"Unknown")</f>
        <v>South Zone 2</v>
      </c>
      <c r="Z2014" t="str">
        <f>IFERROR(INDEX(Customers!$J:$J,MATCH(C2014,Customers!$A:$A,0)),"Unknown")</f>
        <v>Gold</v>
      </c>
      <c r="AA2014" t="str">
        <f t="shared" si="31"/>
        <v>2024-09</v>
      </c>
      <c r="AB2014" t="str">
        <f>IFERROR(INDEX(Products!$I:$I,MATCH(D2014,Products!$A:$A,0)),"Unknown")</f>
        <v>SUP044</v>
      </c>
    </row>
    <row r="2015" spans="1:28" x14ac:dyDescent="0.25">
      <c r="A2015" t="s">
        <v>4014</v>
      </c>
      <c r="B2015" s="20">
        <v>45670</v>
      </c>
      <c r="C2015" t="s">
        <v>4015</v>
      </c>
      <c r="D2015" t="s">
        <v>1160</v>
      </c>
      <c r="E2015" t="s">
        <v>671</v>
      </c>
      <c r="F2015" t="s">
        <v>170</v>
      </c>
      <c r="G2015">
        <v>1</v>
      </c>
      <c r="H2015" s="21">
        <v>1437.85</v>
      </c>
      <c r="I2015">
        <v>20</v>
      </c>
      <c r="J2015" s="21">
        <v>287.57</v>
      </c>
      <c r="K2015">
        <v>12</v>
      </c>
      <c r="L2015" s="21">
        <v>138.03</v>
      </c>
      <c r="M2015" s="21">
        <v>1288.31</v>
      </c>
      <c r="N2015" s="21">
        <v>975.36</v>
      </c>
      <c r="O2015" s="21">
        <v>174.92</v>
      </c>
      <c r="P2015" t="s">
        <v>123</v>
      </c>
      <c r="Q2015" t="s">
        <v>120</v>
      </c>
      <c r="R2015" t="s">
        <v>151</v>
      </c>
      <c r="S2015" t="s">
        <v>640</v>
      </c>
      <c r="T2015" t="s">
        <v>153</v>
      </c>
      <c r="U2015" t="s">
        <v>154</v>
      </c>
      <c r="V2015" t="str">
        <f>IFERROR(INDEX(Products!$C:$C,MATCH(D2015,Products!$A:$A,0)),"Unknown")</f>
        <v>Men Jeans</v>
      </c>
      <c r="W2015" t="str">
        <f>IFERROR(INDEX(Products!$E:$E,MATCH(D2015,Products!$A:$A,0)),"Unknown")</f>
        <v>Skechers</v>
      </c>
      <c r="X2015" t="str">
        <f>IFERROR(INDEX(Stores!$B:$B,MATCH(E2015,Stores!$A:$A,0)),"Unknown")</f>
        <v>TrendMart Hyderabad Mall Kiosk</v>
      </c>
      <c r="Y2015" t="str">
        <f>IFERROR(INDEX(Stores!$E:$E,MATCH(E2015,Stores!$A:$A,0)),"Unknown")</f>
        <v>South Zone 2</v>
      </c>
      <c r="Z2015" t="str">
        <f>IFERROR(INDEX(Customers!$J:$J,MATCH(C2015,Customers!$A:$A,0)),"Unknown")</f>
        <v>Regular</v>
      </c>
      <c r="AA2015" t="str">
        <f t="shared" si="31"/>
        <v>2025-01</v>
      </c>
      <c r="AB2015" t="str">
        <f>IFERROR(INDEX(Products!$I:$I,MATCH(D2015,Products!$A:$A,0)),"Unknown")</f>
        <v>SUP013</v>
      </c>
    </row>
    <row r="2016" spans="1:28" x14ac:dyDescent="0.25">
      <c r="A2016" t="s">
        <v>4016</v>
      </c>
      <c r="B2016" s="20">
        <v>45685</v>
      </c>
      <c r="C2016" t="s">
        <v>1752</v>
      </c>
      <c r="D2016" t="s">
        <v>2169</v>
      </c>
      <c r="E2016" t="s">
        <v>1163</v>
      </c>
      <c r="F2016" t="s">
        <v>189</v>
      </c>
      <c r="G2016">
        <v>1</v>
      </c>
      <c r="H2016" s="21">
        <v>1009.62</v>
      </c>
      <c r="I2016">
        <v>20</v>
      </c>
      <c r="J2016" s="21">
        <v>201.92</v>
      </c>
      <c r="K2016">
        <v>12</v>
      </c>
      <c r="L2016" s="21">
        <v>96.92</v>
      </c>
      <c r="M2016" s="21">
        <v>904.62</v>
      </c>
      <c r="N2016" s="21">
        <v>640.76</v>
      </c>
      <c r="O2016" s="21">
        <v>166.94</v>
      </c>
      <c r="P2016" t="s">
        <v>124</v>
      </c>
      <c r="Q2016" t="s">
        <v>120</v>
      </c>
      <c r="R2016" t="s">
        <v>151</v>
      </c>
      <c r="S2016" t="s">
        <v>722</v>
      </c>
      <c r="T2016" t="s">
        <v>153</v>
      </c>
      <c r="U2016" t="s">
        <v>154</v>
      </c>
      <c r="V2016" t="str">
        <f>IFERROR(INDEX(Products!$C:$C,MATCH(D2016,Products!$A:$A,0)),"Unknown")</f>
        <v>Men Trousers</v>
      </c>
      <c r="W2016" t="str">
        <f>IFERROR(INDEX(Products!$E:$E,MATCH(D2016,Products!$A:$A,0)),"Unknown")</f>
        <v>Titan</v>
      </c>
      <c r="X2016" t="str">
        <f>IFERROR(INDEX(Stores!$B:$B,MATCH(E2016,Stores!$A:$A,0)),"Unknown")</f>
        <v>TrendMart Alappuzha Outlet</v>
      </c>
      <c r="Y2016" t="str">
        <f>IFERROR(INDEX(Stores!$E:$E,MATCH(E2016,Stores!$A:$A,0)),"Unknown")</f>
        <v>South Zone 1</v>
      </c>
      <c r="Z2016" t="str">
        <f>IFERROR(INDEX(Customers!$J:$J,MATCH(C2016,Customers!$A:$A,0)),"Unknown")</f>
        <v>Silver</v>
      </c>
      <c r="AA2016" t="str">
        <f t="shared" si="31"/>
        <v>2025-01</v>
      </c>
      <c r="AB2016" t="str">
        <f>IFERROR(INDEX(Products!$I:$I,MATCH(D2016,Products!$A:$A,0)),"Unknown")</f>
        <v>SUP069</v>
      </c>
    </row>
    <row r="2017" spans="1:28" x14ac:dyDescent="0.25">
      <c r="A2017" t="s">
        <v>4017</v>
      </c>
      <c r="B2017" s="20">
        <v>45562</v>
      </c>
      <c r="C2017" t="s">
        <v>1861</v>
      </c>
      <c r="D2017" t="s">
        <v>481</v>
      </c>
      <c r="E2017" t="s">
        <v>262</v>
      </c>
      <c r="F2017" t="s">
        <v>269</v>
      </c>
      <c r="G2017">
        <v>2</v>
      </c>
      <c r="H2017" s="21">
        <v>893.16</v>
      </c>
      <c r="I2017">
        <v>30</v>
      </c>
      <c r="J2017" s="21">
        <v>535.9</v>
      </c>
      <c r="K2017">
        <v>5</v>
      </c>
      <c r="L2017" s="21">
        <v>62.52</v>
      </c>
      <c r="M2017" s="21">
        <v>1312.94</v>
      </c>
      <c r="N2017" s="21">
        <v>1396.16</v>
      </c>
      <c r="O2017" s="21">
        <v>-145.74</v>
      </c>
      <c r="P2017" t="s">
        <v>125</v>
      </c>
      <c r="Q2017" t="s">
        <v>122</v>
      </c>
      <c r="R2017" t="s">
        <v>151</v>
      </c>
      <c r="S2017" t="s">
        <v>1525</v>
      </c>
      <c r="T2017" t="s">
        <v>153</v>
      </c>
      <c r="U2017" t="s">
        <v>184</v>
      </c>
      <c r="V2017" t="str">
        <f>IFERROR(INDEX(Products!$C:$C,MATCH(D2017,Products!$A:$A,0)),"Unknown")</f>
        <v>Women Dresses</v>
      </c>
      <c r="W2017" t="str">
        <f>IFERROR(INDEX(Products!$E:$E,MATCH(D2017,Products!$A:$A,0)),"Unknown")</f>
        <v>Jack &amp; Jones</v>
      </c>
      <c r="X2017" t="str">
        <f>IFERROR(INDEX(Stores!$B:$B,MATCH(E2017,Stores!$A:$A,0)),"Unknown")</f>
        <v>TrendMart Thoothukudi Outlet</v>
      </c>
      <c r="Y2017" t="str">
        <f>IFERROR(INDEX(Stores!$E:$E,MATCH(E2017,Stores!$A:$A,0)),"Unknown")</f>
        <v>South Zone 1</v>
      </c>
      <c r="Z2017" t="str">
        <f>IFERROR(INDEX(Customers!$J:$J,MATCH(C2017,Customers!$A:$A,0)),"Unknown")</f>
        <v>Platinum</v>
      </c>
      <c r="AA2017" t="str">
        <f t="shared" si="31"/>
        <v>2024-09</v>
      </c>
      <c r="AB2017" t="str">
        <f>IFERROR(INDEX(Products!$I:$I,MATCH(D2017,Products!$A:$A,0)),"Unknown")</f>
        <v>SUP069</v>
      </c>
    </row>
    <row r="2018" spans="1:28" x14ac:dyDescent="0.25">
      <c r="A2018" t="s">
        <v>4018</v>
      </c>
      <c r="B2018" s="20">
        <v>45540</v>
      </c>
      <c r="C2018" t="s">
        <v>3837</v>
      </c>
      <c r="D2018" t="s">
        <v>1759</v>
      </c>
      <c r="E2018" t="s">
        <v>87</v>
      </c>
      <c r="F2018" t="s">
        <v>397</v>
      </c>
      <c r="G2018">
        <v>3</v>
      </c>
      <c r="H2018" s="21">
        <v>2811.01</v>
      </c>
      <c r="I2018">
        <v>0</v>
      </c>
      <c r="J2018" s="21">
        <v>0</v>
      </c>
      <c r="K2018">
        <v>12</v>
      </c>
      <c r="L2018" s="21">
        <v>1011.96</v>
      </c>
      <c r="M2018" s="21">
        <v>9444.99</v>
      </c>
      <c r="N2018" s="21">
        <v>5822.37</v>
      </c>
      <c r="O2018" s="21">
        <v>2610.66</v>
      </c>
      <c r="P2018" t="s">
        <v>124</v>
      </c>
      <c r="Q2018" t="s">
        <v>120</v>
      </c>
      <c r="R2018" t="s">
        <v>151</v>
      </c>
      <c r="S2018" t="s">
        <v>2348</v>
      </c>
      <c r="T2018" t="s">
        <v>153</v>
      </c>
      <c r="U2018" t="s">
        <v>154</v>
      </c>
      <c r="V2018" t="str">
        <f>IFERROR(INDEX(Products!$C:$C,MATCH(D2018,Products!$A:$A,0)),"Unknown")</f>
        <v>Winter Wear</v>
      </c>
      <c r="W2018" t="str">
        <f>IFERROR(INDEX(Products!$E:$E,MATCH(D2018,Products!$A:$A,0)),"Unknown")</f>
        <v>Bata</v>
      </c>
      <c r="X2018" t="str">
        <f>IFERROR(INDEX(Stores!$B:$B,MATCH(E2018,Stores!$A:$A,0)),"Unknown")</f>
        <v>TrendMart Thiruvananthapuram Standard</v>
      </c>
      <c r="Y2018" t="str">
        <f>IFERROR(INDEX(Stores!$E:$E,MATCH(E2018,Stores!$A:$A,0)),"Unknown")</f>
        <v>South Zone 1</v>
      </c>
      <c r="Z2018" t="str">
        <f>IFERROR(INDEX(Customers!$J:$J,MATCH(C2018,Customers!$A:$A,0)),"Unknown")</f>
        <v>Silver</v>
      </c>
      <c r="AA2018" t="str">
        <f t="shared" si="31"/>
        <v>2024-09</v>
      </c>
      <c r="AB2018" t="str">
        <f>IFERROR(INDEX(Products!$I:$I,MATCH(D2018,Products!$A:$A,0)),"Unknown")</f>
        <v>SUP028</v>
      </c>
    </row>
    <row r="2019" spans="1:28" x14ac:dyDescent="0.25">
      <c r="A2019" t="s">
        <v>4019</v>
      </c>
      <c r="B2019" s="20">
        <v>45546</v>
      </c>
      <c r="C2019" t="s">
        <v>2041</v>
      </c>
      <c r="D2019" t="s">
        <v>697</v>
      </c>
      <c r="E2019" t="s">
        <v>158</v>
      </c>
      <c r="F2019" t="s">
        <v>532</v>
      </c>
      <c r="G2019">
        <v>1</v>
      </c>
      <c r="H2019" s="21">
        <v>1105.56</v>
      </c>
      <c r="I2019">
        <v>0</v>
      </c>
      <c r="J2019" s="21">
        <v>0</v>
      </c>
      <c r="K2019">
        <v>12</v>
      </c>
      <c r="L2019" s="21">
        <v>132.66999999999999</v>
      </c>
      <c r="M2019" s="21">
        <v>1238.23</v>
      </c>
      <c r="N2019" s="21">
        <v>699.84</v>
      </c>
      <c r="O2019" s="21">
        <v>405.72</v>
      </c>
      <c r="P2019" t="s">
        <v>121</v>
      </c>
      <c r="Q2019" t="s">
        <v>120</v>
      </c>
      <c r="R2019" t="s">
        <v>151</v>
      </c>
      <c r="S2019" t="s">
        <v>876</v>
      </c>
      <c r="T2019" t="s">
        <v>153</v>
      </c>
      <c r="U2019" t="s">
        <v>154</v>
      </c>
      <c r="V2019" t="str">
        <f>IFERROR(INDEX(Products!$C:$C,MATCH(D2019,Products!$A:$A,0)),"Unknown")</f>
        <v>Women Tops</v>
      </c>
      <c r="W2019" t="str">
        <f>IFERROR(INDEX(Products!$E:$E,MATCH(D2019,Products!$A:$A,0)),"Unknown")</f>
        <v>Nalli Silks</v>
      </c>
      <c r="X2019" t="str">
        <f>IFERROR(INDEX(Stores!$B:$B,MATCH(E2019,Stores!$A:$A,0)),"Unknown")</f>
        <v>TrendMart Tirunelveli High Street</v>
      </c>
      <c r="Y2019" t="str">
        <f>IFERROR(INDEX(Stores!$E:$E,MATCH(E2019,Stores!$A:$A,0)),"Unknown")</f>
        <v>South Zone 1</v>
      </c>
      <c r="Z2019" t="str">
        <f>IFERROR(INDEX(Customers!$J:$J,MATCH(C2019,Customers!$A:$A,0)),"Unknown")</f>
        <v>Regular</v>
      </c>
      <c r="AA2019" t="str">
        <f t="shared" si="31"/>
        <v>2024-09</v>
      </c>
      <c r="AB2019" t="str">
        <f>IFERROR(INDEX(Products!$I:$I,MATCH(D2019,Products!$A:$A,0)),"Unknown")</f>
        <v>SUP008</v>
      </c>
    </row>
    <row r="2020" spans="1:28" x14ac:dyDescent="0.25">
      <c r="A2020" t="s">
        <v>4020</v>
      </c>
      <c r="B2020" s="20">
        <v>45464</v>
      </c>
      <c r="C2020" t="s">
        <v>952</v>
      </c>
      <c r="D2020" t="s">
        <v>1687</v>
      </c>
      <c r="E2020" t="s">
        <v>1426</v>
      </c>
      <c r="F2020" t="s">
        <v>189</v>
      </c>
      <c r="G2020">
        <v>0</v>
      </c>
      <c r="H2020" s="21">
        <v>838.77</v>
      </c>
      <c r="I2020">
        <v>5</v>
      </c>
      <c r="J2020" s="21">
        <v>0</v>
      </c>
      <c r="K2020">
        <v>5</v>
      </c>
      <c r="L2020" s="21">
        <v>0</v>
      </c>
      <c r="M2020" s="21">
        <v>0</v>
      </c>
      <c r="N2020" s="21">
        <v>0</v>
      </c>
      <c r="O2020" s="21">
        <v>0</v>
      </c>
      <c r="P2020" t="s">
        <v>124</v>
      </c>
      <c r="Q2020" t="s">
        <v>120</v>
      </c>
      <c r="R2020" t="s">
        <v>482</v>
      </c>
      <c r="S2020" t="s">
        <v>1011</v>
      </c>
      <c r="T2020" t="s">
        <v>153</v>
      </c>
      <c r="U2020" t="s">
        <v>154</v>
      </c>
      <c r="V2020" t="str">
        <f>IFERROR(INDEX(Products!$C:$C,MATCH(D2020,Products!$A:$A,0)),"Unknown")</f>
        <v>Accessories</v>
      </c>
      <c r="W2020" t="str">
        <f>IFERROR(INDEX(Products!$E:$E,MATCH(D2020,Products!$A:$A,0)),"Unknown")</f>
        <v>Unknown</v>
      </c>
      <c r="X2020" t="str">
        <f>IFERROR(INDEX(Stores!$B:$B,MATCH(E2020,Stores!$A:$A,0)),"Unknown")</f>
        <v>TrendMart Alappuzha Mall Kiosk</v>
      </c>
      <c r="Y2020" t="str">
        <f>IFERROR(INDEX(Stores!$E:$E,MATCH(E2020,Stores!$A:$A,0)),"Unknown")</f>
        <v>South Zone 1</v>
      </c>
      <c r="Z2020" t="str">
        <f>IFERROR(INDEX(Customers!$J:$J,MATCH(C2020,Customers!$A:$A,0)),"Unknown")</f>
        <v>Regular</v>
      </c>
      <c r="AA2020" t="str">
        <f t="shared" si="31"/>
        <v>2024-06</v>
      </c>
      <c r="AB2020" t="str">
        <f>IFERROR(INDEX(Products!$I:$I,MATCH(D2020,Products!$A:$A,0)),"Unknown")</f>
        <v>SUP023</v>
      </c>
    </row>
    <row r="2021" spans="1:28" x14ac:dyDescent="0.25">
      <c r="A2021" t="s">
        <v>4021</v>
      </c>
      <c r="B2021" s="20">
        <v>45529</v>
      </c>
      <c r="C2021" t="s">
        <v>2750</v>
      </c>
      <c r="D2021" t="s">
        <v>949</v>
      </c>
      <c r="E2021" t="s">
        <v>810</v>
      </c>
      <c r="F2021" t="s">
        <v>165</v>
      </c>
      <c r="G2021">
        <v>2</v>
      </c>
      <c r="H2021" s="21">
        <v>1667.9</v>
      </c>
      <c r="I2021">
        <v>25</v>
      </c>
      <c r="J2021" s="21">
        <v>833.95</v>
      </c>
      <c r="K2021">
        <v>12</v>
      </c>
      <c r="L2021" s="21">
        <v>300.22000000000003</v>
      </c>
      <c r="M2021" s="21">
        <v>2802.07</v>
      </c>
      <c r="N2021" s="21">
        <v>1977.14</v>
      </c>
      <c r="O2021" s="21">
        <v>524.71</v>
      </c>
      <c r="P2021" t="s">
        <v>124</v>
      </c>
      <c r="Q2021" t="s">
        <v>120</v>
      </c>
      <c r="R2021" t="s">
        <v>151</v>
      </c>
      <c r="S2021" t="s">
        <v>1145</v>
      </c>
      <c r="T2021" t="s">
        <v>161</v>
      </c>
      <c r="U2021" t="s">
        <v>154</v>
      </c>
      <c r="V2021" t="str">
        <f>IFERROR(INDEX(Products!$C:$C,MATCH(D2021,Products!$A:$A,0)),"Unknown")</f>
        <v>Handbags</v>
      </c>
      <c r="W2021" t="str">
        <f>IFERROR(INDEX(Products!$E:$E,MATCH(D2021,Products!$A:$A,0)),"Unknown")</f>
        <v>Fastrack</v>
      </c>
      <c r="X2021" t="str">
        <f>IFERROR(INDEX(Stores!$B:$B,MATCH(E2021,Stores!$A:$A,0)),"Unknown")</f>
        <v>TrendMart Nizamabad Standard</v>
      </c>
      <c r="Y2021" t="str">
        <f>IFERROR(INDEX(Stores!$E:$E,MATCH(E2021,Stores!$A:$A,0)),"Unknown")</f>
        <v>South Zone 2</v>
      </c>
      <c r="Z2021" t="str">
        <f>IFERROR(INDEX(Customers!$J:$J,MATCH(C2021,Customers!$A:$A,0)),"Unknown")</f>
        <v>Platinum</v>
      </c>
      <c r="AA2021" t="str">
        <f t="shared" si="31"/>
        <v>2024-08</v>
      </c>
      <c r="AB2021" t="str">
        <f>IFERROR(INDEX(Products!$I:$I,MATCH(D2021,Products!$A:$A,0)),"Unknown")</f>
        <v>SUP069</v>
      </c>
    </row>
    <row r="2022" spans="1:28" x14ac:dyDescent="0.25">
      <c r="A2022" t="s">
        <v>4022</v>
      </c>
      <c r="B2022" s="20">
        <v>45589</v>
      </c>
      <c r="C2022" t="s">
        <v>493</v>
      </c>
      <c r="D2022" t="s">
        <v>531</v>
      </c>
      <c r="E2022" t="s">
        <v>252</v>
      </c>
      <c r="F2022" t="s">
        <v>232</v>
      </c>
      <c r="G2022">
        <v>1</v>
      </c>
      <c r="H2022" s="21">
        <v>3027.88</v>
      </c>
      <c r="I2022">
        <v>10</v>
      </c>
      <c r="J2022" s="21">
        <v>302.79000000000002</v>
      </c>
      <c r="K2022">
        <v>12</v>
      </c>
      <c r="L2022" s="21">
        <v>327.01</v>
      </c>
      <c r="M2022" s="21">
        <v>3052.1</v>
      </c>
      <c r="N2022" s="21">
        <v>2034.01</v>
      </c>
      <c r="O2022" s="21">
        <v>691.08</v>
      </c>
      <c r="P2022" t="s">
        <v>125</v>
      </c>
      <c r="Q2022" t="s">
        <v>122</v>
      </c>
      <c r="R2022" t="s">
        <v>313</v>
      </c>
      <c r="S2022" t="s">
        <v>1353</v>
      </c>
      <c r="T2022" t="s">
        <v>153</v>
      </c>
      <c r="U2022" t="s">
        <v>154</v>
      </c>
      <c r="V2022" t="str">
        <f>IFERROR(INDEX(Products!$C:$C,MATCH(D2022,Products!$A:$A,0)),"Unknown")</f>
        <v>Handbags</v>
      </c>
      <c r="W2022" t="str">
        <f>IFERROR(INDEX(Products!$E:$E,MATCH(D2022,Products!$A:$A,0)),"Unknown")</f>
        <v>GRT Jewellers</v>
      </c>
      <c r="X2022" t="str">
        <f>IFERROR(INDEX(Stores!$B:$B,MATCH(E2022,Stores!$A:$A,0)),"Unknown")</f>
        <v>TrendMart Nellore Standard</v>
      </c>
      <c r="Y2022" t="str">
        <f>IFERROR(INDEX(Stores!$E:$E,MATCH(E2022,Stores!$A:$A,0)),"Unknown")</f>
        <v>South Zone 3</v>
      </c>
      <c r="Z2022" t="str">
        <f>IFERROR(INDEX(Customers!$J:$J,MATCH(C2022,Customers!$A:$A,0)),"Unknown")</f>
        <v>Regular</v>
      </c>
      <c r="AA2022" t="str">
        <f t="shared" si="31"/>
        <v>2024-10</v>
      </c>
      <c r="AB2022" t="str">
        <f>IFERROR(INDEX(Products!$I:$I,MATCH(D2022,Products!$A:$A,0)),"Unknown")</f>
        <v>SUP047</v>
      </c>
    </row>
    <row r="2023" spans="1:28" x14ac:dyDescent="0.25">
      <c r="A2023" t="s">
        <v>4023</v>
      </c>
      <c r="B2023" s="20">
        <v>45586</v>
      </c>
      <c r="C2023" t="s">
        <v>628</v>
      </c>
      <c r="D2023" t="s">
        <v>536</v>
      </c>
      <c r="E2023" t="s">
        <v>1962</v>
      </c>
      <c r="F2023" t="s">
        <v>182</v>
      </c>
      <c r="G2023">
        <v>1</v>
      </c>
      <c r="H2023" s="21">
        <v>566.87</v>
      </c>
      <c r="I2023">
        <v>30</v>
      </c>
      <c r="J2023" s="21">
        <v>170.06</v>
      </c>
      <c r="K2023">
        <v>5</v>
      </c>
      <c r="L2023" s="21">
        <v>19.84</v>
      </c>
      <c r="M2023" s="21">
        <v>416.65</v>
      </c>
      <c r="N2023" s="21">
        <v>357.45</v>
      </c>
      <c r="O2023" s="21">
        <v>39.36</v>
      </c>
      <c r="P2023" t="s">
        <v>121</v>
      </c>
      <c r="Q2023" t="s">
        <v>120</v>
      </c>
      <c r="R2023" t="s">
        <v>151</v>
      </c>
      <c r="S2023" t="s">
        <v>2603</v>
      </c>
      <c r="T2023" t="s">
        <v>153</v>
      </c>
      <c r="U2023" t="s">
        <v>154</v>
      </c>
      <c r="V2023" t="str">
        <f>IFERROR(INDEX(Products!$C:$C,MATCH(D2023,Products!$A:$A,0)),"Unknown")</f>
        <v>Wallets</v>
      </c>
      <c r="W2023" t="str">
        <f>IFERROR(INDEX(Products!$E:$E,MATCH(D2023,Products!$A:$A,0)),"Unknown")</f>
        <v>Aurelia</v>
      </c>
      <c r="X2023" t="str">
        <f>IFERROR(INDEX(Stores!$B:$B,MATCH(E2023,Stores!$A:$A,0)),"Unknown")</f>
        <v>TrendMart Guntur High Street</v>
      </c>
      <c r="Y2023" t="str">
        <f>IFERROR(INDEX(Stores!$E:$E,MATCH(E2023,Stores!$A:$A,0)),"Unknown")</f>
        <v>South Zone 3</v>
      </c>
      <c r="Z2023" t="str">
        <f>IFERROR(INDEX(Customers!$J:$J,MATCH(C2023,Customers!$A:$A,0)),"Unknown")</f>
        <v>Silver</v>
      </c>
      <c r="AA2023" t="str">
        <f t="shared" si="31"/>
        <v>2024-10</v>
      </c>
      <c r="AB2023" t="str">
        <f>IFERROR(INDEX(Products!$I:$I,MATCH(D2023,Products!$A:$A,0)),"Unknown")</f>
        <v>SUP084</v>
      </c>
    </row>
    <row r="2024" spans="1:28" x14ac:dyDescent="0.25">
      <c r="A2024" t="s">
        <v>4024</v>
      </c>
      <c r="B2024" s="20">
        <v>45562</v>
      </c>
      <c r="C2024" t="s">
        <v>3419</v>
      </c>
      <c r="D2024" t="s">
        <v>650</v>
      </c>
      <c r="E2024" t="s">
        <v>88</v>
      </c>
      <c r="F2024" t="s">
        <v>258</v>
      </c>
      <c r="G2024">
        <v>3</v>
      </c>
      <c r="H2024" s="21">
        <v>1922.07</v>
      </c>
      <c r="I2024">
        <v>20</v>
      </c>
      <c r="J2024" s="21">
        <v>1153.24</v>
      </c>
      <c r="K2024">
        <v>12</v>
      </c>
      <c r="L2024" s="21">
        <v>553.55999999999995</v>
      </c>
      <c r="M2024" s="21">
        <v>5166.53</v>
      </c>
      <c r="N2024" s="21">
        <v>4227.3599999999997</v>
      </c>
      <c r="O2024" s="21">
        <v>385.61</v>
      </c>
      <c r="P2024" t="s">
        <v>124</v>
      </c>
      <c r="Q2024" t="s">
        <v>120</v>
      </c>
      <c r="R2024" t="s">
        <v>151</v>
      </c>
      <c r="S2024" t="s">
        <v>4006</v>
      </c>
      <c r="T2024" t="s">
        <v>153</v>
      </c>
      <c r="U2024" t="s">
        <v>154</v>
      </c>
      <c r="V2024" t="str">
        <f>IFERROR(INDEX(Products!$C:$C,MATCH(D2024,Products!$A:$A,0)),"Unknown")</f>
        <v>Winter Wear</v>
      </c>
      <c r="W2024" t="str">
        <f>IFERROR(INDEX(Products!$E:$E,MATCH(D2024,Products!$A:$A,0)),"Unknown")</f>
        <v>Mufti</v>
      </c>
      <c r="X2024" t="str">
        <f>IFERROR(INDEX(Stores!$B:$B,MATCH(E2024,Stores!$A:$A,0)),"Unknown")</f>
        <v>TrendMart Kozhikode Mall Kiosk</v>
      </c>
      <c r="Y2024" t="str">
        <f>IFERROR(INDEX(Stores!$E:$E,MATCH(E2024,Stores!$A:$A,0)),"Unknown")</f>
        <v>South Zone 1</v>
      </c>
      <c r="Z2024" t="str">
        <f>IFERROR(INDEX(Customers!$J:$J,MATCH(C2024,Customers!$A:$A,0)),"Unknown")</f>
        <v>Regular</v>
      </c>
      <c r="AA2024" t="str">
        <f t="shared" si="31"/>
        <v>2024-09</v>
      </c>
      <c r="AB2024" t="str">
        <f>IFERROR(INDEX(Products!$I:$I,MATCH(D2024,Products!$A:$A,0)),"Unknown")</f>
        <v>SUP078</v>
      </c>
    </row>
    <row r="2025" spans="1:28" x14ac:dyDescent="0.25">
      <c r="A2025" t="s">
        <v>4025</v>
      </c>
      <c r="B2025" s="20">
        <v>45465</v>
      </c>
      <c r="C2025" t="s">
        <v>1507</v>
      </c>
      <c r="D2025" t="s">
        <v>633</v>
      </c>
      <c r="E2025" t="s">
        <v>461</v>
      </c>
      <c r="F2025" t="s">
        <v>263</v>
      </c>
      <c r="G2025">
        <v>2</v>
      </c>
      <c r="H2025" s="21">
        <v>749.82</v>
      </c>
      <c r="I2025">
        <v>0</v>
      </c>
      <c r="J2025" s="21">
        <v>0</v>
      </c>
      <c r="K2025">
        <v>5</v>
      </c>
      <c r="L2025" s="21">
        <v>74.98</v>
      </c>
      <c r="M2025" s="21">
        <v>1574.62</v>
      </c>
      <c r="N2025" s="21">
        <v>835.84</v>
      </c>
      <c r="O2025" s="21">
        <v>663.8</v>
      </c>
      <c r="P2025" t="s">
        <v>121</v>
      </c>
      <c r="Q2025" t="s">
        <v>120</v>
      </c>
      <c r="R2025" t="s">
        <v>151</v>
      </c>
      <c r="S2025" t="s">
        <v>2162</v>
      </c>
      <c r="T2025" t="s">
        <v>161</v>
      </c>
      <c r="U2025" t="s">
        <v>154</v>
      </c>
      <c r="V2025" t="str">
        <f>IFERROR(INDEX(Products!$C:$C,MATCH(D2025,Products!$A:$A,0)),"Unknown")</f>
        <v>Men T-Shirts</v>
      </c>
      <c r="W2025" t="str">
        <f>IFERROR(INDEX(Products!$E:$E,MATCH(D2025,Products!$A:$A,0)),"Unknown")</f>
        <v>Reebok</v>
      </c>
      <c r="X2025" t="str">
        <f>IFERROR(INDEX(Stores!$B:$B,MATCH(E2025,Stores!$A:$A,0)),"Unknown")</f>
        <v>TrendMart Visakhapatnam High Street</v>
      </c>
      <c r="Y2025" t="str">
        <f>IFERROR(INDEX(Stores!$E:$E,MATCH(E2025,Stores!$A:$A,0)),"Unknown")</f>
        <v>South Zone 3</v>
      </c>
      <c r="Z2025" t="str">
        <f>IFERROR(INDEX(Customers!$J:$J,MATCH(C2025,Customers!$A:$A,0)),"Unknown")</f>
        <v>Gold</v>
      </c>
      <c r="AA2025" t="str">
        <f t="shared" si="31"/>
        <v>2024-06</v>
      </c>
      <c r="AB2025" t="str">
        <f>IFERROR(INDEX(Products!$I:$I,MATCH(D2025,Products!$A:$A,0)),"Unknown")</f>
        <v>SUP046</v>
      </c>
    </row>
    <row r="2026" spans="1:28" x14ac:dyDescent="0.25">
      <c r="A2026" t="s">
        <v>4026</v>
      </c>
      <c r="B2026" s="20">
        <v>45524</v>
      </c>
      <c r="C2026" t="s">
        <v>2412</v>
      </c>
      <c r="D2026" t="s">
        <v>689</v>
      </c>
      <c r="E2026" t="s">
        <v>92</v>
      </c>
      <c r="F2026" t="s">
        <v>292</v>
      </c>
      <c r="G2026">
        <v>2</v>
      </c>
      <c r="H2026" s="21">
        <v>766.26</v>
      </c>
      <c r="I2026">
        <v>5</v>
      </c>
      <c r="J2026" s="21">
        <v>76.63</v>
      </c>
      <c r="K2026">
        <v>5</v>
      </c>
      <c r="L2026" s="21">
        <v>72.790000000000006</v>
      </c>
      <c r="M2026" s="21">
        <v>1528.68</v>
      </c>
      <c r="N2026" s="21">
        <v>1182.76</v>
      </c>
      <c r="O2026" s="21">
        <v>273.13</v>
      </c>
      <c r="P2026" t="s">
        <v>124</v>
      </c>
      <c r="Q2026" t="s">
        <v>122</v>
      </c>
      <c r="R2026" t="s">
        <v>151</v>
      </c>
      <c r="S2026" t="s">
        <v>820</v>
      </c>
      <c r="T2026" t="s">
        <v>153</v>
      </c>
      <c r="U2026" t="s">
        <v>154</v>
      </c>
      <c r="V2026" t="str">
        <f>IFERROR(INDEX(Products!$C:$C,MATCH(D2026,Products!$A:$A,0)),"Unknown")</f>
        <v>Kids Wear</v>
      </c>
      <c r="W2026" t="str">
        <f>IFERROR(INDEX(Products!$E:$E,MATCH(D2026,Products!$A:$A,0)),"Unknown")</f>
        <v>Libas</v>
      </c>
      <c r="X2026" t="str">
        <f>IFERROR(INDEX(Stores!$B:$B,MATCH(E2026,Stores!$A:$A,0)),"Unknown")</f>
        <v>TrendMart Guntur High Street</v>
      </c>
      <c r="Y2026" t="str">
        <f>IFERROR(INDEX(Stores!$E:$E,MATCH(E2026,Stores!$A:$A,0)),"Unknown")</f>
        <v>South Zone 3</v>
      </c>
      <c r="Z2026" t="str">
        <f>IFERROR(INDEX(Customers!$J:$J,MATCH(C2026,Customers!$A:$A,0)),"Unknown")</f>
        <v>Gold</v>
      </c>
      <c r="AA2026" t="str">
        <f t="shared" si="31"/>
        <v>2024-08</v>
      </c>
      <c r="AB2026" t="str">
        <f>IFERROR(INDEX(Products!$I:$I,MATCH(D2026,Products!$A:$A,0)),"Unknown")</f>
        <v>SUP031</v>
      </c>
    </row>
    <row r="2027" spans="1:28" x14ac:dyDescent="0.25">
      <c r="A2027" t="s">
        <v>4027</v>
      </c>
      <c r="B2027" s="20">
        <v>45384</v>
      </c>
      <c r="C2027" t="s">
        <v>4028</v>
      </c>
      <c r="D2027" t="s">
        <v>1073</v>
      </c>
      <c r="E2027" t="s">
        <v>84</v>
      </c>
      <c r="F2027" t="s">
        <v>232</v>
      </c>
      <c r="G2027">
        <v>2</v>
      </c>
      <c r="H2027" s="21">
        <v>3324.17</v>
      </c>
      <c r="I2027">
        <v>10</v>
      </c>
      <c r="J2027" s="21">
        <v>664.83</v>
      </c>
      <c r="K2027">
        <v>12</v>
      </c>
      <c r="L2027" s="21">
        <v>718.02</v>
      </c>
      <c r="M2027" s="21">
        <v>6701.53</v>
      </c>
      <c r="N2027" s="21">
        <v>4680.92</v>
      </c>
      <c r="O2027" s="21">
        <v>1302.5899999999999</v>
      </c>
      <c r="P2027" t="s">
        <v>123</v>
      </c>
      <c r="Q2027" t="s">
        <v>120</v>
      </c>
      <c r="R2027" t="s">
        <v>151</v>
      </c>
      <c r="S2027" t="s">
        <v>2014</v>
      </c>
      <c r="T2027" t="s">
        <v>153</v>
      </c>
      <c r="U2027" t="s">
        <v>154</v>
      </c>
      <c r="V2027" t="str">
        <f>IFERROR(INDEX(Products!$C:$C,MATCH(D2027,Products!$A:$A,0)),"Unknown")</f>
        <v>Women Sarees</v>
      </c>
      <c r="W2027" t="str">
        <f>IFERROR(INDEX(Products!$E:$E,MATCH(D2027,Products!$A:$A,0)),"Unknown")</f>
        <v>W for Woman</v>
      </c>
      <c r="X2027" t="str">
        <f>IFERROR(INDEX(Stores!$B:$B,MATCH(E2027,Stores!$A:$A,0)),"Unknown")</f>
        <v>TrendMart Tirupati Standard</v>
      </c>
      <c r="Y2027" t="str">
        <f>IFERROR(INDEX(Stores!$E:$E,MATCH(E2027,Stores!$A:$A,0)),"Unknown")</f>
        <v>South Zone 3</v>
      </c>
      <c r="Z2027" t="str">
        <f>IFERROR(INDEX(Customers!$J:$J,MATCH(C2027,Customers!$A:$A,0)),"Unknown")</f>
        <v>Silver</v>
      </c>
      <c r="AA2027" t="str">
        <f t="shared" si="31"/>
        <v>2024-04</v>
      </c>
      <c r="AB2027" t="str">
        <f>IFERROR(INDEX(Products!$I:$I,MATCH(D2027,Products!$A:$A,0)),"Unknown")</f>
        <v>SUP012</v>
      </c>
    </row>
    <row r="2028" spans="1:28" x14ac:dyDescent="0.25">
      <c r="A2028" t="s">
        <v>4029</v>
      </c>
      <c r="B2028" s="20">
        <v>45418</v>
      </c>
      <c r="C2028" t="s">
        <v>707</v>
      </c>
      <c r="D2028" t="s">
        <v>2751</v>
      </c>
      <c r="E2028" t="s">
        <v>402</v>
      </c>
      <c r="F2028" t="s">
        <v>297</v>
      </c>
      <c r="G2028">
        <v>2</v>
      </c>
      <c r="H2028" s="21">
        <v>428.13</v>
      </c>
      <c r="I2028">
        <v>20</v>
      </c>
      <c r="J2028" s="21">
        <v>171.25</v>
      </c>
      <c r="K2028">
        <v>5</v>
      </c>
      <c r="L2028" s="21">
        <v>34.25</v>
      </c>
      <c r="M2028" s="21">
        <v>719.26</v>
      </c>
      <c r="N2028" s="21">
        <v>638.14</v>
      </c>
      <c r="O2028" s="21">
        <v>46.87</v>
      </c>
      <c r="P2028" t="s">
        <v>121</v>
      </c>
      <c r="Q2028" t="s">
        <v>120</v>
      </c>
      <c r="R2028" t="s">
        <v>313</v>
      </c>
      <c r="S2028" t="s">
        <v>3894</v>
      </c>
      <c r="T2028" t="s">
        <v>153</v>
      </c>
      <c r="U2028" t="s">
        <v>154</v>
      </c>
      <c r="V2028" t="str">
        <f>IFERROR(INDEX(Products!$C:$C,MATCH(D2028,Products!$A:$A,0)),"Unknown")</f>
        <v>Belts</v>
      </c>
      <c r="W2028" t="str">
        <f>IFERROR(INDEX(Products!$E:$E,MATCH(D2028,Products!$A:$A,0)),"Unknown")</f>
        <v>AND</v>
      </c>
      <c r="X2028" t="str">
        <f>IFERROR(INDEX(Stores!$B:$B,MATCH(E2028,Stores!$A:$A,0)),"Unknown")</f>
        <v>TrendMart Kannur Standard</v>
      </c>
      <c r="Y2028" t="str">
        <f>IFERROR(INDEX(Stores!$E:$E,MATCH(E2028,Stores!$A:$A,0)),"Unknown")</f>
        <v>South Zone 1</v>
      </c>
      <c r="Z2028" t="str">
        <f>IFERROR(INDEX(Customers!$J:$J,MATCH(C2028,Customers!$A:$A,0)),"Unknown")</f>
        <v>Gold</v>
      </c>
      <c r="AA2028" t="str">
        <f t="shared" si="31"/>
        <v>2024-05</v>
      </c>
      <c r="AB2028" t="str">
        <f>IFERROR(INDEX(Products!$I:$I,MATCH(D2028,Products!$A:$A,0)),"Unknown")</f>
        <v>SUP026</v>
      </c>
    </row>
    <row r="2029" spans="1:28" x14ac:dyDescent="0.25">
      <c r="A2029" t="s">
        <v>4030</v>
      </c>
      <c r="B2029" s="20">
        <v>45588</v>
      </c>
      <c r="C2029" t="s">
        <v>2357</v>
      </c>
      <c r="D2029" t="s">
        <v>1504</v>
      </c>
      <c r="E2029" t="s">
        <v>823</v>
      </c>
      <c r="F2029" t="s">
        <v>176</v>
      </c>
      <c r="G2029">
        <v>3</v>
      </c>
      <c r="H2029" s="21">
        <v>1634.89</v>
      </c>
      <c r="I2029">
        <v>15</v>
      </c>
      <c r="J2029" s="21">
        <v>735.7</v>
      </c>
      <c r="K2029">
        <v>12</v>
      </c>
      <c r="L2029" s="21">
        <v>500.28</v>
      </c>
      <c r="M2029" s="21">
        <v>4669.25</v>
      </c>
      <c r="N2029" s="21">
        <v>3433.77</v>
      </c>
      <c r="O2029" s="21">
        <v>735.2</v>
      </c>
      <c r="P2029" t="s">
        <v>123</v>
      </c>
      <c r="Q2029" t="s">
        <v>120</v>
      </c>
      <c r="R2029" t="s">
        <v>313</v>
      </c>
      <c r="S2029" t="s">
        <v>202</v>
      </c>
      <c r="T2029" t="s">
        <v>153</v>
      </c>
      <c r="U2029" t="s">
        <v>154</v>
      </c>
      <c r="V2029" t="str">
        <f>IFERROR(INDEX(Products!$C:$C,MATCH(D2029,Products!$A:$A,0)),"Unknown")</f>
        <v>Women Dresses</v>
      </c>
      <c r="W2029" t="str">
        <f>IFERROR(INDEX(Products!$E:$E,MATCH(D2029,Products!$A:$A,0)),"Unknown")</f>
        <v>Westside</v>
      </c>
      <c r="X2029" t="str">
        <f>IFERROR(INDEX(Stores!$B:$B,MATCH(E2029,Stores!$A:$A,0)),"Unknown")</f>
        <v>TrendMart Thoothukudi Mall Kiosk</v>
      </c>
      <c r="Y2029" t="str">
        <f>IFERROR(INDEX(Stores!$E:$E,MATCH(E2029,Stores!$A:$A,0)),"Unknown")</f>
        <v>South Zone 1</v>
      </c>
      <c r="Z2029" t="str">
        <f>IFERROR(INDEX(Customers!$J:$J,MATCH(C2029,Customers!$A:$A,0)),"Unknown")</f>
        <v>Silver</v>
      </c>
      <c r="AA2029" t="str">
        <f t="shared" si="31"/>
        <v>2024-10</v>
      </c>
      <c r="AB2029" t="str">
        <f>IFERROR(INDEX(Products!$I:$I,MATCH(D2029,Products!$A:$A,0)),"Unknown")</f>
        <v>SUP010</v>
      </c>
    </row>
    <row r="2030" spans="1:28" x14ac:dyDescent="0.25">
      <c r="A2030" t="s">
        <v>4031</v>
      </c>
      <c r="B2030" s="20">
        <v>45482</v>
      </c>
      <c r="C2030" t="s">
        <v>437</v>
      </c>
      <c r="D2030" t="s">
        <v>2402</v>
      </c>
      <c r="E2030" t="s">
        <v>181</v>
      </c>
      <c r="F2030" t="s">
        <v>150</v>
      </c>
      <c r="G2030">
        <v>2</v>
      </c>
      <c r="H2030" s="21">
        <v>2015.19</v>
      </c>
      <c r="I2030">
        <v>30</v>
      </c>
      <c r="J2030" s="21">
        <v>1209.1099999999999</v>
      </c>
      <c r="K2030">
        <v>12</v>
      </c>
      <c r="L2030" s="21">
        <v>338.55</v>
      </c>
      <c r="M2030" s="21">
        <v>3159.82</v>
      </c>
      <c r="N2030" s="21">
        <v>2731.3</v>
      </c>
      <c r="O2030" s="21">
        <v>89.97</v>
      </c>
      <c r="P2030" t="s">
        <v>121</v>
      </c>
      <c r="Q2030" t="s">
        <v>120</v>
      </c>
      <c r="R2030" t="s">
        <v>151</v>
      </c>
      <c r="S2030" t="s">
        <v>705</v>
      </c>
      <c r="T2030" t="s">
        <v>153</v>
      </c>
      <c r="U2030" t="s">
        <v>154</v>
      </c>
      <c r="V2030" t="str">
        <f>IFERROR(INDEX(Products!$C:$C,MATCH(D2030,Products!$A:$A,0)),"Unknown")</f>
        <v>Handbags</v>
      </c>
      <c r="W2030" t="str">
        <f>IFERROR(INDEX(Products!$E:$E,MATCH(D2030,Products!$A:$A,0)),"Unknown")</f>
        <v>Allen Solly</v>
      </c>
      <c r="X2030" t="str">
        <f>IFERROR(INDEX(Stores!$B:$B,MATCH(E2030,Stores!$A:$A,0)),"Unknown")</f>
        <v>TrendMart Kurnool High Street</v>
      </c>
      <c r="Y2030" t="str">
        <f>IFERROR(INDEX(Stores!$E:$E,MATCH(E2030,Stores!$A:$A,0)),"Unknown")</f>
        <v>South Zone 3</v>
      </c>
      <c r="Z2030" t="str">
        <f>IFERROR(INDEX(Customers!$J:$J,MATCH(C2030,Customers!$A:$A,0)),"Unknown")</f>
        <v>Regular</v>
      </c>
      <c r="AA2030" t="str">
        <f t="shared" si="31"/>
        <v>2024-07</v>
      </c>
      <c r="AB2030" t="str">
        <f>IFERROR(INDEX(Products!$I:$I,MATCH(D2030,Products!$A:$A,0)),"Unknown")</f>
        <v>SUP043</v>
      </c>
    </row>
    <row r="2031" spans="1:28" x14ac:dyDescent="0.25">
      <c r="A2031" t="s">
        <v>4032</v>
      </c>
      <c r="B2031" s="20">
        <v>45631</v>
      </c>
      <c r="C2031" t="s">
        <v>2733</v>
      </c>
      <c r="D2031" t="s">
        <v>1407</v>
      </c>
      <c r="E2031" t="s">
        <v>1681</v>
      </c>
      <c r="F2031" t="s">
        <v>344</v>
      </c>
      <c r="G2031">
        <v>3</v>
      </c>
      <c r="H2031" s="21">
        <v>1127.26</v>
      </c>
      <c r="I2031">
        <v>0</v>
      </c>
      <c r="J2031" s="21">
        <v>0</v>
      </c>
      <c r="K2031">
        <v>12</v>
      </c>
      <c r="L2031" s="21">
        <v>405.81</v>
      </c>
      <c r="M2031" s="21">
        <v>3787.59</v>
      </c>
      <c r="N2031" s="21">
        <v>2295.69</v>
      </c>
      <c r="O2031" s="21">
        <v>1086.0899999999999</v>
      </c>
      <c r="P2031" t="s">
        <v>125</v>
      </c>
      <c r="Q2031" t="s">
        <v>120</v>
      </c>
      <c r="R2031" t="s">
        <v>151</v>
      </c>
      <c r="S2031" t="s">
        <v>668</v>
      </c>
      <c r="T2031" t="s">
        <v>153</v>
      </c>
      <c r="U2031" t="s">
        <v>154</v>
      </c>
      <c r="V2031" t="str">
        <f>IFERROR(INDEX(Products!$C:$C,MATCH(D2031,Products!$A:$A,0)),"Unknown")</f>
        <v>Belts</v>
      </c>
      <c r="W2031" t="str">
        <f>IFERROR(INDEX(Products!$E:$E,MATCH(D2031,Products!$A:$A,0)),"Unknown")</f>
        <v>Pantaloons</v>
      </c>
      <c r="X2031" t="str">
        <f>IFERROR(INDEX(Stores!$B:$B,MATCH(E2031,Stores!$A:$A,0)),"Unknown")</f>
        <v>TrendMart Warangal Standard</v>
      </c>
      <c r="Y2031" t="str">
        <f>IFERROR(INDEX(Stores!$E:$E,MATCH(E2031,Stores!$A:$A,0)),"Unknown")</f>
        <v>South Zone 2</v>
      </c>
      <c r="Z2031" t="str">
        <f>IFERROR(INDEX(Customers!$J:$J,MATCH(C2031,Customers!$A:$A,0)),"Unknown")</f>
        <v>Regular</v>
      </c>
      <c r="AA2031" t="str">
        <f t="shared" si="31"/>
        <v>2024-12</v>
      </c>
      <c r="AB2031" t="str">
        <f>IFERROR(INDEX(Products!$I:$I,MATCH(D2031,Products!$A:$A,0)),"Unknown")</f>
        <v>SUP030</v>
      </c>
    </row>
    <row r="2032" spans="1:28" x14ac:dyDescent="0.25">
      <c r="A2032" t="s">
        <v>4033</v>
      </c>
      <c r="B2032" s="20">
        <v>45666</v>
      </c>
      <c r="C2032" t="s">
        <v>488</v>
      </c>
      <c r="D2032" t="s">
        <v>1816</v>
      </c>
      <c r="E2032" t="s">
        <v>274</v>
      </c>
      <c r="F2032" t="s">
        <v>150</v>
      </c>
      <c r="G2032">
        <v>1</v>
      </c>
      <c r="H2032" s="21">
        <v>1326.86</v>
      </c>
      <c r="I2032">
        <v>5</v>
      </c>
      <c r="J2032" s="21">
        <v>66.34</v>
      </c>
      <c r="K2032">
        <v>12</v>
      </c>
      <c r="L2032" s="21">
        <v>151.26</v>
      </c>
      <c r="M2032" s="21">
        <v>1411.78</v>
      </c>
      <c r="N2032" s="21">
        <v>906.3</v>
      </c>
      <c r="O2032" s="21">
        <v>354.22</v>
      </c>
      <c r="P2032" t="s">
        <v>124</v>
      </c>
      <c r="Q2032" t="s">
        <v>120</v>
      </c>
      <c r="R2032" t="s">
        <v>151</v>
      </c>
      <c r="S2032" t="s">
        <v>896</v>
      </c>
      <c r="T2032" t="s">
        <v>153</v>
      </c>
      <c r="U2032" t="s">
        <v>154</v>
      </c>
      <c r="V2032" t="str">
        <f>IFERROR(INDEX(Products!$C:$C,MATCH(D2032,Products!$A:$A,0)),"Unknown")</f>
        <v>Wallets</v>
      </c>
      <c r="W2032" t="str">
        <f>IFERROR(INDEX(Products!$E:$E,MATCH(D2032,Products!$A:$A,0)),"Unknown")</f>
        <v>Louis Philippe</v>
      </c>
      <c r="X2032" t="str">
        <f>IFERROR(INDEX(Stores!$B:$B,MATCH(E2032,Stores!$A:$A,0)),"Unknown")</f>
        <v>TrendMart Mangaluru Standard</v>
      </c>
      <c r="Y2032" t="str">
        <f>IFERROR(INDEX(Stores!$E:$E,MATCH(E2032,Stores!$A:$A,0)),"Unknown")</f>
        <v>South Zone 2</v>
      </c>
      <c r="Z2032" t="str">
        <f>IFERROR(INDEX(Customers!$J:$J,MATCH(C2032,Customers!$A:$A,0)),"Unknown")</f>
        <v>Gold</v>
      </c>
      <c r="AA2032" t="str">
        <f t="shared" si="31"/>
        <v>2025-01</v>
      </c>
      <c r="AB2032" t="str">
        <f>IFERROR(INDEX(Products!$I:$I,MATCH(D2032,Products!$A:$A,0)),"Unknown")</f>
        <v>SUP076</v>
      </c>
    </row>
    <row r="2033" spans="1:28" x14ac:dyDescent="0.25">
      <c r="A2033" t="s">
        <v>4034</v>
      </c>
      <c r="B2033" s="20">
        <v>45593</v>
      </c>
      <c r="C2033" t="s">
        <v>2355</v>
      </c>
      <c r="D2033" t="s">
        <v>386</v>
      </c>
      <c r="E2033" t="s">
        <v>396</v>
      </c>
      <c r="F2033" t="s">
        <v>532</v>
      </c>
      <c r="G2033">
        <v>3</v>
      </c>
      <c r="H2033" s="21">
        <v>1485.72</v>
      </c>
      <c r="I2033">
        <v>0</v>
      </c>
      <c r="J2033" s="21">
        <v>0</v>
      </c>
      <c r="K2033">
        <v>12</v>
      </c>
      <c r="L2033" s="21">
        <v>534.86</v>
      </c>
      <c r="M2033" s="21">
        <v>4992.0200000000004</v>
      </c>
      <c r="N2033" s="21">
        <v>3039.78</v>
      </c>
      <c r="O2033" s="21">
        <v>1417.38</v>
      </c>
      <c r="P2033" t="s">
        <v>121</v>
      </c>
      <c r="Q2033" t="s">
        <v>120</v>
      </c>
      <c r="R2033" t="s">
        <v>151</v>
      </c>
      <c r="S2033" t="s">
        <v>4035</v>
      </c>
      <c r="T2033" t="s">
        <v>153</v>
      </c>
      <c r="U2033" t="s">
        <v>154</v>
      </c>
      <c r="V2033" t="str">
        <f>IFERROR(INDEX(Products!$C:$C,MATCH(D2033,Products!$A:$A,0)),"Unknown")</f>
        <v>Winter Wear</v>
      </c>
      <c r="W2033" t="str">
        <f>IFERROR(INDEX(Products!$E:$E,MATCH(D2033,Products!$A:$A,0)),"Unknown")</f>
        <v>Blackberrys</v>
      </c>
      <c r="X2033" t="str">
        <f>IFERROR(INDEX(Stores!$B:$B,MATCH(E2033,Stores!$A:$A,0)),"Unknown")</f>
        <v>TrendMart Davanagere High Street</v>
      </c>
      <c r="Y2033" t="str">
        <f>IFERROR(INDEX(Stores!$E:$E,MATCH(E2033,Stores!$A:$A,0)),"Unknown")</f>
        <v>South Zone 2</v>
      </c>
      <c r="Z2033" t="str">
        <f>IFERROR(INDEX(Customers!$J:$J,MATCH(C2033,Customers!$A:$A,0)),"Unknown")</f>
        <v>Gold</v>
      </c>
      <c r="AA2033" t="str">
        <f t="shared" si="31"/>
        <v>2024-10</v>
      </c>
      <c r="AB2033" t="str">
        <f>IFERROR(INDEX(Products!$I:$I,MATCH(D2033,Products!$A:$A,0)),"Unknown")</f>
        <v>SUP051</v>
      </c>
    </row>
    <row r="2034" spans="1:28" x14ac:dyDescent="0.25">
      <c r="A2034" t="s">
        <v>4036</v>
      </c>
      <c r="B2034" s="20">
        <v>45578</v>
      </c>
      <c r="C2034" t="s">
        <v>1291</v>
      </c>
      <c r="D2034" t="s">
        <v>469</v>
      </c>
      <c r="E2034" t="s">
        <v>1141</v>
      </c>
      <c r="F2034" t="s">
        <v>263</v>
      </c>
      <c r="G2034">
        <v>2</v>
      </c>
      <c r="H2034" s="21">
        <v>841.72</v>
      </c>
      <c r="I2034">
        <v>30</v>
      </c>
      <c r="J2034" s="21">
        <v>505.03</v>
      </c>
      <c r="K2034">
        <v>5</v>
      </c>
      <c r="L2034" s="21">
        <v>58.92</v>
      </c>
      <c r="M2034" s="21">
        <v>1237.33</v>
      </c>
      <c r="N2034" s="21">
        <v>1136.1199999999999</v>
      </c>
      <c r="O2034" s="21">
        <v>42.29</v>
      </c>
      <c r="P2034" t="s">
        <v>127</v>
      </c>
      <c r="Q2034" t="s">
        <v>120</v>
      </c>
      <c r="R2034" t="s">
        <v>151</v>
      </c>
      <c r="S2034" t="s">
        <v>1165</v>
      </c>
      <c r="T2034" t="s">
        <v>161</v>
      </c>
      <c r="U2034" t="s">
        <v>154</v>
      </c>
      <c r="V2034" t="str">
        <f>IFERROR(INDEX(Products!$C:$C,MATCH(D2034,Products!$A:$A,0)),"Unknown")</f>
        <v>Women Kurtis</v>
      </c>
      <c r="W2034" t="str">
        <f>IFERROR(INDEX(Products!$E:$E,MATCH(D2034,Products!$A:$A,0)),"Unknown")</f>
        <v>Libas</v>
      </c>
      <c r="X2034" t="str">
        <f>IFERROR(INDEX(Stores!$B:$B,MATCH(E2034,Stores!$A:$A,0)),"Unknown")</f>
        <v>TrendMart Kochi Standard</v>
      </c>
      <c r="Y2034" t="str">
        <f>IFERROR(INDEX(Stores!$E:$E,MATCH(E2034,Stores!$A:$A,0)),"Unknown")</f>
        <v>South Zone 1</v>
      </c>
      <c r="Z2034" t="str">
        <f>IFERROR(INDEX(Customers!$J:$J,MATCH(C2034,Customers!$A:$A,0)),"Unknown")</f>
        <v>Gold</v>
      </c>
      <c r="AA2034" t="str">
        <f t="shared" si="31"/>
        <v>2024-10</v>
      </c>
      <c r="AB2034" t="str">
        <f>IFERROR(INDEX(Products!$I:$I,MATCH(D2034,Products!$A:$A,0)),"Unknown")</f>
        <v>SUP079</v>
      </c>
    </row>
    <row r="2035" spans="1:28" x14ac:dyDescent="0.25">
      <c r="A2035" t="s">
        <v>4037</v>
      </c>
      <c r="B2035" s="20">
        <v>45708</v>
      </c>
      <c r="C2035" t="s">
        <v>3407</v>
      </c>
      <c r="D2035" t="s">
        <v>1569</v>
      </c>
      <c r="E2035" t="s">
        <v>188</v>
      </c>
      <c r="F2035" t="s">
        <v>176</v>
      </c>
      <c r="G2035">
        <v>1</v>
      </c>
      <c r="H2035" s="21">
        <v>1106.18</v>
      </c>
      <c r="I2035">
        <v>5</v>
      </c>
      <c r="J2035" s="21">
        <v>55.31</v>
      </c>
      <c r="K2035">
        <v>12</v>
      </c>
      <c r="L2035" s="21">
        <v>126.1</v>
      </c>
      <c r="M2035" s="21">
        <v>1176.97</v>
      </c>
      <c r="N2035" s="21">
        <v>808.99</v>
      </c>
      <c r="O2035" s="21">
        <v>241.88</v>
      </c>
      <c r="P2035" t="s">
        <v>121</v>
      </c>
      <c r="Q2035" t="s">
        <v>120</v>
      </c>
      <c r="R2035" t="s">
        <v>151</v>
      </c>
      <c r="S2035" t="s">
        <v>3022</v>
      </c>
      <c r="T2035" t="s">
        <v>153</v>
      </c>
      <c r="U2035" t="s">
        <v>154</v>
      </c>
      <c r="V2035" t="str">
        <f>IFERROR(INDEX(Products!$C:$C,MATCH(D2035,Products!$A:$A,0)),"Unknown")</f>
        <v>Women Kurtis</v>
      </c>
      <c r="W2035" t="str">
        <f>IFERROR(INDEX(Products!$E:$E,MATCH(D2035,Products!$A:$A,0)),"Unknown")</f>
        <v>Liberty</v>
      </c>
      <c r="X2035" t="str">
        <f>IFERROR(INDEX(Stores!$B:$B,MATCH(E2035,Stores!$A:$A,0)),"Unknown")</f>
        <v>TrendMart Vijayawada Standard</v>
      </c>
      <c r="Y2035" t="str">
        <f>IFERROR(INDEX(Stores!$E:$E,MATCH(E2035,Stores!$A:$A,0)),"Unknown")</f>
        <v>South Zone 3</v>
      </c>
      <c r="Z2035" t="str">
        <f>IFERROR(INDEX(Customers!$J:$J,MATCH(C2035,Customers!$A:$A,0)),"Unknown")</f>
        <v>Silver</v>
      </c>
      <c r="AA2035" t="str">
        <f t="shared" si="31"/>
        <v>2025-02</v>
      </c>
      <c r="AB2035" t="str">
        <f>IFERROR(INDEX(Products!$I:$I,MATCH(D2035,Products!$A:$A,0)),"Unknown")</f>
        <v>SUP079</v>
      </c>
    </row>
    <row r="2036" spans="1:28" x14ac:dyDescent="0.25">
      <c r="A2036" t="s">
        <v>4038</v>
      </c>
      <c r="B2036" s="20">
        <v>45737</v>
      </c>
      <c r="C2036" t="s">
        <v>3724</v>
      </c>
      <c r="D2036" t="s">
        <v>1569</v>
      </c>
      <c r="E2036" t="s">
        <v>429</v>
      </c>
      <c r="F2036" t="s">
        <v>182</v>
      </c>
      <c r="G2036">
        <v>2</v>
      </c>
      <c r="H2036" s="21">
        <v>1152.44</v>
      </c>
      <c r="I2036">
        <v>20</v>
      </c>
      <c r="J2036" s="21">
        <v>460.98</v>
      </c>
      <c r="K2036">
        <v>12</v>
      </c>
      <c r="L2036" s="21">
        <v>221.27</v>
      </c>
      <c r="M2036" s="21">
        <v>2065.17</v>
      </c>
      <c r="N2036" s="21">
        <v>1617.98</v>
      </c>
      <c r="O2036" s="21">
        <v>225.92</v>
      </c>
      <c r="P2036" t="s">
        <v>123</v>
      </c>
      <c r="Q2036" t="s">
        <v>122</v>
      </c>
      <c r="R2036" t="s">
        <v>151</v>
      </c>
      <c r="S2036" t="s">
        <v>4039</v>
      </c>
      <c r="T2036" t="s">
        <v>153</v>
      </c>
      <c r="U2036" t="s">
        <v>154</v>
      </c>
      <c r="V2036" t="str">
        <f>IFERROR(INDEX(Products!$C:$C,MATCH(D2036,Products!$A:$A,0)),"Unknown")</f>
        <v>Women Kurtis</v>
      </c>
      <c r="W2036" t="str">
        <f>IFERROR(INDEX(Products!$E:$E,MATCH(D2036,Products!$A:$A,0)),"Unknown")</f>
        <v>Liberty</v>
      </c>
      <c r="X2036" t="str">
        <f>IFERROR(INDEX(Stores!$B:$B,MATCH(E2036,Stores!$A:$A,0)),"Unknown")</f>
        <v>TrendMart Tirunelveli Flagship</v>
      </c>
      <c r="Y2036" t="str">
        <f>IFERROR(INDEX(Stores!$E:$E,MATCH(E2036,Stores!$A:$A,0)),"Unknown")</f>
        <v>South Zone 1</v>
      </c>
      <c r="Z2036" t="str">
        <f>IFERROR(INDEX(Customers!$J:$J,MATCH(C2036,Customers!$A:$A,0)),"Unknown")</f>
        <v>Silver</v>
      </c>
      <c r="AA2036" t="str">
        <f t="shared" si="31"/>
        <v>2025-03</v>
      </c>
      <c r="AB2036" t="str">
        <f>IFERROR(INDEX(Products!$I:$I,MATCH(D2036,Products!$A:$A,0)),"Unknown")</f>
        <v>SUP079</v>
      </c>
    </row>
    <row r="2037" spans="1:28" x14ac:dyDescent="0.25">
      <c r="A2037" t="s">
        <v>4040</v>
      </c>
      <c r="B2037" s="20">
        <v>45595</v>
      </c>
      <c r="C2037" t="s">
        <v>1403</v>
      </c>
      <c r="D2037" t="s">
        <v>466</v>
      </c>
      <c r="E2037" t="s">
        <v>815</v>
      </c>
      <c r="F2037" t="s">
        <v>382</v>
      </c>
      <c r="G2037">
        <v>3</v>
      </c>
      <c r="H2037" s="21">
        <v>760.99</v>
      </c>
      <c r="I2037">
        <v>10</v>
      </c>
      <c r="J2037" s="21">
        <v>228.3</v>
      </c>
      <c r="K2037">
        <v>5</v>
      </c>
      <c r="L2037" s="21">
        <v>102.73</v>
      </c>
      <c r="M2037" s="21">
        <v>2157.4</v>
      </c>
      <c r="N2037" s="21">
        <v>1713.27</v>
      </c>
      <c r="O2037" s="21">
        <v>341.4</v>
      </c>
      <c r="P2037" t="s">
        <v>123</v>
      </c>
      <c r="Q2037" t="s">
        <v>120</v>
      </c>
      <c r="R2037" t="s">
        <v>151</v>
      </c>
      <c r="S2037" t="s">
        <v>2032</v>
      </c>
      <c r="T2037" t="s">
        <v>153</v>
      </c>
      <c r="U2037" t="s">
        <v>154</v>
      </c>
      <c r="V2037" t="str">
        <f>IFERROR(INDEX(Products!$C:$C,MATCH(D2037,Products!$A:$A,0)),"Unknown")</f>
        <v>Women Kurtis</v>
      </c>
      <c r="W2037" t="str">
        <f>IFERROR(INDEX(Products!$E:$E,MATCH(D2037,Products!$A:$A,0)),"Unknown")</f>
        <v>Fabindia</v>
      </c>
      <c r="X2037" t="str">
        <f>IFERROR(INDEX(Stores!$B:$B,MATCH(E2037,Stores!$A:$A,0)),"Unknown")</f>
        <v>TrendMart Madurai Mall Kiosk</v>
      </c>
      <c r="Y2037" t="str">
        <f>IFERROR(INDEX(Stores!$E:$E,MATCH(E2037,Stores!$A:$A,0)),"Unknown")</f>
        <v>South Zone 1</v>
      </c>
      <c r="Z2037" t="str">
        <f>IFERROR(INDEX(Customers!$J:$J,MATCH(C2037,Customers!$A:$A,0)),"Unknown")</f>
        <v>Platinum</v>
      </c>
      <c r="AA2037" t="str">
        <f t="shared" si="31"/>
        <v>2024-10</v>
      </c>
      <c r="AB2037" t="str">
        <f>IFERROR(INDEX(Products!$I:$I,MATCH(D2037,Products!$A:$A,0)),"Unknown")</f>
        <v>SUP017</v>
      </c>
    </row>
    <row r="2038" spans="1:28" x14ac:dyDescent="0.25">
      <c r="A2038" t="s">
        <v>4041</v>
      </c>
      <c r="B2038" s="20">
        <v>45422</v>
      </c>
      <c r="C2038" t="s">
        <v>2851</v>
      </c>
      <c r="D2038" t="s">
        <v>1133</v>
      </c>
      <c r="E2038" t="s">
        <v>470</v>
      </c>
      <c r="F2038" t="s">
        <v>242</v>
      </c>
      <c r="G2038">
        <v>1</v>
      </c>
      <c r="H2038" s="21">
        <v>547.96</v>
      </c>
      <c r="I2038">
        <v>25</v>
      </c>
      <c r="J2038" s="21">
        <v>136.99</v>
      </c>
      <c r="K2038">
        <v>5</v>
      </c>
      <c r="L2038" s="21">
        <v>20.55</v>
      </c>
      <c r="M2038" s="21">
        <v>431.52</v>
      </c>
      <c r="N2038" s="21">
        <v>410.37</v>
      </c>
      <c r="O2038" s="21">
        <v>0.6</v>
      </c>
      <c r="P2038" t="s">
        <v>121</v>
      </c>
      <c r="Q2038" t="s">
        <v>120</v>
      </c>
      <c r="R2038" t="s">
        <v>151</v>
      </c>
      <c r="S2038" t="s">
        <v>2149</v>
      </c>
      <c r="T2038" t="s">
        <v>153</v>
      </c>
      <c r="U2038" t="s">
        <v>154</v>
      </c>
      <c r="V2038" t="str">
        <f>IFERROR(INDEX(Products!$C:$C,MATCH(D2038,Products!$A:$A,0)),"Unknown")</f>
        <v>Sportswear</v>
      </c>
      <c r="W2038" t="str">
        <f>IFERROR(INDEX(Products!$E:$E,MATCH(D2038,Products!$A:$A,0)),"Unknown")</f>
        <v>Numero Uno</v>
      </c>
      <c r="X2038" t="str">
        <f>IFERROR(INDEX(Stores!$B:$B,MATCH(E2038,Stores!$A:$A,0)),"Unknown")</f>
        <v>TrendMart Thiruvananthapuram High Street</v>
      </c>
      <c r="Y2038" t="str">
        <f>IFERROR(INDEX(Stores!$E:$E,MATCH(E2038,Stores!$A:$A,0)),"Unknown")</f>
        <v>South Zone 1</v>
      </c>
      <c r="Z2038" t="str">
        <f>IFERROR(INDEX(Customers!$J:$J,MATCH(C2038,Customers!$A:$A,0)),"Unknown")</f>
        <v>Regular</v>
      </c>
      <c r="AA2038" t="str">
        <f t="shared" si="31"/>
        <v>2024-05</v>
      </c>
      <c r="AB2038" t="str">
        <f>IFERROR(INDEX(Products!$I:$I,MATCH(D2038,Products!$A:$A,0)),"Unknown")</f>
        <v>SUP082</v>
      </c>
    </row>
    <row r="2039" spans="1:28" x14ac:dyDescent="0.25">
      <c r="A2039" t="s">
        <v>4042</v>
      </c>
      <c r="B2039" s="20">
        <v>45614</v>
      </c>
      <c r="C2039" t="s">
        <v>1536</v>
      </c>
      <c r="D2039" t="s">
        <v>205</v>
      </c>
      <c r="E2039" t="s">
        <v>1187</v>
      </c>
      <c r="F2039" t="s">
        <v>434</v>
      </c>
      <c r="G2039">
        <v>1</v>
      </c>
      <c r="H2039" s="21">
        <v>1003.4</v>
      </c>
      <c r="I2039">
        <v>25</v>
      </c>
      <c r="J2039" s="21">
        <v>250.85</v>
      </c>
      <c r="K2039">
        <v>12</v>
      </c>
      <c r="L2039" s="21">
        <v>90.31</v>
      </c>
      <c r="M2039" s="21">
        <v>842.86</v>
      </c>
      <c r="N2039" s="21">
        <v>692.53</v>
      </c>
      <c r="O2039" s="21">
        <v>60.02</v>
      </c>
      <c r="P2039" t="s">
        <v>124</v>
      </c>
      <c r="Q2039" t="s">
        <v>122</v>
      </c>
      <c r="R2039" t="s">
        <v>151</v>
      </c>
      <c r="S2039" t="s">
        <v>708</v>
      </c>
      <c r="T2039" t="s">
        <v>153</v>
      </c>
      <c r="U2039" t="s">
        <v>154</v>
      </c>
      <c r="V2039" t="str">
        <f>IFERROR(INDEX(Products!$C:$C,MATCH(D2039,Products!$A:$A,0)),"Unknown")</f>
        <v>Women Jeans</v>
      </c>
      <c r="W2039" t="str">
        <f>IFERROR(INDEX(Products!$E:$E,MATCH(D2039,Products!$A:$A,0)),"Unknown")</f>
        <v>Sonata</v>
      </c>
      <c r="X2039" t="str">
        <f>IFERROR(INDEX(Stores!$B:$B,MATCH(E2039,Stores!$A:$A,0)),"Unknown")</f>
        <v>TrendMart Vijayawada Mall Kiosk</v>
      </c>
      <c r="Y2039" t="str">
        <f>IFERROR(INDEX(Stores!$E:$E,MATCH(E2039,Stores!$A:$A,0)),"Unknown")</f>
        <v>South Zone 3</v>
      </c>
      <c r="Z2039" t="str">
        <f>IFERROR(INDEX(Customers!$J:$J,MATCH(C2039,Customers!$A:$A,0)),"Unknown")</f>
        <v>Silver</v>
      </c>
      <c r="AA2039" t="str">
        <f t="shared" si="31"/>
        <v>2024-11</v>
      </c>
      <c r="AB2039" t="str">
        <f>IFERROR(INDEX(Products!$I:$I,MATCH(D2039,Products!$A:$A,0)),"Unknown")</f>
        <v>SUP014</v>
      </c>
    </row>
    <row r="2040" spans="1:28" x14ac:dyDescent="0.25">
      <c r="A2040" t="s">
        <v>4043</v>
      </c>
      <c r="B2040" s="20">
        <v>45625</v>
      </c>
      <c r="C2040" t="s">
        <v>1346</v>
      </c>
      <c r="D2040" t="s">
        <v>1156</v>
      </c>
      <c r="E2040" t="s">
        <v>806</v>
      </c>
      <c r="F2040" t="s">
        <v>303</v>
      </c>
      <c r="G2040">
        <v>1</v>
      </c>
      <c r="H2040" s="21">
        <v>668.56</v>
      </c>
      <c r="I2040">
        <v>20</v>
      </c>
      <c r="J2040" s="21">
        <v>133.71</v>
      </c>
      <c r="K2040">
        <v>5</v>
      </c>
      <c r="L2040" s="21">
        <v>26.74</v>
      </c>
      <c r="M2040" s="21">
        <v>561.59</v>
      </c>
      <c r="N2040" s="21">
        <v>509.44</v>
      </c>
      <c r="O2040" s="21">
        <v>25.41</v>
      </c>
      <c r="P2040" t="s">
        <v>121</v>
      </c>
      <c r="Q2040" t="s">
        <v>122</v>
      </c>
      <c r="R2040" t="s">
        <v>151</v>
      </c>
      <c r="S2040" t="s">
        <v>928</v>
      </c>
      <c r="T2040" t="s">
        <v>153</v>
      </c>
      <c r="U2040" t="s">
        <v>154</v>
      </c>
      <c r="V2040" t="str">
        <f>IFERROR(INDEX(Products!$C:$C,MATCH(D2040,Products!$A:$A,0)),"Unknown")</f>
        <v>Kids Wear</v>
      </c>
      <c r="W2040" t="str">
        <f>IFERROR(INDEX(Products!$E:$E,MATCH(D2040,Products!$A:$A,0)),"Unknown")</f>
        <v>Allen Solly</v>
      </c>
      <c r="X2040" t="str">
        <f>IFERROR(INDEX(Stores!$B:$B,MATCH(E2040,Stores!$A:$A,0)),"Unknown")</f>
        <v>TrendMart Tirunelveli Flagship</v>
      </c>
      <c r="Y2040" t="str">
        <f>IFERROR(INDEX(Stores!$E:$E,MATCH(E2040,Stores!$A:$A,0)),"Unknown")</f>
        <v>South Zone 1</v>
      </c>
      <c r="Z2040" t="str">
        <f>IFERROR(INDEX(Customers!$J:$J,MATCH(C2040,Customers!$A:$A,0)),"Unknown")</f>
        <v>Regular</v>
      </c>
      <c r="AA2040" t="str">
        <f t="shared" si="31"/>
        <v>2024-11</v>
      </c>
      <c r="AB2040" t="str">
        <f>IFERROR(INDEX(Products!$I:$I,MATCH(D2040,Products!$A:$A,0)),"Unknown")</f>
        <v>SUP026</v>
      </c>
    </row>
    <row r="2041" spans="1:28" x14ac:dyDescent="0.25">
      <c r="A2041" t="s">
        <v>4044</v>
      </c>
      <c r="B2041" s="20">
        <v>45568</v>
      </c>
      <c r="C2041" t="s">
        <v>1386</v>
      </c>
      <c r="D2041" t="s">
        <v>339</v>
      </c>
      <c r="E2041" t="s">
        <v>1108</v>
      </c>
      <c r="F2041" t="s">
        <v>462</v>
      </c>
      <c r="G2041">
        <v>2</v>
      </c>
      <c r="H2041" s="21">
        <v>891.1</v>
      </c>
      <c r="I2041">
        <v>25</v>
      </c>
      <c r="J2041" s="21">
        <v>445.55</v>
      </c>
      <c r="K2041">
        <v>5</v>
      </c>
      <c r="L2041" s="21">
        <v>66.83</v>
      </c>
      <c r="M2041" s="21">
        <v>1403.48</v>
      </c>
      <c r="N2041" s="21">
        <v>1137.06</v>
      </c>
      <c r="O2041" s="21">
        <v>199.59</v>
      </c>
      <c r="P2041" t="s">
        <v>121</v>
      </c>
      <c r="Q2041" t="s">
        <v>122</v>
      </c>
      <c r="R2041" t="s">
        <v>313</v>
      </c>
      <c r="S2041" t="s">
        <v>1832</v>
      </c>
      <c r="T2041" t="s">
        <v>153</v>
      </c>
      <c r="U2041" t="s">
        <v>154</v>
      </c>
      <c r="V2041" t="str">
        <f>IFERROR(INDEX(Products!$C:$C,MATCH(D2041,Products!$A:$A,0)),"Unknown")</f>
        <v>Women Kurtis</v>
      </c>
      <c r="W2041" t="str">
        <f>IFERROR(INDEX(Products!$E:$E,MATCH(D2041,Products!$A:$A,0)),"Unknown")</f>
        <v>Allen Solly</v>
      </c>
      <c r="X2041" t="str">
        <f>IFERROR(INDEX(Stores!$B:$B,MATCH(E2041,Stores!$A:$A,0)),"Unknown")</f>
        <v>TrendMart Karimnagar Standard</v>
      </c>
      <c r="Y2041" t="str">
        <f>IFERROR(INDEX(Stores!$E:$E,MATCH(E2041,Stores!$A:$A,0)),"Unknown")</f>
        <v>South Zone 2</v>
      </c>
      <c r="Z2041" t="str">
        <f>IFERROR(INDEX(Customers!$J:$J,MATCH(C2041,Customers!$A:$A,0)),"Unknown")</f>
        <v>Platinum</v>
      </c>
      <c r="AA2041" t="str">
        <f t="shared" si="31"/>
        <v>2024-10</v>
      </c>
      <c r="AB2041" t="str">
        <f>IFERROR(INDEX(Products!$I:$I,MATCH(D2041,Products!$A:$A,0)),"Unknown")</f>
        <v>SUP086</v>
      </c>
    </row>
    <row r="2042" spans="1:28" x14ac:dyDescent="0.25">
      <c r="A2042" t="s">
        <v>4045</v>
      </c>
      <c r="B2042" s="20">
        <v>45426</v>
      </c>
      <c r="C2042" t="s">
        <v>1116</v>
      </c>
      <c r="D2042" t="s">
        <v>554</v>
      </c>
      <c r="E2042" t="s">
        <v>1325</v>
      </c>
      <c r="F2042" t="s">
        <v>237</v>
      </c>
      <c r="G2042">
        <v>1</v>
      </c>
      <c r="H2042" s="21">
        <v>855.89</v>
      </c>
      <c r="I2042">
        <v>15</v>
      </c>
      <c r="J2042" s="21">
        <v>128.38</v>
      </c>
      <c r="K2042">
        <v>5</v>
      </c>
      <c r="L2042" s="21">
        <v>36.380000000000003</v>
      </c>
      <c r="M2042" s="21">
        <v>763.89</v>
      </c>
      <c r="N2042" s="21">
        <v>647.29999999999995</v>
      </c>
      <c r="O2042" s="21">
        <v>80.209999999999994</v>
      </c>
      <c r="P2042" t="s">
        <v>121</v>
      </c>
      <c r="Q2042" t="s">
        <v>122</v>
      </c>
      <c r="R2042" t="s">
        <v>151</v>
      </c>
      <c r="S2042" t="s">
        <v>2621</v>
      </c>
      <c r="T2042" t="s">
        <v>153</v>
      </c>
      <c r="U2042" t="s">
        <v>154</v>
      </c>
      <c r="V2042" t="str">
        <f>IFERROR(INDEX(Products!$C:$C,MATCH(D2042,Products!$A:$A,0)),"Unknown")</f>
        <v>Women Kurtis</v>
      </c>
      <c r="W2042" t="str">
        <f>IFERROR(INDEX(Products!$E:$E,MATCH(D2042,Products!$A:$A,0)),"Unknown")</f>
        <v>Fossil</v>
      </c>
      <c r="X2042" t="str">
        <f>IFERROR(INDEX(Stores!$B:$B,MATCH(E2042,Stores!$A:$A,0)),"Unknown")</f>
        <v>TrendMart Thrissur Standard</v>
      </c>
      <c r="Y2042" t="str">
        <f>IFERROR(INDEX(Stores!$E:$E,MATCH(E2042,Stores!$A:$A,0)),"Unknown")</f>
        <v>South Zone 1</v>
      </c>
      <c r="Z2042" t="str">
        <f>IFERROR(INDEX(Customers!$J:$J,MATCH(C2042,Customers!$A:$A,0)),"Unknown")</f>
        <v>Silver</v>
      </c>
      <c r="AA2042" t="str">
        <f t="shared" si="31"/>
        <v>2024-05</v>
      </c>
      <c r="AB2042" t="str">
        <f>IFERROR(INDEX(Products!$I:$I,MATCH(D2042,Products!$A:$A,0)),"Unknown")</f>
        <v>SUP018</v>
      </c>
    </row>
    <row r="2043" spans="1:28" x14ac:dyDescent="0.25">
      <c r="A2043" t="s">
        <v>4046</v>
      </c>
      <c r="B2043" s="20">
        <v>45679</v>
      </c>
      <c r="C2043" t="s">
        <v>4047</v>
      </c>
      <c r="D2043" t="s">
        <v>1302</v>
      </c>
      <c r="E2043" t="s">
        <v>1426</v>
      </c>
      <c r="F2043" t="s">
        <v>344</v>
      </c>
      <c r="G2043">
        <v>2</v>
      </c>
      <c r="H2043" s="21">
        <v>1174.68</v>
      </c>
      <c r="I2043">
        <v>25</v>
      </c>
      <c r="J2043" s="21">
        <v>587.34</v>
      </c>
      <c r="K2043">
        <v>12</v>
      </c>
      <c r="L2043" s="21">
        <v>211.44</v>
      </c>
      <c r="M2043" s="21">
        <v>1973.46</v>
      </c>
      <c r="N2043" s="21">
        <v>1541.46</v>
      </c>
      <c r="O2043" s="21">
        <v>220.56</v>
      </c>
      <c r="P2043" t="s">
        <v>121</v>
      </c>
      <c r="Q2043" t="s">
        <v>120</v>
      </c>
      <c r="R2043" t="s">
        <v>151</v>
      </c>
      <c r="S2043" t="s">
        <v>326</v>
      </c>
      <c r="T2043" t="s">
        <v>153</v>
      </c>
      <c r="U2043" t="s">
        <v>154</v>
      </c>
      <c r="V2043" t="str">
        <f>IFERROR(INDEX(Products!$C:$C,MATCH(D2043,Products!$A:$A,0)),"Unknown")</f>
        <v>Women Kurtis</v>
      </c>
      <c r="W2043" t="str">
        <f>IFERROR(INDEX(Products!$E:$E,MATCH(D2043,Products!$A:$A,0)),"Unknown")</f>
        <v>Fabindia</v>
      </c>
      <c r="X2043" t="str">
        <f>IFERROR(INDEX(Stores!$B:$B,MATCH(E2043,Stores!$A:$A,0)),"Unknown")</f>
        <v>TrendMart Alappuzha Mall Kiosk</v>
      </c>
      <c r="Y2043" t="str">
        <f>IFERROR(INDEX(Stores!$E:$E,MATCH(E2043,Stores!$A:$A,0)),"Unknown")</f>
        <v>South Zone 1</v>
      </c>
      <c r="Z2043" t="str">
        <f>IFERROR(INDEX(Customers!$J:$J,MATCH(C2043,Customers!$A:$A,0)),"Unknown")</f>
        <v>Silver</v>
      </c>
      <c r="AA2043" t="str">
        <f t="shared" si="31"/>
        <v>2025-01</v>
      </c>
      <c r="AB2043" t="str">
        <f>IFERROR(INDEX(Products!$I:$I,MATCH(D2043,Products!$A:$A,0)),"Unknown")</f>
        <v>SUP059</v>
      </c>
    </row>
    <row r="2044" spans="1:28" x14ac:dyDescent="0.25">
      <c r="A2044" t="s">
        <v>4048</v>
      </c>
      <c r="B2044" s="20">
        <v>45569</v>
      </c>
      <c r="C2044" t="s">
        <v>692</v>
      </c>
      <c r="D2044" t="s">
        <v>1216</v>
      </c>
      <c r="E2044" t="s">
        <v>425</v>
      </c>
      <c r="F2044" t="s">
        <v>201</v>
      </c>
      <c r="G2044">
        <v>1</v>
      </c>
      <c r="H2044" s="21">
        <v>2050.2600000000002</v>
      </c>
      <c r="I2044">
        <v>5</v>
      </c>
      <c r="J2044" s="21">
        <v>102.51</v>
      </c>
      <c r="K2044">
        <v>12</v>
      </c>
      <c r="L2044" s="21">
        <v>233.73</v>
      </c>
      <c r="M2044" s="21">
        <v>2181.48</v>
      </c>
      <c r="N2044" s="21">
        <v>1432.01</v>
      </c>
      <c r="O2044" s="21">
        <v>515.74</v>
      </c>
      <c r="P2044" t="s">
        <v>123</v>
      </c>
      <c r="Q2044" t="s">
        <v>122</v>
      </c>
      <c r="R2044" t="s">
        <v>151</v>
      </c>
      <c r="S2044" t="s">
        <v>3041</v>
      </c>
      <c r="T2044" t="s">
        <v>153</v>
      </c>
      <c r="U2044" t="s">
        <v>154</v>
      </c>
      <c r="V2044" t="str">
        <f>IFERROR(INDEX(Products!$C:$C,MATCH(D2044,Products!$A:$A,0)),"Unknown")</f>
        <v>Footwear</v>
      </c>
      <c r="W2044" t="str">
        <f>IFERROR(INDEX(Products!$E:$E,MATCH(D2044,Products!$A:$A,0)),"Unknown")</f>
        <v>Biba</v>
      </c>
      <c r="X2044" t="str">
        <f>IFERROR(INDEX(Stores!$B:$B,MATCH(E2044,Stores!$A:$A,0)),"Unknown")</f>
        <v>TrendMart Kozhikode Outlet</v>
      </c>
      <c r="Y2044" t="str">
        <f>IFERROR(INDEX(Stores!$E:$E,MATCH(E2044,Stores!$A:$A,0)),"Unknown")</f>
        <v>South Zone 1</v>
      </c>
      <c r="Z2044" t="str">
        <f>IFERROR(INDEX(Customers!$J:$J,MATCH(C2044,Customers!$A:$A,0)),"Unknown")</f>
        <v>Regular</v>
      </c>
      <c r="AA2044" t="str">
        <f t="shared" si="31"/>
        <v>2024-10</v>
      </c>
      <c r="AB2044" t="str">
        <f>IFERROR(INDEX(Products!$I:$I,MATCH(D2044,Products!$A:$A,0)),"Unknown")</f>
        <v>SUP048</v>
      </c>
    </row>
    <row r="2045" spans="1:28" x14ac:dyDescent="0.25">
      <c r="A2045" t="s">
        <v>4049</v>
      </c>
      <c r="B2045" s="20">
        <v>45725</v>
      </c>
      <c r="C2045" t="s">
        <v>4050</v>
      </c>
      <c r="D2045" t="s">
        <v>2699</v>
      </c>
      <c r="E2045" t="s">
        <v>1187</v>
      </c>
      <c r="F2045" t="s">
        <v>303</v>
      </c>
      <c r="G2045">
        <v>1</v>
      </c>
      <c r="H2045" s="21">
        <v>1334.49</v>
      </c>
      <c r="I2045">
        <v>10</v>
      </c>
      <c r="J2045" s="21">
        <v>133.44999999999999</v>
      </c>
      <c r="K2045">
        <v>12</v>
      </c>
      <c r="L2045" s="21">
        <v>144.12</v>
      </c>
      <c r="M2045" s="21">
        <v>1345.16</v>
      </c>
      <c r="N2045" s="21">
        <v>859.94</v>
      </c>
      <c r="O2045" s="21">
        <v>341.1</v>
      </c>
      <c r="P2045" t="s">
        <v>125</v>
      </c>
      <c r="Q2045" t="s">
        <v>122</v>
      </c>
      <c r="R2045" t="s">
        <v>151</v>
      </c>
      <c r="S2045" t="s">
        <v>2311</v>
      </c>
      <c r="T2045" t="s">
        <v>161</v>
      </c>
      <c r="U2045" t="s">
        <v>154</v>
      </c>
      <c r="V2045" t="str">
        <f>IFERROR(INDEX(Products!$C:$C,MATCH(D2045,Products!$A:$A,0)),"Unknown")</f>
        <v>Women Kurtis</v>
      </c>
      <c r="W2045" t="str">
        <f>IFERROR(INDEX(Products!$E:$E,MATCH(D2045,Products!$A:$A,0)),"Unknown")</f>
        <v>Liberty</v>
      </c>
      <c r="X2045" t="str">
        <f>IFERROR(INDEX(Stores!$B:$B,MATCH(E2045,Stores!$A:$A,0)),"Unknown")</f>
        <v>TrendMart Vijayawada Mall Kiosk</v>
      </c>
      <c r="Y2045" t="str">
        <f>IFERROR(INDEX(Stores!$E:$E,MATCH(E2045,Stores!$A:$A,0)),"Unknown")</f>
        <v>South Zone 3</v>
      </c>
      <c r="Z2045" t="str">
        <f>IFERROR(INDEX(Customers!$J:$J,MATCH(C2045,Customers!$A:$A,0)),"Unknown")</f>
        <v>Regular</v>
      </c>
      <c r="AA2045" t="str">
        <f t="shared" si="31"/>
        <v>2025-03</v>
      </c>
      <c r="AB2045" t="str">
        <f>IFERROR(INDEX(Products!$I:$I,MATCH(D2045,Products!$A:$A,0)),"Unknown")</f>
        <v>SUP003</v>
      </c>
    </row>
    <row r="2046" spans="1:28" x14ac:dyDescent="0.25">
      <c r="A2046" t="s">
        <v>4051</v>
      </c>
      <c r="B2046" s="20">
        <v>45706</v>
      </c>
      <c r="C2046" t="s">
        <v>3834</v>
      </c>
      <c r="D2046" t="s">
        <v>236</v>
      </c>
      <c r="E2046" t="s">
        <v>578</v>
      </c>
      <c r="F2046" t="s">
        <v>201</v>
      </c>
      <c r="G2046">
        <v>2</v>
      </c>
      <c r="H2046" s="21">
        <v>796.31</v>
      </c>
      <c r="I2046">
        <v>5</v>
      </c>
      <c r="J2046" s="21">
        <v>79.63</v>
      </c>
      <c r="K2046">
        <v>5</v>
      </c>
      <c r="L2046" s="21">
        <v>75.650000000000006</v>
      </c>
      <c r="M2046" s="21">
        <v>1588.64</v>
      </c>
      <c r="N2046" s="21">
        <v>1100.02</v>
      </c>
      <c r="O2046" s="21">
        <v>412.97</v>
      </c>
      <c r="P2046" t="s">
        <v>121</v>
      </c>
      <c r="Q2046" t="s">
        <v>122</v>
      </c>
      <c r="R2046" t="s">
        <v>151</v>
      </c>
      <c r="S2046" t="s">
        <v>1474</v>
      </c>
      <c r="T2046" t="s">
        <v>153</v>
      </c>
      <c r="U2046" t="s">
        <v>154</v>
      </c>
      <c r="V2046" t="str">
        <f>IFERROR(INDEX(Products!$C:$C,MATCH(D2046,Products!$A:$A,0)),"Unknown")</f>
        <v>Women Tops</v>
      </c>
      <c r="W2046" t="str">
        <f>IFERROR(INDEX(Products!$E:$E,MATCH(D2046,Products!$A:$A,0)),"Unknown")</f>
        <v>Nike</v>
      </c>
      <c r="X2046" t="str">
        <f>IFERROR(INDEX(Stores!$B:$B,MATCH(E2046,Stores!$A:$A,0)),"Unknown")</f>
        <v>TrendMart Vellore Standard</v>
      </c>
      <c r="Y2046" t="str">
        <f>IFERROR(INDEX(Stores!$E:$E,MATCH(E2046,Stores!$A:$A,0)),"Unknown")</f>
        <v>South Zone 1</v>
      </c>
      <c r="Z2046" t="str">
        <f>IFERROR(INDEX(Customers!$J:$J,MATCH(C2046,Customers!$A:$A,0)),"Unknown")</f>
        <v>Regular</v>
      </c>
      <c r="AA2046" t="str">
        <f t="shared" si="31"/>
        <v>2025-02</v>
      </c>
      <c r="AB2046" t="str">
        <f>IFERROR(INDEX(Products!$I:$I,MATCH(D2046,Products!$A:$A,0)),"Unknown")</f>
        <v>SUP075</v>
      </c>
    </row>
    <row r="2047" spans="1:28" x14ac:dyDescent="0.25">
      <c r="A2047" t="s">
        <v>4052</v>
      </c>
      <c r="B2047" s="20">
        <v>45433</v>
      </c>
      <c r="C2047" t="s">
        <v>3181</v>
      </c>
      <c r="D2047" t="s">
        <v>1709</v>
      </c>
      <c r="E2047" t="s">
        <v>671</v>
      </c>
      <c r="F2047" t="s">
        <v>462</v>
      </c>
      <c r="G2047">
        <v>1</v>
      </c>
      <c r="H2047" s="21">
        <v>441.56</v>
      </c>
      <c r="I2047">
        <v>5</v>
      </c>
      <c r="J2047" s="21">
        <v>22.08</v>
      </c>
      <c r="K2047">
        <v>5</v>
      </c>
      <c r="L2047" s="21">
        <v>20.97</v>
      </c>
      <c r="M2047" s="21">
        <v>440.45</v>
      </c>
      <c r="N2047" s="21">
        <v>327.36</v>
      </c>
      <c r="O2047" s="21">
        <v>92.12</v>
      </c>
      <c r="P2047" t="s">
        <v>125</v>
      </c>
      <c r="Q2047" t="s">
        <v>120</v>
      </c>
      <c r="R2047" t="s">
        <v>151</v>
      </c>
      <c r="S2047" t="s">
        <v>1011</v>
      </c>
      <c r="T2047" t="s">
        <v>153</v>
      </c>
      <c r="U2047" t="s">
        <v>154</v>
      </c>
      <c r="V2047" t="str">
        <f>IFERROR(INDEX(Products!$C:$C,MATCH(D2047,Products!$A:$A,0)),"Unknown")</f>
        <v>Kids Wear</v>
      </c>
      <c r="W2047" t="str">
        <f>IFERROR(INDEX(Products!$E:$E,MATCH(D2047,Products!$A:$A,0)),"Unknown")</f>
        <v>Aurelia</v>
      </c>
      <c r="X2047" t="str">
        <f>IFERROR(INDEX(Stores!$B:$B,MATCH(E2047,Stores!$A:$A,0)),"Unknown")</f>
        <v>TrendMart Hyderabad Mall Kiosk</v>
      </c>
      <c r="Y2047" t="str">
        <f>IFERROR(INDEX(Stores!$E:$E,MATCH(E2047,Stores!$A:$A,0)),"Unknown")</f>
        <v>South Zone 2</v>
      </c>
      <c r="Z2047" t="str">
        <f>IFERROR(INDEX(Customers!$J:$J,MATCH(C2047,Customers!$A:$A,0)),"Unknown")</f>
        <v>Silver</v>
      </c>
      <c r="AA2047" t="str">
        <f t="shared" si="31"/>
        <v>2024-05</v>
      </c>
      <c r="AB2047" t="str">
        <f>IFERROR(INDEX(Products!$I:$I,MATCH(D2047,Products!$A:$A,0)),"Unknown")</f>
        <v>SUP055</v>
      </c>
    </row>
    <row r="2048" spans="1:28" x14ac:dyDescent="0.25">
      <c r="A2048" t="s">
        <v>4053</v>
      </c>
      <c r="B2048" s="20">
        <v>45571</v>
      </c>
      <c r="C2048" t="s">
        <v>1006</v>
      </c>
      <c r="D2048" t="s">
        <v>257</v>
      </c>
      <c r="E2048" t="s">
        <v>175</v>
      </c>
      <c r="F2048" t="s">
        <v>303</v>
      </c>
      <c r="G2048">
        <v>3</v>
      </c>
      <c r="H2048" s="21">
        <v>1103.8</v>
      </c>
      <c r="I2048">
        <v>30</v>
      </c>
      <c r="J2048" s="21">
        <v>993.42</v>
      </c>
      <c r="K2048">
        <v>12</v>
      </c>
      <c r="L2048" s="21">
        <v>278.16000000000003</v>
      </c>
      <c r="M2048" s="21">
        <v>2596.14</v>
      </c>
      <c r="N2048" s="21">
        <v>2163.66</v>
      </c>
      <c r="O2048" s="21">
        <v>154.32</v>
      </c>
      <c r="P2048" t="s">
        <v>125</v>
      </c>
      <c r="Q2048" t="s">
        <v>120</v>
      </c>
      <c r="R2048" t="s">
        <v>151</v>
      </c>
      <c r="S2048" t="s">
        <v>486</v>
      </c>
      <c r="T2048" t="s">
        <v>161</v>
      </c>
      <c r="U2048" t="s">
        <v>154</v>
      </c>
      <c r="V2048" t="str">
        <f>IFERROR(INDEX(Products!$C:$C,MATCH(D2048,Products!$A:$A,0)),"Unknown")</f>
        <v>Men Shirts</v>
      </c>
      <c r="W2048" t="str">
        <f>IFERROR(INDEX(Products!$E:$E,MATCH(D2048,Products!$A:$A,0)),"Unknown")</f>
        <v>Indian Terrain</v>
      </c>
      <c r="X2048" t="str">
        <f>IFERROR(INDEX(Stores!$B:$B,MATCH(E2048,Stores!$A:$A,0)),"Unknown")</f>
        <v>TrendMart Thoothukudi Flagship</v>
      </c>
      <c r="Y2048" t="str">
        <f>IFERROR(INDEX(Stores!$E:$E,MATCH(E2048,Stores!$A:$A,0)),"Unknown")</f>
        <v>South Zone 1</v>
      </c>
      <c r="Z2048" t="str">
        <f>IFERROR(INDEX(Customers!$J:$J,MATCH(C2048,Customers!$A:$A,0)),"Unknown")</f>
        <v>Regular</v>
      </c>
      <c r="AA2048" t="str">
        <f t="shared" si="31"/>
        <v>2024-10</v>
      </c>
      <c r="AB2048" t="str">
        <f>IFERROR(INDEX(Products!$I:$I,MATCH(D2048,Products!$A:$A,0)),"Unknown")</f>
        <v>SUP080</v>
      </c>
    </row>
    <row r="2049" spans="1:28" x14ac:dyDescent="0.25">
      <c r="A2049" t="s">
        <v>4054</v>
      </c>
      <c r="B2049" s="20">
        <v>45626</v>
      </c>
      <c r="C2049" t="s">
        <v>219</v>
      </c>
      <c r="D2049" t="s">
        <v>236</v>
      </c>
      <c r="E2049" t="s">
        <v>96</v>
      </c>
      <c r="F2049" t="s">
        <v>579</v>
      </c>
      <c r="G2049">
        <v>3</v>
      </c>
      <c r="H2049" s="21">
        <v>848.56</v>
      </c>
      <c r="I2049">
        <v>0</v>
      </c>
      <c r="J2049" s="21">
        <v>0</v>
      </c>
      <c r="K2049">
        <v>5</v>
      </c>
      <c r="L2049" s="21">
        <v>127.28</v>
      </c>
      <c r="M2049" s="21">
        <v>2672.96</v>
      </c>
      <c r="N2049" s="21">
        <v>1650.03</v>
      </c>
      <c r="O2049" s="21">
        <v>895.65</v>
      </c>
      <c r="P2049" t="s">
        <v>123</v>
      </c>
      <c r="Q2049" t="s">
        <v>122</v>
      </c>
      <c r="R2049" t="s">
        <v>151</v>
      </c>
      <c r="S2049" t="s">
        <v>1084</v>
      </c>
      <c r="T2049" t="s">
        <v>161</v>
      </c>
      <c r="U2049" t="s">
        <v>154</v>
      </c>
      <c r="V2049" t="str">
        <f>IFERROR(INDEX(Products!$C:$C,MATCH(D2049,Products!$A:$A,0)),"Unknown")</f>
        <v>Women Tops</v>
      </c>
      <c r="W2049" t="str">
        <f>IFERROR(INDEX(Products!$E:$E,MATCH(D2049,Products!$A:$A,0)),"Unknown")</f>
        <v>Nike</v>
      </c>
      <c r="X2049" t="str">
        <f>IFERROR(INDEX(Stores!$B:$B,MATCH(E2049,Stores!$A:$A,0)),"Unknown")</f>
        <v>TrendMart Shivamogga Outlet</v>
      </c>
      <c r="Y2049" t="str">
        <f>IFERROR(INDEX(Stores!$E:$E,MATCH(E2049,Stores!$A:$A,0)),"Unknown")</f>
        <v>South Zone 2</v>
      </c>
      <c r="Z2049" t="str">
        <f>IFERROR(INDEX(Customers!$J:$J,MATCH(C2049,Customers!$A:$A,0)),"Unknown")</f>
        <v>Silver</v>
      </c>
      <c r="AA2049" t="str">
        <f t="shared" si="31"/>
        <v>2024-11</v>
      </c>
      <c r="AB2049" t="str">
        <f>IFERROR(INDEX(Products!$I:$I,MATCH(D2049,Products!$A:$A,0)),"Unknown")</f>
        <v>SUP075</v>
      </c>
    </row>
    <row r="2050" spans="1:28" x14ac:dyDescent="0.25">
      <c r="A2050" t="s">
        <v>4055</v>
      </c>
      <c r="B2050" s="20">
        <v>45628</v>
      </c>
      <c r="C2050" t="s">
        <v>459</v>
      </c>
      <c r="D2050" t="s">
        <v>205</v>
      </c>
      <c r="E2050" t="s">
        <v>667</v>
      </c>
      <c r="F2050" t="s">
        <v>550</v>
      </c>
      <c r="G2050">
        <v>2</v>
      </c>
      <c r="H2050" s="21">
        <v>1043.54</v>
      </c>
      <c r="I2050">
        <v>5</v>
      </c>
      <c r="J2050" s="21">
        <v>104.35</v>
      </c>
      <c r="K2050">
        <v>12</v>
      </c>
      <c r="L2050" s="21">
        <v>237.93</v>
      </c>
      <c r="M2050" s="21">
        <v>2220.66</v>
      </c>
      <c r="N2050" s="21">
        <v>1385.06</v>
      </c>
      <c r="O2050" s="21">
        <v>597.66999999999996</v>
      </c>
      <c r="P2050" t="s">
        <v>126</v>
      </c>
      <c r="Q2050" t="s">
        <v>120</v>
      </c>
      <c r="R2050" t="s">
        <v>151</v>
      </c>
      <c r="S2050" t="s">
        <v>1050</v>
      </c>
      <c r="T2050" t="s">
        <v>153</v>
      </c>
      <c r="U2050" t="s">
        <v>154</v>
      </c>
      <c r="V2050" t="str">
        <f>IFERROR(INDEX(Products!$C:$C,MATCH(D2050,Products!$A:$A,0)),"Unknown")</f>
        <v>Women Jeans</v>
      </c>
      <c r="W2050" t="str">
        <f>IFERROR(INDEX(Products!$E:$E,MATCH(D2050,Products!$A:$A,0)),"Unknown")</f>
        <v>Sonata</v>
      </c>
      <c r="X2050" t="str">
        <f>IFERROR(INDEX(Stores!$B:$B,MATCH(E2050,Stores!$A:$A,0)),"Unknown")</f>
        <v>TrendMart Hyderabad High Street</v>
      </c>
      <c r="Y2050" t="str">
        <f>IFERROR(INDEX(Stores!$E:$E,MATCH(E2050,Stores!$A:$A,0)),"Unknown")</f>
        <v>South Zone 2</v>
      </c>
      <c r="Z2050" t="str">
        <f>IFERROR(INDEX(Customers!$J:$J,MATCH(C2050,Customers!$A:$A,0)),"Unknown")</f>
        <v>Gold</v>
      </c>
      <c r="AA2050" t="str">
        <f t="shared" ref="AA2050:AA2113" si="32">TEXT(B2050,"YYYY-MM")</f>
        <v>2024-12</v>
      </c>
      <c r="AB2050" t="str">
        <f>IFERROR(INDEX(Products!$I:$I,MATCH(D2050,Products!$A:$A,0)),"Unknown")</f>
        <v>SUP014</v>
      </c>
    </row>
    <row r="2051" spans="1:28" x14ac:dyDescent="0.25">
      <c r="A2051" t="s">
        <v>4056</v>
      </c>
      <c r="B2051" s="20">
        <v>45418</v>
      </c>
      <c r="C2051" t="s">
        <v>2708</v>
      </c>
      <c r="D2051" t="s">
        <v>1036</v>
      </c>
      <c r="E2051" t="s">
        <v>334</v>
      </c>
      <c r="F2051" t="s">
        <v>532</v>
      </c>
      <c r="G2051">
        <v>2</v>
      </c>
      <c r="H2051" s="21">
        <v>867.78</v>
      </c>
      <c r="I2051">
        <v>25</v>
      </c>
      <c r="J2051" s="21">
        <v>433.89</v>
      </c>
      <c r="K2051">
        <v>5</v>
      </c>
      <c r="L2051" s="21">
        <v>65.08</v>
      </c>
      <c r="M2051" s="21">
        <v>1366.75</v>
      </c>
      <c r="N2051" s="21">
        <v>1180.04</v>
      </c>
      <c r="O2051" s="21">
        <v>121.63</v>
      </c>
      <c r="P2051" t="s">
        <v>121</v>
      </c>
      <c r="Q2051" t="s">
        <v>120</v>
      </c>
      <c r="R2051" t="s">
        <v>151</v>
      </c>
      <c r="S2051" t="s">
        <v>2948</v>
      </c>
      <c r="T2051" t="s">
        <v>153</v>
      </c>
      <c r="U2051" t="s">
        <v>154</v>
      </c>
      <c r="V2051" t="str">
        <f>IFERROR(INDEX(Products!$C:$C,MATCH(D2051,Products!$A:$A,0)),"Unknown")</f>
        <v>Belts</v>
      </c>
      <c r="W2051" t="str">
        <f>IFERROR(INDEX(Products!$E:$E,MATCH(D2051,Products!$A:$A,0)),"Unknown")</f>
        <v>Skechers</v>
      </c>
      <c r="X2051" t="str">
        <f>IFERROR(INDEX(Stores!$B:$B,MATCH(E2051,Stores!$A:$A,0)),"Unknown")</f>
        <v>TrendMart Madurai High Street</v>
      </c>
      <c r="Y2051" t="str">
        <f>IFERROR(INDEX(Stores!$E:$E,MATCH(E2051,Stores!$A:$A,0)),"Unknown")</f>
        <v>South Zone 1</v>
      </c>
      <c r="Z2051" t="str">
        <f>IFERROR(INDEX(Customers!$J:$J,MATCH(C2051,Customers!$A:$A,0)),"Unknown")</f>
        <v>Silver</v>
      </c>
      <c r="AA2051" t="str">
        <f t="shared" si="32"/>
        <v>2024-05</v>
      </c>
      <c r="AB2051" t="str">
        <f>IFERROR(INDEX(Products!$I:$I,MATCH(D2051,Products!$A:$A,0)),"Unknown")</f>
        <v>SUP085</v>
      </c>
    </row>
    <row r="2052" spans="1:28" x14ac:dyDescent="0.25">
      <c r="A2052" t="s">
        <v>4057</v>
      </c>
      <c r="B2052" s="20">
        <v>45630</v>
      </c>
      <c r="C2052" t="s">
        <v>3837</v>
      </c>
      <c r="D2052" t="s">
        <v>376</v>
      </c>
      <c r="E2052" t="s">
        <v>98</v>
      </c>
      <c r="F2052" t="s">
        <v>189</v>
      </c>
      <c r="G2052">
        <v>1</v>
      </c>
      <c r="H2052" s="21">
        <v>1404.07</v>
      </c>
      <c r="I2052">
        <v>5</v>
      </c>
      <c r="J2052" s="21">
        <v>70.2</v>
      </c>
      <c r="K2052">
        <v>12</v>
      </c>
      <c r="L2052" s="21">
        <v>160.06</v>
      </c>
      <c r="M2052" s="21">
        <v>1493.93</v>
      </c>
      <c r="N2052" s="21">
        <v>1025.24</v>
      </c>
      <c r="O2052" s="21">
        <v>308.63</v>
      </c>
      <c r="P2052" t="s">
        <v>121</v>
      </c>
      <c r="Q2052" t="s">
        <v>120</v>
      </c>
      <c r="R2052" t="s">
        <v>151</v>
      </c>
      <c r="S2052" t="s">
        <v>383</v>
      </c>
      <c r="T2052" t="s">
        <v>153</v>
      </c>
      <c r="U2052" t="s">
        <v>154</v>
      </c>
      <c r="V2052" t="str">
        <f>IFERROR(INDEX(Products!$C:$C,MATCH(D2052,Products!$A:$A,0)),"Unknown")</f>
        <v>Women Jeans</v>
      </c>
      <c r="W2052" t="str">
        <f>IFERROR(INDEX(Products!$E:$E,MATCH(D2052,Products!$A:$A,0)),"Unknown")</f>
        <v>Pothys</v>
      </c>
      <c r="X2052" t="str">
        <f>IFERROR(INDEX(Stores!$B:$B,MATCH(E2052,Stores!$A:$A,0)),"Unknown")</f>
        <v>TrendMart Bengaluru Flagship</v>
      </c>
      <c r="Y2052" t="str">
        <f>IFERROR(INDEX(Stores!$E:$E,MATCH(E2052,Stores!$A:$A,0)),"Unknown")</f>
        <v>South Zone 2</v>
      </c>
      <c r="Z2052" t="str">
        <f>IFERROR(INDEX(Customers!$J:$J,MATCH(C2052,Customers!$A:$A,0)),"Unknown")</f>
        <v>Silver</v>
      </c>
      <c r="AA2052" t="str">
        <f t="shared" si="32"/>
        <v>2024-12</v>
      </c>
      <c r="AB2052" t="str">
        <f>IFERROR(INDEX(Products!$I:$I,MATCH(D2052,Products!$A:$A,0)),"Unknown")</f>
        <v>SUP015</v>
      </c>
    </row>
    <row r="2053" spans="1:28" x14ac:dyDescent="0.25">
      <c r="A2053" t="s">
        <v>4058</v>
      </c>
      <c r="B2053" s="20">
        <v>45423</v>
      </c>
      <c r="C2053" t="s">
        <v>4059</v>
      </c>
      <c r="D2053" t="s">
        <v>210</v>
      </c>
      <c r="E2053" t="s">
        <v>343</v>
      </c>
      <c r="F2053" t="s">
        <v>308</v>
      </c>
      <c r="G2053">
        <v>4</v>
      </c>
      <c r="H2053" s="21">
        <v>2039.75</v>
      </c>
      <c r="I2053">
        <v>25</v>
      </c>
      <c r="J2053" s="21">
        <v>2039.75</v>
      </c>
      <c r="K2053">
        <v>12</v>
      </c>
      <c r="L2053" s="21">
        <v>734.31</v>
      </c>
      <c r="M2053" s="21">
        <v>6853.56</v>
      </c>
      <c r="N2053" s="21">
        <v>5599.4</v>
      </c>
      <c r="O2053" s="21">
        <v>519.85</v>
      </c>
      <c r="P2053" t="s">
        <v>121</v>
      </c>
      <c r="Q2053" t="s">
        <v>120</v>
      </c>
      <c r="R2053" t="s">
        <v>151</v>
      </c>
      <c r="S2053" t="s">
        <v>1332</v>
      </c>
      <c r="T2053" t="s">
        <v>161</v>
      </c>
      <c r="U2053" t="s">
        <v>154</v>
      </c>
      <c r="V2053" t="str">
        <f>IFERROR(INDEX(Products!$C:$C,MATCH(D2053,Products!$A:$A,0)),"Unknown")</f>
        <v>Women Dresses</v>
      </c>
      <c r="W2053" t="str">
        <f>IFERROR(INDEX(Products!$E:$E,MATCH(D2053,Products!$A:$A,0)),"Unknown")</f>
        <v>Nike</v>
      </c>
      <c r="X2053" t="str">
        <f>IFERROR(INDEX(Stores!$B:$B,MATCH(E2053,Stores!$A:$A,0)),"Unknown")</f>
        <v>TrendMart Tumakuru Outlet</v>
      </c>
      <c r="Y2053" t="str">
        <f>IFERROR(INDEX(Stores!$E:$E,MATCH(E2053,Stores!$A:$A,0)),"Unknown")</f>
        <v>South Zone 2</v>
      </c>
      <c r="Z2053" t="str">
        <f>IFERROR(INDEX(Customers!$J:$J,MATCH(C2053,Customers!$A:$A,0)),"Unknown")</f>
        <v>Silver</v>
      </c>
      <c r="AA2053" t="str">
        <f t="shared" si="32"/>
        <v>2024-05</v>
      </c>
      <c r="AB2053" t="str">
        <f>IFERROR(INDEX(Products!$I:$I,MATCH(D2053,Products!$A:$A,0)),"Unknown")</f>
        <v>SUP073</v>
      </c>
    </row>
    <row r="2054" spans="1:28" x14ac:dyDescent="0.25">
      <c r="A2054" t="s">
        <v>4060</v>
      </c>
      <c r="B2054" s="20">
        <v>45535</v>
      </c>
      <c r="C2054" t="s">
        <v>2270</v>
      </c>
      <c r="D2054" t="s">
        <v>2751</v>
      </c>
      <c r="E2054" t="s">
        <v>280</v>
      </c>
      <c r="F2054" t="s">
        <v>344</v>
      </c>
      <c r="G2054">
        <v>1</v>
      </c>
      <c r="H2054" s="21">
        <v>468.07</v>
      </c>
      <c r="I2054">
        <v>25</v>
      </c>
      <c r="J2054" s="21">
        <v>117.02</v>
      </c>
      <c r="K2054">
        <v>5</v>
      </c>
      <c r="L2054" s="21">
        <v>17.55</v>
      </c>
      <c r="M2054" s="21">
        <v>368.6</v>
      </c>
      <c r="N2054" s="21">
        <v>319.07</v>
      </c>
      <c r="O2054" s="21">
        <v>31.98</v>
      </c>
      <c r="P2054" t="s">
        <v>123</v>
      </c>
      <c r="Q2054" t="s">
        <v>120</v>
      </c>
      <c r="R2054" t="s">
        <v>151</v>
      </c>
      <c r="S2054" t="s">
        <v>4061</v>
      </c>
      <c r="T2054" t="s">
        <v>161</v>
      </c>
      <c r="U2054" t="s">
        <v>154</v>
      </c>
      <c r="V2054" t="str">
        <f>IFERROR(INDEX(Products!$C:$C,MATCH(D2054,Products!$A:$A,0)),"Unknown")</f>
        <v>Belts</v>
      </c>
      <c r="W2054" t="str">
        <f>IFERROR(INDEX(Products!$E:$E,MATCH(D2054,Products!$A:$A,0)),"Unknown")</f>
        <v>AND</v>
      </c>
      <c r="X2054" t="str">
        <f>IFERROR(INDEX(Stores!$B:$B,MATCH(E2054,Stores!$A:$A,0)),"Unknown")</f>
        <v>TrendMart Chennai Standard</v>
      </c>
      <c r="Y2054" t="str">
        <f>IFERROR(INDEX(Stores!$E:$E,MATCH(E2054,Stores!$A:$A,0)),"Unknown")</f>
        <v>South Zone 1</v>
      </c>
      <c r="Z2054" t="str">
        <f>IFERROR(INDEX(Customers!$J:$J,MATCH(C2054,Customers!$A:$A,0)),"Unknown")</f>
        <v>Platinum</v>
      </c>
      <c r="AA2054" t="str">
        <f t="shared" si="32"/>
        <v>2024-08</v>
      </c>
      <c r="AB2054" t="str">
        <f>IFERROR(INDEX(Products!$I:$I,MATCH(D2054,Products!$A:$A,0)),"Unknown")</f>
        <v>SUP026</v>
      </c>
    </row>
    <row r="2055" spans="1:28" x14ac:dyDescent="0.25">
      <c r="A2055" t="s">
        <v>4062</v>
      </c>
      <c r="B2055" s="20">
        <v>45438</v>
      </c>
      <c r="C2055" t="s">
        <v>4063</v>
      </c>
      <c r="D2055" t="s">
        <v>822</v>
      </c>
      <c r="E2055" t="s">
        <v>396</v>
      </c>
      <c r="F2055" t="s">
        <v>263</v>
      </c>
      <c r="G2055">
        <v>4</v>
      </c>
      <c r="H2055" s="21">
        <v>2065.58</v>
      </c>
      <c r="I2055">
        <v>25</v>
      </c>
      <c r="J2055" s="21">
        <v>2065.58</v>
      </c>
      <c r="K2055">
        <v>12</v>
      </c>
      <c r="L2055" s="21">
        <v>743.61</v>
      </c>
      <c r="M2055" s="21">
        <v>6940.35</v>
      </c>
      <c r="N2055" s="21">
        <v>5970.84</v>
      </c>
      <c r="O2055" s="21">
        <v>225.9</v>
      </c>
      <c r="P2055" t="s">
        <v>124</v>
      </c>
      <c r="Q2055" t="s">
        <v>122</v>
      </c>
      <c r="R2055" t="s">
        <v>151</v>
      </c>
      <c r="S2055" t="s">
        <v>690</v>
      </c>
      <c r="T2055" t="s">
        <v>161</v>
      </c>
      <c r="U2055" t="s">
        <v>154</v>
      </c>
      <c r="V2055" t="str">
        <f>IFERROR(INDEX(Products!$C:$C,MATCH(D2055,Products!$A:$A,0)),"Unknown")</f>
        <v>Footwear</v>
      </c>
      <c r="W2055" t="str">
        <f>IFERROR(INDEX(Products!$E:$E,MATCH(D2055,Products!$A:$A,0)),"Unknown")</f>
        <v>AND</v>
      </c>
      <c r="X2055" t="str">
        <f>IFERROR(INDEX(Stores!$B:$B,MATCH(E2055,Stores!$A:$A,0)),"Unknown")</f>
        <v>TrendMart Davanagere High Street</v>
      </c>
      <c r="Y2055" t="str">
        <f>IFERROR(INDEX(Stores!$E:$E,MATCH(E2055,Stores!$A:$A,0)),"Unknown")</f>
        <v>South Zone 2</v>
      </c>
      <c r="Z2055" t="str">
        <f>IFERROR(INDEX(Customers!$J:$J,MATCH(C2055,Customers!$A:$A,0)),"Unknown")</f>
        <v>Gold</v>
      </c>
      <c r="AA2055" t="str">
        <f t="shared" si="32"/>
        <v>2024-05</v>
      </c>
      <c r="AB2055" t="str">
        <f>IFERROR(INDEX(Products!$I:$I,MATCH(D2055,Products!$A:$A,0)),"Unknown")</f>
        <v>SUP002</v>
      </c>
    </row>
    <row r="2056" spans="1:28" x14ac:dyDescent="0.25">
      <c r="A2056" t="s">
        <v>4064</v>
      </c>
      <c r="B2056" s="20">
        <v>45553</v>
      </c>
      <c r="C2056" t="s">
        <v>2322</v>
      </c>
      <c r="D2056" t="s">
        <v>230</v>
      </c>
      <c r="E2056" t="s">
        <v>425</v>
      </c>
      <c r="F2056" t="s">
        <v>408</v>
      </c>
      <c r="G2056">
        <v>3</v>
      </c>
      <c r="H2056" s="21">
        <v>1522.33</v>
      </c>
      <c r="I2056">
        <v>10</v>
      </c>
      <c r="J2056" s="21">
        <v>456.7</v>
      </c>
      <c r="K2056">
        <v>12</v>
      </c>
      <c r="L2056" s="21">
        <v>493.23</v>
      </c>
      <c r="M2056" s="21">
        <v>4603.5200000000004</v>
      </c>
      <c r="N2056" s="21">
        <v>2838.9</v>
      </c>
      <c r="O2056" s="21">
        <v>1271.3900000000001</v>
      </c>
      <c r="P2056" t="s">
        <v>123</v>
      </c>
      <c r="Q2056" t="s">
        <v>120</v>
      </c>
      <c r="R2056" t="s">
        <v>151</v>
      </c>
      <c r="S2056" t="s">
        <v>686</v>
      </c>
      <c r="T2056" t="s">
        <v>153</v>
      </c>
      <c r="U2056" t="s">
        <v>154</v>
      </c>
      <c r="V2056" t="str">
        <f>IFERROR(INDEX(Products!$C:$C,MATCH(D2056,Products!$A:$A,0)),"Unknown")</f>
        <v>Watches</v>
      </c>
      <c r="W2056" t="str">
        <f>IFERROR(INDEX(Products!$E:$E,MATCH(D2056,Products!$A:$A,0)),"Unknown")</f>
        <v>Wrangler</v>
      </c>
      <c r="X2056" t="str">
        <f>IFERROR(INDEX(Stores!$B:$B,MATCH(E2056,Stores!$A:$A,0)),"Unknown")</f>
        <v>TrendMart Kozhikode Outlet</v>
      </c>
      <c r="Y2056" t="str">
        <f>IFERROR(INDEX(Stores!$E:$E,MATCH(E2056,Stores!$A:$A,0)),"Unknown")</f>
        <v>South Zone 1</v>
      </c>
      <c r="Z2056" t="str">
        <f>IFERROR(INDEX(Customers!$J:$J,MATCH(C2056,Customers!$A:$A,0)),"Unknown")</f>
        <v>Gold</v>
      </c>
      <c r="AA2056" t="str">
        <f t="shared" si="32"/>
        <v>2024-09</v>
      </c>
      <c r="AB2056" t="str">
        <f>IFERROR(INDEX(Products!$I:$I,MATCH(D2056,Products!$A:$A,0)),"Unknown")</f>
        <v>SUP044</v>
      </c>
    </row>
    <row r="2057" spans="1:28" x14ac:dyDescent="0.25">
      <c r="A2057" t="s">
        <v>4065</v>
      </c>
      <c r="B2057" s="20">
        <v>45441</v>
      </c>
      <c r="C2057" t="s">
        <v>186</v>
      </c>
      <c r="D2057" t="s">
        <v>1421</v>
      </c>
      <c r="E2057" t="s">
        <v>681</v>
      </c>
      <c r="F2057" t="s">
        <v>335</v>
      </c>
      <c r="G2057">
        <v>2</v>
      </c>
      <c r="H2057" s="21">
        <v>1210.93</v>
      </c>
      <c r="I2057">
        <v>0</v>
      </c>
      <c r="J2057" s="21">
        <v>0</v>
      </c>
      <c r="K2057">
        <v>12</v>
      </c>
      <c r="L2057" s="21">
        <v>290.62</v>
      </c>
      <c r="M2057" s="21">
        <v>2712.48</v>
      </c>
      <c r="N2057" s="21">
        <v>1634.66</v>
      </c>
      <c r="O2057" s="21">
        <v>787.2</v>
      </c>
      <c r="P2057" t="s">
        <v>124</v>
      </c>
      <c r="Q2057" t="s">
        <v>120</v>
      </c>
      <c r="R2057" t="s">
        <v>151</v>
      </c>
      <c r="S2057" t="s">
        <v>2524</v>
      </c>
      <c r="T2057" t="s">
        <v>153</v>
      </c>
      <c r="U2057" t="s">
        <v>154</v>
      </c>
      <c r="V2057" t="str">
        <f>IFERROR(INDEX(Products!$C:$C,MATCH(D2057,Products!$A:$A,0)),"Unknown")</f>
        <v>Men Jeans</v>
      </c>
      <c r="W2057" t="str">
        <f>IFERROR(INDEX(Products!$E:$E,MATCH(D2057,Products!$A:$A,0)),"Unknown")</f>
        <v>Flying Machine</v>
      </c>
      <c r="X2057" t="str">
        <f>IFERROR(INDEX(Stores!$B:$B,MATCH(E2057,Stores!$A:$A,0)),"Unknown")</f>
        <v>TrendMart Shivamogga Mall Kiosk</v>
      </c>
      <c r="Y2057" t="str">
        <f>IFERROR(INDEX(Stores!$E:$E,MATCH(E2057,Stores!$A:$A,0)),"Unknown")</f>
        <v>South Zone 2</v>
      </c>
      <c r="Z2057" t="str">
        <f>IFERROR(INDEX(Customers!$J:$J,MATCH(C2057,Customers!$A:$A,0)),"Unknown")</f>
        <v>Silver</v>
      </c>
      <c r="AA2057" t="str">
        <f t="shared" si="32"/>
        <v>2024-05</v>
      </c>
      <c r="AB2057" t="str">
        <f>IFERROR(INDEX(Products!$I:$I,MATCH(D2057,Products!$A:$A,0)),"Unknown")</f>
        <v>SUP043</v>
      </c>
    </row>
    <row r="2058" spans="1:28" x14ac:dyDescent="0.25">
      <c r="A2058" t="s">
        <v>4066</v>
      </c>
      <c r="B2058" s="20">
        <v>45520</v>
      </c>
      <c r="C2058" t="s">
        <v>428</v>
      </c>
      <c r="D2058" t="s">
        <v>717</v>
      </c>
      <c r="E2058" t="s">
        <v>81</v>
      </c>
      <c r="F2058" t="s">
        <v>308</v>
      </c>
      <c r="G2058">
        <v>3</v>
      </c>
      <c r="H2058" s="21">
        <v>1621.06</v>
      </c>
      <c r="I2058">
        <v>10</v>
      </c>
      <c r="J2058" s="21">
        <v>486.32</v>
      </c>
      <c r="K2058">
        <v>12</v>
      </c>
      <c r="L2058" s="21">
        <v>525.22</v>
      </c>
      <c r="M2058" s="21">
        <v>4902.08</v>
      </c>
      <c r="N2058" s="21">
        <v>3399.81</v>
      </c>
      <c r="O2058" s="21">
        <v>977.05</v>
      </c>
      <c r="P2058" t="s">
        <v>121</v>
      </c>
      <c r="Q2058" t="s">
        <v>122</v>
      </c>
      <c r="R2058" t="s">
        <v>151</v>
      </c>
      <c r="S2058" t="s">
        <v>2840</v>
      </c>
      <c r="T2058" t="s">
        <v>153</v>
      </c>
      <c r="U2058" t="s">
        <v>154</v>
      </c>
      <c r="V2058" t="str">
        <f>IFERROR(INDEX(Products!$C:$C,MATCH(D2058,Products!$A:$A,0)),"Unknown")</f>
        <v>Women Dresses</v>
      </c>
      <c r="W2058" t="str">
        <f>IFERROR(INDEX(Products!$E:$E,MATCH(D2058,Products!$A:$A,0)),"Unknown")</f>
        <v>Pantaloons</v>
      </c>
      <c r="X2058" t="str">
        <f>IFERROR(INDEX(Stores!$B:$B,MATCH(E2058,Stores!$A:$A,0)),"Unknown")</f>
        <v>TrendMart Vijayawada High Street</v>
      </c>
      <c r="Y2058" t="str">
        <f>IFERROR(INDEX(Stores!$E:$E,MATCH(E2058,Stores!$A:$A,0)),"Unknown")</f>
        <v>South Zone 3</v>
      </c>
      <c r="Z2058" t="str">
        <f>IFERROR(INDEX(Customers!$J:$J,MATCH(C2058,Customers!$A:$A,0)),"Unknown")</f>
        <v>Regular</v>
      </c>
      <c r="AA2058" t="str">
        <f t="shared" si="32"/>
        <v>2024-08</v>
      </c>
      <c r="AB2058" t="str">
        <f>IFERROR(INDEX(Products!$I:$I,MATCH(D2058,Products!$A:$A,0)),"Unknown")</f>
        <v>SUP046</v>
      </c>
    </row>
    <row r="2059" spans="1:28" x14ac:dyDescent="0.25">
      <c r="A2059" t="s">
        <v>4067</v>
      </c>
      <c r="B2059" s="20">
        <v>45594</v>
      </c>
      <c r="C2059" t="s">
        <v>3602</v>
      </c>
      <c r="D2059" t="s">
        <v>1421</v>
      </c>
      <c r="E2059" t="s">
        <v>88</v>
      </c>
      <c r="F2059" t="s">
        <v>221</v>
      </c>
      <c r="G2059">
        <v>1</v>
      </c>
      <c r="H2059" s="21">
        <v>1237.99</v>
      </c>
      <c r="I2059">
        <v>20</v>
      </c>
      <c r="J2059" s="21">
        <v>247.6</v>
      </c>
      <c r="K2059">
        <v>12</v>
      </c>
      <c r="L2059" s="21">
        <v>118.85</v>
      </c>
      <c r="M2059" s="21">
        <v>1109.24</v>
      </c>
      <c r="N2059" s="21">
        <v>817.33</v>
      </c>
      <c r="O2059" s="21">
        <v>173.06</v>
      </c>
      <c r="P2059" t="s">
        <v>125</v>
      </c>
      <c r="Q2059" t="s">
        <v>122</v>
      </c>
      <c r="R2059" t="s">
        <v>151</v>
      </c>
      <c r="S2059" t="s">
        <v>4068</v>
      </c>
      <c r="T2059" t="s">
        <v>153</v>
      </c>
      <c r="U2059" t="s">
        <v>154</v>
      </c>
      <c r="V2059" t="str">
        <f>IFERROR(INDEX(Products!$C:$C,MATCH(D2059,Products!$A:$A,0)),"Unknown")</f>
        <v>Men Jeans</v>
      </c>
      <c r="W2059" t="str">
        <f>IFERROR(INDEX(Products!$E:$E,MATCH(D2059,Products!$A:$A,0)),"Unknown")</f>
        <v>Flying Machine</v>
      </c>
      <c r="X2059" t="str">
        <f>IFERROR(INDEX(Stores!$B:$B,MATCH(E2059,Stores!$A:$A,0)),"Unknown")</f>
        <v>TrendMart Kozhikode Mall Kiosk</v>
      </c>
      <c r="Y2059" t="str">
        <f>IFERROR(INDEX(Stores!$E:$E,MATCH(E2059,Stores!$A:$A,0)),"Unknown")</f>
        <v>South Zone 1</v>
      </c>
      <c r="Z2059" t="str">
        <f>IFERROR(INDEX(Customers!$J:$J,MATCH(C2059,Customers!$A:$A,0)),"Unknown")</f>
        <v>Platinum</v>
      </c>
      <c r="AA2059" t="str">
        <f t="shared" si="32"/>
        <v>2024-10</v>
      </c>
      <c r="AB2059" t="str">
        <f>IFERROR(INDEX(Products!$I:$I,MATCH(D2059,Products!$A:$A,0)),"Unknown")</f>
        <v>SUP043</v>
      </c>
    </row>
    <row r="2060" spans="1:28" x14ac:dyDescent="0.25">
      <c r="A2060" t="s">
        <v>4069</v>
      </c>
      <c r="B2060" s="20">
        <v>45429</v>
      </c>
      <c r="C2060" t="s">
        <v>509</v>
      </c>
      <c r="D2060" t="s">
        <v>1092</v>
      </c>
      <c r="E2060" t="s">
        <v>1426</v>
      </c>
      <c r="F2060" t="s">
        <v>335</v>
      </c>
      <c r="G2060">
        <v>2</v>
      </c>
      <c r="H2060" s="21">
        <v>3714.09</v>
      </c>
      <c r="I2060">
        <v>0</v>
      </c>
      <c r="J2060" s="21">
        <v>0</v>
      </c>
      <c r="K2060">
        <v>12</v>
      </c>
      <c r="L2060" s="21">
        <v>891.38</v>
      </c>
      <c r="M2060" s="21">
        <v>8319.56</v>
      </c>
      <c r="N2060" s="21">
        <v>4934.4399999999996</v>
      </c>
      <c r="O2060" s="21">
        <v>2493.7399999999998</v>
      </c>
      <c r="P2060" t="s">
        <v>124</v>
      </c>
      <c r="Q2060" t="s">
        <v>122</v>
      </c>
      <c r="R2060" t="s">
        <v>151</v>
      </c>
      <c r="S2060" t="s">
        <v>2202</v>
      </c>
      <c r="T2060" t="s">
        <v>153</v>
      </c>
      <c r="U2060" t="s">
        <v>154</v>
      </c>
      <c r="V2060" t="str">
        <f>IFERROR(INDEX(Products!$C:$C,MATCH(D2060,Products!$A:$A,0)),"Unknown")</f>
        <v>Footwear</v>
      </c>
      <c r="W2060" t="str">
        <f>IFERROR(INDEX(Products!$E:$E,MATCH(D2060,Products!$A:$A,0)),"Unknown")</f>
        <v>Reebok</v>
      </c>
      <c r="X2060" t="str">
        <f>IFERROR(INDEX(Stores!$B:$B,MATCH(E2060,Stores!$A:$A,0)),"Unknown")</f>
        <v>TrendMart Alappuzha Mall Kiosk</v>
      </c>
      <c r="Y2060" t="str">
        <f>IFERROR(INDEX(Stores!$E:$E,MATCH(E2060,Stores!$A:$A,0)),"Unknown")</f>
        <v>South Zone 1</v>
      </c>
      <c r="Z2060" t="str">
        <f>IFERROR(INDEX(Customers!$J:$J,MATCH(C2060,Customers!$A:$A,0)),"Unknown")</f>
        <v>Gold</v>
      </c>
      <c r="AA2060" t="str">
        <f t="shared" si="32"/>
        <v>2024-05</v>
      </c>
      <c r="AB2060" t="str">
        <f>IFERROR(INDEX(Products!$I:$I,MATCH(D2060,Products!$A:$A,0)),"Unknown")</f>
        <v>SUP056</v>
      </c>
    </row>
    <row r="2061" spans="1:28" x14ac:dyDescent="0.25">
      <c r="A2061" t="s">
        <v>4070</v>
      </c>
      <c r="B2061" s="20">
        <v>45655</v>
      </c>
      <c r="C2061" t="s">
        <v>3224</v>
      </c>
      <c r="D2061" t="s">
        <v>892</v>
      </c>
      <c r="E2061" t="s">
        <v>914</v>
      </c>
      <c r="F2061" t="s">
        <v>292</v>
      </c>
      <c r="G2061">
        <v>4</v>
      </c>
      <c r="H2061" s="21">
        <v>2663.2</v>
      </c>
      <c r="I2061">
        <v>10</v>
      </c>
      <c r="J2061" s="21">
        <v>1065.28</v>
      </c>
      <c r="K2061">
        <v>12</v>
      </c>
      <c r="L2061" s="21">
        <v>1150.5</v>
      </c>
      <c r="M2061" s="21">
        <v>10738.02</v>
      </c>
      <c r="N2061" s="21">
        <v>6971.56</v>
      </c>
      <c r="O2061" s="21">
        <v>2615.96</v>
      </c>
      <c r="P2061" t="s">
        <v>126</v>
      </c>
      <c r="Q2061" t="s">
        <v>122</v>
      </c>
      <c r="R2061" t="s">
        <v>151</v>
      </c>
      <c r="S2061" t="s">
        <v>3428</v>
      </c>
      <c r="T2061" t="s">
        <v>161</v>
      </c>
      <c r="U2061" t="s">
        <v>154</v>
      </c>
      <c r="V2061" t="str">
        <f>IFERROR(INDEX(Products!$C:$C,MATCH(D2061,Products!$A:$A,0)),"Unknown")</f>
        <v>Men Ethnic</v>
      </c>
      <c r="W2061" t="str">
        <f>IFERROR(INDEX(Products!$E:$E,MATCH(D2061,Products!$A:$A,0)),"Unknown")</f>
        <v>Blackberrys</v>
      </c>
      <c r="X2061" t="str">
        <f>IFERROR(INDEX(Stores!$B:$B,MATCH(E2061,Stores!$A:$A,0)),"Unknown")</f>
        <v>TrendMart Thiruvananthapuram Outlet</v>
      </c>
      <c r="Y2061" t="str">
        <f>IFERROR(INDEX(Stores!$E:$E,MATCH(E2061,Stores!$A:$A,0)),"Unknown")</f>
        <v>South Zone 1</v>
      </c>
      <c r="Z2061" t="str">
        <f>IFERROR(INDEX(Customers!$J:$J,MATCH(C2061,Customers!$A:$A,0)),"Unknown")</f>
        <v>Regular</v>
      </c>
      <c r="AA2061" t="str">
        <f t="shared" si="32"/>
        <v>2024-12</v>
      </c>
      <c r="AB2061" t="str">
        <f>IFERROR(INDEX(Products!$I:$I,MATCH(D2061,Products!$A:$A,0)),"Unknown")</f>
        <v>SUP084</v>
      </c>
    </row>
    <row r="2062" spans="1:28" x14ac:dyDescent="0.25">
      <c r="A2062" t="s">
        <v>4071</v>
      </c>
      <c r="B2062" s="20">
        <v>45546</v>
      </c>
      <c r="C2062" t="s">
        <v>2174</v>
      </c>
      <c r="D2062" t="s">
        <v>301</v>
      </c>
      <c r="E2062" t="s">
        <v>617</v>
      </c>
      <c r="F2062" t="s">
        <v>516</v>
      </c>
      <c r="G2062">
        <v>2</v>
      </c>
      <c r="H2062" s="21">
        <v>1406.1</v>
      </c>
      <c r="I2062">
        <v>20</v>
      </c>
      <c r="J2062" s="21">
        <v>562.44000000000005</v>
      </c>
      <c r="K2062">
        <v>12</v>
      </c>
      <c r="L2062" s="21">
        <v>269.97000000000003</v>
      </c>
      <c r="M2062" s="21">
        <v>2519.73</v>
      </c>
      <c r="N2062" s="21">
        <v>1943.3</v>
      </c>
      <c r="O2062" s="21">
        <v>306.45999999999998</v>
      </c>
      <c r="P2062" t="s">
        <v>125</v>
      </c>
      <c r="Q2062" t="s">
        <v>120</v>
      </c>
      <c r="R2062" t="s">
        <v>151</v>
      </c>
      <c r="S2062" t="s">
        <v>1347</v>
      </c>
      <c r="T2062" t="s">
        <v>153</v>
      </c>
      <c r="U2062" t="s">
        <v>154</v>
      </c>
      <c r="V2062" t="str">
        <f>IFERROR(INDEX(Products!$C:$C,MATCH(D2062,Products!$A:$A,0)),"Unknown")</f>
        <v>Women Jeans</v>
      </c>
      <c r="W2062" t="str">
        <f>IFERROR(INDEX(Products!$E:$E,MATCH(D2062,Products!$A:$A,0)),"Unknown")</f>
        <v>Unknown</v>
      </c>
      <c r="X2062" t="str">
        <f>IFERROR(INDEX(Stores!$B:$B,MATCH(E2062,Stores!$A:$A,0)),"Unknown")</f>
        <v>TrendMart Mangaluru High Street</v>
      </c>
      <c r="Y2062" t="str">
        <f>IFERROR(INDEX(Stores!$E:$E,MATCH(E2062,Stores!$A:$A,0)),"Unknown")</f>
        <v>South Zone 2</v>
      </c>
      <c r="Z2062" t="str">
        <f>IFERROR(INDEX(Customers!$J:$J,MATCH(C2062,Customers!$A:$A,0)),"Unknown")</f>
        <v>Gold</v>
      </c>
      <c r="AA2062" t="str">
        <f t="shared" si="32"/>
        <v>2024-09</v>
      </c>
      <c r="AB2062" t="str">
        <f>IFERROR(INDEX(Products!$I:$I,MATCH(D2062,Products!$A:$A,0)),"Unknown")</f>
        <v>SUP050</v>
      </c>
    </row>
    <row r="2063" spans="1:28" x14ac:dyDescent="0.25">
      <c r="A2063" t="s">
        <v>4072</v>
      </c>
      <c r="B2063" s="20">
        <v>45536</v>
      </c>
      <c r="C2063" t="s">
        <v>871</v>
      </c>
      <c r="D2063" t="s">
        <v>279</v>
      </c>
      <c r="E2063" t="s">
        <v>752</v>
      </c>
      <c r="F2063" t="s">
        <v>242</v>
      </c>
      <c r="G2063">
        <v>1</v>
      </c>
      <c r="H2063" s="21">
        <v>3358</v>
      </c>
      <c r="I2063">
        <v>0</v>
      </c>
      <c r="J2063" s="21">
        <v>0</v>
      </c>
      <c r="K2063">
        <v>12</v>
      </c>
      <c r="L2063" s="21">
        <v>402.96</v>
      </c>
      <c r="M2063" s="21">
        <v>3760.96</v>
      </c>
      <c r="N2063" s="21">
        <v>2069.33</v>
      </c>
      <c r="O2063" s="21">
        <v>1288.67</v>
      </c>
      <c r="P2063" t="s">
        <v>121</v>
      </c>
      <c r="Q2063" t="s">
        <v>120</v>
      </c>
      <c r="R2063" t="s">
        <v>151</v>
      </c>
      <c r="S2063" t="s">
        <v>2226</v>
      </c>
      <c r="T2063" t="s">
        <v>161</v>
      </c>
      <c r="U2063" t="s">
        <v>154</v>
      </c>
      <c r="V2063" t="str">
        <f>IFERROR(INDEX(Products!$C:$C,MATCH(D2063,Products!$A:$A,0)),"Unknown")</f>
        <v>Handbags</v>
      </c>
      <c r="W2063" t="str">
        <f>IFERROR(INDEX(Products!$E:$E,MATCH(D2063,Products!$A:$A,0)),"Unknown")</f>
        <v>Westside</v>
      </c>
      <c r="X2063" t="str">
        <f>IFERROR(INDEX(Stores!$B:$B,MATCH(E2063,Stores!$A:$A,0)),"Unknown")</f>
        <v>TrendMart Dindigul High Street</v>
      </c>
      <c r="Y2063" t="str">
        <f>IFERROR(INDEX(Stores!$E:$E,MATCH(E2063,Stores!$A:$A,0)),"Unknown")</f>
        <v>South Zone 1</v>
      </c>
      <c r="Z2063" t="str">
        <f>IFERROR(INDEX(Customers!$J:$J,MATCH(C2063,Customers!$A:$A,0)),"Unknown")</f>
        <v>Regular</v>
      </c>
      <c r="AA2063" t="str">
        <f t="shared" si="32"/>
        <v>2024-09</v>
      </c>
      <c r="AB2063" t="str">
        <f>IFERROR(INDEX(Products!$I:$I,MATCH(D2063,Products!$A:$A,0)),"Unknown")</f>
        <v>SUP066</v>
      </c>
    </row>
    <row r="2064" spans="1:28" x14ac:dyDescent="0.25">
      <c r="A2064" t="s">
        <v>4073</v>
      </c>
      <c r="B2064" s="20">
        <v>45637</v>
      </c>
      <c r="C2064" t="s">
        <v>371</v>
      </c>
      <c r="D2064" t="s">
        <v>317</v>
      </c>
      <c r="E2064" t="s">
        <v>226</v>
      </c>
      <c r="F2064" t="s">
        <v>462</v>
      </c>
      <c r="G2064">
        <v>1</v>
      </c>
      <c r="H2064" s="21">
        <v>2084.27</v>
      </c>
      <c r="I2064">
        <v>15</v>
      </c>
      <c r="J2064" s="21">
        <v>312.64</v>
      </c>
      <c r="K2064">
        <v>12</v>
      </c>
      <c r="L2064" s="21">
        <v>212.6</v>
      </c>
      <c r="M2064" s="21">
        <v>1984.23</v>
      </c>
      <c r="N2064" s="21">
        <v>1461.73</v>
      </c>
      <c r="O2064" s="21">
        <v>309.89999999999998</v>
      </c>
      <c r="P2064" t="s">
        <v>124</v>
      </c>
      <c r="Q2064" t="s">
        <v>120</v>
      </c>
      <c r="R2064" t="s">
        <v>151</v>
      </c>
      <c r="S2064" t="s">
        <v>1416</v>
      </c>
      <c r="T2064" t="s">
        <v>153</v>
      </c>
      <c r="U2064" t="s">
        <v>154</v>
      </c>
      <c r="V2064" t="str">
        <f>IFERROR(INDEX(Products!$C:$C,MATCH(D2064,Products!$A:$A,0)),"Unknown")</f>
        <v>Handbags</v>
      </c>
      <c r="W2064" t="str">
        <f>IFERROR(INDEX(Products!$E:$E,MATCH(D2064,Products!$A:$A,0)),"Unknown")</f>
        <v>Titan</v>
      </c>
      <c r="X2064" t="str">
        <f>IFERROR(INDEX(Stores!$B:$B,MATCH(E2064,Stores!$A:$A,0)),"Unknown")</f>
        <v>TrendMart Kurnool Standard</v>
      </c>
      <c r="Y2064" t="str">
        <f>IFERROR(INDEX(Stores!$E:$E,MATCH(E2064,Stores!$A:$A,0)),"Unknown")</f>
        <v>South Zone 3</v>
      </c>
      <c r="Z2064" t="str">
        <f>IFERROR(INDEX(Customers!$J:$J,MATCH(C2064,Customers!$A:$A,0)),"Unknown")</f>
        <v>Silver</v>
      </c>
      <c r="AA2064" t="str">
        <f t="shared" si="32"/>
        <v>2024-12</v>
      </c>
      <c r="AB2064" t="str">
        <f>IFERROR(INDEX(Products!$I:$I,MATCH(D2064,Products!$A:$A,0)),"Unknown")</f>
        <v>SUP027</v>
      </c>
    </row>
    <row r="2065" spans="1:28" x14ac:dyDescent="0.25">
      <c r="A2065" t="s">
        <v>4074</v>
      </c>
      <c r="B2065" s="20">
        <v>45712</v>
      </c>
      <c r="C2065" t="s">
        <v>1447</v>
      </c>
      <c r="D2065" t="s">
        <v>565</v>
      </c>
      <c r="E2065" t="s">
        <v>1023</v>
      </c>
      <c r="F2065" t="s">
        <v>253</v>
      </c>
      <c r="G2065">
        <v>4</v>
      </c>
      <c r="H2065" s="21">
        <v>1868.16</v>
      </c>
      <c r="I2065">
        <v>0</v>
      </c>
      <c r="J2065" s="21">
        <v>0</v>
      </c>
      <c r="K2065">
        <v>12</v>
      </c>
      <c r="L2065" s="21">
        <v>896.72</v>
      </c>
      <c r="M2065" s="21">
        <v>8369.36</v>
      </c>
      <c r="N2065" s="21">
        <v>4677.84</v>
      </c>
      <c r="O2065" s="21">
        <v>2794.8</v>
      </c>
      <c r="P2065" t="s">
        <v>124</v>
      </c>
      <c r="Q2065" t="s">
        <v>120</v>
      </c>
      <c r="R2065" t="s">
        <v>151</v>
      </c>
      <c r="S2065" t="s">
        <v>507</v>
      </c>
      <c r="T2065" t="s">
        <v>153</v>
      </c>
      <c r="U2065" t="s">
        <v>154</v>
      </c>
      <c r="V2065" t="str">
        <f>IFERROR(INDEX(Products!$C:$C,MATCH(D2065,Products!$A:$A,0)),"Unknown")</f>
        <v>Winter Wear</v>
      </c>
      <c r="W2065" t="str">
        <f>IFERROR(INDEX(Products!$E:$E,MATCH(D2065,Products!$A:$A,0)),"Unknown")</f>
        <v>Numero Uno</v>
      </c>
      <c r="X2065" t="str">
        <f>IFERROR(INDEX(Stores!$B:$B,MATCH(E2065,Stores!$A:$A,0)),"Unknown")</f>
        <v>TrendMart Kochi High Street</v>
      </c>
      <c r="Y2065" t="str">
        <f>IFERROR(INDEX(Stores!$E:$E,MATCH(E2065,Stores!$A:$A,0)),"Unknown")</f>
        <v>South Zone 1</v>
      </c>
      <c r="Z2065" t="str">
        <f>IFERROR(INDEX(Customers!$J:$J,MATCH(C2065,Customers!$A:$A,0)),"Unknown")</f>
        <v>Regular</v>
      </c>
      <c r="AA2065" t="str">
        <f t="shared" si="32"/>
        <v>2025-02</v>
      </c>
      <c r="AB2065" t="str">
        <f>IFERROR(INDEX(Products!$I:$I,MATCH(D2065,Products!$A:$A,0)),"Unknown")</f>
        <v>SUP026</v>
      </c>
    </row>
    <row r="2066" spans="1:28" x14ac:dyDescent="0.25">
      <c r="A2066" t="s">
        <v>4075</v>
      </c>
      <c r="B2066" s="20">
        <v>45597</v>
      </c>
      <c r="C2066" t="s">
        <v>3134</v>
      </c>
      <c r="D2066" t="s">
        <v>381</v>
      </c>
      <c r="E2066" t="s">
        <v>1281</v>
      </c>
      <c r="F2066" t="s">
        <v>150</v>
      </c>
      <c r="G2066">
        <v>1</v>
      </c>
      <c r="H2066" s="21">
        <v>776.3</v>
      </c>
      <c r="I2066">
        <v>0</v>
      </c>
      <c r="J2066" s="21">
        <v>0</v>
      </c>
      <c r="K2066">
        <v>5</v>
      </c>
      <c r="L2066" s="21">
        <v>38.81</v>
      </c>
      <c r="M2066" s="21">
        <v>815.11</v>
      </c>
      <c r="N2066" s="21">
        <v>513.84</v>
      </c>
      <c r="O2066" s="21">
        <v>262.45999999999998</v>
      </c>
      <c r="P2066" t="s">
        <v>123</v>
      </c>
      <c r="Q2066" t="s">
        <v>120</v>
      </c>
      <c r="R2066" t="s">
        <v>151</v>
      </c>
      <c r="S2066" t="s">
        <v>735</v>
      </c>
      <c r="T2066" t="s">
        <v>153</v>
      </c>
      <c r="U2066" t="s">
        <v>154</v>
      </c>
      <c r="V2066" t="str">
        <f>IFERROR(INDEX(Products!$C:$C,MATCH(D2066,Products!$A:$A,0)),"Unknown")</f>
        <v>Wallets</v>
      </c>
      <c r="W2066" t="str">
        <f>IFERROR(INDEX(Products!$E:$E,MATCH(D2066,Products!$A:$A,0)),"Unknown")</f>
        <v>Tanishq</v>
      </c>
      <c r="X2066" t="str">
        <f>IFERROR(INDEX(Stores!$B:$B,MATCH(E2066,Stores!$A:$A,0)),"Unknown")</f>
        <v>TrendMart Visakhapatnam Standard</v>
      </c>
      <c r="Y2066" t="str">
        <f>IFERROR(INDEX(Stores!$E:$E,MATCH(E2066,Stores!$A:$A,0)),"Unknown")</f>
        <v>South Zone 3</v>
      </c>
      <c r="Z2066" t="str">
        <f>IFERROR(INDEX(Customers!$J:$J,MATCH(C2066,Customers!$A:$A,0)),"Unknown")</f>
        <v>Silver</v>
      </c>
      <c r="AA2066" t="str">
        <f t="shared" si="32"/>
        <v>2024-11</v>
      </c>
      <c r="AB2066" t="str">
        <f>IFERROR(INDEX(Products!$I:$I,MATCH(D2066,Products!$A:$A,0)),"Unknown")</f>
        <v>SUP007</v>
      </c>
    </row>
    <row r="2067" spans="1:28" x14ac:dyDescent="0.25">
      <c r="A2067" t="s">
        <v>4076</v>
      </c>
      <c r="B2067" s="20">
        <v>45630</v>
      </c>
      <c r="C2067" t="s">
        <v>414</v>
      </c>
      <c r="D2067" t="s">
        <v>494</v>
      </c>
      <c r="E2067" t="s">
        <v>96</v>
      </c>
      <c r="F2067" t="s">
        <v>165</v>
      </c>
      <c r="G2067">
        <v>1</v>
      </c>
      <c r="H2067" s="21">
        <v>1680.37</v>
      </c>
      <c r="I2067">
        <v>0</v>
      </c>
      <c r="J2067" s="21">
        <v>0</v>
      </c>
      <c r="K2067">
        <v>12</v>
      </c>
      <c r="L2067" s="21">
        <v>201.64</v>
      </c>
      <c r="M2067" s="21">
        <v>1882.01</v>
      </c>
      <c r="N2067" s="21">
        <v>1140.9000000000001</v>
      </c>
      <c r="O2067" s="21">
        <v>539.47</v>
      </c>
      <c r="P2067" t="s">
        <v>125</v>
      </c>
      <c r="Q2067" t="s">
        <v>122</v>
      </c>
      <c r="R2067" t="s">
        <v>151</v>
      </c>
      <c r="S2067" t="s">
        <v>1647</v>
      </c>
      <c r="T2067" t="s">
        <v>153</v>
      </c>
      <c r="U2067" t="s">
        <v>154</v>
      </c>
      <c r="V2067" t="str">
        <f>IFERROR(INDEX(Products!$C:$C,MATCH(D2067,Products!$A:$A,0)),"Unknown")</f>
        <v>Women Dresses</v>
      </c>
      <c r="W2067" t="str">
        <f>IFERROR(INDEX(Products!$E:$E,MATCH(D2067,Products!$A:$A,0)),"Unknown")</f>
        <v>Reebok</v>
      </c>
      <c r="X2067" t="str">
        <f>IFERROR(INDEX(Stores!$B:$B,MATCH(E2067,Stores!$A:$A,0)),"Unknown")</f>
        <v>TrendMart Shivamogga Outlet</v>
      </c>
      <c r="Y2067" t="str">
        <f>IFERROR(INDEX(Stores!$E:$E,MATCH(E2067,Stores!$A:$A,0)),"Unknown")</f>
        <v>South Zone 2</v>
      </c>
      <c r="Z2067" t="str">
        <f>IFERROR(INDEX(Customers!$J:$J,MATCH(C2067,Customers!$A:$A,0)),"Unknown")</f>
        <v>Regular</v>
      </c>
      <c r="AA2067" t="str">
        <f t="shared" si="32"/>
        <v>2024-12</v>
      </c>
      <c r="AB2067" t="str">
        <f>IFERROR(INDEX(Products!$I:$I,MATCH(D2067,Products!$A:$A,0)),"Unknown")</f>
        <v>SUP085</v>
      </c>
    </row>
    <row r="2068" spans="1:28" x14ac:dyDescent="0.25">
      <c r="A2068" t="s">
        <v>4077</v>
      </c>
      <c r="B2068" s="20">
        <v>45675</v>
      </c>
      <c r="C2068" t="s">
        <v>1867</v>
      </c>
      <c r="D2068" t="s">
        <v>629</v>
      </c>
      <c r="E2068" t="s">
        <v>999</v>
      </c>
      <c r="F2068" t="s">
        <v>443</v>
      </c>
      <c r="G2068">
        <v>2</v>
      </c>
      <c r="H2068" s="21">
        <v>6762.64</v>
      </c>
      <c r="I2068">
        <v>5</v>
      </c>
      <c r="J2068" s="21">
        <v>676.26</v>
      </c>
      <c r="K2068">
        <v>3</v>
      </c>
      <c r="L2068" s="21">
        <v>385.47</v>
      </c>
      <c r="M2068" s="21">
        <v>13234.49</v>
      </c>
      <c r="N2068" s="21">
        <v>9734.42</v>
      </c>
      <c r="O2068" s="21">
        <v>3114.6</v>
      </c>
      <c r="P2068" t="s">
        <v>123</v>
      </c>
      <c r="Q2068" t="s">
        <v>120</v>
      </c>
      <c r="R2068" t="s">
        <v>151</v>
      </c>
      <c r="S2068" t="s">
        <v>4078</v>
      </c>
      <c r="T2068" t="s">
        <v>161</v>
      </c>
      <c r="U2068" t="s">
        <v>154</v>
      </c>
      <c r="V2068" t="str">
        <f>IFERROR(INDEX(Products!$C:$C,MATCH(D2068,Products!$A:$A,0)),"Unknown")</f>
        <v>Jewellery</v>
      </c>
      <c r="W2068" t="str">
        <f>IFERROR(INDEX(Products!$E:$E,MATCH(D2068,Products!$A:$A,0)),"Unknown")</f>
        <v>Global Desi</v>
      </c>
      <c r="X2068" t="str">
        <f>IFERROR(INDEX(Stores!$B:$B,MATCH(E2068,Stores!$A:$A,0)),"Unknown")</f>
        <v>TrendMart Tumakuru Standard</v>
      </c>
      <c r="Y2068" t="str">
        <f>IFERROR(INDEX(Stores!$E:$E,MATCH(E2068,Stores!$A:$A,0)),"Unknown")</f>
        <v>South Zone 2</v>
      </c>
      <c r="Z2068" t="str">
        <f>IFERROR(INDEX(Customers!$J:$J,MATCH(C2068,Customers!$A:$A,0)),"Unknown")</f>
        <v>Gold</v>
      </c>
      <c r="AA2068" t="str">
        <f t="shared" si="32"/>
        <v>2025-01</v>
      </c>
      <c r="AB2068" t="str">
        <f>IFERROR(INDEX(Products!$I:$I,MATCH(D2068,Products!$A:$A,0)),"Unknown")</f>
        <v>SUP066</v>
      </c>
    </row>
    <row r="2069" spans="1:28" x14ac:dyDescent="0.25">
      <c r="A2069" t="s">
        <v>4079</v>
      </c>
      <c r="B2069" s="20">
        <v>45571</v>
      </c>
      <c r="C2069" t="s">
        <v>1742</v>
      </c>
      <c r="D2069" t="s">
        <v>1130</v>
      </c>
      <c r="E2069" t="s">
        <v>81</v>
      </c>
      <c r="F2069" t="s">
        <v>275</v>
      </c>
      <c r="G2069">
        <v>3</v>
      </c>
      <c r="H2069" s="21">
        <v>3691</v>
      </c>
      <c r="I2069">
        <v>20</v>
      </c>
      <c r="J2069" s="21">
        <v>2214.6</v>
      </c>
      <c r="K2069">
        <v>12</v>
      </c>
      <c r="L2069" s="21">
        <v>1063.01</v>
      </c>
      <c r="M2069" s="21">
        <v>9921.41</v>
      </c>
      <c r="N2069" s="21">
        <v>8196.93</v>
      </c>
      <c r="O2069" s="21">
        <v>661.47</v>
      </c>
      <c r="P2069" t="s">
        <v>127</v>
      </c>
      <c r="Q2069" t="s">
        <v>122</v>
      </c>
      <c r="R2069" t="s">
        <v>151</v>
      </c>
      <c r="S2069" t="s">
        <v>3349</v>
      </c>
      <c r="T2069" t="s">
        <v>161</v>
      </c>
      <c r="U2069" t="s">
        <v>154</v>
      </c>
      <c r="V2069" t="str">
        <f>IFERROR(INDEX(Products!$C:$C,MATCH(D2069,Products!$A:$A,0)),"Unknown")</f>
        <v>Women Sarees</v>
      </c>
      <c r="W2069" t="str">
        <f>IFERROR(INDEX(Products!$E:$E,MATCH(D2069,Products!$A:$A,0)),"Unknown")</f>
        <v>Sparx</v>
      </c>
      <c r="X2069" t="str">
        <f>IFERROR(INDEX(Stores!$B:$B,MATCH(E2069,Stores!$A:$A,0)),"Unknown")</f>
        <v>TrendMart Vijayawada High Street</v>
      </c>
      <c r="Y2069" t="str">
        <f>IFERROR(INDEX(Stores!$E:$E,MATCH(E2069,Stores!$A:$A,0)),"Unknown")</f>
        <v>South Zone 3</v>
      </c>
      <c r="Z2069" t="str">
        <f>IFERROR(INDEX(Customers!$J:$J,MATCH(C2069,Customers!$A:$A,0)),"Unknown")</f>
        <v>Silver</v>
      </c>
      <c r="AA2069" t="str">
        <f t="shared" si="32"/>
        <v>2024-10</v>
      </c>
      <c r="AB2069" t="str">
        <f>IFERROR(INDEX(Products!$I:$I,MATCH(D2069,Products!$A:$A,0)),"Unknown")</f>
        <v>SUP069</v>
      </c>
    </row>
    <row r="2070" spans="1:28" x14ac:dyDescent="0.25">
      <c r="A2070" t="s">
        <v>4080</v>
      </c>
      <c r="B2070" s="20">
        <v>45409</v>
      </c>
      <c r="C2070" t="s">
        <v>971</v>
      </c>
      <c r="D2070" t="s">
        <v>174</v>
      </c>
      <c r="E2070" t="s">
        <v>81</v>
      </c>
      <c r="F2070" t="s">
        <v>297</v>
      </c>
      <c r="G2070">
        <v>1</v>
      </c>
      <c r="H2070" s="21">
        <v>944.14</v>
      </c>
      <c r="I2070">
        <v>15</v>
      </c>
      <c r="J2070" s="21">
        <v>141.62</v>
      </c>
      <c r="K2070">
        <v>5</v>
      </c>
      <c r="L2070" s="21">
        <v>40.130000000000003</v>
      </c>
      <c r="M2070" s="21">
        <v>842.65</v>
      </c>
      <c r="N2070" s="21">
        <v>539.76</v>
      </c>
      <c r="O2070" s="21">
        <v>262.76</v>
      </c>
      <c r="P2070" t="s">
        <v>124</v>
      </c>
      <c r="Q2070" t="s">
        <v>122</v>
      </c>
      <c r="R2070" t="s">
        <v>151</v>
      </c>
      <c r="S2070" t="s">
        <v>3409</v>
      </c>
      <c r="T2070" t="s">
        <v>161</v>
      </c>
      <c r="U2070" t="s">
        <v>154</v>
      </c>
      <c r="V2070" t="str">
        <f>IFERROR(INDEX(Products!$C:$C,MATCH(D2070,Products!$A:$A,0)),"Unknown")</f>
        <v>Women Kurtis</v>
      </c>
      <c r="W2070" t="str">
        <f>IFERROR(INDEX(Products!$E:$E,MATCH(D2070,Products!$A:$A,0)),"Unknown")</f>
        <v>Reebok</v>
      </c>
      <c r="X2070" t="str">
        <f>IFERROR(INDEX(Stores!$B:$B,MATCH(E2070,Stores!$A:$A,0)),"Unknown")</f>
        <v>TrendMart Vijayawada High Street</v>
      </c>
      <c r="Y2070" t="str">
        <f>IFERROR(INDEX(Stores!$E:$E,MATCH(E2070,Stores!$A:$A,0)),"Unknown")</f>
        <v>South Zone 3</v>
      </c>
      <c r="Z2070" t="str">
        <f>IFERROR(INDEX(Customers!$J:$J,MATCH(C2070,Customers!$A:$A,0)),"Unknown")</f>
        <v>Silver</v>
      </c>
      <c r="AA2070" t="str">
        <f t="shared" si="32"/>
        <v>2024-04</v>
      </c>
      <c r="AB2070" t="str">
        <f>IFERROR(INDEX(Products!$I:$I,MATCH(D2070,Products!$A:$A,0)),"Unknown")</f>
        <v>SUP012</v>
      </c>
    </row>
    <row r="2071" spans="1:28" x14ac:dyDescent="0.25">
      <c r="A2071" t="s">
        <v>4081</v>
      </c>
      <c r="B2071" s="20">
        <v>45672</v>
      </c>
      <c r="C2071" t="s">
        <v>1562</v>
      </c>
      <c r="D2071" t="s">
        <v>1219</v>
      </c>
      <c r="E2071" t="s">
        <v>490</v>
      </c>
      <c r="F2071" t="s">
        <v>579</v>
      </c>
      <c r="G2071">
        <v>1</v>
      </c>
      <c r="H2071" s="21">
        <v>2904.71</v>
      </c>
      <c r="I2071">
        <v>20</v>
      </c>
      <c r="J2071" s="21">
        <v>580.94000000000005</v>
      </c>
      <c r="K2071">
        <v>12</v>
      </c>
      <c r="L2071" s="21">
        <v>278.85000000000002</v>
      </c>
      <c r="M2071" s="21">
        <v>2602.62</v>
      </c>
      <c r="N2071" s="21">
        <v>2039.7</v>
      </c>
      <c r="O2071" s="21">
        <v>284.07</v>
      </c>
      <c r="P2071" t="s">
        <v>121</v>
      </c>
      <c r="Q2071" t="s">
        <v>120</v>
      </c>
      <c r="R2071" t="s">
        <v>151</v>
      </c>
      <c r="S2071" t="s">
        <v>631</v>
      </c>
      <c r="T2071" t="s">
        <v>153</v>
      </c>
      <c r="U2071" t="s">
        <v>154</v>
      </c>
      <c r="V2071" t="str">
        <f>IFERROR(INDEX(Products!$C:$C,MATCH(D2071,Products!$A:$A,0)),"Unknown")</f>
        <v>Watches</v>
      </c>
      <c r="W2071" t="str">
        <f>IFERROR(INDEX(Products!$E:$E,MATCH(D2071,Products!$A:$A,0)),"Unknown")</f>
        <v>Fossil</v>
      </c>
      <c r="X2071" t="str">
        <f>IFERROR(INDEX(Stores!$B:$B,MATCH(E2071,Stores!$A:$A,0)),"Unknown")</f>
        <v>TrendMart Mangaluru Mall Kiosk</v>
      </c>
      <c r="Y2071" t="str">
        <f>IFERROR(INDEX(Stores!$E:$E,MATCH(E2071,Stores!$A:$A,0)),"Unknown")</f>
        <v>South Zone 2</v>
      </c>
      <c r="Z2071" t="str">
        <f>IFERROR(INDEX(Customers!$J:$J,MATCH(C2071,Customers!$A:$A,0)),"Unknown")</f>
        <v>Regular</v>
      </c>
      <c r="AA2071" t="str">
        <f t="shared" si="32"/>
        <v>2025-01</v>
      </c>
      <c r="AB2071" t="str">
        <f>IFERROR(INDEX(Products!$I:$I,MATCH(D2071,Products!$A:$A,0)),"Unknown")</f>
        <v>SUP054</v>
      </c>
    </row>
    <row r="2072" spans="1:28" x14ac:dyDescent="0.25">
      <c r="A2072" t="s">
        <v>4082</v>
      </c>
      <c r="B2072" s="20">
        <v>45409</v>
      </c>
      <c r="C2072" t="s">
        <v>350</v>
      </c>
      <c r="D2072" t="s">
        <v>1564</v>
      </c>
      <c r="E2072" t="s">
        <v>175</v>
      </c>
      <c r="F2072" t="s">
        <v>201</v>
      </c>
      <c r="G2072">
        <v>3</v>
      </c>
      <c r="H2072" s="21">
        <v>1013.95</v>
      </c>
      <c r="I2072">
        <v>0</v>
      </c>
      <c r="J2072" s="21">
        <v>0</v>
      </c>
      <c r="K2072">
        <v>12</v>
      </c>
      <c r="L2072" s="21">
        <v>365.02</v>
      </c>
      <c r="M2072" s="21">
        <v>3406.87</v>
      </c>
      <c r="N2072" s="21">
        <v>2087.0100000000002</v>
      </c>
      <c r="O2072" s="21">
        <v>954.84</v>
      </c>
      <c r="P2072" t="s">
        <v>121</v>
      </c>
      <c r="Q2072" t="s">
        <v>122</v>
      </c>
      <c r="R2072" t="s">
        <v>151</v>
      </c>
      <c r="S2072" t="s">
        <v>690</v>
      </c>
      <c r="T2072" t="s">
        <v>161</v>
      </c>
      <c r="U2072" t="s">
        <v>154</v>
      </c>
      <c r="V2072" t="str">
        <f>IFERROR(INDEX(Products!$C:$C,MATCH(D2072,Products!$A:$A,0)),"Unknown")</f>
        <v>Handbags</v>
      </c>
      <c r="W2072" t="str">
        <f>IFERROR(INDEX(Products!$E:$E,MATCH(D2072,Products!$A:$A,0)),"Unknown")</f>
        <v>W for Woman</v>
      </c>
      <c r="X2072" t="str">
        <f>IFERROR(INDEX(Stores!$B:$B,MATCH(E2072,Stores!$A:$A,0)),"Unknown")</f>
        <v>TrendMart Thoothukudi Flagship</v>
      </c>
      <c r="Y2072" t="str">
        <f>IFERROR(INDEX(Stores!$E:$E,MATCH(E2072,Stores!$A:$A,0)),"Unknown")</f>
        <v>South Zone 1</v>
      </c>
      <c r="Z2072" t="str">
        <f>IFERROR(INDEX(Customers!$J:$J,MATCH(C2072,Customers!$A:$A,0)),"Unknown")</f>
        <v>Silver</v>
      </c>
      <c r="AA2072" t="str">
        <f t="shared" si="32"/>
        <v>2024-04</v>
      </c>
      <c r="AB2072" t="str">
        <f>IFERROR(INDEX(Products!$I:$I,MATCH(D2072,Products!$A:$A,0)),"Unknown")</f>
        <v>SUP011</v>
      </c>
    </row>
    <row r="2073" spans="1:28" x14ac:dyDescent="0.25">
      <c r="A2073" t="s">
        <v>4083</v>
      </c>
      <c r="B2073" s="20">
        <v>45583</v>
      </c>
      <c r="C2073" t="s">
        <v>1646</v>
      </c>
      <c r="D2073" t="s">
        <v>1088</v>
      </c>
      <c r="E2073" t="s">
        <v>490</v>
      </c>
      <c r="F2073" t="s">
        <v>189</v>
      </c>
      <c r="G2073">
        <v>1</v>
      </c>
      <c r="H2073" s="21">
        <v>845.02</v>
      </c>
      <c r="I2073">
        <v>5</v>
      </c>
      <c r="J2073" s="21">
        <v>42.25</v>
      </c>
      <c r="K2073">
        <v>5</v>
      </c>
      <c r="L2073" s="21">
        <v>40.14</v>
      </c>
      <c r="M2073" s="21">
        <v>842.91</v>
      </c>
      <c r="N2073" s="21">
        <v>599.28</v>
      </c>
      <c r="O2073" s="21">
        <v>203.49</v>
      </c>
      <c r="P2073" t="s">
        <v>121</v>
      </c>
      <c r="Q2073" t="s">
        <v>120</v>
      </c>
      <c r="R2073" t="s">
        <v>151</v>
      </c>
      <c r="S2073" t="s">
        <v>388</v>
      </c>
      <c r="T2073" t="s">
        <v>153</v>
      </c>
      <c r="U2073" t="s">
        <v>154</v>
      </c>
      <c r="V2073" t="str">
        <f>IFERROR(INDEX(Products!$C:$C,MATCH(D2073,Products!$A:$A,0)),"Unknown")</f>
        <v>Women Kurtis</v>
      </c>
      <c r="W2073" t="str">
        <f>IFERROR(INDEX(Products!$E:$E,MATCH(D2073,Products!$A:$A,0)),"Unknown")</f>
        <v>Metro Shoes</v>
      </c>
      <c r="X2073" t="str">
        <f>IFERROR(INDEX(Stores!$B:$B,MATCH(E2073,Stores!$A:$A,0)),"Unknown")</f>
        <v>TrendMart Mangaluru Mall Kiosk</v>
      </c>
      <c r="Y2073" t="str">
        <f>IFERROR(INDEX(Stores!$E:$E,MATCH(E2073,Stores!$A:$A,0)),"Unknown")</f>
        <v>South Zone 2</v>
      </c>
      <c r="Z2073" t="str">
        <f>IFERROR(INDEX(Customers!$J:$J,MATCH(C2073,Customers!$A:$A,0)),"Unknown")</f>
        <v>Regular</v>
      </c>
      <c r="AA2073" t="str">
        <f t="shared" si="32"/>
        <v>2024-10</v>
      </c>
      <c r="AB2073" t="str">
        <f>IFERROR(INDEX(Products!$I:$I,MATCH(D2073,Products!$A:$A,0)),"Unknown")</f>
        <v>SUP045</v>
      </c>
    </row>
    <row r="2074" spans="1:28" x14ac:dyDescent="0.25">
      <c r="A2074" t="s">
        <v>4084</v>
      </c>
      <c r="B2074" s="20">
        <v>45708</v>
      </c>
      <c r="C2074" t="s">
        <v>3081</v>
      </c>
      <c r="D2074" t="s">
        <v>1877</v>
      </c>
      <c r="E2074" t="s">
        <v>84</v>
      </c>
      <c r="F2074" t="s">
        <v>182</v>
      </c>
      <c r="G2074">
        <v>1</v>
      </c>
      <c r="H2074" s="21">
        <v>1663.88</v>
      </c>
      <c r="I2074">
        <v>15</v>
      </c>
      <c r="J2074" s="21">
        <v>249.58</v>
      </c>
      <c r="K2074">
        <v>12</v>
      </c>
      <c r="L2074" s="21">
        <v>169.72</v>
      </c>
      <c r="M2074" s="21">
        <v>1584.02</v>
      </c>
      <c r="N2074" s="21">
        <v>1331.55</v>
      </c>
      <c r="O2074" s="21">
        <v>82.75</v>
      </c>
      <c r="P2074" t="s">
        <v>125</v>
      </c>
      <c r="Q2074" t="s">
        <v>120</v>
      </c>
      <c r="R2074" t="s">
        <v>151</v>
      </c>
      <c r="S2074" t="s">
        <v>876</v>
      </c>
      <c r="T2074" t="s">
        <v>153</v>
      </c>
      <c r="U2074" t="s">
        <v>154</v>
      </c>
      <c r="V2074" t="str">
        <f>IFERROR(INDEX(Products!$C:$C,MATCH(D2074,Products!$A:$A,0)),"Unknown")</f>
        <v>Women Sarees</v>
      </c>
      <c r="W2074" t="str">
        <f>IFERROR(INDEX(Products!$E:$E,MATCH(D2074,Products!$A:$A,0)),"Unknown")</f>
        <v>Sonata</v>
      </c>
      <c r="X2074" t="str">
        <f>IFERROR(INDEX(Stores!$B:$B,MATCH(E2074,Stores!$A:$A,0)),"Unknown")</f>
        <v>TrendMart Tirupati Standard</v>
      </c>
      <c r="Y2074" t="str">
        <f>IFERROR(INDEX(Stores!$E:$E,MATCH(E2074,Stores!$A:$A,0)),"Unknown")</f>
        <v>South Zone 3</v>
      </c>
      <c r="Z2074" t="str">
        <f>IFERROR(INDEX(Customers!$J:$J,MATCH(C2074,Customers!$A:$A,0)),"Unknown")</f>
        <v>Silver</v>
      </c>
      <c r="AA2074" t="str">
        <f t="shared" si="32"/>
        <v>2025-02</v>
      </c>
      <c r="AB2074" t="str">
        <f>IFERROR(INDEX(Products!$I:$I,MATCH(D2074,Products!$A:$A,0)),"Unknown")</f>
        <v>SUP073</v>
      </c>
    </row>
    <row r="2075" spans="1:28" x14ac:dyDescent="0.25">
      <c r="A2075" t="s">
        <v>4085</v>
      </c>
      <c r="B2075" s="20">
        <v>45542</v>
      </c>
      <c r="C2075" t="s">
        <v>2902</v>
      </c>
      <c r="D2075" t="s">
        <v>658</v>
      </c>
      <c r="E2075" t="s">
        <v>506</v>
      </c>
      <c r="F2075" t="s">
        <v>201</v>
      </c>
      <c r="G2075">
        <v>4</v>
      </c>
      <c r="H2075" s="21">
        <v>315.19</v>
      </c>
      <c r="I2075">
        <v>30</v>
      </c>
      <c r="J2075" s="21">
        <v>378.23</v>
      </c>
      <c r="K2075">
        <v>5</v>
      </c>
      <c r="L2075" s="21">
        <v>44.13</v>
      </c>
      <c r="M2075" s="21">
        <v>926.66</v>
      </c>
      <c r="N2075" s="21">
        <v>687.6</v>
      </c>
      <c r="O2075" s="21">
        <v>194.93</v>
      </c>
      <c r="P2075" t="s">
        <v>124</v>
      </c>
      <c r="Q2075" t="s">
        <v>122</v>
      </c>
      <c r="R2075" t="s">
        <v>151</v>
      </c>
      <c r="S2075" t="s">
        <v>2950</v>
      </c>
      <c r="T2075" t="s">
        <v>161</v>
      </c>
      <c r="U2075" t="s">
        <v>154</v>
      </c>
      <c r="V2075" t="str">
        <f>IFERROR(INDEX(Products!$C:$C,MATCH(D2075,Products!$A:$A,0)),"Unknown")</f>
        <v>Accessories</v>
      </c>
      <c r="W2075" t="str">
        <f>IFERROR(INDEX(Products!$E:$E,MATCH(D2075,Products!$A:$A,0)),"Unknown")</f>
        <v>Flying Machine</v>
      </c>
      <c r="X2075" t="str">
        <f>IFERROR(INDEX(Stores!$B:$B,MATCH(E2075,Stores!$A:$A,0)),"Unknown")</f>
        <v>TrendMart Nellore High Street</v>
      </c>
      <c r="Y2075" t="str">
        <f>IFERROR(INDEX(Stores!$E:$E,MATCH(E2075,Stores!$A:$A,0)),"Unknown")</f>
        <v>South Zone 3</v>
      </c>
      <c r="Z2075" t="str">
        <f>IFERROR(INDEX(Customers!$J:$J,MATCH(C2075,Customers!$A:$A,0)),"Unknown")</f>
        <v>Regular</v>
      </c>
      <c r="AA2075" t="str">
        <f t="shared" si="32"/>
        <v>2024-09</v>
      </c>
      <c r="AB2075" t="str">
        <f>IFERROR(INDEX(Products!$I:$I,MATCH(D2075,Products!$A:$A,0)),"Unknown")</f>
        <v>SUP002</v>
      </c>
    </row>
    <row r="2076" spans="1:28" x14ac:dyDescent="0.25">
      <c r="A2076" t="s">
        <v>4086</v>
      </c>
      <c r="B2076" s="20">
        <v>45388</v>
      </c>
      <c r="C2076" t="s">
        <v>1284</v>
      </c>
      <c r="D2076" t="s">
        <v>1816</v>
      </c>
      <c r="E2076" t="s">
        <v>1681</v>
      </c>
      <c r="F2076" t="s">
        <v>263</v>
      </c>
      <c r="G2076">
        <v>1</v>
      </c>
      <c r="H2076" s="21">
        <v>1444.5</v>
      </c>
      <c r="I2076">
        <v>0</v>
      </c>
      <c r="J2076" s="21">
        <v>0</v>
      </c>
      <c r="K2076">
        <v>12</v>
      </c>
      <c r="L2076" s="21">
        <v>173.34</v>
      </c>
      <c r="M2076" s="21">
        <v>1617.84</v>
      </c>
      <c r="N2076" s="21">
        <v>906.3</v>
      </c>
      <c r="O2076" s="21">
        <v>538.20000000000005</v>
      </c>
      <c r="P2076" t="s">
        <v>123</v>
      </c>
      <c r="Q2076" t="s">
        <v>120</v>
      </c>
      <c r="R2076" t="s">
        <v>151</v>
      </c>
      <c r="S2076" t="s">
        <v>2584</v>
      </c>
      <c r="T2076" t="s">
        <v>161</v>
      </c>
      <c r="U2076" t="s">
        <v>154</v>
      </c>
      <c r="V2076" t="str">
        <f>IFERROR(INDEX(Products!$C:$C,MATCH(D2076,Products!$A:$A,0)),"Unknown")</f>
        <v>Wallets</v>
      </c>
      <c r="W2076" t="str">
        <f>IFERROR(INDEX(Products!$E:$E,MATCH(D2076,Products!$A:$A,0)),"Unknown")</f>
        <v>Louis Philippe</v>
      </c>
      <c r="X2076" t="str">
        <f>IFERROR(INDEX(Stores!$B:$B,MATCH(E2076,Stores!$A:$A,0)),"Unknown")</f>
        <v>TrendMart Warangal Standard</v>
      </c>
      <c r="Y2076" t="str">
        <f>IFERROR(INDEX(Stores!$E:$E,MATCH(E2076,Stores!$A:$A,0)),"Unknown")</f>
        <v>South Zone 2</v>
      </c>
      <c r="Z2076" t="str">
        <f>IFERROR(INDEX(Customers!$J:$J,MATCH(C2076,Customers!$A:$A,0)),"Unknown")</f>
        <v>Regular</v>
      </c>
      <c r="AA2076" t="str">
        <f t="shared" si="32"/>
        <v>2024-04</v>
      </c>
      <c r="AB2076" t="str">
        <f>IFERROR(INDEX(Products!$I:$I,MATCH(D2076,Products!$A:$A,0)),"Unknown")</f>
        <v>SUP076</v>
      </c>
    </row>
    <row r="2077" spans="1:28" x14ac:dyDescent="0.25">
      <c r="A2077" t="s">
        <v>4087</v>
      </c>
      <c r="B2077" s="20">
        <v>45498</v>
      </c>
      <c r="C2077" t="s">
        <v>1418</v>
      </c>
      <c r="D2077" t="s">
        <v>225</v>
      </c>
      <c r="E2077" t="s">
        <v>241</v>
      </c>
      <c r="F2077" t="s">
        <v>550</v>
      </c>
      <c r="G2077">
        <v>1</v>
      </c>
      <c r="H2077" s="21">
        <v>1835.19</v>
      </c>
      <c r="I2077">
        <v>0</v>
      </c>
      <c r="J2077" s="21">
        <v>0</v>
      </c>
      <c r="K2077">
        <v>12</v>
      </c>
      <c r="L2077" s="21">
        <v>220.22</v>
      </c>
      <c r="M2077" s="21">
        <v>2055.41</v>
      </c>
      <c r="N2077" s="21">
        <v>1407.33</v>
      </c>
      <c r="O2077" s="21">
        <v>427.86</v>
      </c>
      <c r="P2077" t="s">
        <v>123</v>
      </c>
      <c r="Q2077" t="s">
        <v>120</v>
      </c>
      <c r="R2077" t="s">
        <v>151</v>
      </c>
      <c r="S2077" t="s">
        <v>2900</v>
      </c>
      <c r="T2077" t="s">
        <v>153</v>
      </c>
      <c r="U2077" t="s">
        <v>154</v>
      </c>
      <c r="V2077" t="str">
        <f>IFERROR(INDEX(Products!$C:$C,MATCH(D2077,Products!$A:$A,0)),"Unknown")</f>
        <v>Women Dresses</v>
      </c>
      <c r="W2077" t="str">
        <f>IFERROR(INDEX(Products!$E:$E,MATCH(D2077,Products!$A:$A,0)),"Unknown")</f>
        <v>Tanishq</v>
      </c>
      <c r="X2077" t="str">
        <f>IFERROR(INDEX(Stores!$B:$B,MATCH(E2077,Stores!$A:$A,0)),"Unknown")</f>
        <v>TrendMart Nizamabad Mall Kiosk</v>
      </c>
      <c r="Y2077" t="str">
        <f>IFERROR(INDEX(Stores!$E:$E,MATCH(E2077,Stores!$A:$A,0)),"Unknown")</f>
        <v>South Zone 2</v>
      </c>
      <c r="Z2077" t="str">
        <f>IFERROR(INDEX(Customers!$J:$J,MATCH(C2077,Customers!$A:$A,0)),"Unknown")</f>
        <v>Regular</v>
      </c>
      <c r="AA2077" t="str">
        <f t="shared" si="32"/>
        <v>2024-07</v>
      </c>
      <c r="AB2077" t="str">
        <f>IFERROR(INDEX(Products!$I:$I,MATCH(D2077,Products!$A:$A,0)),"Unknown")</f>
        <v>SUP063</v>
      </c>
    </row>
    <row r="2078" spans="1:28" x14ac:dyDescent="0.25">
      <c r="A2078" t="s">
        <v>4088</v>
      </c>
      <c r="B2078" s="20">
        <v>45569</v>
      </c>
      <c r="C2078" t="s">
        <v>3724</v>
      </c>
      <c r="D2078" t="s">
        <v>279</v>
      </c>
      <c r="E2078" t="s">
        <v>88</v>
      </c>
      <c r="F2078" t="s">
        <v>443</v>
      </c>
      <c r="G2078">
        <v>1</v>
      </c>
      <c r="H2078" s="21">
        <v>3220.89</v>
      </c>
      <c r="I2078">
        <v>10</v>
      </c>
      <c r="J2078" s="21">
        <v>322.08999999999997</v>
      </c>
      <c r="K2078">
        <v>12</v>
      </c>
      <c r="L2078" s="21">
        <v>347.86</v>
      </c>
      <c r="M2078" s="21">
        <v>3246.66</v>
      </c>
      <c r="N2078" s="21">
        <v>2069.33</v>
      </c>
      <c r="O2078" s="21">
        <v>829.47</v>
      </c>
      <c r="P2078" t="s">
        <v>127</v>
      </c>
      <c r="Q2078" t="s">
        <v>120</v>
      </c>
      <c r="R2078" t="s">
        <v>151</v>
      </c>
      <c r="S2078" t="s">
        <v>3773</v>
      </c>
      <c r="T2078" t="s">
        <v>153</v>
      </c>
      <c r="U2078" t="s">
        <v>154</v>
      </c>
      <c r="V2078" t="str">
        <f>IFERROR(INDEX(Products!$C:$C,MATCH(D2078,Products!$A:$A,0)),"Unknown")</f>
        <v>Handbags</v>
      </c>
      <c r="W2078" t="str">
        <f>IFERROR(INDEX(Products!$E:$E,MATCH(D2078,Products!$A:$A,0)),"Unknown")</f>
        <v>Westside</v>
      </c>
      <c r="X2078" t="str">
        <f>IFERROR(INDEX(Stores!$B:$B,MATCH(E2078,Stores!$A:$A,0)),"Unknown")</f>
        <v>TrendMart Kozhikode Mall Kiosk</v>
      </c>
      <c r="Y2078" t="str">
        <f>IFERROR(INDEX(Stores!$E:$E,MATCH(E2078,Stores!$A:$A,0)),"Unknown")</f>
        <v>South Zone 1</v>
      </c>
      <c r="Z2078" t="str">
        <f>IFERROR(INDEX(Customers!$J:$J,MATCH(C2078,Customers!$A:$A,0)),"Unknown")</f>
        <v>Silver</v>
      </c>
      <c r="AA2078" t="str">
        <f t="shared" si="32"/>
        <v>2024-10</v>
      </c>
      <c r="AB2078" t="str">
        <f>IFERROR(INDEX(Products!$I:$I,MATCH(D2078,Products!$A:$A,0)),"Unknown")</f>
        <v>SUP066</v>
      </c>
    </row>
    <row r="2079" spans="1:28" x14ac:dyDescent="0.25">
      <c r="A2079" t="s">
        <v>4089</v>
      </c>
      <c r="B2079" s="20">
        <v>45457</v>
      </c>
      <c r="C2079" t="s">
        <v>3040</v>
      </c>
      <c r="D2079" t="s">
        <v>376</v>
      </c>
      <c r="E2079" t="s">
        <v>525</v>
      </c>
      <c r="F2079" t="s">
        <v>232</v>
      </c>
      <c r="G2079">
        <v>3</v>
      </c>
      <c r="H2079" s="21">
        <v>1419.34</v>
      </c>
      <c r="I2079">
        <v>15</v>
      </c>
      <c r="J2079" s="21">
        <v>638.70000000000005</v>
      </c>
      <c r="K2079">
        <v>12</v>
      </c>
      <c r="L2079" s="21">
        <v>434.32</v>
      </c>
      <c r="M2079" s="21">
        <v>4053.64</v>
      </c>
      <c r="N2079" s="21">
        <v>3075.72</v>
      </c>
      <c r="O2079" s="21">
        <v>543.6</v>
      </c>
      <c r="P2079" t="s">
        <v>125</v>
      </c>
      <c r="Q2079" t="s">
        <v>122</v>
      </c>
      <c r="R2079" t="s">
        <v>151</v>
      </c>
      <c r="S2079" t="s">
        <v>1053</v>
      </c>
      <c r="T2079" t="s">
        <v>153</v>
      </c>
      <c r="U2079" t="s">
        <v>154</v>
      </c>
      <c r="V2079" t="str">
        <f>IFERROR(INDEX(Products!$C:$C,MATCH(D2079,Products!$A:$A,0)),"Unknown")</f>
        <v>Women Jeans</v>
      </c>
      <c r="W2079" t="str">
        <f>IFERROR(INDEX(Products!$E:$E,MATCH(D2079,Products!$A:$A,0)),"Unknown")</f>
        <v>Pothys</v>
      </c>
      <c r="X2079" t="str">
        <f>IFERROR(INDEX(Stores!$B:$B,MATCH(E2079,Stores!$A:$A,0)),"Unknown")</f>
        <v>TrendMart Kollam Standard</v>
      </c>
      <c r="Y2079" t="str">
        <f>IFERROR(INDEX(Stores!$E:$E,MATCH(E2079,Stores!$A:$A,0)),"Unknown")</f>
        <v>South Zone 1</v>
      </c>
      <c r="Z2079" t="str">
        <f>IFERROR(INDEX(Customers!$J:$J,MATCH(C2079,Customers!$A:$A,0)),"Unknown")</f>
        <v>Platinum</v>
      </c>
      <c r="AA2079" t="str">
        <f t="shared" si="32"/>
        <v>2024-06</v>
      </c>
      <c r="AB2079" t="str">
        <f>IFERROR(INDEX(Products!$I:$I,MATCH(D2079,Products!$A:$A,0)),"Unknown")</f>
        <v>SUP015</v>
      </c>
    </row>
    <row r="2080" spans="1:28" x14ac:dyDescent="0.25">
      <c r="A2080" t="s">
        <v>4090</v>
      </c>
      <c r="B2080" s="20">
        <v>45741</v>
      </c>
      <c r="C2080" t="s">
        <v>1770</v>
      </c>
      <c r="D2080" t="s">
        <v>2633</v>
      </c>
      <c r="E2080" t="s">
        <v>252</v>
      </c>
      <c r="F2080" t="s">
        <v>532</v>
      </c>
      <c r="G2080">
        <v>1</v>
      </c>
      <c r="H2080" s="21">
        <v>1023.34</v>
      </c>
      <c r="I2080">
        <v>0</v>
      </c>
      <c r="J2080" s="21">
        <v>0</v>
      </c>
      <c r="K2080">
        <v>12</v>
      </c>
      <c r="L2080" s="21">
        <v>122.8</v>
      </c>
      <c r="M2080" s="21">
        <v>1146.1400000000001</v>
      </c>
      <c r="N2080" s="21">
        <v>674.29</v>
      </c>
      <c r="O2080" s="21">
        <v>349.05</v>
      </c>
      <c r="P2080" t="s">
        <v>123</v>
      </c>
      <c r="Q2080" t="s">
        <v>120</v>
      </c>
      <c r="R2080" t="s">
        <v>151</v>
      </c>
      <c r="S2080" t="s">
        <v>1845</v>
      </c>
      <c r="T2080" t="s">
        <v>153</v>
      </c>
      <c r="U2080" t="s">
        <v>154</v>
      </c>
      <c r="V2080" t="str">
        <f>IFERROR(INDEX(Products!$C:$C,MATCH(D2080,Products!$A:$A,0)),"Unknown")</f>
        <v>Men Trousers</v>
      </c>
      <c r="W2080" t="str">
        <f>IFERROR(INDEX(Products!$E:$E,MATCH(D2080,Products!$A:$A,0)),"Unknown")</f>
        <v>Aurelia</v>
      </c>
      <c r="X2080" t="str">
        <f>IFERROR(INDEX(Stores!$B:$B,MATCH(E2080,Stores!$A:$A,0)),"Unknown")</f>
        <v>TrendMart Nellore Standard</v>
      </c>
      <c r="Y2080" t="str">
        <f>IFERROR(INDEX(Stores!$E:$E,MATCH(E2080,Stores!$A:$A,0)),"Unknown")</f>
        <v>South Zone 3</v>
      </c>
      <c r="Z2080" t="str">
        <f>IFERROR(INDEX(Customers!$J:$J,MATCH(C2080,Customers!$A:$A,0)),"Unknown")</f>
        <v>Silver</v>
      </c>
      <c r="AA2080" t="str">
        <f t="shared" si="32"/>
        <v>2025-03</v>
      </c>
      <c r="AB2080" t="str">
        <f>IFERROR(INDEX(Products!$I:$I,MATCH(D2080,Products!$A:$A,0)),"Unknown")</f>
        <v>SUP031</v>
      </c>
    </row>
    <row r="2081" spans="1:28" x14ac:dyDescent="0.25">
      <c r="A2081" t="s">
        <v>4091</v>
      </c>
      <c r="B2081" s="20">
        <v>45551</v>
      </c>
      <c r="C2081" t="s">
        <v>1210</v>
      </c>
      <c r="D2081" t="s">
        <v>407</v>
      </c>
      <c r="E2081" t="s">
        <v>914</v>
      </c>
      <c r="F2081" t="s">
        <v>516</v>
      </c>
      <c r="G2081">
        <v>3</v>
      </c>
      <c r="H2081" s="21">
        <v>1209.81</v>
      </c>
      <c r="I2081">
        <v>25</v>
      </c>
      <c r="J2081" s="21">
        <v>907.36</v>
      </c>
      <c r="K2081">
        <v>12</v>
      </c>
      <c r="L2081" s="21">
        <v>326.64999999999998</v>
      </c>
      <c r="M2081" s="21">
        <v>3048.72</v>
      </c>
      <c r="N2081" s="21">
        <v>2407.92</v>
      </c>
      <c r="O2081" s="21">
        <v>314.14999999999998</v>
      </c>
      <c r="P2081" t="s">
        <v>127</v>
      </c>
      <c r="Q2081" t="s">
        <v>122</v>
      </c>
      <c r="R2081" t="s">
        <v>151</v>
      </c>
      <c r="S2081" t="s">
        <v>4092</v>
      </c>
      <c r="T2081" t="s">
        <v>153</v>
      </c>
      <c r="U2081" t="s">
        <v>154</v>
      </c>
      <c r="V2081" t="str">
        <f>IFERROR(INDEX(Products!$C:$C,MATCH(D2081,Products!$A:$A,0)),"Unknown")</f>
        <v>Winter Wear</v>
      </c>
      <c r="W2081" t="str">
        <f>IFERROR(INDEX(Products!$E:$E,MATCH(D2081,Products!$A:$A,0)),"Unknown")</f>
        <v>Metro Shoes</v>
      </c>
      <c r="X2081" t="str">
        <f>IFERROR(INDEX(Stores!$B:$B,MATCH(E2081,Stores!$A:$A,0)),"Unknown")</f>
        <v>TrendMart Thiruvananthapuram Outlet</v>
      </c>
      <c r="Y2081" t="str">
        <f>IFERROR(INDEX(Stores!$E:$E,MATCH(E2081,Stores!$A:$A,0)),"Unknown")</f>
        <v>South Zone 1</v>
      </c>
      <c r="Z2081" t="str">
        <f>IFERROR(INDEX(Customers!$J:$J,MATCH(C2081,Customers!$A:$A,0)),"Unknown")</f>
        <v>Gold</v>
      </c>
      <c r="AA2081" t="str">
        <f t="shared" si="32"/>
        <v>2024-09</v>
      </c>
      <c r="AB2081" t="str">
        <f>IFERROR(INDEX(Products!$I:$I,MATCH(D2081,Products!$A:$A,0)),"Unknown")</f>
        <v>SUP067</v>
      </c>
    </row>
    <row r="2082" spans="1:28" x14ac:dyDescent="0.25">
      <c r="A2082" t="s">
        <v>4093</v>
      </c>
      <c r="B2082" s="20">
        <v>45612</v>
      </c>
      <c r="C2082" t="s">
        <v>2735</v>
      </c>
      <c r="D2082" t="s">
        <v>1160</v>
      </c>
      <c r="E2082" t="s">
        <v>667</v>
      </c>
      <c r="F2082" t="s">
        <v>286</v>
      </c>
      <c r="G2082">
        <v>1</v>
      </c>
      <c r="H2082" s="21">
        <v>1681.56</v>
      </c>
      <c r="I2082">
        <v>0</v>
      </c>
      <c r="J2082" s="21">
        <v>0</v>
      </c>
      <c r="K2082">
        <v>12</v>
      </c>
      <c r="L2082" s="21">
        <v>201.79</v>
      </c>
      <c r="M2082" s="21">
        <v>1883.35</v>
      </c>
      <c r="N2082" s="21">
        <v>975.36</v>
      </c>
      <c r="O2082" s="21">
        <v>706.2</v>
      </c>
      <c r="P2082" t="s">
        <v>121</v>
      </c>
      <c r="Q2082" t="s">
        <v>120</v>
      </c>
      <c r="R2082" t="s">
        <v>151</v>
      </c>
      <c r="S2082" t="s">
        <v>4094</v>
      </c>
      <c r="T2082" t="s">
        <v>161</v>
      </c>
      <c r="U2082" t="s">
        <v>154</v>
      </c>
      <c r="V2082" t="str">
        <f>IFERROR(INDEX(Products!$C:$C,MATCH(D2082,Products!$A:$A,0)),"Unknown")</f>
        <v>Men Jeans</v>
      </c>
      <c r="W2082" t="str">
        <f>IFERROR(INDEX(Products!$E:$E,MATCH(D2082,Products!$A:$A,0)),"Unknown")</f>
        <v>Skechers</v>
      </c>
      <c r="X2082" t="str">
        <f>IFERROR(INDEX(Stores!$B:$B,MATCH(E2082,Stores!$A:$A,0)),"Unknown")</f>
        <v>TrendMart Hyderabad High Street</v>
      </c>
      <c r="Y2082" t="str">
        <f>IFERROR(INDEX(Stores!$E:$E,MATCH(E2082,Stores!$A:$A,0)),"Unknown")</f>
        <v>South Zone 2</v>
      </c>
      <c r="Z2082" t="str">
        <f>IFERROR(INDEX(Customers!$J:$J,MATCH(C2082,Customers!$A:$A,0)),"Unknown")</f>
        <v>Silver</v>
      </c>
      <c r="AA2082" t="str">
        <f t="shared" si="32"/>
        <v>2024-11</v>
      </c>
      <c r="AB2082" t="str">
        <f>IFERROR(INDEX(Products!$I:$I,MATCH(D2082,Products!$A:$A,0)),"Unknown")</f>
        <v>SUP013</v>
      </c>
    </row>
    <row r="2083" spans="1:28" x14ac:dyDescent="0.25">
      <c r="A2083" t="s">
        <v>4095</v>
      </c>
      <c r="B2083" s="20">
        <v>45719</v>
      </c>
      <c r="C2083" t="s">
        <v>1562</v>
      </c>
      <c r="D2083" t="s">
        <v>494</v>
      </c>
      <c r="E2083" t="s">
        <v>82</v>
      </c>
      <c r="F2083" t="s">
        <v>159</v>
      </c>
      <c r="G2083">
        <v>3</v>
      </c>
      <c r="H2083" s="21">
        <v>1742.57</v>
      </c>
      <c r="I2083">
        <v>25</v>
      </c>
      <c r="J2083" s="21">
        <v>1306.93</v>
      </c>
      <c r="K2083">
        <v>12</v>
      </c>
      <c r="L2083" s="21">
        <v>470.49</v>
      </c>
      <c r="M2083" s="21">
        <v>4391.2700000000004</v>
      </c>
      <c r="N2083" s="21">
        <v>3422.7</v>
      </c>
      <c r="O2083" s="21">
        <v>498.08</v>
      </c>
      <c r="P2083" t="s">
        <v>121</v>
      </c>
      <c r="Q2083" t="s">
        <v>120</v>
      </c>
      <c r="R2083" t="s">
        <v>151</v>
      </c>
      <c r="S2083" t="s">
        <v>686</v>
      </c>
      <c r="T2083" t="s">
        <v>153</v>
      </c>
      <c r="U2083" t="s">
        <v>154</v>
      </c>
      <c r="V2083" t="str">
        <f>IFERROR(INDEX(Products!$C:$C,MATCH(D2083,Products!$A:$A,0)),"Unknown")</f>
        <v>Women Dresses</v>
      </c>
      <c r="W2083" t="str">
        <f>IFERROR(INDEX(Products!$E:$E,MATCH(D2083,Products!$A:$A,0)),"Unknown")</f>
        <v>Reebok</v>
      </c>
      <c r="X2083" t="str">
        <f>IFERROR(INDEX(Stores!$B:$B,MATCH(E2083,Stores!$A:$A,0)),"Unknown")</f>
        <v>TrendMart Kochi High Street</v>
      </c>
      <c r="Y2083" t="str">
        <f>IFERROR(INDEX(Stores!$E:$E,MATCH(E2083,Stores!$A:$A,0)),"Unknown")</f>
        <v>South Zone 1</v>
      </c>
      <c r="Z2083" t="str">
        <f>IFERROR(INDEX(Customers!$J:$J,MATCH(C2083,Customers!$A:$A,0)),"Unknown")</f>
        <v>Regular</v>
      </c>
      <c r="AA2083" t="str">
        <f t="shared" si="32"/>
        <v>2025-03</v>
      </c>
      <c r="AB2083" t="str">
        <f>IFERROR(INDEX(Products!$I:$I,MATCH(D2083,Products!$A:$A,0)),"Unknown")</f>
        <v>SUP085</v>
      </c>
    </row>
    <row r="2084" spans="1:28" x14ac:dyDescent="0.25">
      <c r="A2084" t="s">
        <v>4096</v>
      </c>
      <c r="B2084" s="20">
        <v>45432</v>
      </c>
      <c r="C2084" t="s">
        <v>1761</v>
      </c>
      <c r="D2084" t="s">
        <v>650</v>
      </c>
      <c r="E2084" t="s">
        <v>806</v>
      </c>
      <c r="F2084" t="s">
        <v>211</v>
      </c>
      <c r="G2084">
        <v>1</v>
      </c>
      <c r="H2084" s="21">
        <v>1842.61</v>
      </c>
      <c r="I2084">
        <v>25</v>
      </c>
      <c r="J2084" s="21">
        <v>460.65</v>
      </c>
      <c r="K2084">
        <v>12</v>
      </c>
      <c r="L2084" s="21">
        <v>165.84</v>
      </c>
      <c r="M2084" s="21">
        <v>1547.8</v>
      </c>
      <c r="N2084" s="21">
        <v>1409.12</v>
      </c>
      <c r="O2084" s="21">
        <v>-27.16</v>
      </c>
      <c r="P2084" t="s">
        <v>126</v>
      </c>
      <c r="Q2084" t="s">
        <v>120</v>
      </c>
      <c r="R2084" t="s">
        <v>151</v>
      </c>
      <c r="S2084" t="s">
        <v>1235</v>
      </c>
      <c r="T2084" t="s">
        <v>153</v>
      </c>
      <c r="U2084" t="s">
        <v>184</v>
      </c>
      <c r="V2084" t="str">
        <f>IFERROR(INDEX(Products!$C:$C,MATCH(D2084,Products!$A:$A,0)),"Unknown")</f>
        <v>Winter Wear</v>
      </c>
      <c r="W2084" t="str">
        <f>IFERROR(INDEX(Products!$E:$E,MATCH(D2084,Products!$A:$A,0)),"Unknown")</f>
        <v>Mufti</v>
      </c>
      <c r="X2084" t="str">
        <f>IFERROR(INDEX(Stores!$B:$B,MATCH(E2084,Stores!$A:$A,0)),"Unknown")</f>
        <v>TrendMart Tirunelveli Flagship</v>
      </c>
      <c r="Y2084" t="str">
        <f>IFERROR(INDEX(Stores!$E:$E,MATCH(E2084,Stores!$A:$A,0)),"Unknown")</f>
        <v>South Zone 1</v>
      </c>
      <c r="Z2084" t="str">
        <f>IFERROR(INDEX(Customers!$J:$J,MATCH(C2084,Customers!$A:$A,0)),"Unknown")</f>
        <v>Platinum</v>
      </c>
      <c r="AA2084" t="str">
        <f t="shared" si="32"/>
        <v>2024-05</v>
      </c>
      <c r="AB2084" t="str">
        <f>IFERROR(INDEX(Products!$I:$I,MATCH(D2084,Products!$A:$A,0)),"Unknown")</f>
        <v>SUP078</v>
      </c>
    </row>
    <row r="2085" spans="1:28" x14ac:dyDescent="0.25">
      <c r="A2085" t="s">
        <v>4097</v>
      </c>
      <c r="B2085" s="20">
        <v>45600</v>
      </c>
      <c r="C2085" t="s">
        <v>163</v>
      </c>
      <c r="D2085" t="s">
        <v>157</v>
      </c>
      <c r="E2085" t="s">
        <v>515</v>
      </c>
      <c r="F2085" t="s">
        <v>237</v>
      </c>
      <c r="G2085">
        <v>4</v>
      </c>
      <c r="H2085" s="21">
        <v>790.29</v>
      </c>
      <c r="I2085">
        <v>0</v>
      </c>
      <c r="J2085" s="21">
        <v>0</v>
      </c>
      <c r="K2085">
        <v>5</v>
      </c>
      <c r="L2085" s="21">
        <v>158.06</v>
      </c>
      <c r="M2085" s="21">
        <v>3319.22</v>
      </c>
      <c r="N2085" s="21">
        <v>1968.44</v>
      </c>
      <c r="O2085" s="21">
        <v>1192.72</v>
      </c>
      <c r="P2085" t="s">
        <v>121</v>
      </c>
      <c r="Q2085" t="s">
        <v>122</v>
      </c>
      <c r="R2085" t="s">
        <v>151</v>
      </c>
      <c r="S2085" t="s">
        <v>1027</v>
      </c>
      <c r="T2085" t="s">
        <v>153</v>
      </c>
      <c r="U2085" t="s">
        <v>154</v>
      </c>
      <c r="V2085" t="str">
        <f>IFERROR(INDEX(Products!$C:$C,MATCH(D2085,Products!$A:$A,0)),"Unknown")</f>
        <v>Men T-Shirts</v>
      </c>
      <c r="W2085" t="str">
        <f>IFERROR(INDEX(Products!$E:$E,MATCH(D2085,Products!$A:$A,0)),"Unknown")</f>
        <v>Reebok</v>
      </c>
      <c r="X2085" t="str">
        <f>IFERROR(INDEX(Stores!$B:$B,MATCH(E2085,Stores!$A:$A,0)),"Unknown")</f>
        <v>TrendMart Kochi High Street</v>
      </c>
      <c r="Y2085" t="str">
        <f>IFERROR(INDEX(Stores!$E:$E,MATCH(E2085,Stores!$A:$A,0)),"Unknown")</f>
        <v>South Zone 1</v>
      </c>
      <c r="Z2085" t="str">
        <f>IFERROR(INDEX(Customers!$J:$J,MATCH(C2085,Customers!$A:$A,0)),"Unknown")</f>
        <v>Silver</v>
      </c>
      <c r="AA2085" t="str">
        <f t="shared" si="32"/>
        <v>2024-11</v>
      </c>
      <c r="AB2085" t="str">
        <f>IFERROR(INDEX(Products!$I:$I,MATCH(D2085,Products!$A:$A,0)),"Unknown")</f>
        <v>SUP073</v>
      </c>
    </row>
    <row r="2086" spans="1:28" x14ac:dyDescent="0.25">
      <c r="A2086" t="s">
        <v>4098</v>
      </c>
      <c r="B2086" s="20">
        <v>45632</v>
      </c>
      <c r="C2086" t="s">
        <v>2735</v>
      </c>
      <c r="D2086" t="s">
        <v>767</v>
      </c>
      <c r="E2086" t="s">
        <v>477</v>
      </c>
      <c r="F2086" t="s">
        <v>596</v>
      </c>
      <c r="G2086">
        <v>4</v>
      </c>
      <c r="H2086" s="21">
        <v>425.07</v>
      </c>
      <c r="I2086">
        <v>0</v>
      </c>
      <c r="J2086" s="21">
        <v>0</v>
      </c>
      <c r="K2086">
        <v>5</v>
      </c>
      <c r="L2086" s="21">
        <v>85.01</v>
      </c>
      <c r="M2086" s="21">
        <v>1785.29</v>
      </c>
      <c r="N2086" s="21">
        <v>1048.24</v>
      </c>
      <c r="O2086" s="21">
        <v>652.04</v>
      </c>
      <c r="P2086" t="s">
        <v>121</v>
      </c>
      <c r="Q2086" t="s">
        <v>122</v>
      </c>
      <c r="R2086" t="s">
        <v>151</v>
      </c>
      <c r="S2086" t="s">
        <v>1174</v>
      </c>
      <c r="T2086" t="s">
        <v>153</v>
      </c>
      <c r="U2086" t="s">
        <v>154</v>
      </c>
      <c r="V2086" t="str">
        <f>IFERROR(INDEX(Products!$C:$C,MATCH(D2086,Products!$A:$A,0)),"Unknown")</f>
        <v>Men T-Shirts</v>
      </c>
      <c r="W2086" t="str">
        <f>IFERROR(INDEX(Products!$E:$E,MATCH(D2086,Products!$A:$A,0)),"Unknown")</f>
        <v>Skechers</v>
      </c>
      <c r="X2086" t="str">
        <f>IFERROR(INDEX(Stores!$B:$B,MATCH(E2086,Stores!$A:$A,0)),"Unknown")</f>
        <v>TrendMart Hubballi Standard</v>
      </c>
      <c r="Y2086" t="str">
        <f>IFERROR(INDEX(Stores!$E:$E,MATCH(E2086,Stores!$A:$A,0)),"Unknown")</f>
        <v>South Zone 2</v>
      </c>
      <c r="Z2086" t="str">
        <f>IFERROR(INDEX(Customers!$J:$J,MATCH(C2086,Customers!$A:$A,0)),"Unknown")</f>
        <v>Silver</v>
      </c>
      <c r="AA2086" t="str">
        <f t="shared" si="32"/>
        <v>2024-12</v>
      </c>
      <c r="AB2086" t="str">
        <f>IFERROR(INDEX(Products!$I:$I,MATCH(D2086,Products!$A:$A,0)),"Unknown")</f>
        <v>SUP061</v>
      </c>
    </row>
    <row r="2087" spans="1:28" x14ac:dyDescent="0.25">
      <c r="A2087" t="s">
        <v>4099</v>
      </c>
      <c r="B2087" s="20">
        <v>45602</v>
      </c>
      <c r="C2087" t="s">
        <v>2002</v>
      </c>
      <c r="D2087" t="s">
        <v>1920</v>
      </c>
      <c r="E2087" t="s">
        <v>477</v>
      </c>
      <c r="F2087" t="s">
        <v>292</v>
      </c>
      <c r="G2087">
        <v>1</v>
      </c>
      <c r="H2087" s="21">
        <v>871.52</v>
      </c>
      <c r="I2087">
        <v>5</v>
      </c>
      <c r="J2087" s="21">
        <v>43.58</v>
      </c>
      <c r="K2087">
        <v>5</v>
      </c>
      <c r="L2087" s="21">
        <v>41.4</v>
      </c>
      <c r="M2087" s="21">
        <v>869.34</v>
      </c>
      <c r="N2087" s="21">
        <v>535.47</v>
      </c>
      <c r="O2087" s="21">
        <v>292.47000000000003</v>
      </c>
      <c r="P2087" t="s">
        <v>126</v>
      </c>
      <c r="Q2087" t="s">
        <v>122</v>
      </c>
      <c r="R2087" t="s">
        <v>151</v>
      </c>
      <c r="S2087" t="s">
        <v>4100</v>
      </c>
      <c r="T2087" t="s">
        <v>153</v>
      </c>
      <c r="U2087" t="s">
        <v>154</v>
      </c>
      <c r="V2087" t="str">
        <f>IFERROR(INDEX(Products!$C:$C,MATCH(D2087,Products!$A:$A,0)),"Unknown")</f>
        <v>Accessories</v>
      </c>
      <c r="W2087" t="str">
        <f>IFERROR(INDEX(Products!$E:$E,MATCH(D2087,Products!$A:$A,0)),"Unknown")</f>
        <v>Metro Shoes</v>
      </c>
      <c r="X2087" t="str">
        <f>IFERROR(INDEX(Stores!$B:$B,MATCH(E2087,Stores!$A:$A,0)),"Unknown")</f>
        <v>TrendMart Hubballi Standard</v>
      </c>
      <c r="Y2087" t="str">
        <f>IFERROR(INDEX(Stores!$E:$E,MATCH(E2087,Stores!$A:$A,0)),"Unknown")</f>
        <v>South Zone 2</v>
      </c>
      <c r="Z2087" t="str">
        <f>IFERROR(INDEX(Customers!$J:$J,MATCH(C2087,Customers!$A:$A,0)),"Unknown")</f>
        <v>Gold</v>
      </c>
      <c r="AA2087" t="str">
        <f t="shared" si="32"/>
        <v>2024-11</v>
      </c>
      <c r="AB2087" t="str">
        <f>IFERROR(INDEX(Products!$I:$I,MATCH(D2087,Products!$A:$A,0)),"Unknown")</f>
        <v>SUP003</v>
      </c>
    </row>
    <row r="2088" spans="1:28" x14ac:dyDescent="0.25">
      <c r="A2088" t="s">
        <v>4101</v>
      </c>
      <c r="B2088" s="20">
        <v>45579</v>
      </c>
      <c r="C2088" t="s">
        <v>4102</v>
      </c>
      <c r="D2088" t="s">
        <v>1749</v>
      </c>
      <c r="E2088" t="s">
        <v>588</v>
      </c>
      <c r="F2088" t="s">
        <v>344</v>
      </c>
      <c r="G2088">
        <v>2</v>
      </c>
      <c r="H2088" s="21">
        <v>1310.45</v>
      </c>
      <c r="I2088">
        <v>5</v>
      </c>
      <c r="J2088" s="21">
        <v>131.04</v>
      </c>
      <c r="K2088">
        <v>12</v>
      </c>
      <c r="L2088" s="21">
        <v>298.77999999999997</v>
      </c>
      <c r="M2088" s="21">
        <v>2788.64</v>
      </c>
      <c r="N2088" s="21">
        <v>1787.78</v>
      </c>
      <c r="O2088" s="21">
        <v>702.08</v>
      </c>
      <c r="P2088" t="s">
        <v>125</v>
      </c>
      <c r="Q2088" t="s">
        <v>120</v>
      </c>
      <c r="R2088" t="s">
        <v>151</v>
      </c>
      <c r="S2088" t="s">
        <v>2603</v>
      </c>
      <c r="T2088" t="s">
        <v>153</v>
      </c>
      <c r="U2088" t="s">
        <v>154</v>
      </c>
      <c r="V2088" t="str">
        <f>IFERROR(INDEX(Products!$C:$C,MATCH(D2088,Products!$A:$A,0)),"Unknown")</f>
        <v>Sportswear</v>
      </c>
      <c r="W2088" t="str">
        <f>IFERROR(INDEX(Products!$E:$E,MATCH(D2088,Products!$A:$A,0)),"Unknown")</f>
        <v>Pantaloons</v>
      </c>
      <c r="X2088" t="str">
        <f>IFERROR(INDEX(Stores!$B:$B,MATCH(E2088,Stores!$A:$A,0)),"Unknown")</f>
        <v>TrendMart Nizamabad Standard</v>
      </c>
      <c r="Y2088" t="str">
        <f>IFERROR(INDEX(Stores!$E:$E,MATCH(E2088,Stores!$A:$A,0)),"Unknown")</f>
        <v>South Zone 2</v>
      </c>
      <c r="Z2088" t="str">
        <f>IFERROR(INDEX(Customers!$J:$J,MATCH(C2088,Customers!$A:$A,0)),"Unknown")</f>
        <v>Silver</v>
      </c>
      <c r="AA2088" t="str">
        <f t="shared" si="32"/>
        <v>2024-10</v>
      </c>
      <c r="AB2088" t="str">
        <f>IFERROR(INDEX(Products!$I:$I,MATCH(D2088,Products!$A:$A,0)),"Unknown")</f>
        <v>SUP076</v>
      </c>
    </row>
    <row r="2089" spans="1:28" x14ac:dyDescent="0.25">
      <c r="A2089" t="s">
        <v>4103</v>
      </c>
      <c r="B2089" s="20">
        <v>45464</v>
      </c>
      <c r="C2089" t="s">
        <v>1471</v>
      </c>
      <c r="D2089" t="s">
        <v>2039</v>
      </c>
      <c r="E2089" t="s">
        <v>506</v>
      </c>
      <c r="F2089" t="s">
        <v>618</v>
      </c>
      <c r="G2089">
        <v>1</v>
      </c>
      <c r="H2089" s="21">
        <v>3049.84</v>
      </c>
      <c r="I2089">
        <v>30</v>
      </c>
      <c r="J2089" s="21">
        <v>914.95</v>
      </c>
      <c r="K2089">
        <v>12</v>
      </c>
      <c r="L2089" s="21">
        <v>256.19</v>
      </c>
      <c r="M2089" s="21">
        <v>2391.08</v>
      </c>
      <c r="N2089" s="21">
        <v>2078.92</v>
      </c>
      <c r="O2089" s="21">
        <v>55.97</v>
      </c>
      <c r="P2089" t="s">
        <v>126</v>
      </c>
      <c r="Q2089" t="s">
        <v>122</v>
      </c>
      <c r="R2089" t="s">
        <v>151</v>
      </c>
      <c r="S2089" t="s">
        <v>3744</v>
      </c>
      <c r="T2089" t="s">
        <v>153</v>
      </c>
      <c r="U2089" t="s">
        <v>154</v>
      </c>
      <c r="V2089" t="str">
        <f>IFERROR(INDEX(Products!$C:$C,MATCH(D2089,Products!$A:$A,0)),"Unknown")</f>
        <v>Women Sarees</v>
      </c>
      <c r="W2089" t="str">
        <f>IFERROR(INDEX(Products!$E:$E,MATCH(D2089,Products!$A:$A,0)),"Unknown")</f>
        <v>Arrow</v>
      </c>
      <c r="X2089" t="str">
        <f>IFERROR(INDEX(Stores!$B:$B,MATCH(E2089,Stores!$A:$A,0)),"Unknown")</f>
        <v>TrendMart Nellore High Street</v>
      </c>
      <c r="Y2089" t="str">
        <f>IFERROR(INDEX(Stores!$E:$E,MATCH(E2089,Stores!$A:$A,0)),"Unknown")</f>
        <v>South Zone 3</v>
      </c>
      <c r="Z2089" t="str">
        <f>IFERROR(INDEX(Customers!$J:$J,MATCH(C2089,Customers!$A:$A,0)),"Unknown")</f>
        <v>Silver</v>
      </c>
      <c r="AA2089" t="str">
        <f t="shared" si="32"/>
        <v>2024-06</v>
      </c>
      <c r="AB2089" t="str">
        <f>IFERROR(INDEX(Products!$I:$I,MATCH(D2089,Products!$A:$A,0)),"Unknown")</f>
        <v>SUP087</v>
      </c>
    </row>
    <row r="2090" spans="1:28" x14ac:dyDescent="0.25">
      <c r="A2090" t="s">
        <v>4104</v>
      </c>
      <c r="B2090" s="20">
        <v>45570</v>
      </c>
      <c r="C2090" t="s">
        <v>2610</v>
      </c>
      <c r="D2090" t="s">
        <v>801</v>
      </c>
      <c r="E2090" t="s">
        <v>1591</v>
      </c>
      <c r="F2090" t="s">
        <v>281</v>
      </c>
      <c r="G2090">
        <v>3</v>
      </c>
      <c r="H2090" s="21">
        <v>660.92</v>
      </c>
      <c r="I2090">
        <v>10</v>
      </c>
      <c r="J2090" s="21">
        <v>198.28</v>
      </c>
      <c r="K2090">
        <v>5</v>
      </c>
      <c r="L2090" s="21">
        <v>89.22</v>
      </c>
      <c r="M2090" s="21">
        <v>1873.7</v>
      </c>
      <c r="N2090" s="21">
        <v>1274.28</v>
      </c>
      <c r="O2090" s="21">
        <v>510.2</v>
      </c>
      <c r="P2090" t="s">
        <v>125</v>
      </c>
      <c r="Q2090" t="s">
        <v>120</v>
      </c>
      <c r="R2090" t="s">
        <v>151</v>
      </c>
      <c r="S2090" t="s">
        <v>893</v>
      </c>
      <c r="T2090" t="s">
        <v>161</v>
      </c>
      <c r="U2090" t="s">
        <v>154</v>
      </c>
      <c r="V2090" t="str">
        <f>IFERROR(INDEX(Products!$C:$C,MATCH(D2090,Products!$A:$A,0)),"Unknown")</f>
        <v>Kids Wear</v>
      </c>
      <c r="W2090" t="str">
        <f>IFERROR(INDEX(Products!$E:$E,MATCH(D2090,Products!$A:$A,0)),"Unknown")</f>
        <v>Being Human</v>
      </c>
      <c r="X2090" t="str">
        <f>IFERROR(INDEX(Stores!$B:$B,MATCH(E2090,Stores!$A:$A,0)),"Unknown")</f>
        <v>TrendMart Guntur Standard</v>
      </c>
      <c r="Y2090" t="str">
        <f>IFERROR(INDEX(Stores!$E:$E,MATCH(E2090,Stores!$A:$A,0)),"Unknown")</f>
        <v>South Zone 3</v>
      </c>
      <c r="Z2090" t="str">
        <f>IFERROR(INDEX(Customers!$J:$J,MATCH(C2090,Customers!$A:$A,0)),"Unknown")</f>
        <v>Regular</v>
      </c>
      <c r="AA2090" t="str">
        <f t="shared" si="32"/>
        <v>2024-10</v>
      </c>
      <c r="AB2090" t="str">
        <f>IFERROR(INDEX(Products!$I:$I,MATCH(D2090,Products!$A:$A,0)),"Unknown")</f>
        <v>SUP063</v>
      </c>
    </row>
    <row r="2091" spans="1:28" x14ac:dyDescent="0.25">
      <c r="A2091" t="s">
        <v>4105</v>
      </c>
      <c r="B2091" s="20">
        <v>45650</v>
      </c>
      <c r="C2091" t="s">
        <v>4106</v>
      </c>
      <c r="D2091" t="s">
        <v>854</v>
      </c>
      <c r="E2091" t="s">
        <v>89</v>
      </c>
      <c r="F2091" t="s">
        <v>382</v>
      </c>
      <c r="G2091">
        <v>2</v>
      </c>
      <c r="H2091" s="21">
        <v>1197.77</v>
      </c>
      <c r="I2091">
        <v>0</v>
      </c>
      <c r="J2091" s="21">
        <v>0</v>
      </c>
      <c r="K2091">
        <v>3</v>
      </c>
      <c r="L2091" s="21">
        <v>71.87</v>
      </c>
      <c r="M2091" s="21">
        <v>2467.41</v>
      </c>
      <c r="N2091" s="21">
        <v>1908.08</v>
      </c>
      <c r="O2091" s="21">
        <v>487.46</v>
      </c>
      <c r="P2091" t="s">
        <v>121</v>
      </c>
      <c r="Q2091" t="s">
        <v>122</v>
      </c>
      <c r="R2091" t="s">
        <v>151</v>
      </c>
      <c r="S2091" t="s">
        <v>795</v>
      </c>
      <c r="T2091" t="s">
        <v>153</v>
      </c>
      <c r="U2091" t="s">
        <v>154</v>
      </c>
      <c r="V2091" t="str">
        <f>IFERROR(INDEX(Products!$C:$C,MATCH(D2091,Products!$A:$A,0)),"Unknown")</f>
        <v>Jewellery</v>
      </c>
      <c r="W2091" t="str">
        <f>IFERROR(INDEX(Products!$E:$E,MATCH(D2091,Products!$A:$A,0)),"Unknown")</f>
        <v>W for Woman</v>
      </c>
      <c r="X2091" t="str">
        <f>IFERROR(INDEX(Stores!$B:$B,MATCH(E2091,Stores!$A:$A,0)),"Unknown")</f>
        <v>TrendMart Kochi Standard</v>
      </c>
      <c r="Y2091" t="str">
        <f>IFERROR(INDEX(Stores!$E:$E,MATCH(E2091,Stores!$A:$A,0)),"Unknown")</f>
        <v>South Zone 1</v>
      </c>
      <c r="Z2091" t="str">
        <f>IFERROR(INDEX(Customers!$J:$J,MATCH(C2091,Customers!$A:$A,0)),"Unknown")</f>
        <v>Regular</v>
      </c>
      <c r="AA2091" t="str">
        <f t="shared" si="32"/>
        <v>2024-12</v>
      </c>
      <c r="AB2091" t="str">
        <f>IFERROR(INDEX(Products!$I:$I,MATCH(D2091,Products!$A:$A,0)),"Unknown")</f>
        <v>SUP006</v>
      </c>
    </row>
    <row r="2092" spans="1:28" x14ac:dyDescent="0.25">
      <c r="A2092" t="s">
        <v>4107</v>
      </c>
      <c r="B2092" s="20">
        <v>45462</v>
      </c>
      <c r="C2092" t="s">
        <v>2483</v>
      </c>
      <c r="D2092" t="s">
        <v>2392</v>
      </c>
      <c r="E2092" t="s">
        <v>541</v>
      </c>
      <c r="F2092" t="s">
        <v>263</v>
      </c>
      <c r="G2092">
        <v>2</v>
      </c>
      <c r="H2092" s="21">
        <v>1073.52</v>
      </c>
      <c r="I2092">
        <v>10</v>
      </c>
      <c r="J2092" s="21">
        <v>214.7</v>
      </c>
      <c r="K2092">
        <v>12</v>
      </c>
      <c r="L2092" s="21">
        <v>231.88</v>
      </c>
      <c r="M2092" s="21">
        <v>2164.2199999999998</v>
      </c>
      <c r="N2092" s="21">
        <v>1488</v>
      </c>
      <c r="O2092" s="21">
        <v>444.34</v>
      </c>
      <c r="P2092" t="s">
        <v>125</v>
      </c>
      <c r="Q2092" t="s">
        <v>120</v>
      </c>
      <c r="R2092" t="s">
        <v>151</v>
      </c>
      <c r="S2092" t="s">
        <v>1098</v>
      </c>
      <c r="T2092" t="s">
        <v>153</v>
      </c>
      <c r="U2092" t="s">
        <v>154</v>
      </c>
      <c r="V2092" t="str">
        <f>IFERROR(INDEX(Products!$C:$C,MATCH(D2092,Products!$A:$A,0)),"Unknown")</f>
        <v>Women Kurtis</v>
      </c>
      <c r="W2092" t="str">
        <f>IFERROR(INDEX(Products!$E:$E,MATCH(D2092,Products!$A:$A,0)),"Unknown")</f>
        <v>Reebok</v>
      </c>
      <c r="X2092" t="str">
        <f>IFERROR(INDEX(Stores!$B:$B,MATCH(E2092,Stores!$A:$A,0)),"Unknown")</f>
        <v>TrendMart Kochi Standard</v>
      </c>
      <c r="Y2092" t="str">
        <f>IFERROR(INDEX(Stores!$E:$E,MATCH(E2092,Stores!$A:$A,0)),"Unknown")</f>
        <v>South Zone 1</v>
      </c>
      <c r="Z2092" t="str">
        <f>IFERROR(INDEX(Customers!$J:$J,MATCH(C2092,Customers!$A:$A,0)),"Unknown")</f>
        <v>Silver</v>
      </c>
      <c r="AA2092" t="str">
        <f t="shared" si="32"/>
        <v>2024-06</v>
      </c>
      <c r="AB2092" t="str">
        <f>IFERROR(INDEX(Products!$I:$I,MATCH(D2092,Products!$A:$A,0)),"Unknown")</f>
        <v>SUP029</v>
      </c>
    </row>
    <row r="2093" spans="1:28" x14ac:dyDescent="0.25">
      <c r="A2093" t="s">
        <v>4108</v>
      </c>
      <c r="B2093" s="20">
        <v>45746</v>
      </c>
      <c r="C2093" t="s">
        <v>2804</v>
      </c>
      <c r="D2093" t="s">
        <v>1616</v>
      </c>
      <c r="E2093" t="s">
        <v>247</v>
      </c>
      <c r="F2093" t="s">
        <v>377</v>
      </c>
      <c r="G2093">
        <v>0</v>
      </c>
      <c r="H2093" s="21">
        <v>4989.92</v>
      </c>
      <c r="I2093">
        <v>25</v>
      </c>
      <c r="J2093" s="21">
        <v>0</v>
      </c>
      <c r="K2093">
        <v>12</v>
      </c>
      <c r="L2093" s="21">
        <v>0</v>
      </c>
      <c r="M2093" s="21">
        <v>0</v>
      </c>
      <c r="N2093" s="21">
        <v>0</v>
      </c>
      <c r="O2093" s="21">
        <v>0</v>
      </c>
      <c r="P2093" t="s">
        <v>126</v>
      </c>
      <c r="Q2093" t="s">
        <v>120</v>
      </c>
      <c r="R2093" t="s">
        <v>482</v>
      </c>
      <c r="S2093" t="s">
        <v>2147</v>
      </c>
      <c r="T2093" t="s">
        <v>161</v>
      </c>
      <c r="U2093" t="s">
        <v>154</v>
      </c>
      <c r="V2093" t="str">
        <f>IFERROR(INDEX(Products!$C:$C,MATCH(D2093,Products!$A:$A,0)),"Unknown")</f>
        <v>Women Sarees</v>
      </c>
      <c r="W2093" t="str">
        <f>IFERROR(INDEX(Products!$E:$E,MATCH(D2093,Products!$A:$A,0)),"Unknown")</f>
        <v>Max Fashion</v>
      </c>
      <c r="X2093" t="str">
        <f>IFERROR(INDEX(Stores!$B:$B,MATCH(E2093,Stores!$A:$A,0)),"Unknown")</f>
        <v>TrendMart Tirupati Outlet</v>
      </c>
      <c r="Y2093" t="str">
        <f>IFERROR(INDEX(Stores!$E:$E,MATCH(E2093,Stores!$A:$A,0)),"Unknown")</f>
        <v>South Zone 3</v>
      </c>
      <c r="Z2093" t="str">
        <f>IFERROR(INDEX(Customers!$J:$J,MATCH(C2093,Customers!$A:$A,0)),"Unknown")</f>
        <v>Gold</v>
      </c>
      <c r="AA2093" t="str">
        <f t="shared" si="32"/>
        <v>2025-03</v>
      </c>
      <c r="AB2093" t="str">
        <f>IFERROR(INDEX(Products!$I:$I,MATCH(D2093,Products!$A:$A,0)),"Unknown")</f>
        <v>SUP047</v>
      </c>
    </row>
    <row r="2094" spans="1:28" x14ac:dyDescent="0.25">
      <c r="A2094" t="s">
        <v>4109</v>
      </c>
      <c r="B2094" s="20">
        <v>45731</v>
      </c>
      <c r="C2094" t="s">
        <v>2683</v>
      </c>
      <c r="D2094" t="s">
        <v>1312</v>
      </c>
      <c r="E2094" t="s">
        <v>98</v>
      </c>
      <c r="F2094" t="s">
        <v>579</v>
      </c>
      <c r="G2094">
        <v>1</v>
      </c>
      <c r="H2094" s="21">
        <v>1156.6400000000001</v>
      </c>
      <c r="I2094">
        <v>10</v>
      </c>
      <c r="J2094" s="21">
        <v>115.66</v>
      </c>
      <c r="K2094">
        <v>12</v>
      </c>
      <c r="L2094" s="21">
        <v>124.92</v>
      </c>
      <c r="M2094" s="21">
        <v>1165.9000000000001</v>
      </c>
      <c r="N2094" s="21">
        <v>767.11</v>
      </c>
      <c r="O2094" s="21">
        <v>273.87</v>
      </c>
      <c r="P2094" t="s">
        <v>124</v>
      </c>
      <c r="Q2094" t="s">
        <v>120</v>
      </c>
      <c r="R2094" t="s">
        <v>151</v>
      </c>
      <c r="S2094" t="s">
        <v>1297</v>
      </c>
      <c r="T2094" t="s">
        <v>161</v>
      </c>
      <c r="U2094" t="s">
        <v>154</v>
      </c>
      <c r="V2094" t="str">
        <f>IFERROR(INDEX(Products!$C:$C,MATCH(D2094,Products!$A:$A,0)),"Unknown")</f>
        <v>Women Kurtis</v>
      </c>
      <c r="W2094" t="str">
        <f>IFERROR(INDEX(Products!$E:$E,MATCH(D2094,Products!$A:$A,0)),"Unknown")</f>
        <v>Louis Philippe</v>
      </c>
      <c r="X2094" t="str">
        <f>IFERROR(INDEX(Stores!$B:$B,MATCH(E2094,Stores!$A:$A,0)),"Unknown")</f>
        <v>TrendMart Bengaluru Flagship</v>
      </c>
      <c r="Y2094" t="str">
        <f>IFERROR(INDEX(Stores!$E:$E,MATCH(E2094,Stores!$A:$A,0)),"Unknown")</f>
        <v>South Zone 2</v>
      </c>
      <c r="Z2094" t="str">
        <f>IFERROR(INDEX(Customers!$J:$J,MATCH(C2094,Customers!$A:$A,0)),"Unknown")</f>
        <v>Silver</v>
      </c>
      <c r="AA2094" t="str">
        <f t="shared" si="32"/>
        <v>2025-03</v>
      </c>
      <c r="AB2094" t="str">
        <f>IFERROR(INDEX(Products!$I:$I,MATCH(D2094,Products!$A:$A,0)),"Unknown")</f>
        <v>SUP010</v>
      </c>
    </row>
    <row r="2095" spans="1:28" x14ac:dyDescent="0.25">
      <c r="A2095" t="s">
        <v>4110</v>
      </c>
      <c r="B2095" s="20">
        <v>45603</v>
      </c>
      <c r="C2095" t="s">
        <v>2627</v>
      </c>
      <c r="D2095" t="s">
        <v>2597</v>
      </c>
      <c r="E2095" t="s">
        <v>158</v>
      </c>
      <c r="F2095" t="s">
        <v>344</v>
      </c>
      <c r="G2095">
        <v>1</v>
      </c>
      <c r="H2095" s="21">
        <v>798.07</v>
      </c>
      <c r="I2095">
        <v>30</v>
      </c>
      <c r="J2095" s="21">
        <v>239.42</v>
      </c>
      <c r="K2095">
        <v>5</v>
      </c>
      <c r="L2095" s="21">
        <v>27.93</v>
      </c>
      <c r="M2095" s="21">
        <v>586.58000000000004</v>
      </c>
      <c r="N2095" s="21">
        <v>575.72</v>
      </c>
      <c r="O2095" s="21">
        <v>-17.07</v>
      </c>
      <c r="P2095" t="s">
        <v>121</v>
      </c>
      <c r="Q2095" t="s">
        <v>122</v>
      </c>
      <c r="R2095" t="s">
        <v>151</v>
      </c>
      <c r="S2095" t="s">
        <v>781</v>
      </c>
      <c r="T2095" t="s">
        <v>153</v>
      </c>
      <c r="U2095" t="s">
        <v>184</v>
      </c>
      <c r="V2095" t="str">
        <f>IFERROR(INDEX(Products!$C:$C,MATCH(D2095,Products!$A:$A,0)),"Unknown")</f>
        <v>Men Trousers</v>
      </c>
      <c r="W2095" t="str">
        <f>IFERROR(INDEX(Products!$E:$E,MATCH(D2095,Products!$A:$A,0)),"Unknown")</f>
        <v>Peter England</v>
      </c>
      <c r="X2095" t="str">
        <f>IFERROR(INDEX(Stores!$B:$B,MATCH(E2095,Stores!$A:$A,0)),"Unknown")</f>
        <v>TrendMart Tirunelveli High Street</v>
      </c>
      <c r="Y2095" t="str">
        <f>IFERROR(INDEX(Stores!$E:$E,MATCH(E2095,Stores!$A:$A,0)),"Unknown")</f>
        <v>South Zone 1</v>
      </c>
      <c r="Z2095" t="str">
        <f>IFERROR(INDEX(Customers!$J:$J,MATCH(C2095,Customers!$A:$A,0)),"Unknown")</f>
        <v>Silver</v>
      </c>
      <c r="AA2095" t="str">
        <f t="shared" si="32"/>
        <v>2024-11</v>
      </c>
      <c r="AB2095" t="str">
        <f>IFERROR(INDEX(Products!$I:$I,MATCH(D2095,Products!$A:$A,0)),"Unknown")</f>
        <v>SUP008</v>
      </c>
    </row>
    <row r="2096" spans="1:28" x14ac:dyDescent="0.25">
      <c r="A2096" t="s">
        <v>4111</v>
      </c>
      <c r="B2096" s="20">
        <v>45399</v>
      </c>
      <c r="C2096" t="s">
        <v>2495</v>
      </c>
      <c r="D2096" t="s">
        <v>612</v>
      </c>
      <c r="E2096" t="s">
        <v>537</v>
      </c>
      <c r="F2096" t="s">
        <v>189</v>
      </c>
      <c r="G2096">
        <v>4</v>
      </c>
      <c r="H2096" s="21">
        <v>608.65</v>
      </c>
      <c r="I2096">
        <v>20</v>
      </c>
      <c r="J2096" s="21">
        <v>486.92</v>
      </c>
      <c r="K2096">
        <v>5</v>
      </c>
      <c r="L2096" s="21">
        <v>97.38</v>
      </c>
      <c r="M2096" s="21">
        <v>2045.06</v>
      </c>
      <c r="N2096" s="21">
        <v>1476</v>
      </c>
      <c r="O2096" s="21">
        <v>471.68</v>
      </c>
      <c r="P2096" t="s">
        <v>123</v>
      </c>
      <c r="Q2096" t="s">
        <v>122</v>
      </c>
      <c r="R2096" t="s">
        <v>151</v>
      </c>
      <c r="S2096" t="s">
        <v>3280</v>
      </c>
      <c r="T2096" t="s">
        <v>153</v>
      </c>
      <c r="U2096" t="s">
        <v>154</v>
      </c>
      <c r="V2096" t="str">
        <f>IFERROR(INDEX(Products!$C:$C,MATCH(D2096,Products!$A:$A,0)),"Unknown")</f>
        <v>Men T-Shirts</v>
      </c>
      <c r="W2096" t="str">
        <f>IFERROR(INDEX(Products!$E:$E,MATCH(D2096,Products!$A:$A,0)),"Unknown")</f>
        <v>Killer Jeans</v>
      </c>
      <c r="X2096" t="str">
        <f>IFERROR(INDEX(Stores!$B:$B,MATCH(E2096,Stores!$A:$A,0)),"Unknown")</f>
        <v>TrendMart Thrissur High Street</v>
      </c>
      <c r="Y2096" t="str">
        <f>IFERROR(INDEX(Stores!$E:$E,MATCH(E2096,Stores!$A:$A,0)),"Unknown")</f>
        <v>South Zone 1</v>
      </c>
      <c r="Z2096" t="str">
        <f>IFERROR(INDEX(Customers!$J:$J,MATCH(C2096,Customers!$A:$A,0)),"Unknown")</f>
        <v>Silver</v>
      </c>
      <c r="AA2096" t="str">
        <f t="shared" si="32"/>
        <v>2024-04</v>
      </c>
      <c r="AB2096" t="str">
        <f>IFERROR(INDEX(Products!$I:$I,MATCH(D2096,Products!$A:$A,0)),"Unknown")</f>
        <v>SUP056</v>
      </c>
    </row>
    <row r="2097" spans="1:28" x14ac:dyDescent="0.25">
      <c r="A2097" t="s">
        <v>4112</v>
      </c>
      <c r="B2097" s="20">
        <v>45458</v>
      </c>
      <c r="C2097" t="s">
        <v>1430</v>
      </c>
      <c r="D2097" t="s">
        <v>2241</v>
      </c>
      <c r="E2097" t="s">
        <v>99</v>
      </c>
      <c r="F2097" t="s">
        <v>297</v>
      </c>
      <c r="G2097">
        <v>1</v>
      </c>
      <c r="H2097" s="21">
        <v>1661.18</v>
      </c>
      <c r="I2097">
        <v>15</v>
      </c>
      <c r="J2097" s="21">
        <v>249.18</v>
      </c>
      <c r="K2097">
        <v>12</v>
      </c>
      <c r="L2097" s="21">
        <v>169.44</v>
      </c>
      <c r="M2097" s="21">
        <v>1581.44</v>
      </c>
      <c r="N2097" s="21">
        <v>996.24</v>
      </c>
      <c r="O2097" s="21">
        <v>415.76</v>
      </c>
      <c r="P2097" t="s">
        <v>124</v>
      </c>
      <c r="Q2097" t="s">
        <v>122</v>
      </c>
      <c r="R2097" t="s">
        <v>151</v>
      </c>
      <c r="S2097" t="s">
        <v>1237</v>
      </c>
      <c r="T2097" t="s">
        <v>161</v>
      </c>
      <c r="U2097" t="s">
        <v>154</v>
      </c>
      <c r="V2097" t="str">
        <f>IFERROR(INDEX(Products!$C:$C,MATCH(D2097,Products!$A:$A,0)),"Unknown")</f>
        <v>Men Trousers</v>
      </c>
      <c r="W2097" t="str">
        <f>IFERROR(INDEX(Products!$E:$E,MATCH(D2097,Products!$A:$A,0)),"Unknown")</f>
        <v>GRT Jewellers</v>
      </c>
      <c r="X2097" t="str">
        <f>IFERROR(INDEX(Stores!$B:$B,MATCH(E2097,Stores!$A:$A,0)),"Unknown")</f>
        <v>TrendMart Hubballi Standard</v>
      </c>
      <c r="Y2097" t="str">
        <f>IFERROR(INDEX(Stores!$E:$E,MATCH(E2097,Stores!$A:$A,0)),"Unknown")</f>
        <v>South Zone 2</v>
      </c>
      <c r="Z2097" t="str">
        <f>IFERROR(INDEX(Customers!$J:$J,MATCH(C2097,Customers!$A:$A,0)),"Unknown")</f>
        <v>Regular</v>
      </c>
      <c r="AA2097" t="str">
        <f t="shared" si="32"/>
        <v>2024-06</v>
      </c>
      <c r="AB2097" t="str">
        <f>IFERROR(INDEX(Products!$I:$I,MATCH(D2097,Products!$A:$A,0)),"Unknown")</f>
        <v>SUP042</v>
      </c>
    </row>
    <row r="2098" spans="1:28" x14ac:dyDescent="0.25">
      <c r="A2098" t="s">
        <v>4113</v>
      </c>
      <c r="B2098" s="20">
        <v>45525</v>
      </c>
      <c r="C2098" t="s">
        <v>1870</v>
      </c>
      <c r="D2098" t="s">
        <v>433</v>
      </c>
      <c r="E2098" t="s">
        <v>630</v>
      </c>
      <c r="F2098" t="s">
        <v>344</v>
      </c>
      <c r="G2098">
        <v>1</v>
      </c>
      <c r="H2098" s="21">
        <v>832.35</v>
      </c>
      <c r="I2098">
        <v>0</v>
      </c>
      <c r="J2098" s="21">
        <v>0</v>
      </c>
      <c r="K2098">
        <v>5</v>
      </c>
      <c r="L2098" s="21">
        <v>41.62</v>
      </c>
      <c r="M2098" s="21">
        <v>873.97</v>
      </c>
      <c r="N2098" s="21">
        <v>573.09</v>
      </c>
      <c r="O2098" s="21">
        <v>259.26</v>
      </c>
      <c r="P2098" t="s">
        <v>126</v>
      </c>
      <c r="Q2098" t="s">
        <v>122</v>
      </c>
      <c r="R2098" t="s">
        <v>151</v>
      </c>
      <c r="S2098" t="s">
        <v>1246</v>
      </c>
      <c r="T2098" t="s">
        <v>153</v>
      </c>
      <c r="U2098" t="s">
        <v>154</v>
      </c>
      <c r="V2098" t="str">
        <f>IFERROR(INDEX(Products!$C:$C,MATCH(D2098,Products!$A:$A,0)),"Unknown")</f>
        <v>Women Kurtis</v>
      </c>
      <c r="W2098" t="str">
        <f>IFERROR(INDEX(Products!$E:$E,MATCH(D2098,Products!$A:$A,0)),"Unknown")</f>
        <v>Nike</v>
      </c>
      <c r="X2098" t="str">
        <f>IFERROR(INDEX(Stores!$B:$B,MATCH(E2098,Stores!$A:$A,0)),"Unknown")</f>
        <v>TrendMart Guntur Standard</v>
      </c>
      <c r="Y2098" t="str">
        <f>IFERROR(INDEX(Stores!$E:$E,MATCH(E2098,Stores!$A:$A,0)),"Unknown")</f>
        <v>South Zone 3</v>
      </c>
      <c r="Z2098" t="str">
        <f>IFERROR(INDEX(Customers!$J:$J,MATCH(C2098,Customers!$A:$A,0)),"Unknown")</f>
        <v>Platinum</v>
      </c>
      <c r="AA2098" t="str">
        <f t="shared" si="32"/>
        <v>2024-08</v>
      </c>
      <c r="AB2098" t="str">
        <f>IFERROR(INDEX(Products!$I:$I,MATCH(D2098,Products!$A:$A,0)),"Unknown")</f>
        <v>SUP012</v>
      </c>
    </row>
    <row r="2099" spans="1:28" x14ac:dyDescent="0.25">
      <c r="A2099" t="s">
        <v>4114</v>
      </c>
      <c r="B2099" s="20">
        <v>45742</v>
      </c>
      <c r="C2099" t="s">
        <v>952</v>
      </c>
      <c r="D2099" t="s">
        <v>367</v>
      </c>
      <c r="E2099" t="s">
        <v>701</v>
      </c>
      <c r="F2099" t="s">
        <v>579</v>
      </c>
      <c r="G2099">
        <v>3</v>
      </c>
      <c r="H2099" s="21">
        <v>752.23</v>
      </c>
      <c r="I2099">
        <v>10</v>
      </c>
      <c r="J2099" s="21">
        <v>225.67</v>
      </c>
      <c r="K2099">
        <v>3</v>
      </c>
      <c r="L2099" s="21">
        <v>60.93</v>
      </c>
      <c r="M2099" s="21">
        <v>2091.9499999999998</v>
      </c>
      <c r="N2099" s="21">
        <v>1670.97</v>
      </c>
      <c r="O2099" s="21">
        <v>360.05</v>
      </c>
      <c r="P2099" t="s">
        <v>121</v>
      </c>
      <c r="Q2099" t="s">
        <v>122</v>
      </c>
      <c r="R2099" t="s">
        <v>151</v>
      </c>
      <c r="S2099" t="s">
        <v>314</v>
      </c>
      <c r="T2099" t="s">
        <v>153</v>
      </c>
      <c r="U2099" t="s">
        <v>154</v>
      </c>
      <c r="V2099" t="str">
        <f>IFERROR(INDEX(Products!$C:$C,MATCH(D2099,Products!$A:$A,0)),"Unknown")</f>
        <v>Jewellery</v>
      </c>
      <c r="W2099" t="str">
        <f>IFERROR(INDEX(Products!$E:$E,MATCH(D2099,Products!$A:$A,0)),"Unknown")</f>
        <v>Aurelia</v>
      </c>
      <c r="X2099" t="str">
        <f>IFERROR(INDEX(Stores!$B:$B,MATCH(E2099,Stores!$A:$A,0)),"Unknown")</f>
        <v>TrendMart Vijayawada Mall Kiosk</v>
      </c>
      <c r="Y2099" t="str">
        <f>IFERROR(INDEX(Stores!$E:$E,MATCH(E2099,Stores!$A:$A,0)),"Unknown")</f>
        <v>South Zone 3</v>
      </c>
      <c r="Z2099" t="str">
        <f>IFERROR(INDEX(Customers!$J:$J,MATCH(C2099,Customers!$A:$A,0)),"Unknown")</f>
        <v>Regular</v>
      </c>
      <c r="AA2099" t="str">
        <f t="shared" si="32"/>
        <v>2025-03</v>
      </c>
      <c r="AB2099" t="str">
        <f>IFERROR(INDEX(Products!$I:$I,MATCH(D2099,Products!$A:$A,0)),"Unknown")</f>
        <v>SUP067</v>
      </c>
    </row>
    <row r="2100" spans="1:28" x14ac:dyDescent="0.25">
      <c r="A2100" t="s">
        <v>4115</v>
      </c>
      <c r="B2100" s="20">
        <v>45739</v>
      </c>
      <c r="C2100" t="s">
        <v>1888</v>
      </c>
      <c r="D2100" t="s">
        <v>455</v>
      </c>
      <c r="E2100" t="s">
        <v>268</v>
      </c>
      <c r="F2100" t="s">
        <v>297</v>
      </c>
      <c r="G2100">
        <v>3</v>
      </c>
      <c r="H2100" s="21">
        <v>5692.67</v>
      </c>
      <c r="I2100">
        <v>25</v>
      </c>
      <c r="J2100" s="21">
        <v>4269.5</v>
      </c>
      <c r="K2100">
        <v>12</v>
      </c>
      <c r="L2100" s="21">
        <v>1537.02</v>
      </c>
      <c r="M2100" s="21">
        <v>14345.53</v>
      </c>
      <c r="N2100" s="21">
        <v>11246.13</v>
      </c>
      <c r="O2100" s="21">
        <v>1562.38</v>
      </c>
      <c r="P2100" t="s">
        <v>125</v>
      </c>
      <c r="Q2100" t="s">
        <v>122</v>
      </c>
      <c r="R2100" t="s">
        <v>151</v>
      </c>
      <c r="S2100" t="s">
        <v>893</v>
      </c>
      <c r="T2100" t="s">
        <v>161</v>
      </c>
      <c r="U2100" t="s">
        <v>154</v>
      </c>
      <c r="V2100" t="str">
        <f>IFERROR(INDEX(Products!$C:$C,MATCH(D2100,Products!$A:$A,0)),"Unknown")</f>
        <v>Watches</v>
      </c>
      <c r="W2100" t="str">
        <f>IFERROR(INDEX(Products!$E:$E,MATCH(D2100,Products!$A:$A,0)),"Unknown")</f>
        <v>Bata</v>
      </c>
      <c r="X2100" t="str">
        <f>IFERROR(INDEX(Stores!$B:$B,MATCH(E2100,Stores!$A:$A,0)),"Unknown")</f>
        <v>TrendMart Kochi High Street</v>
      </c>
      <c r="Y2100" t="str">
        <f>IFERROR(INDEX(Stores!$E:$E,MATCH(E2100,Stores!$A:$A,0)),"Unknown")</f>
        <v>South Zone 1</v>
      </c>
      <c r="Z2100" t="str">
        <f>IFERROR(INDEX(Customers!$J:$J,MATCH(C2100,Customers!$A:$A,0)),"Unknown")</f>
        <v>Regular</v>
      </c>
      <c r="AA2100" t="str">
        <f t="shared" si="32"/>
        <v>2025-03</v>
      </c>
      <c r="AB2100" t="str">
        <f>IFERROR(INDEX(Products!$I:$I,MATCH(D2100,Products!$A:$A,0)),"Unknown")</f>
        <v>SUP051</v>
      </c>
    </row>
    <row r="2101" spans="1:28" x14ac:dyDescent="0.25">
      <c r="A2101" t="s">
        <v>4116</v>
      </c>
      <c r="B2101" s="20">
        <v>45461</v>
      </c>
      <c r="C2101" t="s">
        <v>788</v>
      </c>
      <c r="D2101" t="s">
        <v>3165</v>
      </c>
      <c r="E2101" t="s">
        <v>745</v>
      </c>
      <c r="F2101" t="s">
        <v>242</v>
      </c>
      <c r="G2101">
        <v>2</v>
      </c>
      <c r="H2101" s="21">
        <v>1215.9100000000001</v>
      </c>
      <c r="I2101">
        <v>25</v>
      </c>
      <c r="J2101" s="21">
        <v>607.96</v>
      </c>
      <c r="K2101">
        <v>12</v>
      </c>
      <c r="L2101" s="21">
        <v>218.86</v>
      </c>
      <c r="M2101" s="21">
        <v>2042.72</v>
      </c>
      <c r="N2101" s="21">
        <v>1742.52</v>
      </c>
      <c r="O2101" s="21">
        <v>81.34</v>
      </c>
      <c r="P2101" t="s">
        <v>124</v>
      </c>
      <c r="Q2101" t="s">
        <v>120</v>
      </c>
      <c r="R2101" t="s">
        <v>151</v>
      </c>
      <c r="S2101" t="s">
        <v>1237</v>
      </c>
      <c r="T2101" t="s">
        <v>153</v>
      </c>
      <c r="U2101" t="s">
        <v>154</v>
      </c>
      <c r="V2101" t="str">
        <f>IFERROR(INDEX(Products!$C:$C,MATCH(D2101,Products!$A:$A,0)),"Unknown")</f>
        <v>Men Trousers</v>
      </c>
      <c r="W2101" t="str">
        <f>IFERROR(INDEX(Products!$E:$E,MATCH(D2101,Products!$A:$A,0)),"Unknown")</f>
        <v>Wrangler</v>
      </c>
      <c r="X2101" t="str">
        <f>IFERROR(INDEX(Stores!$B:$B,MATCH(E2101,Stores!$A:$A,0)),"Unknown")</f>
        <v>TrendMart Thiruvananthapuram Outlet</v>
      </c>
      <c r="Y2101" t="str">
        <f>IFERROR(INDEX(Stores!$E:$E,MATCH(E2101,Stores!$A:$A,0)),"Unknown")</f>
        <v>South Zone 1</v>
      </c>
      <c r="Z2101" t="str">
        <f>IFERROR(INDEX(Customers!$J:$J,MATCH(C2101,Customers!$A:$A,0)),"Unknown")</f>
        <v>Silver</v>
      </c>
      <c r="AA2101" t="str">
        <f t="shared" si="32"/>
        <v>2024-06</v>
      </c>
      <c r="AB2101" t="str">
        <f>IFERROR(INDEX(Products!$I:$I,MATCH(D2101,Products!$A:$A,0)),"Unknown")</f>
        <v>SUP051</v>
      </c>
    </row>
    <row r="2102" spans="1:28" x14ac:dyDescent="0.25">
      <c r="A2102" t="s">
        <v>4117</v>
      </c>
      <c r="B2102" s="20">
        <v>45465</v>
      </c>
      <c r="C2102" t="s">
        <v>1462</v>
      </c>
      <c r="D2102" t="s">
        <v>1520</v>
      </c>
      <c r="E2102" t="s">
        <v>247</v>
      </c>
      <c r="F2102" t="s">
        <v>382</v>
      </c>
      <c r="G2102">
        <v>1</v>
      </c>
      <c r="H2102" s="21">
        <v>4480.8999999999996</v>
      </c>
      <c r="I2102">
        <v>15</v>
      </c>
      <c r="J2102" s="21">
        <v>672.13</v>
      </c>
      <c r="K2102">
        <v>12</v>
      </c>
      <c r="L2102" s="21">
        <v>457.05</v>
      </c>
      <c r="M2102" s="21">
        <v>4265.82</v>
      </c>
      <c r="N2102" s="21">
        <v>3236.57</v>
      </c>
      <c r="O2102" s="21">
        <v>572.20000000000005</v>
      </c>
      <c r="P2102" t="s">
        <v>125</v>
      </c>
      <c r="Q2102" t="s">
        <v>122</v>
      </c>
      <c r="R2102" t="s">
        <v>151</v>
      </c>
      <c r="S2102" t="s">
        <v>1863</v>
      </c>
      <c r="T2102" t="s">
        <v>161</v>
      </c>
      <c r="U2102" t="s">
        <v>154</v>
      </c>
      <c r="V2102" t="str">
        <f>IFERROR(INDEX(Products!$C:$C,MATCH(D2102,Products!$A:$A,0)),"Unknown")</f>
        <v>Women Sarees</v>
      </c>
      <c r="W2102" t="str">
        <f>IFERROR(INDEX(Products!$E:$E,MATCH(D2102,Products!$A:$A,0)),"Unknown")</f>
        <v>Pepe Jeans</v>
      </c>
      <c r="X2102" t="str">
        <f>IFERROR(INDEX(Stores!$B:$B,MATCH(E2102,Stores!$A:$A,0)),"Unknown")</f>
        <v>TrendMart Tirupati Outlet</v>
      </c>
      <c r="Y2102" t="str">
        <f>IFERROR(INDEX(Stores!$E:$E,MATCH(E2102,Stores!$A:$A,0)),"Unknown")</f>
        <v>South Zone 3</v>
      </c>
      <c r="Z2102" t="str">
        <f>IFERROR(INDEX(Customers!$J:$J,MATCH(C2102,Customers!$A:$A,0)),"Unknown")</f>
        <v>Silver</v>
      </c>
      <c r="AA2102" t="str">
        <f t="shared" si="32"/>
        <v>2024-06</v>
      </c>
      <c r="AB2102" t="str">
        <f>IFERROR(INDEX(Products!$I:$I,MATCH(D2102,Products!$A:$A,0)),"Unknown")</f>
        <v>SUP009</v>
      </c>
    </row>
    <row r="2103" spans="1:28" x14ac:dyDescent="0.25">
      <c r="A2103" t="s">
        <v>4118</v>
      </c>
      <c r="B2103" s="20">
        <v>45554</v>
      </c>
      <c r="C2103" t="s">
        <v>4028</v>
      </c>
      <c r="D2103" t="s">
        <v>662</v>
      </c>
      <c r="E2103" t="s">
        <v>241</v>
      </c>
      <c r="F2103" t="s">
        <v>281</v>
      </c>
      <c r="G2103">
        <v>4</v>
      </c>
      <c r="H2103" s="21">
        <v>493.13</v>
      </c>
      <c r="I2103">
        <v>10</v>
      </c>
      <c r="J2103" s="21">
        <v>197.25</v>
      </c>
      <c r="K2103">
        <v>5</v>
      </c>
      <c r="L2103" s="21">
        <v>88.76</v>
      </c>
      <c r="M2103" s="21">
        <v>1864.03</v>
      </c>
      <c r="N2103" s="21">
        <v>1199.44</v>
      </c>
      <c r="O2103" s="21">
        <v>575.83000000000004</v>
      </c>
      <c r="P2103" t="s">
        <v>125</v>
      </c>
      <c r="Q2103" t="s">
        <v>120</v>
      </c>
      <c r="R2103" t="s">
        <v>151</v>
      </c>
      <c r="S2103" t="s">
        <v>1829</v>
      </c>
      <c r="T2103" t="s">
        <v>153</v>
      </c>
      <c r="U2103" t="s">
        <v>154</v>
      </c>
      <c r="V2103" t="str">
        <f>IFERROR(INDEX(Products!$C:$C,MATCH(D2103,Products!$A:$A,0)),"Unknown")</f>
        <v>Men T-Shirts</v>
      </c>
      <c r="W2103" t="str">
        <f>IFERROR(INDEX(Products!$E:$E,MATCH(D2103,Products!$A:$A,0)),"Unknown")</f>
        <v>Global Desi</v>
      </c>
      <c r="X2103" t="str">
        <f>IFERROR(INDEX(Stores!$B:$B,MATCH(E2103,Stores!$A:$A,0)),"Unknown")</f>
        <v>TrendMart Nizamabad Mall Kiosk</v>
      </c>
      <c r="Y2103" t="str">
        <f>IFERROR(INDEX(Stores!$E:$E,MATCH(E2103,Stores!$A:$A,0)),"Unknown")</f>
        <v>South Zone 2</v>
      </c>
      <c r="Z2103" t="str">
        <f>IFERROR(INDEX(Customers!$J:$J,MATCH(C2103,Customers!$A:$A,0)),"Unknown")</f>
        <v>Silver</v>
      </c>
      <c r="AA2103" t="str">
        <f t="shared" si="32"/>
        <v>2024-09</v>
      </c>
      <c r="AB2103" t="str">
        <f>IFERROR(INDEX(Products!$I:$I,MATCH(D2103,Products!$A:$A,0)),"Unknown")</f>
        <v>SUP049</v>
      </c>
    </row>
    <row r="2104" spans="1:28" x14ac:dyDescent="0.25">
      <c r="A2104" t="s">
        <v>4119</v>
      </c>
      <c r="B2104" s="20">
        <v>45699</v>
      </c>
      <c r="C2104" t="s">
        <v>2561</v>
      </c>
      <c r="D2104" t="s">
        <v>1759</v>
      </c>
      <c r="E2104" t="s">
        <v>1068</v>
      </c>
      <c r="F2104" t="s">
        <v>382</v>
      </c>
      <c r="G2104">
        <v>1</v>
      </c>
      <c r="H2104" s="21">
        <v>2822.86</v>
      </c>
      <c r="I2104">
        <v>0</v>
      </c>
      <c r="J2104" s="21">
        <v>0</v>
      </c>
      <c r="K2104">
        <v>12</v>
      </c>
      <c r="L2104" s="21">
        <v>338.74</v>
      </c>
      <c r="M2104" s="21">
        <v>3161.6</v>
      </c>
      <c r="N2104" s="21">
        <v>1940.79</v>
      </c>
      <c r="O2104" s="21">
        <v>882.07</v>
      </c>
      <c r="P2104" t="s">
        <v>124</v>
      </c>
      <c r="Q2104" t="s">
        <v>120</v>
      </c>
      <c r="R2104" t="s">
        <v>151</v>
      </c>
      <c r="S2104" t="s">
        <v>1205</v>
      </c>
      <c r="T2104" t="s">
        <v>153</v>
      </c>
      <c r="U2104" t="s">
        <v>154</v>
      </c>
      <c r="V2104" t="str">
        <f>IFERROR(INDEX(Products!$C:$C,MATCH(D2104,Products!$A:$A,0)),"Unknown")</f>
        <v>Winter Wear</v>
      </c>
      <c r="W2104" t="str">
        <f>IFERROR(INDEX(Products!$E:$E,MATCH(D2104,Products!$A:$A,0)),"Unknown")</f>
        <v>Bata</v>
      </c>
      <c r="X2104" t="str">
        <f>IFERROR(INDEX(Stores!$B:$B,MATCH(E2104,Stores!$A:$A,0)),"Unknown")</f>
        <v>TrendMart Tumakuru High Street</v>
      </c>
      <c r="Y2104" t="str">
        <f>IFERROR(INDEX(Stores!$E:$E,MATCH(E2104,Stores!$A:$A,0)),"Unknown")</f>
        <v>South Zone 2</v>
      </c>
      <c r="Z2104" t="str">
        <f>IFERROR(INDEX(Customers!$J:$J,MATCH(C2104,Customers!$A:$A,0)),"Unknown")</f>
        <v>Platinum</v>
      </c>
      <c r="AA2104" t="str">
        <f t="shared" si="32"/>
        <v>2025-02</v>
      </c>
      <c r="AB2104" t="str">
        <f>IFERROR(INDEX(Products!$I:$I,MATCH(D2104,Products!$A:$A,0)),"Unknown")</f>
        <v>SUP028</v>
      </c>
    </row>
    <row r="2105" spans="1:28" x14ac:dyDescent="0.25">
      <c r="A2105" t="s">
        <v>4120</v>
      </c>
      <c r="B2105" s="20">
        <v>45655</v>
      </c>
      <c r="C2105" t="s">
        <v>1629</v>
      </c>
      <c r="D2105" t="s">
        <v>1130</v>
      </c>
      <c r="E2105" t="s">
        <v>525</v>
      </c>
      <c r="F2105" t="s">
        <v>292</v>
      </c>
      <c r="G2105">
        <v>2</v>
      </c>
      <c r="H2105" s="21">
        <v>4015.76</v>
      </c>
      <c r="I2105">
        <v>10</v>
      </c>
      <c r="J2105" s="21">
        <v>803.15</v>
      </c>
      <c r="K2105">
        <v>12</v>
      </c>
      <c r="L2105" s="21">
        <v>867.4</v>
      </c>
      <c r="M2105" s="21">
        <v>8095.77</v>
      </c>
      <c r="N2105" s="21">
        <v>5464.62</v>
      </c>
      <c r="O2105" s="21">
        <v>1763.75</v>
      </c>
      <c r="P2105" t="s">
        <v>127</v>
      </c>
      <c r="Q2105" t="s">
        <v>120</v>
      </c>
      <c r="R2105" t="s">
        <v>151</v>
      </c>
      <c r="S2105" t="s">
        <v>1878</v>
      </c>
      <c r="T2105" t="s">
        <v>161</v>
      </c>
      <c r="U2105" t="s">
        <v>154</v>
      </c>
      <c r="V2105" t="str">
        <f>IFERROR(INDEX(Products!$C:$C,MATCH(D2105,Products!$A:$A,0)),"Unknown")</f>
        <v>Women Sarees</v>
      </c>
      <c r="W2105" t="str">
        <f>IFERROR(INDEX(Products!$E:$E,MATCH(D2105,Products!$A:$A,0)),"Unknown")</f>
        <v>Sparx</v>
      </c>
      <c r="X2105" t="str">
        <f>IFERROR(INDEX(Stores!$B:$B,MATCH(E2105,Stores!$A:$A,0)),"Unknown")</f>
        <v>TrendMart Kollam Standard</v>
      </c>
      <c r="Y2105" t="str">
        <f>IFERROR(INDEX(Stores!$E:$E,MATCH(E2105,Stores!$A:$A,0)),"Unknown")</f>
        <v>South Zone 1</v>
      </c>
      <c r="Z2105" t="str">
        <f>IFERROR(INDEX(Customers!$J:$J,MATCH(C2105,Customers!$A:$A,0)),"Unknown")</f>
        <v>Gold</v>
      </c>
      <c r="AA2105" t="str">
        <f t="shared" si="32"/>
        <v>2024-12</v>
      </c>
      <c r="AB2105" t="str">
        <f>IFERROR(INDEX(Products!$I:$I,MATCH(D2105,Products!$A:$A,0)),"Unknown")</f>
        <v>SUP069</v>
      </c>
    </row>
    <row r="2106" spans="1:28" x14ac:dyDescent="0.25">
      <c r="A2106" t="s">
        <v>4121</v>
      </c>
      <c r="B2106" s="20">
        <v>45591</v>
      </c>
      <c r="C2106" t="s">
        <v>1718</v>
      </c>
      <c r="D2106" t="s">
        <v>2051</v>
      </c>
      <c r="E2106" t="s">
        <v>490</v>
      </c>
      <c r="F2106" t="s">
        <v>150</v>
      </c>
      <c r="G2106">
        <v>2</v>
      </c>
      <c r="H2106" s="21">
        <v>3097</v>
      </c>
      <c r="I2106">
        <v>20</v>
      </c>
      <c r="J2106" s="21">
        <v>1238.8</v>
      </c>
      <c r="K2106">
        <v>12</v>
      </c>
      <c r="L2106" s="21">
        <v>594.62</v>
      </c>
      <c r="M2106" s="21">
        <v>5549.82</v>
      </c>
      <c r="N2106" s="21">
        <v>3916.78</v>
      </c>
      <c r="O2106" s="21">
        <v>1038.42</v>
      </c>
      <c r="P2106" t="s">
        <v>123</v>
      </c>
      <c r="Q2106" t="s">
        <v>120</v>
      </c>
      <c r="R2106" t="s">
        <v>151</v>
      </c>
      <c r="S2106" t="s">
        <v>467</v>
      </c>
      <c r="T2106" t="s">
        <v>161</v>
      </c>
      <c r="U2106" t="s">
        <v>154</v>
      </c>
      <c r="V2106" t="str">
        <f>IFERROR(INDEX(Products!$C:$C,MATCH(D2106,Products!$A:$A,0)),"Unknown")</f>
        <v>Men Ethnic</v>
      </c>
      <c r="W2106" t="str">
        <f>IFERROR(INDEX(Products!$E:$E,MATCH(D2106,Products!$A:$A,0)),"Unknown")</f>
        <v>Nike</v>
      </c>
      <c r="X2106" t="str">
        <f>IFERROR(INDEX(Stores!$B:$B,MATCH(E2106,Stores!$A:$A,0)),"Unknown")</f>
        <v>TrendMart Mangaluru Mall Kiosk</v>
      </c>
      <c r="Y2106" t="str">
        <f>IFERROR(INDEX(Stores!$E:$E,MATCH(E2106,Stores!$A:$A,0)),"Unknown")</f>
        <v>South Zone 2</v>
      </c>
      <c r="Z2106" t="str">
        <f>IFERROR(INDEX(Customers!$J:$J,MATCH(C2106,Customers!$A:$A,0)),"Unknown")</f>
        <v>Regular</v>
      </c>
      <c r="AA2106" t="str">
        <f t="shared" si="32"/>
        <v>2024-10</v>
      </c>
      <c r="AB2106" t="str">
        <f>IFERROR(INDEX(Products!$I:$I,MATCH(D2106,Products!$A:$A,0)),"Unknown")</f>
        <v>SUP002</v>
      </c>
    </row>
    <row r="2107" spans="1:28" x14ac:dyDescent="0.25">
      <c r="A2107" t="s">
        <v>4122</v>
      </c>
      <c r="B2107" s="20">
        <v>45621</v>
      </c>
      <c r="C2107" t="s">
        <v>743</v>
      </c>
      <c r="D2107" t="s">
        <v>2980</v>
      </c>
      <c r="E2107" t="s">
        <v>1187</v>
      </c>
      <c r="F2107" t="s">
        <v>516</v>
      </c>
      <c r="G2107">
        <v>1</v>
      </c>
      <c r="H2107" s="21">
        <v>1409.71</v>
      </c>
      <c r="I2107">
        <v>10</v>
      </c>
      <c r="J2107" s="21">
        <v>140.97</v>
      </c>
      <c r="K2107">
        <v>12</v>
      </c>
      <c r="L2107" s="21">
        <v>152.25</v>
      </c>
      <c r="M2107" s="21">
        <v>1420.99</v>
      </c>
      <c r="N2107" s="21">
        <v>1029.24</v>
      </c>
      <c r="O2107" s="21">
        <v>239.5</v>
      </c>
      <c r="P2107" t="s">
        <v>126</v>
      </c>
      <c r="Q2107" t="s">
        <v>120</v>
      </c>
      <c r="R2107" t="s">
        <v>151</v>
      </c>
      <c r="S2107" t="s">
        <v>2824</v>
      </c>
      <c r="T2107" t="s">
        <v>153</v>
      </c>
      <c r="U2107" t="s">
        <v>154</v>
      </c>
      <c r="V2107" t="str">
        <f>IFERROR(INDEX(Products!$C:$C,MATCH(D2107,Products!$A:$A,0)),"Unknown")</f>
        <v>Sportswear</v>
      </c>
      <c r="W2107" t="str">
        <f>IFERROR(INDEX(Products!$E:$E,MATCH(D2107,Products!$A:$A,0)),"Unknown")</f>
        <v>Global Desi</v>
      </c>
      <c r="X2107" t="str">
        <f>IFERROR(INDEX(Stores!$B:$B,MATCH(E2107,Stores!$A:$A,0)),"Unknown")</f>
        <v>TrendMart Vijayawada Mall Kiosk</v>
      </c>
      <c r="Y2107" t="str">
        <f>IFERROR(INDEX(Stores!$E:$E,MATCH(E2107,Stores!$A:$A,0)),"Unknown")</f>
        <v>South Zone 3</v>
      </c>
      <c r="Z2107" t="str">
        <f>IFERROR(INDEX(Customers!$J:$J,MATCH(C2107,Customers!$A:$A,0)),"Unknown")</f>
        <v>Silver</v>
      </c>
      <c r="AA2107" t="str">
        <f t="shared" si="32"/>
        <v>2024-11</v>
      </c>
      <c r="AB2107" t="str">
        <f>IFERROR(INDEX(Products!$I:$I,MATCH(D2107,Products!$A:$A,0)),"Unknown")</f>
        <v>SUP020</v>
      </c>
    </row>
    <row r="2108" spans="1:28" x14ac:dyDescent="0.25">
      <c r="A2108" t="s">
        <v>4123</v>
      </c>
      <c r="B2108" s="20">
        <v>45439</v>
      </c>
      <c r="C2108" t="s">
        <v>1680</v>
      </c>
      <c r="D2108" t="s">
        <v>864</v>
      </c>
      <c r="E2108" t="s">
        <v>1068</v>
      </c>
      <c r="F2108" t="s">
        <v>462</v>
      </c>
      <c r="G2108">
        <v>2</v>
      </c>
      <c r="H2108" s="21">
        <v>3195.62</v>
      </c>
      <c r="I2108">
        <v>0</v>
      </c>
      <c r="J2108" s="21">
        <v>0</v>
      </c>
      <c r="K2108">
        <v>3</v>
      </c>
      <c r="L2108" s="21">
        <v>191.74</v>
      </c>
      <c r="M2108" s="21">
        <v>6582.98</v>
      </c>
      <c r="N2108" s="21">
        <v>3979.86</v>
      </c>
      <c r="O2108" s="21">
        <v>2411.38</v>
      </c>
      <c r="P2108" t="s">
        <v>123</v>
      </c>
      <c r="Q2108" t="s">
        <v>122</v>
      </c>
      <c r="R2108" t="s">
        <v>151</v>
      </c>
      <c r="S2108" t="s">
        <v>1208</v>
      </c>
      <c r="T2108" t="s">
        <v>153</v>
      </c>
      <c r="U2108" t="s">
        <v>154</v>
      </c>
      <c r="V2108" t="str">
        <f>IFERROR(INDEX(Products!$C:$C,MATCH(D2108,Products!$A:$A,0)),"Unknown")</f>
        <v>Jewellery</v>
      </c>
      <c r="W2108" t="str">
        <f>IFERROR(INDEX(Products!$E:$E,MATCH(D2108,Products!$A:$A,0)),"Unknown")</f>
        <v>Wrangler</v>
      </c>
      <c r="X2108" t="str">
        <f>IFERROR(INDEX(Stores!$B:$B,MATCH(E2108,Stores!$A:$A,0)),"Unknown")</f>
        <v>TrendMart Tumakuru High Street</v>
      </c>
      <c r="Y2108" t="str">
        <f>IFERROR(INDEX(Stores!$E:$E,MATCH(E2108,Stores!$A:$A,0)),"Unknown")</f>
        <v>South Zone 2</v>
      </c>
      <c r="Z2108" t="str">
        <f>IFERROR(INDEX(Customers!$J:$J,MATCH(C2108,Customers!$A:$A,0)),"Unknown")</f>
        <v>Regular</v>
      </c>
      <c r="AA2108" t="str">
        <f t="shared" si="32"/>
        <v>2024-05</v>
      </c>
      <c r="AB2108" t="str">
        <f>IFERROR(INDEX(Products!$I:$I,MATCH(D2108,Products!$A:$A,0)),"Unknown")</f>
        <v>SUP070</v>
      </c>
    </row>
    <row r="2109" spans="1:28" x14ac:dyDescent="0.25">
      <c r="A2109" t="s">
        <v>4124</v>
      </c>
      <c r="B2109" s="20">
        <v>45463</v>
      </c>
      <c r="C2109" t="s">
        <v>316</v>
      </c>
      <c r="D2109" t="s">
        <v>680</v>
      </c>
      <c r="E2109" t="s">
        <v>181</v>
      </c>
      <c r="F2109" t="s">
        <v>182</v>
      </c>
      <c r="G2109">
        <v>2</v>
      </c>
      <c r="H2109" s="21">
        <v>674.83</v>
      </c>
      <c r="I2109">
        <v>0</v>
      </c>
      <c r="J2109" s="21">
        <v>0</v>
      </c>
      <c r="K2109">
        <v>5</v>
      </c>
      <c r="L2109" s="21">
        <v>67.48</v>
      </c>
      <c r="M2109" s="21">
        <v>1417.14</v>
      </c>
      <c r="N2109" s="21">
        <v>807.42</v>
      </c>
      <c r="O2109" s="21">
        <v>542.24</v>
      </c>
      <c r="P2109" t="s">
        <v>121</v>
      </c>
      <c r="Q2109" t="s">
        <v>122</v>
      </c>
      <c r="R2109" t="s">
        <v>151</v>
      </c>
      <c r="S2109" t="s">
        <v>2512</v>
      </c>
      <c r="T2109" t="s">
        <v>153</v>
      </c>
      <c r="U2109" t="s">
        <v>154</v>
      </c>
      <c r="V2109" t="str">
        <f>IFERROR(INDEX(Products!$C:$C,MATCH(D2109,Products!$A:$A,0)),"Unknown")</f>
        <v>Accessories</v>
      </c>
      <c r="W2109" t="str">
        <f>IFERROR(INDEX(Products!$E:$E,MATCH(D2109,Products!$A:$A,0)),"Unknown")</f>
        <v>Westside</v>
      </c>
      <c r="X2109" t="str">
        <f>IFERROR(INDEX(Stores!$B:$B,MATCH(E2109,Stores!$A:$A,0)),"Unknown")</f>
        <v>TrendMart Kurnool High Street</v>
      </c>
      <c r="Y2109" t="str">
        <f>IFERROR(INDEX(Stores!$E:$E,MATCH(E2109,Stores!$A:$A,0)),"Unknown")</f>
        <v>South Zone 3</v>
      </c>
      <c r="Z2109" t="str">
        <f>IFERROR(INDEX(Customers!$J:$J,MATCH(C2109,Customers!$A:$A,0)),"Unknown")</f>
        <v>Regular</v>
      </c>
      <c r="AA2109" t="str">
        <f t="shared" si="32"/>
        <v>2024-06</v>
      </c>
      <c r="AB2109" t="str">
        <f>IFERROR(INDEX(Products!$I:$I,MATCH(D2109,Products!$A:$A,0)),"Unknown")</f>
        <v>SUP064</v>
      </c>
    </row>
    <row r="2110" spans="1:28" x14ac:dyDescent="0.25">
      <c r="A2110" t="s">
        <v>4125</v>
      </c>
      <c r="B2110" s="20">
        <v>45524</v>
      </c>
      <c r="C2110" t="s">
        <v>1331</v>
      </c>
      <c r="D2110" t="s">
        <v>164</v>
      </c>
      <c r="E2110" t="s">
        <v>1023</v>
      </c>
      <c r="F2110" t="s">
        <v>182</v>
      </c>
      <c r="G2110">
        <v>2</v>
      </c>
      <c r="H2110" s="21">
        <v>3787.62</v>
      </c>
      <c r="I2110">
        <v>10</v>
      </c>
      <c r="J2110" s="21">
        <v>757.52</v>
      </c>
      <c r="K2110">
        <v>12</v>
      </c>
      <c r="L2110" s="21">
        <v>818.13</v>
      </c>
      <c r="M2110" s="21">
        <v>7635.85</v>
      </c>
      <c r="N2110" s="21">
        <v>5267.12</v>
      </c>
      <c r="O2110" s="21">
        <v>1550.6</v>
      </c>
      <c r="P2110" t="s">
        <v>121</v>
      </c>
      <c r="Q2110" t="s">
        <v>122</v>
      </c>
      <c r="R2110" t="s">
        <v>151</v>
      </c>
      <c r="S2110" t="s">
        <v>1540</v>
      </c>
      <c r="T2110" t="s">
        <v>153</v>
      </c>
      <c r="U2110" t="s">
        <v>154</v>
      </c>
      <c r="V2110" t="str">
        <f>IFERROR(INDEX(Products!$C:$C,MATCH(D2110,Products!$A:$A,0)),"Unknown")</f>
        <v>Women Sarees</v>
      </c>
      <c r="W2110" t="str">
        <f>IFERROR(INDEX(Products!$E:$E,MATCH(D2110,Products!$A:$A,0)),"Unknown")</f>
        <v>Westside</v>
      </c>
      <c r="X2110" t="str">
        <f>IFERROR(INDEX(Stores!$B:$B,MATCH(E2110,Stores!$A:$A,0)),"Unknown")</f>
        <v>TrendMart Kochi High Street</v>
      </c>
      <c r="Y2110" t="str">
        <f>IFERROR(INDEX(Stores!$E:$E,MATCH(E2110,Stores!$A:$A,0)),"Unknown")</f>
        <v>South Zone 1</v>
      </c>
      <c r="Z2110" t="str">
        <f>IFERROR(INDEX(Customers!$J:$J,MATCH(C2110,Customers!$A:$A,0)),"Unknown")</f>
        <v>Regular</v>
      </c>
      <c r="AA2110" t="str">
        <f t="shared" si="32"/>
        <v>2024-08</v>
      </c>
      <c r="AB2110" t="str">
        <f>IFERROR(INDEX(Products!$I:$I,MATCH(D2110,Products!$A:$A,0)),"Unknown")</f>
        <v>SUP069</v>
      </c>
    </row>
    <row r="2111" spans="1:28" x14ac:dyDescent="0.25">
      <c r="A2111" t="s">
        <v>4126</v>
      </c>
      <c r="B2111" s="20">
        <v>45590</v>
      </c>
      <c r="C2111" t="s">
        <v>1305</v>
      </c>
      <c r="D2111" t="s">
        <v>1972</v>
      </c>
      <c r="E2111" t="s">
        <v>1426</v>
      </c>
      <c r="F2111" t="s">
        <v>618</v>
      </c>
      <c r="G2111">
        <v>5</v>
      </c>
      <c r="H2111" s="21">
        <v>1002.25</v>
      </c>
      <c r="I2111">
        <v>5</v>
      </c>
      <c r="J2111" s="21">
        <v>250.56</v>
      </c>
      <c r="K2111">
        <v>12</v>
      </c>
      <c r="L2111" s="21">
        <v>571.28</v>
      </c>
      <c r="M2111" s="21">
        <v>5331.97</v>
      </c>
      <c r="N2111" s="21">
        <v>3612</v>
      </c>
      <c r="O2111" s="21">
        <v>1148.69</v>
      </c>
      <c r="P2111" t="s">
        <v>123</v>
      </c>
      <c r="Q2111" t="s">
        <v>122</v>
      </c>
      <c r="R2111" t="s">
        <v>151</v>
      </c>
      <c r="S2111" t="s">
        <v>982</v>
      </c>
      <c r="T2111" t="s">
        <v>153</v>
      </c>
      <c r="U2111" t="s">
        <v>154</v>
      </c>
      <c r="V2111" t="str">
        <f>IFERROR(INDEX(Products!$C:$C,MATCH(D2111,Products!$A:$A,0)),"Unknown")</f>
        <v>Women Jeans</v>
      </c>
      <c r="W2111" t="str">
        <f>IFERROR(INDEX(Products!$E:$E,MATCH(D2111,Products!$A:$A,0)),"Unknown")</f>
        <v>Spykar</v>
      </c>
      <c r="X2111" t="str">
        <f>IFERROR(INDEX(Stores!$B:$B,MATCH(E2111,Stores!$A:$A,0)),"Unknown")</f>
        <v>TrendMart Alappuzha Mall Kiosk</v>
      </c>
      <c r="Y2111" t="str">
        <f>IFERROR(INDEX(Stores!$E:$E,MATCH(E2111,Stores!$A:$A,0)),"Unknown")</f>
        <v>South Zone 1</v>
      </c>
      <c r="Z2111" t="str">
        <f>IFERROR(INDEX(Customers!$J:$J,MATCH(C2111,Customers!$A:$A,0)),"Unknown")</f>
        <v>Gold</v>
      </c>
      <c r="AA2111" t="str">
        <f t="shared" si="32"/>
        <v>2024-10</v>
      </c>
      <c r="AB2111" t="str">
        <f>IFERROR(INDEX(Products!$I:$I,MATCH(D2111,Products!$A:$A,0)),"Unknown")</f>
        <v>SUP087</v>
      </c>
    </row>
    <row r="2112" spans="1:28" x14ac:dyDescent="0.25">
      <c r="A2112" t="s">
        <v>4127</v>
      </c>
      <c r="B2112" s="20">
        <v>45628</v>
      </c>
      <c r="C2112" t="s">
        <v>1398</v>
      </c>
      <c r="D2112" t="s">
        <v>225</v>
      </c>
      <c r="E2112" t="s">
        <v>1163</v>
      </c>
      <c r="F2112" t="s">
        <v>532</v>
      </c>
      <c r="G2112">
        <v>2</v>
      </c>
      <c r="H2112" s="21">
        <v>1829</v>
      </c>
      <c r="I2112">
        <v>10</v>
      </c>
      <c r="J2112" s="21">
        <v>365.8</v>
      </c>
      <c r="K2112">
        <v>12</v>
      </c>
      <c r="L2112" s="21">
        <v>395.06</v>
      </c>
      <c r="M2112" s="21">
        <v>3687.26</v>
      </c>
      <c r="N2112" s="21">
        <v>2814.66</v>
      </c>
      <c r="O2112" s="21">
        <v>477.54</v>
      </c>
      <c r="P2112" t="s">
        <v>123</v>
      </c>
      <c r="Q2112" t="s">
        <v>122</v>
      </c>
      <c r="R2112" t="s">
        <v>151</v>
      </c>
      <c r="S2112" t="s">
        <v>2326</v>
      </c>
      <c r="T2112" t="s">
        <v>153</v>
      </c>
      <c r="U2112" t="s">
        <v>154</v>
      </c>
      <c r="V2112" t="str">
        <f>IFERROR(INDEX(Products!$C:$C,MATCH(D2112,Products!$A:$A,0)),"Unknown")</f>
        <v>Women Dresses</v>
      </c>
      <c r="W2112" t="str">
        <f>IFERROR(INDEX(Products!$E:$E,MATCH(D2112,Products!$A:$A,0)),"Unknown")</f>
        <v>Tanishq</v>
      </c>
      <c r="X2112" t="str">
        <f>IFERROR(INDEX(Stores!$B:$B,MATCH(E2112,Stores!$A:$A,0)),"Unknown")</f>
        <v>TrendMart Alappuzha Outlet</v>
      </c>
      <c r="Y2112" t="str">
        <f>IFERROR(INDEX(Stores!$E:$E,MATCH(E2112,Stores!$A:$A,0)),"Unknown")</f>
        <v>South Zone 1</v>
      </c>
      <c r="Z2112" t="str">
        <f>IFERROR(INDEX(Customers!$J:$J,MATCH(C2112,Customers!$A:$A,0)),"Unknown")</f>
        <v>Silver</v>
      </c>
      <c r="AA2112" t="str">
        <f t="shared" si="32"/>
        <v>2024-12</v>
      </c>
      <c r="AB2112" t="str">
        <f>IFERROR(INDEX(Products!$I:$I,MATCH(D2112,Products!$A:$A,0)),"Unknown")</f>
        <v>SUP063</v>
      </c>
    </row>
    <row r="2113" spans="1:28" x14ac:dyDescent="0.25">
      <c r="A2113" t="s">
        <v>4128</v>
      </c>
      <c r="B2113" s="20">
        <v>45600</v>
      </c>
      <c r="C2113" t="s">
        <v>2197</v>
      </c>
      <c r="D2113" t="s">
        <v>381</v>
      </c>
      <c r="E2113" t="s">
        <v>1426</v>
      </c>
      <c r="F2113" t="s">
        <v>189</v>
      </c>
      <c r="G2113">
        <v>1</v>
      </c>
      <c r="H2113" s="21">
        <v>748.09</v>
      </c>
      <c r="I2113">
        <v>20</v>
      </c>
      <c r="J2113" s="21">
        <v>149.62</v>
      </c>
      <c r="K2113">
        <v>5</v>
      </c>
      <c r="L2113" s="21">
        <v>29.92</v>
      </c>
      <c r="M2113" s="21">
        <v>628.39</v>
      </c>
      <c r="N2113" s="21">
        <v>513.84</v>
      </c>
      <c r="O2113" s="21">
        <v>84.63</v>
      </c>
      <c r="P2113" t="s">
        <v>123</v>
      </c>
      <c r="Q2113" t="s">
        <v>120</v>
      </c>
      <c r="R2113" t="s">
        <v>151</v>
      </c>
      <c r="S2113" t="s">
        <v>1161</v>
      </c>
      <c r="T2113" t="s">
        <v>153</v>
      </c>
      <c r="U2113" t="s">
        <v>154</v>
      </c>
      <c r="V2113" t="str">
        <f>IFERROR(INDEX(Products!$C:$C,MATCH(D2113,Products!$A:$A,0)),"Unknown")</f>
        <v>Wallets</v>
      </c>
      <c r="W2113" t="str">
        <f>IFERROR(INDEX(Products!$E:$E,MATCH(D2113,Products!$A:$A,0)),"Unknown")</f>
        <v>Tanishq</v>
      </c>
      <c r="X2113" t="str">
        <f>IFERROR(INDEX(Stores!$B:$B,MATCH(E2113,Stores!$A:$A,0)),"Unknown")</f>
        <v>TrendMart Alappuzha Mall Kiosk</v>
      </c>
      <c r="Y2113" t="str">
        <f>IFERROR(INDEX(Stores!$E:$E,MATCH(E2113,Stores!$A:$A,0)),"Unknown")</f>
        <v>South Zone 1</v>
      </c>
      <c r="Z2113" t="str">
        <f>IFERROR(INDEX(Customers!$J:$J,MATCH(C2113,Customers!$A:$A,0)),"Unknown")</f>
        <v>Silver</v>
      </c>
      <c r="AA2113" t="str">
        <f t="shared" si="32"/>
        <v>2024-11</v>
      </c>
      <c r="AB2113" t="str">
        <f>IFERROR(INDEX(Products!$I:$I,MATCH(D2113,Products!$A:$A,0)),"Unknown")</f>
        <v>SUP007</v>
      </c>
    </row>
    <row r="2114" spans="1:28" x14ac:dyDescent="0.25">
      <c r="A2114" t="s">
        <v>4129</v>
      </c>
      <c r="B2114" s="20">
        <v>45488</v>
      </c>
      <c r="C2114" t="s">
        <v>198</v>
      </c>
      <c r="D2114" t="s">
        <v>717</v>
      </c>
      <c r="E2114" t="s">
        <v>334</v>
      </c>
      <c r="F2114" t="s">
        <v>574</v>
      </c>
      <c r="G2114">
        <v>2</v>
      </c>
      <c r="H2114" s="21">
        <v>1640.97</v>
      </c>
      <c r="I2114">
        <v>10</v>
      </c>
      <c r="J2114" s="21">
        <v>328.19</v>
      </c>
      <c r="K2114">
        <v>12</v>
      </c>
      <c r="L2114" s="21">
        <v>354.45</v>
      </c>
      <c r="M2114" s="21">
        <v>3308.2</v>
      </c>
      <c r="N2114" s="21">
        <v>2266.54</v>
      </c>
      <c r="O2114" s="21">
        <v>687.21</v>
      </c>
      <c r="P2114" t="s">
        <v>121</v>
      </c>
      <c r="Q2114" t="s">
        <v>122</v>
      </c>
      <c r="R2114" t="s">
        <v>151</v>
      </c>
      <c r="S2114" t="s">
        <v>1492</v>
      </c>
      <c r="T2114" t="s">
        <v>153</v>
      </c>
      <c r="U2114" t="s">
        <v>154</v>
      </c>
      <c r="V2114" t="str">
        <f>IFERROR(INDEX(Products!$C:$C,MATCH(D2114,Products!$A:$A,0)),"Unknown")</f>
        <v>Women Dresses</v>
      </c>
      <c r="W2114" t="str">
        <f>IFERROR(INDEX(Products!$E:$E,MATCH(D2114,Products!$A:$A,0)),"Unknown")</f>
        <v>Pantaloons</v>
      </c>
      <c r="X2114" t="str">
        <f>IFERROR(INDEX(Stores!$B:$B,MATCH(E2114,Stores!$A:$A,0)),"Unknown")</f>
        <v>TrendMart Madurai High Street</v>
      </c>
      <c r="Y2114" t="str">
        <f>IFERROR(INDEX(Stores!$E:$E,MATCH(E2114,Stores!$A:$A,0)),"Unknown")</f>
        <v>South Zone 1</v>
      </c>
      <c r="Z2114" t="str">
        <f>IFERROR(INDEX(Customers!$J:$J,MATCH(C2114,Customers!$A:$A,0)),"Unknown")</f>
        <v>Gold</v>
      </c>
      <c r="AA2114" t="str">
        <f t="shared" ref="AA2114:AA2177" si="33">TEXT(B2114,"YYYY-MM")</f>
        <v>2024-07</v>
      </c>
      <c r="AB2114" t="str">
        <f>IFERROR(INDEX(Products!$I:$I,MATCH(D2114,Products!$A:$A,0)),"Unknown")</f>
        <v>SUP046</v>
      </c>
    </row>
    <row r="2115" spans="1:28" x14ac:dyDescent="0.25">
      <c r="A2115" t="s">
        <v>4130</v>
      </c>
      <c r="B2115" s="20">
        <v>45552</v>
      </c>
      <c r="C2115" t="s">
        <v>611</v>
      </c>
      <c r="D2115" t="s">
        <v>693</v>
      </c>
      <c r="E2115" t="s">
        <v>634</v>
      </c>
      <c r="F2115" t="s">
        <v>269</v>
      </c>
      <c r="G2115">
        <v>1</v>
      </c>
      <c r="H2115" s="21">
        <v>2851.53</v>
      </c>
      <c r="I2115">
        <v>30</v>
      </c>
      <c r="J2115" s="21">
        <v>855.46</v>
      </c>
      <c r="K2115">
        <v>12</v>
      </c>
      <c r="L2115" s="21">
        <v>239.53</v>
      </c>
      <c r="M2115" s="21">
        <v>2235.6</v>
      </c>
      <c r="N2115" s="21">
        <v>2198.2199999999998</v>
      </c>
      <c r="O2115" s="21">
        <v>-202.15</v>
      </c>
      <c r="P2115" t="s">
        <v>125</v>
      </c>
      <c r="Q2115" t="s">
        <v>122</v>
      </c>
      <c r="R2115" t="s">
        <v>151</v>
      </c>
      <c r="S2115" t="s">
        <v>1608</v>
      </c>
      <c r="T2115" t="s">
        <v>153</v>
      </c>
      <c r="U2115" t="s">
        <v>184</v>
      </c>
      <c r="V2115" t="str">
        <f>IFERROR(INDEX(Products!$C:$C,MATCH(D2115,Products!$A:$A,0)),"Unknown")</f>
        <v>Handbags</v>
      </c>
      <c r="W2115" t="str">
        <f>IFERROR(INDEX(Products!$E:$E,MATCH(D2115,Products!$A:$A,0)),"Unknown")</f>
        <v>Woodland</v>
      </c>
      <c r="X2115" t="str">
        <f>IFERROR(INDEX(Stores!$B:$B,MATCH(E2115,Stores!$A:$A,0)),"Unknown")</f>
        <v>TrendMart Thrissur High Street</v>
      </c>
      <c r="Y2115" t="str">
        <f>IFERROR(INDEX(Stores!$E:$E,MATCH(E2115,Stores!$A:$A,0)),"Unknown")</f>
        <v>South Zone 1</v>
      </c>
      <c r="Z2115" t="str">
        <f>IFERROR(INDEX(Customers!$J:$J,MATCH(C2115,Customers!$A:$A,0)),"Unknown")</f>
        <v>Regular</v>
      </c>
      <c r="AA2115" t="str">
        <f t="shared" si="33"/>
        <v>2024-09</v>
      </c>
      <c r="AB2115" t="str">
        <f>IFERROR(INDEX(Products!$I:$I,MATCH(D2115,Products!$A:$A,0)),"Unknown")</f>
        <v>SUP090</v>
      </c>
    </row>
    <row r="2116" spans="1:28" x14ac:dyDescent="0.25">
      <c r="A2116" t="s">
        <v>4131</v>
      </c>
      <c r="B2116" s="20">
        <v>45454</v>
      </c>
      <c r="C2116" t="s">
        <v>871</v>
      </c>
      <c r="D2116" t="s">
        <v>841</v>
      </c>
      <c r="E2116" t="s">
        <v>200</v>
      </c>
      <c r="F2116" t="s">
        <v>550</v>
      </c>
      <c r="G2116">
        <v>2</v>
      </c>
      <c r="H2116" s="21">
        <v>1592.79</v>
      </c>
      <c r="I2116">
        <v>10</v>
      </c>
      <c r="J2116" s="21">
        <v>318.56</v>
      </c>
      <c r="K2116">
        <v>12</v>
      </c>
      <c r="L2116" s="21">
        <v>344.04</v>
      </c>
      <c r="M2116" s="21">
        <v>3211.06</v>
      </c>
      <c r="N2116" s="21">
        <v>2123</v>
      </c>
      <c r="O2116" s="21">
        <v>744.02</v>
      </c>
      <c r="P2116" t="s">
        <v>121</v>
      </c>
      <c r="Q2116" t="s">
        <v>120</v>
      </c>
      <c r="R2116" t="s">
        <v>151</v>
      </c>
      <c r="S2116" t="s">
        <v>430</v>
      </c>
      <c r="T2116" t="s">
        <v>153</v>
      </c>
      <c r="U2116" t="s">
        <v>154</v>
      </c>
      <c r="V2116" t="str">
        <f>IFERROR(INDEX(Products!$C:$C,MATCH(D2116,Products!$A:$A,0)),"Unknown")</f>
        <v>Men Jeans</v>
      </c>
      <c r="W2116" t="str">
        <f>IFERROR(INDEX(Products!$E:$E,MATCH(D2116,Products!$A:$A,0)),"Unknown")</f>
        <v>Killer Jeans</v>
      </c>
      <c r="X2116" t="str">
        <f>IFERROR(INDEX(Stores!$B:$B,MATCH(E2116,Stores!$A:$A,0)),"Unknown")</f>
        <v>TrendMart Kozhikode Standard</v>
      </c>
      <c r="Y2116" t="str">
        <f>IFERROR(INDEX(Stores!$E:$E,MATCH(E2116,Stores!$A:$A,0)),"Unknown")</f>
        <v>South Zone 1</v>
      </c>
      <c r="Z2116" t="str">
        <f>IFERROR(INDEX(Customers!$J:$J,MATCH(C2116,Customers!$A:$A,0)),"Unknown")</f>
        <v>Regular</v>
      </c>
      <c r="AA2116" t="str">
        <f t="shared" si="33"/>
        <v>2024-06</v>
      </c>
      <c r="AB2116" t="str">
        <f>IFERROR(INDEX(Products!$I:$I,MATCH(D2116,Products!$A:$A,0)),"Unknown")</f>
        <v>SUP058</v>
      </c>
    </row>
    <row r="2117" spans="1:28" x14ac:dyDescent="0.25">
      <c r="A2117" t="s">
        <v>4132</v>
      </c>
      <c r="B2117" s="20">
        <v>45417</v>
      </c>
      <c r="C2117" t="s">
        <v>649</v>
      </c>
      <c r="D2117" t="s">
        <v>662</v>
      </c>
      <c r="E2117" t="s">
        <v>81</v>
      </c>
      <c r="F2117" t="s">
        <v>550</v>
      </c>
      <c r="G2117">
        <v>3</v>
      </c>
      <c r="H2117" s="21">
        <v>532.17999999999995</v>
      </c>
      <c r="I2117">
        <v>20</v>
      </c>
      <c r="J2117" s="21">
        <v>319.31</v>
      </c>
      <c r="K2117">
        <v>5</v>
      </c>
      <c r="L2117" s="21">
        <v>63.86</v>
      </c>
      <c r="M2117" s="21">
        <v>1341.09</v>
      </c>
      <c r="N2117" s="21">
        <v>899.58</v>
      </c>
      <c r="O2117" s="21">
        <v>377.65</v>
      </c>
      <c r="P2117" t="s">
        <v>121</v>
      </c>
      <c r="Q2117" t="s">
        <v>122</v>
      </c>
      <c r="R2117" t="s">
        <v>151</v>
      </c>
      <c r="S2117" t="s">
        <v>674</v>
      </c>
      <c r="T2117" t="s">
        <v>161</v>
      </c>
      <c r="U2117" t="s">
        <v>154</v>
      </c>
      <c r="V2117" t="str">
        <f>IFERROR(INDEX(Products!$C:$C,MATCH(D2117,Products!$A:$A,0)),"Unknown")</f>
        <v>Men T-Shirts</v>
      </c>
      <c r="W2117" t="str">
        <f>IFERROR(INDEX(Products!$E:$E,MATCH(D2117,Products!$A:$A,0)),"Unknown")</f>
        <v>Global Desi</v>
      </c>
      <c r="X2117" t="str">
        <f>IFERROR(INDEX(Stores!$B:$B,MATCH(E2117,Stores!$A:$A,0)),"Unknown")</f>
        <v>TrendMart Vijayawada High Street</v>
      </c>
      <c r="Y2117" t="str">
        <f>IFERROR(INDEX(Stores!$E:$E,MATCH(E2117,Stores!$A:$A,0)),"Unknown")</f>
        <v>South Zone 3</v>
      </c>
      <c r="Z2117" t="str">
        <f>IFERROR(INDEX(Customers!$J:$J,MATCH(C2117,Customers!$A:$A,0)),"Unknown")</f>
        <v>Silver</v>
      </c>
      <c r="AA2117" t="str">
        <f t="shared" si="33"/>
        <v>2024-05</v>
      </c>
      <c r="AB2117" t="str">
        <f>IFERROR(INDEX(Products!$I:$I,MATCH(D2117,Products!$A:$A,0)),"Unknown")</f>
        <v>SUP049</v>
      </c>
    </row>
    <row r="2118" spans="1:28" x14ac:dyDescent="0.25">
      <c r="A2118" t="s">
        <v>4133</v>
      </c>
      <c r="B2118" s="20">
        <v>45628</v>
      </c>
      <c r="C2118" t="s">
        <v>2797</v>
      </c>
      <c r="D2118" t="s">
        <v>1466</v>
      </c>
      <c r="E2118" t="s">
        <v>355</v>
      </c>
      <c r="F2118" t="s">
        <v>253</v>
      </c>
      <c r="G2118">
        <v>3</v>
      </c>
      <c r="H2118" s="21">
        <v>755.29</v>
      </c>
      <c r="I2118">
        <v>0</v>
      </c>
      <c r="J2118" s="21">
        <v>0</v>
      </c>
      <c r="K2118">
        <v>5</v>
      </c>
      <c r="L2118" s="21">
        <v>113.29</v>
      </c>
      <c r="M2118" s="21">
        <v>2379.16</v>
      </c>
      <c r="N2118" s="21">
        <v>1284.48</v>
      </c>
      <c r="O2118" s="21">
        <v>981.39</v>
      </c>
      <c r="P2118" t="s">
        <v>124</v>
      </c>
      <c r="Q2118" t="s">
        <v>120</v>
      </c>
      <c r="R2118" t="s">
        <v>313</v>
      </c>
      <c r="S2118" t="s">
        <v>369</v>
      </c>
      <c r="T2118" t="s">
        <v>153</v>
      </c>
      <c r="U2118" t="s">
        <v>154</v>
      </c>
      <c r="V2118" t="str">
        <f>IFERROR(INDEX(Products!$C:$C,MATCH(D2118,Products!$A:$A,0)),"Unknown")</f>
        <v>Men T-Shirts</v>
      </c>
      <c r="W2118" t="str">
        <f>IFERROR(INDEX(Products!$E:$E,MATCH(D2118,Products!$A:$A,0)),"Unknown")</f>
        <v>Killer Jeans</v>
      </c>
      <c r="X2118" t="str">
        <f>IFERROR(INDEX(Stores!$B:$B,MATCH(E2118,Stores!$A:$A,0)),"Unknown")</f>
        <v>TrendMart Thiruvananthapuram High Street</v>
      </c>
      <c r="Y2118" t="str">
        <f>IFERROR(INDEX(Stores!$E:$E,MATCH(E2118,Stores!$A:$A,0)),"Unknown")</f>
        <v>South Zone 1</v>
      </c>
      <c r="Z2118" t="str">
        <f>IFERROR(INDEX(Customers!$J:$J,MATCH(C2118,Customers!$A:$A,0)),"Unknown")</f>
        <v>Regular</v>
      </c>
      <c r="AA2118" t="str">
        <f t="shared" si="33"/>
        <v>2024-12</v>
      </c>
      <c r="AB2118" t="str">
        <f>IFERROR(INDEX(Products!$I:$I,MATCH(D2118,Products!$A:$A,0)),"Unknown")</f>
        <v>SUP069</v>
      </c>
    </row>
    <row r="2119" spans="1:28" x14ac:dyDescent="0.25">
      <c r="A2119" t="s">
        <v>4134</v>
      </c>
      <c r="B2119" s="20">
        <v>45586</v>
      </c>
      <c r="C2119" t="s">
        <v>3602</v>
      </c>
      <c r="D2119" t="s">
        <v>756</v>
      </c>
      <c r="E2119" t="s">
        <v>343</v>
      </c>
      <c r="F2119" t="s">
        <v>221</v>
      </c>
      <c r="G2119">
        <v>1</v>
      </c>
      <c r="H2119" s="21">
        <v>715.42</v>
      </c>
      <c r="I2119">
        <v>25</v>
      </c>
      <c r="J2119" s="21">
        <v>178.85</v>
      </c>
      <c r="K2119">
        <v>5</v>
      </c>
      <c r="L2119" s="21">
        <v>26.83</v>
      </c>
      <c r="M2119" s="21">
        <v>563.4</v>
      </c>
      <c r="N2119" s="21">
        <v>522.38</v>
      </c>
      <c r="O2119" s="21">
        <v>14.19</v>
      </c>
      <c r="P2119" t="s">
        <v>121</v>
      </c>
      <c r="Q2119" t="s">
        <v>122</v>
      </c>
      <c r="R2119" t="s">
        <v>151</v>
      </c>
      <c r="S2119" t="s">
        <v>2190</v>
      </c>
      <c r="T2119" t="s">
        <v>153</v>
      </c>
      <c r="U2119" t="s">
        <v>154</v>
      </c>
      <c r="V2119" t="str">
        <f>IFERROR(INDEX(Products!$C:$C,MATCH(D2119,Products!$A:$A,0)),"Unknown")</f>
        <v>Women Tops</v>
      </c>
      <c r="W2119" t="str">
        <f>IFERROR(INDEX(Products!$E:$E,MATCH(D2119,Products!$A:$A,0)),"Unknown")</f>
        <v>Peter England</v>
      </c>
      <c r="X2119" t="str">
        <f>IFERROR(INDEX(Stores!$B:$B,MATCH(E2119,Stores!$A:$A,0)),"Unknown")</f>
        <v>TrendMart Tumakuru Outlet</v>
      </c>
      <c r="Y2119" t="str">
        <f>IFERROR(INDEX(Stores!$E:$E,MATCH(E2119,Stores!$A:$A,0)),"Unknown")</f>
        <v>South Zone 2</v>
      </c>
      <c r="Z2119" t="str">
        <f>IFERROR(INDEX(Customers!$J:$J,MATCH(C2119,Customers!$A:$A,0)),"Unknown")</f>
        <v>Platinum</v>
      </c>
      <c r="AA2119" t="str">
        <f t="shared" si="33"/>
        <v>2024-10</v>
      </c>
      <c r="AB2119" t="str">
        <f>IFERROR(INDEX(Products!$I:$I,MATCH(D2119,Products!$A:$A,0)),"Unknown")</f>
        <v>SUP018</v>
      </c>
    </row>
    <row r="2120" spans="1:28" x14ac:dyDescent="0.25">
      <c r="A2120" t="s">
        <v>4135</v>
      </c>
      <c r="B2120" s="20">
        <v>45530</v>
      </c>
      <c r="C2120" t="s">
        <v>2050</v>
      </c>
      <c r="D2120" t="s">
        <v>717</v>
      </c>
      <c r="E2120" t="s">
        <v>280</v>
      </c>
      <c r="F2120" t="s">
        <v>201</v>
      </c>
      <c r="G2120">
        <v>3</v>
      </c>
      <c r="H2120" s="21">
        <v>1687.94</v>
      </c>
      <c r="I2120">
        <v>25</v>
      </c>
      <c r="J2120" s="21">
        <v>1265.95</v>
      </c>
      <c r="K2120">
        <v>12</v>
      </c>
      <c r="L2120" s="21">
        <v>455.74</v>
      </c>
      <c r="M2120" s="21">
        <v>4253.6099999999997</v>
      </c>
      <c r="N2120" s="21">
        <v>3399.81</v>
      </c>
      <c r="O2120" s="21">
        <v>398.06</v>
      </c>
      <c r="P2120" t="s">
        <v>121</v>
      </c>
      <c r="Q2120" t="s">
        <v>122</v>
      </c>
      <c r="R2120" t="s">
        <v>151</v>
      </c>
      <c r="S2120" t="s">
        <v>1469</v>
      </c>
      <c r="T2120" t="s">
        <v>153</v>
      </c>
      <c r="U2120" t="s">
        <v>154</v>
      </c>
      <c r="V2120" t="str">
        <f>IFERROR(INDEX(Products!$C:$C,MATCH(D2120,Products!$A:$A,0)),"Unknown")</f>
        <v>Women Dresses</v>
      </c>
      <c r="W2120" t="str">
        <f>IFERROR(INDEX(Products!$E:$E,MATCH(D2120,Products!$A:$A,0)),"Unknown")</f>
        <v>Pantaloons</v>
      </c>
      <c r="X2120" t="str">
        <f>IFERROR(INDEX(Stores!$B:$B,MATCH(E2120,Stores!$A:$A,0)),"Unknown")</f>
        <v>TrendMart Chennai Standard</v>
      </c>
      <c r="Y2120" t="str">
        <f>IFERROR(INDEX(Stores!$E:$E,MATCH(E2120,Stores!$A:$A,0)),"Unknown")</f>
        <v>South Zone 1</v>
      </c>
      <c r="Z2120" t="str">
        <f>IFERROR(INDEX(Customers!$J:$J,MATCH(C2120,Customers!$A:$A,0)),"Unknown")</f>
        <v>Gold</v>
      </c>
      <c r="AA2120" t="str">
        <f t="shared" si="33"/>
        <v>2024-08</v>
      </c>
      <c r="AB2120" t="str">
        <f>IFERROR(INDEX(Products!$I:$I,MATCH(D2120,Products!$A:$A,0)),"Unknown")</f>
        <v>SUP046</v>
      </c>
    </row>
    <row r="2121" spans="1:28" x14ac:dyDescent="0.25">
      <c r="A2121" t="s">
        <v>4136</v>
      </c>
      <c r="B2121" s="20">
        <v>45737</v>
      </c>
      <c r="C2121" t="s">
        <v>2702</v>
      </c>
      <c r="D2121" t="s">
        <v>599</v>
      </c>
      <c r="E2121" t="s">
        <v>1141</v>
      </c>
      <c r="F2121" t="s">
        <v>297</v>
      </c>
      <c r="G2121">
        <v>1</v>
      </c>
      <c r="H2121" s="21">
        <v>1010.32</v>
      </c>
      <c r="I2121">
        <v>10</v>
      </c>
      <c r="J2121" s="21">
        <v>101.03</v>
      </c>
      <c r="K2121">
        <v>12</v>
      </c>
      <c r="L2121" s="21">
        <v>109.11</v>
      </c>
      <c r="M2121" s="21">
        <v>1018.4</v>
      </c>
      <c r="N2121" s="21">
        <v>645.59</v>
      </c>
      <c r="O2121" s="21">
        <v>263.7</v>
      </c>
      <c r="P2121" t="s">
        <v>121</v>
      </c>
      <c r="Q2121" t="s">
        <v>120</v>
      </c>
      <c r="R2121" t="s">
        <v>151</v>
      </c>
      <c r="S2121" t="s">
        <v>3193</v>
      </c>
      <c r="T2121" t="s">
        <v>153</v>
      </c>
      <c r="U2121" t="s">
        <v>154</v>
      </c>
      <c r="V2121" t="str">
        <f>IFERROR(INDEX(Products!$C:$C,MATCH(D2121,Products!$A:$A,0)),"Unknown")</f>
        <v>Men Shirts</v>
      </c>
      <c r="W2121" t="str">
        <f>IFERROR(INDEX(Products!$E:$E,MATCH(D2121,Products!$A:$A,0)),"Unknown")</f>
        <v>Van Heusen</v>
      </c>
      <c r="X2121" t="str">
        <f>IFERROR(INDEX(Stores!$B:$B,MATCH(E2121,Stores!$A:$A,0)),"Unknown")</f>
        <v>TrendMart Kochi Standard</v>
      </c>
      <c r="Y2121" t="str">
        <f>IFERROR(INDEX(Stores!$E:$E,MATCH(E2121,Stores!$A:$A,0)),"Unknown")</f>
        <v>South Zone 1</v>
      </c>
      <c r="Z2121" t="str">
        <f>IFERROR(INDEX(Customers!$J:$J,MATCH(C2121,Customers!$A:$A,0)),"Unknown")</f>
        <v>Platinum</v>
      </c>
      <c r="AA2121" t="str">
        <f t="shared" si="33"/>
        <v>2025-03</v>
      </c>
      <c r="AB2121" t="str">
        <f>IFERROR(INDEX(Products!$I:$I,MATCH(D2121,Products!$A:$A,0)),"Unknown")</f>
        <v>SUP084</v>
      </c>
    </row>
    <row r="2122" spans="1:28" x14ac:dyDescent="0.25">
      <c r="A2122" t="s">
        <v>4137</v>
      </c>
      <c r="B2122" s="20">
        <v>45689</v>
      </c>
      <c r="C2122" t="s">
        <v>2797</v>
      </c>
      <c r="D2122" t="s">
        <v>1219</v>
      </c>
      <c r="E2122" t="s">
        <v>226</v>
      </c>
      <c r="F2122" t="s">
        <v>189</v>
      </c>
      <c r="G2122">
        <v>1</v>
      </c>
      <c r="H2122" s="21">
        <v>2911.28</v>
      </c>
      <c r="I2122">
        <v>0</v>
      </c>
      <c r="J2122" s="21">
        <v>0</v>
      </c>
      <c r="K2122">
        <v>12</v>
      </c>
      <c r="L2122" s="21">
        <v>349.35</v>
      </c>
      <c r="M2122" s="21">
        <v>3260.63</v>
      </c>
      <c r="N2122" s="21">
        <v>2039.7</v>
      </c>
      <c r="O2122" s="21">
        <v>871.58</v>
      </c>
      <c r="P2122" t="s">
        <v>123</v>
      </c>
      <c r="Q2122" t="s">
        <v>120</v>
      </c>
      <c r="R2122" t="s">
        <v>151</v>
      </c>
      <c r="S2122" t="s">
        <v>4138</v>
      </c>
      <c r="T2122" t="s">
        <v>161</v>
      </c>
      <c r="U2122" t="s">
        <v>154</v>
      </c>
      <c r="V2122" t="str">
        <f>IFERROR(INDEX(Products!$C:$C,MATCH(D2122,Products!$A:$A,0)),"Unknown")</f>
        <v>Watches</v>
      </c>
      <c r="W2122" t="str">
        <f>IFERROR(INDEX(Products!$E:$E,MATCH(D2122,Products!$A:$A,0)),"Unknown")</f>
        <v>Fossil</v>
      </c>
      <c r="X2122" t="str">
        <f>IFERROR(INDEX(Stores!$B:$B,MATCH(E2122,Stores!$A:$A,0)),"Unknown")</f>
        <v>TrendMart Kurnool Standard</v>
      </c>
      <c r="Y2122" t="str">
        <f>IFERROR(INDEX(Stores!$E:$E,MATCH(E2122,Stores!$A:$A,0)),"Unknown")</f>
        <v>South Zone 3</v>
      </c>
      <c r="Z2122" t="str">
        <f>IFERROR(INDEX(Customers!$J:$J,MATCH(C2122,Customers!$A:$A,0)),"Unknown")</f>
        <v>Regular</v>
      </c>
      <c r="AA2122" t="str">
        <f t="shared" si="33"/>
        <v>2025-02</v>
      </c>
      <c r="AB2122" t="str">
        <f>IFERROR(INDEX(Products!$I:$I,MATCH(D2122,Products!$A:$A,0)),"Unknown")</f>
        <v>SUP054</v>
      </c>
    </row>
    <row r="2123" spans="1:28" x14ac:dyDescent="0.25">
      <c r="A2123" t="s">
        <v>4139</v>
      </c>
      <c r="B2123" s="20">
        <v>45425</v>
      </c>
      <c r="C2123" t="s">
        <v>3009</v>
      </c>
      <c r="D2123" t="s">
        <v>2959</v>
      </c>
      <c r="E2123" t="s">
        <v>181</v>
      </c>
      <c r="F2123" t="s">
        <v>281</v>
      </c>
      <c r="G2123">
        <v>1</v>
      </c>
      <c r="H2123" s="21">
        <v>476.09</v>
      </c>
      <c r="I2123">
        <v>0</v>
      </c>
      <c r="J2123" s="21">
        <v>0</v>
      </c>
      <c r="K2123">
        <v>5</v>
      </c>
      <c r="L2123" s="21">
        <v>23.8</v>
      </c>
      <c r="M2123" s="21">
        <v>499.89</v>
      </c>
      <c r="N2123" s="21">
        <v>367.86</v>
      </c>
      <c r="O2123" s="21">
        <v>108.23</v>
      </c>
      <c r="P2123" t="s">
        <v>121</v>
      </c>
      <c r="Q2123" t="s">
        <v>122</v>
      </c>
      <c r="R2123" t="s">
        <v>151</v>
      </c>
      <c r="S2123" t="s">
        <v>777</v>
      </c>
      <c r="T2123" t="s">
        <v>153</v>
      </c>
      <c r="U2123" t="s">
        <v>154</v>
      </c>
      <c r="V2123" t="str">
        <f>IFERROR(INDEX(Products!$C:$C,MATCH(D2123,Products!$A:$A,0)),"Unknown")</f>
        <v>Wallets</v>
      </c>
      <c r="W2123" t="str">
        <f>IFERROR(INDEX(Products!$E:$E,MATCH(D2123,Products!$A:$A,0)),"Unknown")</f>
        <v>Biba</v>
      </c>
      <c r="X2123" t="str">
        <f>IFERROR(INDEX(Stores!$B:$B,MATCH(E2123,Stores!$A:$A,0)),"Unknown")</f>
        <v>TrendMart Kurnool High Street</v>
      </c>
      <c r="Y2123" t="str">
        <f>IFERROR(INDEX(Stores!$E:$E,MATCH(E2123,Stores!$A:$A,0)),"Unknown")</f>
        <v>South Zone 3</v>
      </c>
      <c r="Z2123" t="str">
        <f>IFERROR(INDEX(Customers!$J:$J,MATCH(C2123,Customers!$A:$A,0)),"Unknown")</f>
        <v>Regular</v>
      </c>
      <c r="AA2123" t="str">
        <f t="shared" si="33"/>
        <v>2024-05</v>
      </c>
      <c r="AB2123" t="str">
        <f>IFERROR(INDEX(Products!$I:$I,MATCH(D2123,Products!$A:$A,0)),"Unknown")</f>
        <v>SUP075</v>
      </c>
    </row>
    <row r="2124" spans="1:28" x14ac:dyDescent="0.25">
      <c r="A2124" t="s">
        <v>4140</v>
      </c>
      <c r="B2124" s="20">
        <v>45585</v>
      </c>
      <c r="C2124" t="s">
        <v>813</v>
      </c>
      <c r="D2124" t="s">
        <v>4141</v>
      </c>
      <c r="E2124" t="s">
        <v>1522</v>
      </c>
      <c r="F2124" t="s">
        <v>303</v>
      </c>
      <c r="G2124">
        <v>2</v>
      </c>
      <c r="H2124" s="21">
        <v>1338.33</v>
      </c>
      <c r="I2124">
        <v>0</v>
      </c>
      <c r="J2124" s="21">
        <v>0</v>
      </c>
      <c r="K2124">
        <v>12</v>
      </c>
      <c r="L2124" s="21">
        <v>321.2</v>
      </c>
      <c r="M2124" s="21">
        <v>2997.86</v>
      </c>
      <c r="N2124" s="21">
        <v>1877.22</v>
      </c>
      <c r="O2124" s="21">
        <v>799.44</v>
      </c>
      <c r="P2124" t="s">
        <v>124</v>
      </c>
      <c r="Q2124" t="s">
        <v>122</v>
      </c>
      <c r="R2124" t="s">
        <v>151</v>
      </c>
      <c r="S2124" t="s">
        <v>1157</v>
      </c>
      <c r="T2124" t="s">
        <v>161</v>
      </c>
      <c r="U2124" t="s">
        <v>154</v>
      </c>
      <c r="V2124" t="str">
        <f>IFERROR(INDEX(Products!$C:$C,MATCH(D2124,Products!$A:$A,0)),"Unknown")</f>
        <v>Wallets</v>
      </c>
      <c r="W2124" t="str">
        <f>IFERROR(INDEX(Products!$E:$E,MATCH(D2124,Products!$A:$A,0)),"Unknown")</f>
        <v>Aurelia</v>
      </c>
      <c r="X2124" t="str">
        <f>IFERROR(INDEX(Stores!$B:$B,MATCH(E2124,Stores!$A:$A,0)),"Unknown")</f>
        <v>TrendMart Guntur High Street</v>
      </c>
      <c r="Y2124" t="str">
        <f>IFERROR(INDEX(Stores!$E:$E,MATCH(E2124,Stores!$A:$A,0)),"Unknown")</f>
        <v>South Zone 3</v>
      </c>
      <c r="Z2124" t="str">
        <f>IFERROR(INDEX(Customers!$J:$J,MATCH(C2124,Customers!$A:$A,0)),"Unknown")</f>
        <v>Regular</v>
      </c>
      <c r="AA2124" t="str">
        <f t="shared" si="33"/>
        <v>2024-10</v>
      </c>
      <c r="AB2124" t="str">
        <f>IFERROR(INDEX(Products!$I:$I,MATCH(D2124,Products!$A:$A,0)),"Unknown")</f>
        <v>SUP016</v>
      </c>
    </row>
    <row r="2125" spans="1:28" x14ac:dyDescent="0.25">
      <c r="A2125" t="s">
        <v>4142</v>
      </c>
      <c r="B2125" s="20">
        <v>45551</v>
      </c>
      <c r="C2125" t="s">
        <v>940</v>
      </c>
      <c r="D2125" t="s">
        <v>489</v>
      </c>
      <c r="E2125" t="s">
        <v>999</v>
      </c>
      <c r="F2125" t="s">
        <v>201</v>
      </c>
      <c r="G2125">
        <v>1</v>
      </c>
      <c r="H2125" s="21">
        <v>1419.26</v>
      </c>
      <c r="I2125">
        <v>5</v>
      </c>
      <c r="J2125" s="21">
        <v>70.959999999999994</v>
      </c>
      <c r="K2125">
        <v>12</v>
      </c>
      <c r="L2125" s="21">
        <v>161.80000000000001</v>
      </c>
      <c r="M2125" s="21">
        <v>1510.1</v>
      </c>
      <c r="N2125" s="21">
        <v>1048.71</v>
      </c>
      <c r="O2125" s="21">
        <v>299.58999999999997</v>
      </c>
      <c r="P2125" t="s">
        <v>124</v>
      </c>
      <c r="Q2125" t="s">
        <v>122</v>
      </c>
      <c r="R2125" t="s">
        <v>151</v>
      </c>
      <c r="S2125" t="s">
        <v>972</v>
      </c>
      <c r="T2125" t="s">
        <v>153</v>
      </c>
      <c r="U2125" t="s">
        <v>154</v>
      </c>
      <c r="V2125" t="str">
        <f>IFERROR(INDEX(Products!$C:$C,MATCH(D2125,Products!$A:$A,0)),"Unknown")</f>
        <v>Women Jeans</v>
      </c>
      <c r="W2125" t="str">
        <f>IFERROR(INDEX(Products!$E:$E,MATCH(D2125,Products!$A:$A,0)),"Unknown")</f>
        <v>Woodland</v>
      </c>
      <c r="X2125" t="str">
        <f>IFERROR(INDEX(Stores!$B:$B,MATCH(E2125,Stores!$A:$A,0)),"Unknown")</f>
        <v>TrendMart Tumakuru Standard</v>
      </c>
      <c r="Y2125" t="str">
        <f>IFERROR(INDEX(Stores!$E:$E,MATCH(E2125,Stores!$A:$A,0)),"Unknown")</f>
        <v>South Zone 2</v>
      </c>
      <c r="Z2125" t="str">
        <f>IFERROR(INDEX(Customers!$J:$J,MATCH(C2125,Customers!$A:$A,0)),"Unknown")</f>
        <v>Regular</v>
      </c>
      <c r="AA2125" t="str">
        <f t="shared" si="33"/>
        <v>2024-09</v>
      </c>
      <c r="AB2125" t="str">
        <f>IFERROR(INDEX(Products!$I:$I,MATCH(D2125,Products!$A:$A,0)),"Unknown")</f>
        <v>SUP015</v>
      </c>
    </row>
    <row r="2126" spans="1:28" x14ac:dyDescent="0.25">
      <c r="A2126" t="s">
        <v>4143</v>
      </c>
      <c r="B2126" s="20">
        <v>45454</v>
      </c>
      <c r="C2126" t="s">
        <v>3043</v>
      </c>
      <c r="D2126" t="s">
        <v>1564</v>
      </c>
      <c r="E2126" t="s">
        <v>914</v>
      </c>
      <c r="F2126" t="s">
        <v>403</v>
      </c>
      <c r="G2126">
        <v>1</v>
      </c>
      <c r="H2126" s="21">
        <v>915.6</v>
      </c>
      <c r="I2126">
        <v>10</v>
      </c>
      <c r="J2126" s="21">
        <v>91.56</v>
      </c>
      <c r="K2126">
        <v>5</v>
      </c>
      <c r="L2126" s="21">
        <v>41.2</v>
      </c>
      <c r="M2126" s="21">
        <v>865.24</v>
      </c>
      <c r="N2126" s="21">
        <v>695.67</v>
      </c>
      <c r="O2126" s="21">
        <v>-204.37</v>
      </c>
      <c r="P2126" t="s">
        <v>121</v>
      </c>
      <c r="Q2126" t="s">
        <v>122</v>
      </c>
      <c r="R2126" t="s">
        <v>151</v>
      </c>
      <c r="S2126" t="s">
        <v>2990</v>
      </c>
      <c r="T2126" t="s">
        <v>153</v>
      </c>
      <c r="U2126" t="s">
        <v>184</v>
      </c>
      <c r="V2126" t="str">
        <f>IFERROR(INDEX(Products!$C:$C,MATCH(D2126,Products!$A:$A,0)),"Unknown")</f>
        <v>Handbags</v>
      </c>
      <c r="W2126" t="str">
        <f>IFERROR(INDEX(Products!$E:$E,MATCH(D2126,Products!$A:$A,0)),"Unknown")</f>
        <v>W for Woman</v>
      </c>
      <c r="X2126" t="str">
        <f>IFERROR(INDEX(Stores!$B:$B,MATCH(E2126,Stores!$A:$A,0)),"Unknown")</f>
        <v>TrendMart Thiruvananthapuram Outlet</v>
      </c>
      <c r="Y2126" t="str">
        <f>IFERROR(INDEX(Stores!$E:$E,MATCH(E2126,Stores!$A:$A,0)),"Unknown")</f>
        <v>South Zone 1</v>
      </c>
      <c r="Z2126" t="str">
        <f>IFERROR(INDEX(Customers!$J:$J,MATCH(C2126,Customers!$A:$A,0)),"Unknown")</f>
        <v>Silver</v>
      </c>
      <c r="AA2126" t="str">
        <f t="shared" si="33"/>
        <v>2024-06</v>
      </c>
      <c r="AB2126" t="str">
        <f>IFERROR(INDEX(Products!$I:$I,MATCH(D2126,Products!$A:$A,0)),"Unknown")</f>
        <v>SUP011</v>
      </c>
    </row>
    <row r="2127" spans="1:28" x14ac:dyDescent="0.25">
      <c r="A2127" t="s">
        <v>4144</v>
      </c>
      <c r="B2127" s="20">
        <v>45460</v>
      </c>
      <c r="C2127" t="s">
        <v>423</v>
      </c>
      <c r="D2127" t="s">
        <v>1200</v>
      </c>
      <c r="E2127" t="s">
        <v>416</v>
      </c>
      <c r="F2127" t="s">
        <v>221</v>
      </c>
      <c r="G2127">
        <v>3</v>
      </c>
      <c r="H2127" s="21">
        <v>3380.14</v>
      </c>
      <c r="I2127">
        <v>5</v>
      </c>
      <c r="J2127" s="21">
        <v>507.02</v>
      </c>
      <c r="K2127">
        <v>12</v>
      </c>
      <c r="L2127" s="21">
        <v>1156.01</v>
      </c>
      <c r="M2127" s="21">
        <v>10789.41</v>
      </c>
      <c r="N2127" s="21">
        <v>6713.46</v>
      </c>
      <c r="O2127" s="21">
        <v>2919.94</v>
      </c>
      <c r="P2127" t="s">
        <v>124</v>
      </c>
      <c r="Q2127" t="s">
        <v>122</v>
      </c>
      <c r="R2127" t="s">
        <v>151</v>
      </c>
      <c r="S2127" t="s">
        <v>3520</v>
      </c>
      <c r="T2127" t="s">
        <v>153</v>
      </c>
      <c r="U2127" t="s">
        <v>154</v>
      </c>
      <c r="V2127" t="str">
        <f>IFERROR(INDEX(Products!$C:$C,MATCH(D2127,Products!$A:$A,0)),"Unknown")</f>
        <v>Footwear</v>
      </c>
      <c r="W2127" t="str">
        <f>IFERROR(INDEX(Products!$E:$E,MATCH(D2127,Products!$A:$A,0)),"Unknown")</f>
        <v>Kalyan Silks</v>
      </c>
      <c r="X2127" t="str">
        <f>IFERROR(INDEX(Stores!$B:$B,MATCH(E2127,Stores!$A:$A,0)),"Unknown")</f>
        <v>TrendMart Dindigul Standard</v>
      </c>
      <c r="Y2127" t="str">
        <f>IFERROR(INDEX(Stores!$E:$E,MATCH(E2127,Stores!$A:$A,0)),"Unknown")</f>
        <v>South Zone 1</v>
      </c>
      <c r="Z2127" t="str">
        <f>IFERROR(INDEX(Customers!$J:$J,MATCH(C2127,Customers!$A:$A,0)),"Unknown")</f>
        <v>Gold</v>
      </c>
      <c r="AA2127" t="str">
        <f t="shared" si="33"/>
        <v>2024-06</v>
      </c>
      <c r="AB2127" t="str">
        <f>IFERROR(INDEX(Products!$I:$I,MATCH(D2127,Products!$A:$A,0)),"Unknown")</f>
        <v>SUP090</v>
      </c>
    </row>
    <row r="2128" spans="1:28" x14ac:dyDescent="0.25">
      <c r="A2128" t="s">
        <v>4145</v>
      </c>
      <c r="B2128" s="20">
        <v>45610</v>
      </c>
      <c r="C2128" t="s">
        <v>3224</v>
      </c>
      <c r="D2128" t="s">
        <v>854</v>
      </c>
      <c r="E2128" t="s">
        <v>1426</v>
      </c>
      <c r="F2128" t="s">
        <v>237</v>
      </c>
      <c r="G2128">
        <v>1</v>
      </c>
      <c r="H2128" s="21">
        <v>1203.1600000000001</v>
      </c>
      <c r="I2128">
        <v>30</v>
      </c>
      <c r="J2128" s="21">
        <v>360.95</v>
      </c>
      <c r="K2128">
        <v>3</v>
      </c>
      <c r="L2128" s="21">
        <v>25.27</v>
      </c>
      <c r="M2128" s="21">
        <v>867.48</v>
      </c>
      <c r="N2128" s="21">
        <v>954.04</v>
      </c>
      <c r="O2128" s="21">
        <v>-111.83</v>
      </c>
      <c r="P2128" t="s">
        <v>124</v>
      </c>
      <c r="Q2128" t="s">
        <v>120</v>
      </c>
      <c r="R2128" t="s">
        <v>151</v>
      </c>
      <c r="S2128" t="s">
        <v>4146</v>
      </c>
      <c r="T2128" t="s">
        <v>153</v>
      </c>
      <c r="U2128" t="s">
        <v>184</v>
      </c>
      <c r="V2128" t="str">
        <f>IFERROR(INDEX(Products!$C:$C,MATCH(D2128,Products!$A:$A,0)),"Unknown")</f>
        <v>Jewellery</v>
      </c>
      <c r="W2128" t="str">
        <f>IFERROR(INDEX(Products!$E:$E,MATCH(D2128,Products!$A:$A,0)),"Unknown")</f>
        <v>W for Woman</v>
      </c>
      <c r="X2128" t="str">
        <f>IFERROR(INDEX(Stores!$B:$B,MATCH(E2128,Stores!$A:$A,0)),"Unknown")</f>
        <v>TrendMart Alappuzha Mall Kiosk</v>
      </c>
      <c r="Y2128" t="str">
        <f>IFERROR(INDEX(Stores!$E:$E,MATCH(E2128,Stores!$A:$A,0)),"Unknown")</f>
        <v>South Zone 1</v>
      </c>
      <c r="Z2128" t="str">
        <f>IFERROR(INDEX(Customers!$J:$J,MATCH(C2128,Customers!$A:$A,0)),"Unknown")</f>
        <v>Regular</v>
      </c>
      <c r="AA2128" t="str">
        <f t="shared" si="33"/>
        <v>2024-11</v>
      </c>
      <c r="AB2128" t="str">
        <f>IFERROR(INDEX(Products!$I:$I,MATCH(D2128,Products!$A:$A,0)),"Unknown")</f>
        <v>SUP006</v>
      </c>
    </row>
    <row r="2129" spans="1:28" x14ac:dyDescent="0.25">
      <c r="A2129" t="s">
        <v>4147</v>
      </c>
      <c r="B2129" s="20">
        <v>45560</v>
      </c>
      <c r="C2129" t="s">
        <v>3366</v>
      </c>
      <c r="D2129" t="s">
        <v>1133</v>
      </c>
      <c r="E2129" t="s">
        <v>927</v>
      </c>
      <c r="F2129" t="s">
        <v>159</v>
      </c>
      <c r="G2129">
        <v>1</v>
      </c>
      <c r="H2129" s="21">
        <v>561.61</v>
      </c>
      <c r="I2129">
        <v>5</v>
      </c>
      <c r="J2129" s="21">
        <v>28.08</v>
      </c>
      <c r="K2129">
        <v>5</v>
      </c>
      <c r="L2129" s="21">
        <v>26.68</v>
      </c>
      <c r="M2129" s="21">
        <v>560.21</v>
      </c>
      <c r="N2129" s="21">
        <v>410.37</v>
      </c>
      <c r="O2129" s="21">
        <v>123.16</v>
      </c>
      <c r="P2129" t="s">
        <v>121</v>
      </c>
      <c r="Q2129" t="s">
        <v>122</v>
      </c>
      <c r="R2129" t="s">
        <v>313</v>
      </c>
      <c r="S2129" t="s">
        <v>4148</v>
      </c>
      <c r="T2129" t="s">
        <v>153</v>
      </c>
      <c r="U2129" t="s">
        <v>154</v>
      </c>
      <c r="V2129" t="str">
        <f>IFERROR(INDEX(Products!$C:$C,MATCH(D2129,Products!$A:$A,0)),"Unknown")</f>
        <v>Sportswear</v>
      </c>
      <c r="W2129" t="str">
        <f>IFERROR(INDEX(Products!$E:$E,MATCH(D2129,Products!$A:$A,0)),"Unknown")</f>
        <v>Numero Uno</v>
      </c>
      <c r="X2129" t="str">
        <f>IFERROR(INDEX(Stores!$B:$B,MATCH(E2129,Stores!$A:$A,0)),"Unknown")</f>
        <v>TrendMart Kochi Mall Kiosk</v>
      </c>
      <c r="Y2129" t="str">
        <f>IFERROR(INDEX(Stores!$E:$E,MATCH(E2129,Stores!$A:$A,0)),"Unknown")</f>
        <v>South Zone 1</v>
      </c>
      <c r="Z2129" t="str">
        <f>IFERROR(INDEX(Customers!$J:$J,MATCH(C2129,Customers!$A:$A,0)),"Unknown")</f>
        <v>Silver</v>
      </c>
      <c r="AA2129" t="str">
        <f t="shared" si="33"/>
        <v>2024-09</v>
      </c>
      <c r="AB2129" t="str">
        <f>IFERROR(INDEX(Products!$I:$I,MATCH(D2129,Products!$A:$A,0)),"Unknown")</f>
        <v>SUP082</v>
      </c>
    </row>
    <row r="2130" spans="1:28" x14ac:dyDescent="0.25">
      <c r="A2130" t="s">
        <v>4149</v>
      </c>
      <c r="B2130" s="20">
        <v>45585</v>
      </c>
      <c r="C2130" t="s">
        <v>2076</v>
      </c>
      <c r="D2130" t="s">
        <v>858</v>
      </c>
      <c r="E2130" t="s">
        <v>89</v>
      </c>
      <c r="F2130" t="s">
        <v>377</v>
      </c>
      <c r="G2130">
        <v>2</v>
      </c>
      <c r="H2130" s="21">
        <v>793.62</v>
      </c>
      <c r="I2130">
        <v>10</v>
      </c>
      <c r="J2130" s="21">
        <v>158.72</v>
      </c>
      <c r="K2130">
        <v>5</v>
      </c>
      <c r="L2130" s="21">
        <v>71.430000000000007</v>
      </c>
      <c r="M2130" s="21">
        <v>1499.95</v>
      </c>
      <c r="N2130" s="21">
        <v>1050.9000000000001</v>
      </c>
      <c r="O2130" s="21">
        <v>377.62</v>
      </c>
      <c r="P2130" t="s">
        <v>125</v>
      </c>
      <c r="Q2130" t="s">
        <v>122</v>
      </c>
      <c r="R2130" t="s">
        <v>151</v>
      </c>
      <c r="S2130" t="s">
        <v>4100</v>
      </c>
      <c r="T2130" t="s">
        <v>161</v>
      </c>
      <c r="U2130" t="s">
        <v>154</v>
      </c>
      <c r="V2130" t="str">
        <f>IFERROR(INDEX(Products!$C:$C,MATCH(D2130,Products!$A:$A,0)),"Unknown")</f>
        <v>Kids Wear</v>
      </c>
      <c r="W2130" t="str">
        <f>IFERROR(INDEX(Products!$E:$E,MATCH(D2130,Products!$A:$A,0)),"Unknown")</f>
        <v>Sonata</v>
      </c>
      <c r="X2130" t="str">
        <f>IFERROR(INDEX(Stores!$B:$B,MATCH(E2130,Stores!$A:$A,0)),"Unknown")</f>
        <v>TrendMart Kochi Standard</v>
      </c>
      <c r="Y2130" t="str">
        <f>IFERROR(INDEX(Stores!$E:$E,MATCH(E2130,Stores!$A:$A,0)),"Unknown")</f>
        <v>South Zone 1</v>
      </c>
      <c r="Z2130" t="str">
        <f>IFERROR(INDEX(Customers!$J:$J,MATCH(C2130,Customers!$A:$A,0)),"Unknown")</f>
        <v>Regular</v>
      </c>
      <c r="AA2130" t="str">
        <f t="shared" si="33"/>
        <v>2024-10</v>
      </c>
      <c r="AB2130" t="str">
        <f>IFERROR(INDEX(Products!$I:$I,MATCH(D2130,Products!$A:$A,0)),"Unknown")</f>
        <v>SUP089</v>
      </c>
    </row>
    <row r="2131" spans="1:28" x14ac:dyDescent="0.25">
      <c r="A2131" t="s">
        <v>4150</v>
      </c>
      <c r="B2131" s="20">
        <v>45613</v>
      </c>
      <c r="C2131" t="s">
        <v>1580</v>
      </c>
      <c r="D2131" t="s">
        <v>629</v>
      </c>
      <c r="E2131" t="s">
        <v>158</v>
      </c>
      <c r="F2131" t="s">
        <v>579</v>
      </c>
      <c r="G2131">
        <v>3</v>
      </c>
      <c r="H2131" s="21">
        <v>7941.96</v>
      </c>
      <c r="I2131">
        <v>20</v>
      </c>
      <c r="J2131" s="21">
        <v>4765.18</v>
      </c>
      <c r="K2131">
        <v>3</v>
      </c>
      <c r="L2131" s="21">
        <v>571.82000000000005</v>
      </c>
      <c r="M2131" s="21">
        <v>19632.52</v>
      </c>
      <c r="N2131" s="21">
        <v>14601.63</v>
      </c>
      <c r="O2131" s="21">
        <v>4459.07</v>
      </c>
      <c r="P2131" t="s">
        <v>121</v>
      </c>
      <c r="Q2131" t="s">
        <v>120</v>
      </c>
      <c r="R2131" t="s">
        <v>151</v>
      </c>
      <c r="S2131" t="s">
        <v>1482</v>
      </c>
      <c r="T2131" t="s">
        <v>161</v>
      </c>
      <c r="U2131" t="s">
        <v>154</v>
      </c>
      <c r="V2131" t="str">
        <f>IFERROR(INDEX(Products!$C:$C,MATCH(D2131,Products!$A:$A,0)),"Unknown")</f>
        <v>Jewellery</v>
      </c>
      <c r="W2131" t="str">
        <f>IFERROR(INDEX(Products!$E:$E,MATCH(D2131,Products!$A:$A,0)),"Unknown")</f>
        <v>Global Desi</v>
      </c>
      <c r="X2131" t="str">
        <f>IFERROR(INDEX(Stores!$B:$B,MATCH(E2131,Stores!$A:$A,0)),"Unknown")</f>
        <v>TrendMart Tirunelveli High Street</v>
      </c>
      <c r="Y2131" t="str">
        <f>IFERROR(INDEX(Stores!$E:$E,MATCH(E2131,Stores!$A:$A,0)),"Unknown")</f>
        <v>South Zone 1</v>
      </c>
      <c r="Z2131" t="str">
        <f>IFERROR(INDEX(Customers!$J:$J,MATCH(C2131,Customers!$A:$A,0)),"Unknown")</f>
        <v>Regular</v>
      </c>
      <c r="AA2131" t="str">
        <f t="shared" si="33"/>
        <v>2024-11</v>
      </c>
      <c r="AB2131" t="str">
        <f>IFERROR(INDEX(Products!$I:$I,MATCH(D2131,Products!$A:$A,0)),"Unknown")</f>
        <v>SUP066</v>
      </c>
    </row>
    <row r="2132" spans="1:28" x14ac:dyDescent="0.25">
      <c r="A2132" t="s">
        <v>4151</v>
      </c>
      <c r="B2132" s="20">
        <v>45732</v>
      </c>
      <c r="C2132" t="s">
        <v>3259</v>
      </c>
      <c r="D2132" t="s">
        <v>926</v>
      </c>
      <c r="E2132" t="s">
        <v>175</v>
      </c>
      <c r="F2132" t="s">
        <v>189</v>
      </c>
      <c r="G2132">
        <v>2</v>
      </c>
      <c r="H2132" s="21">
        <v>1316.2</v>
      </c>
      <c r="I2132">
        <v>0</v>
      </c>
      <c r="J2132" s="21">
        <v>0</v>
      </c>
      <c r="K2132">
        <v>12</v>
      </c>
      <c r="L2132" s="21">
        <v>315.89</v>
      </c>
      <c r="M2132" s="21">
        <v>2948.29</v>
      </c>
      <c r="N2132" s="21">
        <v>1621.24</v>
      </c>
      <c r="O2132" s="21">
        <v>1011.16</v>
      </c>
      <c r="P2132" t="s">
        <v>125</v>
      </c>
      <c r="Q2132" t="s">
        <v>120</v>
      </c>
      <c r="R2132" t="s">
        <v>151</v>
      </c>
      <c r="S2132" t="s">
        <v>1222</v>
      </c>
      <c r="T2132" t="s">
        <v>161</v>
      </c>
      <c r="U2132" t="s">
        <v>154</v>
      </c>
      <c r="V2132" t="str">
        <f>IFERROR(INDEX(Products!$C:$C,MATCH(D2132,Products!$A:$A,0)),"Unknown")</f>
        <v>Women Dresses</v>
      </c>
      <c r="W2132" t="str">
        <f>IFERROR(INDEX(Products!$E:$E,MATCH(D2132,Products!$A:$A,0)),"Unknown")</f>
        <v>Fabindia</v>
      </c>
      <c r="X2132" t="str">
        <f>IFERROR(INDEX(Stores!$B:$B,MATCH(E2132,Stores!$A:$A,0)),"Unknown")</f>
        <v>TrendMart Thoothukudi Flagship</v>
      </c>
      <c r="Y2132" t="str">
        <f>IFERROR(INDEX(Stores!$E:$E,MATCH(E2132,Stores!$A:$A,0)),"Unknown")</f>
        <v>South Zone 1</v>
      </c>
      <c r="Z2132" t="str">
        <f>IFERROR(INDEX(Customers!$J:$J,MATCH(C2132,Customers!$A:$A,0)),"Unknown")</f>
        <v>Regular</v>
      </c>
      <c r="AA2132" t="str">
        <f t="shared" si="33"/>
        <v>2025-03</v>
      </c>
      <c r="AB2132" t="str">
        <f>IFERROR(INDEX(Products!$I:$I,MATCH(D2132,Products!$A:$A,0)),"Unknown")</f>
        <v>SUP059</v>
      </c>
    </row>
    <row r="2133" spans="1:28" x14ac:dyDescent="0.25">
      <c r="A2133" t="s">
        <v>4152</v>
      </c>
      <c r="B2133" s="20">
        <v>45484</v>
      </c>
      <c r="C2133" t="s">
        <v>1715</v>
      </c>
      <c r="D2133" t="s">
        <v>583</v>
      </c>
      <c r="E2133" t="s">
        <v>806</v>
      </c>
      <c r="F2133" t="s">
        <v>377</v>
      </c>
      <c r="G2133">
        <v>2</v>
      </c>
      <c r="H2133" s="21">
        <v>840.34</v>
      </c>
      <c r="I2133">
        <v>10</v>
      </c>
      <c r="J2133" s="21">
        <v>168.07</v>
      </c>
      <c r="K2133">
        <v>5</v>
      </c>
      <c r="L2133" s="21">
        <v>75.63</v>
      </c>
      <c r="M2133" s="21">
        <v>1588.24</v>
      </c>
      <c r="N2133" s="21">
        <v>1259.44</v>
      </c>
      <c r="O2133" s="21">
        <v>253.17</v>
      </c>
      <c r="P2133" t="s">
        <v>125</v>
      </c>
      <c r="Q2133" t="s">
        <v>120</v>
      </c>
      <c r="R2133" t="s">
        <v>151</v>
      </c>
      <c r="S2133" t="s">
        <v>2072</v>
      </c>
      <c r="T2133" t="s">
        <v>153</v>
      </c>
      <c r="U2133" t="s">
        <v>154</v>
      </c>
      <c r="V2133" t="str">
        <f>IFERROR(INDEX(Products!$C:$C,MATCH(D2133,Products!$A:$A,0)),"Unknown")</f>
        <v>Women Tops</v>
      </c>
      <c r="W2133" t="str">
        <f>IFERROR(INDEX(Products!$E:$E,MATCH(D2133,Products!$A:$A,0)),"Unknown")</f>
        <v>Ramraj Cotton</v>
      </c>
      <c r="X2133" t="str">
        <f>IFERROR(INDEX(Stores!$B:$B,MATCH(E2133,Stores!$A:$A,0)),"Unknown")</f>
        <v>TrendMart Tirunelveli Flagship</v>
      </c>
      <c r="Y2133" t="str">
        <f>IFERROR(INDEX(Stores!$E:$E,MATCH(E2133,Stores!$A:$A,0)),"Unknown")</f>
        <v>South Zone 1</v>
      </c>
      <c r="Z2133" t="str">
        <f>IFERROR(INDEX(Customers!$J:$J,MATCH(C2133,Customers!$A:$A,0)),"Unknown")</f>
        <v>Regular</v>
      </c>
      <c r="AA2133" t="str">
        <f t="shared" si="33"/>
        <v>2024-07</v>
      </c>
      <c r="AB2133" t="str">
        <f>IFERROR(INDEX(Products!$I:$I,MATCH(D2133,Products!$A:$A,0)),"Unknown")</f>
        <v>SUP048</v>
      </c>
    </row>
    <row r="2134" spans="1:28" x14ac:dyDescent="0.25">
      <c r="A2134" t="s">
        <v>4153</v>
      </c>
      <c r="B2134" s="20">
        <v>45611</v>
      </c>
      <c r="C2134" t="s">
        <v>1022</v>
      </c>
      <c r="D2134" t="s">
        <v>420</v>
      </c>
      <c r="E2134" t="s">
        <v>588</v>
      </c>
      <c r="F2134" t="s">
        <v>165</v>
      </c>
      <c r="G2134">
        <v>2</v>
      </c>
      <c r="H2134" s="21">
        <v>1073.6099999999999</v>
      </c>
      <c r="I2134">
        <v>25</v>
      </c>
      <c r="J2134" s="21">
        <v>536.79999999999995</v>
      </c>
      <c r="K2134">
        <v>12</v>
      </c>
      <c r="L2134" s="21">
        <v>193.25</v>
      </c>
      <c r="M2134" s="21">
        <v>1803.67</v>
      </c>
      <c r="N2134" s="21">
        <v>1732.12</v>
      </c>
      <c r="O2134" s="21">
        <v>-121.7</v>
      </c>
      <c r="P2134" t="s">
        <v>121</v>
      </c>
      <c r="Q2134" t="s">
        <v>120</v>
      </c>
      <c r="R2134" t="s">
        <v>151</v>
      </c>
      <c r="S2134" t="s">
        <v>1125</v>
      </c>
      <c r="T2134" t="s">
        <v>153</v>
      </c>
      <c r="U2134" t="s">
        <v>184</v>
      </c>
      <c r="V2134" t="str">
        <f>IFERROR(INDEX(Products!$C:$C,MATCH(D2134,Products!$A:$A,0)),"Unknown")</f>
        <v>Men Jeans</v>
      </c>
      <c r="W2134" t="str">
        <f>IFERROR(INDEX(Products!$E:$E,MATCH(D2134,Products!$A:$A,0)),"Unknown")</f>
        <v>Raymond</v>
      </c>
      <c r="X2134" t="str">
        <f>IFERROR(INDEX(Stores!$B:$B,MATCH(E2134,Stores!$A:$A,0)),"Unknown")</f>
        <v>TrendMart Nizamabad Standard</v>
      </c>
      <c r="Y2134" t="str">
        <f>IFERROR(INDEX(Stores!$E:$E,MATCH(E2134,Stores!$A:$A,0)),"Unknown")</f>
        <v>South Zone 2</v>
      </c>
      <c r="Z2134" t="str">
        <f>IFERROR(INDEX(Customers!$J:$J,MATCH(C2134,Customers!$A:$A,0)),"Unknown")</f>
        <v>Gold</v>
      </c>
      <c r="AA2134" t="str">
        <f t="shared" si="33"/>
        <v>2024-11</v>
      </c>
      <c r="AB2134" t="str">
        <f>IFERROR(INDEX(Products!$I:$I,MATCH(D2134,Products!$A:$A,0)),"Unknown")</f>
        <v>SUP060</v>
      </c>
    </row>
    <row r="2135" spans="1:28" x14ac:dyDescent="0.25">
      <c r="A2135" t="s">
        <v>4154</v>
      </c>
      <c r="B2135" s="20">
        <v>45585</v>
      </c>
      <c r="C2135" t="s">
        <v>3908</v>
      </c>
      <c r="D2135" t="s">
        <v>2853</v>
      </c>
      <c r="E2135" t="s">
        <v>506</v>
      </c>
      <c r="F2135" t="s">
        <v>182</v>
      </c>
      <c r="G2135">
        <v>3</v>
      </c>
      <c r="H2135" s="21">
        <v>1292.8399999999999</v>
      </c>
      <c r="I2135">
        <v>0</v>
      </c>
      <c r="J2135" s="21">
        <v>0</v>
      </c>
      <c r="K2135">
        <v>12</v>
      </c>
      <c r="L2135" s="21">
        <v>465.42</v>
      </c>
      <c r="M2135" s="21">
        <v>4343.9399999999996</v>
      </c>
      <c r="N2135" s="21">
        <v>2395.38</v>
      </c>
      <c r="O2135" s="21">
        <v>1483.14</v>
      </c>
      <c r="P2135" t="s">
        <v>126</v>
      </c>
      <c r="Q2135" t="s">
        <v>122</v>
      </c>
      <c r="R2135" t="s">
        <v>151</v>
      </c>
      <c r="S2135" t="s">
        <v>2060</v>
      </c>
      <c r="T2135" t="s">
        <v>161</v>
      </c>
      <c r="U2135" t="s">
        <v>154</v>
      </c>
      <c r="V2135" t="str">
        <f>IFERROR(INDEX(Products!$C:$C,MATCH(D2135,Products!$A:$A,0)),"Unknown")</f>
        <v>Men Trousers</v>
      </c>
      <c r="W2135" t="str">
        <f>IFERROR(INDEX(Products!$E:$E,MATCH(D2135,Products!$A:$A,0)),"Unknown")</f>
        <v>Arrow</v>
      </c>
      <c r="X2135" t="str">
        <f>IFERROR(INDEX(Stores!$B:$B,MATCH(E2135,Stores!$A:$A,0)),"Unknown")</f>
        <v>TrendMart Nellore High Street</v>
      </c>
      <c r="Y2135" t="str">
        <f>IFERROR(INDEX(Stores!$E:$E,MATCH(E2135,Stores!$A:$A,0)),"Unknown")</f>
        <v>South Zone 3</v>
      </c>
      <c r="Z2135" t="str">
        <f>IFERROR(INDEX(Customers!$J:$J,MATCH(C2135,Customers!$A:$A,0)),"Unknown")</f>
        <v>Silver</v>
      </c>
      <c r="AA2135" t="str">
        <f t="shared" si="33"/>
        <v>2024-10</v>
      </c>
      <c r="AB2135" t="str">
        <f>IFERROR(INDEX(Products!$I:$I,MATCH(D2135,Products!$A:$A,0)),"Unknown")</f>
        <v>SUP050</v>
      </c>
    </row>
    <row r="2136" spans="1:28" x14ac:dyDescent="0.25">
      <c r="A2136" t="s">
        <v>4155</v>
      </c>
      <c r="B2136" s="20">
        <v>45397</v>
      </c>
      <c r="C2136" t="s">
        <v>3345</v>
      </c>
      <c r="D2136" t="s">
        <v>169</v>
      </c>
      <c r="E2136" t="s">
        <v>506</v>
      </c>
      <c r="F2136" t="s">
        <v>532</v>
      </c>
      <c r="G2136">
        <v>1</v>
      </c>
      <c r="H2136" s="21">
        <v>4716.7</v>
      </c>
      <c r="I2136">
        <v>20</v>
      </c>
      <c r="J2136" s="21">
        <v>943.34</v>
      </c>
      <c r="K2136">
        <v>12</v>
      </c>
      <c r="L2136" s="21">
        <v>452.8</v>
      </c>
      <c r="M2136" s="21">
        <v>4226.16</v>
      </c>
      <c r="N2136" s="21">
        <v>3370.8</v>
      </c>
      <c r="O2136" s="21">
        <v>402.56</v>
      </c>
      <c r="P2136" t="s">
        <v>124</v>
      </c>
      <c r="Q2136" t="s">
        <v>120</v>
      </c>
      <c r="R2136" t="s">
        <v>151</v>
      </c>
      <c r="S2136" t="s">
        <v>609</v>
      </c>
      <c r="T2136" t="s">
        <v>153</v>
      </c>
      <c r="U2136" t="s">
        <v>154</v>
      </c>
      <c r="V2136" t="str">
        <f>IFERROR(INDEX(Products!$C:$C,MATCH(D2136,Products!$A:$A,0)),"Unknown")</f>
        <v>Women Sarees</v>
      </c>
      <c r="W2136" t="str">
        <f>IFERROR(INDEX(Products!$E:$E,MATCH(D2136,Products!$A:$A,0)),"Unknown")</f>
        <v>Max Fashion</v>
      </c>
      <c r="X2136" t="str">
        <f>IFERROR(INDEX(Stores!$B:$B,MATCH(E2136,Stores!$A:$A,0)),"Unknown")</f>
        <v>TrendMart Nellore High Street</v>
      </c>
      <c r="Y2136" t="str">
        <f>IFERROR(INDEX(Stores!$E:$E,MATCH(E2136,Stores!$A:$A,0)),"Unknown")</f>
        <v>South Zone 3</v>
      </c>
      <c r="Z2136" t="str">
        <f>IFERROR(INDEX(Customers!$J:$J,MATCH(C2136,Customers!$A:$A,0)),"Unknown")</f>
        <v>Silver</v>
      </c>
      <c r="AA2136" t="str">
        <f t="shared" si="33"/>
        <v>2024-04</v>
      </c>
      <c r="AB2136" t="str">
        <f>IFERROR(INDEX(Products!$I:$I,MATCH(D2136,Products!$A:$A,0)),"Unknown")</f>
        <v>SUP084</v>
      </c>
    </row>
    <row r="2137" spans="1:28" x14ac:dyDescent="0.25">
      <c r="A2137" t="s">
        <v>4156</v>
      </c>
      <c r="B2137" s="20">
        <v>45652</v>
      </c>
      <c r="C2137" t="s">
        <v>2263</v>
      </c>
      <c r="D2137" t="s">
        <v>629</v>
      </c>
      <c r="E2137" t="s">
        <v>94</v>
      </c>
      <c r="F2137" t="s">
        <v>263</v>
      </c>
      <c r="G2137">
        <v>2</v>
      </c>
      <c r="H2137" s="21">
        <v>6737.28</v>
      </c>
      <c r="I2137">
        <v>30</v>
      </c>
      <c r="J2137" s="21">
        <v>4042.37</v>
      </c>
      <c r="K2137">
        <v>3</v>
      </c>
      <c r="L2137" s="21">
        <v>282.97000000000003</v>
      </c>
      <c r="M2137" s="21">
        <v>9715.16</v>
      </c>
      <c r="N2137" s="21">
        <v>9734.42</v>
      </c>
      <c r="O2137" s="21">
        <v>-302.23</v>
      </c>
      <c r="P2137" t="s">
        <v>127</v>
      </c>
      <c r="Q2137" t="s">
        <v>122</v>
      </c>
      <c r="R2137" t="s">
        <v>313</v>
      </c>
      <c r="S2137" t="s">
        <v>724</v>
      </c>
      <c r="T2137" t="s">
        <v>153</v>
      </c>
      <c r="U2137" t="s">
        <v>184</v>
      </c>
      <c r="V2137" t="str">
        <f>IFERROR(INDEX(Products!$C:$C,MATCH(D2137,Products!$A:$A,0)),"Unknown")</f>
        <v>Jewellery</v>
      </c>
      <c r="W2137" t="str">
        <f>IFERROR(INDEX(Products!$E:$E,MATCH(D2137,Products!$A:$A,0)),"Unknown")</f>
        <v>Global Desi</v>
      </c>
      <c r="X2137" t="str">
        <f>IFERROR(INDEX(Stores!$B:$B,MATCH(E2137,Stores!$A:$A,0)),"Unknown")</f>
        <v>TrendMart Bengaluru Mall Kiosk</v>
      </c>
      <c r="Y2137" t="str">
        <f>IFERROR(INDEX(Stores!$E:$E,MATCH(E2137,Stores!$A:$A,0)),"Unknown")</f>
        <v>South Zone 2</v>
      </c>
      <c r="Z2137" t="str">
        <f>IFERROR(INDEX(Customers!$J:$J,MATCH(C2137,Customers!$A:$A,0)),"Unknown")</f>
        <v>Silver</v>
      </c>
      <c r="AA2137" t="str">
        <f t="shared" si="33"/>
        <v>2024-12</v>
      </c>
      <c r="AB2137" t="str">
        <f>IFERROR(INDEX(Products!$I:$I,MATCH(D2137,Products!$A:$A,0)),"Unknown")</f>
        <v>SUP066</v>
      </c>
    </row>
    <row r="2138" spans="1:28" x14ac:dyDescent="0.25">
      <c r="A2138" t="s">
        <v>4157</v>
      </c>
      <c r="B2138" s="20">
        <v>45570</v>
      </c>
      <c r="C2138" t="s">
        <v>3935</v>
      </c>
      <c r="D2138" t="s">
        <v>1216</v>
      </c>
      <c r="E2138" t="s">
        <v>216</v>
      </c>
      <c r="F2138" t="s">
        <v>408</v>
      </c>
      <c r="G2138">
        <v>2</v>
      </c>
      <c r="H2138" s="21">
        <v>2544.13</v>
      </c>
      <c r="I2138">
        <v>15</v>
      </c>
      <c r="J2138" s="21">
        <v>763.24</v>
      </c>
      <c r="K2138">
        <v>12</v>
      </c>
      <c r="L2138" s="21">
        <v>519</v>
      </c>
      <c r="M2138" s="21">
        <v>4844.0200000000004</v>
      </c>
      <c r="N2138" s="21">
        <v>2864.02</v>
      </c>
      <c r="O2138" s="21">
        <v>1461</v>
      </c>
      <c r="P2138" t="s">
        <v>121</v>
      </c>
      <c r="Q2138" t="s">
        <v>120</v>
      </c>
      <c r="R2138" t="s">
        <v>151</v>
      </c>
      <c r="S2138" t="s">
        <v>1576</v>
      </c>
      <c r="T2138" t="s">
        <v>161</v>
      </c>
      <c r="U2138" t="s">
        <v>154</v>
      </c>
      <c r="V2138" t="str">
        <f>IFERROR(INDEX(Products!$C:$C,MATCH(D2138,Products!$A:$A,0)),"Unknown")</f>
        <v>Footwear</v>
      </c>
      <c r="W2138" t="str">
        <f>IFERROR(INDEX(Products!$E:$E,MATCH(D2138,Products!$A:$A,0)),"Unknown")</f>
        <v>Biba</v>
      </c>
      <c r="X2138" t="str">
        <f>IFERROR(INDEX(Stores!$B:$B,MATCH(E2138,Stores!$A:$A,0)),"Unknown")</f>
        <v>TrendMart Madurai Mall Kiosk</v>
      </c>
      <c r="Y2138" t="str">
        <f>IFERROR(INDEX(Stores!$E:$E,MATCH(E2138,Stores!$A:$A,0)),"Unknown")</f>
        <v>South Zone 1</v>
      </c>
      <c r="Z2138" t="str">
        <f>IFERROR(INDEX(Customers!$J:$J,MATCH(C2138,Customers!$A:$A,0)),"Unknown")</f>
        <v>Silver</v>
      </c>
      <c r="AA2138" t="str">
        <f t="shared" si="33"/>
        <v>2024-10</v>
      </c>
      <c r="AB2138" t="str">
        <f>IFERROR(INDEX(Products!$I:$I,MATCH(D2138,Products!$A:$A,0)),"Unknown")</f>
        <v>SUP048</v>
      </c>
    </row>
    <row r="2139" spans="1:28" x14ac:dyDescent="0.25">
      <c r="A2139" t="s">
        <v>4158</v>
      </c>
      <c r="B2139" s="20">
        <v>45598</v>
      </c>
      <c r="C2139" t="s">
        <v>3982</v>
      </c>
      <c r="D2139" t="s">
        <v>174</v>
      </c>
      <c r="E2139" t="s">
        <v>387</v>
      </c>
      <c r="F2139" t="s">
        <v>434</v>
      </c>
      <c r="G2139">
        <v>1</v>
      </c>
      <c r="H2139" s="21">
        <v>952.61</v>
      </c>
      <c r="I2139">
        <v>0</v>
      </c>
      <c r="J2139" s="21">
        <v>0</v>
      </c>
      <c r="K2139">
        <v>5</v>
      </c>
      <c r="L2139" s="21">
        <v>47.63</v>
      </c>
      <c r="M2139" s="21">
        <v>1000.24</v>
      </c>
      <c r="N2139" s="21">
        <v>539.76</v>
      </c>
      <c r="O2139" s="21">
        <v>412.85</v>
      </c>
      <c r="P2139" t="s">
        <v>124</v>
      </c>
      <c r="Q2139" t="s">
        <v>122</v>
      </c>
      <c r="R2139" t="s">
        <v>151</v>
      </c>
      <c r="S2139" t="s">
        <v>1411</v>
      </c>
      <c r="T2139" t="s">
        <v>161</v>
      </c>
      <c r="U2139" t="s">
        <v>154</v>
      </c>
      <c r="V2139" t="str">
        <f>IFERROR(INDEX(Products!$C:$C,MATCH(D2139,Products!$A:$A,0)),"Unknown")</f>
        <v>Women Kurtis</v>
      </c>
      <c r="W2139" t="str">
        <f>IFERROR(INDEX(Products!$E:$E,MATCH(D2139,Products!$A:$A,0)),"Unknown")</f>
        <v>Reebok</v>
      </c>
      <c r="X2139" t="str">
        <f>IFERROR(INDEX(Stores!$B:$B,MATCH(E2139,Stores!$A:$A,0)),"Unknown")</f>
        <v>TrendMart Kannur Outlet</v>
      </c>
      <c r="Y2139" t="str">
        <f>IFERROR(INDEX(Stores!$E:$E,MATCH(E2139,Stores!$A:$A,0)),"Unknown")</f>
        <v>South Zone 1</v>
      </c>
      <c r="Z2139" t="str">
        <f>IFERROR(INDEX(Customers!$J:$J,MATCH(C2139,Customers!$A:$A,0)),"Unknown")</f>
        <v>Platinum</v>
      </c>
      <c r="AA2139" t="str">
        <f t="shared" si="33"/>
        <v>2024-11</v>
      </c>
      <c r="AB2139" t="str">
        <f>IFERROR(INDEX(Products!$I:$I,MATCH(D2139,Products!$A:$A,0)),"Unknown")</f>
        <v>SUP012</v>
      </c>
    </row>
    <row r="2140" spans="1:28" x14ac:dyDescent="0.25">
      <c r="A2140" t="s">
        <v>4159</v>
      </c>
      <c r="B2140" s="20">
        <v>45635</v>
      </c>
      <c r="C2140" t="s">
        <v>1035</v>
      </c>
      <c r="D2140" t="s">
        <v>1350</v>
      </c>
      <c r="E2140" t="s">
        <v>181</v>
      </c>
      <c r="F2140" t="s">
        <v>382</v>
      </c>
      <c r="G2140">
        <v>4</v>
      </c>
      <c r="H2140" s="21">
        <v>646.9</v>
      </c>
      <c r="I2140">
        <v>25</v>
      </c>
      <c r="J2140" s="21">
        <v>646.9</v>
      </c>
      <c r="K2140">
        <v>5</v>
      </c>
      <c r="L2140" s="21">
        <v>97.03</v>
      </c>
      <c r="M2140" s="21">
        <v>2037.73</v>
      </c>
      <c r="N2140" s="21">
        <v>1677.6</v>
      </c>
      <c r="O2140" s="21">
        <v>263.10000000000002</v>
      </c>
      <c r="P2140" t="s">
        <v>121</v>
      </c>
      <c r="Q2140" t="s">
        <v>122</v>
      </c>
      <c r="R2140" t="s">
        <v>151</v>
      </c>
      <c r="S2140" t="s">
        <v>2358</v>
      </c>
      <c r="T2140" t="s">
        <v>153</v>
      </c>
      <c r="U2140" t="s">
        <v>154</v>
      </c>
      <c r="V2140" t="str">
        <f>IFERROR(INDEX(Products!$C:$C,MATCH(D2140,Products!$A:$A,0)),"Unknown")</f>
        <v>Women Tops</v>
      </c>
      <c r="W2140" t="str">
        <f>IFERROR(INDEX(Products!$E:$E,MATCH(D2140,Products!$A:$A,0)),"Unknown")</f>
        <v>Jack &amp; Jones</v>
      </c>
      <c r="X2140" t="str">
        <f>IFERROR(INDEX(Stores!$B:$B,MATCH(E2140,Stores!$A:$A,0)),"Unknown")</f>
        <v>TrendMart Kurnool High Street</v>
      </c>
      <c r="Y2140" t="str">
        <f>IFERROR(INDEX(Stores!$E:$E,MATCH(E2140,Stores!$A:$A,0)),"Unknown")</f>
        <v>South Zone 3</v>
      </c>
      <c r="Z2140" t="str">
        <f>IFERROR(INDEX(Customers!$J:$J,MATCH(C2140,Customers!$A:$A,0)),"Unknown")</f>
        <v>Regular</v>
      </c>
      <c r="AA2140" t="str">
        <f t="shared" si="33"/>
        <v>2024-12</v>
      </c>
      <c r="AB2140" t="str">
        <f>IFERROR(INDEX(Products!$I:$I,MATCH(D2140,Products!$A:$A,0)),"Unknown")</f>
        <v>SUP089</v>
      </c>
    </row>
    <row r="2141" spans="1:28" x14ac:dyDescent="0.25">
      <c r="A2141" t="s">
        <v>4160</v>
      </c>
      <c r="B2141" s="20">
        <v>45674</v>
      </c>
      <c r="C2141" t="s">
        <v>3837</v>
      </c>
      <c r="D2141" t="s">
        <v>1590</v>
      </c>
      <c r="E2141" t="s">
        <v>1023</v>
      </c>
      <c r="F2141" t="s">
        <v>275</v>
      </c>
      <c r="G2141">
        <v>1</v>
      </c>
      <c r="H2141" s="21">
        <v>508.4</v>
      </c>
      <c r="I2141">
        <v>0</v>
      </c>
      <c r="J2141" s="21">
        <v>0</v>
      </c>
      <c r="K2141">
        <v>5</v>
      </c>
      <c r="L2141" s="21">
        <v>25.42</v>
      </c>
      <c r="M2141" s="21">
        <v>533.82000000000005</v>
      </c>
      <c r="N2141" s="21">
        <v>337.09</v>
      </c>
      <c r="O2141" s="21">
        <v>171.31</v>
      </c>
      <c r="P2141" t="s">
        <v>126</v>
      </c>
      <c r="Q2141" t="s">
        <v>120</v>
      </c>
      <c r="R2141" t="s">
        <v>151</v>
      </c>
      <c r="S2141" t="s">
        <v>2274</v>
      </c>
      <c r="T2141" t="s">
        <v>153</v>
      </c>
      <c r="U2141" t="s">
        <v>154</v>
      </c>
      <c r="V2141" t="str">
        <f>IFERROR(INDEX(Products!$C:$C,MATCH(D2141,Products!$A:$A,0)),"Unknown")</f>
        <v>Kids Wear</v>
      </c>
      <c r="W2141" t="str">
        <f>IFERROR(INDEX(Products!$E:$E,MATCH(D2141,Products!$A:$A,0)),"Unknown")</f>
        <v>Peter England</v>
      </c>
      <c r="X2141" t="str">
        <f>IFERROR(INDEX(Stores!$B:$B,MATCH(E2141,Stores!$A:$A,0)),"Unknown")</f>
        <v>TrendMart Kochi High Street</v>
      </c>
      <c r="Y2141" t="str">
        <f>IFERROR(INDEX(Stores!$E:$E,MATCH(E2141,Stores!$A:$A,0)),"Unknown")</f>
        <v>South Zone 1</v>
      </c>
      <c r="Z2141" t="str">
        <f>IFERROR(INDEX(Customers!$J:$J,MATCH(C2141,Customers!$A:$A,0)),"Unknown")</f>
        <v>Silver</v>
      </c>
      <c r="AA2141" t="str">
        <f t="shared" si="33"/>
        <v>2025-01</v>
      </c>
      <c r="AB2141" t="str">
        <f>IFERROR(INDEX(Products!$I:$I,MATCH(D2141,Products!$A:$A,0)),"Unknown")</f>
        <v>SUP065</v>
      </c>
    </row>
    <row r="2142" spans="1:28" x14ac:dyDescent="0.25">
      <c r="A2142" t="s">
        <v>4161</v>
      </c>
      <c r="B2142" s="20">
        <v>45675</v>
      </c>
      <c r="C2142" t="s">
        <v>3304</v>
      </c>
      <c r="D2142" t="s">
        <v>2037</v>
      </c>
      <c r="E2142" t="s">
        <v>848</v>
      </c>
      <c r="F2142" t="s">
        <v>170</v>
      </c>
      <c r="G2142">
        <v>4</v>
      </c>
      <c r="H2142" s="21">
        <v>2006.69</v>
      </c>
      <c r="I2142">
        <v>25</v>
      </c>
      <c r="J2142" s="21">
        <v>2006.69</v>
      </c>
      <c r="K2142">
        <v>12</v>
      </c>
      <c r="L2142" s="21">
        <v>722.41</v>
      </c>
      <c r="M2142" s="21">
        <v>6742.48</v>
      </c>
      <c r="N2142" s="21">
        <v>4820.5600000000004</v>
      </c>
      <c r="O2142" s="21">
        <v>1199.51</v>
      </c>
      <c r="P2142" t="s">
        <v>126</v>
      </c>
      <c r="Q2142" t="s">
        <v>122</v>
      </c>
      <c r="R2142" t="s">
        <v>151</v>
      </c>
      <c r="S2142" t="s">
        <v>1153</v>
      </c>
      <c r="T2142" t="s">
        <v>161</v>
      </c>
      <c r="U2142" t="s">
        <v>154</v>
      </c>
      <c r="V2142" t="str">
        <f>IFERROR(INDEX(Products!$C:$C,MATCH(D2142,Products!$A:$A,0)),"Unknown")</f>
        <v>Men Ethnic</v>
      </c>
      <c r="W2142" t="str">
        <f>IFERROR(INDEX(Products!$E:$E,MATCH(D2142,Products!$A:$A,0)),"Unknown")</f>
        <v>Skechers</v>
      </c>
      <c r="X2142" t="str">
        <f>IFERROR(INDEX(Stores!$B:$B,MATCH(E2142,Stores!$A:$A,0)),"Unknown")</f>
        <v>TrendMart Shivamogga Standard</v>
      </c>
      <c r="Y2142" t="str">
        <f>IFERROR(INDEX(Stores!$E:$E,MATCH(E2142,Stores!$A:$A,0)),"Unknown")</f>
        <v>South Zone 2</v>
      </c>
      <c r="Z2142" t="str">
        <f>IFERROR(INDEX(Customers!$J:$J,MATCH(C2142,Customers!$A:$A,0)),"Unknown")</f>
        <v>Gold</v>
      </c>
      <c r="AA2142" t="str">
        <f t="shared" si="33"/>
        <v>2025-01</v>
      </c>
      <c r="AB2142" t="str">
        <f>IFERROR(INDEX(Products!$I:$I,MATCH(D2142,Products!$A:$A,0)),"Unknown")</f>
        <v>SUP083</v>
      </c>
    </row>
    <row r="2143" spans="1:28" x14ac:dyDescent="0.25">
      <c r="A2143" t="s">
        <v>4162</v>
      </c>
      <c r="B2143" s="20">
        <v>45654</v>
      </c>
      <c r="C2143" t="s">
        <v>2122</v>
      </c>
      <c r="D2143" t="s">
        <v>1668</v>
      </c>
      <c r="E2143" t="s">
        <v>613</v>
      </c>
      <c r="F2143" t="s">
        <v>232</v>
      </c>
      <c r="G2143">
        <v>2</v>
      </c>
      <c r="H2143" s="21">
        <v>1326.35</v>
      </c>
      <c r="I2143">
        <v>5</v>
      </c>
      <c r="J2143" s="21">
        <v>132.63</v>
      </c>
      <c r="K2143">
        <v>12</v>
      </c>
      <c r="L2143" s="21">
        <v>302.41000000000003</v>
      </c>
      <c r="M2143" s="21">
        <v>2822.48</v>
      </c>
      <c r="N2143" s="21">
        <v>1786.74</v>
      </c>
      <c r="O2143" s="21">
        <v>733.33</v>
      </c>
      <c r="P2143" t="s">
        <v>125</v>
      </c>
      <c r="Q2143" t="s">
        <v>122</v>
      </c>
      <c r="R2143" t="s">
        <v>151</v>
      </c>
      <c r="S2143" t="s">
        <v>958</v>
      </c>
      <c r="T2143" t="s">
        <v>161</v>
      </c>
      <c r="U2143" t="s">
        <v>154</v>
      </c>
      <c r="V2143" t="str">
        <f>IFERROR(INDEX(Products!$C:$C,MATCH(D2143,Products!$A:$A,0)),"Unknown")</f>
        <v>Women Kurtis</v>
      </c>
      <c r="W2143" t="str">
        <f>IFERROR(INDEX(Products!$E:$E,MATCH(D2143,Products!$A:$A,0)),"Unknown")</f>
        <v>Liberty</v>
      </c>
      <c r="X2143" t="str">
        <f>IFERROR(INDEX(Stores!$B:$B,MATCH(E2143,Stores!$A:$A,0)),"Unknown")</f>
        <v>TrendMart Kochi Mall Kiosk</v>
      </c>
      <c r="Y2143" t="str">
        <f>IFERROR(INDEX(Stores!$E:$E,MATCH(E2143,Stores!$A:$A,0)),"Unknown")</f>
        <v>South Zone 1</v>
      </c>
      <c r="Z2143" t="str">
        <f>IFERROR(INDEX(Customers!$J:$J,MATCH(C2143,Customers!$A:$A,0)),"Unknown")</f>
        <v>Gold</v>
      </c>
      <c r="AA2143" t="str">
        <f t="shared" si="33"/>
        <v>2024-12</v>
      </c>
      <c r="AB2143" t="str">
        <f>IFERROR(INDEX(Products!$I:$I,MATCH(D2143,Products!$A:$A,0)),"Unknown")</f>
        <v>SUP022</v>
      </c>
    </row>
    <row r="2144" spans="1:28" x14ac:dyDescent="0.25">
      <c r="A2144" t="s">
        <v>4163</v>
      </c>
      <c r="B2144" s="20">
        <v>45740</v>
      </c>
      <c r="C2144" t="s">
        <v>3431</v>
      </c>
      <c r="D2144" t="s">
        <v>697</v>
      </c>
      <c r="E2144" t="s">
        <v>81</v>
      </c>
      <c r="F2144" t="s">
        <v>242</v>
      </c>
      <c r="G2144">
        <v>3</v>
      </c>
      <c r="H2144" s="21">
        <v>1039.49</v>
      </c>
      <c r="I2144">
        <v>5</v>
      </c>
      <c r="J2144" s="21">
        <v>155.91999999999999</v>
      </c>
      <c r="K2144">
        <v>12</v>
      </c>
      <c r="L2144" s="21">
        <v>355.51</v>
      </c>
      <c r="M2144" s="21">
        <v>3318.06</v>
      </c>
      <c r="N2144" s="21">
        <v>2099.52</v>
      </c>
      <c r="O2144" s="21">
        <v>863.03</v>
      </c>
      <c r="P2144" t="s">
        <v>121</v>
      </c>
      <c r="Q2144" t="s">
        <v>120</v>
      </c>
      <c r="R2144" t="s">
        <v>151</v>
      </c>
      <c r="S2144" t="s">
        <v>1249</v>
      </c>
      <c r="T2144" t="s">
        <v>153</v>
      </c>
      <c r="U2144" t="s">
        <v>154</v>
      </c>
      <c r="V2144" t="str">
        <f>IFERROR(INDEX(Products!$C:$C,MATCH(D2144,Products!$A:$A,0)),"Unknown")</f>
        <v>Women Tops</v>
      </c>
      <c r="W2144" t="str">
        <f>IFERROR(INDEX(Products!$E:$E,MATCH(D2144,Products!$A:$A,0)),"Unknown")</f>
        <v>Nalli Silks</v>
      </c>
      <c r="X2144" t="str">
        <f>IFERROR(INDEX(Stores!$B:$B,MATCH(E2144,Stores!$A:$A,0)),"Unknown")</f>
        <v>TrendMart Vijayawada High Street</v>
      </c>
      <c r="Y2144" t="str">
        <f>IFERROR(INDEX(Stores!$E:$E,MATCH(E2144,Stores!$A:$A,0)),"Unknown")</f>
        <v>South Zone 3</v>
      </c>
      <c r="Z2144" t="str">
        <f>IFERROR(INDEX(Customers!$J:$J,MATCH(C2144,Customers!$A:$A,0)),"Unknown")</f>
        <v>Gold</v>
      </c>
      <c r="AA2144" t="str">
        <f t="shared" si="33"/>
        <v>2025-03</v>
      </c>
      <c r="AB2144" t="str">
        <f>IFERROR(INDEX(Products!$I:$I,MATCH(D2144,Products!$A:$A,0)),"Unknown")</f>
        <v>SUP008</v>
      </c>
    </row>
    <row r="2145" spans="1:28" x14ac:dyDescent="0.25">
      <c r="A2145" t="s">
        <v>4164</v>
      </c>
      <c r="B2145" s="20">
        <v>45535</v>
      </c>
      <c r="C2145" t="s">
        <v>1337</v>
      </c>
      <c r="D2145" t="s">
        <v>267</v>
      </c>
      <c r="E2145" t="s">
        <v>274</v>
      </c>
      <c r="F2145" t="s">
        <v>408</v>
      </c>
      <c r="G2145">
        <v>1</v>
      </c>
      <c r="H2145" s="21">
        <v>767.28</v>
      </c>
      <c r="I2145">
        <v>20</v>
      </c>
      <c r="J2145" s="21">
        <v>153.46</v>
      </c>
      <c r="K2145">
        <v>5</v>
      </c>
      <c r="L2145" s="21">
        <v>30.69</v>
      </c>
      <c r="M2145" s="21">
        <v>644.51</v>
      </c>
      <c r="N2145" s="21">
        <v>443.19</v>
      </c>
      <c r="O2145" s="21">
        <v>170.63</v>
      </c>
      <c r="P2145" t="s">
        <v>123</v>
      </c>
      <c r="Q2145" t="s">
        <v>120</v>
      </c>
      <c r="R2145" t="s">
        <v>151</v>
      </c>
      <c r="S2145" t="s">
        <v>1477</v>
      </c>
      <c r="T2145" t="s">
        <v>161</v>
      </c>
      <c r="U2145" t="s">
        <v>154</v>
      </c>
      <c r="V2145" t="str">
        <f>IFERROR(INDEX(Products!$C:$C,MATCH(D2145,Products!$A:$A,0)),"Unknown")</f>
        <v>Accessories</v>
      </c>
      <c r="W2145" t="str">
        <f>IFERROR(INDEX(Products!$E:$E,MATCH(D2145,Products!$A:$A,0)),"Unknown")</f>
        <v>Allen Solly</v>
      </c>
      <c r="X2145" t="str">
        <f>IFERROR(INDEX(Stores!$B:$B,MATCH(E2145,Stores!$A:$A,0)),"Unknown")</f>
        <v>TrendMart Mangaluru Standard</v>
      </c>
      <c r="Y2145" t="str">
        <f>IFERROR(INDEX(Stores!$E:$E,MATCH(E2145,Stores!$A:$A,0)),"Unknown")</f>
        <v>South Zone 2</v>
      </c>
      <c r="Z2145" t="str">
        <f>IFERROR(INDEX(Customers!$J:$J,MATCH(C2145,Customers!$A:$A,0)),"Unknown")</f>
        <v>Regular</v>
      </c>
      <c r="AA2145" t="str">
        <f t="shared" si="33"/>
        <v>2024-08</v>
      </c>
      <c r="AB2145" t="str">
        <f>IFERROR(INDEX(Products!$I:$I,MATCH(D2145,Products!$A:$A,0)),"Unknown")</f>
        <v>SUP069</v>
      </c>
    </row>
    <row r="2146" spans="1:28" x14ac:dyDescent="0.25">
      <c r="A2146" t="s">
        <v>4165</v>
      </c>
      <c r="B2146" s="20">
        <v>45547</v>
      </c>
      <c r="C2146" t="s">
        <v>895</v>
      </c>
      <c r="D2146" t="s">
        <v>654</v>
      </c>
      <c r="E2146" t="s">
        <v>588</v>
      </c>
      <c r="F2146" t="s">
        <v>189</v>
      </c>
      <c r="G2146">
        <v>1</v>
      </c>
      <c r="H2146" s="21">
        <v>1187.8599999999999</v>
      </c>
      <c r="I2146">
        <v>15</v>
      </c>
      <c r="J2146" s="21">
        <v>178.18</v>
      </c>
      <c r="K2146">
        <v>12</v>
      </c>
      <c r="L2146" s="21">
        <v>121.16</v>
      </c>
      <c r="M2146" s="21">
        <v>1130.8399999999999</v>
      </c>
      <c r="N2146" s="21">
        <v>865.42</v>
      </c>
      <c r="O2146" s="21">
        <v>144.26</v>
      </c>
      <c r="P2146" t="s">
        <v>125</v>
      </c>
      <c r="Q2146" t="s">
        <v>122</v>
      </c>
      <c r="R2146" t="s">
        <v>151</v>
      </c>
      <c r="S2146" t="s">
        <v>655</v>
      </c>
      <c r="T2146" t="s">
        <v>153</v>
      </c>
      <c r="U2146" t="s">
        <v>154</v>
      </c>
      <c r="V2146" t="str">
        <f>IFERROR(INDEX(Products!$C:$C,MATCH(D2146,Products!$A:$A,0)),"Unknown")</f>
        <v>Women Dresses</v>
      </c>
      <c r="W2146" t="str">
        <f>IFERROR(INDEX(Products!$E:$E,MATCH(D2146,Products!$A:$A,0)),"Unknown")</f>
        <v>Indian Terrain</v>
      </c>
      <c r="X2146" t="str">
        <f>IFERROR(INDEX(Stores!$B:$B,MATCH(E2146,Stores!$A:$A,0)),"Unknown")</f>
        <v>TrendMart Nizamabad Standard</v>
      </c>
      <c r="Y2146" t="str">
        <f>IFERROR(INDEX(Stores!$E:$E,MATCH(E2146,Stores!$A:$A,0)),"Unknown")</f>
        <v>South Zone 2</v>
      </c>
      <c r="Z2146" t="str">
        <f>IFERROR(INDEX(Customers!$J:$J,MATCH(C2146,Customers!$A:$A,0)),"Unknown")</f>
        <v>Regular</v>
      </c>
      <c r="AA2146" t="str">
        <f t="shared" si="33"/>
        <v>2024-09</v>
      </c>
      <c r="AB2146" t="str">
        <f>IFERROR(INDEX(Products!$I:$I,MATCH(D2146,Products!$A:$A,0)),"Unknown")</f>
        <v>SUP049</v>
      </c>
    </row>
    <row r="2147" spans="1:28" x14ac:dyDescent="0.25">
      <c r="A2147" t="s">
        <v>4166</v>
      </c>
      <c r="B2147" s="20">
        <v>45611</v>
      </c>
      <c r="C2147" t="s">
        <v>2199</v>
      </c>
      <c r="D2147" t="s">
        <v>650</v>
      </c>
      <c r="E2147" t="s">
        <v>667</v>
      </c>
      <c r="F2147" t="s">
        <v>253</v>
      </c>
      <c r="G2147">
        <v>2</v>
      </c>
      <c r="H2147" s="21">
        <v>1933.36</v>
      </c>
      <c r="I2147">
        <v>20</v>
      </c>
      <c r="J2147" s="21">
        <v>773.34</v>
      </c>
      <c r="K2147">
        <v>12</v>
      </c>
      <c r="L2147" s="21">
        <v>371.21</v>
      </c>
      <c r="M2147" s="21">
        <v>3464.59</v>
      </c>
      <c r="N2147" s="21">
        <v>2818.24</v>
      </c>
      <c r="O2147" s="21">
        <v>275.14</v>
      </c>
      <c r="P2147" t="s">
        <v>123</v>
      </c>
      <c r="Q2147" t="s">
        <v>120</v>
      </c>
      <c r="R2147" t="s">
        <v>151</v>
      </c>
      <c r="S2147" t="s">
        <v>2423</v>
      </c>
      <c r="T2147" t="s">
        <v>153</v>
      </c>
      <c r="U2147" t="s">
        <v>154</v>
      </c>
      <c r="V2147" t="str">
        <f>IFERROR(INDEX(Products!$C:$C,MATCH(D2147,Products!$A:$A,0)),"Unknown")</f>
        <v>Winter Wear</v>
      </c>
      <c r="W2147" t="str">
        <f>IFERROR(INDEX(Products!$E:$E,MATCH(D2147,Products!$A:$A,0)),"Unknown")</f>
        <v>Mufti</v>
      </c>
      <c r="X2147" t="str">
        <f>IFERROR(INDEX(Stores!$B:$B,MATCH(E2147,Stores!$A:$A,0)),"Unknown")</f>
        <v>TrendMart Hyderabad High Street</v>
      </c>
      <c r="Y2147" t="str">
        <f>IFERROR(INDEX(Stores!$E:$E,MATCH(E2147,Stores!$A:$A,0)),"Unknown")</f>
        <v>South Zone 2</v>
      </c>
      <c r="Z2147" t="str">
        <f>IFERROR(INDEX(Customers!$J:$J,MATCH(C2147,Customers!$A:$A,0)),"Unknown")</f>
        <v>Regular</v>
      </c>
      <c r="AA2147" t="str">
        <f t="shared" si="33"/>
        <v>2024-11</v>
      </c>
      <c r="AB2147" t="str">
        <f>IFERROR(INDEX(Products!$I:$I,MATCH(D2147,Products!$A:$A,0)),"Unknown")</f>
        <v>SUP078</v>
      </c>
    </row>
    <row r="2148" spans="1:28" x14ac:dyDescent="0.25">
      <c r="A2148" t="s">
        <v>4167</v>
      </c>
      <c r="B2148" s="20">
        <v>45486</v>
      </c>
      <c r="C2148" t="s">
        <v>198</v>
      </c>
      <c r="D2148" t="s">
        <v>372</v>
      </c>
      <c r="E2148" t="s">
        <v>429</v>
      </c>
      <c r="F2148" t="s">
        <v>170</v>
      </c>
      <c r="G2148">
        <v>2</v>
      </c>
      <c r="H2148" s="21">
        <v>642.75</v>
      </c>
      <c r="I2148">
        <v>30</v>
      </c>
      <c r="J2148" s="21">
        <v>385.65</v>
      </c>
      <c r="K2148">
        <v>5</v>
      </c>
      <c r="L2148" s="21">
        <v>44.99</v>
      </c>
      <c r="M2148" s="21">
        <v>944.84</v>
      </c>
      <c r="N2148" s="21">
        <v>826.78</v>
      </c>
      <c r="O2148" s="21">
        <v>73.069999999999993</v>
      </c>
      <c r="P2148" t="s">
        <v>121</v>
      </c>
      <c r="Q2148" t="s">
        <v>120</v>
      </c>
      <c r="R2148" t="s">
        <v>151</v>
      </c>
      <c r="S2148" t="s">
        <v>2119</v>
      </c>
      <c r="T2148" t="s">
        <v>161</v>
      </c>
      <c r="U2148" t="s">
        <v>154</v>
      </c>
      <c r="V2148" t="str">
        <f>IFERROR(INDEX(Products!$C:$C,MATCH(D2148,Products!$A:$A,0)),"Unknown")</f>
        <v>Kids Wear</v>
      </c>
      <c r="W2148" t="str">
        <f>IFERROR(INDEX(Products!$E:$E,MATCH(D2148,Products!$A:$A,0)),"Unknown")</f>
        <v>Jack &amp; Jones</v>
      </c>
      <c r="X2148" t="str">
        <f>IFERROR(INDEX(Stores!$B:$B,MATCH(E2148,Stores!$A:$A,0)),"Unknown")</f>
        <v>TrendMart Tirunelveli Flagship</v>
      </c>
      <c r="Y2148" t="str">
        <f>IFERROR(INDEX(Stores!$E:$E,MATCH(E2148,Stores!$A:$A,0)),"Unknown")</f>
        <v>South Zone 1</v>
      </c>
      <c r="Z2148" t="str">
        <f>IFERROR(INDEX(Customers!$J:$J,MATCH(C2148,Customers!$A:$A,0)),"Unknown")</f>
        <v>Gold</v>
      </c>
      <c r="AA2148" t="str">
        <f t="shared" si="33"/>
        <v>2024-07</v>
      </c>
      <c r="AB2148" t="str">
        <f>IFERROR(INDEX(Products!$I:$I,MATCH(D2148,Products!$A:$A,0)),"Unknown")</f>
        <v>SUP065</v>
      </c>
    </row>
    <row r="2149" spans="1:28" x14ac:dyDescent="0.25">
      <c r="A2149" t="s">
        <v>4168</v>
      </c>
      <c r="B2149" s="20">
        <v>45673</v>
      </c>
      <c r="C2149" t="s">
        <v>2140</v>
      </c>
      <c r="D2149" t="s">
        <v>854</v>
      </c>
      <c r="E2149" t="s">
        <v>87</v>
      </c>
      <c r="F2149" t="s">
        <v>574</v>
      </c>
      <c r="G2149">
        <v>2</v>
      </c>
      <c r="H2149" s="21">
        <v>1166.5</v>
      </c>
      <c r="I2149">
        <v>0</v>
      </c>
      <c r="J2149" s="21">
        <v>0</v>
      </c>
      <c r="K2149">
        <v>3</v>
      </c>
      <c r="L2149" s="21">
        <v>69.989999999999995</v>
      </c>
      <c r="M2149" s="21">
        <v>2402.9899999999998</v>
      </c>
      <c r="N2149" s="21">
        <v>1908.08</v>
      </c>
      <c r="O2149" s="21">
        <v>424.92</v>
      </c>
      <c r="P2149" t="s">
        <v>121</v>
      </c>
      <c r="Q2149" t="s">
        <v>120</v>
      </c>
      <c r="R2149" t="s">
        <v>151</v>
      </c>
      <c r="S2149" t="s">
        <v>1299</v>
      </c>
      <c r="T2149" t="s">
        <v>153</v>
      </c>
      <c r="U2149" t="s">
        <v>154</v>
      </c>
      <c r="V2149" t="str">
        <f>IFERROR(INDEX(Products!$C:$C,MATCH(D2149,Products!$A:$A,0)),"Unknown")</f>
        <v>Jewellery</v>
      </c>
      <c r="W2149" t="str">
        <f>IFERROR(INDEX(Products!$E:$E,MATCH(D2149,Products!$A:$A,0)),"Unknown")</f>
        <v>W for Woman</v>
      </c>
      <c r="X2149" t="str">
        <f>IFERROR(INDEX(Stores!$B:$B,MATCH(E2149,Stores!$A:$A,0)),"Unknown")</f>
        <v>TrendMart Thiruvananthapuram Standard</v>
      </c>
      <c r="Y2149" t="str">
        <f>IFERROR(INDEX(Stores!$E:$E,MATCH(E2149,Stores!$A:$A,0)),"Unknown")</f>
        <v>South Zone 1</v>
      </c>
      <c r="Z2149" t="str">
        <f>IFERROR(INDEX(Customers!$J:$J,MATCH(C2149,Customers!$A:$A,0)),"Unknown")</f>
        <v>Silver</v>
      </c>
      <c r="AA2149" t="str">
        <f t="shared" si="33"/>
        <v>2025-01</v>
      </c>
      <c r="AB2149" t="str">
        <f>IFERROR(INDEX(Products!$I:$I,MATCH(D2149,Products!$A:$A,0)),"Unknown")</f>
        <v>SUP006</v>
      </c>
    </row>
    <row r="2150" spans="1:28" x14ac:dyDescent="0.25">
      <c r="A2150" t="s">
        <v>4169</v>
      </c>
      <c r="B2150" s="20">
        <v>45454</v>
      </c>
      <c r="C2150" t="s">
        <v>853</v>
      </c>
      <c r="D2150" t="s">
        <v>756</v>
      </c>
      <c r="E2150" t="s">
        <v>280</v>
      </c>
      <c r="F2150" t="s">
        <v>532</v>
      </c>
      <c r="G2150">
        <v>2</v>
      </c>
      <c r="H2150" s="21">
        <v>774.14</v>
      </c>
      <c r="I2150">
        <v>15</v>
      </c>
      <c r="J2150" s="21">
        <v>232.24</v>
      </c>
      <c r="K2150">
        <v>5</v>
      </c>
      <c r="L2150" s="21">
        <v>65.8</v>
      </c>
      <c r="M2150" s="21">
        <v>1381.84</v>
      </c>
      <c r="N2150" s="21">
        <v>1044.76</v>
      </c>
      <c r="O2150" s="21">
        <v>271.27999999999997</v>
      </c>
      <c r="P2150" t="s">
        <v>125</v>
      </c>
      <c r="Q2150" t="s">
        <v>122</v>
      </c>
      <c r="R2150" t="s">
        <v>151</v>
      </c>
      <c r="S2150" t="s">
        <v>3439</v>
      </c>
      <c r="T2150" t="s">
        <v>153</v>
      </c>
      <c r="U2150" t="s">
        <v>154</v>
      </c>
      <c r="V2150" t="str">
        <f>IFERROR(INDEX(Products!$C:$C,MATCH(D2150,Products!$A:$A,0)),"Unknown")</f>
        <v>Women Tops</v>
      </c>
      <c r="W2150" t="str">
        <f>IFERROR(INDEX(Products!$E:$E,MATCH(D2150,Products!$A:$A,0)),"Unknown")</f>
        <v>Peter England</v>
      </c>
      <c r="X2150" t="str">
        <f>IFERROR(INDEX(Stores!$B:$B,MATCH(E2150,Stores!$A:$A,0)),"Unknown")</f>
        <v>TrendMart Chennai Standard</v>
      </c>
      <c r="Y2150" t="str">
        <f>IFERROR(INDEX(Stores!$E:$E,MATCH(E2150,Stores!$A:$A,0)),"Unknown")</f>
        <v>South Zone 1</v>
      </c>
      <c r="Z2150" t="str">
        <f>IFERROR(INDEX(Customers!$J:$J,MATCH(C2150,Customers!$A:$A,0)),"Unknown")</f>
        <v>Gold</v>
      </c>
      <c r="AA2150" t="str">
        <f t="shared" si="33"/>
        <v>2024-06</v>
      </c>
      <c r="AB2150" t="str">
        <f>IFERROR(INDEX(Products!$I:$I,MATCH(D2150,Products!$A:$A,0)),"Unknown")</f>
        <v>SUP018</v>
      </c>
    </row>
    <row r="2151" spans="1:28" x14ac:dyDescent="0.25">
      <c r="A2151" t="s">
        <v>4170</v>
      </c>
      <c r="B2151" s="20">
        <v>45694</v>
      </c>
      <c r="C2151" t="s">
        <v>1861</v>
      </c>
      <c r="D2151" t="s">
        <v>520</v>
      </c>
      <c r="E2151" t="s">
        <v>87</v>
      </c>
      <c r="F2151" t="s">
        <v>182</v>
      </c>
      <c r="G2151">
        <v>2</v>
      </c>
      <c r="H2151" s="21">
        <v>1381.12</v>
      </c>
      <c r="I2151">
        <v>25</v>
      </c>
      <c r="J2151" s="21">
        <v>690.56</v>
      </c>
      <c r="K2151">
        <v>12</v>
      </c>
      <c r="L2151" s="21">
        <v>248.6</v>
      </c>
      <c r="M2151" s="21">
        <v>2320.2800000000002</v>
      </c>
      <c r="N2151" s="21">
        <v>1806.6</v>
      </c>
      <c r="O2151" s="21">
        <v>265.08</v>
      </c>
      <c r="P2151" t="s">
        <v>123</v>
      </c>
      <c r="Q2151" t="s">
        <v>120</v>
      </c>
      <c r="R2151" t="s">
        <v>151</v>
      </c>
      <c r="S2151" t="s">
        <v>2539</v>
      </c>
      <c r="T2151" t="s">
        <v>153</v>
      </c>
      <c r="U2151" t="s">
        <v>154</v>
      </c>
      <c r="V2151" t="str">
        <f>IFERROR(INDEX(Products!$C:$C,MATCH(D2151,Products!$A:$A,0)),"Unknown")</f>
        <v>Wallets</v>
      </c>
      <c r="W2151" t="str">
        <f>IFERROR(INDEX(Products!$E:$E,MATCH(D2151,Products!$A:$A,0)),"Unknown")</f>
        <v>Nike</v>
      </c>
      <c r="X2151" t="str">
        <f>IFERROR(INDEX(Stores!$B:$B,MATCH(E2151,Stores!$A:$A,0)),"Unknown")</f>
        <v>TrendMart Thiruvananthapuram Standard</v>
      </c>
      <c r="Y2151" t="str">
        <f>IFERROR(INDEX(Stores!$E:$E,MATCH(E2151,Stores!$A:$A,0)),"Unknown")</f>
        <v>South Zone 1</v>
      </c>
      <c r="Z2151" t="str">
        <f>IFERROR(INDEX(Customers!$J:$J,MATCH(C2151,Customers!$A:$A,0)),"Unknown")</f>
        <v>Platinum</v>
      </c>
      <c r="AA2151" t="str">
        <f t="shared" si="33"/>
        <v>2025-02</v>
      </c>
      <c r="AB2151" t="str">
        <f>IFERROR(INDEX(Products!$I:$I,MATCH(D2151,Products!$A:$A,0)),"Unknown")</f>
        <v>SUP027</v>
      </c>
    </row>
    <row r="2152" spans="1:28" x14ac:dyDescent="0.25">
      <c r="A2152" t="s">
        <v>4171</v>
      </c>
      <c r="B2152" s="20">
        <v>45548</v>
      </c>
      <c r="C2152" t="s">
        <v>2041</v>
      </c>
      <c r="D2152" t="s">
        <v>267</v>
      </c>
      <c r="E2152" t="s">
        <v>815</v>
      </c>
      <c r="F2152" t="s">
        <v>532</v>
      </c>
      <c r="G2152">
        <v>1</v>
      </c>
      <c r="H2152" s="21">
        <v>764.83</v>
      </c>
      <c r="I2152">
        <v>25</v>
      </c>
      <c r="J2152" s="21">
        <v>191.21</v>
      </c>
      <c r="K2152">
        <v>5</v>
      </c>
      <c r="L2152" s="21">
        <v>28.68</v>
      </c>
      <c r="M2152" s="21">
        <v>602.29999999999995</v>
      </c>
      <c r="N2152" s="21">
        <v>443.19</v>
      </c>
      <c r="O2152" s="21">
        <v>130.43</v>
      </c>
      <c r="P2152" t="s">
        <v>123</v>
      </c>
      <c r="Q2152" t="s">
        <v>120</v>
      </c>
      <c r="R2152" t="s">
        <v>151</v>
      </c>
      <c r="S2152" t="s">
        <v>276</v>
      </c>
      <c r="T2152" t="s">
        <v>153</v>
      </c>
      <c r="U2152" t="s">
        <v>154</v>
      </c>
      <c r="V2152" t="str">
        <f>IFERROR(INDEX(Products!$C:$C,MATCH(D2152,Products!$A:$A,0)),"Unknown")</f>
        <v>Accessories</v>
      </c>
      <c r="W2152" t="str">
        <f>IFERROR(INDEX(Products!$E:$E,MATCH(D2152,Products!$A:$A,0)),"Unknown")</f>
        <v>Allen Solly</v>
      </c>
      <c r="X2152" t="str">
        <f>IFERROR(INDEX(Stores!$B:$B,MATCH(E2152,Stores!$A:$A,0)),"Unknown")</f>
        <v>TrendMart Madurai Mall Kiosk</v>
      </c>
      <c r="Y2152" t="str">
        <f>IFERROR(INDEX(Stores!$E:$E,MATCH(E2152,Stores!$A:$A,0)),"Unknown")</f>
        <v>South Zone 1</v>
      </c>
      <c r="Z2152" t="str">
        <f>IFERROR(INDEX(Customers!$J:$J,MATCH(C2152,Customers!$A:$A,0)),"Unknown")</f>
        <v>Regular</v>
      </c>
      <c r="AA2152" t="str">
        <f t="shared" si="33"/>
        <v>2024-09</v>
      </c>
      <c r="AB2152" t="str">
        <f>IFERROR(INDEX(Products!$I:$I,MATCH(D2152,Products!$A:$A,0)),"Unknown")</f>
        <v>SUP069</v>
      </c>
    </row>
    <row r="2153" spans="1:28" x14ac:dyDescent="0.25">
      <c r="A2153" t="s">
        <v>4172</v>
      </c>
      <c r="B2153" s="20">
        <v>45430</v>
      </c>
      <c r="C2153" t="s">
        <v>505</v>
      </c>
      <c r="D2153" t="s">
        <v>290</v>
      </c>
      <c r="E2153" t="s">
        <v>262</v>
      </c>
      <c r="F2153" t="s">
        <v>165</v>
      </c>
      <c r="G2153">
        <v>2</v>
      </c>
      <c r="H2153" s="21">
        <v>6339.42</v>
      </c>
      <c r="I2153">
        <v>0</v>
      </c>
      <c r="J2153" s="21">
        <v>0</v>
      </c>
      <c r="K2153">
        <v>3</v>
      </c>
      <c r="L2153" s="21">
        <v>380.37</v>
      </c>
      <c r="M2153" s="21">
        <v>13059.21</v>
      </c>
      <c r="N2153" s="21">
        <v>9430.2000000000007</v>
      </c>
      <c r="O2153" s="21">
        <v>3248.64</v>
      </c>
      <c r="P2153" t="s">
        <v>126</v>
      </c>
      <c r="Q2153" t="s">
        <v>122</v>
      </c>
      <c r="R2153" t="s">
        <v>151</v>
      </c>
      <c r="S2153" t="s">
        <v>1775</v>
      </c>
      <c r="T2153" t="s">
        <v>161</v>
      </c>
      <c r="U2153" t="s">
        <v>154</v>
      </c>
      <c r="V2153" t="str">
        <f>IFERROR(INDEX(Products!$C:$C,MATCH(D2153,Products!$A:$A,0)),"Unknown")</f>
        <v>Jewellery</v>
      </c>
      <c r="W2153" t="str">
        <f>IFERROR(INDEX(Products!$E:$E,MATCH(D2153,Products!$A:$A,0)),"Unknown")</f>
        <v>Nike</v>
      </c>
      <c r="X2153" t="str">
        <f>IFERROR(INDEX(Stores!$B:$B,MATCH(E2153,Stores!$A:$A,0)),"Unknown")</f>
        <v>TrendMart Thoothukudi Outlet</v>
      </c>
      <c r="Y2153" t="str">
        <f>IFERROR(INDEX(Stores!$E:$E,MATCH(E2153,Stores!$A:$A,0)),"Unknown")</f>
        <v>South Zone 1</v>
      </c>
      <c r="Z2153" t="str">
        <f>IFERROR(INDEX(Customers!$J:$J,MATCH(C2153,Customers!$A:$A,0)),"Unknown")</f>
        <v>Regular</v>
      </c>
      <c r="AA2153" t="str">
        <f t="shared" si="33"/>
        <v>2024-05</v>
      </c>
      <c r="AB2153" t="str">
        <f>IFERROR(INDEX(Products!$I:$I,MATCH(D2153,Products!$A:$A,0)),"Unknown")</f>
        <v>SUP041</v>
      </c>
    </row>
    <row r="2154" spans="1:28" x14ac:dyDescent="0.25">
      <c r="A2154" t="s">
        <v>4173</v>
      </c>
      <c r="B2154" s="20">
        <v>45695</v>
      </c>
      <c r="C2154" t="s">
        <v>1618</v>
      </c>
      <c r="D2154" t="s">
        <v>520</v>
      </c>
      <c r="E2154" t="s">
        <v>1281</v>
      </c>
      <c r="F2154" t="s">
        <v>532</v>
      </c>
      <c r="G2154">
        <v>1</v>
      </c>
      <c r="H2154" s="21">
        <v>1281.8599999999999</v>
      </c>
      <c r="I2154">
        <v>20</v>
      </c>
      <c r="J2154" s="21">
        <v>256.37</v>
      </c>
      <c r="K2154">
        <v>12</v>
      </c>
      <c r="L2154" s="21">
        <v>123.06</v>
      </c>
      <c r="M2154" s="21">
        <v>1148.55</v>
      </c>
      <c r="N2154" s="21">
        <v>903.3</v>
      </c>
      <c r="O2154" s="21">
        <v>122.19</v>
      </c>
      <c r="P2154" t="s">
        <v>124</v>
      </c>
      <c r="Q2154" t="s">
        <v>122</v>
      </c>
      <c r="R2154" t="s">
        <v>151</v>
      </c>
      <c r="S2154" t="s">
        <v>938</v>
      </c>
      <c r="T2154" t="s">
        <v>153</v>
      </c>
      <c r="U2154" t="s">
        <v>154</v>
      </c>
      <c r="V2154" t="str">
        <f>IFERROR(INDEX(Products!$C:$C,MATCH(D2154,Products!$A:$A,0)),"Unknown")</f>
        <v>Wallets</v>
      </c>
      <c r="W2154" t="str">
        <f>IFERROR(INDEX(Products!$E:$E,MATCH(D2154,Products!$A:$A,0)),"Unknown")</f>
        <v>Nike</v>
      </c>
      <c r="X2154" t="str">
        <f>IFERROR(INDEX(Stores!$B:$B,MATCH(E2154,Stores!$A:$A,0)),"Unknown")</f>
        <v>TrendMart Visakhapatnam Standard</v>
      </c>
      <c r="Y2154" t="str">
        <f>IFERROR(INDEX(Stores!$E:$E,MATCH(E2154,Stores!$A:$A,0)),"Unknown")</f>
        <v>South Zone 3</v>
      </c>
      <c r="Z2154" t="str">
        <f>IFERROR(INDEX(Customers!$J:$J,MATCH(C2154,Customers!$A:$A,0)),"Unknown")</f>
        <v>Regular</v>
      </c>
      <c r="AA2154" t="str">
        <f t="shared" si="33"/>
        <v>2025-02</v>
      </c>
      <c r="AB2154" t="str">
        <f>IFERROR(INDEX(Products!$I:$I,MATCH(D2154,Products!$A:$A,0)),"Unknown")</f>
        <v>SUP027</v>
      </c>
    </row>
    <row r="2155" spans="1:28" x14ac:dyDescent="0.25">
      <c r="A2155" t="s">
        <v>4174</v>
      </c>
      <c r="B2155" s="20">
        <v>45457</v>
      </c>
      <c r="C2155" t="s">
        <v>2115</v>
      </c>
      <c r="D2155" t="s">
        <v>290</v>
      </c>
      <c r="E2155" t="s">
        <v>745</v>
      </c>
      <c r="F2155" t="s">
        <v>377</v>
      </c>
      <c r="G2155">
        <v>2</v>
      </c>
      <c r="H2155" s="21">
        <v>6274.11</v>
      </c>
      <c r="I2155">
        <v>10</v>
      </c>
      <c r="J2155" s="21">
        <v>1254.82</v>
      </c>
      <c r="K2155">
        <v>3</v>
      </c>
      <c r="L2155" s="21">
        <v>338.8</v>
      </c>
      <c r="M2155" s="21">
        <v>11632.2</v>
      </c>
      <c r="N2155" s="21">
        <v>9430.2000000000007</v>
      </c>
      <c r="O2155" s="21">
        <v>1863.2</v>
      </c>
      <c r="P2155" t="s">
        <v>125</v>
      </c>
      <c r="Q2155" t="s">
        <v>122</v>
      </c>
      <c r="R2155" t="s">
        <v>151</v>
      </c>
      <c r="S2155" t="s">
        <v>1474</v>
      </c>
      <c r="T2155" t="s">
        <v>153</v>
      </c>
      <c r="U2155" t="s">
        <v>154</v>
      </c>
      <c r="V2155" t="str">
        <f>IFERROR(INDEX(Products!$C:$C,MATCH(D2155,Products!$A:$A,0)),"Unknown")</f>
        <v>Jewellery</v>
      </c>
      <c r="W2155" t="str">
        <f>IFERROR(INDEX(Products!$E:$E,MATCH(D2155,Products!$A:$A,0)),"Unknown")</f>
        <v>Nike</v>
      </c>
      <c r="X2155" t="str">
        <f>IFERROR(INDEX(Stores!$B:$B,MATCH(E2155,Stores!$A:$A,0)),"Unknown")</f>
        <v>TrendMart Thiruvananthapuram Outlet</v>
      </c>
      <c r="Y2155" t="str">
        <f>IFERROR(INDEX(Stores!$E:$E,MATCH(E2155,Stores!$A:$A,0)),"Unknown")</f>
        <v>South Zone 1</v>
      </c>
      <c r="Z2155" t="str">
        <f>IFERROR(INDEX(Customers!$J:$J,MATCH(C2155,Customers!$A:$A,0)),"Unknown")</f>
        <v>Gold</v>
      </c>
      <c r="AA2155" t="str">
        <f t="shared" si="33"/>
        <v>2024-06</v>
      </c>
      <c r="AB2155" t="str">
        <f>IFERROR(INDEX(Products!$I:$I,MATCH(D2155,Products!$A:$A,0)),"Unknown")</f>
        <v>SUP041</v>
      </c>
    </row>
    <row r="2156" spans="1:28" x14ac:dyDescent="0.25">
      <c r="A2156" t="s">
        <v>4175</v>
      </c>
      <c r="B2156" s="20">
        <v>45414</v>
      </c>
      <c r="C2156" t="s">
        <v>2667</v>
      </c>
      <c r="D2156" t="s">
        <v>2051</v>
      </c>
      <c r="E2156" t="s">
        <v>97</v>
      </c>
      <c r="F2156" t="s">
        <v>195</v>
      </c>
      <c r="G2156">
        <v>1</v>
      </c>
      <c r="H2156" s="21">
        <v>2570.9899999999998</v>
      </c>
      <c r="I2156">
        <v>20</v>
      </c>
      <c r="J2156" s="21">
        <v>514.20000000000005</v>
      </c>
      <c r="K2156">
        <v>12</v>
      </c>
      <c r="L2156" s="21">
        <v>246.81</v>
      </c>
      <c r="M2156" s="21">
        <v>2303.6</v>
      </c>
      <c r="N2156" s="21">
        <v>1958.39</v>
      </c>
      <c r="O2156" s="21">
        <v>98.4</v>
      </c>
      <c r="P2156" t="s">
        <v>124</v>
      </c>
      <c r="Q2156" t="s">
        <v>120</v>
      </c>
      <c r="R2156" t="s">
        <v>151</v>
      </c>
      <c r="S2156" t="s">
        <v>243</v>
      </c>
      <c r="T2156" t="s">
        <v>153</v>
      </c>
      <c r="U2156" t="s">
        <v>154</v>
      </c>
      <c r="V2156" t="str">
        <f>IFERROR(INDEX(Products!$C:$C,MATCH(D2156,Products!$A:$A,0)),"Unknown")</f>
        <v>Men Ethnic</v>
      </c>
      <c r="W2156" t="str">
        <f>IFERROR(INDEX(Products!$E:$E,MATCH(D2156,Products!$A:$A,0)),"Unknown")</f>
        <v>Nike</v>
      </c>
      <c r="X2156" t="str">
        <f>IFERROR(INDEX(Stores!$B:$B,MATCH(E2156,Stores!$A:$A,0)),"Unknown")</f>
        <v>TrendMart Guntur Flagship</v>
      </c>
      <c r="Y2156" t="str">
        <f>IFERROR(INDEX(Stores!$E:$E,MATCH(E2156,Stores!$A:$A,0)),"Unknown")</f>
        <v>South Zone 3</v>
      </c>
      <c r="Z2156" t="str">
        <f>IFERROR(INDEX(Customers!$J:$J,MATCH(C2156,Customers!$A:$A,0)),"Unknown")</f>
        <v>Regular</v>
      </c>
      <c r="AA2156" t="str">
        <f t="shared" si="33"/>
        <v>2024-05</v>
      </c>
      <c r="AB2156" t="str">
        <f>IFERROR(INDEX(Products!$I:$I,MATCH(D2156,Products!$A:$A,0)),"Unknown")</f>
        <v>SUP002</v>
      </c>
    </row>
    <row r="2157" spans="1:28" x14ac:dyDescent="0.25">
      <c r="A2157" t="s">
        <v>4176</v>
      </c>
      <c r="B2157" s="20">
        <v>45386</v>
      </c>
      <c r="C2157" t="s">
        <v>148</v>
      </c>
      <c r="D2157" t="s">
        <v>801</v>
      </c>
      <c r="E2157" t="s">
        <v>181</v>
      </c>
      <c r="F2157" t="s">
        <v>532</v>
      </c>
      <c r="G2157">
        <v>1</v>
      </c>
      <c r="H2157" s="21">
        <v>605.16999999999996</v>
      </c>
      <c r="I2157">
        <v>20</v>
      </c>
      <c r="J2157" s="21">
        <v>121.03</v>
      </c>
      <c r="K2157">
        <v>5</v>
      </c>
      <c r="L2157" s="21">
        <v>24.21</v>
      </c>
      <c r="M2157" s="21">
        <v>508.35</v>
      </c>
      <c r="N2157" s="21">
        <v>424.76</v>
      </c>
      <c r="O2157" s="21">
        <v>59.38</v>
      </c>
      <c r="P2157" t="s">
        <v>121</v>
      </c>
      <c r="Q2157" t="s">
        <v>120</v>
      </c>
      <c r="R2157" t="s">
        <v>151</v>
      </c>
      <c r="S2157" t="s">
        <v>1622</v>
      </c>
      <c r="T2157" t="s">
        <v>153</v>
      </c>
      <c r="U2157" t="s">
        <v>154</v>
      </c>
      <c r="V2157" t="str">
        <f>IFERROR(INDEX(Products!$C:$C,MATCH(D2157,Products!$A:$A,0)),"Unknown")</f>
        <v>Kids Wear</v>
      </c>
      <c r="W2157" t="str">
        <f>IFERROR(INDEX(Products!$E:$E,MATCH(D2157,Products!$A:$A,0)),"Unknown")</f>
        <v>Being Human</v>
      </c>
      <c r="X2157" t="str">
        <f>IFERROR(INDEX(Stores!$B:$B,MATCH(E2157,Stores!$A:$A,0)),"Unknown")</f>
        <v>TrendMart Kurnool High Street</v>
      </c>
      <c r="Y2157" t="str">
        <f>IFERROR(INDEX(Stores!$E:$E,MATCH(E2157,Stores!$A:$A,0)),"Unknown")</f>
        <v>South Zone 3</v>
      </c>
      <c r="Z2157" t="str">
        <f>IFERROR(INDEX(Customers!$J:$J,MATCH(C2157,Customers!$A:$A,0)),"Unknown")</f>
        <v>Regular</v>
      </c>
      <c r="AA2157" t="str">
        <f t="shared" si="33"/>
        <v>2024-04</v>
      </c>
      <c r="AB2157" t="str">
        <f>IFERROR(INDEX(Products!$I:$I,MATCH(D2157,Products!$A:$A,0)),"Unknown")</f>
        <v>SUP063</v>
      </c>
    </row>
    <row r="2158" spans="1:28" x14ac:dyDescent="0.25">
      <c r="A2158" t="s">
        <v>4177</v>
      </c>
      <c r="B2158" s="20">
        <v>45630</v>
      </c>
      <c r="C2158" t="s">
        <v>1199</v>
      </c>
      <c r="D2158" t="s">
        <v>1759</v>
      </c>
      <c r="E2158" t="s">
        <v>181</v>
      </c>
      <c r="F2158" t="s">
        <v>434</v>
      </c>
      <c r="G2158">
        <v>3</v>
      </c>
      <c r="H2158" s="21">
        <v>2890.79</v>
      </c>
      <c r="I2158">
        <v>0</v>
      </c>
      <c r="J2158" s="21">
        <v>0</v>
      </c>
      <c r="K2158">
        <v>12</v>
      </c>
      <c r="L2158" s="21">
        <v>1040.68</v>
      </c>
      <c r="M2158" s="21">
        <v>9713.0499999999993</v>
      </c>
      <c r="N2158" s="21">
        <v>5822.37</v>
      </c>
      <c r="O2158" s="21">
        <v>2850</v>
      </c>
      <c r="P2158" t="s">
        <v>127</v>
      </c>
      <c r="Q2158" t="s">
        <v>120</v>
      </c>
      <c r="R2158" t="s">
        <v>313</v>
      </c>
      <c r="S2158" t="s">
        <v>2380</v>
      </c>
      <c r="T2158" t="s">
        <v>153</v>
      </c>
      <c r="U2158" t="s">
        <v>154</v>
      </c>
      <c r="V2158" t="str">
        <f>IFERROR(INDEX(Products!$C:$C,MATCH(D2158,Products!$A:$A,0)),"Unknown")</f>
        <v>Winter Wear</v>
      </c>
      <c r="W2158" t="str">
        <f>IFERROR(INDEX(Products!$E:$E,MATCH(D2158,Products!$A:$A,0)),"Unknown")</f>
        <v>Bata</v>
      </c>
      <c r="X2158" t="str">
        <f>IFERROR(INDEX(Stores!$B:$B,MATCH(E2158,Stores!$A:$A,0)),"Unknown")</f>
        <v>TrendMart Kurnool High Street</v>
      </c>
      <c r="Y2158" t="str">
        <f>IFERROR(INDEX(Stores!$E:$E,MATCH(E2158,Stores!$A:$A,0)),"Unknown")</f>
        <v>South Zone 3</v>
      </c>
      <c r="Z2158" t="str">
        <f>IFERROR(INDEX(Customers!$J:$J,MATCH(C2158,Customers!$A:$A,0)),"Unknown")</f>
        <v>Silver</v>
      </c>
      <c r="AA2158" t="str">
        <f t="shared" si="33"/>
        <v>2024-12</v>
      </c>
      <c r="AB2158" t="str">
        <f>IFERROR(INDEX(Products!$I:$I,MATCH(D2158,Products!$A:$A,0)),"Unknown")</f>
        <v>SUP028</v>
      </c>
    </row>
    <row r="2159" spans="1:28" x14ac:dyDescent="0.25">
      <c r="A2159" t="s">
        <v>4178</v>
      </c>
      <c r="B2159" s="20">
        <v>45638</v>
      </c>
      <c r="C2159" t="s">
        <v>316</v>
      </c>
      <c r="D2159" t="s">
        <v>1350</v>
      </c>
      <c r="E2159" t="s">
        <v>89</v>
      </c>
      <c r="F2159" t="s">
        <v>263</v>
      </c>
      <c r="G2159">
        <v>2</v>
      </c>
      <c r="H2159" s="21">
        <v>645.25</v>
      </c>
      <c r="I2159">
        <v>15</v>
      </c>
      <c r="J2159" s="21">
        <v>193.57</v>
      </c>
      <c r="K2159">
        <v>5</v>
      </c>
      <c r="L2159" s="21">
        <v>54.85</v>
      </c>
      <c r="M2159" s="21">
        <v>1151.78</v>
      </c>
      <c r="N2159" s="21">
        <v>838.8</v>
      </c>
      <c r="O2159" s="21">
        <v>258.13</v>
      </c>
      <c r="P2159" t="s">
        <v>121</v>
      </c>
      <c r="Q2159" t="s">
        <v>120</v>
      </c>
      <c r="R2159" t="s">
        <v>151</v>
      </c>
      <c r="S2159" t="s">
        <v>1469</v>
      </c>
      <c r="T2159" t="s">
        <v>153</v>
      </c>
      <c r="U2159" t="s">
        <v>154</v>
      </c>
      <c r="V2159" t="str">
        <f>IFERROR(INDEX(Products!$C:$C,MATCH(D2159,Products!$A:$A,0)),"Unknown")</f>
        <v>Women Tops</v>
      </c>
      <c r="W2159" t="str">
        <f>IFERROR(INDEX(Products!$E:$E,MATCH(D2159,Products!$A:$A,0)),"Unknown")</f>
        <v>Jack &amp; Jones</v>
      </c>
      <c r="X2159" t="str">
        <f>IFERROR(INDEX(Stores!$B:$B,MATCH(E2159,Stores!$A:$A,0)),"Unknown")</f>
        <v>TrendMart Kochi Standard</v>
      </c>
      <c r="Y2159" t="str">
        <f>IFERROR(INDEX(Stores!$E:$E,MATCH(E2159,Stores!$A:$A,0)),"Unknown")</f>
        <v>South Zone 1</v>
      </c>
      <c r="Z2159" t="str">
        <f>IFERROR(INDEX(Customers!$J:$J,MATCH(C2159,Customers!$A:$A,0)),"Unknown")</f>
        <v>Regular</v>
      </c>
      <c r="AA2159" t="str">
        <f t="shared" si="33"/>
        <v>2024-12</v>
      </c>
      <c r="AB2159" t="str">
        <f>IFERROR(INDEX(Products!$I:$I,MATCH(D2159,Products!$A:$A,0)),"Unknown")</f>
        <v>SUP089</v>
      </c>
    </row>
    <row r="2160" spans="1:28" x14ac:dyDescent="0.25">
      <c r="A2160" t="s">
        <v>4179</v>
      </c>
      <c r="B2160" s="20">
        <v>45720</v>
      </c>
      <c r="C2160" t="s">
        <v>2510</v>
      </c>
      <c r="D2160" t="s">
        <v>251</v>
      </c>
      <c r="E2160" t="s">
        <v>506</v>
      </c>
      <c r="F2160" t="s">
        <v>292</v>
      </c>
      <c r="G2160">
        <v>1</v>
      </c>
      <c r="H2160" s="21">
        <v>798.46</v>
      </c>
      <c r="I2160">
        <v>15</v>
      </c>
      <c r="J2160" s="21">
        <v>119.77</v>
      </c>
      <c r="K2160">
        <v>5</v>
      </c>
      <c r="L2160" s="21">
        <v>33.93</v>
      </c>
      <c r="M2160" s="21">
        <v>712.62</v>
      </c>
      <c r="N2160" s="21">
        <v>534.80999999999995</v>
      </c>
      <c r="O2160" s="21">
        <v>143.88</v>
      </c>
      <c r="P2160" t="s">
        <v>121</v>
      </c>
      <c r="Q2160" t="s">
        <v>120</v>
      </c>
      <c r="R2160" t="s">
        <v>151</v>
      </c>
      <c r="S2160" t="s">
        <v>1499</v>
      </c>
      <c r="T2160" t="s">
        <v>153</v>
      </c>
      <c r="U2160" t="s">
        <v>154</v>
      </c>
      <c r="V2160" t="str">
        <f>IFERROR(INDEX(Products!$C:$C,MATCH(D2160,Products!$A:$A,0)),"Unknown")</f>
        <v>Women Tops</v>
      </c>
      <c r="W2160" t="str">
        <f>IFERROR(INDEX(Products!$E:$E,MATCH(D2160,Products!$A:$A,0)),"Unknown")</f>
        <v>US Polo Assn</v>
      </c>
      <c r="X2160" t="str">
        <f>IFERROR(INDEX(Stores!$B:$B,MATCH(E2160,Stores!$A:$A,0)),"Unknown")</f>
        <v>TrendMart Nellore High Street</v>
      </c>
      <c r="Y2160" t="str">
        <f>IFERROR(INDEX(Stores!$E:$E,MATCH(E2160,Stores!$A:$A,0)),"Unknown")</f>
        <v>South Zone 3</v>
      </c>
      <c r="Z2160" t="str">
        <f>IFERROR(INDEX(Customers!$J:$J,MATCH(C2160,Customers!$A:$A,0)),"Unknown")</f>
        <v>Silver</v>
      </c>
      <c r="AA2160" t="str">
        <f t="shared" si="33"/>
        <v>2025-03</v>
      </c>
      <c r="AB2160" t="str">
        <f>IFERROR(INDEX(Products!$I:$I,MATCH(D2160,Products!$A:$A,0)),"Unknown")</f>
        <v>SUP039</v>
      </c>
    </row>
    <row r="2161" spans="1:28" x14ac:dyDescent="0.25">
      <c r="A2161" t="s">
        <v>4180</v>
      </c>
      <c r="B2161" s="20">
        <v>45699</v>
      </c>
      <c r="C2161" t="s">
        <v>192</v>
      </c>
      <c r="D2161" t="s">
        <v>1539</v>
      </c>
      <c r="E2161" t="s">
        <v>82</v>
      </c>
      <c r="F2161" t="s">
        <v>377</v>
      </c>
      <c r="G2161">
        <v>1</v>
      </c>
      <c r="H2161" s="21">
        <v>1206.25</v>
      </c>
      <c r="I2161">
        <v>10</v>
      </c>
      <c r="J2161" s="21">
        <v>120.62</v>
      </c>
      <c r="K2161">
        <v>12</v>
      </c>
      <c r="L2161" s="21">
        <v>130.28</v>
      </c>
      <c r="M2161" s="21">
        <v>1215.9100000000001</v>
      </c>
      <c r="N2161" s="21">
        <v>917.44</v>
      </c>
      <c r="O2161" s="21">
        <v>168.19</v>
      </c>
      <c r="P2161" t="s">
        <v>123</v>
      </c>
      <c r="Q2161" t="s">
        <v>120</v>
      </c>
      <c r="R2161" t="s">
        <v>151</v>
      </c>
      <c r="S2161" t="s">
        <v>3038</v>
      </c>
      <c r="T2161" t="s">
        <v>153</v>
      </c>
      <c r="U2161" t="s">
        <v>154</v>
      </c>
      <c r="V2161" t="str">
        <f>IFERROR(INDEX(Products!$C:$C,MATCH(D2161,Products!$A:$A,0)),"Unknown")</f>
        <v>Wallets</v>
      </c>
      <c r="W2161" t="str">
        <f>IFERROR(INDEX(Products!$E:$E,MATCH(D2161,Products!$A:$A,0)),"Unknown")</f>
        <v>Reebok</v>
      </c>
      <c r="X2161" t="str">
        <f>IFERROR(INDEX(Stores!$B:$B,MATCH(E2161,Stores!$A:$A,0)),"Unknown")</f>
        <v>TrendMart Kochi High Street</v>
      </c>
      <c r="Y2161" t="str">
        <f>IFERROR(INDEX(Stores!$E:$E,MATCH(E2161,Stores!$A:$A,0)),"Unknown")</f>
        <v>South Zone 1</v>
      </c>
      <c r="Z2161" t="str">
        <f>IFERROR(INDEX(Customers!$J:$J,MATCH(C2161,Customers!$A:$A,0)),"Unknown")</f>
        <v>Silver</v>
      </c>
      <c r="AA2161" t="str">
        <f t="shared" si="33"/>
        <v>2025-02</v>
      </c>
      <c r="AB2161" t="str">
        <f>IFERROR(INDEX(Products!$I:$I,MATCH(D2161,Products!$A:$A,0)),"Unknown")</f>
        <v>SUP007</v>
      </c>
    </row>
    <row r="2162" spans="1:28" x14ac:dyDescent="0.25">
      <c r="A2162" t="s">
        <v>4181</v>
      </c>
      <c r="B2162" s="20">
        <v>45505</v>
      </c>
      <c r="C2162" t="s">
        <v>1629</v>
      </c>
      <c r="D2162" t="s">
        <v>937</v>
      </c>
      <c r="E2162" t="s">
        <v>416</v>
      </c>
      <c r="F2162" t="s">
        <v>269</v>
      </c>
      <c r="G2162">
        <v>1</v>
      </c>
      <c r="H2162" s="21">
        <v>1232.1400000000001</v>
      </c>
      <c r="I2162">
        <v>20</v>
      </c>
      <c r="J2162" s="21">
        <v>246.43</v>
      </c>
      <c r="K2162">
        <v>12</v>
      </c>
      <c r="L2162" s="21">
        <v>118.29</v>
      </c>
      <c r="M2162" s="21">
        <v>1104</v>
      </c>
      <c r="N2162" s="21">
        <v>861.8</v>
      </c>
      <c r="O2162" s="21">
        <v>123.91</v>
      </c>
      <c r="P2162" t="s">
        <v>121</v>
      </c>
      <c r="Q2162" t="s">
        <v>120</v>
      </c>
      <c r="R2162" t="s">
        <v>151</v>
      </c>
      <c r="S2162" t="s">
        <v>1436</v>
      </c>
      <c r="T2162" t="s">
        <v>153</v>
      </c>
      <c r="U2162" t="s">
        <v>154</v>
      </c>
      <c r="V2162" t="str">
        <f>IFERROR(INDEX(Products!$C:$C,MATCH(D2162,Products!$A:$A,0)),"Unknown")</f>
        <v>Men Shirts</v>
      </c>
      <c r="W2162" t="str">
        <f>IFERROR(INDEX(Products!$E:$E,MATCH(D2162,Products!$A:$A,0)),"Unknown")</f>
        <v>Skechers</v>
      </c>
      <c r="X2162" t="str">
        <f>IFERROR(INDEX(Stores!$B:$B,MATCH(E2162,Stores!$A:$A,0)),"Unknown")</f>
        <v>TrendMart Dindigul Standard</v>
      </c>
      <c r="Y2162" t="str">
        <f>IFERROR(INDEX(Stores!$E:$E,MATCH(E2162,Stores!$A:$A,0)),"Unknown")</f>
        <v>South Zone 1</v>
      </c>
      <c r="Z2162" t="str">
        <f>IFERROR(INDEX(Customers!$J:$J,MATCH(C2162,Customers!$A:$A,0)),"Unknown")</f>
        <v>Gold</v>
      </c>
      <c r="AA2162" t="str">
        <f t="shared" si="33"/>
        <v>2024-08</v>
      </c>
      <c r="AB2162" t="str">
        <f>IFERROR(INDEX(Products!$I:$I,MATCH(D2162,Products!$A:$A,0)),"Unknown")</f>
        <v>SUP042</v>
      </c>
    </row>
    <row r="2163" spans="1:28" x14ac:dyDescent="0.25">
      <c r="A2163" t="s">
        <v>4182</v>
      </c>
      <c r="B2163" s="20">
        <v>45564</v>
      </c>
      <c r="C2163" t="s">
        <v>1049</v>
      </c>
      <c r="D2163" t="s">
        <v>2037</v>
      </c>
      <c r="E2163" t="s">
        <v>1522</v>
      </c>
      <c r="F2163" t="s">
        <v>532</v>
      </c>
      <c r="G2163">
        <v>1</v>
      </c>
      <c r="H2163" s="21">
        <v>2032.97</v>
      </c>
      <c r="I2163">
        <v>0</v>
      </c>
      <c r="J2163" s="21">
        <v>0</v>
      </c>
      <c r="K2163">
        <v>12</v>
      </c>
      <c r="L2163" s="21">
        <v>243.96</v>
      </c>
      <c r="M2163" s="21">
        <v>2276.9299999999998</v>
      </c>
      <c r="N2163" s="21">
        <v>1205.1400000000001</v>
      </c>
      <c r="O2163" s="21">
        <v>827.83</v>
      </c>
      <c r="P2163" t="s">
        <v>124</v>
      </c>
      <c r="Q2163" t="s">
        <v>120</v>
      </c>
      <c r="R2163" t="s">
        <v>151</v>
      </c>
      <c r="S2163" t="s">
        <v>1451</v>
      </c>
      <c r="T2163" t="s">
        <v>161</v>
      </c>
      <c r="U2163" t="s">
        <v>154</v>
      </c>
      <c r="V2163" t="str">
        <f>IFERROR(INDEX(Products!$C:$C,MATCH(D2163,Products!$A:$A,0)),"Unknown")</f>
        <v>Men Ethnic</v>
      </c>
      <c r="W2163" t="str">
        <f>IFERROR(INDEX(Products!$E:$E,MATCH(D2163,Products!$A:$A,0)),"Unknown")</f>
        <v>Skechers</v>
      </c>
      <c r="X2163" t="str">
        <f>IFERROR(INDEX(Stores!$B:$B,MATCH(E2163,Stores!$A:$A,0)),"Unknown")</f>
        <v>TrendMart Guntur High Street</v>
      </c>
      <c r="Y2163" t="str">
        <f>IFERROR(INDEX(Stores!$E:$E,MATCH(E2163,Stores!$A:$A,0)),"Unknown")</f>
        <v>South Zone 3</v>
      </c>
      <c r="Z2163" t="str">
        <f>IFERROR(INDEX(Customers!$J:$J,MATCH(C2163,Customers!$A:$A,0)),"Unknown")</f>
        <v>Silver</v>
      </c>
      <c r="AA2163" t="str">
        <f t="shared" si="33"/>
        <v>2024-09</v>
      </c>
      <c r="AB2163" t="str">
        <f>IFERROR(INDEX(Products!$I:$I,MATCH(D2163,Products!$A:$A,0)),"Unknown")</f>
        <v>SUP083</v>
      </c>
    </row>
    <row r="2164" spans="1:28" x14ac:dyDescent="0.25">
      <c r="A2164" t="s">
        <v>4183</v>
      </c>
      <c r="B2164" s="20">
        <v>45612</v>
      </c>
      <c r="C2164" t="s">
        <v>1534</v>
      </c>
      <c r="D2164" t="s">
        <v>301</v>
      </c>
      <c r="E2164" t="s">
        <v>634</v>
      </c>
      <c r="F2164" t="s">
        <v>159</v>
      </c>
      <c r="G2164">
        <v>1</v>
      </c>
      <c r="H2164" s="21">
        <v>1592.91</v>
      </c>
      <c r="I2164">
        <v>0</v>
      </c>
      <c r="J2164" s="21">
        <v>0</v>
      </c>
      <c r="K2164">
        <v>12</v>
      </c>
      <c r="L2164" s="21">
        <v>191.15</v>
      </c>
      <c r="M2164" s="21">
        <v>1784.06</v>
      </c>
      <c r="N2164" s="21">
        <v>971.65</v>
      </c>
      <c r="O2164" s="21">
        <v>621.26</v>
      </c>
      <c r="P2164" t="s">
        <v>121</v>
      </c>
      <c r="Q2164" t="s">
        <v>120</v>
      </c>
      <c r="R2164" t="s">
        <v>151</v>
      </c>
      <c r="S2164" t="s">
        <v>2575</v>
      </c>
      <c r="T2164" t="s">
        <v>161</v>
      </c>
      <c r="U2164" t="s">
        <v>154</v>
      </c>
      <c r="V2164" t="str">
        <f>IFERROR(INDEX(Products!$C:$C,MATCH(D2164,Products!$A:$A,0)),"Unknown")</f>
        <v>Women Jeans</v>
      </c>
      <c r="W2164" t="str">
        <f>IFERROR(INDEX(Products!$E:$E,MATCH(D2164,Products!$A:$A,0)),"Unknown")</f>
        <v>Unknown</v>
      </c>
      <c r="X2164" t="str">
        <f>IFERROR(INDEX(Stores!$B:$B,MATCH(E2164,Stores!$A:$A,0)),"Unknown")</f>
        <v>TrendMart Thrissur High Street</v>
      </c>
      <c r="Y2164" t="str">
        <f>IFERROR(INDEX(Stores!$E:$E,MATCH(E2164,Stores!$A:$A,0)),"Unknown")</f>
        <v>South Zone 1</v>
      </c>
      <c r="Z2164" t="str">
        <f>IFERROR(INDEX(Customers!$J:$J,MATCH(C2164,Customers!$A:$A,0)),"Unknown")</f>
        <v>Regular</v>
      </c>
      <c r="AA2164" t="str">
        <f t="shared" si="33"/>
        <v>2024-11</v>
      </c>
      <c r="AB2164" t="str">
        <f>IFERROR(INDEX(Products!$I:$I,MATCH(D2164,Products!$A:$A,0)),"Unknown")</f>
        <v>SUP050</v>
      </c>
    </row>
    <row r="2165" spans="1:28" x14ac:dyDescent="0.25">
      <c r="A2165" t="s">
        <v>4184</v>
      </c>
      <c r="B2165" s="20">
        <v>45681</v>
      </c>
      <c r="C2165" t="s">
        <v>1309</v>
      </c>
      <c r="D2165" t="s">
        <v>1256</v>
      </c>
      <c r="E2165" t="s">
        <v>1591</v>
      </c>
      <c r="F2165" t="s">
        <v>303</v>
      </c>
      <c r="G2165">
        <v>3</v>
      </c>
      <c r="H2165" s="21">
        <v>822.28</v>
      </c>
      <c r="I2165">
        <v>20</v>
      </c>
      <c r="J2165" s="21">
        <v>493.37</v>
      </c>
      <c r="K2165">
        <v>5</v>
      </c>
      <c r="L2165" s="21">
        <v>98.67</v>
      </c>
      <c r="M2165" s="21">
        <v>2072.14</v>
      </c>
      <c r="N2165" s="21">
        <v>1911.81</v>
      </c>
      <c r="O2165" s="21">
        <v>61.66</v>
      </c>
      <c r="P2165" t="s">
        <v>127</v>
      </c>
      <c r="Q2165" t="s">
        <v>122</v>
      </c>
      <c r="R2165" t="s">
        <v>151</v>
      </c>
      <c r="S2165" t="s">
        <v>1275</v>
      </c>
      <c r="T2165" t="s">
        <v>153</v>
      </c>
      <c r="U2165" t="s">
        <v>154</v>
      </c>
      <c r="V2165" t="str">
        <f>IFERROR(INDEX(Products!$C:$C,MATCH(D2165,Products!$A:$A,0)),"Unknown")</f>
        <v>Women Jeans</v>
      </c>
      <c r="W2165" t="str">
        <f>IFERROR(INDEX(Products!$E:$E,MATCH(D2165,Products!$A:$A,0)),"Unknown")</f>
        <v>Biba</v>
      </c>
      <c r="X2165" t="str">
        <f>IFERROR(INDEX(Stores!$B:$B,MATCH(E2165,Stores!$A:$A,0)),"Unknown")</f>
        <v>TrendMart Guntur Standard</v>
      </c>
      <c r="Y2165" t="str">
        <f>IFERROR(INDEX(Stores!$E:$E,MATCH(E2165,Stores!$A:$A,0)),"Unknown")</f>
        <v>South Zone 3</v>
      </c>
      <c r="Z2165" t="str">
        <f>IFERROR(INDEX(Customers!$J:$J,MATCH(C2165,Customers!$A:$A,0)),"Unknown")</f>
        <v>Regular</v>
      </c>
      <c r="AA2165" t="str">
        <f t="shared" si="33"/>
        <v>2025-01</v>
      </c>
      <c r="AB2165" t="str">
        <f>IFERROR(INDEX(Products!$I:$I,MATCH(D2165,Products!$A:$A,0)),"Unknown")</f>
        <v>SUP040</v>
      </c>
    </row>
    <row r="2166" spans="1:28" x14ac:dyDescent="0.25">
      <c r="A2166" t="s">
        <v>4185</v>
      </c>
      <c r="B2166" s="20">
        <v>45691</v>
      </c>
      <c r="C2166" t="s">
        <v>4028</v>
      </c>
      <c r="D2166" t="s">
        <v>1920</v>
      </c>
      <c r="E2166" t="s">
        <v>98</v>
      </c>
      <c r="F2166" t="s">
        <v>397</v>
      </c>
      <c r="G2166">
        <v>2</v>
      </c>
      <c r="H2166" s="21">
        <v>955.61</v>
      </c>
      <c r="I2166">
        <v>15</v>
      </c>
      <c r="J2166" s="21">
        <v>286.68</v>
      </c>
      <c r="K2166">
        <v>5</v>
      </c>
      <c r="L2166" s="21">
        <v>81.23</v>
      </c>
      <c r="M2166" s="21">
        <v>1705.77</v>
      </c>
      <c r="N2166" s="21">
        <v>1070.94</v>
      </c>
      <c r="O2166" s="21">
        <v>553.6</v>
      </c>
      <c r="P2166" t="s">
        <v>121</v>
      </c>
      <c r="Q2166" t="s">
        <v>120</v>
      </c>
      <c r="R2166" t="s">
        <v>151</v>
      </c>
      <c r="S2166" t="s">
        <v>795</v>
      </c>
      <c r="T2166" t="s">
        <v>153</v>
      </c>
      <c r="U2166" t="s">
        <v>154</v>
      </c>
      <c r="V2166" t="str">
        <f>IFERROR(INDEX(Products!$C:$C,MATCH(D2166,Products!$A:$A,0)),"Unknown")</f>
        <v>Accessories</v>
      </c>
      <c r="W2166" t="str">
        <f>IFERROR(INDEX(Products!$E:$E,MATCH(D2166,Products!$A:$A,0)),"Unknown")</f>
        <v>Metro Shoes</v>
      </c>
      <c r="X2166" t="str">
        <f>IFERROR(INDEX(Stores!$B:$B,MATCH(E2166,Stores!$A:$A,0)),"Unknown")</f>
        <v>TrendMart Bengaluru Flagship</v>
      </c>
      <c r="Y2166" t="str">
        <f>IFERROR(INDEX(Stores!$E:$E,MATCH(E2166,Stores!$A:$A,0)),"Unknown")</f>
        <v>South Zone 2</v>
      </c>
      <c r="Z2166" t="str">
        <f>IFERROR(INDEX(Customers!$J:$J,MATCH(C2166,Customers!$A:$A,0)),"Unknown")</f>
        <v>Silver</v>
      </c>
      <c r="AA2166" t="str">
        <f t="shared" si="33"/>
        <v>2025-02</v>
      </c>
      <c r="AB2166" t="str">
        <f>IFERROR(INDEX(Products!$I:$I,MATCH(D2166,Products!$A:$A,0)),"Unknown")</f>
        <v>SUP003</v>
      </c>
    </row>
    <row r="2167" spans="1:28" x14ac:dyDescent="0.25">
      <c r="A2167" t="s">
        <v>4186</v>
      </c>
      <c r="B2167" s="20">
        <v>45744</v>
      </c>
      <c r="C2167" t="s">
        <v>1694</v>
      </c>
      <c r="D2167" t="s">
        <v>169</v>
      </c>
      <c r="E2167" t="s">
        <v>94</v>
      </c>
      <c r="F2167" t="s">
        <v>232</v>
      </c>
      <c r="G2167">
        <v>1</v>
      </c>
      <c r="H2167" s="21">
        <v>4808.5</v>
      </c>
      <c r="I2167">
        <v>0</v>
      </c>
      <c r="J2167" s="21">
        <v>0</v>
      </c>
      <c r="K2167">
        <v>12</v>
      </c>
      <c r="L2167" s="21">
        <v>577.02</v>
      </c>
      <c r="M2167" s="21">
        <v>5385.52</v>
      </c>
      <c r="N2167" s="21">
        <v>3370.8</v>
      </c>
      <c r="O2167" s="21">
        <v>1437.7</v>
      </c>
      <c r="P2167" t="s">
        <v>121</v>
      </c>
      <c r="Q2167" t="s">
        <v>120</v>
      </c>
      <c r="R2167" t="s">
        <v>151</v>
      </c>
      <c r="S2167" t="s">
        <v>1516</v>
      </c>
      <c r="T2167" t="s">
        <v>153</v>
      </c>
      <c r="U2167" t="s">
        <v>154</v>
      </c>
      <c r="V2167" t="str">
        <f>IFERROR(INDEX(Products!$C:$C,MATCH(D2167,Products!$A:$A,0)),"Unknown")</f>
        <v>Women Sarees</v>
      </c>
      <c r="W2167" t="str">
        <f>IFERROR(INDEX(Products!$E:$E,MATCH(D2167,Products!$A:$A,0)),"Unknown")</f>
        <v>Max Fashion</v>
      </c>
      <c r="X2167" t="str">
        <f>IFERROR(INDEX(Stores!$B:$B,MATCH(E2167,Stores!$A:$A,0)),"Unknown")</f>
        <v>TrendMart Bengaluru Mall Kiosk</v>
      </c>
      <c r="Y2167" t="str">
        <f>IFERROR(INDEX(Stores!$E:$E,MATCH(E2167,Stores!$A:$A,0)),"Unknown")</f>
        <v>South Zone 2</v>
      </c>
      <c r="Z2167" t="str">
        <f>IFERROR(INDEX(Customers!$J:$J,MATCH(C2167,Customers!$A:$A,0)),"Unknown")</f>
        <v>Regular</v>
      </c>
      <c r="AA2167" t="str">
        <f t="shared" si="33"/>
        <v>2025-03</v>
      </c>
      <c r="AB2167" t="str">
        <f>IFERROR(INDEX(Products!$I:$I,MATCH(D2167,Products!$A:$A,0)),"Unknown")</f>
        <v>SUP084</v>
      </c>
    </row>
    <row r="2168" spans="1:28" x14ac:dyDescent="0.25">
      <c r="A2168" t="s">
        <v>4187</v>
      </c>
      <c r="B2168" s="20">
        <v>45565</v>
      </c>
      <c r="C2168" t="s">
        <v>2471</v>
      </c>
      <c r="D2168" t="s">
        <v>386</v>
      </c>
      <c r="E2168" t="s">
        <v>521</v>
      </c>
      <c r="F2168" t="s">
        <v>434</v>
      </c>
      <c r="G2168">
        <v>1</v>
      </c>
      <c r="H2168" s="21">
        <v>1493.74</v>
      </c>
      <c r="I2168">
        <v>0</v>
      </c>
      <c r="J2168" s="21">
        <v>0</v>
      </c>
      <c r="K2168">
        <v>12</v>
      </c>
      <c r="L2168" s="21">
        <v>179.25</v>
      </c>
      <c r="M2168" s="21">
        <v>1672.99</v>
      </c>
      <c r="N2168" s="21">
        <v>1013.26</v>
      </c>
      <c r="O2168" s="21">
        <v>480.48</v>
      </c>
      <c r="P2168" t="s">
        <v>123</v>
      </c>
      <c r="Q2168" t="s">
        <v>120</v>
      </c>
      <c r="R2168" t="s">
        <v>151</v>
      </c>
      <c r="S2168" t="s">
        <v>1858</v>
      </c>
      <c r="T2168" t="s">
        <v>153</v>
      </c>
      <c r="U2168" t="s">
        <v>154</v>
      </c>
      <c r="V2168" t="str">
        <f>IFERROR(INDEX(Products!$C:$C,MATCH(D2168,Products!$A:$A,0)),"Unknown")</f>
        <v>Winter Wear</v>
      </c>
      <c r="W2168" t="str">
        <f>IFERROR(INDEX(Products!$E:$E,MATCH(D2168,Products!$A:$A,0)),"Unknown")</f>
        <v>Blackberrys</v>
      </c>
      <c r="X2168" t="str">
        <f>IFERROR(INDEX(Stores!$B:$B,MATCH(E2168,Stores!$A:$A,0)),"Unknown")</f>
        <v>TrendMart Tirupati Standard</v>
      </c>
      <c r="Y2168" t="str">
        <f>IFERROR(INDEX(Stores!$E:$E,MATCH(E2168,Stores!$A:$A,0)),"Unknown")</f>
        <v>South Zone 3</v>
      </c>
      <c r="Z2168" t="str">
        <f>IFERROR(INDEX(Customers!$J:$J,MATCH(C2168,Customers!$A:$A,0)),"Unknown")</f>
        <v>Regular</v>
      </c>
      <c r="AA2168" t="str">
        <f t="shared" si="33"/>
        <v>2024-09</v>
      </c>
      <c r="AB2168" t="str">
        <f>IFERROR(INDEX(Products!$I:$I,MATCH(D2168,Products!$A:$A,0)),"Unknown")</f>
        <v>SUP051</v>
      </c>
    </row>
    <row r="2169" spans="1:28" x14ac:dyDescent="0.25">
      <c r="A2169" t="s">
        <v>4188</v>
      </c>
      <c r="B2169" s="20">
        <v>45531</v>
      </c>
      <c r="C2169" t="s">
        <v>2807</v>
      </c>
      <c r="D2169" t="s">
        <v>1454</v>
      </c>
      <c r="E2169" t="s">
        <v>82</v>
      </c>
      <c r="F2169" t="s">
        <v>189</v>
      </c>
      <c r="G2169">
        <v>1</v>
      </c>
      <c r="H2169" s="21">
        <v>766.96</v>
      </c>
      <c r="I2169">
        <v>20</v>
      </c>
      <c r="J2169" s="21">
        <v>153.38999999999999</v>
      </c>
      <c r="K2169">
        <v>5</v>
      </c>
      <c r="L2169" s="21">
        <v>30.68</v>
      </c>
      <c r="M2169" s="21">
        <v>644.25</v>
      </c>
      <c r="N2169" s="21">
        <v>570.17999999999995</v>
      </c>
      <c r="O2169" s="21">
        <v>43.39</v>
      </c>
      <c r="P2169" t="s">
        <v>121</v>
      </c>
      <c r="Q2169" t="s">
        <v>120</v>
      </c>
      <c r="R2169" t="s">
        <v>151</v>
      </c>
      <c r="S2169" t="s">
        <v>2575</v>
      </c>
      <c r="T2169" t="s">
        <v>153</v>
      </c>
      <c r="U2169" t="s">
        <v>154</v>
      </c>
      <c r="V2169" t="str">
        <f>IFERROR(INDEX(Products!$C:$C,MATCH(D2169,Products!$A:$A,0)),"Unknown")</f>
        <v>Wallets</v>
      </c>
      <c r="W2169" t="str">
        <f>IFERROR(INDEX(Products!$E:$E,MATCH(D2169,Products!$A:$A,0)),"Unknown")</f>
        <v>Skechers</v>
      </c>
      <c r="X2169" t="str">
        <f>IFERROR(INDEX(Stores!$B:$B,MATCH(E2169,Stores!$A:$A,0)),"Unknown")</f>
        <v>TrendMart Kochi High Street</v>
      </c>
      <c r="Y2169" t="str">
        <f>IFERROR(INDEX(Stores!$E:$E,MATCH(E2169,Stores!$A:$A,0)),"Unknown")</f>
        <v>South Zone 1</v>
      </c>
      <c r="Z2169" t="str">
        <f>IFERROR(INDEX(Customers!$J:$J,MATCH(C2169,Customers!$A:$A,0)),"Unknown")</f>
        <v>Regular</v>
      </c>
      <c r="AA2169" t="str">
        <f t="shared" si="33"/>
        <v>2024-08</v>
      </c>
      <c r="AB2169" t="str">
        <f>IFERROR(INDEX(Products!$I:$I,MATCH(D2169,Products!$A:$A,0)),"Unknown")</f>
        <v>SUP013</v>
      </c>
    </row>
    <row r="2170" spans="1:28" x14ac:dyDescent="0.25">
      <c r="A2170" t="s">
        <v>4189</v>
      </c>
      <c r="B2170" s="20">
        <v>45596</v>
      </c>
      <c r="C2170" t="s">
        <v>1812</v>
      </c>
      <c r="D2170" t="s">
        <v>1197</v>
      </c>
      <c r="E2170" t="s">
        <v>83</v>
      </c>
      <c r="F2170" t="s">
        <v>516</v>
      </c>
      <c r="G2170">
        <v>1</v>
      </c>
      <c r="H2170" s="21">
        <v>1079.3800000000001</v>
      </c>
      <c r="I2170">
        <v>25</v>
      </c>
      <c r="J2170" s="21">
        <v>269.85000000000002</v>
      </c>
      <c r="K2170">
        <v>12</v>
      </c>
      <c r="L2170" s="21">
        <v>97.14</v>
      </c>
      <c r="M2170" s="21">
        <v>906.67</v>
      </c>
      <c r="N2170" s="21">
        <v>828.52</v>
      </c>
      <c r="O2170" s="21">
        <v>-18.989999999999998</v>
      </c>
      <c r="P2170" t="s">
        <v>123</v>
      </c>
      <c r="Q2170" t="s">
        <v>120</v>
      </c>
      <c r="R2170" t="s">
        <v>151</v>
      </c>
      <c r="S2170" t="s">
        <v>3421</v>
      </c>
      <c r="T2170" t="s">
        <v>153</v>
      </c>
      <c r="U2170" t="s">
        <v>184</v>
      </c>
      <c r="V2170" t="str">
        <f>IFERROR(INDEX(Products!$C:$C,MATCH(D2170,Products!$A:$A,0)),"Unknown")</f>
        <v>Women Jeans</v>
      </c>
      <c r="W2170" t="str">
        <f>IFERROR(INDEX(Products!$E:$E,MATCH(D2170,Products!$A:$A,0)),"Unknown")</f>
        <v>Van Heusen</v>
      </c>
      <c r="X2170" t="str">
        <f>IFERROR(INDEX(Stores!$B:$B,MATCH(E2170,Stores!$A:$A,0)),"Unknown")</f>
        <v>TrendMart Vellore Standard</v>
      </c>
      <c r="Y2170" t="str">
        <f>IFERROR(INDEX(Stores!$E:$E,MATCH(E2170,Stores!$A:$A,0)),"Unknown")</f>
        <v>South Zone 1</v>
      </c>
      <c r="Z2170" t="str">
        <f>IFERROR(INDEX(Customers!$J:$J,MATCH(C2170,Customers!$A:$A,0)),"Unknown")</f>
        <v>Regular</v>
      </c>
      <c r="AA2170" t="str">
        <f t="shared" si="33"/>
        <v>2024-10</v>
      </c>
      <c r="AB2170" t="str">
        <f>IFERROR(INDEX(Products!$I:$I,MATCH(D2170,Products!$A:$A,0)),"Unknown")</f>
        <v>SUP021</v>
      </c>
    </row>
    <row r="2171" spans="1:28" x14ac:dyDescent="0.25">
      <c r="A2171" t="s">
        <v>4190</v>
      </c>
      <c r="B2171" s="20">
        <v>45710</v>
      </c>
      <c r="C2171" t="s">
        <v>540</v>
      </c>
      <c r="D2171" t="s">
        <v>225</v>
      </c>
      <c r="E2171" t="s">
        <v>671</v>
      </c>
      <c r="F2171" t="s">
        <v>335</v>
      </c>
      <c r="G2171">
        <v>2</v>
      </c>
      <c r="H2171" s="21">
        <v>1860.09</v>
      </c>
      <c r="I2171">
        <v>15</v>
      </c>
      <c r="J2171" s="21">
        <v>558.03</v>
      </c>
      <c r="K2171">
        <v>12</v>
      </c>
      <c r="L2171" s="21">
        <v>379.46</v>
      </c>
      <c r="M2171" s="21">
        <v>3541.61</v>
      </c>
      <c r="N2171" s="21">
        <v>2814.66</v>
      </c>
      <c r="O2171" s="21">
        <v>347.49</v>
      </c>
      <c r="P2171" t="s">
        <v>126</v>
      </c>
      <c r="Q2171" t="s">
        <v>120</v>
      </c>
      <c r="R2171" t="s">
        <v>151</v>
      </c>
      <c r="S2171" t="s">
        <v>3074</v>
      </c>
      <c r="T2171" t="s">
        <v>161</v>
      </c>
      <c r="U2171" t="s">
        <v>154</v>
      </c>
      <c r="V2171" t="str">
        <f>IFERROR(INDEX(Products!$C:$C,MATCH(D2171,Products!$A:$A,0)),"Unknown")</f>
        <v>Women Dresses</v>
      </c>
      <c r="W2171" t="str">
        <f>IFERROR(INDEX(Products!$E:$E,MATCH(D2171,Products!$A:$A,0)),"Unknown")</f>
        <v>Tanishq</v>
      </c>
      <c r="X2171" t="str">
        <f>IFERROR(INDEX(Stores!$B:$B,MATCH(E2171,Stores!$A:$A,0)),"Unknown")</f>
        <v>TrendMart Hyderabad Mall Kiosk</v>
      </c>
      <c r="Y2171" t="str">
        <f>IFERROR(INDEX(Stores!$E:$E,MATCH(E2171,Stores!$A:$A,0)),"Unknown")</f>
        <v>South Zone 2</v>
      </c>
      <c r="Z2171" t="str">
        <f>IFERROR(INDEX(Customers!$J:$J,MATCH(C2171,Customers!$A:$A,0)),"Unknown")</f>
        <v>Gold</v>
      </c>
      <c r="AA2171" t="str">
        <f t="shared" si="33"/>
        <v>2025-02</v>
      </c>
      <c r="AB2171" t="str">
        <f>IFERROR(INDEX(Products!$I:$I,MATCH(D2171,Products!$A:$A,0)),"Unknown")</f>
        <v>SUP063</v>
      </c>
    </row>
    <row r="2172" spans="1:28" x14ac:dyDescent="0.25">
      <c r="A2172" t="s">
        <v>4191</v>
      </c>
      <c r="B2172" s="20">
        <v>45680</v>
      </c>
      <c r="C2172" t="s">
        <v>4192</v>
      </c>
      <c r="D2172" t="s">
        <v>612</v>
      </c>
      <c r="E2172" t="s">
        <v>477</v>
      </c>
      <c r="F2172" t="s">
        <v>258</v>
      </c>
      <c r="G2172">
        <v>1</v>
      </c>
      <c r="H2172" s="21">
        <v>617.26</v>
      </c>
      <c r="I2172">
        <v>15</v>
      </c>
      <c r="J2172" s="21">
        <v>92.59</v>
      </c>
      <c r="K2172">
        <v>5</v>
      </c>
      <c r="L2172" s="21">
        <v>26.23</v>
      </c>
      <c r="M2172" s="21">
        <v>550.9</v>
      </c>
      <c r="N2172" s="21">
        <v>369</v>
      </c>
      <c r="O2172" s="21">
        <v>155.66999999999999</v>
      </c>
      <c r="P2172" t="s">
        <v>123</v>
      </c>
      <c r="Q2172" t="s">
        <v>120</v>
      </c>
      <c r="R2172" t="s">
        <v>151</v>
      </c>
      <c r="S2172" t="s">
        <v>1567</v>
      </c>
      <c r="T2172" t="s">
        <v>153</v>
      </c>
      <c r="U2172" t="s">
        <v>154</v>
      </c>
      <c r="V2172" t="str">
        <f>IFERROR(INDEX(Products!$C:$C,MATCH(D2172,Products!$A:$A,0)),"Unknown")</f>
        <v>Men T-Shirts</v>
      </c>
      <c r="W2172" t="str">
        <f>IFERROR(INDEX(Products!$E:$E,MATCH(D2172,Products!$A:$A,0)),"Unknown")</f>
        <v>Killer Jeans</v>
      </c>
      <c r="X2172" t="str">
        <f>IFERROR(INDEX(Stores!$B:$B,MATCH(E2172,Stores!$A:$A,0)),"Unknown")</f>
        <v>TrendMart Hubballi Standard</v>
      </c>
      <c r="Y2172" t="str">
        <f>IFERROR(INDEX(Stores!$E:$E,MATCH(E2172,Stores!$A:$A,0)),"Unknown")</f>
        <v>South Zone 2</v>
      </c>
      <c r="Z2172" t="str">
        <f>IFERROR(INDEX(Customers!$J:$J,MATCH(C2172,Customers!$A:$A,0)),"Unknown")</f>
        <v>Gold</v>
      </c>
      <c r="AA2172" t="str">
        <f t="shared" si="33"/>
        <v>2025-01</v>
      </c>
      <c r="AB2172" t="str">
        <f>IFERROR(INDEX(Products!$I:$I,MATCH(D2172,Products!$A:$A,0)),"Unknown")</f>
        <v>SUP056</v>
      </c>
    </row>
    <row r="2173" spans="1:28" x14ac:dyDescent="0.25">
      <c r="A2173" t="s">
        <v>4193</v>
      </c>
      <c r="B2173" s="20">
        <v>45645</v>
      </c>
      <c r="C2173" t="s">
        <v>1571</v>
      </c>
      <c r="D2173" t="s">
        <v>861</v>
      </c>
      <c r="E2173" t="s">
        <v>506</v>
      </c>
      <c r="F2173" t="s">
        <v>258</v>
      </c>
      <c r="G2173">
        <v>2</v>
      </c>
      <c r="H2173" s="21">
        <v>1619.67</v>
      </c>
      <c r="I2173">
        <v>10</v>
      </c>
      <c r="J2173" s="21">
        <v>323.93</v>
      </c>
      <c r="K2173">
        <v>12</v>
      </c>
      <c r="L2173" s="21">
        <v>349.85</v>
      </c>
      <c r="M2173" s="21">
        <v>3265.26</v>
      </c>
      <c r="N2173" s="21">
        <v>2279.62</v>
      </c>
      <c r="O2173" s="21">
        <v>635.79</v>
      </c>
      <c r="P2173" t="s">
        <v>125</v>
      </c>
      <c r="Q2173" t="s">
        <v>120</v>
      </c>
      <c r="R2173" t="s">
        <v>151</v>
      </c>
      <c r="S2173" t="s">
        <v>1929</v>
      </c>
      <c r="T2173" t="s">
        <v>153</v>
      </c>
      <c r="U2173" t="s">
        <v>154</v>
      </c>
      <c r="V2173" t="str">
        <f>IFERROR(INDEX(Products!$C:$C,MATCH(D2173,Products!$A:$A,0)),"Unknown")</f>
        <v>Women Jeans</v>
      </c>
      <c r="W2173" t="str">
        <f>IFERROR(INDEX(Products!$E:$E,MATCH(D2173,Products!$A:$A,0)),"Unknown")</f>
        <v>Spykar</v>
      </c>
      <c r="X2173" t="str">
        <f>IFERROR(INDEX(Stores!$B:$B,MATCH(E2173,Stores!$A:$A,0)),"Unknown")</f>
        <v>TrendMart Nellore High Street</v>
      </c>
      <c r="Y2173" t="str">
        <f>IFERROR(INDEX(Stores!$E:$E,MATCH(E2173,Stores!$A:$A,0)),"Unknown")</f>
        <v>South Zone 3</v>
      </c>
      <c r="Z2173" t="str">
        <f>IFERROR(INDEX(Customers!$J:$J,MATCH(C2173,Customers!$A:$A,0)),"Unknown")</f>
        <v>Silver</v>
      </c>
      <c r="AA2173" t="str">
        <f t="shared" si="33"/>
        <v>2024-12</v>
      </c>
      <c r="AB2173" t="str">
        <f>IFERROR(INDEX(Products!$I:$I,MATCH(D2173,Products!$A:$A,0)),"Unknown")</f>
        <v>SUP088</v>
      </c>
    </row>
    <row r="2174" spans="1:28" x14ac:dyDescent="0.25">
      <c r="A2174" t="s">
        <v>4194</v>
      </c>
      <c r="B2174" s="20">
        <v>45496</v>
      </c>
      <c r="C2174" t="s">
        <v>4028</v>
      </c>
      <c r="D2174" t="s">
        <v>599</v>
      </c>
      <c r="E2174" t="s">
        <v>999</v>
      </c>
      <c r="F2174" t="s">
        <v>403</v>
      </c>
      <c r="G2174">
        <v>1</v>
      </c>
      <c r="H2174" s="21">
        <v>959.47</v>
      </c>
      <c r="I2174">
        <v>30</v>
      </c>
      <c r="J2174" s="21">
        <v>287.83999999999997</v>
      </c>
      <c r="K2174">
        <v>5</v>
      </c>
      <c r="L2174" s="21">
        <v>33.58</v>
      </c>
      <c r="M2174" s="21">
        <v>705.21</v>
      </c>
      <c r="N2174" s="21">
        <v>645.59</v>
      </c>
      <c r="O2174" s="21">
        <v>26.04</v>
      </c>
      <c r="P2174" t="s">
        <v>121</v>
      </c>
      <c r="Q2174" t="s">
        <v>122</v>
      </c>
      <c r="R2174" t="s">
        <v>151</v>
      </c>
      <c r="S2174" t="s">
        <v>491</v>
      </c>
      <c r="T2174" t="s">
        <v>153</v>
      </c>
      <c r="U2174" t="s">
        <v>154</v>
      </c>
      <c r="V2174" t="str">
        <f>IFERROR(INDEX(Products!$C:$C,MATCH(D2174,Products!$A:$A,0)),"Unknown")</f>
        <v>Men Shirts</v>
      </c>
      <c r="W2174" t="str">
        <f>IFERROR(INDEX(Products!$E:$E,MATCH(D2174,Products!$A:$A,0)),"Unknown")</f>
        <v>Van Heusen</v>
      </c>
      <c r="X2174" t="str">
        <f>IFERROR(INDEX(Stores!$B:$B,MATCH(E2174,Stores!$A:$A,0)),"Unknown")</f>
        <v>TrendMart Tumakuru Standard</v>
      </c>
      <c r="Y2174" t="str">
        <f>IFERROR(INDEX(Stores!$E:$E,MATCH(E2174,Stores!$A:$A,0)),"Unknown")</f>
        <v>South Zone 2</v>
      </c>
      <c r="Z2174" t="str">
        <f>IFERROR(INDEX(Customers!$J:$J,MATCH(C2174,Customers!$A:$A,0)),"Unknown")</f>
        <v>Silver</v>
      </c>
      <c r="AA2174" t="str">
        <f t="shared" si="33"/>
        <v>2024-07</v>
      </c>
      <c r="AB2174" t="str">
        <f>IFERROR(INDEX(Products!$I:$I,MATCH(D2174,Products!$A:$A,0)),"Unknown")</f>
        <v>SUP084</v>
      </c>
    </row>
    <row r="2175" spans="1:28" x14ac:dyDescent="0.25">
      <c r="A2175" t="s">
        <v>4195</v>
      </c>
      <c r="B2175" s="20">
        <v>45605</v>
      </c>
      <c r="C2175" t="s">
        <v>1812</v>
      </c>
      <c r="D2175" t="s">
        <v>1101</v>
      </c>
      <c r="E2175" t="s">
        <v>188</v>
      </c>
      <c r="F2175" t="s">
        <v>403</v>
      </c>
      <c r="G2175">
        <v>4</v>
      </c>
      <c r="H2175" s="21">
        <v>902.32</v>
      </c>
      <c r="I2175">
        <v>0</v>
      </c>
      <c r="J2175" s="21">
        <v>0</v>
      </c>
      <c r="K2175">
        <v>5</v>
      </c>
      <c r="L2175" s="21">
        <v>180.46</v>
      </c>
      <c r="M2175" s="21">
        <v>3789.74</v>
      </c>
      <c r="N2175" s="21">
        <v>2261.8000000000002</v>
      </c>
      <c r="O2175" s="21">
        <v>1347.48</v>
      </c>
      <c r="P2175" t="s">
        <v>123</v>
      </c>
      <c r="Q2175" t="s">
        <v>120</v>
      </c>
      <c r="R2175" t="s">
        <v>151</v>
      </c>
      <c r="S2175" t="s">
        <v>1191</v>
      </c>
      <c r="T2175" t="s">
        <v>161</v>
      </c>
      <c r="U2175" t="s">
        <v>154</v>
      </c>
      <c r="V2175" t="str">
        <f>IFERROR(INDEX(Products!$C:$C,MATCH(D2175,Products!$A:$A,0)),"Unknown")</f>
        <v>Kids Wear</v>
      </c>
      <c r="W2175" t="str">
        <f>IFERROR(INDEX(Products!$E:$E,MATCH(D2175,Products!$A:$A,0)),"Unknown")</f>
        <v>Woodland</v>
      </c>
      <c r="X2175" t="str">
        <f>IFERROR(INDEX(Stores!$B:$B,MATCH(E2175,Stores!$A:$A,0)),"Unknown")</f>
        <v>TrendMart Vijayawada Standard</v>
      </c>
      <c r="Y2175" t="str">
        <f>IFERROR(INDEX(Stores!$E:$E,MATCH(E2175,Stores!$A:$A,0)),"Unknown")</f>
        <v>South Zone 3</v>
      </c>
      <c r="Z2175" t="str">
        <f>IFERROR(INDEX(Customers!$J:$J,MATCH(C2175,Customers!$A:$A,0)),"Unknown")</f>
        <v>Regular</v>
      </c>
      <c r="AA2175" t="str">
        <f t="shared" si="33"/>
        <v>2024-11</v>
      </c>
      <c r="AB2175" t="str">
        <f>IFERROR(INDEX(Products!$I:$I,MATCH(D2175,Products!$A:$A,0)),"Unknown")</f>
        <v>SUP010</v>
      </c>
    </row>
    <row r="2176" spans="1:28" x14ac:dyDescent="0.25">
      <c r="A2176" t="s">
        <v>4196</v>
      </c>
      <c r="B2176" s="20">
        <v>45493</v>
      </c>
      <c r="C2176" t="s">
        <v>3490</v>
      </c>
      <c r="D2176" t="s">
        <v>1905</v>
      </c>
      <c r="E2176" t="s">
        <v>216</v>
      </c>
      <c r="F2176" t="s">
        <v>532</v>
      </c>
      <c r="G2176">
        <v>4</v>
      </c>
      <c r="H2176" s="21">
        <v>954.4</v>
      </c>
      <c r="I2176">
        <v>0</v>
      </c>
      <c r="J2176" s="21">
        <v>0</v>
      </c>
      <c r="K2176">
        <v>5</v>
      </c>
      <c r="L2176" s="21">
        <v>190.88</v>
      </c>
      <c r="M2176" s="21">
        <v>4008.48</v>
      </c>
      <c r="N2176" s="21">
        <v>2520.4</v>
      </c>
      <c r="O2176" s="21">
        <v>1297.2</v>
      </c>
      <c r="P2176" t="s">
        <v>123</v>
      </c>
      <c r="Q2176" t="s">
        <v>122</v>
      </c>
      <c r="R2176" t="s">
        <v>151</v>
      </c>
      <c r="S2176" t="s">
        <v>889</v>
      </c>
      <c r="T2176" t="s">
        <v>161</v>
      </c>
      <c r="U2176" t="s">
        <v>154</v>
      </c>
      <c r="V2176" t="str">
        <f>IFERROR(INDEX(Products!$C:$C,MATCH(D2176,Products!$A:$A,0)),"Unknown")</f>
        <v>Sportswear</v>
      </c>
      <c r="W2176" t="str">
        <f>IFERROR(INDEX(Products!$E:$E,MATCH(D2176,Products!$A:$A,0)),"Unknown")</f>
        <v>Pantaloons</v>
      </c>
      <c r="X2176" t="str">
        <f>IFERROR(INDEX(Stores!$B:$B,MATCH(E2176,Stores!$A:$A,0)),"Unknown")</f>
        <v>TrendMart Madurai Mall Kiosk</v>
      </c>
      <c r="Y2176" t="str">
        <f>IFERROR(INDEX(Stores!$E:$E,MATCH(E2176,Stores!$A:$A,0)),"Unknown")</f>
        <v>South Zone 1</v>
      </c>
      <c r="Z2176" t="str">
        <f>IFERROR(INDEX(Customers!$J:$J,MATCH(C2176,Customers!$A:$A,0)),"Unknown")</f>
        <v>Unknown</v>
      </c>
      <c r="AA2176" t="str">
        <f t="shared" si="33"/>
        <v>2024-07</v>
      </c>
      <c r="AB2176" t="str">
        <f>IFERROR(INDEX(Products!$I:$I,MATCH(D2176,Products!$A:$A,0)),"Unknown")</f>
        <v>SUP062</v>
      </c>
    </row>
    <row r="2177" spans="1:28" x14ac:dyDescent="0.25">
      <c r="A2177" t="s">
        <v>4197</v>
      </c>
      <c r="B2177" s="20">
        <v>45430</v>
      </c>
      <c r="C2177" t="s">
        <v>1453</v>
      </c>
      <c r="D2177" t="s">
        <v>531</v>
      </c>
      <c r="E2177" t="s">
        <v>188</v>
      </c>
      <c r="F2177" t="s">
        <v>253</v>
      </c>
      <c r="G2177">
        <v>2</v>
      </c>
      <c r="H2177" s="21">
        <v>3334.99</v>
      </c>
      <c r="I2177">
        <v>0</v>
      </c>
      <c r="J2177" s="21">
        <v>0</v>
      </c>
      <c r="K2177">
        <v>12</v>
      </c>
      <c r="L2177" s="21">
        <v>800.4</v>
      </c>
      <c r="M2177" s="21">
        <v>7470.38</v>
      </c>
      <c r="N2177" s="21">
        <v>4068.02</v>
      </c>
      <c r="O2177" s="21">
        <v>2601.96</v>
      </c>
      <c r="P2177" t="s">
        <v>123</v>
      </c>
      <c r="Q2177" t="s">
        <v>120</v>
      </c>
      <c r="R2177" t="s">
        <v>151</v>
      </c>
      <c r="S2177" t="s">
        <v>1396</v>
      </c>
      <c r="T2177" t="s">
        <v>161</v>
      </c>
      <c r="U2177" t="s">
        <v>154</v>
      </c>
      <c r="V2177" t="str">
        <f>IFERROR(INDEX(Products!$C:$C,MATCH(D2177,Products!$A:$A,0)),"Unknown")</f>
        <v>Handbags</v>
      </c>
      <c r="W2177" t="str">
        <f>IFERROR(INDEX(Products!$E:$E,MATCH(D2177,Products!$A:$A,0)),"Unknown")</f>
        <v>GRT Jewellers</v>
      </c>
      <c r="X2177" t="str">
        <f>IFERROR(INDEX(Stores!$B:$B,MATCH(E2177,Stores!$A:$A,0)),"Unknown")</f>
        <v>TrendMart Vijayawada Standard</v>
      </c>
      <c r="Y2177" t="str">
        <f>IFERROR(INDEX(Stores!$E:$E,MATCH(E2177,Stores!$A:$A,0)),"Unknown")</f>
        <v>South Zone 3</v>
      </c>
      <c r="Z2177" t="str">
        <f>IFERROR(INDEX(Customers!$J:$J,MATCH(C2177,Customers!$A:$A,0)),"Unknown")</f>
        <v>Silver</v>
      </c>
      <c r="AA2177" t="str">
        <f t="shared" si="33"/>
        <v>2024-05</v>
      </c>
      <c r="AB2177" t="str">
        <f>IFERROR(INDEX(Products!$I:$I,MATCH(D2177,Products!$A:$A,0)),"Unknown")</f>
        <v>SUP047</v>
      </c>
    </row>
    <row r="2178" spans="1:28" x14ac:dyDescent="0.25">
      <c r="A2178" t="s">
        <v>4198</v>
      </c>
      <c r="B2178" s="20">
        <v>45536</v>
      </c>
      <c r="C2178" t="s">
        <v>300</v>
      </c>
      <c r="D2178" t="s">
        <v>386</v>
      </c>
      <c r="E2178" t="s">
        <v>798</v>
      </c>
      <c r="F2178" t="s">
        <v>232</v>
      </c>
      <c r="G2178">
        <v>3</v>
      </c>
      <c r="H2178" s="21">
        <v>1525.57</v>
      </c>
      <c r="I2178">
        <v>15</v>
      </c>
      <c r="J2178" s="21">
        <v>686.51</v>
      </c>
      <c r="K2178">
        <v>12</v>
      </c>
      <c r="L2178" s="21">
        <v>466.82</v>
      </c>
      <c r="M2178" s="21">
        <v>4357.0200000000004</v>
      </c>
      <c r="N2178" s="21">
        <v>3039.78</v>
      </c>
      <c r="O2178" s="21">
        <v>850.42</v>
      </c>
      <c r="P2178" t="s">
        <v>127</v>
      </c>
      <c r="Q2178" t="s">
        <v>120</v>
      </c>
      <c r="R2178" t="s">
        <v>151</v>
      </c>
      <c r="S2178" t="s">
        <v>603</v>
      </c>
      <c r="T2178" t="s">
        <v>161</v>
      </c>
      <c r="U2178" t="s">
        <v>154</v>
      </c>
      <c r="V2178" t="str">
        <f>IFERROR(INDEX(Products!$C:$C,MATCH(D2178,Products!$A:$A,0)),"Unknown")</f>
        <v>Winter Wear</v>
      </c>
      <c r="W2178" t="str">
        <f>IFERROR(INDEX(Products!$E:$E,MATCH(D2178,Products!$A:$A,0)),"Unknown")</f>
        <v>Blackberrys</v>
      </c>
      <c r="X2178" t="str">
        <f>IFERROR(INDEX(Stores!$B:$B,MATCH(E2178,Stores!$A:$A,0)),"Unknown")</f>
        <v>TrendMart Guntur Standard</v>
      </c>
      <c r="Y2178" t="str">
        <f>IFERROR(INDEX(Stores!$E:$E,MATCH(E2178,Stores!$A:$A,0)),"Unknown")</f>
        <v>South Zone 3</v>
      </c>
      <c r="Z2178" t="str">
        <f>IFERROR(INDEX(Customers!$J:$J,MATCH(C2178,Customers!$A:$A,0)),"Unknown")</f>
        <v>Silver</v>
      </c>
      <c r="AA2178" t="str">
        <f t="shared" ref="AA2178:AA2241" si="34">TEXT(B2178,"YYYY-MM")</f>
        <v>2024-09</v>
      </c>
      <c r="AB2178" t="str">
        <f>IFERROR(INDEX(Products!$I:$I,MATCH(D2178,Products!$A:$A,0)),"Unknown")</f>
        <v>SUP051</v>
      </c>
    </row>
    <row r="2179" spans="1:28" x14ac:dyDescent="0.25">
      <c r="A2179" t="s">
        <v>4199</v>
      </c>
      <c r="B2179" s="20">
        <v>45722</v>
      </c>
      <c r="C2179" t="s">
        <v>1046</v>
      </c>
      <c r="D2179" t="s">
        <v>767</v>
      </c>
      <c r="E2179" t="s">
        <v>515</v>
      </c>
      <c r="F2179" t="s">
        <v>408</v>
      </c>
      <c r="G2179">
        <v>2</v>
      </c>
      <c r="H2179" s="21">
        <v>407.15</v>
      </c>
      <c r="I2179">
        <v>10</v>
      </c>
      <c r="J2179" s="21">
        <v>81.430000000000007</v>
      </c>
      <c r="K2179">
        <v>5</v>
      </c>
      <c r="L2179" s="21">
        <v>36.64</v>
      </c>
      <c r="M2179" s="21">
        <v>769.51</v>
      </c>
      <c r="N2179" s="21">
        <v>524.12</v>
      </c>
      <c r="O2179" s="21">
        <v>208.75</v>
      </c>
      <c r="P2179" t="s">
        <v>125</v>
      </c>
      <c r="Q2179" t="s">
        <v>122</v>
      </c>
      <c r="R2179" t="s">
        <v>313</v>
      </c>
      <c r="S2179" t="s">
        <v>3095</v>
      </c>
      <c r="T2179" t="s">
        <v>153</v>
      </c>
      <c r="U2179" t="s">
        <v>154</v>
      </c>
      <c r="V2179" t="str">
        <f>IFERROR(INDEX(Products!$C:$C,MATCH(D2179,Products!$A:$A,0)),"Unknown")</f>
        <v>Men T-Shirts</v>
      </c>
      <c r="W2179" t="str">
        <f>IFERROR(INDEX(Products!$E:$E,MATCH(D2179,Products!$A:$A,0)),"Unknown")</f>
        <v>Skechers</v>
      </c>
      <c r="X2179" t="str">
        <f>IFERROR(INDEX(Stores!$B:$B,MATCH(E2179,Stores!$A:$A,0)),"Unknown")</f>
        <v>TrendMart Kochi High Street</v>
      </c>
      <c r="Y2179" t="str">
        <f>IFERROR(INDEX(Stores!$E:$E,MATCH(E2179,Stores!$A:$A,0)),"Unknown")</f>
        <v>South Zone 1</v>
      </c>
      <c r="Z2179" t="str">
        <f>IFERROR(INDEX(Customers!$J:$J,MATCH(C2179,Customers!$A:$A,0)),"Unknown")</f>
        <v>Silver</v>
      </c>
      <c r="AA2179" t="str">
        <f t="shared" si="34"/>
        <v>2025-03</v>
      </c>
      <c r="AB2179" t="str">
        <f>IFERROR(INDEX(Products!$I:$I,MATCH(D2179,Products!$A:$A,0)),"Unknown")</f>
        <v>SUP061</v>
      </c>
    </row>
    <row r="2180" spans="1:28" x14ac:dyDescent="0.25">
      <c r="A2180" t="s">
        <v>4200</v>
      </c>
      <c r="B2180" s="20">
        <v>45587</v>
      </c>
      <c r="C2180" t="s">
        <v>266</v>
      </c>
      <c r="D2180" t="s">
        <v>524</v>
      </c>
      <c r="E2180" t="s">
        <v>1962</v>
      </c>
      <c r="F2180" t="s">
        <v>281</v>
      </c>
      <c r="G2180">
        <v>4</v>
      </c>
      <c r="H2180" s="21">
        <v>760.54</v>
      </c>
      <c r="I2180">
        <v>0</v>
      </c>
      <c r="J2180" s="21">
        <v>0</v>
      </c>
      <c r="K2180">
        <v>5</v>
      </c>
      <c r="L2180" s="21">
        <v>152.11000000000001</v>
      </c>
      <c r="M2180" s="21">
        <v>3194.27</v>
      </c>
      <c r="N2180" s="21">
        <v>2190.6799999999998</v>
      </c>
      <c r="O2180" s="21">
        <v>851.48</v>
      </c>
      <c r="P2180" t="s">
        <v>125</v>
      </c>
      <c r="Q2180" t="s">
        <v>120</v>
      </c>
      <c r="R2180" t="s">
        <v>151</v>
      </c>
      <c r="S2180" t="s">
        <v>1737</v>
      </c>
      <c r="T2180" t="s">
        <v>153</v>
      </c>
      <c r="U2180" t="s">
        <v>154</v>
      </c>
      <c r="V2180" t="str">
        <f>IFERROR(INDEX(Products!$C:$C,MATCH(D2180,Products!$A:$A,0)),"Unknown")</f>
        <v>Women Tops</v>
      </c>
      <c r="W2180" t="str">
        <f>IFERROR(INDEX(Products!$E:$E,MATCH(D2180,Products!$A:$A,0)),"Unknown")</f>
        <v>Indian Terrain</v>
      </c>
      <c r="X2180" t="str">
        <f>IFERROR(INDEX(Stores!$B:$B,MATCH(E2180,Stores!$A:$A,0)),"Unknown")</f>
        <v>TrendMart Guntur High Street</v>
      </c>
      <c r="Y2180" t="str">
        <f>IFERROR(INDEX(Stores!$E:$E,MATCH(E2180,Stores!$A:$A,0)),"Unknown")</f>
        <v>South Zone 3</v>
      </c>
      <c r="Z2180" t="str">
        <f>IFERROR(INDEX(Customers!$J:$J,MATCH(C2180,Customers!$A:$A,0)),"Unknown")</f>
        <v>Gold</v>
      </c>
      <c r="AA2180" t="str">
        <f t="shared" si="34"/>
        <v>2024-10</v>
      </c>
      <c r="AB2180" t="str">
        <f>IFERROR(INDEX(Products!$I:$I,MATCH(D2180,Products!$A:$A,0)),"Unknown")</f>
        <v>SUP062</v>
      </c>
    </row>
    <row r="2181" spans="1:28" x14ac:dyDescent="0.25">
      <c r="A2181" t="s">
        <v>4201</v>
      </c>
      <c r="B2181" s="20">
        <v>45692</v>
      </c>
      <c r="C2181" t="s">
        <v>3448</v>
      </c>
      <c r="D2181" t="s">
        <v>888</v>
      </c>
      <c r="E2181" t="s">
        <v>515</v>
      </c>
      <c r="F2181" t="s">
        <v>308</v>
      </c>
      <c r="G2181">
        <v>2</v>
      </c>
      <c r="H2181" s="21">
        <v>6098.59</v>
      </c>
      <c r="I2181">
        <v>5</v>
      </c>
      <c r="J2181" s="21">
        <v>609.86</v>
      </c>
      <c r="K2181">
        <v>3</v>
      </c>
      <c r="L2181" s="21">
        <v>347.62</v>
      </c>
      <c r="M2181" s="21">
        <v>11934.94</v>
      </c>
      <c r="N2181" s="21">
        <v>9525.52</v>
      </c>
      <c r="O2181" s="21">
        <v>2061.8000000000002</v>
      </c>
      <c r="P2181" t="s">
        <v>121</v>
      </c>
      <c r="Q2181" t="s">
        <v>122</v>
      </c>
      <c r="R2181" t="s">
        <v>151</v>
      </c>
      <c r="S2181" t="s">
        <v>1907</v>
      </c>
      <c r="T2181" t="s">
        <v>153</v>
      </c>
      <c r="U2181" t="s">
        <v>154</v>
      </c>
      <c r="V2181" t="str">
        <f>IFERROR(INDEX(Products!$C:$C,MATCH(D2181,Products!$A:$A,0)),"Unknown")</f>
        <v>Jewellery</v>
      </c>
      <c r="W2181" t="str">
        <f>IFERROR(INDEX(Products!$E:$E,MATCH(D2181,Products!$A:$A,0)),"Unknown")</f>
        <v>Aurelia</v>
      </c>
      <c r="X2181" t="str">
        <f>IFERROR(INDEX(Stores!$B:$B,MATCH(E2181,Stores!$A:$A,0)),"Unknown")</f>
        <v>TrendMart Kochi High Street</v>
      </c>
      <c r="Y2181" t="str">
        <f>IFERROR(INDEX(Stores!$E:$E,MATCH(E2181,Stores!$A:$A,0)),"Unknown")</f>
        <v>South Zone 1</v>
      </c>
      <c r="Z2181" t="str">
        <f>IFERROR(INDEX(Customers!$J:$J,MATCH(C2181,Customers!$A:$A,0)),"Unknown")</f>
        <v>Platinum</v>
      </c>
      <c r="AA2181" t="str">
        <f t="shared" si="34"/>
        <v>2025-02</v>
      </c>
      <c r="AB2181" t="str">
        <f>IFERROR(INDEX(Products!$I:$I,MATCH(D2181,Products!$A:$A,0)),"Unknown")</f>
        <v>SUP038</v>
      </c>
    </row>
    <row r="2182" spans="1:28" x14ac:dyDescent="0.25">
      <c r="A2182" t="s">
        <v>4202</v>
      </c>
      <c r="B2182" s="20">
        <v>45647</v>
      </c>
      <c r="C2182" t="s">
        <v>2595</v>
      </c>
      <c r="D2182" t="s">
        <v>164</v>
      </c>
      <c r="E2182" t="s">
        <v>667</v>
      </c>
      <c r="F2182" t="s">
        <v>574</v>
      </c>
      <c r="G2182">
        <v>3</v>
      </c>
      <c r="H2182" s="21">
        <v>4176.08</v>
      </c>
      <c r="I2182">
        <v>10</v>
      </c>
      <c r="J2182" s="21">
        <v>1252.82</v>
      </c>
      <c r="K2182">
        <v>12</v>
      </c>
      <c r="L2182" s="21">
        <v>1353.05</v>
      </c>
      <c r="M2182" s="21">
        <v>12628.47</v>
      </c>
      <c r="N2182" s="21">
        <v>7900.68</v>
      </c>
      <c r="O2182" s="21">
        <v>3374.74</v>
      </c>
      <c r="P2182" t="s">
        <v>121</v>
      </c>
      <c r="Q2182" t="s">
        <v>120</v>
      </c>
      <c r="R2182" t="s">
        <v>151</v>
      </c>
      <c r="S2182" t="s">
        <v>562</v>
      </c>
      <c r="T2182" t="s">
        <v>161</v>
      </c>
      <c r="U2182" t="s">
        <v>154</v>
      </c>
      <c r="V2182" t="str">
        <f>IFERROR(INDEX(Products!$C:$C,MATCH(D2182,Products!$A:$A,0)),"Unknown")</f>
        <v>Women Sarees</v>
      </c>
      <c r="W2182" t="str">
        <f>IFERROR(INDEX(Products!$E:$E,MATCH(D2182,Products!$A:$A,0)),"Unknown")</f>
        <v>Westside</v>
      </c>
      <c r="X2182" t="str">
        <f>IFERROR(INDEX(Stores!$B:$B,MATCH(E2182,Stores!$A:$A,0)),"Unknown")</f>
        <v>TrendMart Hyderabad High Street</v>
      </c>
      <c r="Y2182" t="str">
        <f>IFERROR(INDEX(Stores!$E:$E,MATCH(E2182,Stores!$A:$A,0)),"Unknown")</f>
        <v>South Zone 2</v>
      </c>
      <c r="Z2182" t="str">
        <f>IFERROR(INDEX(Customers!$J:$J,MATCH(C2182,Customers!$A:$A,0)),"Unknown")</f>
        <v>Gold</v>
      </c>
      <c r="AA2182" t="str">
        <f t="shared" si="34"/>
        <v>2024-12</v>
      </c>
      <c r="AB2182" t="str">
        <f>IFERROR(INDEX(Products!$I:$I,MATCH(D2182,Products!$A:$A,0)),"Unknown")</f>
        <v>SUP069</v>
      </c>
    </row>
    <row r="2183" spans="1:28" x14ac:dyDescent="0.25">
      <c r="A2183" t="s">
        <v>4203</v>
      </c>
      <c r="B2183" s="20">
        <v>45567</v>
      </c>
      <c r="C2183" t="s">
        <v>2487</v>
      </c>
      <c r="D2183" t="s">
        <v>573</v>
      </c>
      <c r="E2183" t="s">
        <v>1023</v>
      </c>
      <c r="F2183" t="s">
        <v>159</v>
      </c>
      <c r="G2183">
        <v>4</v>
      </c>
      <c r="H2183" s="21">
        <v>1051.69</v>
      </c>
      <c r="I2183">
        <v>5</v>
      </c>
      <c r="J2183" s="21">
        <v>210.34</v>
      </c>
      <c r="K2183">
        <v>12</v>
      </c>
      <c r="L2183" s="21">
        <v>479.57</v>
      </c>
      <c r="M2183" s="21">
        <v>4475.99</v>
      </c>
      <c r="N2183" s="21">
        <v>2882.12</v>
      </c>
      <c r="O2183" s="21">
        <v>1114.3</v>
      </c>
      <c r="P2183" t="s">
        <v>121</v>
      </c>
      <c r="Q2183" t="s">
        <v>122</v>
      </c>
      <c r="R2183" t="s">
        <v>151</v>
      </c>
      <c r="S2183" t="s">
        <v>3038</v>
      </c>
      <c r="T2183" t="s">
        <v>153</v>
      </c>
      <c r="U2183" t="s">
        <v>154</v>
      </c>
      <c r="V2183" t="str">
        <f>IFERROR(INDEX(Products!$C:$C,MATCH(D2183,Products!$A:$A,0)),"Unknown")</f>
        <v>Women Jeans</v>
      </c>
      <c r="W2183" t="str">
        <f>IFERROR(INDEX(Products!$E:$E,MATCH(D2183,Products!$A:$A,0)),"Unknown")</f>
        <v>Sonata</v>
      </c>
      <c r="X2183" t="str">
        <f>IFERROR(INDEX(Stores!$B:$B,MATCH(E2183,Stores!$A:$A,0)),"Unknown")</f>
        <v>TrendMart Kochi High Street</v>
      </c>
      <c r="Y2183" t="str">
        <f>IFERROR(INDEX(Stores!$E:$E,MATCH(E2183,Stores!$A:$A,0)),"Unknown")</f>
        <v>South Zone 1</v>
      </c>
      <c r="Z2183" t="str">
        <f>IFERROR(INDEX(Customers!$J:$J,MATCH(C2183,Customers!$A:$A,0)),"Unknown")</f>
        <v>Gold</v>
      </c>
      <c r="AA2183" t="str">
        <f t="shared" si="34"/>
        <v>2024-10</v>
      </c>
      <c r="AB2183" t="str">
        <f>IFERROR(INDEX(Products!$I:$I,MATCH(D2183,Products!$A:$A,0)),"Unknown")</f>
        <v>SUP017</v>
      </c>
    </row>
    <row r="2184" spans="1:28" x14ac:dyDescent="0.25">
      <c r="A2184" t="s">
        <v>4204</v>
      </c>
      <c r="B2184" s="20">
        <v>45735</v>
      </c>
      <c r="C2184" t="s">
        <v>605</v>
      </c>
      <c r="D2184" t="s">
        <v>1130</v>
      </c>
      <c r="E2184" t="s">
        <v>1023</v>
      </c>
      <c r="F2184" t="s">
        <v>382</v>
      </c>
      <c r="G2184">
        <v>0</v>
      </c>
      <c r="H2184" s="21">
        <v>3489.68</v>
      </c>
      <c r="I2184">
        <v>20</v>
      </c>
      <c r="J2184" s="21">
        <v>0</v>
      </c>
      <c r="K2184">
        <v>12</v>
      </c>
      <c r="L2184" s="21">
        <v>0</v>
      </c>
      <c r="M2184" s="21">
        <v>0</v>
      </c>
      <c r="N2184" s="21">
        <v>0</v>
      </c>
      <c r="O2184" s="21">
        <v>0</v>
      </c>
      <c r="P2184" t="s">
        <v>123</v>
      </c>
      <c r="Q2184" t="s">
        <v>120</v>
      </c>
      <c r="R2184" t="s">
        <v>482</v>
      </c>
      <c r="S2184" t="s">
        <v>1217</v>
      </c>
      <c r="T2184" t="s">
        <v>153</v>
      </c>
      <c r="U2184" t="s">
        <v>154</v>
      </c>
      <c r="V2184" t="str">
        <f>IFERROR(INDEX(Products!$C:$C,MATCH(D2184,Products!$A:$A,0)),"Unknown")</f>
        <v>Women Sarees</v>
      </c>
      <c r="W2184" t="str">
        <f>IFERROR(INDEX(Products!$E:$E,MATCH(D2184,Products!$A:$A,0)),"Unknown")</f>
        <v>Sparx</v>
      </c>
      <c r="X2184" t="str">
        <f>IFERROR(INDEX(Stores!$B:$B,MATCH(E2184,Stores!$A:$A,0)),"Unknown")</f>
        <v>TrendMart Kochi High Street</v>
      </c>
      <c r="Y2184" t="str">
        <f>IFERROR(INDEX(Stores!$E:$E,MATCH(E2184,Stores!$A:$A,0)),"Unknown")</f>
        <v>South Zone 1</v>
      </c>
      <c r="Z2184" t="str">
        <f>IFERROR(INDEX(Customers!$J:$J,MATCH(C2184,Customers!$A:$A,0)),"Unknown")</f>
        <v>Regular</v>
      </c>
      <c r="AA2184" t="str">
        <f t="shared" si="34"/>
        <v>2025-03</v>
      </c>
      <c r="AB2184" t="str">
        <f>IFERROR(INDEX(Products!$I:$I,MATCH(D2184,Products!$A:$A,0)),"Unknown")</f>
        <v>SUP069</v>
      </c>
    </row>
    <row r="2185" spans="1:28" x14ac:dyDescent="0.25">
      <c r="A2185" t="s">
        <v>4205</v>
      </c>
      <c r="B2185" s="20">
        <v>45744</v>
      </c>
      <c r="C2185" t="s">
        <v>2501</v>
      </c>
      <c r="D2185" t="s">
        <v>1569</v>
      </c>
      <c r="E2185" t="s">
        <v>999</v>
      </c>
      <c r="F2185" t="s">
        <v>618</v>
      </c>
      <c r="G2185">
        <v>1</v>
      </c>
      <c r="H2185" s="21">
        <v>1106.4000000000001</v>
      </c>
      <c r="I2185">
        <v>10</v>
      </c>
      <c r="J2185" s="21">
        <v>110.64</v>
      </c>
      <c r="K2185">
        <v>12</v>
      </c>
      <c r="L2185" s="21">
        <v>119.49</v>
      </c>
      <c r="M2185" s="21">
        <v>1115.25</v>
      </c>
      <c r="N2185" s="21">
        <v>808.99</v>
      </c>
      <c r="O2185" s="21">
        <v>186.77</v>
      </c>
      <c r="P2185" t="s">
        <v>123</v>
      </c>
      <c r="Q2185" t="s">
        <v>120</v>
      </c>
      <c r="R2185" t="s">
        <v>151</v>
      </c>
      <c r="S2185" t="s">
        <v>1235</v>
      </c>
      <c r="T2185" t="s">
        <v>153</v>
      </c>
      <c r="U2185" t="s">
        <v>154</v>
      </c>
      <c r="V2185" t="str">
        <f>IFERROR(INDEX(Products!$C:$C,MATCH(D2185,Products!$A:$A,0)),"Unknown")</f>
        <v>Women Kurtis</v>
      </c>
      <c r="W2185" t="str">
        <f>IFERROR(INDEX(Products!$E:$E,MATCH(D2185,Products!$A:$A,0)),"Unknown")</f>
        <v>Liberty</v>
      </c>
      <c r="X2185" t="str">
        <f>IFERROR(INDEX(Stores!$B:$B,MATCH(E2185,Stores!$A:$A,0)),"Unknown")</f>
        <v>TrendMart Tumakuru Standard</v>
      </c>
      <c r="Y2185" t="str">
        <f>IFERROR(INDEX(Stores!$E:$E,MATCH(E2185,Stores!$A:$A,0)),"Unknown")</f>
        <v>South Zone 2</v>
      </c>
      <c r="Z2185" t="str">
        <f>IFERROR(INDEX(Customers!$J:$J,MATCH(C2185,Customers!$A:$A,0)),"Unknown")</f>
        <v>Silver</v>
      </c>
      <c r="AA2185" t="str">
        <f t="shared" si="34"/>
        <v>2025-03</v>
      </c>
      <c r="AB2185" t="str">
        <f>IFERROR(INDEX(Products!$I:$I,MATCH(D2185,Products!$A:$A,0)),"Unknown")</f>
        <v>SUP079</v>
      </c>
    </row>
    <row r="2186" spans="1:28" x14ac:dyDescent="0.25">
      <c r="A2186" t="s">
        <v>4206</v>
      </c>
      <c r="B2186" s="20">
        <v>45497</v>
      </c>
      <c r="C2186" t="s">
        <v>4207</v>
      </c>
      <c r="D2186" t="s">
        <v>595</v>
      </c>
      <c r="E2186" t="s">
        <v>613</v>
      </c>
      <c r="F2186" t="s">
        <v>434</v>
      </c>
      <c r="G2186">
        <v>0</v>
      </c>
      <c r="H2186" s="21">
        <v>884.69</v>
      </c>
      <c r="I2186">
        <v>10</v>
      </c>
      <c r="J2186" s="21">
        <v>0</v>
      </c>
      <c r="K2186">
        <v>5</v>
      </c>
      <c r="L2186" s="21">
        <v>0</v>
      </c>
      <c r="M2186" s="21">
        <v>0</v>
      </c>
      <c r="N2186" s="21">
        <v>0</v>
      </c>
      <c r="O2186" s="21">
        <v>0</v>
      </c>
      <c r="P2186" t="s">
        <v>121</v>
      </c>
      <c r="Q2186" t="s">
        <v>120</v>
      </c>
      <c r="R2186" t="s">
        <v>482</v>
      </c>
      <c r="S2186" t="s">
        <v>1272</v>
      </c>
      <c r="T2186" t="s">
        <v>153</v>
      </c>
      <c r="U2186" t="s">
        <v>154</v>
      </c>
      <c r="V2186" t="str">
        <f>IFERROR(INDEX(Products!$C:$C,MATCH(D2186,Products!$A:$A,0)),"Unknown")</f>
        <v>Men Shirts</v>
      </c>
      <c r="W2186" t="str">
        <f>IFERROR(INDEX(Products!$E:$E,MATCH(D2186,Products!$A:$A,0)),"Unknown")</f>
        <v>Nalli Silks</v>
      </c>
      <c r="X2186" t="str">
        <f>IFERROR(INDEX(Stores!$B:$B,MATCH(E2186,Stores!$A:$A,0)),"Unknown")</f>
        <v>TrendMart Kochi Mall Kiosk</v>
      </c>
      <c r="Y2186" t="str">
        <f>IFERROR(INDEX(Stores!$E:$E,MATCH(E2186,Stores!$A:$A,0)),"Unknown")</f>
        <v>South Zone 1</v>
      </c>
      <c r="Z2186" t="str">
        <f>IFERROR(INDEX(Customers!$J:$J,MATCH(C2186,Customers!$A:$A,0)),"Unknown")</f>
        <v>Silver</v>
      </c>
      <c r="AA2186" t="str">
        <f t="shared" si="34"/>
        <v>2024-07</v>
      </c>
      <c r="AB2186" t="str">
        <f>IFERROR(INDEX(Products!$I:$I,MATCH(D2186,Products!$A:$A,0)),"Unknown")</f>
        <v>SUP055</v>
      </c>
    </row>
    <row r="2187" spans="1:28" x14ac:dyDescent="0.25">
      <c r="A2187" t="s">
        <v>4208</v>
      </c>
      <c r="B2187" s="20">
        <v>45384</v>
      </c>
      <c r="C2187" t="s">
        <v>2036</v>
      </c>
      <c r="D2187" t="s">
        <v>325</v>
      </c>
      <c r="E2187" t="s">
        <v>96</v>
      </c>
      <c r="F2187" t="s">
        <v>335</v>
      </c>
      <c r="G2187">
        <v>4</v>
      </c>
      <c r="H2187" s="21">
        <v>1117.6300000000001</v>
      </c>
      <c r="I2187">
        <v>30</v>
      </c>
      <c r="J2187" s="21">
        <v>1341.16</v>
      </c>
      <c r="K2187">
        <v>12</v>
      </c>
      <c r="L2187" s="21">
        <v>375.52</v>
      </c>
      <c r="M2187" s="21">
        <v>3504.88</v>
      </c>
      <c r="N2187" s="21">
        <v>3036</v>
      </c>
      <c r="O2187" s="21">
        <v>93.36</v>
      </c>
      <c r="P2187" t="s">
        <v>121</v>
      </c>
      <c r="Q2187" t="s">
        <v>120</v>
      </c>
      <c r="R2187" t="s">
        <v>151</v>
      </c>
      <c r="S2187" t="s">
        <v>2527</v>
      </c>
      <c r="T2187" t="s">
        <v>153</v>
      </c>
      <c r="U2187" t="s">
        <v>154</v>
      </c>
      <c r="V2187" t="str">
        <f>IFERROR(INDEX(Products!$C:$C,MATCH(D2187,Products!$A:$A,0)),"Unknown")</f>
        <v>Women Jeans</v>
      </c>
      <c r="W2187" t="str">
        <f>IFERROR(INDEX(Products!$E:$E,MATCH(D2187,Products!$A:$A,0)),"Unknown")</f>
        <v>Nalli Silks</v>
      </c>
      <c r="X2187" t="str">
        <f>IFERROR(INDEX(Stores!$B:$B,MATCH(E2187,Stores!$A:$A,0)),"Unknown")</f>
        <v>TrendMart Shivamogga Outlet</v>
      </c>
      <c r="Y2187" t="str">
        <f>IFERROR(INDEX(Stores!$E:$E,MATCH(E2187,Stores!$A:$A,0)),"Unknown")</f>
        <v>South Zone 2</v>
      </c>
      <c r="Z2187" t="str">
        <f>IFERROR(INDEX(Customers!$J:$J,MATCH(C2187,Customers!$A:$A,0)),"Unknown")</f>
        <v>Silver</v>
      </c>
      <c r="AA2187" t="str">
        <f t="shared" si="34"/>
        <v>2024-04</v>
      </c>
      <c r="AB2187" t="str">
        <f>IFERROR(INDEX(Products!$I:$I,MATCH(D2187,Products!$A:$A,0)),"Unknown")</f>
        <v>SUP048</v>
      </c>
    </row>
    <row r="2188" spans="1:28" x14ac:dyDescent="0.25">
      <c r="A2188" t="s">
        <v>4209</v>
      </c>
      <c r="B2188" s="20">
        <v>45637</v>
      </c>
      <c r="C2188" t="s">
        <v>557</v>
      </c>
      <c r="D2188" t="s">
        <v>1569</v>
      </c>
      <c r="E2188" t="s">
        <v>84</v>
      </c>
      <c r="F2188" t="s">
        <v>170</v>
      </c>
      <c r="G2188">
        <v>2</v>
      </c>
      <c r="H2188" s="21">
        <v>1163.83</v>
      </c>
      <c r="I2188">
        <v>5</v>
      </c>
      <c r="J2188" s="21">
        <v>116.38</v>
      </c>
      <c r="K2188">
        <v>12</v>
      </c>
      <c r="L2188" s="21">
        <v>265.35000000000002</v>
      </c>
      <c r="M2188" s="21">
        <v>2476.63</v>
      </c>
      <c r="N2188" s="21">
        <v>1617.98</v>
      </c>
      <c r="O2188" s="21">
        <v>593.29999999999995</v>
      </c>
      <c r="P2188" t="s">
        <v>125</v>
      </c>
      <c r="Q2188" t="s">
        <v>120</v>
      </c>
      <c r="R2188" t="s">
        <v>151</v>
      </c>
      <c r="S2188" t="s">
        <v>1847</v>
      </c>
      <c r="T2188" t="s">
        <v>153</v>
      </c>
      <c r="U2188" t="s">
        <v>154</v>
      </c>
      <c r="V2188" t="str">
        <f>IFERROR(INDEX(Products!$C:$C,MATCH(D2188,Products!$A:$A,0)),"Unknown")</f>
        <v>Women Kurtis</v>
      </c>
      <c r="W2188" t="str">
        <f>IFERROR(INDEX(Products!$E:$E,MATCH(D2188,Products!$A:$A,0)),"Unknown")</f>
        <v>Liberty</v>
      </c>
      <c r="X2188" t="str">
        <f>IFERROR(INDEX(Stores!$B:$B,MATCH(E2188,Stores!$A:$A,0)),"Unknown")</f>
        <v>TrendMart Tirupati Standard</v>
      </c>
      <c r="Y2188" t="str">
        <f>IFERROR(INDEX(Stores!$E:$E,MATCH(E2188,Stores!$A:$A,0)),"Unknown")</f>
        <v>South Zone 3</v>
      </c>
      <c r="Z2188" t="str">
        <f>IFERROR(INDEX(Customers!$J:$J,MATCH(C2188,Customers!$A:$A,0)),"Unknown")</f>
        <v>Regular</v>
      </c>
      <c r="AA2188" t="str">
        <f t="shared" si="34"/>
        <v>2024-12</v>
      </c>
      <c r="AB2188" t="str">
        <f>IFERROR(INDEX(Products!$I:$I,MATCH(D2188,Products!$A:$A,0)),"Unknown")</f>
        <v>SUP079</v>
      </c>
    </row>
    <row r="2189" spans="1:28" x14ac:dyDescent="0.25">
      <c r="A2189" t="s">
        <v>4210</v>
      </c>
      <c r="B2189" s="20">
        <v>45672</v>
      </c>
      <c r="C2189" t="s">
        <v>2610</v>
      </c>
      <c r="D2189" t="s">
        <v>1296</v>
      </c>
      <c r="E2189" t="s">
        <v>188</v>
      </c>
      <c r="F2189" t="s">
        <v>397</v>
      </c>
      <c r="G2189">
        <v>2</v>
      </c>
      <c r="H2189" s="21">
        <v>884.18</v>
      </c>
      <c r="I2189">
        <v>10</v>
      </c>
      <c r="J2189" s="21">
        <v>176.84</v>
      </c>
      <c r="K2189">
        <v>5</v>
      </c>
      <c r="L2189" s="21">
        <v>79.58</v>
      </c>
      <c r="M2189" s="21">
        <v>1671.1</v>
      </c>
      <c r="N2189" s="21">
        <v>1342.38</v>
      </c>
      <c r="O2189" s="21">
        <v>249.14</v>
      </c>
      <c r="P2189" t="s">
        <v>125</v>
      </c>
      <c r="Q2189" t="s">
        <v>120</v>
      </c>
      <c r="R2189" t="s">
        <v>151</v>
      </c>
      <c r="S2189" t="s">
        <v>1630</v>
      </c>
      <c r="T2189" t="s">
        <v>153</v>
      </c>
      <c r="U2189" t="s">
        <v>154</v>
      </c>
      <c r="V2189" t="str">
        <f>IFERROR(INDEX(Products!$C:$C,MATCH(D2189,Products!$A:$A,0)),"Unknown")</f>
        <v>Handbags</v>
      </c>
      <c r="W2189" t="str">
        <f>IFERROR(INDEX(Products!$E:$E,MATCH(D2189,Products!$A:$A,0)),"Unknown")</f>
        <v>Tanishq</v>
      </c>
      <c r="X2189" t="str">
        <f>IFERROR(INDEX(Stores!$B:$B,MATCH(E2189,Stores!$A:$A,0)),"Unknown")</f>
        <v>TrendMart Vijayawada Standard</v>
      </c>
      <c r="Y2189" t="str">
        <f>IFERROR(INDEX(Stores!$E:$E,MATCH(E2189,Stores!$A:$A,0)),"Unknown")</f>
        <v>South Zone 3</v>
      </c>
      <c r="Z2189" t="str">
        <f>IFERROR(INDEX(Customers!$J:$J,MATCH(C2189,Customers!$A:$A,0)),"Unknown")</f>
        <v>Regular</v>
      </c>
      <c r="AA2189" t="str">
        <f t="shared" si="34"/>
        <v>2025-01</v>
      </c>
      <c r="AB2189" t="str">
        <f>IFERROR(INDEX(Products!$I:$I,MATCH(D2189,Products!$A:$A,0)),"Unknown")</f>
        <v>SUP083</v>
      </c>
    </row>
    <row r="2190" spans="1:28" x14ac:dyDescent="0.25">
      <c r="A2190" t="s">
        <v>4211</v>
      </c>
      <c r="B2190" s="20">
        <v>45691</v>
      </c>
      <c r="C2190" t="s">
        <v>2357</v>
      </c>
      <c r="D2190" t="s">
        <v>773</v>
      </c>
      <c r="E2190" t="s">
        <v>81</v>
      </c>
      <c r="F2190" t="s">
        <v>237</v>
      </c>
      <c r="G2190">
        <v>1</v>
      </c>
      <c r="H2190" s="21">
        <v>3431.35</v>
      </c>
      <c r="I2190">
        <v>0</v>
      </c>
      <c r="J2190" s="21">
        <v>0</v>
      </c>
      <c r="K2190">
        <v>12</v>
      </c>
      <c r="L2190" s="21">
        <v>411.76</v>
      </c>
      <c r="M2190" s="21">
        <v>3843.11</v>
      </c>
      <c r="N2190" s="21">
        <v>2710.05</v>
      </c>
      <c r="O2190" s="21">
        <v>721.3</v>
      </c>
      <c r="P2190" t="s">
        <v>125</v>
      </c>
      <c r="Q2190" t="s">
        <v>120</v>
      </c>
      <c r="R2190" t="s">
        <v>151</v>
      </c>
      <c r="S2190" t="s">
        <v>1678</v>
      </c>
      <c r="T2190" t="s">
        <v>153</v>
      </c>
      <c r="U2190" t="s">
        <v>154</v>
      </c>
      <c r="V2190" t="str">
        <f>IFERROR(INDEX(Products!$C:$C,MATCH(D2190,Products!$A:$A,0)),"Unknown")</f>
        <v>Women Sarees</v>
      </c>
      <c r="W2190" t="str">
        <f>IFERROR(INDEX(Products!$E:$E,MATCH(D2190,Products!$A:$A,0)),"Unknown")</f>
        <v>Bata</v>
      </c>
      <c r="X2190" t="str">
        <f>IFERROR(INDEX(Stores!$B:$B,MATCH(E2190,Stores!$A:$A,0)),"Unknown")</f>
        <v>TrendMart Vijayawada High Street</v>
      </c>
      <c r="Y2190" t="str">
        <f>IFERROR(INDEX(Stores!$E:$E,MATCH(E2190,Stores!$A:$A,0)),"Unknown")</f>
        <v>South Zone 3</v>
      </c>
      <c r="Z2190" t="str">
        <f>IFERROR(INDEX(Customers!$J:$J,MATCH(C2190,Customers!$A:$A,0)),"Unknown")</f>
        <v>Silver</v>
      </c>
      <c r="AA2190" t="str">
        <f t="shared" si="34"/>
        <v>2025-02</v>
      </c>
      <c r="AB2190" t="str">
        <f>IFERROR(INDEX(Products!$I:$I,MATCH(D2190,Products!$A:$A,0)),"Unknown")</f>
        <v>SUP086</v>
      </c>
    </row>
    <row r="2191" spans="1:28" x14ac:dyDescent="0.25">
      <c r="A2191" t="s">
        <v>4212</v>
      </c>
      <c r="B2191" s="20">
        <v>45700</v>
      </c>
      <c r="C2191" t="s">
        <v>473</v>
      </c>
      <c r="D2191" t="s">
        <v>1197</v>
      </c>
      <c r="E2191" t="s">
        <v>999</v>
      </c>
      <c r="F2191" t="s">
        <v>258</v>
      </c>
      <c r="G2191">
        <v>1</v>
      </c>
      <c r="H2191" s="21">
        <v>1069.48</v>
      </c>
      <c r="I2191">
        <v>5</v>
      </c>
      <c r="J2191" s="21">
        <v>53.47</v>
      </c>
      <c r="K2191">
        <v>12</v>
      </c>
      <c r="L2191" s="21">
        <v>121.92</v>
      </c>
      <c r="M2191" s="21">
        <v>1137.93</v>
      </c>
      <c r="N2191" s="21">
        <v>828.52</v>
      </c>
      <c r="O2191" s="21">
        <v>187.49</v>
      </c>
      <c r="P2191" t="s">
        <v>125</v>
      </c>
      <c r="Q2191" t="s">
        <v>120</v>
      </c>
      <c r="R2191" t="s">
        <v>151</v>
      </c>
      <c r="S2191" t="s">
        <v>789</v>
      </c>
      <c r="T2191" t="s">
        <v>153</v>
      </c>
      <c r="U2191" t="s">
        <v>154</v>
      </c>
      <c r="V2191" t="str">
        <f>IFERROR(INDEX(Products!$C:$C,MATCH(D2191,Products!$A:$A,0)),"Unknown")</f>
        <v>Women Jeans</v>
      </c>
      <c r="W2191" t="str">
        <f>IFERROR(INDEX(Products!$E:$E,MATCH(D2191,Products!$A:$A,0)),"Unknown")</f>
        <v>Van Heusen</v>
      </c>
      <c r="X2191" t="str">
        <f>IFERROR(INDEX(Stores!$B:$B,MATCH(E2191,Stores!$A:$A,0)),"Unknown")</f>
        <v>TrendMart Tumakuru Standard</v>
      </c>
      <c r="Y2191" t="str">
        <f>IFERROR(INDEX(Stores!$E:$E,MATCH(E2191,Stores!$A:$A,0)),"Unknown")</f>
        <v>South Zone 2</v>
      </c>
      <c r="Z2191" t="str">
        <f>IFERROR(INDEX(Customers!$J:$J,MATCH(C2191,Customers!$A:$A,0)),"Unknown")</f>
        <v>Regular</v>
      </c>
      <c r="AA2191" t="str">
        <f t="shared" si="34"/>
        <v>2025-02</v>
      </c>
      <c r="AB2191" t="str">
        <f>IFERROR(INDEX(Products!$I:$I,MATCH(D2191,Products!$A:$A,0)),"Unknown")</f>
        <v>SUP021</v>
      </c>
    </row>
    <row r="2192" spans="1:28" x14ac:dyDescent="0.25">
      <c r="A2192" t="s">
        <v>4213</v>
      </c>
      <c r="B2192" s="20">
        <v>45511</v>
      </c>
      <c r="C2192" t="s">
        <v>990</v>
      </c>
      <c r="D2192" t="s">
        <v>381</v>
      </c>
      <c r="E2192" t="s">
        <v>101</v>
      </c>
      <c r="F2192" t="s">
        <v>201</v>
      </c>
      <c r="G2192">
        <v>3</v>
      </c>
      <c r="H2192" s="21">
        <v>730.48</v>
      </c>
      <c r="I2192">
        <v>20</v>
      </c>
      <c r="J2192" s="21">
        <v>438.29</v>
      </c>
      <c r="K2192">
        <v>5</v>
      </c>
      <c r="L2192" s="21">
        <v>87.66</v>
      </c>
      <c r="M2192" s="21">
        <v>1840.81</v>
      </c>
      <c r="N2192" s="21">
        <v>1541.52</v>
      </c>
      <c r="O2192" s="21">
        <v>211.63</v>
      </c>
      <c r="P2192" t="s">
        <v>124</v>
      </c>
      <c r="Q2192" t="s">
        <v>122</v>
      </c>
      <c r="R2192" t="s">
        <v>151</v>
      </c>
      <c r="S2192" t="s">
        <v>3779</v>
      </c>
      <c r="T2192" t="s">
        <v>153</v>
      </c>
      <c r="U2192" t="s">
        <v>154</v>
      </c>
      <c r="V2192" t="str">
        <f>IFERROR(INDEX(Products!$C:$C,MATCH(D2192,Products!$A:$A,0)),"Unknown")</f>
        <v>Wallets</v>
      </c>
      <c r="W2192" t="str">
        <f>IFERROR(INDEX(Products!$E:$E,MATCH(D2192,Products!$A:$A,0)),"Unknown")</f>
        <v>Tanishq</v>
      </c>
      <c r="X2192" t="str">
        <f>IFERROR(INDEX(Stores!$B:$B,MATCH(E2192,Stores!$A:$A,0)),"Unknown")</f>
        <v>TrendMart Kurnool Standard</v>
      </c>
      <c r="Y2192" t="str">
        <f>IFERROR(INDEX(Stores!$E:$E,MATCH(E2192,Stores!$A:$A,0)),"Unknown")</f>
        <v>South Zone 3</v>
      </c>
      <c r="Z2192" t="str">
        <f>IFERROR(INDEX(Customers!$J:$J,MATCH(C2192,Customers!$A:$A,0)),"Unknown")</f>
        <v>Silver</v>
      </c>
      <c r="AA2192" t="str">
        <f t="shared" si="34"/>
        <v>2024-08</v>
      </c>
      <c r="AB2192" t="str">
        <f>IFERROR(INDEX(Products!$I:$I,MATCH(D2192,Products!$A:$A,0)),"Unknown")</f>
        <v>SUP007</v>
      </c>
    </row>
    <row r="2193" spans="1:28" x14ac:dyDescent="0.25">
      <c r="A2193" t="s">
        <v>4214</v>
      </c>
      <c r="B2193" s="20">
        <v>45637</v>
      </c>
      <c r="C2193" t="s">
        <v>3006</v>
      </c>
      <c r="D2193" t="s">
        <v>2379</v>
      </c>
      <c r="E2193" t="s">
        <v>934</v>
      </c>
      <c r="F2193" t="s">
        <v>176</v>
      </c>
      <c r="G2193">
        <v>1</v>
      </c>
      <c r="H2193" s="21">
        <v>821.22</v>
      </c>
      <c r="I2193">
        <v>0</v>
      </c>
      <c r="J2193" s="21">
        <v>0</v>
      </c>
      <c r="K2193">
        <v>5</v>
      </c>
      <c r="L2193" s="21">
        <v>41.06</v>
      </c>
      <c r="M2193" s="21">
        <v>862.28</v>
      </c>
      <c r="N2193" s="21">
        <v>545.54999999999995</v>
      </c>
      <c r="O2193" s="21">
        <v>275.67</v>
      </c>
      <c r="P2193" t="s">
        <v>125</v>
      </c>
      <c r="Q2193" t="s">
        <v>120</v>
      </c>
      <c r="R2193" t="s">
        <v>151</v>
      </c>
      <c r="S2193" t="s">
        <v>2274</v>
      </c>
      <c r="T2193" t="s">
        <v>153</v>
      </c>
      <c r="U2193" t="s">
        <v>154</v>
      </c>
      <c r="V2193" t="str">
        <f>IFERROR(INDEX(Products!$C:$C,MATCH(D2193,Products!$A:$A,0)),"Unknown")</f>
        <v>Wallets</v>
      </c>
      <c r="W2193" t="str">
        <f>IFERROR(INDEX(Products!$E:$E,MATCH(D2193,Products!$A:$A,0)),"Unknown")</f>
        <v>Pepe Jeans</v>
      </c>
      <c r="X2193" t="str">
        <f>IFERROR(INDEX(Stores!$B:$B,MATCH(E2193,Stores!$A:$A,0)),"Unknown")</f>
        <v>TrendMart Bengaluru High Street</v>
      </c>
      <c r="Y2193" t="str">
        <f>IFERROR(INDEX(Stores!$E:$E,MATCH(E2193,Stores!$A:$A,0)),"Unknown")</f>
        <v>South Zone 2</v>
      </c>
      <c r="Z2193" t="str">
        <f>IFERROR(INDEX(Customers!$J:$J,MATCH(C2193,Customers!$A:$A,0)),"Unknown")</f>
        <v>Regular</v>
      </c>
      <c r="AA2193" t="str">
        <f t="shared" si="34"/>
        <v>2024-12</v>
      </c>
      <c r="AB2193" t="str">
        <f>IFERROR(INDEX(Products!$I:$I,MATCH(D2193,Products!$A:$A,0)),"Unknown")</f>
        <v>SUP024</v>
      </c>
    </row>
    <row r="2194" spans="1:28" x14ac:dyDescent="0.25">
      <c r="A2194" t="s">
        <v>4215</v>
      </c>
      <c r="B2194" s="20">
        <v>45445</v>
      </c>
      <c r="C2194" t="s">
        <v>2971</v>
      </c>
      <c r="D2194" t="s">
        <v>2281</v>
      </c>
      <c r="E2194" t="s">
        <v>291</v>
      </c>
      <c r="F2194" t="s">
        <v>397</v>
      </c>
      <c r="G2194">
        <v>2</v>
      </c>
      <c r="H2194" s="21">
        <v>705.06</v>
      </c>
      <c r="I2194">
        <v>0</v>
      </c>
      <c r="J2194" s="21">
        <v>0</v>
      </c>
      <c r="K2194">
        <v>5</v>
      </c>
      <c r="L2194" s="21">
        <v>70.510000000000005</v>
      </c>
      <c r="M2194" s="21">
        <v>1480.63</v>
      </c>
      <c r="N2194" s="21">
        <v>746.54</v>
      </c>
      <c r="O2194" s="21">
        <v>663.58</v>
      </c>
      <c r="P2194" t="s">
        <v>126</v>
      </c>
      <c r="Q2194" t="s">
        <v>122</v>
      </c>
      <c r="R2194" t="s">
        <v>151</v>
      </c>
      <c r="S2194" t="s">
        <v>4078</v>
      </c>
      <c r="T2194" t="s">
        <v>161</v>
      </c>
      <c r="U2194" t="s">
        <v>154</v>
      </c>
      <c r="V2194" t="str">
        <f>IFERROR(INDEX(Products!$C:$C,MATCH(D2194,Products!$A:$A,0)),"Unknown")</f>
        <v>Men T-Shirts</v>
      </c>
      <c r="W2194" t="str">
        <f>IFERROR(INDEX(Products!$E:$E,MATCH(D2194,Products!$A:$A,0)),"Unknown")</f>
        <v>Indian Terrain</v>
      </c>
      <c r="X2194" t="str">
        <f>IFERROR(INDEX(Stores!$B:$B,MATCH(E2194,Stores!$A:$A,0)),"Unknown")</f>
        <v>TrendMart Khammam Standard</v>
      </c>
      <c r="Y2194" t="str">
        <f>IFERROR(INDEX(Stores!$E:$E,MATCH(E2194,Stores!$A:$A,0)),"Unknown")</f>
        <v>South Zone 2</v>
      </c>
      <c r="Z2194" t="str">
        <f>IFERROR(INDEX(Customers!$J:$J,MATCH(C2194,Customers!$A:$A,0)),"Unknown")</f>
        <v>Gold</v>
      </c>
      <c r="AA2194" t="str">
        <f t="shared" si="34"/>
        <v>2024-06</v>
      </c>
      <c r="AB2194" t="str">
        <f>IFERROR(INDEX(Products!$I:$I,MATCH(D2194,Products!$A:$A,0)),"Unknown")</f>
        <v>SUP074</v>
      </c>
    </row>
    <row r="2195" spans="1:28" x14ac:dyDescent="0.25">
      <c r="A2195" t="s">
        <v>4216</v>
      </c>
      <c r="B2195" s="20">
        <v>45587</v>
      </c>
      <c r="C2195" t="s">
        <v>2802</v>
      </c>
      <c r="D2195" t="s">
        <v>225</v>
      </c>
      <c r="E2195" t="s">
        <v>81</v>
      </c>
      <c r="F2195" t="s">
        <v>377</v>
      </c>
      <c r="G2195">
        <v>1</v>
      </c>
      <c r="H2195" s="21">
        <v>1829.49</v>
      </c>
      <c r="I2195">
        <v>30</v>
      </c>
      <c r="J2195" s="21">
        <v>548.85</v>
      </c>
      <c r="K2195">
        <v>12</v>
      </c>
      <c r="L2195" s="21">
        <v>153.68</v>
      </c>
      <c r="M2195" s="21">
        <v>1434.32</v>
      </c>
      <c r="N2195" s="21">
        <v>1407.33</v>
      </c>
      <c r="O2195" s="21">
        <v>-126.69</v>
      </c>
      <c r="P2195" t="s">
        <v>125</v>
      </c>
      <c r="Q2195" t="s">
        <v>120</v>
      </c>
      <c r="R2195" t="s">
        <v>151</v>
      </c>
      <c r="S2195" t="s">
        <v>2725</v>
      </c>
      <c r="T2195" t="s">
        <v>153</v>
      </c>
      <c r="U2195" t="s">
        <v>184</v>
      </c>
      <c r="V2195" t="str">
        <f>IFERROR(INDEX(Products!$C:$C,MATCH(D2195,Products!$A:$A,0)),"Unknown")</f>
        <v>Women Dresses</v>
      </c>
      <c r="W2195" t="str">
        <f>IFERROR(INDEX(Products!$E:$E,MATCH(D2195,Products!$A:$A,0)),"Unknown")</f>
        <v>Tanishq</v>
      </c>
      <c r="X2195" t="str">
        <f>IFERROR(INDEX(Stores!$B:$B,MATCH(E2195,Stores!$A:$A,0)),"Unknown")</f>
        <v>TrendMart Vijayawada High Street</v>
      </c>
      <c r="Y2195" t="str">
        <f>IFERROR(INDEX(Stores!$E:$E,MATCH(E2195,Stores!$A:$A,0)),"Unknown")</f>
        <v>South Zone 3</v>
      </c>
      <c r="Z2195" t="str">
        <f>IFERROR(INDEX(Customers!$J:$J,MATCH(C2195,Customers!$A:$A,0)),"Unknown")</f>
        <v>Regular</v>
      </c>
      <c r="AA2195" t="str">
        <f t="shared" si="34"/>
        <v>2024-10</v>
      </c>
      <c r="AB2195" t="str">
        <f>IFERROR(INDEX(Products!$I:$I,MATCH(D2195,Products!$A:$A,0)),"Unknown")</f>
        <v>SUP063</v>
      </c>
    </row>
    <row r="2196" spans="1:28" x14ac:dyDescent="0.25">
      <c r="A2196" t="s">
        <v>4217</v>
      </c>
      <c r="B2196" s="20">
        <v>45698</v>
      </c>
      <c r="C2196" t="s">
        <v>1147</v>
      </c>
      <c r="D2196" t="s">
        <v>1972</v>
      </c>
      <c r="E2196" t="s">
        <v>1325</v>
      </c>
      <c r="F2196" t="s">
        <v>176</v>
      </c>
      <c r="G2196">
        <v>2</v>
      </c>
      <c r="H2196" s="21">
        <v>984.21</v>
      </c>
      <c r="I2196">
        <v>20</v>
      </c>
      <c r="J2196" s="21">
        <v>393.68</v>
      </c>
      <c r="K2196">
        <v>5</v>
      </c>
      <c r="L2196" s="21">
        <v>78.739999999999995</v>
      </c>
      <c r="M2196" s="21">
        <v>1653.48</v>
      </c>
      <c r="N2196" s="21">
        <v>1444.8</v>
      </c>
      <c r="O2196" s="21">
        <v>129.94</v>
      </c>
      <c r="P2196" t="s">
        <v>125</v>
      </c>
      <c r="Q2196" t="s">
        <v>120</v>
      </c>
      <c r="R2196" t="s">
        <v>151</v>
      </c>
      <c r="S2196" t="s">
        <v>966</v>
      </c>
      <c r="T2196" t="s">
        <v>153</v>
      </c>
      <c r="U2196" t="s">
        <v>154</v>
      </c>
      <c r="V2196" t="str">
        <f>IFERROR(INDEX(Products!$C:$C,MATCH(D2196,Products!$A:$A,0)),"Unknown")</f>
        <v>Women Jeans</v>
      </c>
      <c r="W2196" t="str">
        <f>IFERROR(INDEX(Products!$E:$E,MATCH(D2196,Products!$A:$A,0)),"Unknown")</f>
        <v>Spykar</v>
      </c>
      <c r="X2196" t="str">
        <f>IFERROR(INDEX(Stores!$B:$B,MATCH(E2196,Stores!$A:$A,0)),"Unknown")</f>
        <v>TrendMart Thrissur Standard</v>
      </c>
      <c r="Y2196" t="str">
        <f>IFERROR(INDEX(Stores!$E:$E,MATCH(E2196,Stores!$A:$A,0)),"Unknown")</f>
        <v>South Zone 1</v>
      </c>
      <c r="Z2196" t="str">
        <f>IFERROR(INDEX(Customers!$J:$J,MATCH(C2196,Customers!$A:$A,0)),"Unknown")</f>
        <v>Gold</v>
      </c>
      <c r="AA2196" t="str">
        <f t="shared" si="34"/>
        <v>2025-02</v>
      </c>
      <c r="AB2196" t="str">
        <f>IFERROR(INDEX(Products!$I:$I,MATCH(D2196,Products!$A:$A,0)),"Unknown")</f>
        <v>SUP087</v>
      </c>
    </row>
    <row r="2197" spans="1:28" x14ac:dyDescent="0.25">
      <c r="A2197" t="s">
        <v>4218</v>
      </c>
      <c r="B2197" s="20">
        <v>45632</v>
      </c>
      <c r="C2197" t="s">
        <v>1959</v>
      </c>
      <c r="D2197" t="s">
        <v>246</v>
      </c>
      <c r="E2197" t="s">
        <v>96</v>
      </c>
      <c r="F2197" t="s">
        <v>434</v>
      </c>
      <c r="G2197">
        <v>2</v>
      </c>
      <c r="H2197" s="21">
        <v>1305.75</v>
      </c>
      <c r="I2197">
        <v>25</v>
      </c>
      <c r="J2197" s="21">
        <v>652.88</v>
      </c>
      <c r="K2197">
        <v>12</v>
      </c>
      <c r="L2197" s="21">
        <v>235.03</v>
      </c>
      <c r="M2197" s="21">
        <v>2193.65</v>
      </c>
      <c r="N2197" s="21">
        <v>1730.96</v>
      </c>
      <c r="O2197" s="21">
        <v>227.66</v>
      </c>
      <c r="P2197" t="s">
        <v>125</v>
      </c>
      <c r="Q2197" t="s">
        <v>122</v>
      </c>
      <c r="R2197" t="s">
        <v>151</v>
      </c>
      <c r="S2197" t="s">
        <v>737</v>
      </c>
      <c r="T2197" t="s">
        <v>153</v>
      </c>
      <c r="U2197" t="s">
        <v>154</v>
      </c>
      <c r="V2197" t="str">
        <f>IFERROR(INDEX(Products!$C:$C,MATCH(D2197,Products!$A:$A,0)),"Unknown")</f>
        <v>Women Dresses</v>
      </c>
      <c r="W2197" t="str">
        <f>IFERROR(INDEX(Products!$E:$E,MATCH(D2197,Products!$A:$A,0)),"Unknown")</f>
        <v>Tanishq</v>
      </c>
      <c r="X2197" t="str">
        <f>IFERROR(INDEX(Stores!$B:$B,MATCH(E2197,Stores!$A:$A,0)),"Unknown")</f>
        <v>TrendMart Shivamogga Outlet</v>
      </c>
      <c r="Y2197" t="str">
        <f>IFERROR(INDEX(Stores!$E:$E,MATCH(E2197,Stores!$A:$A,0)),"Unknown")</f>
        <v>South Zone 2</v>
      </c>
      <c r="Z2197" t="str">
        <f>IFERROR(INDEX(Customers!$J:$J,MATCH(C2197,Customers!$A:$A,0)),"Unknown")</f>
        <v>Silver</v>
      </c>
      <c r="AA2197" t="str">
        <f t="shared" si="34"/>
        <v>2024-12</v>
      </c>
      <c r="AB2197" t="str">
        <f>IFERROR(INDEX(Products!$I:$I,MATCH(D2197,Products!$A:$A,0)),"Unknown")</f>
        <v>SUP002</v>
      </c>
    </row>
    <row r="2198" spans="1:28" x14ac:dyDescent="0.25">
      <c r="A2198" t="s">
        <v>4219</v>
      </c>
      <c r="B2198" s="20">
        <v>45618</v>
      </c>
      <c r="C2198" t="s">
        <v>572</v>
      </c>
      <c r="D2198" t="s">
        <v>1903</v>
      </c>
      <c r="E2198" t="s">
        <v>1074</v>
      </c>
      <c r="F2198" t="s">
        <v>579</v>
      </c>
      <c r="G2198">
        <v>1</v>
      </c>
      <c r="H2198" s="21">
        <v>966.98</v>
      </c>
      <c r="I2198">
        <v>20</v>
      </c>
      <c r="J2198" s="21">
        <v>193.4</v>
      </c>
      <c r="K2198">
        <v>5</v>
      </c>
      <c r="L2198" s="21">
        <v>38.68</v>
      </c>
      <c r="M2198" s="21">
        <v>812.26</v>
      </c>
      <c r="N2198" s="21">
        <v>761.07</v>
      </c>
      <c r="O2198" s="21">
        <v>12.51</v>
      </c>
      <c r="P2198" t="s">
        <v>121</v>
      </c>
      <c r="Q2198" t="s">
        <v>120</v>
      </c>
      <c r="R2198" t="s">
        <v>151</v>
      </c>
      <c r="S2198" t="s">
        <v>1921</v>
      </c>
      <c r="T2198" t="s">
        <v>153</v>
      </c>
      <c r="U2198" t="s">
        <v>154</v>
      </c>
      <c r="V2198" t="str">
        <f>IFERROR(INDEX(Products!$C:$C,MATCH(D2198,Products!$A:$A,0)),"Unknown")</f>
        <v>Belts</v>
      </c>
      <c r="W2198" t="str">
        <f>IFERROR(INDEX(Products!$E:$E,MATCH(D2198,Products!$A:$A,0)),"Unknown")</f>
        <v>US Polo Assn</v>
      </c>
      <c r="X2198" t="str">
        <f>IFERROR(INDEX(Stores!$B:$B,MATCH(E2198,Stores!$A:$A,0)),"Unknown")</f>
        <v>TrendMart Hyderabad Standard</v>
      </c>
      <c r="Y2198" t="str">
        <f>IFERROR(INDEX(Stores!$E:$E,MATCH(E2198,Stores!$A:$A,0)),"Unknown")</f>
        <v>South Zone 2</v>
      </c>
      <c r="Z2198" t="str">
        <f>IFERROR(INDEX(Customers!$J:$J,MATCH(C2198,Customers!$A:$A,0)),"Unknown")</f>
        <v>Regular</v>
      </c>
      <c r="AA2198" t="str">
        <f t="shared" si="34"/>
        <v>2024-11</v>
      </c>
      <c r="AB2198" t="str">
        <f>IFERROR(INDEX(Products!$I:$I,MATCH(D2198,Products!$A:$A,0)),"Unknown")</f>
        <v>SUP029</v>
      </c>
    </row>
    <row r="2199" spans="1:28" x14ac:dyDescent="0.25">
      <c r="A2199" t="s">
        <v>4220</v>
      </c>
      <c r="B2199" s="20">
        <v>45398</v>
      </c>
      <c r="C2199" t="s">
        <v>1462</v>
      </c>
      <c r="D2199" t="s">
        <v>2039</v>
      </c>
      <c r="E2199" t="s">
        <v>578</v>
      </c>
      <c r="F2199" t="s">
        <v>532</v>
      </c>
      <c r="G2199">
        <v>2</v>
      </c>
      <c r="H2199" s="21">
        <v>3059.66</v>
      </c>
      <c r="I2199">
        <v>10</v>
      </c>
      <c r="J2199" s="21">
        <v>611.92999999999995</v>
      </c>
      <c r="K2199">
        <v>12</v>
      </c>
      <c r="L2199" s="21">
        <v>660.89</v>
      </c>
      <c r="M2199" s="21">
        <v>6168.28</v>
      </c>
      <c r="N2199" s="21">
        <v>4157.84</v>
      </c>
      <c r="O2199" s="21">
        <v>1349.55</v>
      </c>
      <c r="P2199" t="s">
        <v>127</v>
      </c>
      <c r="Q2199" t="s">
        <v>122</v>
      </c>
      <c r="R2199" t="s">
        <v>151</v>
      </c>
      <c r="S2199" t="s">
        <v>2524</v>
      </c>
      <c r="T2199" t="s">
        <v>153</v>
      </c>
      <c r="U2199" t="s">
        <v>154</v>
      </c>
      <c r="V2199" t="str">
        <f>IFERROR(INDEX(Products!$C:$C,MATCH(D2199,Products!$A:$A,0)),"Unknown")</f>
        <v>Women Sarees</v>
      </c>
      <c r="W2199" t="str">
        <f>IFERROR(INDEX(Products!$E:$E,MATCH(D2199,Products!$A:$A,0)),"Unknown")</f>
        <v>Arrow</v>
      </c>
      <c r="X2199" t="str">
        <f>IFERROR(INDEX(Stores!$B:$B,MATCH(E2199,Stores!$A:$A,0)),"Unknown")</f>
        <v>TrendMart Vellore Standard</v>
      </c>
      <c r="Y2199" t="str">
        <f>IFERROR(INDEX(Stores!$E:$E,MATCH(E2199,Stores!$A:$A,0)),"Unknown")</f>
        <v>South Zone 1</v>
      </c>
      <c r="Z2199" t="str">
        <f>IFERROR(INDEX(Customers!$J:$J,MATCH(C2199,Customers!$A:$A,0)),"Unknown")</f>
        <v>Silver</v>
      </c>
      <c r="AA2199" t="str">
        <f t="shared" si="34"/>
        <v>2024-04</v>
      </c>
      <c r="AB2199" t="str">
        <f>IFERROR(INDEX(Products!$I:$I,MATCH(D2199,Products!$A:$A,0)),"Unknown")</f>
        <v>SUP087</v>
      </c>
    </row>
    <row r="2200" spans="1:28" x14ac:dyDescent="0.25">
      <c r="A2200" t="s">
        <v>4221</v>
      </c>
      <c r="B2200" s="20">
        <v>45509</v>
      </c>
      <c r="C2200" t="s">
        <v>676</v>
      </c>
      <c r="D2200" t="s">
        <v>531</v>
      </c>
      <c r="E2200" t="s">
        <v>296</v>
      </c>
      <c r="F2200" t="s">
        <v>170</v>
      </c>
      <c r="G2200">
        <v>3</v>
      </c>
      <c r="H2200" s="21">
        <v>3184.92</v>
      </c>
      <c r="I2200">
        <v>0</v>
      </c>
      <c r="J2200" s="21">
        <v>0</v>
      </c>
      <c r="K2200">
        <v>12</v>
      </c>
      <c r="L2200" s="21">
        <v>1146.57</v>
      </c>
      <c r="M2200" s="21">
        <v>10701.33</v>
      </c>
      <c r="N2200" s="21">
        <v>6102.03</v>
      </c>
      <c r="O2200" s="21">
        <v>3452.73</v>
      </c>
      <c r="P2200" t="s">
        <v>123</v>
      </c>
      <c r="Q2200" t="s">
        <v>122</v>
      </c>
      <c r="R2200" t="s">
        <v>151</v>
      </c>
      <c r="S2200" t="s">
        <v>1214</v>
      </c>
      <c r="T2200" t="s">
        <v>153</v>
      </c>
      <c r="U2200" t="s">
        <v>154</v>
      </c>
      <c r="V2200" t="str">
        <f>IFERROR(INDEX(Products!$C:$C,MATCH(D2200,Products!$A:$A,0)),"Unknown")</f>
        <v>Handbags</v>
      </c>
      <c r="W2200" t="str">
        <f>IFERROR(INDEX(Products!$E:$E,MATCH(D2200,Products!$A:$A,0)),"Unknown")</f>
        <v>GRT Jewellers</v>
      </c>
      <c r="X2200" t="str">
        <f>IFERROR(INDEX(Stores!$B:$B,MATCH(E2200,Stores!$A:$A,0)),"Unknown")</f>
        <v>TrendMart Kurnool Outlet</v>
      </c>
      <c r="Y2200" t="str">
        <f>IFERROR(INDEX(Stores!$E:$E,MATCH(E2200,Stores!$A:$A,0)),"Unknown")</f>
        <v>South Zone 3</v>
      </c>
      <c r="Z2200" t="str">
        <f>IFERROR(INDEX(Customers!$J:$J,MATCH(C2200,Customers!$A:$A,0)),"Unknown")</f>
        <v>Silver</v>
      </c>
      <c r="AA2200" t="str">
        <f t="shared" si="34"/>
        <v>2024-08</v>
      </c>
      <c r="AB2200" t="str">
        <f>IFERROR(INDEX(Products!$I:$I,MATCH(D2200,Products!$A:$A,0)),"Unknown")</f>
        <v>SUP047</v>
      </c>
    </row>
    <row r="2201" spans="1:28" x14ac:dyDescent="0.25">
      <c r="A2201" t="s">
        <v>4222</v>
      </c>
      <c r="B2201" s="20">
        <v>45617</v>
      </c>
      <c r="C2201" t="s">
        <v>3052</v>
      </c>
      <c r="D2201" t="s">
        <v>325</v>
      </c>
      <c r="E2201" t="s">
        <v>318</v>
      </c>
      <c r="F2201" t="s">
        <v>195</v>
      </c>
      <c r="G2201">
        <v>4</v>
      </c>
      <c r="H2201" s="21">
        <v>1074.31</v>
      </c>
      <c r="I2201">
        <v>30</v>
      </c>
      <c r="J2201" s="21">
        <v>1289.17</v>
      </c>
      <c r="K2201">
        <v>12</v>
      </c>
      <c r="L2201" s="21">
        <v>360.97</v>
      </c>
      <c r="M2201" s="21">
        <v>3369.04</v>
      </c>
      <c r="N2201" s="21">
        <v>3036</v>
      </c>
      <c r="O2201" s="21">
        <v>-27.93</v>
      </c>
      <c r="P2201" t="s">
        <v>123</v>
      </c>
      <c r="Q2201" t="s">
        <v>120</v>
      </c>
      <c r="R2201" t="s">
        <v>151</v>
      </c>
      <c r="S2201" t="s">
        <v>2770</v>
      </c>
      <c r="T2201" t="s">
        <v>153</v>
      </c>
      <c r="U2201" t="s">
        <v>184</v>
      </c>
      <c r="V2201" t="str">
        <f>IFERROR(INDEX(Products!$C:$C,MATCH(D2201,Products!$A:$A,0)),"Unknown")</f>
        <v>Women Jeans</v>
      </c>
      <c r="W2201" t="str">
        <f>IFERROR(INDEX(Products!$E:$E,MATCH(D2201,Products!$A:$A,0)),"Unknown")</f>
        <v>Nalli Silks</v>
      </c>
      <c r="X2201" t="str">
        <f>IFERROR(INDEX(Stores!$B:$B,MATCH(E2201,Stores!$A:$A,0)),"Unknown")</f>
        <v>TrendMart Guntur Outlet</v>
      </c>
      <c r="Y2201" t="str">
        <f>IFERROR(INDEX(Stores!$E:$E,MATCH(E2201,Stores!$A:$A,0)),"Unknown")</f>
        <v>South Zone 3</v>
      </c>
      <c r="Z2201" t="str">
        <f>IFERROR(INDEX(Customers!$J:$J,MATCH(C2201,Customers!$A:$A,0)),"Unknown")</f>
        <v>Gold</v>
      </c>
      <c r="AA2201" t="str">
        <f t="shared" si="34"/>
        <v>2024-11</v>
      </c>
      <c r="AB2201" t="str">
        <f>IFERROR(INDEX(Products!$I:$I,MATCH(D2201,Products!$A:$A,0)),"Unknown")</f>
        <v>SUP048</v>
      </c>
    </row>
    <row r="2202" spans="1:28" x14ac:dyDescent="0.25">
      <c r="A2202" t="s">
        <v>4223</v>
      </c>
      <c r="B2202" s="20">
        <v>45611</v>
      </c>
      <c r="C2202" t="s">
        <v>1673</v>
      </c>
      <c r="D2202" t="s">
        <v>1073</v>
      </c>
      <c r="E2202" t="s">
        <v>318</v>
      </c>
      <c r="F2202" t="s">
        <v>159</v>
      </c>
      <c r="G2202">
        <v>1</v>
      </c>
      <c r="H2202" s="21">
        <v>3141.23</v>
      </c>
      <c r="I2202">
        <v>25</v>
      </c>
      <c r="J2202" s="21">
        <v>785.31</v>
      </c>
      <c r="K2202">
        <v>12</v>
      </c>
      <c r="L2202" s="21">
        <v>282.70999999999998</v>
      </c>
      <c r="M2202" s="21">
        <v>2638.63</v>
      </c>
      <c r="N2202" s="21">
        <v>2340.46</v>
      </c>
      <c r="O2202" s="21">
        <v>15.46</v>
      </c>
      <c r="P2202" t="s">
        <v>121</v>
      </c>
      <c r="Q2202" t="s">
        <v>120</v>
      </c>
      <c r="R2202" t="s">
        <v>151</v>
      </c>
      <c r="S2202" t="s">
        <v>2249</v>
      </c>
      <c r="T2202" t="s">
        <v>153</v>
      </c>
      <c r="U2202" t="s">
        <v>154</v>
      </c>
      <c r="V2202" t="str">
        <f>IFERROR(INDEX(Products!$C:$C,MATCH(D2202,Products!$A:$A,0)),"Unknown")</f>
        <v>Women Sarees</v>
      </c>
      <c r="W2202" t="str">
        <f>IFERROR(INDEX(Products!$E:$E,MATCH(D2202,Products!$A:$A,0)),"Unknown")</f>
        <v>W for Woman</v>
      </c>
      <c r="X2202" t="str">
        <f>IFERROR(INDEX(Stores!$B:$B,MATCH(E2202,Stores!$A:$A,0)),"Unknown")</f>
        <v>TrendMart Guntur Outlet</v>
      </c>
      <c r="Y2202" t="str">
        <f>IFERROR(INDEX(Stores!$E:$E,MATCH(E2202,Stores!$A:$A,0)),"Unknown")</f>
        <v>South Zone 3</v>
      </c>
      <c r="Z2202" t="str">
        <f>IFERROR(INDEX(Customers!$J:$J,MATCH(C2202,Customers!$A:$A,0)),"Unknown")</f>
        <v>Regular</v>
      </c>
      <c r="AA2202" t="str">
        <f t="shared" si="34"/>
        <v>2024-11</v>
      </c>
      <c r="AB2202" t="str">
        <f>IFERROR(INDEX(Products!$I:$I,MATCH(D2202,Products!$A:$A,0)),"Unknown")</f>
        <v>SUP012</v>
      </c>
    </row>
    <row r="2203" spans="1:28" x14ac:dyDescent="0.25">
      <c r="A2203" t="s">
        <v>4224</v>
      </c>
      <c r="B2203" s="20">
        <v>45591</v>
      </c>
      <c r="C2203" t="s">
        <v>981</v>
      </c>
      <c r="D2203" t="s">
        <v>498</v>
      </c>
      <c r="E2203" t="s">
        <v>511</v>
      </c>
      <c r="F2203" t="s">
        <v>242</v>
      </c>
      <c r="G2203">
        <v>1</v>
      </c>
      <c r="H2203" s="21">
        <v>437.28</v>
      </c>
      <c r="I2203">
        <v>5</v>
      </c>
      <c r="J2203" s="21">
        <v>21.86</v>
      </c>
      <c r="K2203">
        <v>5</v>
      </c>
      <c r="L2203" s="21">
        <v>20.77</v>
      </c>
      <c r="M2203" s="21">
        <v>436.19</v>
      </c>
      <c r="N2203" s="21">
        <v>315.13</v>
      </c>
      <c r="O2203" s="21">
        <v>100.29</v>
      </c>
      <c r="P2203" t="s">
        <v>121</v>
      </c>
      <c r="Q2203" t="s">
        <v>120</v>
      </c>
      <c r="R2203" t="s">
        <v>151</v>
      </c>
      <c r="S2203" t="s">
        <v>2477</v>
      </c>
      <c r="T2203" t="s">
        <v>161</v>
      </c>
      <c r="U2203" t="s">
        <v>154</v>
      </c>
      <c r="V2203" t="str">
        <f>IFERROR(INDEX(Products!$C:$C,MATCH(D2203,Products!$A:$A,0)),"Unknown")</f>
        <v>Belts</v>
      </c>
      <c r="W2203" t="str">
        <f>IFERROR(INDEX(Products!$E:$E,MATCH(D2203,Products!$A:$A,0)),"Unknown")</f>
        <v>Nike</v>
      </c>
      <c r="X2203" t="str">
        <f>IFERROR(INDEX(Stores!$B:$B,MATCH(E2203,Stores!$A:$A,0)),"Unknown")</f>
        <v>TrendMart Khammam Standard</v>
      </c>
      <c r="Y2203" t="str">
        <f>IFERROR(INDEX(Stores!$E:$E,MATCH(E2203,Stores!$A:$A,0)),"Unknown")</f>
        <v>South Zone 2</v>
      </c>
      <c r="Z2203" t="str">
        <f>IFERROR(INDEX(Customers!$J:$J,MATCH(C2203,Customers!$A:$A,0)),"Unknown")</f>
        <v>Regular</v>
      </c>
      <c r="AA2203" t="str">
        <f t="shared" si="34"/>
        <v>2024-10</v>
      </c>
      <c r="AB2203" t="str">
        <f>IFERROR(INDEX(Products!$I:$I,MATCH(D2203,Products!$A:$A,0)),"Unknown")</f>
        <v>SUP071</v>
      </c>
    </row>
    <row r="2204" spans="1:28" x14ac:dyDescent="0.25">
      <c r="A2204" t="s">
        <v>4225</v>
      </c>
      <c r="B2204" s="20">
        <v>45542</v>
      </c>
      <c r="C2204" t="s">
        <v>1022</v>
      </c>
      <c r="D2204" t="s">
        <v>1877</v>
      </c>
      <c r="E2204" t="s">
        <v>83</v>
      </c>
      <c r="F2204" t="s">
        <v>579</v>
      </c>
      <c r="G2204">
        <v>1</v>
      </c>
      <c r="H2204" s="21">
        <v>1899.74</v>
      </c>
      <c r="I2204">
        <v>20</v>
      </c>
      <c r="J2204" s="21">
        <v>379.95</v>
      </c>
      <c r="K2204">
        <v>12</v>
      </c>
      <c r="L2204" s="21">
        <v>182.37</v>
      </c>
      <c r="M2204" s="21">
        <v>1702.16</v>
      </c>
      <c r="N2204" s="21">
        <v>1331.55</v>
      </c>
      <c r="O2204" s="21">
        <v>188.24</v>
      </c>
      <c r="P2204" t="s">
        <v>121</v>
      </c>
      <c r="Q2204" t="s">
        <v>120</v>
      </c>
      <c r="R2204" t="s">
        <v>151</v>
      </c>
      <c r="S2204" t="s">
        <v>2516</v>
      </c>
      <c r="T2204" t="s">
        <v>161</v>
      </c>
      <c r="U2204" t="s">
        <v>154</v>
      </c>
      <c r="V2204" t="str">
        <f>IFERROR(INDEX(Products!$C:$C,MATCH(D2204,Products!$A:$A,0)),"Unknown")</f>
        <v>Women Sarees</v>
      </c>
      <c r="W2204" t="str">
        <f>IFERROR(INDEX(Products!$E:$E,MATCH(D2204,Products!$A:$A,0)),"Unknown")</f>
        <v>Sonata</v>
      </c>
      <c r="X2204" t="str">
        <f>IFERROR(INDEX(Stores!$B:$B,MATCH(E2204,Stores!$A:$A,0)),"Unknown")</f>
        <v>TrendMart Vellore Standard</v>
      </c>
      <c r="Y2204" t="str">
        <f>IFERROR(INDEX(Stores!$E:$E,MATCH(E2204,Stores!$A:$A,0)),"Unknown")</f>
        <v>South Zone 1</v>
      </c>
      <c r="Z2204" t="str">
        <f>IFERROR(INDEX(Customers!$J:$J,MATCH(C2204,Customers!$A:$A,0)),"Unknown")</f>
        <v>Gold</v>
      </c>
      <c r="AA2204" t="str">
        <f t="shared" si="34"/>
        <v>2024-09</v>
      </c>
      <c r="AB2204" t="str">
        <f>IFERROR(INDEX(Products!$I:$I,MATCH(D2204,Products!$A:$A,0)),"Unknown")</f>
        <v>SUP073</v>
      </c>
    </row>
    <row r="2205" spans="1:28" x14ac:dyDescent="0.25">
      <c r="A2205" t="s">
        <v>4226</v>
      </c>
      <c r="B2205" s="20">
        <v>45484</v>
      </c>
      <c r="C2205" t="s">
        <v>1618</v>
      </c>
      <c r="D2205" t="s">
        <v>1407</v>
      </c>
      <c r="E2205" t="s">
        <v>815</v>
      </c>
      <c r="F2205" t="s">
        <v>618</v>
      </c>
      <c r="G2205">
        <v>3</v>
      </c>
      <c r="H2205" s="21">
        <v>1172.3399999999999</v>
      </c>
      <c r="I2205">
        <v>25</v>
      </c>
      <c r="J2205" s="21">
        <v>879.25</v>
      </c>
      <c r="K2205">
        <v>12</v>
      </c>
      <c r="L2205" s="21">
        <v>316.52999999999997</v>
      </c>
      <c r="M2205" s="21">
        <v>2954.3</v>
      </c>
      <c r="N2205" s="21">
        <v>2295.69</v>
      </c>
      <c r="O2205" s="21">
        <v>342.08</v>
      </c>
      <c r="P2205" t="s">
        <v>124</v>
      </c>
      <c r="Q2205" t="s">
        <v>122</v>
      </c>
      <c r="R2205" t="s">
        <v>151</v>
      </c>
      <c r="S2205" t="s">
        <v>1978</v>
      </c>
      <c r="T2205" t="s">
        <v>153</v>
      </c>
      <c r="U2205" t="s">
        <v>154</v>
      </c>
      <c r="V2205" t="str">
        <f>IFERROR(INDEX(Products!$C:$C,MATCH(D2205,Products!$A:$A,0)),"Unknown")</f>
        <v>Belts</v>
      </c>
      <c r="W2205" t="str">
        <f>IFERROR(INDEX(Products!$E:$E,MATCH(D2205,Products!$A:$A,0)),"Unknown")</f>
        <v>Pantaloons</v>
      </c>
      <c r="X2205" t="str">
        <f>IFERROR(INDEX(Stores!$B:$B,MATCH(E2205,Stores!$A:$A,0)),"Unknown")</f>
        <v>TrendMart Madurai Mall Kiosk</v>
      </c>
      <c r="Y2205" t="str">
        <f>IFERROR(INDEX(Stores!$E:$E,MATCH(E2205,Stores!$A:$A,0)),"Unknown")</f>
        <v>South Zone 1</v>
      </c>
      <c r="Z2205" t="str">
        <f>IFERROR(INDEX(Customers!$J:$J,MATCH(C2205,Customers!$A:$A,0)),"Unknown")</f>
        <v>Regular</v>
      </c>
      <c r="AA2205" t="str">
        <f t="shared" si="34"/>
        <v>2024-07</v>
      </c>
      <c r="AB2205" t="str">
        <f>IFERROR(INDEX(Products!$I:$I,MATCH(D2205,Products!$A:$A,0)),"Unknown")</f>
        <v>SUP030</v>
      </c>
    </row>
    <row r="2206" spans="1:28" x14ac:dyDescent="0.25">
      <c r="A2206" t="s">
        <v>4227</v>
      </c>
      <c r="B2206" s="20">
        <v>45466</v>
      </c>
      <c r="C2206" t="s">
        <v>3214</v>
      </c>
      <c r="D2206" t="s">
        <v>1219</v>
      </c>
      <c r="E2206" t="s">
        <v>721</v>
      </c>
      <c r="F2206" t="s">
        <v>182</v>
      </c>
      <c r="G2206">
        <v>3</v>
      </c>
      <c r="H2206" s="21">
        <v>2929.85</v>
      </c>
      <c r="I2206">
        <v>5</v>
      </c>
      <c r="J2206" s="21">
        <v>439.48</v>
      </c>
      <c r="K2206">
        <v>12</v>
      </c>
      <c r="L2206" s="21">
        <v>1002.01</v>
      </c>
      <c r="M2206" s="21">
        <v>9352.08</v>
      </c>
      <c r="N2206" s="21">
        <v>6119.1</v>
      </c>
      <c r="O2206" s="21">
        <v>2230.9699999999998</v>
      </c>
      <c r="P2206" t="s">
        <v>121</v>
      </c>
      <c r="Q2206" t="s">
        <v>122</v>
      </c>
      <c r="R2206" t="s">
        <v>151</v>
      </c>
      <c r="S2206" t="s">
        <v>718</v>
      </c>
      <c r="T2206" t="s">
        <v>161</v>
      </c>
      <c r="U2206" t="s">
        <v>154</v>
      </c>
      <c r="V2206" t="str">
        <f>IFERROR(INDEX(Products!$C:$C,MATCH(D2206,Products!$A:$A,0)),"Unknown")</f>
        <v>Watches</v>
      </c>
      <c r="W2206" t="str">
        <f>IFERROR(INDEX(Products!$E:$E,MATCH(D2206,Products!$A:$A,0)),"Unknown")</f>
        <v>Fossil</v>
      </c>
      <c r="X2206" t="str">
        <f>IFERROR(INDEX(Stores!$B:$B,MATCH(E2206,Stores!$A:$A,0)),"Unknown")</f>
        <v>TrendMart Kollam Flagship</v>
      </c>
      <c r="Y2206" t="str">
        <f>IFERROR(INDEX(Stores!$E:$E,MATCH(E2206,Stores!$A:$A,0)),"Unknown")</f>
        <v>South Zone 1</v>
      </c>
      <c r="Z2206" t="str">
        <f>IFERROR(INDEX(Customers!$J:$J,MATCH(C2206,Customers!$A:$A,0)),"Unknown")</f>
        <v>Regular</v>
      </c>
      <c r="AA2206" t="str">
        <f t="shared" si="34"/>
        <v>2024-06</v>
      </c>
      <c r="AB2206" t="str">
        <f>IFERROR(INDEX(Products!$I:$I,MATCH(D2206,Products!$A:$A,0)),"Unknown")</f>
        <v>SUP054</v>
      </c>
    </row>
    <row r="2207" spans="1:28" x14ac:dyDescent="0.25">
      <c r="A2207" t="s">
        <v>4228</v>
      </c>
      <c r="B2207" s="20">
        <v>45590</v>
      </c>
      <c r="C2207" t="s">
        <v>1888</v>
      </c>
      <c r="D2207" t="s">
        <v>1292</v>
      </c>
      <c r="E2207" t="s">
        <v>88</v>
      </c>
      <c r="F2207" t="s">
        <v>232</v>
      </c>
      <c r="G2207">
        <v>4</v>
      </c>
      <c r="H2207" s="21">
        <v>539.52</v>
      </c>
      <c r="I2207">
        <v>0</v>
      </c>
      <c r="J2207" s="21">
        <v>0</v>
      </c>
      <c r="K2207">
        <v>5</v>
      </c>
      <c r="L2207" s="21">
        <v>107.9</v>
      </c>
      <c r="M2207" s="21">
        <v>2265.98</v>
      </c>
      <c r="N2207" s="21">
        <v>1395</v>
      </c>
      <c r="O2207" s="21">
        <v>763.08</v>
      </c>
      <c r="P2207" t="s">
        <v>127</v>
      </c>
      <c r="Q2207" t="s">
        <v>120</v>
      </c>
      <c r="R2207" t="s">
        <v>151</v>
      </c>
      <c r="S2207" t="s">
        <v>643</v>
      </c>
      <c r="T2207" t="s">
        <v>153</v>
      </c>
      <c r="U2207" t="s">
        <v>154</v>
      </c>
      <c r="V2207" t="str">
        <f>IFERROR(INDEX(Products!$C:$C,MATCH(D2207,Products!$A:$A,0)),"Unknown")</f>
        <v>Men T-Shirts</v>
      </c>
      <c r="W2207" t="str">
        <f>IFERROR(INDEX(Products!$E:$E,MATCH(D2207,Products!$A:$A,0)),"Unknown")</f>
        <v>Metro Shoes</v>
      </c>
      <c r="X2207" t="str">
        <f>IFERROR(INDEX(Stores!$B:$B,MATCH(E2207,Stores!$A:$A,0)),"Unknown")</f>
        <v>TrendMart Kozhikode Mall Kiosk</v>
      </c>
      <c r="Y2207" t="str">
        <f>IFERROR(INDEX(Stores!$E:$E,MATCH(E2207,Stores!$A:$A,0)),"Unknown")</f>
        <v>South Zone 1</v>
      </c>
      <c r="Z2207" t="str">
        <f>IFERROR(INDEX(Customers!$J:$J,MATCH(C2207,Customers!$A:$A,0)),"Unknown")</f>
        <v>Regular</v>
      </c>
      <c r="AA2207" t="str">
        <f t="shared" si="34"/>
        <v>2024-10</v>
      </c>
      <c r="AB2207" t="str">
        <f>IFERROR(INDEX(Products!$I:$I,MATCH(D2207,Products!$A:$A,0)),"Unknown")</f>
        <v>SUP024</v>
      </c>
    </row>
    <row r="2208" spans="1:28" x14ac:dyDescent="0.25">
      <c r="A2208" t="s">
        <v>4229</v>
      </c>
      <c r="B2208" s="20">
        <v>45470</v>
      </c>
      <c r="C2208" t="s">
        <v>3490</v>
      </c>
      <c r="D2208" t="s">
        <v>633</v>
      </c>
      <c r="E2208" t="s">
        <v>360</v>
      </c>
      <c r="F2208" t="s">
        <v>242</v>
      </c>
      <c r="G2208">
        <v>3</v>
      </c>
      <c r="H2208" s="21">
        <v>678.89</v>
      </c>
      <c r="I2208">
        <v>25</v>
      </c>
      <c r="J2208" s="21">
        <v>509.17</v>
      </c>
      <c r="K2208">
        <v>5</v>
      </c>
      <c r="L2208" s="21">
        <v>76.38</v>
      </c>
      <c r="M2208" s="21">
        <v>1603.88</v>
      </c>
      <c r="N2208" s="21">
        <v>1253.76</v>
      </c>
      <c r="O2208" s="21">
        <v>273.74</v>
      </c>
      <c r="P2208" t="s">
        <v>124</v>
      </c>
      <c r="Q2208" t="s">
        <v>120</v>
      </c>
      <c r="R2208" t="s">
        <v>151</v>
      </c>
      <c r="S2208" t="s">
        <v>2581</v>
      </c>
      <c r="T2208" t="s">
        <v>153</v>
      </c>
      <c r="U2208" t="s">
        <v>154</v>
      </c>
      <c r="V2208" t="str">
        <f>IFERROR(INDEX(Products!$C:$C,MATCH(D2208,Products!$A:$A,0)),"Unknown")</f>
        <v>Men T-Shirts</v>
      </c>
      <c r="W2208" t="str">
        <f>IFERROR(INDEX(Products!$E:$E,MATCH(D2208,Products!$A:$A,0)),"Unknown")</f>
        <v>Reebok</v>
      </c>
      <c r="X2208" t="str">
        <f>IFERROR(INDEX(Stores!$B:$B,MATCH(E2208,Stores!$A:$A,0)),"Unknown")</f>
        <v>TrendMart Kochi Standard</v>
      </c>
      <c r="Y2208" t="str">
        <f>IFERROR(INDEX(Stores!$E:$E,MATCH(E2208,Stores!$A:$A,0)),"Unknown")</f>
        <v>South Zone 1</v>
      </c>
      <c r="Z2208" t="str">
        <f>IFERROR(INDEX(Customers!$J:$J,MATCH(C2208,Customers!$A:$A,0)),"Unknown")</f>
        <v>Unknown</v>
      </c>
      <c r="AA2208" t="str">
        <f t="shared" si="34"/>
        <v>2024-06</v>
      </c>
      <c r="AB2208" t="str">
        <f>IFERROR(INDEX(Products!$I:$I,MATCH(D2208,Products!$A:$A,0)),"Unknown")</f>
        <v>SUP046</v>
      </c>
    </row>
    <row r="2209" spans="1:28" x14ac:dyDescent="0.25">
      <c r="A2209" t="s">
        <v>4230</v>
      </c>
      <c r="B2209" s="20">
        <v>45514</v>
      </c>
      <c r="C2209" t="s">
        <v>2595</v>
      </c>
      <c r="D2209" t="s">
        <v>2664</v>
      </c>
      <c r="E2209" t="s">
        <v>848</v>
      </c>
      <c r="F2209" t="s">
        <v>159</v>
      </c>
      <c r="G2209">
        <v>2</v>
      </c>
      <c r="H2209" s="21">
        <v>1560.78</v>
      </c>
      <c r="I2209">
        <v>10</v>
      </c>
      <c r="J2209" s="21">
        <v>312.16000000000003</v>
      </c>
      <c r="K2209">
        <v>12</v>
      </c>
      <c r="L2209" s="21">
        <v>337.13</v>
      </c>
      <c r="M2209" s="21">
        <v>3146.53</v>
      </c>
      <c r="N2209" s="21">
        <v>1943.74</v>
      </c>
      <c r="O2209" s="21">
        <v>865.66</v>
      </c>
      <c r="P2209" t="s">
        <v>125</v>
      </c>
      <c r="Q2209" t="s">
        <v>122</v>
      </c>
      <c r="R2209" t="s">
        <v>151</v>
      </c>
      <c r="S2209" t="s">
        <v>2624</v>
      </c>
      <c r="T2209" t="s">
        <v>161</v>
      </c>
      <c r="U2209" t="s">
        <v>154</v>
      </c>
      <c r="V2209" t="str">
        <f>IFERROR(INDEX(Products!$C:$C,MATCH(D2209,Products!$A:$A,0)),"Unknown")</f>
        <v>Men Ethnic</v>
      </c>
      <c r="W2209" t="str">
        <f>IFERROR(INDEX(Products!$E:$E,MATCH(D2209,Products!$A:$A,0)),"Unknown")</f>
        <v>Max Fashion</v>
      </c>
      <c r="X2209" t="str">
        <f>IFERROR(INDEX(Stores!$B:$B,MATCH(E2209,Stores!$A:$A,0)),"Unknown")</f>
        <v>TrendMart Shivamogga Standard</v>
      </c>
      <c r="Y2209" t="str">
        <f>IFERROR(INDEX(Stores!$E:$E,MATCH(E2209,Stores!$A:$A,0)),"Unknown")</f>
        <v>South Zone 2</v>
      </c>
      <c r="Z2209" t="str">
        <f>IFERROR(INDEX(Customers!$J:$J,MATCH(C2209,Customers!$A:$A,0)),"Unknown")</f>
        <v>Gold</v>
      </c>
      <c r="AA2209" t="str">
        <f t="shared" si="34"/>
        <v>2024-08</v>
      </c>
      <c r="AB2209" t="str">
        <f>IFERROR(INDEX(Products!$I:$I,MATCH(D2209,Products!$A:$A,0)),"Unknown")</f>
        <v>SUP081</v>
      </c>
    </row>
    <row r="2210" spans="1:28" x14ac:dyDescent="0.25">
      <c r="A2210" t="s">
        <v>4231</v>
      </c>
      <c r="B2210" s="20">
        <v>45393</v>
      </c>
      <c r="C2210" t="s">
        <v>1181</v>
      </c>
      <c r="D2210" t="s">
        <v>599</v>
      </c>
      <c r="E2210" t="s">
        <v>387</v>
      </c>
      <c r="F2210" t="s">
        <v>195</v>
      </c>
      <c r="G2210">
        <v>3</v>
      </c>
      <c r="H2210" s="21">
        <v>990.78</v>
      </c>
      <c r="I2210">
        <v>5</v>
      </c>
      <c r="J2210" s="21">
        <v>148.62</v>
      </c>
      <c r="K2210">
        <v>5</v>
      </c>
      <c r="L2210" s="21">
        <v>141.19</v>
      </c>
      <c r="M2210" s="21">
        <v>2964.91</v>
      </c>
      <c r="N2210" s="21">
        <v>1936.77</v>
      </c>
      <c r="O2210" s="21">
        <v>886.95</v>
      </c>
      <c r="P2210" t="s">
        <v>124</v>
      </c>
      <c r="Q2210" t="s">
        <v>120</v>
      </c>
      <c r="R2210" t="s">
        <v>151</v>
      </c>
      <c r="S2210" t="s">
        <v>2149</v>
      </c>
      <c r="T2210" t="s">
        <v>153</v>
      </c>
      <c r="U2210" t="s">
        <v>154</v>
      </c>
      <c r="V2210" t="str">
        <f>IFERROR(INDEX(Products!$C:$C,MATCH(D2210,Products!$A:$A,0)),"Unknown")</f>
        <v>Men Shirts</v>
      </c>
      <c r="W2210" t="str">
        <f>IFERROR(INDEX(Products!$E:$E,MATCH(D2210,Products!$A:$A,0)),"Unknown")</f>
        <v>Van Heusen</v>
      </c>
      <c r="X2210" t="str">
        <f>IFERROR(INDEX(Stores!$B:$B,MATCH(E2210,Stores!$A:$A,0)),"Unknown")</f>
        <v>TrendMart Kannur Outlet</v>
      </c>
      <c r="Y2210" t="str">
        <f>IFERROR(INDEX(Stores!$E:$E,MATCH(E2210,Stores!$A:$A,0)),"Unknown")</f>
        <v>South Zone 1</v>
      </c>
      <c r="Z2210" t="str">
        <f>IFERROR(INDEX(Customers!$J:$J,MATCH(C2210,Customers!$A:$A,0)),"Unknown")</f>
        <v>Gold</v>
      </c>
      <c r="AA2210" t="str">
        <f t="shared" si="34"/>
        <v>2024-04</v>
      </c>
      <c r="AB2210" t="str">
        <f>IFERROR(INDEX(Products!$I:$I,MATCH(D2210,Products!$A:$A,0)),"Unknown")</f>
        <v>SUP084</v>
      </c>
    </row>
    <row r="2211" spans="1:28" x14ac:dyDescent="0.25">
      <c r="A2211" t="s">
        <v>4232</v>
      </c>
      <c r="B2211" s="20">
        <v>45453</v>
      </c>
      <c r="C2211" t="s">
        <v>1924</v>
      </c>
      <c r="D2211" t="s">
        <v>1816</v>
      </c>
      <c r="E2211" t="s">
        <v>181</v>
      </c>
      <c r="F2211" t="s">
        <v>201</v>
      </c>
      <c r="G2211">
        <v>3</v>
      </c>
      <c r="H2211" s="21">
        <v>1332.94</v>
      </c>
      <c r="I2211">
        <v>0</v>
      </c>
      <c r="J2211" s="21">
        <v>0</v>
      </c>
      <c r="K2211">
        <v>12</v>
      </c>
      <c r="L2211" s="21">
        <v>479.86</v>
      </c>
      <c r="M2211" s="21">
        <v>4478.68</v>
      </c>
      <c r="N2211" s="21">
        <v>2718.9</v>
      </c>
      <c r="O2211" s="21">
        <v>1279.92</v>
      </c>
      <c r="P2211" t="s">
        <v>121</v>
      </c>
      <c r="Q2211" t="s">
        <v>120</v>
      </c>
      <c r="R2211" t="s">
        <v>151</v>
      </c>
      <c r="S2211" t="s">
        <v>2032</v>
      </c>
      <c r="T2211" t="s">
        <v>153</v>
      </c>
      <c r="U2211" t="s">
        <v>154</v>
      </c>
      <c r="V2211" t="str">
        <f>IFERROR(INDEX(Products!$C:$C,MATCH(D2211,Products!$A:$A,0)),"Unknown")</f>
        <v>Wallets</v>
      </c>
      <c r="W2211" t="str">
        <f>IFERROR(INDEX(Products!$E:$E,MATCH(D2211,Products!$A:$A,0)),"Unknown")</f>
        <v>Louis Philippe</v>
      </c>
      <c r="X2211" t="str">
        <f>IFERROR(INDEX(Stores!$B:$B,MATCH(E2211,Stores!$A:$A,0)),"Unknown")</f>
        <v>TrendMart Kurnool High Street</v>
      </c>
      <c r="Y2211" t="str">
        <f>IFERROR(INDEX(Stores!$E:$E,MATCH(E2211,Stores!$A:$A,0)),"Unknown")</f>
        <v>South Zone 3</v>
      </c>
      <c r="Z2211" t="str">
        <f>IFERROR(INDEX(Customers!$J:$J,MATCH(C2211,Customers!$A:$A,0)),"Unknown")</f>
        <v>Silver</v>
      </c>
      <c r="AA2211" t="str">
        <f t="shared" si="34"/>
        <v>2024-06</v>
      </c>
      <c r="AB2211" t="str">
        <f>IFERROR(INDEX(Products!$I:$I,MATCH(D2211,Products!$A:$A,0)),"Unknown")</f>
        <v>SUP076</v>
      </c>
    </row>
    <row r="2212" spans="1:28" x14ac:dyDescent="0.25">
      <c r="A2212" t="s">
        <v>4233</v>
      </c>
      <c r="B2212" s="20">
        <v>45710</v>
      </c>
      <c r="C2212" t="s">
        <v>776</v>
      </c>
      <c r="D2212" t="s">
        <v>2392</v>
      </c>
      <c r="E2212" t="s">
        <v>90</v>
      </c>
      <c r="F2212" t="s">
        <v>182</v>
      </c>
      <c r="G2212">
        <v>4</v>
      </c>
      <c r="H2212" s="21">
        <v>1258.42</v>
      </c>
      <c r="I2212">
        <v>5</v>
      </c>
      <c r="J2212" s="21">
        <v>251.68</v>
      </c>
      <c r="K2212">
        <v>12</v>
      </c>
      <c r="L2212" s="21">
        <v>573.84</v>
      </c>
      <c r="M2212" s="21">
        <v>5355.84</v>
      </c>
      <c r="N2212" s="21">
        <v>2976</v>
      </c>
      <c r="O2212" s="21">
        <v>1806</v>
      </c>
      <c r="P2212" t="s">
        <v>123</v>
      </c>
      <c r="Q2212" t="s">
        <v>122</v>
      </c>
      <c r="R2212" t="s">
        <v>151</v>
      </c>
      <c r="S2212" t="s">
        <v>1448</v>
      </c>
      <c r="T2212" t="s">
        <v>161</v>
      </c>
      <c r="U2212" t="s">
        <v>154</v>
      </c>
      <c r="V2212" t="str">
        <f>IFERROR(INDEX(Products!$C:$C,MATCH(D2212,Products!$A:$A,0)),"Unknown")</f>
        <v>Women Kurtis</v>
      </c>
      <c r="W2212" t="str">
        <f>IFERROR(INDEX(Products!$E:$E,MATCH(D2212,Products!$A:$A,0)),"Unknown")</f>
        <v>Reebok</v>
      </c>
      <c r="X2212" t="str">
        <f>IFERROR(INDEX(Stores!$B:$B,MATCH(E2212,Stores!$A:$A,0)),"Unknown")</f>
        <v>TrendMart Thoothukudi Mall Kiosk</v>
      </c>
      <c r="Y2212" t="str">
        <f>IFERROR(INDEX(Stores!$E:$E,MATCH(E2212,Stores!$A:$A,0)),"Unknown")</f>
        <v>South Zone 1</v>
      </c>
      <c r="Z2212" t="str">
        <f>IFERROR(INDEX(Customers!$J:$J,MATCH(C2212,Customers!$A:$A,0)),"Unknown")</f>
        <v>Silver</v>
      </c>
      <c r="AA2212" t="str">
        <f t="shared" si="34"/>
        <v>2025-02</v>
      </c>
      <c r="AB2212" t="str">
        <f>IFERROR(INDEX(Products!$I:$I,MATCH(D2212,Products!$A:$A,0)),"Unknown")</f>
        <v>SUP029</v>
      </c>
    </row>
    <row r="2213" spans="1:28" x14ac:dyDescent="0.25">
      <c r="A2213" t="s">
        <v>4234</v>
      </c>
      <c r="B2213" s="20">
        <v>45576</v>
      </c>
      <c r="C2213" t="s">
        <v>1181</v>
      </c>
      <c r="D2213" t="s">
        <v>801</v>
      </c>
      <c r="E2213" t="s">
        <v>231</v>
      </c>
      <c r="F2213" t="s">
        <v>408</v>
      </c>
      <c r="G2213">
        <v>3</v>
      </c>
      <c r="H2213" s="21">
        <v>627.4</v>
      </c>
      <c r="I2213">
        <v>25</v>
      </c>
      <c r="J2213" s="21">
        <v>470.55</v>
      </c>
      <c r="K2213">
        <v>5</v>
      </c>
      <c r="L2213" s="21">
        <v>70.58</v>
      </c>
      <c r="M2213" s="21">
        <v>1482.23</v>
      </c>
      <c r="N2213" s="21">
        <v>1274.28</v>
      </c>
      <c r="O2213" s="21">
        <v>137.37</v>
      </c>
      <c r="P2213" t="s">
        <v>125</v>
      </c>
      <c r="Q2213" t="s">
        <v>120</v>
      </c>
      <c r="R2213" t="s">
        <v>151</v>
      </c>
      <c r="S2213" t="s">
        <v>2477</v>
      </c>
      <c r="T2213" t="s">
        <v>153</v>
      </c>
      <c r="U2213" t="s">
        <v>154</v>
      </c>
      <c r="V2213" t="str">
        <f>IFERROR(INDEX(Products!$C:$C,MATCH(D2213,Products!$A:$A,0)),"Unknown")</f>
        <v>Kids Wear</v>
      </c>
      <c r="W2213" t="str">
        <f>IFERROR(INDEX(Products!$E:$E,MATCH(D2213,Products!$A:$A,0)),"Unknown")</f>
        <v>Being Human</v>
      </c>
      <c r="X2213" t="str">
        <f>IFERROR(INDEX(Stores!$B:$B,MATCH(E2213,Stores!$A:$A,0)),"Unknown")</f>
        <v>TrendMart Warangal Outlet</v>
      </c>
      <c r="Y2213" t="str">
        <f>IFERROR(INDEX(Stores!$E:$E,MATCH(E2213,Stores!$A:$A,0)),"Unknown")</f>
        <v>South Zone 2</v>
      </c>
      <c r="Z2213" t="str">
        <f>IFERROR(INDEX(Customers!$J:$J,MATCH(C2213,Customers!$A:$A,0)),"Unknown")</f>
        <v>Gold</v>
      </c>
      <c r="AA2213" t="str">
        <f t="shared" si="34"/>
        <v>2024-10</v>
      </c>
      <c r="AB2213" t="str">
        <f>IFERROR(INDEX(Products!$I:$I,MATCH(D2213,Products!$A:$A,0)),"Unknown")</f>
        <v>SUP063</v>
      </c>
    </row>
    <row r="2214" spans="1:28" x14ac:dyDescent="0.25">
      <c r="A2214" t="s">
        <v>4235</v>
      </c>
      <c r="B2214" s="20">
        <v>45688</v>
      </c>
      <c r="C2214" t="s">
        <v>3834</v>
      </c>
      <c r="D2214" t="s">
        <v>257</v>
      </c>
      <c r="E2214" t="s">
        <v>1681</v>
      </c>
      <c r="F2214" t="s">
        <v>462</v>
      </c>
      <c r="G2214">
        <v>2</v>
      </c>
      <c r="H2214" s="21">
        <v>943.72</v>
      </c>
      <c r="I2214">
        <v>30</v>
      </c>
      <c r="J2214" s="21">
        <v>566.23</v>
      </c>
      <c r="K2214">
        <v>5</v>
      </c>
      <c r="L2214" s="21">
        <v>66.06</v>
      </c>
      <c r="M2214" s="21">
        <v>1387.27</v>
      </c>
      <c r="N2214" s="21">
        <v>1442.44</v>
      </c>
      <c r="O2214" s="21">
        <v>-121.23</v>
      </c>
      <c r="P2214" t="s">
        <v>127</v>
      </c>
      <c r="Q2214" t="s">
        <v>122</v>
      </c>
      <c r="R2214" t="s">
        <v>151</v>
      </c>
      <c r="S2214" t="s">
        <v>1898</v>
      </c>
      <c r="T2214" t="s">
        <v>153</v>
      </c>
      <c r="U2214" t="s">
        <v>184</v>
      </c>
      <c r="V2214" t="str">
        <f>IFERROR(INDEX(Products!$C:$C,MATCH(D2214,Products!$A:$A,0)),"Unknown")</f>
        <v>Men Shirts</v>
      </c>
      <c r="W2214" t="str">
        <f>IFERROR(INDEX(Products!$E:$E,MATCH(D2214,Products!$A:$A,0)),"Unknown")</f>
        <v>Indian Terrain</v>
      </c>
      <c r="X2214" t="str">
        <f>IFERROR(INDEX(Stores!$B:$B,MATCH(E2214,Stores!$A:$A,0)),"Unknown")</f>
        <v>TrendMart Warangal Standard</v>
      </c>
      <c r="Y2214" t="str">
        <f>IFERROR(INDEX(Stores!$E:$E,MATCH(E2214,Stores!$A:$A,0)),"Unknown")</f>
        <v>South Zone 2</v>
      </c>
      <c r="Z2214" t="str">
        <f>IFERROR(INDEX(Customers!$J:$J,MATCH(C2214,Customers!$A:$A,0)),"Unknown")</f>
        <v>Regular</v>
      </c>
      <c r="AA2214" t="str">
        <f t="shared" si="34"/>
        <v>2025-01</v>
      </c>
      <c r="AB2214" t="str">
        <f>IFERROR(INDEX(Products!$I:$I,MATCH(D2214,Products!$A:$A,0)),"Unknown")</f>
        <v>SUP080</v>
      </c>
    </row>
    <row r="2215" spans="1:28" x14ac:dyDescent="0.25">
      <c r="A2215" t="s">
        <v>4236</v>
      </c>
      <c r="B2215" s="20">
        <v>45451</v>
      </c>
      <c r="C2215" t="s">
        <v>3414</v>
      </c>
      <c r="D2215" t="s">
        <v>1312</v>
      </c>
      <c r="E2215" t="s">
        <v>89</v>
      </c>
      <c r="F2215" t="s">
        <v>303</v>
      </c>
      <c r="G2215">
        <v>4</v>
      </c>
      <c r="H2215" s="21">
        <v>1104.2</v>
      </c>
      <c r="I2215">
        <v>30</v>
      </c>
      <c r="J2215" s="21">
        <v>1325.04</v>
      </c>
      <c r="K2215">
        <v>12</v>
      </c>
      <c r="L2215" s="21">
        <v>371.01</v>
      </c>
      <c r="M2215" s="21">
        <v>3462.77</v>
      </c>
      <c r="N2215" s="21">
        <v>3068.44</v>
      </c>
      <c r="O2215" s="21">
        <v>23.32</v>
      </c>
      <c r="P2215" t="s">
        <v>121</v>
      </c>
      <c r="Q2215" t="s">
        <v>120</v>
      </c>
      <c r="R2215" t="s">
        <v>151</v>
      </c>
      <c r="S2215" t="s">
        <v>1047</v>
      </c>
      <c r="T2215" t="s">
        <v>161</v>
      </c>
      <c r="U2215" t="s">
        <v>154</v>
      </c>
      <c r="V2215" t="str">
        <f>IFERROR(INDEX(Products!$C:$C,MATCH(D2215,Products!$A:$A,0)),"Unknown")</f>
        <v>Women Kurtis</v>
      </c>
      <c r="W2215" t="str">
        <f>IFERROR(INDEX(Products!$E:$E,MATCH(D2215,Products!$A:$A,0)),"Unknown")</f>
        <v>Louis Philippe</v>
      </c>
      <c r="X2215" t="str">
        <f>IFERROR(INDEX(Stores!$B:$B,MATCH(E2215,Stores!$A:$A,0)),"Unknown")</f>
        <v>TrendMart Kochi Standard</v>
      </c>
      <c r="Y2215" t="str">
        <f>IFERROR(INDEX(Stores!$E:$E,MATCH(E2215,Stores!$A:$A,0)),"Unknown")</f>
        <v>South Zone 1</v>
      </c>
      <c r="Z2215" t="str">
        <f>IFERROR(INDEX(Customers!$J:$J,MATCH(C2215,Customers!$A:$A,0)),"Unknown")</f>
        <v>Platinum</v>
      </c>
      <c r="AA2215" t="str">
        <f t="shared" si="34"/>
        <v>2024-06</v>
      </c>
      <c r="AB2215" t="str">
        <f>IFERROR(INDEX(Products!$I:$I,MATCH(D2215,Products!$A:$A,0)),"Unknown")</f>
        <v>SUP010</v>
      </c>
    </row>
    <row r="2216" spans="1:28" x14ac:dyDescent="0.25">
      <c r="A2216" t="s">
        <v>4237</v>
      </c>
      <c r="B2216" s="20">
        <v>45454</v>
      </c>
      <c r="C2216" t="s">
        <v>548</v>
      </c>
      <c r="D2216" t="s">
        <v>1649</v>
      </c>
      <c r="E2216" t="s">
        <v>85</v>
      </c>
      <c r="F2216" t="s">
        <v>377</v>
      </c>
      <c r="G2216">
        <v>1</v>
      </c>
      <c r="H2216" s="21">
        <v>1277.7</v>
      </c>
      <c r="I2216">
        <v>20</v>
      </c>
      <c r="J2216" s="21">
        <v>255.54</v>
      </c>
      <c r="K2216">
        <v>12</v>
      </c>
      <c r="L2216" s="21">
        <v>122.66</v>
      </c>
      <c r="M2216" s="21">
        <v>1144.82</v>
      </c>
      <c r="N2216" s="21">
        <v>879.48</v>
      </c>
      <c r="O2216" s="21">
        <v>142.68</v>
      </c>
      <c r="P2216" t="s">
        <v>121</v>
      </c>
      <c r="Q2216" t="s">
        <v>120</v>
      </c>
      <c r="R2216" t="s">
        <v>313</v>
      </c>
      <c r="S2216" t="s">
        <v>309</v>
      </c>
      <c r="T2216" t="s">
        <v>153</v>
      </c>
      <c r="U2216" t="s">
        <v>154</v>
      </c>
      <c r="V2216" t="str">
        <f>IFERROR(INDEX(Products!$C:$C,MATCH(D2216,Products!$A:$A,0)),"Unknown")</f>
        <v>Belts</v>
      </c>
      <c r="W2216" t="str">
        <f>IFERROR(INDEX(Products!$E:$E,MATCH(D2216,Products!$A:$A,0)),"Unknown")</f>
        <v>Bata</v>
      </c>
      <c r="X2216" t="str">
        <f>IFERROR(INDEX(Stores!$B:$B,MATCH(E2216,Stores!$A:$A,0)),"Unknown")</f>
        <v>TrendMart Kalaburagi Mall Kiosk</v>
      </c>
      <c r="Y2216" t="str">
        <f>IFERROR(INDEX(Stores!$E:$E,MATCH(E2216,Stores!$A:$A,0)),"Unknown")</f>
        <v>South Zone 2</v>
      </c>
      <c r="Z2216" t="str">
        <f>IFERROR(INDEX(Customers!$J:$J,MATCH(C2216,Customers!$A:$A,0)),"Unknown")</f>
        <v>Regular</v>
      </c>
      <c r="AA2216" t="str">
        <f t="shared" si="34"/>
        <v>2024-06</v>
      </c>
      <c r="AB2216" t="str">
        <f>IFERROR(INDEX(Products!$I:$I,MATCH(D2216,Products!$A:$A,0)),"Unknown")</f>
        <v>SUP032</v>
      </c>
    </row>
    <row r="2217" spans="1:28" x14ac:dyDescent="0.25">
      <c r="A2217" t="s">
        <v>4238</v>
      </c>
      <c r="B2217" s="20">
        <v>45696</v>
      </c>
      <c r="C2217" t="s">
        <v>3052</v>
      </c>
      <c r="D2217" t="s">
        <v>1431</v>
      </c>
      <c r="E2217" t="s">
        <v>1825</v>
      </c>
      <c r="F2217" t="s">
        <v>462</v>
      </c>
      <c r="G2217">
        <v>1</v>
      </c>
      <c r="H2217" s="21">
        <v>1532.87</v>
      </c>
      <c r="I2217">
        <v>5</v>
      </c>
      <c r="J2217" s="21">
        <v>76.64</v>
      </c>
      <c r="K2217">
        <v>12</v>
      </c>
      <c r="L2217" s="21">
        <v>174.75</v>
      </c>
      <c r="M2217" s="21">
        <v>1630.98</v>
      </c>
      <c r="N2217" s="21">
        <v>949.97</v>
      </c>
      <c r="O2217" s="21">
        <v>506.26</v>
      </c>
      <c r="P2217" t="s">
        <v>123</v>
      </c>
      <c r="Q2217" t="s">
        <v>120</v>
      </c>
      <c r="R2217" t="s">
        <v>151</v>
      </c>
      <c r="S2217" t="s">
        <v>711</v>
      </c>
      <c r="T2217" t="s">
        <v>161</v>
      </c>
      <c r="U2217" t="s">
        <v>154</v>
      </c>
      <c r="V2217" t="str">
        <f>IFERROR(INDEX(Products!$C:$C,MATCH(D2217,Products!$A:$A,0)),"Unknown")</f>
        <v>Wallets</v>
      </c>
      <c r="W2217" t="str">
        <f>IFERROR(INDEX(Products!$E:$E,MATCH(D2217,Products!$A:$A,0)),"Unknown")</f>
        <v>Van Heusen</v>
      </c>
      <c r="X2217" t="str">
        <f>IFERROR(INDEX(Stores!$B:$B,MATCH(E2217,Stores!$A:$A,0)),"Unknown")</f>
        <v>TrendMart Vijayawada Outlet</v>
      </c>
      <c r="Y2217" t="str">
        <f>IFERROR(INDEX(Stores!$E:$E,MATCH(E2217,Stores!$A:$A,0)),"Unknown")</f>
        <v>South Zone 3</v>
      </c>
      <c r="Z2217" t="str">
        <f>IFERROR(INDEX(Customers!$J:$J,MATCH(C2217,Customers!$A:$A,0)),"Unknown")</f>
        <v>Gold</v>
      </c>
      <c r="AA2217" t="str">
        <f t="shared" si="34"/>
        <v>2025-02</v>
      </c>
      <c r="AB2217" t="str">
        <f>IFERROR(INDEX(Products!$I:$I,MATCH(D2217,Products!$A:$A,0)),"Unknown")</f>
        <v>SUP087</v>
      </c>
    </row>
    <row r="2218" spans="1:28" x14ac:dyDescent="0.25">
      <c r="A2218" t="s">
        <v>4239</v>
      </c>
      <c r="B2218" s="20">
        <v>45603</v>
      </c>
      <c r="C2218" t="s">
        <v>2174</v>
      </c>
      <c r="D2218" t="s">
        <v>1088</v>
      </c>
      <c r="E2218" t="s">
        <v>848</v>
      </c>
      <c r="F2218" t="s">
        <v>532</v>
      </c>
      <c r="G2218">
        <v>3</v>
      </c>
      <c r="H2218" s="21">
        <v>897.39</v>
      </c>
      <c r="I2218">
        <v>10</v>
      </c>
      <c r="J2218" s="21">
        <v>269.22000000000003</v>
      </c>
      <c r="K2218">
        <v>5</v>
      </c>
      <c r="L2218" s="21">
        <v>121.15</v>
      </c>
      <c r="M2218" s="21">
        <v>2544.1</v>
      </c>
      <c r="N2218" s="21">
        <v>1797.84</v>
      </c>
      <c r="O2218" s="21">
        <v>625.11</v>
      </c>
      <c r="P2218" t="s">
        <v>121</v>
      </c>
      <c r="Q2218" t="s">
        <v>120</v>
      </c>
      <c r="R2218" t="s">
        <v>151</v>
      </c>
      <c r="S2218" t="s">
        <v>1513</v>
      </c>
      <c r="T2218" t="s">
        <v>153</v>
      </c>
      <c r="U2218" t="s">
        <v>154</v>
      </c>
      <c r="V2218" t="str">
        <f>IFERROR(INDEX(Products!$C:$C,MATCH(D2218,Products!$A:$A,0)),"Unknown")</f>
        <v>Women Kurtis</v>
      </c>
      <c r="W2218" t="str">
        <f>IFERROR(INDEX(Products!$E:$E,MATCH(D2218,Products!$A:$A,0)),"Unknown")</f>
        <v>Metro Shoes</v>
      </c>
      <c r="X2218" t="str">
        <f>IFERROR(INDEX(Stores!$B:$B,MATCH(E2218,Stores!$A:$A,0)),"Unknown")</f>
        <v>TrendMart Shivamogga Standard</v>
      </c>
      <c r="Y2218" t="str">
        <f>IFERROR(INDEX(Stores!$E:$E,MATCH(E2218,Stores!$A:$A,0)),"Unknown")</f>
        <v>South Zone 2</v>
      </c>
      <c r="Z2218" t="str">
        <f>IFERROR(INDEX(Customers!$J:$J,MATCH(C2218,Customers!$A:$A,0)),"Unknown")</f>
        <v>Gold</v>
      </c>
      <c r="AA2218" t="str">
        <f t="shared" si="34"/>
        <v>2024-11</v>
      </c>
      <c r="AB2218" t="str">
        <f>IFERROR(INDEX(Products!$I:$I,MATCH(D2218,Products!$A:$A,0)),"Unknown")</f>
        <v>SUP045</v>
      </c>
    </row>
    <row r="2219" spans="1:28" x14ac:dyDescent="0.25">
      <c r="A2219" t="s">
        <v>4240</v>
      </c>
      <c r="B2219" s="20">
        <v>45610</v>
      </c>
      <c r="C2219" t="s">
        <v>733</v>
      </c>
      <c r="D2219" t="s">
        <v>359</v>
      </c>
      <c r="E2219" t="s">
        <v>216</v>
      </c>
      <c r="F2219" t="s">
        <v>516</v>
      </c>
      <c r="G2219">
        <v>2</v>
      </c>
      <c r="H2219" s="21">
        <v>2368.3000000000002</v>
      </c>
      <c r="I2219">
        <v>10</v>
      </c>
      <c r="J2219" s="21">
        <v>473.66</v>
      </c>
      <c r="K2219">
        <v>12</v>
      </c>
      <c r="L2219" s="21">
        <v>511.55</v>
      </c>
      <c r="M2219" s="21">
        <v>4774.49</v>
      </c>
      <c r="N2219" s="21">
        <v>3608.74</v>
      </c>
      <c r="O2219" s="21">
        <v>654.20000000000005</v>
      </c>
      <c r="P2219" t="s">
        <v>124</v>
      </c>
      <c r="Q2219" t="s">
        <v>120</v>
      </c>
      <c r="R2219" t="s">
        <v>151</v>
      </c>
      <c r="S2219" t="s">
        <v>1791</v>
      </c>
      <c r="T2219" t="s">
        <v>153</v>
      </c>
      <c r="U2219" t="s">
        <v>154</v>
      </c>
      <c r="V2219" t="str">
        <f>IFERROR(INDEX(Products!$C:$C,MATCH(D2219,Products!$A:$A,0)),"Unknown")</f>
        <v>Men Ethnic</v>
      </c>
      <c r="W2219" t="str">
        <f>IFERROR(INDEX(Products!$E:$E,MATCH(D2219,Products!$A:$A,0)),"Unknown")</f>
        <v>US Polo Assn</v>
      </c>
      <c r="X2219" t="str">
        <f>IFERROR(INDEX(Stores!$B:$B,MATCH(E2219,Stores!$A:$A,0)),"Unknown")</f>
        <v>TrendMart Madurai Mall Kiosk</v>
      </c>
      <c r="Y2219" t="str">
        <f>IFERROR(INDEX(Stores!$E:$E,MATCH(E2219,Stores!$A:$A,0)),"Unknown")</f>
        <v>South Zone 1</v>
      </c>
      <c r="Z2219" t="str">
        <f>IFERROR(INDEX(Customers!$J:$J,MATCH(C2219,Customers!$A:$A,0)),"Unknown")</f>
        <v>Gold</v>
      </c>
      <c r="AA2219" t="str">
        <f t="shared" si="34"/>
        <v>2024-11</v>
      </c>
      <c r="AB2219" t="str">
        <f>IFERROR(INDEX(Products!$I:$I,MATCH(D2219,Products!$A:$A,0)),"Unknown")</f>
        <v>SUP036</v>
      </c>
    </row>
    <row r="2220" spans="1:28" x14ac:dyDescent="0.25">
      <c r="A2220" t="s">
        <v>4241</v>
      </c>
      <c r="B2220" s="20">
        <v>45527</v>
      </c>
      <c r="C2220" t="s">
        <v>1082</v>
      </c>
      <c r="D2220" t="s">
        <v>569</v>
      </c>
      <c r="E2220" t="s">
        <v>745</v>
      </c>
      <c r="F2220" t="s">
        <v>344</v>
      </c>
      <c r="G2220">
        <v>1</v>
      </c>
      <c r="H2220" s="21">
        <v>2251.02</v>
      </c>
      <c r="I2220">
        <v>20</v>
      </c>
      <c r="J2220" s="21">
        <v>450.2</v>
      </c>
      <c r="K2220">
        <v>12</v>
      </c>
      <c r="L2220" s="21">
        <v>216.1</v>
      </c>
      <c r="M2220" s="21">
        <v>2016.92</v>
      </c>
      <c r="N2220" s="21">
        <v>1594</v>
      </c>
      <c r="O2220" s="21">
        <v>206.82</v>
      </c>
      <c r="P2220" t="s">
        <v>123</v>
      </c>
      <c r="Q2220" t="s">
        <v>120</v>
      </c>
      <c r="R2220" t="s">
        <v>151</v>
      </c>
      <c r="S2220" t="s">
        <v>2512</v>
      </c>
      <c r="T2220" t="s">
        <v>153</v>
      </c>
      <c r="U2220" t="s">
        <v>154</v>
      </c>
      <c r="V2220" t="str">
        <f>IFERROR(INDEX(Products!$C:$C,MATCH(D2220,Products!$A:$A,0)),"Unknown")</f>
        <v>Men Ethnic</v>
      </c>
      <c r="W2220" t="str">
        <f>IFERROR(INDEX(Products!$E:$E,MATCH(D2220,Products!$A:$A,0)),"Unknown")</f>
        <v>Fastrack</v>
      </c>
      <c r="X2220" t="str">
        <f>IFERROR(INDEX(Stores!$B:$B,MATCH(E2220,Stores!$A:$A,0)),"Unknown")</f>
        <v>TrendMart Thiruvananthapuram Outlet</v>
      </c>
      <c r="Y2220" t="str">
        <f>IFERROR(INDEX(Stores!$E:$E,MATCH(E2220,Stores!$A:$A,0)),"Unknown")</f>
        <v>South Zone 1</v>
      </c>
      <c r="Z2220" t="str">
        <f>IFERROR(INDEX(Customers!$J:$J,MATCH(C2220,Customers!$A:$A,0)),"Unknown")</f>
        <v>Regular</v>
      </c>
      <c r="AA2220" t="str">
        <f t="shared" si="34"/>
        <v>2024-08</v>
      </c>
      <c r="AB2220" t="str">
        <f>IFERROR(INDEX(Products!$I:$I,MATCH(D2220,Products!$A:$A,0)),"Unknown")</f>
        <v>SUP014</v>
      </c>
    </row>
    <row r="2221" spans="1:28" x14ac:dyDescent="0.25">
      <c r="A2221" t="s">
        <v>4242</v>
      </c>
      <c r="B2221" s="20">
        <v>45706</v>
      </c>
      <c r="C2221" t="s">
        <v>3277</v>
      </c>
      <c r="D2221" t="s">
        <v>558</v>
      </c>
      <c r="E2221" t="s">
        <v>1962</v>
      </c>
      <c r="F2221" t="s">
        <v>308</v>
      </c>
      <c r="G2221">
        <v>2</v>
      </c>
      <c r="H2221" s="21">
        <v>630.27</v>
      </c>
      <c r="I2221">
        <v>0</v>
      </c>
      <c r="J2221" s="21">
        <v>0</v>
      </c>
      <c r="K2221">
        <v>5</v>
      </c>
      <c r="L2221" s="21">
        <v>63.03</v>
      </c>
      <c r="M2221" s="21">
        <v>1323.57</v>
      </c>
      <c r="N2221" s="21">
        <v>914.32</v>
      </c>
      <c r="O2221" s="21">
        <v>346.22</v>
      </c>
      <c r="P2221" t="s">
        <v>121</v>
      </c>
      <c r="Q2221" t="s">
        <v>120</v>
      </c>
      <c r="R2221" t="s">
        <v>151</v>
      </c>
      <c r="S2221" t="s">
        <v>816</v>
      </c>
      <c r="T2221" t="s">
        <v>153</v>
      </c>
      <c r="U2221" t="s">
        <v>154</v>
      </c>
      <c r="V2221" t="str">
        <f>IFERROR(INDEX(Products!$C:$C,MATCH(D2221,Products!$A:$A,0)),"Unknown")</f>
        <v>Women Tops</v>
      </c>
      <c r="W2221" t="str">
        <f>IFERROR(INDEX(Products!$E:$E,MATCH(D2221,Products!$A:$A,0)),"Unknown")</f>
        <v>Aurelia</v>
      </c>
      <c r="X2221" t="str">
        <f>IFERROR(INDEX(Stores!$B:$B,MATCH(E2221,Stores!$A:$A,0)),"Unknown")</f>
        <v>TrendMart Guntur High Street</v>
      </c>
      <c r="Y2221" t="str">
        <f>IFERROR(INDEX(Stores!$E:$E,MATCH(E2221,Stores!$A:$A,0)),"Unknown")</f>
        <v>South Zone 3</v>
      </c>
      <c r="Z2221" t="str">
        <f>IFERROR(INDEX(Customers!$J:$J,MATCH(C2221,Customers!$A:$A,0)),"Unknown")</f>
        <v>Gold</v>
      </c>
      <c r="AA2221" t="str">
        <f t="shared" si="34"/>
        <v>2025-02</v>
      </c>
      <c r="AB2221" t="str">
        <f>IFERROR(INDEX(Products!$I:$I,MATCH(D2221,Products!$A:$A,0)),"Unknown")</f>
        <v>SUP055</v>
      </c>
    </row>
    <row r="2222" spans="1:28" x14ac:dyDescent="0.25">
      <c r="A2222" t="s">
        <v>4243</v>
      </c>
      <c r="B2222" s="20">
        <v>45575</v>
      </c>
      <c r="C2222" t="s">
        <v>4244</v>
      </c>
      <c r="D2222" t="s">
        <v>236</v>
      </c>
      <c r="E2222" t="s">
        <v>1017</v>
      </c>
      <c r="F2222" t="s">
        <v>275</v>
      </c>
      <c r="G2222">
        <v>4</v>
      </c>
      <c r="H2222" s="21">
        <v>758.43</v>
      </c>
      <c r="I2222">
        <v>10</v>
      </c>
      <c r="J2222" s="21">
        <v>303.37</v>
      </c>
      <c r="K2222">
        <v>5</v>
      </c>
      <c r="L2222" s="21">
        <v>136.52000000000001</v>
      </c>
      <c r="M2222" s="21">
        <v>2866.87</v>
      </c>
      <c r="N2222" s="21">
        <v>2200.04</v>
      </c>
      <c r="O2222" s="21">
        <v>530.30999999999995</v>
      </c>
      <c r="P2222" t="s">
        <v>124</v>
      </c>
      <c r="Q2222" t="s">
        <v>120</v>
      </c>
      <c r="R2222" t="s">
        <v>151</v>
      </c>
      <c r="S2222" t="s">
        <v>2226</v>
      </c>
      <c r="T2222" t="s">
        <v>153</v>
      </c>
      <c r="U2222" t="s">
        <v>154</v>
      </c>
      <c r="V2222" t="str">
        <f>IFERROR(INDEX(Products!$C:$C,MATCH(D2222,Products!$A:$A,0)),"Unknown")</f>
        <v>Women Tops</v>
      </c>
      <c r="W2222" t="str">
        <f>IFERROR(INDEX(Products!$E:$E,MATCH(D2222,Products!$A:$A,0)),"Unknown")</f>
        <v>Nike</v>
      </c>
      <c r="X2222" t="str">
        <f>IFERROR(INDEX(Stores!$B:$B,MATCH(E2222,Stores!$A:$A,0)),"Unknown")</f>
        <v>TrendMart Mangaluru Standard</v>
      </c>
      <c r="Y2222" t="str">
        <f>IFERROR(INDEX(Stores!$E:$E,MATCH(E2222,Stores!$A:$A,0)),"Unknown")</f>
        <v>South Zone 2</v>
      </c>
      <c r="Z2222" t="str">
        <f>IFERROR(INDEX(Customers!$J:$J,MATCH(C2222,Customers!$A:$A,0)),"Unknown")</f>
        <v>Platinum</v>
      </c>
      <c r="AA2222" t="str">
        <f t="shared" si="34"/>
        <v>2024-10</v>
      </c>
      <c r="AB2222" t="str">
        <f>IFERROR(INDEX(Products!$I:$I,MATCH(D2222,Products!$A:$A,0)),"Unknown")</f>
        <v>SUP075</v>
      </c>
    </row>
    <row r="2223" spans="1:28" x14ac:dyDescent="0.25">
      <c r="A2223" t="s">
        <v>4245</v>
      </c>
      <c r="B2223" s="20">
        <v>45729</v>
      </c>
      <c r="C2223" t="s">
        <v>2362</v>
      </c>
      <c r="D2223" t="s">
        <v>1780</v>
      </c>
      <c r="E2223" t="s">
        <v>521</v>
      </c>
      <c r="F2223" t="s">
        <v>221</v>
      </c>
      <c r="G2223">
        <v>3</v>
      </c>
      <c r="H2223" s="21">
        <v>1263.28</v>
      </c>
      <c r="I2223">
        <v>25</v>
      </c>
      <c r="J2223" s="21">
        <v>947.46</v>
      </c>
      <c r="K2223">
        <v>3</v>
      </c>
      <c r="L2223" s="21">
        <v>85.27</v>
      </c>
      <c r="M2223" s="21">
        <v>2927.65</v>
      </c>
      <c r="N2223" s="21">
        <v>2731.38</v>
      </c>
      <c r="O2223" s="21">
        <v>111</v>
      </c>
      <c r="P2223" t="s">
        <v>124</v>
      </c>
      <c r="Q2223" t="s">
        <v>120</v>
      </c>
      <c r="R2223" t="s">
        <v>151</v>
      </c>
      <c r="S2223" t="s">
        <v>749</v>
      </c>
      <c r="T2223" t="s">
        <v>153</v>
      </c>
      <c r="U2223" t="s">
        <v>154</v>
      </c>
      <c r="V2223" t="str">
        <f>IFERROR(INDEX(Products!$C:$C,MATCH(D2223,Products!$A:$A,0)),"Unknown")</f>
        <v>Jewellery</v>
      </c>
      <c r="W2223" t="str">
        <f>IFERROR(INDEX(Products!$E:$E,MATCH(D2223,Products!$A:$A,0)),"Unknown")</f>
        <v>Flying Machine</v>
      </c>
      <c r="X2223" t="str">
        <f>IFERROR(INDEX(Stores!$B:$B,MATCH(E2223,Stores!$A:$A,0)),"Unknown")</f>
        <v>TrendMart Tirupati Standard</v>
      </c>
      <c r="Y2223" t="str">
        <f>IFERROR(INDEX(Stores!$E:$E,MATCH(E2223,Stores!$A:$A,0)),"Unknown")</f>
        <v>South Zone 3</v>
      </c>
      <c r="Z2223" t="str">
        <f>IFERROR(INDEX(Customers!$J:$J,MATCH(C2223,Customers!$A:$A,0)),"Unknown")</f>
        <v>Silver</v>
      </c>
      <c r="AA2223" t="str">
        <f t="shared" si="34"/>
        <v>2025-03</v>
      </c>
      <c r="AB2223" t="str">
        <f>IFERROR(INDEX(Products!$I:$I,MATCH(D2223,Products!$A:$A,0)),"Unknown")</f>
        <v>SUP039</v>
      </c>
    </row>
    <row r="2224" spans="1:28" x14ac:dyDescent="0.25">
      <c r="A2224" t="s">
        <v>4246</v>
      </c>
      <c r="B2224" s="20">
        <v>45485</v>
      </c>
      <c r="C2224" t="s">
        <v>3519</v>
      </c>
      <c r="D2224" t="s">
        <v>1104</v>
      </c>
      <c r="E2224" t="s">
        <v>81</v>
      </c>
      <c r="F2224" t="s">
        <v>269</v>
      </c>
      <c r="G2224">
        <v>1</v>
      </c>
      <c r="H2224" s="21">
        <v>3656.24</v>
      </c>
      <c r="I2224">
        <v>30</v>
      </c>
      <c r="J2224" s="21">
        <v>1096.8699999999999</v>
      </c>
      <c r="K2224">
        <v>12</v>
      </c>
      <c r="L2224" s="21">
        <v>307.12</v>
      </c>
      <c r="M2224" s="21">
        <v>2866.49</v>
      </c>
      <c r="N2224" s="21">
        <v>2374.0300000000002</v>
      </c>
      <c r="O2224" s="21">
        <v>185.34</v>
      </c>
      <c r="P2224" t="s">
        <v>121</v>
      </c>
      <c r="Q2224" t="s">
        <v>122</v>
      </c>
      <c r="R2224" t="s">
        <v>151</v>
      </c>
      <c r="S2224" t="s">
        <v>1020</v>
      </c>
      <c r="T2224" t="s">
        <v>153</v>
      </c>
      <c r="U2224" t="s">
        <v>154</v>
      </c>
      <c r="V2224" t="str">
        <f>IFERROR(INDEX(Products!$C:$C,MATCH(D2224,Products!$A:$A,0)),"Unknown")</f>
        <v>Handbags</v>
      </c>
      <c r="W2224" t="str">
        <f>IFERROR(INDEX(Products!$E:$E,MATCH(D2224,Products!$A:$A,0)),"Unknown")</f>
        <v>Nalli Silks</v>
      </c>
      <c r="X2224" t="str">
        <f>IFERROR(INDEX(Stores!$B:$B,MATCH(E2224,Stores!$A:$A,0)),"Unknown")</f>
        <v>TrendMart Vijayawada High Street</v>
      </c>
      <c r="Y2224" t="str">
        <f>IFERROR(INDEX(Stores!$E:$E,MATCH(E2224,Stores!$A:$A,0)),"Unknown")</f>
        <v>South Zone 3</v>
      </c>
      <c r="Z2224" t="str">
        <f>IFERROR(INDEX(Customers!$J:$J,MATCH(C2224,Customers!$A:$A,0)),"Unknown")</f>
        <v>Silver</v>
      </c>
      <c r="AA2224" t="str">
        <f t="shared" si="34"/>
        <v>2024-07</v>
      </c>
      <c r="AB2224" t="str">
        <f>IFERROR(INDEX(Products!$I:$I,MATCH(D2224,Products!$A:$A,0)),"Unknown")</f>
        <v>SUP070</v>
      </c>
    </row>
    <row r="2225" spans="1:28" x14ac:dyDescent="0.25">
      <c r="A2225" t="s">
        <v>4247</v>
      </c>
      <c r="B2225" s="20">
        <v>45636</v>
      </c>
      <c r="C2225" t="s">
        <v>3090</v>
      </c>
      <c r="D2225" t="s">
        <v>937</v>
      </c>
      <c r="E2225" t="s">
        <v>823</v>
      </c>
      <c r="F2225" t="s">
        <v>382</v>
      </c>
      <c r="G2225">
        <v>1</v>
      </c>
      <c r="H2225" s="21">
        <v>1256.93</v>
      </c>
      <c r="I2225">
        <v>5</v>
      </c>
      <c r="J2225" s="21">
        <v>62.85</v>
      </c>
      <c r="K2225">
        <v>12</v>
      </c>
      <c r="L2225" s="21">
        <v>143.29</v>
      </c>
      <c r="M2225" s="21">
        <v>1337.37</v>
      </c>
      <c r="N2225" s="21">
        <v>861.8</v>
      </c>
      <c r="O2225" s="21">
        <v>332.28</v>
      </c>
      <c r="P2225" t="s">
        <v>121</v>
      </c>
      <c r="Q2225" t="s">
        <v>122</v>
      </c>
      <c r="R2225" t="s">
        <v>151</v>
      </c>
      <c r="S2225" t="s">
        <v>2126</v>
      </c>
      <c r="T2225" t="s">
        <v>153</v>
      </c>
      <c r="U2225" t="s">
        <v>154</v>
      </c>
      <c r="V2225" t="str">
        <f>IFERROR(INDEX(Products!$C:$C,MATCH(D2225,Products!$A:$A,0)),"Unknown")</f>
        <v>Men Shirts</v>
      </c>
      <c r="W2225" t="str">
        <f>IFERROR(INDEX(Products!$E:$E,MATCH(D2225,Products!$A:$A,0)),"Unknown")</f>
        <v>Skechers</v>
      </c>
      <c r="X2225" t="str">
        <f>IFERROR(INDEX(Stores!$B:$B,MATCH(E2225,Stores!$A:$A,0)),"Unknown")</f>
        <v>TrendMart Thoothukudi Mall Kiosk</v>
      </c>
      <c r="Y2225" t="str">
        <f>IFERROR(INDEX(Stores!$E:$E,MATCH(E2225,Stores!$A:$A,0)),"Unknown")</f>
        <v>South Zone 1</v>
      </c>
      <c r="Z2225" t="str">
        <f>IFERROR(INDEX(Customers!$J:$J,MATCH(C2225,Customers!$A:$A,0)),"Unknown")</f>
        <v>Silver</v>
      </c>
      <c r="AA2225" t="str">
        <f t="shared" si="34"/>
        <v>2024-12</v>
      </c>
      <c r="AB2225" t="str">
        <f>IFERROR(INDEX(Products!$I:$I,MATCH(D2225,Products!$A:$A,0)),"Unknown")</f>
        <v>SUP042</v>
      </c>
    </row>
    <row r="2226" spans="1:28" x14ac:dyDescent="0.25">
      <c r="A2226" t="s">
        <v>4248</v>
      </c>
      <c r="B2226" s="20">
        <v>45697</v>
      </c>
      <c r="C2226" t="s">
        <v>4249</v>
      </c>
      <c r="D2226" t="s">
        <v>246</v>
      </c>
      <c r="E2226" t="s">
        <v>1426</v>
      </c>
      <c r="F2226" t="s">
        <v>176</v>
      </c>
      <c r="G2226">
        <v>1</v>
      </c>
      <c r="H2226" s="21">
        <v>1373.44</v>
      </c>
      <c r="I2226">
        <v>0</v>
      </c>
      <c r="J2226" s="21">
        <v>0</v>
      </c>
      <c r="K2226">
        <v>12</v>
      </c>
      <c r="L2226" s="21">
        <v>164.81</v>
      </c>
      <c r="M2226" s="21">
        <v>1538.25</v>
      </c>
      <c r="N2226" s="21">
        <v>865.48</v>
      </c>
      <c r="O2226" s="21">
        <v>507.96</v>
      </c>
      <c r="P2226" t="s">
        <v>123</v>
      </c>
      <c r="Q2226" t="s">
        <v>120</v>
      </c>
      <c r="R2226" t="s">
        <v>151</v>
      </c>
      <c r="S2226" t="s">
        <v>672</v>
      </c>
      <c r="T2226" t="s">
        <v>161</v>
      </c>
      <c r="U2226" t="s">
        <v>154</v>
      </c>
      <c r="V2226" t="str">
        <f>IFERROR(INDEX(Products!$C:$C,MATCH(D2226,Products!$A:$A,0)),"Unknown")</f>
        <v>Women Dresses</v>
      </c>
      <c r="W2226" t="str">
        <f>IFERROR(INDEX(Products!$E:$E,MATCH(D2226,Products!$A:$A,0)),"Unknown")</f>
        <v>Tanishq</v>
      </c>
      <c r="X2226" t="str">
        <f>IFERROR(INDEX(Stores!$B:$B,MATCH(E2226,Stores!$A:$A,0)),"Unknown")</f>
        <v>TrendMart Alappuzha Mall Kiosk</v>
      </c>
      <c r="Y2226" t="str">
        <f>IFERROR(INDEX(Stores!$E:$E,MATCH(E2226,Stores!$A:$A,0)),"Unknown")</f>
        <v>South Zone 1</v>
      </c>
      <c r="Z2226" t="str">
        <f>IFERROR(INDEX(Customers!$J:$J,MATCH(C2226,Customers!$A:$A,0)),"Unknown")</f>
        <v>Silver</v>
      </c>
      <c r="AA2226" t="str">
        <f t="shared" si="34"/>
        <v>2025-02</v>
      </c>
      <c r="AB2226" t="str">
        <f>IFERROR(INDEX(Products!$I:$I,MATCH(D2226,Products!$A:$A,0)),"Unknown")</f>
        <v>SUP002</v>
      </c>
    </row>
    <row r="2227" spans="1:28" x14ac:dyDescent="0.25">
      <c r="A2227" t="s">
        <v>4250</v>
      </c>
      <c r="B2227" s="20">
        <v>45454</v>
      </c>
      <c r="C2227" t="s">
        <v>4063</v>
      </c>
      <c r="D2227" t="s">
        <v>1550</v>
      </c>
      <c r="E2227" t="s">
        <v>681</v>
      </c>
      <c r="F2227" t="s">
        <v>232</v>
      </c>
      <c r="G2227">
        <v>3</v>
      </c>
      <c r="H2227" s="21">
        <v>2512.81</v>
      </c>
      <c r="I2227">
        <v>20</v>
      </c>
      <c r="J2227" s="21">
        <v>1507.69</v>
      </c>
      <c r="K2227">
        <v>12</v>
      </c>
      <c r="L2227" s="21">
        <v>723.69</v>
      </c>
      <c r="M2227" s="21">
        <v>6754.43</v>
      </c>
      <c r="N2227" s="21">
        <v>5587.05</v>
      </c>
      <c r="O2227" s="21">
        <v>443.69</v>
      </c>
      <c r="P2227" t="s">
        <v>125</v>
      </c>
      <c r="Q2227" t="s">
        <v>120</v>
      </c>
      <c r="R2227" t="s">
        <v>151</v>
      </c>
      <c r="S2227" t="s">
        <v>570</v>
      </c>
      <c r="T2227" t="s">
        <v>153</v>
      </c>
      <c r="U2227" t="s">
        <v>154</v>
      </c>
      <c r="V2227" t="str">
        <f>IFERROR(INDEX(Products!$C:$C,MATCH(D2227,Products!$A:$A,0)),"Unknown")</f>
        <v>Footwear</v>
      </c>
      <c r="W2227" t="str">
        <f>IFERROR(INDEX(Products!$E:$E,MATCH(D2227,Products!$A:$A,0)),"Unknown")</f>
        <v>Pothys</v>
      </c>
      <c r="X2227" t="str">
        <f>IFERROR(INDEX(Stores!$B:$B,MATCH(E2227,Stores!$A:$A,0)),"Unknown")</f>
        <v>TrendMart Shivamogga Mall Kiosk</v>
      </c>
      <c r="Y2227" t="str">
        <f>IFERROR(INDEX(Stores!$E:$E,MATCH(E2227,Stores!$A:$A,0)),"Unknown")</f>
        <v>South Zone 2</v>
      </c>
      <c r="Z2227" t="str">
        <f>IFERROR(INDEX(Customers!$J:$J,MATCH(C2227,Customers!$A:$A,0)),"Unknown")</f>
        <v>Gold</v>
      </c>
      <c r="AA2227" t="str">
        <f t="shared" si="34"/>
        <v>2024-06</v>
      </c>
      <c r="AB2227" t="str">
        <f>IFERROR(INDEX(Products!$I:$I,MATCH(D2227,Products!$A:$A,0)),"Unknown")</f>
        <v>SUP061</v>
      </c>
    </row>
    <row r="2228" spans="1:28" x14ac:dyDescent="0.25">
      <c r="A2228" t="s">
        <v>4251</v>
      </c>
      <c r="B2228" s="20">
        <v>45579</v>
      </c>
      <c r="C2228" t="s">
        <v>4207</v>
      </c>
      <c r="D2228" t="s">
        <v>1816</v>
      </c>
      <c r="E2228" t="s">
        <v>525</v>
      </c>
      <c r="F2228" t="s">
        <v>232</v>
      </c>
      <c r="G2228">
        <v>1</v>
      </c>
      <c r="H2228" s="21">
        <v>1358.48</v>
      </c>
      <c r="I2228">
        <v>10</v>
      </c>
      <c r="J2228" s="21">
        <v>135.85</v>
      </c>
      <c r="K2228">
        <v>12</v>
      </c>
      <c r="L2228" s="21">
        <v>146.72</v>
      </c>
      <c r="M2228" s="21">
        <v>1369.35</v>
      </c>
      <c r="N2228" s="21">
        <v>906.3</v>
      </c>
      <c r="O2228" s="21">
        <v>316.33</v>
      </c>
      <c r="P2228" t="s">
        <v>123</v>
      </c>
      <c r="Q2228" t="s">
        <v>122</v>
      </c>
      <c r="R2228" t="s">
        <v>151</v>
      </c>
      <c r="S2228" t="s">
        <v>1232</v>
      </c>
      <c r="T2228" t="s">
        <v>153</v>
      </c>
      <c r="U2228" t="s">
        <v>154</v>
      </c>
      <c r="V2228" t="str">
        <f>IFERROR(INDEX(Products!$C:$C,MATCH(D2228,Products!$A:$A,0)),"Unknown")</f>
        <v>Wallets</v>
      </c>
      <c r="W2228" t="str">
        <f>IFERROR(INDEX(Products!$E:$E,MATCH(D2228,Products!$A:$A,0)),"Unknown")</f>
        <v>Louis Philippe</v>
      </c>
      <c r="X2228" t="str">
        <f>IFERROR(INDEX(Stores!$B:$B,MATCH(E2228,Stores!$A:$A,0)),"Unknown")</f>
        <v>TrendMart Kollam Standard</v>
      </c>
      <c r="Y2228" t="str">
        <f>IFERROR(INDEX(Stores!$E:$E,MATCH(E2228,Stores!$A:$A,0)),"Unknown")</f>
        <v>South Zone 1</v>
      </c>
      <c r="Z2228" t="str">
        <f>IFERROR(INDEX(Customers!$J:$J,MATCH(C2228,Customers!$A:$A,0)),"Unknown")</f>
        <v>Silver</v>
      </c>
      <c r="AA2228" t="str">
        <f t="shared" si="34"/>
        <v>2024-10</v>
      </c>
      <c r="AB2228" t="str">
        <f>IFERROR(INDEX(Products!$I:$I,MATCH(D2228,Products!$A:$A,0)),"Unknown")</f>
        <v>SUP076</v>
      </c>
    </row>
    <row r="2229" spans="1:28" x14ac:dyDescent="0.25">
      <c r="A2229" t="s">
        <v>4252</v>
      </c>
      <c r="B2229" s="20">
        <v>45596</v>
      </c>
      <c r="C2229" t="s">
        <v>1658</v>
      </c>
      <c r="D2229" t="s">
        <v>633</v>
      </c>
      <c r="E2229" t="s">
        <v>578</v>
      </c>
      <c r="F2229" t="s">
        <v>408</v>
      </c>
      <c r="G2229">
        <v>5</v>
      </c>
      <c r="H2229" s="21">
        <v>658.22</v>
      </c>
      <c r="I2229">
        <v>25</v>
      </c>
      <c r="J2229" s="21">
        <v>822.77</v>
      </c>
      <c r="K2229">
        <v>5</v>
      </c>
      <c r="L2229" s="21">
        <v>123.42</v>
      </c>
      <c r="M2229" s="21">
        <v>2591.75</v>
      </c>
      <c r="N2229" s="21">
        <v>2089.6</v>
      </c>
      <c r="O2229" s="21">
        <v>378.73</v>
      </c>
      <c r="P2229" t="s">
        <v>121</v>
      </c>
      <c r="Q2229" t="s">
        <v>122</v>
      </c>
      <c r="R2229" t="s">
        <v>151</v>
      </c>
      <c r="S2229" t="s">
        <v>690</v>
      </c>
      <c r="T2229" t="s">
        <v>153</v>
      </c>
      <c r="U2229" t="s">
        <v>154</v>
      </c>
      <c r="V2229" t="str">
        <f>IFERROR(INDEX(Products!$C:$C,MATCH(D2229,Products!$A:$A,0)),"Unknown")</f>
        <v>Men T-Shirts</v>
      </c>
      <c r="W2229" t="str">
        <f>IFERROR(INDEX(Products!$E:$E,MATCH(D2229,Products!$A:$A,0)),"Unknown")</f>
        <v>Reebok</v>
      </c>
      <c r="X2229" t="str">
        <f>IFERROR(INDEX(Stores!$B:$B,MATCH(E2229,Stores!$A:$A,0)),"Unknown")</f>
        <v>TrendMart Vellore Standard</v>
      </c>
      <c r="Y2229" t="str">
        <f>IFERROR(INDEX(Stores!$E:$E,MATCH(E2229,Stores!$A:$A,0)),"Unknown")</f>
        <v>South Zone 1</v>
      </c>
      <c r="Z2229" t="str">
        <f>IFERROR(INDEX(Customers!$J:$J,MATCH(C2229,Customers!$A:$A,0)),"Unknown")</f>
        <v>Gold</v>
      </c>
      <c r="AA2229" t="str">
        <f t="shared" si="34"/>
        <v>2024-10</v>
      </c>
      <c r="AB2229" t="str">
        <f>IFERROR(INDEX(Products!$I:$I,MATCH(D2229,Products!$A:$A,0)),"Unknown")</f>
        <v>SUP046</v>
      </c>
    </row>
    <row r="2230" spans="1:28" x14ac:dyDescent="0.25">
      <c r="A2230" t="s">
        <v>4253</v>
      </c>
      <c r="B2230" s="20">
        <v>45584</v>
      </c>
      <c r="C2230" t="s">
        <v>2036</v>
      </c>
      <c r="D2230" t="s">
        <v>407</v>
      </c>
      <c r="E2230" t="s">
        <v>914</v>
      </c>
      <c r="F2230" t="s">
        <v>596</v>
      </c>
      <c r="G2230">
        <v>2</v>
      </c>
      <c r="H2230" s="21">
        <v>1259.42</v>
      </c>
      <c r="I2230">
        <v>0</v>
      </c>
      <c r="J2230" s="21">
        <v>0</v>
      </c>
      <c r="K2230">
        <v>12</v>
      </c>
      <c r="L2230" s="21">
        <v>302.26</v>
      </c>
      <c r="M2230" s="21">
        <v>2821.1</v>
      </c>
      <c r="N2230" s="21">
        <v>1605.28</v>
      </c>
      <c r="O2230" s="21">
        <v>913.56</v>
      </c>
      <c r="P2230" t="s">
        <v>123</v>
      </c>
      <c r="Q2230" t="s">
        <v>120</v>
      </c>
      <c r="R2230" t="s">
        <v>151</v>
      </c>
      <c r="S2230" t="s">
        <v>1740</v>
      </c>
      <c r="T2230" t="s">
        <v>161</v>
      </c>
      <c r="U2230" t="s">
        <v>154</v>
      </c>
      <c r="V2230" t="str">
        <f>IFERROR(INDEX(Products!$C:$C,MATCH(D2230,Products!$A:$A,0)),"Unknown")</f>
        <v>Winter Wear</v>
      </c>
      <c r="W2230" t="str">
        <f>IFERROR(INDEX(Products!$E:$E,MATCH(D2230,Products!$A:$A,0)),"Unknown")</f>
        <v>Metro Shoes</v>
      </c>
      <c r="X2230" t="str">
        <f>IFERROR(INDEX(Stores!$B:$B,MATCH(E2230,Stores!$A:$A,0)),"Unknown")</f>
        <v>TrendMart Thiruvananthapuram Outlet</v>
      </c>
      <c r="Y2230" t="str">
        <f>IFERROR(INDEX(Stores!$E:$E,MATCH(E2230,Stores!$A:$A,0)),"Unknown")</f>
        <v>South Zone 1</v>
      </c>
      <c r="Z2230" t="str">
        <f>IFERROR(INDEX(Customers!$J:$J,MATCH(C2230,Customers!$A:$A,0)),"Unknown")</f>
        <v>Silver</v>
      </c>
      <c r="AA2230" t="str">
        <f t="shared" si="34"/>
        <v>2024-10</v>
      </c>
      <c r="AB2230" t="str">
        <f>IFERROR(INDEX(Products!$I:$I,MATCH(D2230,Products!$A:$A,0)),"Unknown")</f>
        <v>SUP067</v>
      </c>
    </row>
    <row r="2231" spans="1:28" x14ac:dyDescent="0.25">
      <c r="A2231" t="s">
        <v>4254</v>
      </c>
      <c r="B2231" s="20">
        <v>45427</v>
      </c>
      <c r="C2231" t="s">
        <v>3684</v>
      </c>
      <c r="D2231" t="s">
        <v>554</v>
      </c>
      <c r="E2231" t="s">
        <v>87</v>
      </c>
      <c r="F2231" t="s">
        <v>335</v>
      </c>
      <c r="G2231">
        <v>3</v>
      </c>
      <c r="H2231" s="21">
        <v>896.19</v>
      </c>
      <c r="I2231">
        <v>30</v>
      </c>
      <c r="J2231" s="21">
        <v>806.57</v>
      </c>
      <c r="K2231">
        <v>5</v>
      </c>
      <c r="L2231" s="21">
        <v>94.1</v>
      </c>
      <c r="M2231" s="21">
        <v>1976.1</v>
      </c>
      <c r="N2231" s="21">
        <v>1941.9</v>
      </c>
      <c r="O2231" s="21">
        <v>-59.9</v>
      </c>
      <c r="P2231" t="s">
        <v>123</v>
      </c>
      <c r="Q2231" t="s">
        <v>120</v>
      </c>
      <c r="R2231" t="s">
        <v>151</v>
      </c>
      <c r="S2231" t="s">
        <v>562</v>
      </c>
      <c r="T2231" t="s">
        <v>153</v>
      </c>
      <c r="U2231" t="s">
        <v>184</v>
      </c>
      <c r="V2231" t="str">
        <f>IFERROR(INDEX(Products!$C:$C,MATCH(D2231,Products!$A:$A,0)),"Unknown")</f>
        <v>Women Kurtis</v>
      </c>
      <c r="W2231" t="str">
        <f>IFERROR(INDEX(Products!$E:$E,MATCH(D2231,Products!$A:$A,0)),"Unknown")</f>
        <v>Fossil</v>
      </c>
      <c r="X2231" t="str">
        <f>IFERROR(INDEX(Stores!$B:$B,MATCH(E2231,Stores!$A:$A,0)),"Unknown")</f>
        <v>TrendMart Thiruvananthapuram Standard</v>
      </c>
      <c r="Y2231" t="str">
        <f>IFERROR(INDEX(Stores!$E:$E,MATCH(E2231,Stores!$A:$A,0)),"Unknown")</f>
        <v>South Zone 1</v>
      </c>
      <c r="Z2231" t="str">
        <f>IFERROR(INDEX(Customers!$J:$J,MATCH(C2231,Customers!$A:$A,0)),"Unknown")</f>
        <v>Regular</v>
      </c>
      <c r="AA2231" t="str">
        <f t="shared" si="34"/>
        <v>2024-05</v>
      </c>
      <c r="AB2231" t="str">
        <f>IFERROR(INDEX(Products!$I:$I,MATCH(D2231,Products!$A:$A,0)),"Unknown")</f>
        <v>SUP018</v>
      </c>
    </row>
    <row r="2232" spans="1:28" x14ac:dyDescent="0.25">
      <c r="A2232" t="s">
        <v>4255</v>
      </c>
      <c r="B2232" s="20">
        <v>45567</v>
      </c>
      <c r="C2232" t="s">
        <v>3009</v>
      </c>
      <c r="D2232" t="s">
        <v>931</v>
      </c>
      <c r="E2232" t="s">
        <v>848</v>
      </c>
      <c r="F2232" t="s">
        <v>275</v>
      </c>
      <c r="G2232">
        <v>1</v>
      </c>
      <c r="H2232" s="21">
        <v>1540.77</v>
      </c>
      <c r="I2232">
        <v>10</v>
      </c>
      <c r="J2232" s="21">
        <v>154.08000000000001</v>
      </c>
      <c r="K2232">
        <v>12</v>
      </c>
      <c r="L2232" s="21">
        <v>166.4</v>
      </c>
      <c r="M2232" s="21">
        <v>1553.09</v>
      </c>
      <c r="N2232" s="21">
        <v>1020.9</v>
      </c>
      <c r="O2232" s="21">
        <v>365.79</v>
      </c>
      <c r="P2232" t="s">
        <v>123</v>
      </c>
      <c r="Q2232" t="s">
        <v>120</v>
      </c>
      <c r="R2232" t="s">
        <v>151</v>
      </c>
      <c r="S2232" t="s">
        <v>3961</v>
      </c>
      <c r="T2232" t="s">
        <v>153</v>
      </c>
      <c r="U2232" t="s">
        <v>154</v>
      </c>
      <c r="V2232" t="str">
        <f>IFERROR(INDEX(Products!$C:$C,MATCH(D2232,Products!$A:$A,0)),"Unknown")</f>
        <v>Women Sarees</v>
      </c>
      <c r="W2232" t="str">
        <f>IFERROR(INDEX(Products!$E:$E,MATCH(D2232,Products!$A:$A,0)),"Unknown")</f>
        <v>Jack &amp; Jones</v>
      </c>
      <c r="X2232" t="str">
        <f>IFERROR(INDEX(Stores!$B:$B,MATCH(E2232,Stores!$A:$A,0)),"Unknown")</f>
        <v>TrendMart Shivamogga Standard</v>
      </c>
      <c r="Y2232" t="str">
        <f>IFERROR(INDEX(Stores!$E:$E,MATCH(E2232,Stores!$A:$A,0)),"Unknown")</f>
        <v>South Zone 2</v>
      </c>
      <c r="Z2232" t="str">
        <f>IFERROR(INDEX(Customers!$J:$J,MATCH(C2232,Customers!$A:$A,0)),"Unknown")</f>
        <v>Regular</v>
      </c>
      <c r="AA2232" t="str">
        <f t="shared" si="34"/>
        <v>2024-10</v>
      </c>
      <c r="AB2232" t="str">
        <f>IFERROR(INDEX(Products!$I:$I,MATCH(D2232,Products!$A:$A,0)),"Unknown")</f>
        <v>SUP058</v>
      </c>
    </row>
    <row r="2233" spans="1:28" x14ac:dyDescent="0.25">
      <c r="A2233" t="s">
        <v>4256</v>
      </c>
      <c r="B2233" s="20">
        <v>45661</v>
      </c>
      <c r="C2233" t="s">
        <v>3547</v>
      </c>
      <c r="D2233" t="s">
        <v>290</v>
      </c>
      <c r="E2233" t="s">
        <v>391</v>
      </c>
      <c r="F2233" t="s">
        <v>275</v>
      </c>
      <c r="G2233">
        <v>3</v>
      </c>
      <c r="H2233" s="21">
        <v>6727.5</v>
      </c>
      <c r="I2233">
        <v>5</v>
      </c>
      <c r="J2233" s="21">
        <v>1009.12</v>
      </c>
      <c r="K2233">
        <v>3</v>
      </c>
      <c r="L2233" s="21">
        <v>575.20000000000005</v>
      </c>
      <c r="M2233" s="21">
        <v>19748.580000000002</v>
      </c>
      <c r="N2233" s="21">
        <v>14145.3</v>
      </c>
      <c r="O2233" s="21">
        <v>5028.08</v>
      </c>
      <c r="P2233" t="s">
        <v>123</v>
      </c>
      <c r="Q2233" t="s">
        <v>120</v>
      </c>
      <c r="R2233" t="s">
        <v>151</v>
      </c>
      <c r="S2233" t="s">
        <v>398</v>
      </c>
      <c r="T2233" t="s">
        <v>161</v>
      </c>
      <c r="U2233" t="s">
        <v>154</v>
      </c>
      <c r="V2233" t="str">
        <f>IFERROR(INDEX(Products!$C:$C,MATCH(D2233,Products!$A:$A,0)),"Unknown")</f>
        <v>Jewellery</v>
      </c>
      <c r="W2233" t="str">
        <f>IFERROR(INDEX(Products!$E:$E,MATCH(D2233,Products!$A:$A,0)),"Unknown")</f>
        <v>Nike</v>
      </c>
      <c r="X2233" t="str">
        <f>IFERROR(INDEX(Stores!$B:$B,MATCH(E2233,Stores!$A:$A,0)),"Unknown")</f>
        <v>TrendMart Warangal High Street</v>
      </c>
      <c r="Y2233" t="str">
        <f>IFERROR(INDEX(Stores!$E:$E,MATCH(E2233,Stores!$A:$A,0)),"Unknown")</f>
        <v>South Zone 2</v>
      </c>
      <c r="Z2233" t="str">
        <f>IFERROR(INDEX(Customers!$J:$J,MATCH(C2233,Customers!$A:$A,0)),"Unknown")</f>
        <v>Regular</v>
      </c>
      <c r="AA2233" t="str">
        <f t="shared" si="34"/>
        <v>2025-01</v>
      </c>
      <c r="AB2233" t="str">
        <f>IFERROR(INDEX(Products!$I:$I,MATCH(D2233,Products!$A:$A,0)),"Unknown")</f>
        <v>SUP041</v>
      </c>
    </row>
    <row r="2234" spans="1:28" x14ac:dyDescent="0.25">
      <c r="A2234" t="s">
        <v>4257</v>
      </c>
      <c r="B2234" s="20">
        <v>45566</v>
      </c>
      <c r="C2234" t="s">
        <v>2451</v>
      </c>
      <c r="D2234" t="s">
        <v>236</v>
      </c>
      <c r="E2234" t="s">
        <v>318</v>
      </c>
      <c r="F2234" t="s">
        <v>211</v>
      </c>
      <c r="G2234">
        <v>2</v>
      </c>
      <c r="H2234" s="21">
        <v>777.78</v>
      </c>
      <c r="I2234">
        <v>0</v>
      </c>
      <c r="J2234" s="21">
        <v>0</v>
      </c>
      <c r="K2234">
        <v>5</v>
      </c>
      <c r="L2234" s="21">
        <v>77.78</v>
      </c>
      <c r="M2234" s="21">
        <v>1633.34</v>
      </c>
      <c r="N2234" s="21">
        <v>1100.02</v>
      </c>
      <c r="O2234" s="21">
        <v>455.54</v>
      </c>
      <c r="P2234" t="s">
        <v>125</v>
      </c>
      <c r="Q2234" t="s">
        <v>120</v>
      </c>
      <c r="R2234" t="s">
        <v>151</v>
      </c>
      <c r="S2234" t="s">
        <v>2097</v>
      </c>
      <c r="T2234" t="s">
        <v>153</v>
      </c>
      <c r="U2234" t="s">
        <v>154</v>
      </c>
      <c r="V2234" t="str">
        <f>IFERROR(INDEX(Products!$C:$C,MATCH(D2234,Products!$A:$A,0)),"Unknown")</f>
        <v>Women Tops</v>
      </c>
      <c r="W2234" t="str">
        <f>IFERROR(INDEX(Products!$E:$E,MATCH(D2234,Products!$A:$A,0)),"Unknown")</f>
        <v>Nike</v>
      </c>
      <c r="X2234" t="str">
        <f>IFERROR(INDEX(Stores!$B:$B,MATCH(E2234,Stores!$A:$A,0)),"Unknown")</f>
        <v>TrendMart Guntur Outlet</v>
      </c>
      <c r="Y2234" t="str">
        <f>IFERROR(INDEX(Stores!$E:$E,MATCH(E2234,Stores!$A:$A,0)),"Unknown")</f>
        <v>South Zone 3</v>
      </c>
      <c r="Z2234" t="str">
        <f>IFERROR(INDEX(Customers!$J:$J,MATCH(C2234,Customers!$A:$A,0)),"Unknown")</f>
        <v>Silver</v>
      </c>
      <c r="AA2234" t="str">
        <f t="shared" si="34"/>
        <v>2024-10</v>
      </c>
      <c r="AB2234" t="str">
        <f>IFERROR(INDEX(Products!$I:$I,MATCH(D2234,Products!$A:$A,0)),"Unknown")</f>
        <v>SUP075</v>
      </c>
    </row>
    <row r="2235" spans="1:28" x14ac:dyDescent="0.25">
      <c r="A2235" t="s">
        <v>4258</v>
      </c>
      <c r="B2235" s="20">
        <v>45540</v>
      </c>
      <c r="C2235" t="s">
        <v>2838</v>
      </c>
      <c r="D2235" t="s">
        <v>1691</v>
      </c>
      <c r="E2235" t="s">
        <v>1512</v>
      </c>
      <c r="F2235" t="s">
        <v>596</v>
      </c>
      <c r="G2235">
        <v>2</v>
      </c>
      <c r="H2235" s="21">
        <v>972.6</v>
      </c>
      <c r="I2235">
        <v>0</v>
      </c>
      <c r="J2235" s="21">
        <v>0</v>
      </c>
      <c r="K2235">
        <v>5</v>
      </c>
      <c r="L2235" s="21">
        <v>97.26</v>
      </c>
      <c r="M2235" s="21">
        <v>2042.46</v>
      </c>
      <c r="N2235" s="21">
        <v>1401.86</v>
      </c>
      <c r="O2235" s="21">
        <v>543.34</v>
      </c>
      <c r="P2235" t="s">
        <v>126</v>
      </c>
      <c r="Q2235" t="s">
        <v>120</v>
      </c>
      <c r="R2235" t="s">
        <v>151</v>
      </c>
      <c r="S2235" t="s">
        <v>3660</v>
      </c>
      <c r="T2235" t="s">
        <v>153</v>
      </c>
      <c r="U2235" t="s">
        <v>154</v>
      </c>
      <c r="V2235" t="str">
        <f>IFERROR(INDEX(Products!$C:$C,MATCH(D2235,Products!$A:$A,0)),"Unknown")</f>
        <v>Women Jeans</v>
      </c>
      <c r="W2235" t="str">
        <f>IFERROR(INDEX(Products!$E:$E,MATCH(D2235,Products!$A:$A,0)),"Unknown")</f>
        <v>Global Desi</v>
      </c>
      <c r="X2235" t="str">
        <f>IFERROR(INDEX(Stores!$B:$B,MATCH(E2235,Stores!$A:$A,0)),"Unknown")</f>
        <v>TrendMart Erode Mall Kiosk</v>
      </c>
      <c r="Y2235" t="str">
        <f>IFERROR(INDEX(Stores!$E:$E,MATCH(E2235,Stores!$A:$A,0)),"Unknown")</f>
        <v>South Zone 1</v>
      </c>
      <c r="Z2235" t="str">
        <f>IFERROR(INDEX(Customers!$J:$J,MATCH(C2235,Customers!$A:$A,0)),"Unknown")</f>
        <v>Regular</v>
      </c>
      <c r="AA2235" t="str">
        <f t="shared" si="34"/>
        <v>2024-09</v>
      </c>
      <c r="AB2235" t="str">
        <f>IFERROR(INDEX(Products!$I:$I,MATCH(D2235,Products!$A:$A,0)),"Unknown")</f>
        <v>SUP015</v>
      </c>
    </row>
    <row r="2236" spans="1:28" x14ac:dyDescent="0.25">
      <c r="A2236" t="s">
        <v>4259</v>
      </c>
      <c r="B2236" s="20">
        <v>45606</v>
      </c>
      <c r="C2236" t="s">
        <v>3932</v>
      </c>
      <c r="D2236" t="s">
        <v>740</v>
      </c>
      <c r="E2236" t="s">
        <v>1187</v>
      </c>
      <c r="F2236" t="s">
        <v>159</v>
      </c>
      <c r="G2236">
        <v>2</v>
      </c>
      <c r="H2236" s="21">
        <v>2619.71</v>
      </c>
      <c r="I2236">
        <v>0</v>
      </c>
      <c r="J2236" s="21">
        <v>0</v>
      </c>
      <c r="K2236">
        <v>12</v>
      </c>
      <c r="L2236" s="21">
        <v>628.73</v>
      </c>
      <c r="M2236" s="21">
        <v>5868.15</v>
      </c>
      <c r="N2236" s="21">
        <v>3102.84</v>
      </c>
      <c r="O2236" s="21">
        <v>2136.58</v>
      </c>
      <c r="P2236" t="s">
        <v>123</v>
      </c>
      <c r="Q2236" t="s">
        <v>120</v>
      </c>
      <c r="R2236" t="s">
        <v>151</v>
      </c>
      <c r="S2236" t="s">
        <v>619</v>
      </c>
      <c r="T2236" t="s">
        <v>161</v>
      </c>
      <c r="U2236" t="s">
        <v>154</v>
      </c>
      <c r="V2236" t="str">
        <f>IFERROR(INDEX(Products!$C:$C,MATCH(D2236,Products!$A:$A,0)),"Unknown")</f>
        <v>Men Ethnic</v>
      </c>
      <c r="W2236" t="str">
        <f>IFERROR(INDEX(Products!$E:$E,MATCH(D2236,Products!$A:$A,0)),"Unknown")</f>
        <v>Max Fashion</v>
      </c>
      <c r="X2236" t="str">
        <f>IFERROR(INDEX(Stores!$B:$B,MATCH(E2236,Stores!$A:$A,0)),"Unknown")</f>
        <v>TrendMart Vijayawada Mall Kiosk</v>
      </c>
      <c r="Y2236" t="str">
        <f>IFERROR(INDEX(Stores!$E:$E,MATCH(E2236,Stores!$A:$A,0)),"Unknown")</f>
        <v>South Zone 3</v>
      </c>
      <c r="Z2236" t="str">
        <f>IFERROR(INDEX(Customers!$J:$J,MATCH(C2236,Customers!$A:$A,0)),"Unknown")</f>
        <v>Platinum</v>
      </c>
      <c r="AA2236" t="str">
        <f t="shared" si="34"/>
        <v>2024-11</v>
      </c>
      <c r="AB2236" t="str">
        <f>IFERROR(INDEX(Products!$I:$I,MATCH(D2236,Products!$A:$A,0)),"Unknown")</f>
        <v>SUP001</v>
      </c>
    </row>
    <row r="2237" spans="1:28" x14ac:dyDescent="0.25">
      <c r="A2237" t="s">
        <v>4260</v>
      </c>
      <c r="B2237" s="20">
        <v>45558</v>
      </c>
      <c r="C2237" t="s">
        <v>791</v>
      </c>
      <c r="D2237" t="s">
        <v>996</v>
      </c>
      <c r="E2237" t="s">
        <v>1141</v>
      </c>
      <c r="F2237" t="s">
        <v>165</v>
      </c>
      <c r="G2237">
        <v>2</v>
      </c>
      <c r="H2237" s="21">
        <v>1979.66</v>
      </c>
      <c r="I2237">
        <v>0</v>
      </c>
      <c r="J2237" s="21">
        <v>0</v>
      </c>
      <c r="K2237">
        <v>12</v>
      </c>
      <c r="L2237" s="21">
        <v>475.12</v>
      </c>
      <c r="M2237" s="21">
        <v>4434.4399999999996</v>
      </c>
      <c r="N2237" s="21">
        <v>2861.14</v>
      </c>
      <c r="O2237" s="21">
        <v>1098.18</v>
      </c>
      <c r="P2237" t="s">
        <v>125</v>
      </c>
      <c r="Q2237" t="s">
        <v>120</v>
      </c>
      <c r="R2237" t="s">
        <v>151</v>
      </c>
      <c r="S2237" t="s">
        <v>417</v>
      </c>
      <c r="T2237" t="s">
        <v>153</v>
      </c>
      <c r="U2237" t="s">
        <v>154</v>
      </c>
      <c r="V2237" t="str">
        <f>IFERROR(INDEX(Products!$C:$C,MATCH(D2237,Products!$A:$A,0)),"Unknown")</f>
        <v>Men Ethnic</v>
      </c>
      <c r="W2237" t="str">
        <f>IFERROR(INDEX(Products!$E:$E,MATCH(D2237,Products!$A:$A,0)),"Unknown")</f>
        <v>Liberty</v>
      </c>
      <c r="X2237" t="str">
        <f>IFERROR(INDEX(Stores!$B:$B,MATCH(E2237,Stores!$A:$A,0)),"Unknown")</f>
        <v>TrendMart Kochi Standard</v>
      </c>
      <c r="Y2237" t="str">
        <f>IFERROR(INDEX(Stores!$E:$E,MATCH(E2237,Stores!$A:$A,0)),"Unknown")</f>
        <v>South Zone 1</v>
      </c>
      <c r="Z2237" t="str">
        <f>IFERROR(INDEX(Customers!$J:$J,MATCH(C2237,Customers!$A:$A,0)),"Unknown")</f>
        <v>Regular</v>
      </c>
      <c r="AA2237" t="str">
        <f t="shared" si="34"/>
        <v>2024-09</v>
      </c>
      <c r="AB2237" t="str">
        <f>IFERROR(INDEX(Products!$I:$I,MATCH(D2237,Products!$A:$A,0)),"Unknown")</f>
        <v>SUP046</v>
      </c>
    </row>
    <row r="2238" spans="1:28" x14ac:dyDescent="0.25">
      <c r="A2238" t="s">
        <v>4261</v>
      </c>
      <c r="B2238" s="20">
        <v>45581</v>
      </c>
      <c r="C2238" t="s">
        <v>1277</v>
      </c>
      <c r="D2238" t="s">
        <v>536</v>
      </c>
      <c r="E2238" t="s">
        <v>334</v>
      </c>
      <c r="F2238" t="s">
        <v>579</v>
      </c>
      <c r="G2238">
        <v>1</v>
      </c>
      <c r="H2238" s="21">
        <v>556.6</v>
      </c>
      <c r="I2238">
        <v>0</v>
      </c>
      <c r="J2238" s="21">
        <v>0</v>
      </c>
      <c r="K2238">
        <v>5</v>
      </c>
      <c r="L2238" s="21">
        <v>27.83</v>
      </c>
      <c r="M2238" s="21">
        <v>584.42999999999995</v>
      </c>
      <c r="N2238" s="21">
        <v>357.45</v>
      </c>
      <c r="O2238" s="21">
        <v>199.15</v>
      </c>
      <c r="P2238" t="s">
        <v>121</v>
      </c>
      <c r="Q2238" t="s">
        <v>122</v>
      </c>
      <c r="R2238" t="s">
        <v>151</v>
      </c>
      <c r="S2238" t="s">
        <v>838</v>
      </c>
      <c r="T2238" t="s">
        <v>153</v>
      </c>
      <c r="U2238" t="s">
        <v>154</v>
      </c>
      <c r="V2238" t="str">
        <f>IFERROR(INDEX(Products!$C:$C,MATCH(D2238,Products!$A:$A,0)),"Unknown")</f>
        <v>Wallets</v>
      </c>
      <c r="W2238" t="str">
        <f>IFERROR(INDEX(Products!$E:$E,MATCH(D2238,Products!$A:$A,0)),"Unknown")</f>
        <v>Aurelia</v>
      </c>
      <c r="X2238" t="str">
        <f>IFERROR(INDEX(Stores!$B:$B,MATCH(E2238,Stores!$A:$A,0)),"Unknown")</f>
        <v>TrendMart Madurai High Street</v>
      </c>
      <c r="Y2238" t="str">
        <f>IFERROR(INDEX(Stores!$E:$E,MATCH(E2238,Stores!$A:$A,0)),"Unknown")</f>
        <v>South Zone 1</v>
      </c>
      <c r="Z2238" t="str">
        <f>IFERROR(INDEX(Customers!$J:$J,MATCH(C2238,Customers!$A:$A,0)),"Unknown")</f>
        <v>Regular</v>
      </c>
      <c r="AA2238" t="str">
        <f t="shared" si="34"/>
        <v>2024-10</v>
      </c>
      <c r="AB2238" t="str">
        <f>IFERROR(INDEX(Products!$I:$I,MATCH(D2238,Products!$A:$A,0)),"Unknown")</f>
        <v>SUP084</v>
      </c>
    </row>
    <row r="2239" spans="1:28" x14ac:dyDescent="0.25">
      <c r="A2239" t="s">
        <v>4262</v>
      </c>
      <c r="B2239" s="20">
        <v>45643</v>
      </c>
      <c r="C2239" t="s">
        <v>564</v>
      </c>
      <c r="D2239" t="s">
        <v>285</v>
      </c>
      <c r="E2239" t="s">
        <v>831</v>
      </c>
      <c r="F2239" t="s">
        <v>269</v>
      </c>
      <c r="G2239">
        <v>2</v>
      </c>
      <c r="H2239" s="21">
        <v>710.74</v>
      </c>
      <c r="I2239">
        <v>20</v>
      </c>
      <c r="J2239" s="21">
        <v>284.3</v>
      </c>
      <c r="K2239">
        <v>5</v>
      </c>
      <c r="L2239" s="21">
        <v>56.86</v>
      </c>
      <c r="M2239" s="21">
        <v>1194.04</v>
      </c>
      <c r="N2239" s="21">
        <v>998.62</v>
      </c>
      <c r="O2239" s="21">
        <v>138.56</v>
      </c>
      <c r="P2239" t="s">
        <v>123</v>
      </c>
      <c r="Q2239" t="s">
        <v>120</v>
      </c>
      <c r="R2239" t="s">
        <v>151</v>
      </c>
      <c r="S2239" t="s">
        <v>1439</v>
      </c>
      <c r="T2239" t="s">
        <v>153</v>
      </c>
      <c r="U2239" t="s">
        <v>154</v>
      </c>
      <c r="V2239" t="str">
        <f>IFERROR(INDEX(Products!$C:$C,MATCH(D2239,Products!$A:$A,0)),"Unknown")</f>
        <v>Kids Wear</v>
      </c>
      <c r="W2239" t="str">
        <f>IFERROR(INDEX(Products!$E:$E,MATCH(D2239,Products!$A:$A,0)),"Unknown")</f>
        <v>Global Desi</v>
      </c>
      <c r="X2239" t="str">
        <f>IFERROR(INDEX(Stores!$B:$B,MATCH(E2239,Stores!$A:$A,0)),"Unknown")</f>
        <v>TrendMart Vellore Standard</v>
      </c>
      <c r="Y2239" t="str">
        <f>IFERROR(INDEX(Stores!$E:$E,MATCH(E2239,Stores!$A:$A,0)),"Unknown")</f>
        <v>South Zone 1</v>
      </c>
      <c r="Z2239" t="str">
        <f>IFERROR(INDEX(Customers!$J:$J,MATCH(C2239,Customers!$A:$A,0)),"Unknown")</f>
        <v>Regular</v>
      </c>
      <c r="AA2239" t="str">
        <f t="shared" si="34"/>
        <v>2024-12</v>
      </c>
      <c r="AB2239" t="str">
        <f>IFERROR(INDEX(Products!$I:$I,MATCH(D2239,Products!$A:$A,0)),"Unknown")</f>
        <v>SUP008</v>
      </c>
    </row>
    <row r="2240" spans="1:28" x14ac:dyDescent="0.25">
      <c r="A2240" t="s">
        <v>4263</v>
      </c>
      <c r="B2240" s="20">
        <v>45606</v>
      </c>
      <c r="C2240" t="s">
        <v>2416</v>
      </c>
      <c r="D2240" t="s">
        <v>868</v>
      </c>
      <c r="E2240" t="s">
        <v>630</v>
      </c>
      <c r="F2240" t="s">
        <v>263</v>
      </c>
      <c r="G2240">
        <v>3</v>
      </c>
      <c r="H2240" s="21">
        <v>1508.07</v>
      </c>
      <c r="I2240">
        <v>10</v>
      </c>
      <c r="J2240" s="21">
        <v>452.42</v>
      </c>
      <c r="K2240">
        <v>12</v>
      </c>
      <c r="L2240" s="21">
        <v>488.61</v>
      </c>
      <c r="M2240" s="21">
        <v>4560.3999999999996</v>
      </c>
      <c r="N2240" s="21">
        <v>3047.16</v>
      </c>
      <c r="O2240" s="21">
        <v>1024.6300000000001</v>
      </c>
      <c r="P2240" t="s">
        <v>124</v>
      </c>
      <c r="Q2240" t="s">
        <v>122</v>
      </c>
      <c r="R2240" t="s">
        <v>151</v>
      </c>
      <c r="S2240" t="s">
        <v>2764</v>
      </c>
      <c r="T2240" t="s">
        <v>161</v>
      </c>
      <c r="U2240" t="s">
        <v>154</v>
      </c>
      <c r="V2240" t="str">
        <f>IFERROR(INDEX(Products!$C:$C,MATCH(D2240,Products!$A:$A,0)),"Unknown")</f>
        <v>Winter Wear</v>
      </c>
      <c r="W2240" t="str">
        <f>IFERROR(INDEX(Products!$E:$E,MATCH(D2240,Products!$A:$A,0)),"Unknown")</f>
        <v>Liberty</v>
      </c>
      <c r="X2240" t="str">
        <f>IFERROR(INDEX(Stores!$B:$B,MATCH(E2240,Stores!$A:$A,0)),"Unknown")</f>
        <v>TrendMart Guntur Standard</v>
      </c>
      <c r="Y2240" t="str">
        <f>IFERROR(INDEX(Stores!$E:$E,MATCH(E2240,Stores!$A:$A,0)),"Unknown")</f>
        <v>South Zone 3</v>
      </c>
      <c r="Z2240" t="str">
        <f>IFERROR(INDEX(Customers!$J:$J,MATCH(C2240,Customers!$A:$A,0)),"Unknown")</f>
        <v>Regular</v>
      </c>
      <c r="AA2240" t="str">
        <f t="shared" si="34"/>
        <v>2024-11</v>
      </c>
      <c r="AB2240" t="str">
        <f>IFERROR(INDEX(Products!$I:$I,MATCH(D2240,Products!$A:$A,0)),"Unknown")</f>
        <v>SUP012</v>
      </c>
    </row>
    <row r="2241" spans="1:28" x14ac:dyDescent="0.25">
      <c r="A2241" t="s">
        <v>4264</v>
      </c>
      <c r="B2241" s="20">
        <v>45740</v>
      </c>
      <c r="C2241" t="s">
        <v>1038</v>
      </c>
      <c r="D2241" t="s">
        <v>215</v>
      </c>
      <c r="E2241" t="s">
        <v>541</v>
      </c>
      <c r="F2241" t="s">
        <v>281</v>
      </c>
      <c r="G2241">
        <v>3</v>
      </c>
      <c r="H2241" s="21">
        <v>1121.8800000000001</v>
      </c>
      <c r="I2241">
        <v>10</v>
      </c>
      <c r="J2241" s="21">
        <v>336.56</v>
      </c>
      <c r="K2241">
        <v>12</v>
      </c>
      <c r="L2241" s="21">
        <v>363.49</v>
      </c>
      <c r="M2241" s="21">
        <v>3392.57</v>
      </c>
      <c r="N2241" s="21">
        <v>2485.3200000000002</v>
      </c>
      <c r="O2241" s="21">
        <v>543.76</v>
      </c>
      <c r="P2241" t="s">
        <v>124</v>
      </c>
      <c r="Q2241" t="s">
        <v>120</v>
      </c>
      <c r="R2241" t="s">
        <v>151</v>
      </c>
      <c r="S2241" t="s">
        <v>1730</v>
      </c>
      <c r="T2241" t="s">
        <v>153</v>
      </c>
      <c r="U2241" t="s">
        <v>154</v>
      </c>
      <c r="V2241" t="str">
        <f>IFERROR(INDEX(Products!$C:$C,MATCH(D2241,Products!$A:$A,0)),"Unknown")</f>
        <v>Men Jeans</v>
      </c>
      <c r="W2241" t="str">
        <f>IFERROR(INDEX(Products!$E:$E,MATCH(D2241,Products!$A:$A,0)),"Unknown")</f>
        <v>Metro Shoes</v>
      </c>
      <c r="X2241" t="str">
        <f>IFERROR(INDEX(Stores!$B:$B,MATCH(E2241,Stores!$A:$A,0)),"Unknown")</f>
        <v>TrendMart Kochi Standard</v>
      </c>
      <c r="Y2241" t="str">
        <f>IFERROR(INDEX(Stores!$E:$E,MATCH(E2241,Stores!$A:$A,0)),"Unknown")</f>
        <v>South Zone 1</v>
      </c>
      <c r="Z2241" t="str">
        <f>IFERROR(INDEX(Customers!$J:$J,MATCH(C2241,Customers!$A:$A,0)),"Unknown")</f>
        <v>Regular</v>
      </c>
      <c r="AA2241" t="str">
        <f t="shared" si="34"/>
        <v>2025-03</v>
      </c>
      <c r="AB2241" t="str">
        <f>IFERROR(INDEX(Products!$I:$I,MATCH(D2241,Products!$A:$A,0)),"Unknown")</f>
        <v>SUP022</v>
      </c>
    </row>
    <row r="2242" spans="1:28" x14ac:dyDescent="0.25">
      <c r="A2242" t="s">
        <v>4265</v>
      </c>
      <c r="B2242" s="20">
        <v>45611</v>
      </c>
      <c r="C2242" t="s">
        <v>2797</v>
      </c>
      <c r="D2242" t="s">
        <v>1292</v>
      </c>
      <c r="E2242" t="s">
        <v>97</v>
      </c>
      <c r="F2242" t="s">
        <v>443</v>
      </c>
      <c r="G2242">
        <v>3</v>
      </c>
      <c r="H2242" s="21">
        <v>530.95000000000005</v>
      </c>
      <c r="I2242">
        <v>0</v>
      </c>
      <c r="J2242" s="21">
        <v>0</v>
      </c>
      <c r="K2242">
        <v>5</v>
      </c>
      <c r="L2242" s="21">
        <v>79.64</v>
      </c>
      <c r="M2242" s="21">
        <v>1672.49</v>
      </c>
      <c r="N2242" s="21">
        <v>1046.25</v>
      </c>
      <c r="O2242" s="21">
        <v>546.6</v>
      </c>
      <c r="P2242" t="s">
        <v>123</v>
      </c>
      <c r="Q2242" t="s">
        <v>120</v>
      </c>
      <c r="R2242" t="s">
        <v>151</v>
      </c>
      <c r="S2242" t="s">
        <v>2575</v>
      </c>
      <c r="T2242" t="s">
        <v>153</v>
      </c>
      <c r="U2242" t="s">
        <v>154</v>
      </c>
      <c r="V2242" t="str">
        <f>IFERROR(INDEX(Products!$C:$C,MATCH(D2242,Products!$A:$A,0)),"Unknown")</f>
        <v>Men T-Shirts</v>
      </c>
      <c r="W2242" t="str">
        <f>IFERROR(INDEX(Products!$E:$E,MATCH(D2242,Products!$A:$A,0)),"Unknown")</f>
        <v>Metro Shoes</v>
      </c>
      <c r="X2242" t="str">
        <f>IFERROR(INDEX(Stores!$B:$B,MATCH(E2242,Stores!$A:$A,0)),"Unknown")</f>
        <v>TrendMart Guntur Flagship</v>
      </c>
      <c r="Y2242" t="str">
        <f>IFERROR(INDEX(Stores!$E:$E,MATCH(E2242,Stores!$A:$A,0)),"Unknown")</f>
        <v>South Zone 3</v>
      </c>
      <c r="Z2242" t="str">
        <f>IFERROR(INDEX(Customers!$J:$J,MATCH(C2242,Customers!$A:$A,0)),"Unknown")</f>
        <v>Regular</v>
      </c>
      <c r="AA2242" t="str">
        <f t="shared" ref="AA2242:AA2305" si="35">TEXT(B2242,"YYYY-MM")</f>
        <v>2024-11</v>
      </c>
      <c r="AB2242" t="str">
        <f>IFERROR(INDEX(Products!$I:$I,MATCH(D2242,Products!$A:$A,0)),"Unknown")</f>
        <v>SUP024</v>
      </c>
    </row>
    <row r="2243" spans="1:28" x14ac:dyDescent="0.25">
      <c r="A2243" t="s">
        <v>4266</v>
      </c>
      <c r="B2243" s="20">
        <v>45549</v>
      </c>
      <c r="C2243" t="s">
        <v>1924</v>
      </c>
      <c r="D2243" t="s">
        <v>2353</v>
      </c>
      <c r="E2243" t="s">
        <v>630</v>
      </c>
      <c r="F2243" t="s">
        <v>550</v>
      </c>
      <c r="G2243">
        <v>1</v>
      </c>
      <c r="H2243" s="21">
        <v>830.79</v>
      </c>
      <c r="I2243">
        <v>5</v>
      </c>
      <c r="J2243" s="21">
        <v>41.54</v>
      </c>
      <c r="K2243">
        <v>5</v>
      </c>
      <c r="L2243" s="21">
        <v>39.46</v>
      </c>
      <c r="M2243" s="21">
        <v>828.71</v>
      </c>
      <c r="N2243" s="21">
        <v>504.05</v>
      </c>
      <c r="O2243" s="21">
        <v>285.2</v>
      </c>
      <c r="P2243" t="s">
        <v>125</v>
      </c>
      <c r="Q2243" t="s">
        <v>120</v>
      </c>
      <c r="R2243" t="s">
        <v>151</v>
      </c>
      <c r="S2243" t="s">
        <v>2238</v>
      </c>
      <c r="T2243" t="s">
        <v>161</v>
      </c>
      <c r="U2243" t="s">
        <v>154</v>
      </c>
      <c r="V2243" t="str">
        <f>IFERROR(INDEX(Products!$C:$C,MATCH(D2243,Products!$A:$A,0)),"Unknown")</f>
        <v>Sportswear</v>
      </c>
      <c r="W2243" t="str">
        <f>IFERROR(INDEX(Products!$E:$E,MATCH(D2243,Products!$A:$A,0)),"Unknown")</f>
        <v>Mufti</v>
      </c>
      <c r="X2243" t="str">
        <f>IFERROR(INDEX(Stores!$B:$B,MATCH(E2243,Stores!$A:$A,0)),"Unknown")</f>
        <v>TrendMart Guntur Standard</v>
      </c>
      <c r="Y2243" t="str">
        <f>IFERROR(INDEX(Stores!$E:$E,MATCH(E2243,Stores!$A:$A,0)),"Unknown")</f>
        <v>South Zone 3</v>
      </c>
      <c r="Z2243" t="str">
        <f>IFERROR(INDEX(Customers!$J:$J,MATCH(C2243,Customers!$A:$A,0)),"Unknown")</f>
        <v>Silver</v>
      </c>
      <c r="AA2243" t="str">
        <f t="shared" si="35"/>
        <v>2024-09</v>
      </c>
      <c r="AB2243" t="str">
        <f>IFERROR(INDEX(Products!$I:$I,MATCH(D2243,Products!$A:$A,0)),"Unknown")</f>
        <v>SUP020</v>
      </c>
    </row>
    <row r="2244" spans="1:28" x14ac:dyDescent="0.25">
      <c r="A2244" t="s">
        <v>4267</v>
      </c>
      <c r="B2244" s="20">
        <v>45713</v>
      </c>
      <c r="C2244" t="s">
        <v>2067</v>
      </c>
      <c r="D2244" t="s">
        <v>662</v>
      </c>
      <c r="E2244" t="s">
        <v>387</v>
      </c>
      <c r="F2244" t="s">
        <v>550</v>
      </c>
      <c r="G2244">
        <v>5</v>
      </c>
      <c r="H2244" s="21">
        <v>534.16</v>
      </c>
      <c r="I2244">
        <v>10</v>
      </c>
      <c r="J2244" s="21">
        <v>267.08</v>
      </c>
      <c r="K2244">
        <v>5</v>
      </c>
      <c r="L2244" s="21">
        <v>120.19</v>
      </c>
      <c r="M2244" s="21">
        <v>2523.91</v>
      </c>
      <c r="N2244" s="21">
        <v>1499.3</v>
      </c>
      <c r="O2244" s="21">
        <v>904.42</v>
      </c>
      <c r="P2244" t="s">
        <v>121</v>
      </c>
      <c r="Q2244" t="s">
        <v>120</v>
      </c>
      <c r="R2244" t="s">
        <v>151</v>
      </c>
      <c r="S2244" t="s">
        <v>1205</v>
      </c>
      <c r="T2244" t="s">
        <v>153</v>
      </c>
      <c r="U2244" t="s">
        <v>154</v>
      </c>
      <c r="V2244" t="str">
        <f>IFERROR(INDEX(Products!$C:$C,MATCH(D2244,Products!$A:$A,0)),"Unknown")</f>
        <v>Men T-Shirts</v>
      </c>
      <c r="W2244" t="str">
        <f>IFERROR(INDEX(Products!$E:$E,MATCH(D2244,Products!$A:$A,0)),"Unknown")</f>
        <v>Global Desi</v>
      </c>
      <c r="X2244" t="str">
        <f>IFERROR(INDEX(Stores!$B:$B,MATCH(E2244,Stores!$A:$A,0)),"Unknown")</f>
        <v>TrendMart Kannur Outlet</v>
      </c>
      <c r="Y2244" t="str">
        <f>IFERROR(INDEX(Stores!$E:$E,MATCH(E2244,Stores!$A:$A,0)),"Unknown")</f>
        <v>South Zone 1</v>
      </c>
      <c r="Z2244" t="str">
        <f>IFERROR(INDEX(Customers!$J:$J,MATCH(C2244,Customers!$A:$A,0)),"Unknown")</f>
        <v>Silver</v>
      </c>
      <c r="AA2244" t="str">
        <f t="shared" si="35"/>
        <v>2025-02</v>
      </c>
      <c r="AB2244" t="str">
        <f>IFERROR(INDEX(Products!$I:$I,MATCH(D2244,Products!$A:$A,0)),"Unknown")</f>
        <v>SUP049</v>
      </c>
    </row>
    <row r="2245" spans="1:28" x14ac:dyDescent="0.25">
      <c r="A2245" t="s">
        <v>4268</v>
      </c>
      <c r="B2245" s="20">
        <v>45626</v>
      </c>
      <c r="C2245" t="s">
        <v>1043</v>
      </c>
      <c r="D2245" t="s">
        <v>2633</v>
      </c>
      <c r="E2245" t="s">
        <v>470</v>
      </c>
      <c r="F2245" t="s">
        <v>275</v>
      </c>
      <c r="G2245">
        <v>2</v>
      </c>
      <c r="H2245" s="21">
        <v>1154.93</v>
      </c>
      <c r="I2245">
        <v>25</v>
      </c>
      <c r="J2245" s="21">
        <v>577.47</v>
      </c>
      <c r="K2245">
        <v>12</v>
      </c>
      <c r="L2245" s="21">
        <v>207.89</v>
      </c>
      <c r="M2245" s="21">
        <v>1940.28</v>
      </c>
      <c r="N2245" s="21">
        <v>1348.58</v>
      </c>
      <c r="O2245" s="21">
        <v>383.81</v>
      </c>
      <c r="P2245" t="s">
        <v>121</v>
      </c>
      <c r="Q2245" t="s">
        <v>120</v>
      </c>
      <c r="R2245" t="s">
        <v>151</v>
      </c>
      <c r="S2245" t="s">
        <v>979</v>
      </c>
      <c r="T2245" t="s">
        <v>161</v>
      </c>
      <c r="U2245" t="s">
        <v>154</v>
      </c>
      <c r="V2245" t="str">
        <f>IFERROR(INDEX(Products!$C:$C,MATCH(D2245,Products!$A:$A,0)),"Unknown")</f>
        <v>Men Trousers</v>
      </c>
      <c r="W2245" t="str">
        <f>IFERROR(INDEX(Products!$E:$E,MATCH(D2245,Products!$A:$A,0)),"Unknown")</f>
        <v>Aurelia</v>
      </c>
      <c r="X2245" t="str">
        <f>IFERROR(INDEX(Stores!$B:$B,MATCH(E2245,Stores!$A:$A,0)),"Unknown")</f>
        <v>TrendMart Thiruvananthapuram High Street</v>
      </c>
      <c r="Y2245" t="str">
        <f>IFERROR(INDEX(Stores!$E:$E,MATCH(E2245,Stores!$A:$A,0)),"Unknown")</f>
        <v>South Zone 1</v>
      </c>
      <c r="Z2245" t="str">
        <f>IFERROR(INDEX(Customers!$J:$J,MATCH(C2245,Customers!$A:$A,0)),"Unknown")</f>
        <v>Silver</v>
      </c>
      <c r="AA2245" t="str">
        <f t="shared" si="35"/>
        <v>2024-11</v>
      </c>
      <c r="AB2245" t="str">
        <f>IFERROR(INDEX(Products!$I:$I,MATCH(D2245,Products!$A:$A,0)),"Unknown")</f>
        <v>SUP031</v>
      </c>
    </row>
    <row r="2246" spans="1:28" x14ac:dyDescent="0.25">
      <c r="A2246" t="s">
        <v>4269</v>
      </c>
      <c r="B2246" s="20">
        <v>45439</v>
      </c>
      <c r="C2246" t="s">
        <v>922</v>
      </c>
      <c r="D2246" t="s">
        <v>993</v>
      </c>
      <c r="E2246" t="s">
        <v>634</v>
      </c>
      <c r="F2246" t="s">
        <v>201</v>
      </c>
      <c r="G2246">
        <v>1</v>
      </c>
      <c r="H2246" s="21">
        <v>1042.5899999999999</v>
      </c>
      <c r="I2246">
        <v>25</v>
      </c>
      <c r="J2246" s="21">
        <v>260.64999999999998</v>
      </c>
      <c r="K2246">
        <v>12</v>
      </c>
      <c r="L2246" s="21">
        <v>93.83</v>
      </c>
      <c r="M2246" s="21">
        <v>875.77</v>
      </c>
      <c r="N2246" s="21">
        <v>721.29</v>
      </c>
      <c r="O2246" s="21">
        <v>60.65</v>
      </c>
      <c r="P2246" t="s">
        <v>125</v>
      </c>
      <c r="Q2246" t="s">
        <v>120</v>
      </c>
      <c r="R2246" t="s">
        <v>151</v>
      </c>
      <c r="S2246" t="s">
        <v>1031</v>
      </c>
      <c r="T2246" t="s">
        <v>153</v>
      </c>
      <c r="U2246" t="s">
        <v>154</v>
      </c>
      <c r="V2246" t="str">
        <f>IFERROR(INDEX(Products!$C:$C,MATCH(D2246,Products!$A:$A,0)),"Unknown")</f>
        <v>Men Jeans</v>
      </c>
      <c r="W2246" t="str">
        <f>IFERROR(INDEX(Products!$E:$E,MATCH(D2246,Products!$A:$A,0)),"Unknown")</f>
        <v>Louis Philippe</v>
      </c>
      <c r="X2246" t="str">
        <f>IFERROR(INDEX(Stores!$B:$B,MATCH(E2246,Stores!$A:$A,0)),"Unknown")</f>
        <v>TrendMart Thrissur High Street</v>
      </c>
      <c r="Y2246" t="str">
        <f>IFERROR(INDEX(Stores!$E:$E,MATCH(E2246,Stores!$A:$A,0)),"Unknown")</f>
        <v>South Zone 1</v>
      </c>
      <c r="Z2246" t="str">
        <f>IFERROR(INDEX(Customers!$J:$J,MATCH(C2246,Customers!$A:$A,0)),"Unknown")</f>
        <v>Regular</v>
      </c>
      <c r="AA2246" t="str">
        <f t="shared" si="35"/>
        <v>2024-05</v>
      </c>
      <c r="AB2246" t="str">
        <f>IFERROR(INDEX(Products!$I:$I,MATCH(D2246,Products!$A:$A,0)),"Unknown")</f>
        <v>SUP088</v>
      </c>
    </row>
    <row r="2247" spans="1:28" x14ac:dyDescent="0.25">
      <c r="A2247" t="s">
        <v>4270</v>
      </c>
      <c r="B2247" s="20">
        <v>45406</v>
      </c>
      <c r="C2247" t="s">
        <v>794</v>
      </c>
      <c r="D2247" t="s">
        <v>510</v>
      </c>
      <c r="E2247" t="s">
        <v>927</v>
      </c>
      <c r="F2247" t="s">
        <v>308</v>
      </c>
      <c r="G2247">
        <v>2</v>
      </c>
      <c r="H2247" s="21">
        <v>1198.8</v>
      </c>
      <c r="I2247">
        <v>10</v>
      </c>
      <c r="J2247" s="21">
        <v>239.76</v>
      </c>
      <c r="K2247">
        <v>12</v>
      </c>
      <c r="L2247" s="21">
        <v>258.94</v>
      </c>
      <c r="M2247" s="21">
        <v>2416.7800000000002</v>
      </c>
      <c r="N2247" s="21">
        <v>1829.44</v>
      </c>
      <c r="O2247" s="21">
        <v>328.4</v>
      </c>
      <c r="P2247" t="s">
        <v>123</v>
      </c>
      <c r="Q2247" t="s">
        <v>120</v>
      </c>
      <c r="R2247" t="s">
        <v>151</v>
      </c>
      <c r="S2247" t="s">
        <v>1762</v>
      </c>
      <c r="T2247" t="s">
        <v>153</v>
      </c>
      <c r="U2247" t="s">
        <v>154</v>
      </c>
      <c r="V2247" t="str">
        <f>IFERROR(INDEX(Products!$C:$C,MATCH(D2247,Products!$A:$A,0)),"Unknown")</f>
        <v>Sportswear</v>
      </c>
      <c r="W2247" t="str">
        <f>IFERROR(INDEX(Products!$E:$E,MATCH(D2247,Products!$A:$A,0)),"Unknown")</f>
        <v>Liberty</v>
      </c>
      <c r="X2247" t="str">
        <f>IFERROR(INDEX(Stores!$B:$B,MATCH(E2247,Stores!$A:$A,0)),"Unknown")</f>
        <v>TrendMart Kochi Mall Kiosk</v>
      </c>
      <c r="Y2247" t="str">
        <f>IFERROR(INDEX(Stores!$E:$E,MATCH(E2247,Stores!$A:$A,0)),"Unknown")</f>
        <v>South Zone 1</v>
      </c>
      <c r="Z2247" t="str">
        <f>IFERROR(INDEX(Customers!$J:$J,MATCH(C2247,Customers!$A:$A,0)),"Unknown")</f>
        <v>Regular</v>
      </c>
      <c r="AA2247" t="str">
        <f t="shared" si="35"/>
        <v>2024-04</v>
      </c>
      <c r="AB2247" t="str">
        <f>IFERROR(INDEX(Products!$I:$I,MATCH(D2247,Products!$A:$A,0)),"Unknown")</f>
        <v>SUP010</v>
      </c>
    </row>
    <row r="2248" spans="1:28" x14ac:dyDescent="0.25">
      <c r="A2248" t="s">
        <v>4271</v>
      </c>
      <c r="B2248" s="20">
        <v>45500</v>
      </c>
      <c r="C2248" t="s">
        <v>1844</v>
      </c>
      <c r="D2248" t="s">
        <v>494</v>
      </c>
      <c r="E2248" t="s">
        <v>396</v>
      </c>
      <c r="F2248" t="s">
        <v>532</v>
      </c>
      <c r="G2248">
        <v>2</v>
      </c>
      <c r="H2248" s="21">
        <v>1817.01</v>
      </c>
      <c r="I2248">
        <v>30</v>
      </c>
      <c r="J2248" s="21">
        <v>1090.21</v>
      </c>
      <c r="K2248">
        <v>12</v>
      </c>
      <c r="L2248" s="21">
        <v>305.26</v>
      </c>
      <c r="M2248" s="21">
        <v>2849.07</v>
      </c>
      <c r="N2248" s="21">
        <v>2281.8000000000002</v>
      </c>
      <c r="O2248" s="21">
        <v>262.01</v>
      </c>
      <c r="P2248" t="s">
        <v>123</v>
      </c>
      <c r="Q2248" t="s">
        <v>122</v>
      </c>
      <c r="R2248" t="s">
        <v>151</v>
      </c>
      <c r="S2248" t="s">
        <v>1762</v>
      </c>
      <c r="T2248" t="s">
        <v>161</v>
      </c>
      <c r="U2248" t="s">
        <v>154</v>
      </c>
      <c r="V2248" t="str">
        <f>IFERROR(INDEX(Products!$C:$C,MATCH(D2248,Products!$A:$A,0)),"Unknown")</f>
        <v>Women Dresses</v>
      </c>
      <c r="W2248" t="str">
        <f>IFERROR(INDEX(Products!$E:$E,MATCH(D2248,Products!$A:$A,0)),"Unknown")</f>
        <v>Reebok</v>
      </c>
      <c r="X2248" t="str">
        <f>IFERROR(INDEX(Stores!$B:$B,MATCH(E2248,Stores!$A:$A,0)),"Unknown")</f>
        <v>TrendMart Davanagere High Street</v>
      </c>
      <c r="Y2248" t="str">
        <f>IFERROR(INDEX(Stores!$E:$E,MATCH(E2248,Stores!$A:$A,0)),"Unknown")</f>
        <v>South Zone 2</v>
      </c>
      <c r="Z2248" t="str">
        <f>IFERROR(INDEX(Customers!$J:$J,MATCH(C2248,Customers!$A:$A,0)),"Unknown")</f>
        <v>Regular</v>
      </c>
      <c r="AA2248" t="str">
        <f t="shared" si="35"/>
        <v>2024-07</v>
      </c>
      <c r="AB2248" t="str">
        <f>IFERROR(INDEX(Products!$I:$I,MATCH(D2248,Products!$A:$A,0)),"Unknown")</f>
        <v>SUP085</v>
      </c>
    </row>
    <row r="2249" spans="1:28" x14ac:dyDescent="0.25">
      <c r="A2249" t="s">
        <v>4272</v>
      </c>
      <c r="B2249" s="20">
        <v>45633</v>
      </c>
      <c r="C2249" t="s">
        <v>3423</v>
      </c>
      <c r="D2249" t="s">
        <v>210</v>
      </c>
      <c r="E2249" t="s">
        <v>93</v>
      </c>
      <c r="F2249" t="s">
        <v>574</v>
      </c>
      <c r="G2249">
        <v>1</v>
      </c>
      <c r="H2249" s="21">
        <v>1772.53</v>
      </c>
      <c r="I2249">
        <v>20</v>
      </c>
      <c r="J2249" s="21">
        <v>354.51</v>
      </c>
      <c r="K2249">
        <v>12</v>
      </c>
      <c r="L2249" s="21">
        <v>170.16</v>
      </c>
      <c r="M2249" s="21">
        <v>1588.18</v>
      </c>
      <c r="N2249" s="21">
        <v>1399.85</v>
      </c>
      <c r="O2249" s="21">
        <v>18.170000000000002</v>
      </c>
      <c r="P2249" t="s">
        <v>121</v>
      </c>
      <c r="Q2249" t="s">
        <v>122</v>
      </c>
      <c r="R2249" t="s">
        <v>151</v>
      </c>
      <c r="S2249" t="s">
        <v>3048</v>
      </c>
      <c r="T2249" t="s">
        <v>161</v>
      </c>
      <c r="U2249" t="s">
        <v>154</v>
      </c>
      <c r="V2249" t="str">
        <f>IFERROR(INDEX(Products!$C:$C,MATCH(D2249,Products!$A:$A,0)),"Unknown")</f>
        <v>Women Dresses</v>
      </c>
      <c r="W2249" t="str">
        <f>IFERROR(INDEX(Products!$E:$E,MATCH(D2249,Products!$A:$A,0)),"Unknown")</f>
        <v>Nike</v>
      </c>
      <c r="X2249" t="str">
        <f>IFERROR(INDEX(Stores!$B:$B,MATCH(E2249,Stores!$A:$A,0)),"Unknown")</f>
        <v>TrendMart Thiruvananthapuram High Street</v>
      </c>
      <c r="Y2249" t="str">
        <f>IFERROR(INDEX(Stores!$E:$E,MATCH(E2249,Stores!$A:$A,0)),"Unknown")</f>
        <v>South Zone 1</v>
      </c>
      <c r="Z2249" t="str">
        <f>IFERROR(INDEX(Customers!$J:$J,MATCH(C2249,Customers!$A:$A,0)),"Unknown")</f>
        <v>Silver</v>
      </c>
      <c r="AA2249" t="str">
        <f t="shared" si="35"/>
        <v>2024-12</v>
      </c>
      <c r="AB2249" t="str">
        <f>IFERROR(INDEX(Products!$I:$I,MATCH(D2249,Products!$A:$A,0)),"Unknown")</f>
        <v>SUP073</v>
      </c>
    </row>
    <row r="2250" spans="1:28" x14ac:dyDescent="0.25">
      <c r="A2250" t="s">
        <v>4273</v>
      </c>
      <c r="B2250" s="20">
        <v>45415</v>
      </c>
      <c r="C2250" t="s">
        <v>4106</v>
      </c>
      <c r="D2250" t="s">
        <v>531</v>
      </c>
      <c r="E2250" t="s">
        <v>442</v>
      </c>
      <c r="F2250" t="s">
        <v>258</v>
      </c>
      <c r="G2250">
        <v>3</v>
      </c>
      <c r="H2250" s="21">
        <v>3167.17</v>
      </c>
      <c r="I2250">
        <v>5</v>
      </c>
      <c r="J2250" s="21">
        <v>475.08</v>
      </c>
      <c r="K2250">
        <v>12</v>
      </c>
      <c r="L2250" s="21">
        <v>1083.17</v>
      </c>
      <c r="M2250" s="21">
        <v>10109.6</v>
      </c>
      <c r="N2250" s="21">
        <v>6102.03</v>
      </c>
      <c r="O2250" s="21">
        <v>2924.4</v>
      </c>
      <c r="P2250" t="s">
        <v>123</v>
      </c>
      <c r="Q2250" t="s">
        <v>122</v>
      </c>
      <c r="R2250" t="s">
        <v>313</v>
      </c>
      <c r="S2250" t="s">
        <v>1153</v>
      </c>
      <c r="T2250" t="s">
        <v>153</v>
      </c>
      <c r="U2250" t="s">
        <v>154</v>
      </c>
      <c r="V2250" t="str">
        <f>IFERROR(INDEX(Products!$C:$C,MATCH(D2250,Products!$A:$A,0)),"Unknown")</f>
        <v>Handbags</v>
      </c>
      <c r="W2250" t="str">
        <f>IFERROR(INDEX(Products!$E:$E,MATCH(D2250,Products!$A:$A,0)),"Unknown")</f>
        <v>GRT Jewellers</v>
      </c>
      <c r="X2250" t="str">
        <f>IFERROR(INDEX(Stores!$B:$B,MATCH(E2250,Stores!$A:$A,0)),"Unknown")</f>
        <v>TrendMart Bengaluru Standard</v>
      </c>
      <c r="Y2250" t="str">
        <f>IFERROR(INDEX(Stores!$E:$E,MATCH(E2250,Stores!$A:$A,0)),"Unknown")</f>
        <v>South Zone 2</v>
      </c>
      <c r="Z2250" t="str">
        <f>IFERROR(INDEX(Customers!$J:$J,MATCH(C2250,Customers!$A:$A,0)),"Unknown")</f>
        <v>Regular</v>
      </c>
      <c r="AA2250" t="str">
        <f t="shared" si="35"/>
        <v>2024-05</v>
      </c>
      <c r="AB2250" t="str">
        <f>IFERROR(INDEX(Products!$I:$I,MATCH(D2250,Products!$A:$A,0)),"Unknown")</f>
        <v>SUP047</v>
      </c>
    </row>
    <row r="2251" spans="1:28" x14ac:dyDescent="0.25">
      <c r="A2251" t="s">
        <v>4274</v>
      </c>
      <c r="B2251" s="20">
        <v>45588</v>
      </c>
      <c r="C2251" t="s">
        <v>2820</v>
      </c>
      <c r="D2251" t="s">
        <v>931</v>
      </c>
      <c r="E2251" t="s">
        <v>906</v>
      </c>
      <c r="F2251" t="s">
        <v>195</v>
      </c>
      <c r="G2251">
        <v>1</v>
      </c>
      <c r="H2251" s="21">
        <v>1418.2</v>
      </c>
      <c r="I2251">
        <v>0</v>
      </c>
      <c r="J2251" s="21">
        <v>0</v>
      </c>
      <c r="K2251">
        <v>12</v>
      </c>
      <c r="L2251" s="21">
        <v>170.18</v>
      </c>
      <c r="M2251" s="21">
        <v>1588.38</v>
      </c>
      <c r="N2251" s="21">
        <v>1020.9</v>
      </c>
      <c r="O2251" s="21">
        <v>397.3</v>
      </c>
      <c r="P2251" t="s">
        <v>121</v>
      </c>
      <c r="Q2251" t="s">
        <v>120</v>
      </c>
      <c r="R2251" t="s">
        <v>151</v>
      </c>
      <c r="S2251" t="s">
        <v>1719</v>
      </c>
      <c r="T2251" t="s">
        <v>153</v>
      </c>
      <c r="U2251" t="s">
        <v>154</v>
      </c>
      <c r="V2251" t="str">
        <f>IFERROR(INDEX(Products!$C:$C,MATCH(D2251,Products!$A:$A,0)),"Unknown")</f>
        <v>Women Sarees</v>
      </c>
      <c r="W2251" t="str">
        <f>IFERROR(INDEX(Products!$E:$E,MATCH(D2251,Products!$A:$A,0)),"Unknown")</f>
        <v>Jack &amp; Jones</v>
      </c>
      <c r="X2251" t="str">
        <f>IFERROR(INDEX(Stores!$B:$B,MATCH(E2251,Stores!$A:$A,0)),"Unknown")</f>
        <v>TrendMart Vijayawada Standard</v>
      </c>
      <c r="Y2251" t="str">
        <f>IFERROR(INDEX(Stores!$E:$E,MATCH(E2251,Stores!$A:$A,0)),"Unknown")</f>
        <v>South Zone 3</v>
      </c>
      <c r="Z2251" t="str">
        <f>IFERROR(INDEX(Customers!$J:$J,MATCH(C2251,Customers!$A:$A,0)),"Unknown")</f>
        <v>Regular</v>
      </c>
      <c r="AA2251" t="str">
        <f t="shared" si="35"/>
        <v>2024-10</v>
      </c>
      <c r="AB2251" t="str">
        <f>IFERROR(INDEX(Products!$I:$I,MATCH(D2251,Products!$A:$A,0)),"Unknown")</f>
        <v>SUP058</v>
      </c>
    </row>
    <row r="2252" spans="1:28" x14ac:dyDescent="0.25">
      <c r="A2252" t="s">
        <v>4275</v>
      </c>
      <c r="B2252" s="20">
        <v>45388</v>
      </c>
      <c r="C2252" t="s">
        <v>1594</v>
      </c>
      <c r="D2252" t="s">
        <v>2006</v>
      </c>
      <c r="E2252" t="s">
        <v>351</v>
      </c>
      <c r="F2252" t="s">
        <v>462</v>
      </c>
      <c r="G2252">
        <v>2</v>
      </c>
      <c r="H2252" s="21">
        <v>1597.13</v>
      </c>
      <c r="I2252">
        <v>0</v>
      </c>
      <c r="J2252" s="21">
        <v>0</v>
      </c>
      <c r="K2252">
        <v>12</v>
      </c>
      <c r="L2252" s="21">
        <v>383.31</v>
      </c>
      <c r="M2252" s="21">
        <v>3577.57</v>
      </c>
      <c r="N2252" s="21">
        <v>2090.38</v>
      </c>
      <c r="O2252" s="21">
        <v>1103.8800000000001</v>
      </c>
      <c r="P2252" t="s">
        <v>121</v>
      </c>
      <c r="Q2252" t="s">
        <v>122</v>
      </c>
      <c r="R2252" t="s">
        <v>151</v>
      </c>
      <c r="S2252" t="s">
        <v>551</v>
      </c>
      <c r="T2252" t="s">
        <v>161</v>
      </c>
      <c r="U2252" t="s">
        <v>154</v>
      </c>
      <c r="V2252" t="str">
        <f>IFERROR(INDEX(Products!$C:$C,MATCH(D2252,Products!$A:$A,0)),"Unknown")</f>
        <v>Winter Wear</v>
      </c>
      <c r="W2252" t="str">
        <f>IFERROR(INDEX(Products!$E:$E,MATCH(D2252,Products!$A:$A,0)),"Unknown")</f>
        <v>Fossil</v>
      </c>
      <c r="X2252" t="str">
        <f>IFERROR(INDEX(Stores!$B:$B,MATCH(E2252,Stores!$A:$A,0)),"Unknown")</f>
        <v>TrendMart Kozhikode High Street</v>
      </c>
      <c r="Y2252" t="str">
        <f>IFERROR(INDEX(Stores!$E:$E,MATCH(E2252,Stores!$A:$A,0)),"Unknown")</f>
        <v>South Zone 1</v>
      </c>
      <c r="Z2252" t="str">
        <f>IFERROR(INDEX(Customers!$J:$J,MATCH(C2252,Customers!$A:$A,0)),"Unknown")</f>
        <v>Regular</v>
      </c>
      <c r="AA2252" t="str">
        <f t="shared" si="35"/>
        <v>2024-04</v>
      </c>
      <c r="AB2252" t="str">
        <f>IFERROR(INDEX(Products!$I:$I,MATCH(D2252,Products!$A:$A,0)),"Unknown")</f>
        <v>SUP075</v>
      </c>
    </row>
    <row r="2253" spans="1:28" x14ac:dyDescent="0.25">
      <c r="A2253" t="s">
        <v>4276</v>
      </c>
      <c r="B2253" s="20">
        <v>45583</v>
      </c>
      <c r="C2253" t="s">
        <v>1613</v>
      </c>
      <c r="D2253" t="s">
        <v>386</v>
      </c>
      <c r="E2253" t="s">
        <v>274</v>
      </c>
      <c r="F2253" t="s">
        <v>281</v>
      </c>
      <c r="G2253">
        <v>2</v>
      </c>
      <c r="H2253" s="21">
        <v>1402.4</v>
      </c>
      <c r="I2253">
        <v>10</v>
      </c>
      <c r="J2253" s="21">
        <v>280.48</v>
      </c>
      <c r="K2253">
        <v>12</v>
      </c>
      <c r="L2253" s="21">
        <v>302.92</v>
      </c>
      <c r="M2253" s="21">
        <v>2827.24</v>
      </c>
      <c r="N2253" s="21">
        <v>2026.52</v>
      </c>
      <c r="O2253" s="21">
        <v>497.8</v>
      </c>
      <c r="P2253" t="s">
        <v>121</v>
      </c>
      <c r="Q2253" t="s">
        <v>122</v>
      </c>
      <c r="R2253" t="s">
        <v>151</v>
      </c>
      <c r="S2253" t="s">
        <v>1669</v>
      </c>
      <c r="T2253" t="s">
        <v>153</v>
      </c>
      <c r="U2253" t="s">
        <v>154</v>
      </c>
      <c r="V2253" t="str">
        <f>IFERROR(INDEX(Products!$C:$C,MATCH(D2253,Products!$A:$A,0)),"Unknown")</f>
        <v>Winter Wear</v>
      </c>
      <c r="W2253" t="str">
        <f>IFERROR(INDEX(Products!$E:$E,MATCH(D2253,Products!$A:$A,0)),"Unknown")</f>
        <v>Blackberrys</v>
      </c>
      <c r="X2253" t="str">
        <f>IFERROR(INDEX(Stores!$B:$B,MATCH(E2253,Stores!$A:$A,0)),"Unknown")</f>
        <v>TrendMart Mangaluru Standard</v>
      </c>
      <c r="Y2253" t="str">
        <f>IFERROR(INDEX(Stores!$E:$E,MATCH(E2253,Stores!$A:$A,0)),"Unknown")</f>
        <v>South Zone 2</v>
      </c>
      <c r="Z2253" t="str">
        <f>IFERROR(INDEX(Customers!$J:$J,MATCH(C2253,Customers!$A:$A,0)),"Unknown")</f>
        <v>Regular</v>
      </c>
      <c r="AA2253" t="str">
        <f t="shared" si="35"/>
        <v>2024-10</v>
      </c>
      <c r="AB2253" t="str">
        <f>IFERROR(INDEX(Products!$I:$I,MATCH(D2253,Products!$A:$A,0)),"Unknown")</f>
        <v>SUP051</v>
      </c>
    </row>
    <row r="2254" spans="1:28" x14ac:dyDescent="0.25">
      <c r="A2254" t="s">
        <v>4277</v>
      </c>
      <c r="B2254" s="20">
        <v>45628</v>
      </c>
      <c r="C2254" t="s">
        <v>179</v>
      </c>
      <c r="D2254" t="s">
        <v>301</v>
      </c>
      <c r="E2254" t="s">
        <v>90</v>
      </c>
      <c r="F2254" t="s">
        <v>182</v>
      </c>
      <c r="G2254">
        <v>2</v>
      </c>
      <c r="H2254" s="21">
        <v>1527.41</v>
      </c>
      <c r="I2254">
        <v>0</v>
      </c>
      <c r="J2254" s="21">
        <v>0</v>
      </c>
      <c r="K2254">
        <v>12</v>
      </c>
      <c r="L2254" s="21">
        <v>366.58</v>
      </c>
      <c r="M2254" s="21">
        <v>3421.4</v>
      </c>
      <c r="N2254" s="21">
        <v>1943.3</v>
      </c>
      <c r="O2254" s="21">
        <v>1111.52</v>
      </c>
      <c r="P2254" t="s">
        <v>123</v>
      </c>
      <c r="Q2254" t="s">
        <v>122</v>
      </c>
      <c r="R2254" t="s">
        <v>151</v>
      </c>
      <c r="S2254" t="s">
        <v>2504</v>
      </c>
      <c r="T2254" t="s">
        <v>153</v>
      </c>
      <c r="U2254" t="s">
        <v>154</v>
      </c>
      <c r="V2254" t="str">
        <f>IFERROR(INDEX(Products!$C:$C,MATCH(D2254,Products!$A:$A,0)),"Unknown")</f>
        <v>Women Jeans</v>
      </c>
      <c r="W2254" t="str">
        <f>IFERROR(INDEX(Products!$E:$E,MATCH(D2254,Products!$A:$A,0)),"Unknown")</f>
        <v>Unknown</v>
      </c>
      <c r="X2254" t="str">
        <f>IFERROR(INDEX(Stores!$B:$B,MATCH(E2254,Stores!$A:$A,0)),"Unknown")</f>
        <v>TrendMart Thoothukudi Mall Kiosk</v>
      </c>
      <c r="Y2254" t="str">
        <f>IFERROR(INDEX(Stores!$E:$E,MATCH(E2254,Stores!$A:$A,0)),"Unknown")</f>
        <v>South Zone 1</v>
      </c>
      <c r="Z2254" t="str">
        <f>IFERROR(INDEX(Customers!$J:$J,MATCH(C2254,Customers!$A:$A,0)),"Unknown")</f>
        <v>Platinum</v>
      </c>
      <c r="AA2254" t="str">
        <f t="shared" si="35"/>
        <v>2024-12</v>
      </c>
      <c r="AB2254" t="str">
        <f>IFERROR(INDEX(Products!$I:$I,MATCH(D2254,Products!$A:$A,0)),"Unknown")</f>
        <v>SUP050</v>
      </c>
    </row>
    <row r="2255" spans="1:28" x14ac:dyDescent="0.25">
      <c r="A2255" t="s">
        <v>4278</v>
      </c>
      <c r="B2255" s="20">
        <v>45591</v>
      </c>
      <c r="C2255" t="s">
        <v>2583</v>
      </c>
      <c r="D2255" t="s">
        <v>220</v>
      </c>
      <c r="E2255" t="s">
        <v>85</v>
      </c>
      <c r="F2255" t="s">
        <v>258</v>
      </c>
      <c r="G2255">
        <v>1</v>
      </c>
      <c r="H2255" s="21">
        <v>6187.39</v>
      </c>
      <c r="I2255">
        <v>15</v>
      </c>
      <c r="J2255" s="21">
        <v>928.11</v>
      </c>
      <c r="K2255">
        <v>12</v>
      </c>
      <c r="L2255" s="21">
        <v>631.11</v>
      </c>
      <c r="M2255" s="21">
        <v>5890.39</v>
      </c>
      <c r="N2255" s="21">
        <v>3970.86</v>
      </c>
      <c r="O2255" s="21">
        <v>1288.42</v>
      </c>
      <c r="P2255" t="s">
        <v>126</v>
      </c>
      <c r="Q2255" t="s">
        <v>120</v>
      </c>
      <c r="R2255" t="s">
        <v>151</v>
      </c>
      <c r="S2255" t="s">
        <v>3561</v>
      </c>
      <c r="T2255" t="s">
        <v>161</v>
      </c>
      <c r="U2255" t="s">
        <v>154</v>
      </c>
      <c r="V2255" t="str">
        <f>IFERROR(INDEX(Products!$C:$C,MATCH(D2255,Products!$A:$A,0)),"Unknown")</f>
        <v>Watches</v>
      </c>
      <c r="W2255" t="str">
        <f>IFERROR(INDEX(Products!$E:$E,MATCH(D2255,Products!$A:$A,0)),"Unknown")</f>
        <v>Global Desi</v>
      </c>
      <c r="X2255" t="str">
        <f>IFERROR(INDEX(Stores!$B:$B,MATCH(E2255,Stores!$A:$A,0)),"Unknown")</f>
        <v>TrendMart Kalaburagi Mall Kiosk</v>
      </c>
      <c r="Y2255" t="str">
        <f>IFERROR(INDEX(Stores!$E:$E,MATCH(E2255,Stores!$A:$A,0)),"Unknown")</f>
        <v>South Zone 2</v>
      </c>
      <c r="Z2255" t="str">
        <f>IFERROR(INDEX(Customers!$J:$J,MATCH(C2255,Customers!$A:$A,0)),"Unknown")</f>
        <v>Silver</v>
      </c>
      <c r="AA2255" t="str">
        <f t="shared" si="35"/>
        <v>2024-10</v>
      </c>
      <c r="AB2255" t="str">
        <f>IFERROR(INDEX(Products!$I:$I,MATCH(D2255,Products!$A:$A,0)),"Unknown")</f>
        <v>SUP055</v>
      </c>
    </row>
    <row r="2256" spans="1:28" x14ac:dyDescent="0.25">
      <c r="A2256" t="s">
        <v>4279</v>
      </c>
      <c r="B2256" s="20">
        <v>45640</v>
      </c>
      <c r="C2256" t="s">
        <v>2510</v>
      </c>
      <c r="D2256" t="s">
        <v>554</v>
      </c>
      <c r="E2256" t="s">
        <v>578</v>
      </c>
      <c r="F2256" t="s">
        <v>269</v>
      </c>
      <c r="G2256">
        <v>4</v>
      </c>
      <c r="H2256" s="21">
        <v>976.6</v>
      </c>
      <c r="I2256">
        <v>0</v>
      </c>
      <c r="J2256" s="21">
        <v>0</v>
      </c>
      <c r="K2256">
        <v>5</v>
      </c>
      <c r="L2256" s="21">
        <v>195.32</v>
      </c>
      <c r="M2256" s="21">
        <v>4101.72</v>
      </c>
      <c r="N2256" s="21">
        <v>2589.1999999999998</v>
      </c>
      <c r="O2256" s="21">
        <v>1317.2</v>
      </c>
      <c r="P2256" t="s">
        <v>123</v>
      </c>
      <c r="Q2256" t="s">
        <v>120</v>
      </c>
      <c r="R2256" t="s">
        <v>151</v>
      </c>
      <c r="S2256" t="s">
        <v>2249</v>
      </c>
      <c r="T2256" t="s">
        <v>161</v>
      </c>
      <c r="U2256" t="s">
        <v>154</v>
      </c>
      <c r="V2256" t="str">
        <f>IFERROR(INDEX(Products!$C:$C,MATCH(D2256,Products!$A:$A,0)),"Unknown")</f>
        <v>Women Kurtis</v>
      </c>
      <c r="W2256" t="str">
        <f>IFERROR(INDEX(Products!$E:$E,MATCH(D2256,Products!$A:$A,0)),"Unknown")</f>
        <v>Fossil</v>
      </c>
      <c r="X2256" t="str">
        <f>IFERROR(INDEX(Stores!$B:$B,MATCH(E2256,Stores!$A:$A,0)),"Unknown")</f>
        <v>TrendMart Vellore Standard</v>
      </c>
      <c r="Y2256" t="str">
        <f>IFERROR(INDEX(Stores!$E:$E,MATCH(E2256,Stores!$A:$A,0)),"Unknown")</f>
        <v>South Zone 1</v>
      </c>
      <c r="Z2256" t="str">
        <f>IFERROR(INDEX(Customers!$J:$J,MATCH(C2256,Customers!$A:$A,0)),"Unknown")</f>
        <v>Silver</v>
      </c>
      <c r="AA2256" t="str">
        <f t="shared" si="35"/>
        <v>2024-12</v>
      </c>
      <c r="AB2256" t="str">
        <f>IFERROR(INDEX(Products!$I:$I,MATCH(D2256,Products!$A:$A,0)),"Unknown")</f>
        <v>SUP018</v>
      </c>
    </row>
    <row r="2257" spans="1:28" x14ac:dyDescent="0.25">
      <c r="A2257" t="s">
        <v>4280</v>
      </c>
      <c r="B2257" s="20">
        <v>45457</v>
      </c>
      <c r="C2257" t="s">
        <v>1331</v>
      </c>
      <c r="D2257" t="s">
        <v>792</v>
      </c>
      <c r="E2257" t="s">
        <v>360</v>
      </c>
      <c r="F2257" t="s">
        <v>596</v>
      </c>
      <c r="G2257">
        <v>1</v>
      </c>
      <c r="H2257" s="21">
        <v>1129.21</v>
      </c>
      <c r="I2257">
        <v>0</v>
      </c>
      <c r="J2257" s="21">
        <v>0</v>
      </c>
      <c r="K2257">
        <v>12</v>
      </c>
      <c r="L2257" s="21">
        <v>135.51</v>
      </c>
      <c r="M2257" s="21">
        <v>1264.72</v>
      </c>
      <c r="N2257" s="21">
        <v>737.35</v>
      </c>
      <c r="O2257" s="21">
        <v>391.86</v>
      </c>
      <c r="P2257" t="s">
        <v>125</v>
      </c>
      <c r="Q2257" t="s">
        <v>120</v>
      </c>
      <c r="R2257" t="s">
        <v>151</v>
      </c>
      <c r="S2257" t="s">
        <v>3561</v>
      </c>
      <c r="T2257" t="s">
        <v>153</v>
      </c>
      <c r="U2257" t="s">
        <v>154</v>
      </c>
      <c r="V2257" t="str">
        <f>IFERROR(INDEX(Products!$C:$C,MATCH(D2257,Products!$A:$A,0)),"Unknown")</f>
        <v>Belts</v>
      </c>
      <c r="W2257" t="str">
        <f>IFERROR(INDEX(Products!$E:$E,MATCH(D2257,Products!$A:$A,0)),"Unknown")</f>
        <v>Wrangler</v>
      </c>
      <c r="X2257" t="str">
        <f>IFERROR(INDEX(Stores!$B:$B,MATCH(E2257,Stores!$A:$A,0)),"Unknown")</f>
        <v>TrendMart Kochi Standard</v>
      </c>
      <c r="Y2257" t="str">
        <f>IFERROR(INDEX(Stores!$E:$E,MATCH(E2257,Stores!$A:$A,0)),"Unknown")</f>
        <v>South Zone 1</v>
      </c>
      <c r="Z2257" t="str">
        <f>IFERROR(INDEX(Customers!$J:$J,MATCH(C2257,Customers!$A:$A,0)),"Unknown")</f>
        <v>Regular</v>
      </c>
      <c r="AA2257" t="str">
        <f t="shared" si="35"/>
        <v>2024-06</v>
      </c>
      <c r="AB2257" t="str">
        <f>IFERROR(INDEX(Products!$I:$I,MATCH(D2257,Products!$A:$A,0)),"Unknown")</f>
        <v>SUP004</v>
      </c>
    </row>
    <row r="2258" spans="1:28" x14ac:dyDescent="0.25">
      <c r="A2258" t="s">
        <v>4281</v>
      </c>
      <c r="B2258" s="20">
        <v>45596</v>
      </c>
      <c r="C2258" t="s">
        <v>332</v>
      </c>
      <c r="D2258" t="s">
        <v>381</v>
      </c>
      <c r="E2258" t="s">
        <v>630</v>
      </c>
      <c r="F2258" t="s">
        <v>434</v>
      </c>
      <c r="G2258">
        <v>1</v>
      </c>
      <c r="H2258" s="21">
        <v>733.88</v>
      </c>
      <c r="I2258">
        <v>5</v>
      </c>
      <c r="J2258" s="21">
        <v>36.69</v>
      </c>
      <c r="K2258">
        <v>5</v>
      </c>
      <c r="L2258" s="21">
        <v>34.86</v>
      </c>
      <c r="M2258" s="21">
        <v>732.05</v>
      </c>
      <c r="N2258" s="21">
        <v>513.84</v>
      </c>
      <c r="O2258" s="21">
        <v>183.35</v>
      </c>
      <c r="P2258" t="s">
        <v>125</v>
      </c>
      <c r="Q2258" t="s">
        <v>120</v>
      </c>
      <c r="R2258" t="s">
        <v>151</v>
      </c>
      <c r="S2258" t="s">
        <v>1230</v>
      </c>
      <c r="T2258" t="s">
        <v>153</v>
      </c>
      <c r="U2258" t="s">
        <v>154</v>
      </c>
      <c r="V2258" t="str">
        <f>IFERROR(INDEX(Products!$C:$C,MATCH(D2258,Products!$A:$A,0)),"Unknown")</f>
        <v>Wallets</v>
      </c>
      <c r="W2258" t="str">
        <f>IFERROR(INDEX(Products!$E:$E,MATCH(D2258,Products!$A:$A,0)),"Unknown")</f>
        <v>Tanishq</v>
      </c>
      <c r="X2258" t="str">
        <f>IFERROR(INDEX(Stores!$B:$B,MATCH(E2258,Stores!$A:$A,0)),"Unknown")</f>
        <v>TrendMart Guntur Standard</v>
      </c>
      <c r="Y2258" t="str">
        <f>IFERROR(INDEX(Stores!$E:$E,MATCH(E2258,Stores!$A:$A,0)),"Unknown")</f>
        <v>South Zone 3</v>
      </c>
      <c r="Z2258" t="str">
        <f>IFERROR(INDEX(Customers!$J:$J,MATCH(C2258,Customers!$A:$A,0)),"Unknown")</f>
        <v>Platinum</v>
      </c>
      <c r="AA2258" t="str">
        <f t="shared" si="35"/>
        <v>2024-10</v>
      </c>
      <c r="AB2258" t="str">
        <f>IFERROR(INDEX(Products!$I:$I,MATCH(D2258,Products!$A:$A,0)),"Unknown")</f>
        <v>SUP007</v>
      </c>
    </row>
    <row r="2259" spans="1:28" x14ac:dyDescent="0.25">
      <c r="A2259" t="s">
        <v>4282</v>
      </c>
      <c r="B2259" s="20">
        <v>45715</v>
      </c>
      <c r="C2259" t="s">
        <v>1082</v>
      </c>
      <c r="D2259" t="s">
        <v>830</v>
      </c>
      <c r="E2259" t="s">
        <v>363</v>
      </c>
      <c r="F2259" t="s">
        <v>242</v>
      </c>
      <c r="G2259">
        <v>1</v>
      </c>
      <c r="H2259" s="21">
        <v>887.06</v>
      </c>
      <c r="I2259">
        <v>0</v>
      </c>
      <c r="J2259" s="21">
        <v>0</v>
      </c>
      <c r="K2259">
        <v>5</v>
      </c>
      <c r="L2259" s="21">
        <v>44.35</v>
      </c>
      <c r="M2259" s="21">
        <v>931.41</v>
      </c>
      <c r="N2259" s="21">
        <v>570.20000000000005</v>
      </c>
      <c r="O2259" s="21">
        <v>316.86</v>
      </c>
      <c r="P2259" t="s">
        <v>124</v>
      </c>
      <c r="Q2259" t="s">
        <v>120</v>
      </c>
      <c r="R2259" t="s">
        <v>151</v>
      </c>
      <c r="S2259" t="s">
        <v>631</v>
      </c>
      <c r="T2259" t="s">
        <v>153</v>
      </c>
      <c r="U2259" t="s">
        <v>154</v>
      </c>
      <c r="V2259" t="str">
        <f>IFERROR(INDEX(Products!$C:$C,MATCH(D2259,Products!$A:$A,0)),"Unknown")</f>
        <v>Men Shirts</v>
      </c>
      <c r="W2259" t="str">
        <f>IFERROR(INDEX(Products!$E:$E,MATCH(D2259,Products!$A:$A,0)),"Unknown")</f>
        <v>AND</v>
      </c>
      <c r="X2259" t="str">
        <f>IFERROR(INDEX(Stores!$B:$B,MATCH(E2259,Stores!$A:$A,0)),"Unknown")</f>
        <v>TrendMart Thiruvananthapuram High Street</v>
      </c>
      <c r="Y2259" t="str">
        <f>IFERROR(INDEX(Stores!$E:$E,MATCH(E2259,Stores!$A:$A,0)),"Unknown")</f>
        <v>South Zone 1</v>
      </c>
      <c r="Z2259" t="str">
        <f>IFERROR(INDEX(Customers!$J:$J,MATCH(C2259,Customers!$A:$A,0)),"Unknown")</f>
        <v>Regular</v>
      </c>
      <c r="AA2259" t="str">
        <f t="shared" si="35"/>
        <v>2025-02</v>
      </c>
      <c r="AB2259" t="str">
        <f>IFERROR(INDEX(Products!$I:$I,MATCH(D2259,Products!$A:$A,0)),"Unknown")</f>
        <v>SUP012</v>
      </c>
    </row>
    <row r="2260" spans="1:28" x14ac:dyDescent="0.25">
      <c r="A2260" t="s">
        <v>4283</v>
      </c>
      <c r="B2260" s="20">
        <v>45648</v>
      </c>
      <c r="C2260" t="s">
        <v>1471</v>
      </c>
      <c r="D2260" t="s">
        <v>236</v>
      </c>
      <c r="E2260" t="s">
        <v>815</v>
      </c>
      <c r="F2260" t="s">
        <v>532</v>
      </c>
      <c r="G2260">
        <v>1</v>
      </c>
      <c r="H2260" s="21">
        <v>774.3</v>
      </c>
      <c r="I2260">
        <v>30</v>
      </c>
      <c r="J2260" s="21">
        <v>232.29</v>
      </c>
      <c r="K2260">
        <v>5</v>
      </c>
      <c r="L2260" s="21">
        <v>27.1</v>
      </c>
      <c r="M2260" s="21">
        <v>569.11</v>
      </c>
      <c r="N2260" s="21">
        <v>550.01</v>
      </c>
      <c r="O2260" s="21">
        <v>-8</v>
      </c>
      <c r="P2260" t="s">
        <v>126</v>
      </c>
      <c r="Q2260" t="s">
        <v>120</v>
      </c>
      <c r="R2260" t="s">
        <v>151</v>
      </c>
      <c r="S2260" t="s">
        <v>1479</v>
      </c>
      <c r="T2260" t="s">
        <v>161</v>
      </c>
      <c r="U2260" t="s">
        <v>184</v>
      </c>
      <c r="V2260" t="str">
        <f>IFERROR(INDEX(Products!$C:$C,MATCH(D2260,Products!$A:$A,0)),"Unknown")</f>
        <v>Women Tops</v>
      </c>
      <c r="W2260" t="str">
        <f>IFERROR(INDEX(Products!$E:$E,MATCH(D2260,Products!$A:$A,0)),"Unknown")</f>
        <v>Nike</v>
      </c>
      <c r="X2260" t="str">
        <f>IFERROR(INDEX(Stores!$B:$B,MATCH(E2260,Stores!$A:$A,0)),"Unknown")</f>
        <v>TrendMart Madurai Mall Kiosk</v>
      </c>
      <c r="Y2260" t="str">
        <f>IFERROR(INDEX(Stores!$E:$E,MATCH(E2260,Stores!$A:$A,0)),"Unknown")</f>
        <v>South Zone 1</v>
      </c>
      <c r="Z2260" t="str">
        <f>IFERROR(INDEX(Customers!$J:$J,MATCH(C2260,Customers!$A:$A,0)),"Unknown")</f>
        <v>Silver</v>
      </c>
      <c r="AA2260" t="str">
        <f t="shared" si="35"/>
        <v>2024-12</v>
      </c>
      <c r="AB2260" t="str">
        <f>IFERROR(INDEX(Products!$I:$I,MATCH(D2260,Products!$A:$A,0)),"Unknown")</f>
        <v>SUP075</v>
      </c>
    </row>
    <row r="2261" spans="1:28" x14ac:dyDescent="0.25">
      <c r="A2261" t="s">
        <v>4284</v>
      </c>
      <c r="B2261" s="20">
        <v>45541</v>
      </c>
      <c r="C2261" t="s">
        <v>411</v>
      </c>
      <c r="D2261" t="s">
        <v>386</v>
      </c>
      <c r="E2261" t="s">
        <v>247</v>
      </c>
      <c r="F2261" t="s">
        <v>516</v>
      </c>
      <c r="G2261">
        <v>2</v>
      </c>
      <c r="H2261" s="21">
        <v>1429.01</v>
      </c>
      <c r="I2261">
        <v>0</v>
      </c>
      <c r="J2261" s="21">
        <v>0</v>
      </c>
      <c r="K2261">
        <v>12</v>
      </c>
      <c r="L2261" s="21">
        <v>342.96</v>
      </c>
      <c r="M2261" s="21">
        <v>3200.98</v>
      </c>
      <c r="N2261" s="21">
        <v>2026.52</v>
      </c>
      <c r="O2261" s="21">
        <v>831.5</v>
      </c>
      <c r="P2261" t="s">
        <v>121</v>
      </c>
      <c r="Q2261" t="s">
        <v>122</v>
      </c>
      <c r="R2261" t="s">
        <v>151</v>
      </c>
      <c r="S2261" t="s">
        <v>2216</v>
      </c>
      <c r="T2261" t="s">
        <v>153</v>
      </c>
      <c r="U2261" t="s">
        <v>154</v>
      </c>
      <c r="V2261" t="str">
        <f>IFERROR(INDEX(Products!$C:$C,MATCH(D2261,Products!$A:$A,0)),"Unknown")</f>
        <v>Winter Wear</v>
      </c>
      <c r="W2261" t="str">
        <f>IFERROR(INDEX(Products!$E:$E,MATCH(D2261,Products!$A:$A,0)),"Unknown")</f>
        <v>Blackberrys</v>
      </c>
      <c r="X2261" t="str">
        <f>IFERROR(INDEX(Stores!$B:$B,MATCH(E2261,Stores!$A:$A,0)),"Unknown")</f>
        <v>TrendMart Tirupati Outlet</v>
      </c>
      <c r="Y2261" t="str">
        <f>IFERROR(INDEX(Stores!$E:$E,MATCH(E2261,Stores!$A:$A,0)),"Unknown")</f>
        <v>South Zone 3</v>
      </c>
      <c r="Z2261" t="str">
        <f>IFERROR(INDEX(Customers!$J:$J,MATCH(C2261,Customers!$A:$A,0)),"Unknown")</f>
        <v>Gold</v>
      </c>
      <c r="AA2261" t="str">
        <f t="shared" si="35"/>
        <v>2024-09</v>
      </c>
      <c r="AB2261" t="str">
        <f>IFERROR(INDEX(Products!$I:$I,MATCH(D2261,Products!$A:$A,0)),"Unknown")</f>
        <v>SUP051</v>
      </c>
    </row>
    <row r="2262" spans="1:28" x14ac:dyDescent="0.25">
      <c r="A2262" t="s">
        <v>4285</v>
      </c>
      <c r="B2262" s="20">
        <v>45480</v>
      </c>
      <c r="C2262" t="s">
        <v>3593</v>
      </c>
      <c r="D2262" t="s">
        <v>215</v>
      </c>
      <c r="E2262" t="s">
        <v>515</v>
      </c>
      <c r="F2262" t="s">
        <v>532</v>
      </c>
      <c r="G2262">
        <v>1</v>
      </c>
      <c r="H2262" s="21">
        <v>1048.01</v>
      </c>
      <c r="I2262">
        <v>15</v>
      </c>
      <c r="J2262" s="21">
        <v>157.19999999999999</v>
      </c>
      <c r="K2262">
        <v>12</v>
      </c>
      <c r="L2262" s="21">
        <v>106.9</v>
      </c>
      <c r="M2262" s="21">
        <v>997.71</v>
      </c>
      <c r="N2262" s="21">
        <v>828.44</v>
      </c>
      <c r="O2262" s="21">
        <v>62.37</v>
      </c>
      <c r="P2262" t="s">
        <v>125</v>
      </c>
      <c r="Q2262" t="s">
        <v>120</v>
      </c>
      <c r="R2262" t="s">
        <v>151</v>
      </c>
      <c r="S2262" t="s">
        <v>2032</v>
      </c>
      <c r="T2262" t="s">
        <v>161</v>
      </c>
      <c r="U2262" t="s">
        <v>154</v>
      </c>
      <c r="V2262" t="str">
        <f>IFERROR(INDEX(Products!$C:$C,MATCH(D2262,Products!$A:$A,0)),"Unknown")</f>
        <v>Men Jeans</v>
      </c>
      <c r="W2262" t="str">
        <f>IFERROR(INDEX(Products!$E:$E,MATCH(D2262,Products!$A:$A,0)),"Unknown")</f>
        <v>Metro Shoes</v>
      </c>
      <c r="X2262" t="str">
        <f>IFERROR(INDEX(Stores!$B:$B,MATCH(E2262,Stores!$A:$A,0)),"Unknown")</f>
        <v>TrendMart Kochi High Street</v>
      </c>
      <c r="Y2262" t="str">
        <f>IFERROR(INDEX(Stores!$E:$E,MATCH(E2262,Stores!$A:$A,0)),"Unknown")</f>
        <v>South Zone 1</v>
      </c>
      <c r="Z2262" t="str">
        <f>IFERROR(INDEX(Customers!$J:$J,MATCH(C2262,Customers!$A:$A,0)),"Unknown")</f>
        <v>Regular</v>
      </c>
      <c r="AA2262" t="str">
        <f t="shared" si="35"/>
        <v>2024-07</v>
      </c>
      <c r="AB2262" t="str">
        <f>IFERROR(INDEX(Products!$I:$I,MATCH(D2262,Products!$A:$A,0)),"Unknown")</f>
        <v>SUP022</v>
      </c>
    </row>
    <row r="2263" spans="1:28" x14ac:dyDescent="0.25">
      <c r="A2263" t="s">
        <v>4286</v>
      </c>
      <c r="B2263" s="20">
        <v>45571</v>
      </c>
      <c r="C2263" t="s">
        <v>432</v>
      </c>
      <c r="D2263" t="s">
        <v>1504</v>
      </c>
      <c r="E2263" t="s">
        <v>701</v>
      </c>
      <c r="F2263" t="s">
        <v>308</v>
      </c>
      <c r="G2263">
        <v>1</v>
      </c>
      <c r="H2263" s="21">
        <v>1836.2</v>
      </c>
      <c r="I2263">
        <v>10</v>
      </c>
      <c r="J2263" s="21">
        <v>183.62</v>
      </c>
      <c r="K2263">
        <v>12</v>
      </c>
      <c r="L2263" s="21">
        <v>198.31</v>
      </c>
      <c r="M2263" s="21">
        <v>1850.89</v>
      </c>
      <c r="N2263" s="21">
        <v>1144.5899999999999</v>
      </c>
      <c r="O2263" s="21">
        <v>507.99</v>
      </c>
      <c r="P2263" t="s">
        <v>124</v>
      </c>
      <c r="Q2263" t="s">
        <v>120</v>
      </c>
      <c r="R2263" t="s">
        <v>151</v>
      </c>
      <c r="S2263" t="s">
        <v>1024</v>
      </c>
      <c r="T2263" t="s">
        <v>161</v>
      </c>
      <c r="U2263" t="s">
        <v>154</v>
      </c>
      <c r="V2263" t="str">
        <f>IFERROR(INDEX(Products!$C:$C,MATCH(D2263,Products!$A:$A,0)),"Unknown")</f>
        <v>Women Dresses</v>
      </c>
      <c r="W2263" t="str">
        <f>IFERROR(INDEX(Products!$E:$E,MATCH(D2263,Products!$A:$A,0)),"Unknown")</f>
        <v>Westside</v>
      </c>
      <c r="X2263" t="str">
        <f>IFERROR(INDEX(Stores!$B:$B,MATCH(E2263,Stores!$A:$A,0)),"Unknown")</f>
        <v>TrendMart Vijayawada Mall Kiosk</v>
      </c>
      <c r="Y2263" t="str">
        <f>IFERROR(INDEX(Stores!$E:$E,MATCH(E2263,Stores!$A:$A,0)),"Unknown")</f>
        <v>South Zone 3</v>
      </c>
      <c r="Z2263" t="str">
        <f>IFERROR(INDEX(Customers!$J:$J,MATCH(C2263,Customers!$A:$A,0)),"Unknown")</f>
        <v>Regular</v>
      </c>
      <c r="AA2263" t="str">
        <f t="shared" si="35"/>
        <v>2024-10</v>
      </c>
      <c r="AB2263" t="str">
        <f>IFERROR(INDEX(Products!$I:$I,MATCH(D2263,Products!$A:$A,0)),"Unknown")</f>
        <v>SUP010</v>
      </c>
    </row>
    <row r="2264" spans="1:28" x14ac:dyDescent="0.25">
      <c r="A2264" t="s">
        <v>4287</v>
      </c>
      <c r="B2264" s="20">
        <v>45453</v>
      </c>
      <c r="C2264" t="s">
        <v>2599</v>
      </c>
      <c r="D2264" t="s">
        <v>2019</v>
      </c>
      <c r="E2264" t="s">
        <v>1187</v>
      </c>
      <c r="F2264" t="s">
        <v>281</v>
      </c>
      <c r="G2264">
        <v>1</v>
      </c>
      <c r="H2264" s="21">
        <v>2102.2600000000002</v>
      </c>
      <c r="I2264">
        <v>10</v>
      </c>
      <c r="J2264" s="21">
        <v>210.23</v>
      </c>
      <c r="K2264">
        <v>12</v>
      </c>
      <c r="L2264" s="21">
        <v>227.04</v>
      </c>
      <c r="M2264" s="21">
        <v>2119.0700000000002</v>
      </c>
      <c r="N2264" s="21">
        <v>1504.79</v>
      </c>
      <c r="O2264" s="21">
        <v>387.24</v>
      </c>
      <c r="P2264" t="s">
        <v>125</v>
      </c>
      <c r="Q2264" t="s">
        <v>122</v>
      </c>
      <c r="R2264" t="s">
        <v>151</v>
      </c>
      <c r="S2264" t="s">
        <v>2367</v>
      </c>
      <c r="T2264" t="s">
        <v>153</v>
      </c>
      <c r="U2264" t="s">
        <v>154</v>
      </c>
      <c r="V2264" t="str">
        <f>IFERROR(INDEX(Products!$C:$C,MATCH(D2264,Products!$A:$A,0)),"Unknown")</f>
        <v>Footwear</v>
      </c>
      <c r="W2264" t="str">
        <f>IFERROR(INDEX(Products!$E:$E,MATCH(D2264,Products!$A:$A,0)),"Unknown")</f>
        <v>Bata</v>
      </c>
      <c r="X2264" t="str">
        <f>IFERROR(INDEX(Stores!$B:$B,MATCH(E2264,Stores!$A:$A,0)),"Unknown")</f>
        <v>TrendMart Vijayawada Mall Kiosk</v>
      </c>
      <c r="Y2264" t="str">
        <f>IFERROR(INDEX(Stores!$E:$E,MATCH(E2264,Stores!$A:$A,0)),"Unknown")</f>
        <v>South Zone 3</v>
      </c>
      <c r="Z2264" t="str">
        <f>IFERROR(INDEX(Customers!$J:$J,MATCH(C2264,Customers!$A:$A,0)),"Unknown")</f>
        <v>Regular</v>
      </c>
      <c r="AA2264" t="str">
        <f t="shared" si="35"/>
        <v>2024-06</v>
      </c>
      <c r="AB2264" t="str">
        <f>IFERROR(INDEX(Products!$I:$I,MATCH(D2264,Products!$A:$A,0)),"Unknown")</f>
        <v>SUP004</v>
      </c>
    </row>
    <row r="2265" spans="1:28" x14ac:dyDescent="0.25">
      <c r="A2265" t="s">
        <v>4288</v>
      </c>
      <c r="B2265" s="20">
        <v>45623</v>
      </c>
      <c r="C2265" t="s">
        <v>179</v>
      </c>
      <c r="D2265" t="s">
        <v>670</v>
      </c>
      <c r="E2265" t="s">
        <v>99</v>
      </c>
      <c r="F2265" t="s">
        <v>189</v>
      </c>
      <c r="G2265">
        <v>1</v>
      </c>
      <c r="H2265" s="21">
        <v>2074.11</v>
      </c>
      <c r="I2265">
        <v>0</v>
      </c>
      <c r="J2265" s="21">
        <v>0</v>
      </c>
      <c r="K2265">
        <v>12</v>
      </c>
      <c r="L2265" s="21">
        <v>248.89</v>
      </c>
      <c r="M2265" s="21">
        <v>2323</v>
      </c>
      <c r="N2265" s="21">
        <v>1378.38</v>
      </c>
      <c r="O2265" s="21">
        <v>695.73</v>
      </c>
      <c r="P2265" t="s">
        <v>123</v>
      </c>
      <c r="Q2265" t="s">
        <v>120</v>
      </c>
      <c r="R2265" t="s">
        <v>151</v>
      </c>
      <c r="S2265" t="s">
        <v>2894</v>
      </c>
      <c r="T2265" t="s">
        <v>153</v>
      </c>
      <c r="U2265" t="s">
        <v>154</v>
      </c>
      <c r="V2265" t="str">
        <f>IFERROR(INDEX(Products!$C:$C,MATCH(D2265,Products!$A:$A,0)),"Unknown")</f>
        <v>Women Sarees</v>
      </c>
      <c r="W2265" t="str">
        <f>IFERROR(INDEX(Products!$E:$E,MATCH(D2265,Products!$A:$A,0)),"Unknown")</f>
        <v>Reebok</v>
      </c>
      <c r="X2265" t="str">
        <f>IFERROR(INDEX(Stores!$B:$B,MATCH(E2265,Stores!$A:$A,0)),"Unknown")</f>
        <v>TrendMart Hubballi Standard</v>
      </c>
      <c r="Y2265" t="str">
        <f>IFERROR(INDEX(Stores!$E:$E,MATCH(E2265,Stores!$A:$A,0)),"Unknown")</f>
        <v>South Zone 2</v>
      </c>
      <c r="Z2265" t="str">
        <f>IFERROR(INDEX(Customers!$J:$J,MATCH(C2265,Customers!$A:$A,0)),"Unknown")</f>
        <v>Platinum</v>
      </c>
      <c r="AA2265" t="str">
        <f t="shared" si="35"/>
        <v>2024-11</v>
      </c>
      <c r="AB2265" t="str">
        <f>IFERROR(INDEX(Products!$I:$I,MATCH(D2265,Products!$A:$A,0)),"Unknown")</f>
        <v>SUP073</v>
      </c>
    </row>
    <row r="2266" spans="1:28" x14ac:dyDescent="0.25">
      <c r="A2266" t="s">
        <v>4289</v>
      </c>
      <c r="B2266" s="20">
        <v>45679</v>
      </c>
      <c r="C2266" t="s">
        <v>3009</v>
      </c>
      <c r="D2266" t="s">
        <v>407</v>
      </c>
      <c r="E2266" t="s">
        <v>181</v>
      </c>
      <c r="F2266" t="s">
        <v>195</v>
      </c>
      <c r="G2266">
        <v>1</v>
      </c>
      <c r="H2266" s="21">
        <v>1263.71</v>
      </c>
      <c r="I2266">
        <v>10</v>
      </c>
      <c r="J2266" s="21">
        <v>126.37</v>
      </c>
      <c r="K2266">
        <v>12</v>
      </c>
      <c r="L2266" s="21">
        <v>136.47999999999999</v>
      </c>
      <c r="M2266" s="21">
        <v>1273.82</v>
      </c>
      <c r="N2266" s="21">
        <v>802.64</v>
      </c>
      <c r="O2266" s="21">
        <v>334.7</v>
      </c>
      <c r="P2266" t="s">
        <v>121</v>
      </c>
      <c r="Q2266" t="s">
        <v>120</v>
      </c>
      <c r="R2266" t="s">
        <v>151</v>
      </c>
      <c r="S2266" t="s">
        <v>764</v>
      </c>
      <c r="T2266" t="s">
        <v>153</v>
      </c>
      <c r="U2266" t="s">
        <v>154</v>
      </c>
      <c r="V2266" t="str">
        <f>IFERROR(INDEX(Products!$C:$C,MATCH(D2266,Products!$A:$A,0)),"Unknown")</f>
        <v>Winter Wear</v>
      </c>
      <c r="W2266" t="str">
        <f>IFERROR(INDEX(Products!$E:$E,MATCH(D2266,Products!$A:$A,0)),"Unknown")</f>
        <v>Metro Shoes</v>
      </c>
      <c r="X2266" t="str">
        <f>IFERROR(INDEX(Stores!$B:$B,MATCH(E2266,Stores!$A:$A,0)),"Unknown")</f>
        <v>TrendMart Kurnool High Street</v>
      </c>
      <c r="Y2266" t="str">
        <f>IFERROR(INDEX(Stores!$E:$E,MATCH(E2266,Stores!$A:$A,0)),"Unknown")</f>
        <v>South Zone 3</v>
      </c>
      <c r="Z2266" t="str">
        <f>IFERROR(INDEX(Customers!$J:$J,MATCH(C2266,Customers!$A:$A,0)),"Unknown")</f>
        <v>Regular</v>
      </c>
      <c r="AA2266" t="str">
        <f t="shared" si="35"/>
        <v>2025-01</v>
      </c>
      <c r="AB2266" t="str">
        <f>IFERROR(INDEX(Products!$I:$I,MATCH(D2266,Products!$A:$A,0)),"Unknown")</f>
        <v>SUP067</v>
      </c>
    </row>
    <row r="2267" spans="1:28" x14ac:dyDescent="0.25">
      <c r="A2267" t="s">
        <v>4290</v>
      </c>
      <c r="B2267" s="20">
        <v>45736</v>
      </c>
      <c r="C2267" t="s">
        <v>2298</v>
      </c>
      <c r="D2267" t="s">
        <v>1749</v>
      </c>
      <c r="E2267" t="s">
        <v>515</v>
      </c>
      <c r="F2267" t="s">
        <v>263</v>
      </c>
      <c r="G2267">
        <v>1</v>
      </c>
      <c r="H2267" s="21">
        <v>1372.41</v>
      </c>
      <c r="I2267">
        <v>0</v>
      </c>
      <c r="J2267" s="21">
        <v>0</v>
      </c>
      <c r="K2267">
        <v>12</v>
      </c>
      <c r="L2267" s="21">
        <v>164.69</v>
      </c>
      <c r="M2267" s="21">
        <v>1537.1</v>
      </c>
      <c r="N2267" s="21">
        <v>893.89</v>
      </c>
      <c r="O2267" s="21">
        <v>478.52</v>
      </c>
      <c r="P2267" t="s">
        <v>124</v>
      </c>
      <c r="Q2267" t="s">
        <v>120</v>
      </c>
      <c r="R2267" t="s">
        <v>151</v>
      </c>
      <c r="S2267" t="s">
        <v>1235</v>
      </c>
      <c r="T2267" t="s">
        <v>153</v>
      </c>
      <c r="U2267" t="s">
        <v>154</v>
      </c>
      <c r="V2267" t="str">
        <f>IFERROR(INDEX(Products!$C:$C,MATCH(D2267,Products!$A:$A,0)),"Unknown")</f>
        <v>Sportswear</v>
      </c>
      <c r="W2267" t="str">
        <f>IFERROR(INDEX(Products!$E:$E,MATCH(D2267,Products!$A:$A,0)),"Unknown")</f>
        <v>Pantaloons</v>
      </c>
      <c r="X2267" t="str">
        <f>IFERROR(INDEX(Stores!$B:$B,MATCH(E2267,Stores!$A:$A,0)),"Unknown")</f>
        <v>TrendMart Kochi High Street</v>
      </c>
      <c r="Y2267" t="str">
        <f>IFERROR(INDEX(Stores!$E:$E,MATCH(E2267,Stores!$A:$A,0)),"Unknown")</f>
        <v>South Zone 1</v>
      </c>
      <c r="Z2267" t="str">
        <f>IFERROR(INDEX(Customers!$J:$J,MATCH(C2267,Customers!$A:$A,0)),"Unknown")</f>
        <v>Platinum</v>
      </c>
      <c r="AA2267" t="str">
        <f t="shared" si="35"/>
        <v>2025-03</v>
      </c>
      <c r="AB2267" t="str">
        <f>IFERROR(INDEX(Products!$I:$I,MATCH(D2267,Products!$A:$A,0)),"Unknown")</f>
        <v>SUP076</v>
      </c>
    </row>
    <row r="2268" spans="1:28" x14ac:dyDescent="0.25">
      <c r="A2268" t="s">
        <v>4291</v>
      </c>
      <c r="B2268" s="20">
        <v>45553</v>
      </c>
      <c r="C2268" t="s">
        <v>1646</v>
      </c>
      <c r="D2268" t="s">
        <v>333</v>
      </c>
      <c r="E2268" t="s">
        <v>1426</v>
      </c>
      <c r="F2268" t="s">
        <v>182</v>
      </c>
      <c r="G2268">
        <v>1</v>
      </c>
      <c r="H2268" s="21">
        <v>2505.69</v>
      </c>
      <c r="I2268">
        <v>5</v>
      </c>
      <c r="J2268" s="21">
        <v>125.28</v>
      </c>
      <c r="K2268">
        <v>12</v>
      </c>
      <c r="L2268" s="21">
        <v>285.64999999999998</v>
      </c>
      <c r="M2268" s="21">
        <v>2666.06</v>
      </c>
      <c r="N2268" s="21">
        <v>1767.32</v>
      </c>
      <c r="O2268" s="21">
        <v>613.09</v>
      </c>
      <c r="P2268" t="s">
        <v>121</v>
      </c>
      <c r="Q2268" t="s">
        <v>120</v>
      </c>
      <c r="R2268" t="s">
        <v>151</v>
      </c>
      <c r="S2268" t="s">
        <v>2524</v>
      </c>
      <c r="T2268" t="s">
        <v>153</v>
      </c>
      <c r="U2268" t="s">
        <v>154</v>
      </c>
      <c r="V2268" t="str">
        <f>IFERROR(INDEX(Products!$C:$C,MATCH(D2268,Products!$A:$A,0)),"Unknown")</f>
        <v>Winter Wear</v>
      </c>
      <c r="W2268" t="str">
        <f>IFERROR(INDEX(Products!$E:$E,MATCH(D2268,Products!$A:$A,0)),"Unknown")</f>
        <v>GRT Jewellers</v>
      </c>
      <c r="X2268" t="str">
        <f>IFERROR(INDEX(Stores!$B:$B,MATCH(E2268,Stores!$A:$A,0)),"Unknown")</f>
        <v>TrendMart Alappuzha Mall Kiosk</v>
      </c>
      <c r="Y2268" t="str">
        <f>IFERROR(INDEX(Stores!$E:$E,MATCH(E2268,Stores!$A:$A,0)),"Unknown")</f>
        <v>South Zone 1</v>
      </c>
      <c r="Z2268" t="str">
        <f>IFERROR(INDEX(Customers!$J:$J,MATCH(C2268,Customers!$A:$A,0)),"Unknown")</f>
        <v>Regular</v>
      </c>
      <c r="AA2268" t="str">
        <f t="shared" si="35"/>
        <v>2024-09</v>
      </c>
      <c r="AB2268" t="str">
        <f>IFERROR(INDEX(Products!$I:$I,MATCH(D2268,Products!$A:$A,0)),"Unknown")</f>
        <v>SUP052</v>
      </c>
    </row>
    <row r="2269" spans="1:28" x14ac:dyDescent="0.25">
      <c r="A2269" t="s">
        <v>4292</v>
      </c>
      <c r="B2269" s="20">
        <v>45455</v>
      </c>
      <c r="C2269" t="s">
        <v>437</v>
      </c>
      <c r="D2269" t="s">
        <v>801</v>
      </c>
      <c r="E2269" t="s">
        <v>247</v>
      </c>
      <c r="F2269" t="s">
        <v>408</v>
      </c>
      <c r="G2269">
        <v>1</v>
      </c>
      <c r="H2269" s="21">
        <v>628.51</v>
      </c>
      <c r="I2269">
        <v>25</v>
      </c>
      <c r="J2269" s="21">
        <v>157.13</v>
      </c>
      <c r="K2269">
        <v>5</v>
      </c>
      <c r="L2269" s="21">
        <v>23.57</v>
      </c>
      <c r="M2269" s="21">
        <v>494.95</v>
      </c>
      <c r="N2269" s="21">
        <v>424.76</v>
      </c>
      <c r="O2269" s="21">
        <v>46.62</v>
      </c>
      <c r="P2269" t="s">
        <v>121</v>
      </c>
      <c r="Q2269" t="s">
        <v>120</v>
      </c>
      <c r="R2269" t="s">
        <v>151</v>
      </c>
      <c r="S2269" t="s">
        <v>1608</v>
      </c>
      <c r="T2269" t="s">
        <v>153</v>
      </c>
      <c r="U2269" t="s">
        <v>154</v>
      </c>
      <c r="V2269" t="str">
        <f>IFERROR(INDEX(Products!$C:$C,MATCH(D2269,Products!$A:$A,0)),"Unknown")</f>
        <v>Kids Wear</v>
      </c>
      <c r="W2269" t="str">
        <f>IFERROR(INDEX(Products!$E:$E,MATCH(D2269,Products!$A:$A,0)),"Unknown")</f>
        <v>Being Human</v>
      </c>
      <c r="X2269" t="str">
        <f>IFERROR(INDEX(Stores!$B:$B,MATCH(E2269,Stores!$A:$A,0)),"Unknown")</f>
        <v>TrendMart Tirupati Outlet</v>
      </c>
      <c r="Y2269" t="str">
        <f>IFERROR(INDEX(Stores!$E:$E,MATCH(E2269,Stores!$A:$A,0)),"Unknown")</f>
        <v>South Zone 3</v>
      </c>
      <c r="Z2269" t="str">
        <f>IFERROR(INDEX(Customers!$J:$J,MATCH(C2269,Customers!$A:$A,0)),"Unknown")</f>
        <v>Regular</v>
      </c>
      <c r="AA2269" t="str">
        <f t="shared" si="35"/>
        <v>2024-06</v>
      </c>
      <c r="AB2269" t="str">
        <f>IFERROR(INDEX(Products!$I:$I,MATCH(D2269,Products!$A:$A,0)),"Unknown")</f>
        <v>SUP063</v>
      </c>
    </row>
    <row r="2270" spans="1:28" x14ac:dyDescent="0.25">
      <c r="A2270" t="s">
        <v>4293</v>
      </c>
      <c r="B2270" s="20">
        <v>45550</v>
      </c>
      <c r="C2270" t="s">
        <v>250</v>
      </c>
      <c r="D2270" t="s">
        <v>2402</v>
      </c>
      <c r="E2270" t="s">
        <v>1171</v>
      </c>
      <c r="F2270" t="s">
        <v>242</v>
      </c>
      <c r="G2270">
        <v>3</v>
      </c>
      <c r="H2270" s="21">
        <v>2037.64</v>
      </c>
      <c r="I2270">
        <v>0</v>
      </c>
      <c r="J2270" s="21">
        <v>0</v>
      </c>
      <c r="K2270">
        <v>12</v>
      </c>
      <c r="L2270" s="21">
        <v>733.55</v>
      </c>
      <c r="M2270" s="21">
        <v>6846.47</v>
      </c>
      <c r="N2270" s="21">
        <v>4096.95</v>
      </c>
      <c r="O2270" s="21">
        <v>2015.97</v>
      </c>
      <c r="P2270" t="s">
        <v>125</v>
      </c>
      <c r="Q2270" t="s">
        <v>120</v>
      </c>
      <c r="R2270" t="s">
        <v>151</v>
      </c>
      <c r="S2270" t="s">
        <v>4092</v>
      </c>
      <c r="T2270" t="s">
        <v>161</v>
      </c>
      <c r="U2270" t="s">
        <v>154</v>
      </c>
      <c r="V2270" t="str">
        <f>IFERROR(INDEX(Products!$C:$C,MATCH(D2270,Products!$A:$A,0)),"Unknown")</f>
        <v>Handbags</v>
      </c>
      <c r="W2270" t="str">
        <f>IFERROR(INDEX(Products!$E:$E,MATCH(D2270,Products!$A:$A,0)),"Unknown")</f>
        <v>Allen Solly</v>
      </c>
      <c r="X2270" t="str">
        <f>IFERROR(INDEX(Stores!$B:$B,MATCH(E2270,Stores!$A:$A,0)),"Unknown")</f>
        <v>TrendMart Chennai Standard</v>
      </c>
      <c r="Y2270" t="str">
        <f>IFERROR(INDEX(Stores!$E:$E,MATCH(E2270,Stores!$A:$A,0)),"Unknown")</f>
        <v>South Zone 1</v>
      </c>
      <c r="Z2270" t="str">
        <f>IFERROR(INDEX(Customers!$J:$J,MATCH(C2270,Customers!$A:$A,0)),"Unknown")</f>
        <v>Regular</v>
      </c>
      <c r="AA2270" t="str">
        <f t="shared" si="35"/>
        <v>2024-09</v>
      </c>
      <c r="AB2270" t="str">
        <f>IFERROR(INDEX(Products!$I:$I,MATCH(D2270,Products!$A:$A,0)),"Unknown")</f>
        <v>SUP043</v>
      </c>
    </row>
    <row r="2271" spans="1:28" x14ac:dyDescent="0.25">
      <c r="A2271" t="s">
        <v>4294</v>
      </c>
      <c r="B2271" s="20">
        <v>45610</v>
      </c>
      <c r="C2271" t="s">
        <v>3519</v>
      </c>
      <c r="D2271" t="s">
        <v>814</v>
      </c>
      <c r="E2271" t="s">
        <v>83</v>
      </c>
      <c r="F2271" t="s">
        <v>286</v>
      </c>
      <c r="G2271">
        <v>5</v>
      </c>
      <c r="H2271" s="21">
        <v>637.41</v>
      </c>
      <c r="I2271">
        <v>15</v>
      </c>
      <c r="J2271" s="21">
        <v>478.06</v>
      </c>
      <c r="K2271">
        <v>5</v>
      </c>
      <c r="L2271" s="21">
        <v>135.44999999999999</v>
      </c>
      <c r="M2271" s="21">
        <v>2844.44</v>
      </c>
      <c r="N2271" s="21">
        <v>1823.05</v>
      </c>
      <c r="O2271" s="21">
        <v>885.94</v>
      </c>
      <c r="P2271" t="s">
        <v>125</v>
      </c>
      <c r="Q2271" t="s">
        <v>122</v>
      </c>
      <c r="R2271" t="s">
        <v>151</v>
      </c>
      <c r="S2271" t="s">
        <v>3930</v>
      </c>
      <c r="T2271" t="s">
        <v>153</v>
      </c>
      <c r="U2271" t="s">
        <v>154</v>
      </c>
      <c r="V2271" t="str">
        <f>IFERROR(INDEX(Products!$C:$C,MATCH(D2271,Products!$A:$A,0)),"Unknown")</f>
        <v>Men T-Shirts</v>
      </c>
      <c r="W2271" t="str">
        <f>IFERROR(INDEX(Products!$E:$E,MATCH(D2271,Products!$A:$A,0)),"Unknown")</f>
        <v>Woodland</v>
      </c>
      <c r="X2271" t="str">
        <f>IFERROR(INDEX(Stores!$B:$B,MATCH(E2271,Stores!$A:$A,0)),"Unknown")</f>
        <v>TrendMart Vellore Standard</v>
      </c>
      <c r="Y2271" t="str">
        <f>IFERROR(INDEX(Stores!$E:$E,MATCH(E2271,Stores!$A:$A,0)),"Unknown")</f>
        <v>South Zone 1</v>
      </c>
      <c r="Z2271" t="str">
        <f>IFERROR(INDEX(Customers!$J:$J,MATCH(C2271,Customers!$A:$A,0)),"Unknown")</f>
        <v>Silver</v>
      </c>
      <c r="AA2271" t="str">
        <f t="shared" si="35"/>
        <v>2024-11</v>
      </c>
      <c r="AB2271" t="str">
        <f>IFERROR(INDEX(Products!$I:$I,MATCH(D2271,Products!$A:$A,0)),"Unknown")</f>
        <v>SUP051</v>
      </c>
    </row>
    <row r="2272" spans="1:28" x14ac:dyDescent="0.25">
      <c r="A2272" t="s">
        <v>4295</v>
      </c>
      <c r="B2272" s="20">
        <v>45734</v>
      </c>
      <c r="C2272" t="s">
        <v>2931</v>
      </c>
      <c r="D2272" t="s">
        <v>1687</v>
      </c>
      <c r="E2272" t="s">
        <v>88</v>
      </c>
      <c r="F2272" t="s">
        <v>532</v>
      </c>
      <c r="G2272">
        <v>2</v>
      </c>
      <c r="H2272" s="21">
        <v>869.91</v>
      </c>
      <c r="I2272">
        <v>0</v>
      </c>
      <c r="J2272" s="21">
        <v>0</v>
      </c>
      <c r="K2272">
        <v>5</v>
      </c>
      <c r="L2272" s="21">
        <v>86.99</v>
      </c>
      <c r="M2272" s="21">
        <v>1826.81</v>
      </c>
      <c r="N2272" s="21">
        <v>962.6</v>
      </c>
      <c r="O2272" s="21">
        <v>777.22</v>
      </c>
      <c r="P2272" t="s">
        <v>125</v>
      </c>
      <c r="Q2272" t="s">
        <v>122</v>
      </c>
      <c r="R2272" t="s">
        <v>151</v>
      </c>
      <c r="S2272" t="s">
        <v>1184</v>
      </c>
      <c r="T2272" t="s">
        <v>153</v>
      </c>
      <c r="U2272" t="s">
        <v>154</v>
      </c>
      <c r="V2272" t="str">
        <f>IFERROR(INDEX(Products!$C:$C,MATCH(D2272,Products!$A:$A,0)),"Unknown")</f>
        <v>Accessories</v>
      </c>
      <c r="W2272" t="str">
        <f>IFERROR(INDEX(Products!$E:$E,MATCH(D2272,Products!$A:$A,0)),"Unknown")</f>
        <v>Unknown</v>
      </c>
      <c r="X2272" t="str">
        <f>IFERROR(INDEX(Stores!$B:$B,MATCH(E2272,Stores!$A:$A,0)),"Unknown")</f>
        <v>TrendMart Kozhikode Mall Kiosk</v>
      </c>
      <c r="Y2272" t="str">
        <f>IFERROR(INDEX(Stores!$E:$E,MATCH(E2272,Stores!$A:$A,0)),"Unknown")</f>
        <v>South Zone 1</v>
      </c>
      <c r="Z2272" t="str">
        <f>IFERROR(INDEX(Customers!$J:$J,MATCH(C2272,Customers!$A:$A,0)),"Unknown")</f>
        <v>Platinum</v>
      </c>
      <c r="AA2272" t="str">
        <f t="shared" si="35"/>
        <v>2025-03</v>
      </c>
      <c r="AB2272" t="str">
        <f>IFERROR(INDEX(Products!$I:$I,MATCH(D2272,Products!$A:$A,0)),"Unknown")</f>
        <v>SUP023</v>
      </c>
    </row>
    <row r="2273" spans="1:28" x14ac:dyDescent="0.25">
      <c r="A2273" t="s">
        <v>4296</v>
      </c>
      <c r="B2273" s="20">
        <v>45691</v>
      </c>
      <c r="C2273" t="s">
        <v>2650</v>
      </c>
      <c r="D2273" t="s">
        <v>931</v>
      </c>
      <c r="E2273" t="s">
        <v>451</v>
      </c>
      <c r="F2273" t="s">
        <v>221</v>
      </c>
      <c r="G2273">
        <v>2</v>
      </c>
      <c r="H2273" s="21">
        <v>1398.45</v>
      </c>
      <c r="I2273">
        <v>25</v>
      </c>
      <c r="J2273" s="21">
        <v>699.23</v>
      </c>
      <c r="K2273">
        <v>12</v>
      </c>
      <c r="L2273" s="21">
        <v>251.72</v>
      </c>
      <c r="M2273" s="21">
        <v>2349.39</v>
      </c>
      <c r="N2273" s="21">
        <v>2041.8</v>
      </c>
      <c r="O2273" s="21">
        <v>55.87</v>
      </c>
      <c r="P2273" t="s">
        <v>125</v>
      </c>
      <c r="Q2273" t="s">
        <v>120</v>
      </c>
      <c r="R2273" t="s">
        <v>151</v>
      </c>
      <c r="S2273" t="s">
        <v>3253</v>
      </c>
      <c r="T2273" t="s">
        <v>153</v>
      </c>
      <c r="U2273" t="s">
        <v>154</v>
      </c>
      <c r="V2273" t="str">
        <f>IFERROR(INDEX(Products!$C:$C,MATCH(D2273,Products!$A:$A,0)),"Unknown")</f>
        <v>Women Sarees</v>
      </c>
      <c r="W2273" t="str">
        <f>IFERROR(INDEX(Products!$E:$E,MATCH(D2273,Products!$A:$A,0)),"Unknown")</f>
        <v>Jack &amp; Jones</v>
      </c>
      <c r="X2273" t="str">
        <f>IFERROR(INDEX(Stores!$B:$B,MATCH(E2273,Stores!$A:$A,0)),"Unknown")</f>
        <v>TrendMart Thoothukudi High Street</v>
      </c>
      <c r="Y2273" t="str">
        <f>IFERROR(INDEX(Stores!$E:$E,MATCH(E2273,Stores!$A:$A,0)),"Unknown")</f>
        <v>South Zone 1</v>
      </c>
      <c r="Z2273" t="str">
        <f>IFERROR(INDEX(Customers!$J:$J,MATCH(C2273,Customers!$A:$A,0)),"Unknown")</f>
        <v>Platinum</v>
      </c>
      <c r="AA2273" t="str">
        <f t="shared" si="35"/>
        <v>2025-02</v>
      </c>
      <c r="AB2273" t="str">
        <f>IFERROR(INDEX(Products!$I:$I,MATCH(D2273,Products!$A:$A,0)),"Unknown")</f>
        <v>SUP058</v>
      </c>
    </row>
    <row r="2274" spans="1:28" x14ac:dyDescent="0.25">
      <c r="A2274" t="s">
        <v>4297</v>
      </c>
      <c r="B2274" s="20">
        <v>45696</v>
      </c>
      <c r="C2274" t="s">
        <v>1377</v>
      </c>
      <c r="D2274" t="s">
        <v>689</v>
      </c>
      <c r="E2274" t="s">
        <v>87</v>
      </c>
      <c r="F2274" t="s">
        <v>297</v>
      </c>
      <c r="G2274">
        <v>2</v>
      </c>
      <c r="H2274" s="21">
        <v>802.94</v>
      </c>
      <c r="I2274">
        <v>30</v>
      </c>
      <c r="J2274" s="21">
        <v>481.76</v>
      </c>
      <c r="K2274">
        <v>5</v>
      </c>
      <c r="L2274" s="21">
        <v>56.21</v>
      </c>
      <c r="M2274" s="21">
        <v>1180.33</v>
      </c>
      <c r="N2274" s="21">
        <v>1182.76</v>
      </c>
      <c r="O2274" s="21">
        <v>-58.64</v>
      </c>
      <c r="P2274" t="s">
        <v>121</v>
      </c>
      <c r="Q2274" t="s">
        <v>120</v>
      </c>
      <c r="R2274" t="s">
        <v>151</v>
      </c>
      <c r="S2274" t="s">
        <v>1929</v>
      </c>
      <c r="T2274" t="s">
        <v>161</v>
      </c>
      <c r="U2274" t="s">
        <v>184</v>
      </c>
      <c r="V2274" t="str">
        <f>IFERROR(INDEX(Products!$C:$C,MATCH(D2274,Products!$A:$A,0)),"Unknown")</f>
        <v>Kids Wear</v>
      </c>
      <c r="W2274" t="str">
        <f>IFERROR(INDEX(Products!$E:$E,MATCH(D2274,Products!$A:$A,0)),"Unknown")</f>
        <v>Libas</v>
      </c>
      <c r="X2274" t="str">
        <f>IFERROR(INDEX(Stores!$B:$B,MATCH(E2274,Stores!$A:$A,0)),"Unknown")</f>
        <v>TrendMart Thiruvananthapuram Standard</v>
      </c>
      <c r="Y2274" t="str">
        <f>IFERROR(INDEX(Stores!$E:$E,MATCH(E2274,Stores!$A:$A,0)),"Unknown")</f>
        <v>South Zone 1</v>
      </c>
      <c r="Z2274" t="str">
        <f>IFERROR(INDEX(Customers!$J:$J,MATCH(C2274,Customers!$A:$A,0)),"Unknown")</f>
        <v>Silver</v>
      </c>
      <c r="AA2274" t="str">
        <f t="shared" si="35"/>
        <v>2025-02</v>
      </c>
      <c r="AB2274" t="str">
        <f>IFERROR(INDEX(Products!$I:$I,MATCH(D2274,Products!$A:$A,0)),"Unknown")</f>
        <v>SUP031</v>
      </c>
    </row>
    <row r="2275" spans="1:28" x14ac:dyDescent="0.25">
      <c r="A2275" t="s">
        <v>4298</v>
      </c>
      <c r="B2275" s="20">
        <v>45697</v>
      </c>
      <c r="C2275" t="s">
        <v>772</v>
      </c>
      <c r="D2275" t="s">
        <v>251</v>
      </c>
      <c r="E2275" t="s">
        <v>671</v>
      </c>
      <c r="F2275" t="s">
        <v>516</v>
      </c>
      <c r="G2275">
        <v>3</v>
      </c>
      <c r="H2275" s="21">
        <v>816.55</v>
      </c>
      <c r="I2275">
        <v>15</v>
      </c>
      <c r="J2275" s="21">
        <v>367.45</v>
      </c>
      <c r="K2275">
        <v>5</v>
      </c>
      <c r="L2275" s="21">
        <v>104.11</v>
      </c>
      <c r="M2275" s="21">
        <v>2186.31</v>
      </c>
      <c r="N2275" s="21">
        <v>1604.43</v>
      </c>
      <c r="O2275" s="21">
        <v>477.77</v>
      </c>
      <c r="P2275" t="s">
        <v>124</v>
      </c>
      <c r="Q2275" t="s">
        <v>120</v>
      </c>
      <c r="R2275" t="s">
        <v>151</v>
      </c>
      <c r="S2275" t="s">
        <v>668</v>
      </c>
      <c r="T2275" t="s">
        <v>161</v>
      </c>
      <c r="U2275" t="s">
        <v>154</v>
      </c>
      <c r="V2275" t="str">
        <f>IFERROR(INDEX(Products!$C:$C,MATCH(D2275,Products!$A:$A,0)),"Unknown")</f>
        <v>Women Tops</v>
      </c>
      <c r="W2275" t="str">
        <f>IFERROR(INDEX(Products!$E:$E,MATCH(D2275,Products!$A:$A,0)),"Unknown")</f>
        <v>US Polo Assn</v>
      </c>
      <c r="X2275" t="str">
        <f>IFERROR(INDEX(Stores!$B:$B,MATCH(E2275,Stores!$A:$A,0)),"Unknown")</f>
        <v>TrendMart Hyderabad Mall Kiosk</v>
      </c>
      <c r="Y2275" t="str">
        <f>IFERROR(INDEX(Stores!$E:$E,MATCH(E2275,Stores!$A:$A,0)),"Unknown")</f>
        <v>South Zone 2</v>
      </c>
      <c r="Z2275" t="str">
        <f>IFERROR(INDEX(Customers!$J:$J,MATCH(C2275,Customers!$A:$A,0)),"Unknown")</f>
        <v>Regular</v>
      </c>
      <c r="AA2275" t="str">
        <f t="shared" si="35"/>
        <v>2025-02</v>
      </c>
      <c r="AB2275" t="str">
        <f>IFERROR(INDEX(Products!$I:$I,MATCH(D2275,Products!$A:$A,0)),"Unknown")</f>
        <v>SUP039</v>
      </c>
    </row>
    <row r="2276" spans="1:28" x14ac:dyDescent="0.25">
      <c r="A2276" t="s">
        <v>4299</v>
      </c>
      <c r="B2276" s="20">
        <v>45391</v>
      </c>
      <c r="C2276" t="s">
        <v>2996</v>
      </c>
      <c r="D2276" t="s">
        <v>1649</v>
      </c>
      <c r="E2276" t="s">
        <v>639</v>
      </c>
      <c r="F2276" t="s">
        <v>532</v>
      </c>
      <c r="G2276">
        <v>2</v>
      </c>
      <c r="H2276" s="21">
        <v>1248.3900000000001</v>
      </c>
      <c r="I2276">
        <v>30</v>
      </c>
      <c r="J2276" s="21">
        <v>749.03</v>
      </c>
      <c r="K2276">
        <v>12</v>
      </c>
      <c r="L2276" s="21">
        <v>209.73</v>
      </c>
      <c r="M2276" s="21">
        <v>1957.48</v>
      </c>
      <c r="N2276" s="21">
        <v>1758.96</v>
      </c>
      <c r="O2276" s="21">
        <v>-11.21</v>
      </c>
      <c r="P2276" t="s">
        <v>124</v>
      </c>
      <c r="Q2276" t="s">
        <v>122</v>
      </c>
      <c r="R2276" t="s">
        <v>151</v>
      </c>
      <c r="S2276" t="s">
        <v>392</v>
      </c>
      <c r="T2276" t="s">
        <v>153</v>
      </c>
      <c r="U2276" t="s">
        <v>184</v>
      </c>
      <c r="V2276" t="str">
        <f>IFERROR(INDEX(Products!$C:$C,MATCH(D2276,Products!$A:$A,0)),"Unknown")</f>
        <v>Belts</v>
      </c>
      <c r="W2276" t="str">
        <f>IFERROR(INDEX(Products!$E:$E,MATCH(D2276,Products!$A:$A,0)),"Unknown")</f>
        <v>Bata</v>
      </c>
      <c r="X2276" t="str">
        <f>IFERROR(INDEX(Stores!$B:$B,MATCH(E2276,Stores!$A:$A,0)),"Unknown")</f>
        <v>TrendMart Kurnool Outlet</v>
      </c>
      <c r="Y2276" t="str">
        <f>IFERROR(INDEX(Stores!$E:$E,MATCH(E2276,Stores!$A:$A,0)),"Unknown")</f>
        <v>South Zone 3</v>
      </c>
      <c r="Z2276" t="str">
        <f>IFERROR(INDEX(Customers!$J:$J,MATCH(C2276,Customers!$A:$A,0)),"Unknown")</f>
        <v>Regular</v>
      </c>
      <c r="AA2276" t="str">
        <f t="shared" si="35"/>
        <v>2024-04</v>
      </c>
      <c r="AB2276" t="str">
        <f>IFERROR(INDEX(Products!$I:$I,MATCH(D2276,Products!$A:$A,0)),"Unknown")</f>
        <v>SUP032</v>
      </c>
    </row>
    <row r="2277" spans="1:28" x14ac:dyDescent="0.25">
      <c r="A2277" t="s">
        <v>4300</v>
      </c>
      <c r="B2277" s="20">
        <v>45425</v>
      </c>
      <c r="C2277" t="s">
        <v>2602</v>
      </c>
      <c r="D2277" t="s">
        <v>947</v>
      </c>
      <c r="E2277" t="s">
        <v>1163</v>
      </c>
      <c r="F2277" t="s">
        <v>176</v>
      </c>
      <c r="G2277">
        <v>1</v>
      </c>
      <c r="H2277" s="21">
        <v>725</v>
      </c>
      <c r="I2277">
        <v>0</v>
      </c>
      <c r="J2277" s="21">
        <v>0</v>
      </c>
      <c r="K2277">
        <v>5</v>
      </c>
      <c r="L2277" s="21">
        <v>36.25</v>
      </c>
      <c r="M2277" s="21">
        <v>761.25</v>
      </c>
      <c r="N2277" s="21">
        <v>569.35</v>
      </c>
      <c r="O2277" s="21">
        <v>155.65</v>
      </c>
      <c r="P2277" t="s">
        <v>124</v>
      </c>
      <c r="Q2277" t="s">
        <v>122</v>
      </c>
      <c r="R2277" t="s">
        <v>313</v>
      </c>
      <c r="S2277" t="s">
        <v>4301</v>
      </c>
      <c r="T2277" t="s">
        <v>153</v>
      </c>
      <c r="U2277" t="s">
        <v>154</v>
      </c>
      <c r="V2277" t="str">
        <f>IFERROR(INDEX(Products!$C:$C,MATCH(D2277,Products!$A:$A,0)),"Unknown")</f>
        <v>Women Kurtis</v>
      </c>
      <c r="W2277" t="str">
        <f>IFERROR(INDEX(Products!$E:$E,MATCH(D2277,Products!$A:$A,0)),"Unknown")</f>
        <v>Sonata</v>
      </c>
      <c r="X2277" t="str">
        <f>IFERROR(INDEX(Stores!$B:$B,MATCH(E2277,Stores!$A:$A,0)),"Unknown")</f>
        <v>TrendMart Alappuzha Outlet</v>
      </c>
      <c r="Y2277" t="str">
        <f>IFERROR(INDEX(Stores!$E:$E,MATCH(E2277,Stores!$A:$A,0)),"Unknown")</f>
        <v>South Zone 1</v>
      </c>
      <c r="Z2277" t="str">
        <f>IFERROR(INDEX(Customers!$J:$J,MATCH(C2277,Customers!$A:$A,0)),"Unknown")</f>
        <v>Platinum</v>
      </c>
      <c r="AA2277" t="str">
        <f t="shared" si="35"/>
        <v>2024-05</v>
      </c>
      <c r="AB2277" t="str">
        <f>IFERROR(INDEX(Products!$I:$I,MATCH(D2277,Products!$A:$A,0)),"Unknown")</f>
        <v>SUP001</v>
      </c>
    </row>
    <row r="2278" spans="1:28" x14ac:dyDescent="0.25">
      <c r="A2278" t="s">
        <v>4302</v>
      </c>
      <c r="B2278" s="20">
        <v>45652</v>
      </c>
      <c r="C2278" t="s">
        <v>2050</v>
      </c>
      <c r="D2278" t="s">
        <v>531</v>
      </c>
      <c r="E2278" t="s">
        <v>84</v>
      </c>
      <c r="F2278" t="s">
        <v>297</v>
      </c>
      <c r="G2278">
        <v>2</v>
      </c>
      <c r="H2278" s="21">
        <v>2925.37</v>
      </c>
      <c r="I2278">
        <v>25</v>
      </c>
      <c r="J2278" s="21">
        <v>1462.68</v>
      </c>
      <c r="K2278">
        <v>12</v>
      </c>
      <c r="L2278" s="21">
        <v>526.57000000000005</v>
      </c>
      <c r="M2278" s="21">
        <v>4914.63</v>
      </c>
      <c r="N2278" s="21">
        <v>4068.02</v>
      </c>
      <c r="O2278" s="21">
        <v>320.04000000000002</v>
      </c>
      <c r="P2278" t="s">
        <v>123</v>
      </c>
      <c r="Q2278" t="s">
        <v>120</v>
      </c>
      <c r="R2278" t="s">
        <v>313</v>
      </c>
      <c r="S2278" t="s">
        <v>3003</v>
      </c>
      <c r="T2278" t="s">
        <v>153</v>
      </c>
      <c r="U2278" t="s">
        <v>154</v>
      </c>
      <c r="V2278" t="str">
        <f>IFERROR(INDEX(Products!$C:$C,MATCH(D2278,Products!$A:$A,0)),"Unknown")</f>
        <v>Handbags</v>
      </c>
      <c r="W2278" t="str">
        <f>IFERROR(INDEX(Products!$E:$E,MATCH(D2278,Products!$A:$A,0)),"Unknown")</f>
        <v>GRT Jewellers</v>
      </c>
      <c r="X2278" t="str">
        <f>IFERROR(INDEX(Stores!$B:$B,MATCH(E2278,Stores!$A:$A,0)),"Unknown")</f>
        <v>TrendMart Tirupati Standard</v>
      </c>
      <c r="Y2278" t="str">
        <f>IFERROR(INDEX(Stores!$E:$E,MATCH(E2278,Stores!$A:$A,0)),"Unknown")</f>
        <v>South Zone 3</v>
      </c>
      <c r="Z2278" t="str">
        <f>IFERROR(INDEX(Customers!$J:$J,MATCH(C2278,Customers!$A:$A,0)),"Unknown")</f>
        <v>Gold</v>
      </c>
      <c r="AA2278" t="str">
        <f t="shared" si="35"/>
        <v>2024-12</v>
      </c>
      <c r="AB2278" t="str">
        <f>IFERROR(INDEX(Products!$I:$I,MATCH(D2278,Products!$A:$A,0)),"Unknown")</f>
        <v>SUP047</v>
      </c>
    </row>
    <row r="2279" spans="1:28" x14ac:dyDescent="0.25">
      <c r="A2279" t="s">
        <v>4303</v>
      </c>
      <c r="B2279" s="20">
        <v>45460</v>
      </c>
      <c r="C2279" t="s">
        <v>3554</v>
      </c>
      <c r="D2279" t="s">
        <v>386</v>
      </c>
      <c r="E2279" t="s">
        <v>617</v>
      </c>
      <c r="F2279" t="s">
        <v>297</v>
      </c>
      <c r="G2279">
        <v>5</v>
      </c>
      <c r="H2279" s="21">
        <v>1517.03</v>
      </c>
      <c r="I2279">
        <v>25</v>
      </c>
      <c r="J2279" s="21">
        <v>1896.29</v>
      </c>
      <c r="K2279">
        <v>12</v>
      </c>
      <c r="L2279" s="21">
        <v>682.66</v>
      </c>
      <c r="M2279" s="21">
        <v>6371.52</v>
      </c>
      <c r="N2279" s="21">
        <v>5066.3</v>
      </c>
      <c r="O2279" s="21">
        <v>622.55999999999995</v>
      </c>
      <c r="P2279" t="s">
        <v>124</v>
      </c>
      <c r="Q2279" t="s">
        <v>120</v>
      </c>
      <c r="R2279" t="s">
        <v>151</v>
      </c>
      <c r="S2279" t="s">
        <v>3291</v>
      </c>
      <c r="T2279" t="s">
        <v>153</v>
      </c>
      <c r="U2279" t="s">
        <v>154</v>
      </c>
      <c r="V2279" t="str">
        <f>IFERROR(INDEX(Products!$C:$C,MATCH(D2279,Products!$A:$A,0)),"Unknown")</f>
        <v>Winter Wear</v>
      </c>
      <c r="W2279" t="str">
        <f>IFERROR(INDEX(Products!$E:$E,MATCH(D2279,Products!$A:$A,0)),"Unknown")</f>
        <v>Blackberrys</v>
      </c>
      <c r="X2279" t="str">
        <f>IFERROR(INDEX(Stores!$B:$B,MATCH(E2279,Stores!$A:$A,0)),"Unknown")</f>
        <v>TrendMart Mangaluru High Street</v>
      </c>
      <c r="Y2279" t="str">
        <f>IFERROR(INDEX(Stores!$E:$E,MATCH(E2279,Stores!$A:$A,0)),"Unknown")</f>
        <v>South Zone 2</v>
      </c>
      <c r="Z2279" t="str">
        <f>IFERROR(INDEX(Customers!$J:$J,MATCH(C2279,Customers!$A:$A,0)),"Unknown")</f>
        <v>Gold</v>
      </c>
      <c r="AA2279" t="str">
        <f t="shared" si="35"/>
        <v>2024-06</v>
      </c>
      <c r="AB2279" t="str">
        <f>IFERROR(INDEX(Products!$I:$I,MATCH(D2279,Products!$A:$A,0)),"Unknown")</f>
        <v>SUP051</v>
      </c>
    </row>
    <row r="2280" spans="1:28" x14ac:dyDescent="0.25">
      <c r="A2280" t="s">
        <v>4304</v>
      </c>
      <c r="B2280" s="20">
        <v>45706</v>
      </c>
      <c r="C2280" t="s">
        <v>1393</v>
      </c>
      <c r="D2280" t="s">
        <v>1590</v>
      </c>
      <c r="E2280" t="s">
        <v>318</v>
      </c>
      <c r="F2280" t="s">
        <v>443</v>
      </c>
      <c r="G2280">
        <v>2</v>
      </c>
      <c r="H2280" s="21">
        <v>499.02</v>
      </c>
      <c r="I2280">
        <v>15</v>
      </c>
      <c r="J2280" s="21">
        <v>149.71</v>
      </c>
      <c r="K2280">
        <v>5</v>
      </c>
      <c r="L2280" s="21">
        <v>42.42</v>
      </c>
      <c r="M2280" s="21">
        <v>890.75</v>
      </c>
      <c r="N2280" s="21">
        <v>674.18</v>
      </c>
      <c r="O2280" s="21">
        <v>174.15</v>
      </c>
      <c r="P2280" t="s">
        <v>121</v>
      </c>
      <c r="Q2280" t="s">
        <v>120</v>
      </c>
      <c r="R2280" t="s">
        <v>151</v>
      </c>
      <c r="S2280" t="s">
        <v>1134</v>
      </c>
      <c r="T2280" t="s">
        <v>153</v>
      </c>
      <c r="U2280" t="s">
        <v>154</v>
      </c>
      <c r="V2280" t="str">
        <f>IFERROR(INDEX(Products!$C:$C,MATCH(D2280,Products!$A:$A,0)),"Unknown")</f>
        <v>Kids Wear</v>
      </c>
      <c r="W2280" t="str">
        <f>IFERROR(INDEX(Products!$E:$E,MATCH(D2280,Products!$A:$A,0)),"Unknown")</f>
        <v>Peter England</v>
      </c>
      <c r="X2280" t="str">
        <f>IFERROR(INDEX(Stores!$B:$B,MATCH(E2280,Stores!$A:$A,0)),"Unknown")</f>
        <v>TrendMart Guntur Outlet</v>
      </c>
      <c r="Y2280" t="str">
        <f>IFERROR(INDEX(Stores!$E:$E,MATCH(E2280,Stores!$A:$A,0)),"Unknown")</f>
        <v>South Zone 3</v>
      </c>
      <c r="Z2280" t="str">
        <f>IFERROR(INDEX(Customers!$J:$J,MATCH(C2280,Customers!$A:$A,0)),"Unknown")</f>
        <v>Platinum</v>
      </c>
      <c r="AA2280" t="str">
        <f t="shared" si="35"/>
        <v>2025-02</v>
      </c>
      <c r="AB2280" t="str">
        <f>IFERROR(INDEX(Products!$I:$I,MATCH(D2280,Products!$A:$A,0)),"Unknown")</f>
        <v>SUP065</v>
      </c>
    </row>
    <row r="2281" spans="1:28" x14ac:dyDescent="0.25">
      <c r="A2281" t="s">
        <v>4305</v>
      </c>
      <c r="B2281" s="20">
        <v>45662</v>
      </c>
      <c r="C2281" t="s">
        <v>1652</v>
      </c>
      <c r="D2281" t="s">
        <v>1931</v>
      </c>
      <c r="E2281" t="s">
        <v>1017</v>
      </c>
      <c r="F2281" t="s">
        <v>596</v>
      </c>
      <c r="G2281">
        <v>3</v>
      </c>
      <c r="H2281" s="21">
        <v>1004.67</v>
      </c>
      <c r="I2281">
        <v>10</v>
      </c>
      <c r="J2281" s="21">
        <v>301.39999999999998</v>
      </c>
      <c r="K2281">
        <v>12</v>
      </c>
      <c r="L2281" s="21">
        <v>325.51</v>
      </c>
      <c r="M2281" s="21">
        <v>3038.12</v>
      </c>
      <c r="N2281" s="21">
        <v>2010.51</v>
      </c>
      <c r="O2281" s="21">
        <v>702.1</v>
      </c>
      <c r="P2281" t="s">
        <v>121</v>
      </c>
      <c r="Q2281" t="s">
        <v>120</v>
      </c>
      <c r="R2281" t="s">
        <v>151</v>
      </c>
      <c r="S2281" t="s">
        <v>217</v>
      </c>
      <c r="T2281" t="s">
        <v>161</v>
      </c>
      <c r="U2281" t="s">
        <v>154</v>
      </c>
      <c r="V2281" t="str">
        <f>IFERROR(INDEX(Products!$C:$C,MATCH(D2281,Products!$A:$A,0)),"Unknown")</f>
        <v>Men Jeans</v>
      </c>
      <c r="W2281" t="str">
        <f>IFERROR(INDEX(Products!$E:$E,MATCH(D2281,Products!$A:$A,0)),"Unknown")</f>
        <v>Libas</v>
      </c>
      <c r="X2281" t="str">
        <f>IFERROR(INDEX(Stores!$B:$B,MATCH(E2281,Stores!$A:$A,0)),"Unknown")</f>
        <v>TrendMart Mangaluru Standard</v>
      </c>
      <c r="Y2281" t="str">
        <f>IFERROR(INDEX(Stores!$E:$E,MATCH(E2281,Stores!$A:$A,0)),"Unknown")</f>
        <v>South Zone 2</v>
      </c>
      <c r="Z2281" t="str">
        <f>IFERROR(INDEX(Customers!$J:$J,MATCH(C2281,Customers!$A:$A,0)),"Unknown")</f>
        <v>Silver</v>
      </c>
      <c r="AA2281" t="str">
        <f t="shared" si="35"/>
        <v>2025-01</v>
      </c>
      <c r="AB2281" t="str">
        <f>IFERROR(INDEX(Products!$I:$I,MATCH(D2281,Products!$A:$A,0)),"Unknown")</f>
        <v>SUP018</v>
      </c>
    </row>
    <row r="2282" spans="1:28" x14ac:dyDescent="0.25">
      <c r="A2282" t="s">
        <v>4306</v>
      </c>
      <c r="B2282" s="20">
        <v>45471</v>
      </c>
      <c r="C2282" t="s">
        <v>2355</v>
      </c>
      <c r="D2282" t="s">
        <v>205</v>
      </c>
      <c r="E2282" t="s">
        <v>495</v>
      </c>
      <c r="F2282" t="s">
        <v>286</v>
      </c>
      <c r="G2282">
        <v>3</v>
      </c>
      <c r="H2282" s="21">
        <v>989.36</v>
      </c>
      <c r="I2282">
        <v>25</v>
      </c>
      <c r="J2282" s="21">
        <v>742.02</v>
      </c>
      <c r="K2282">
        <v>5</v>
      </c>
      <c r="L2282" s="21">
        <v>111.3</v>
      </c>
      <c r="M2282" s="21">
        <v>2337.36</v>
      </c>
      <c r="N2282" s="21">
        <v>2077.59</v>
      </c>
      <c r="O2282" s="21">
        <v>148.47</v>
      </c>
      <c r="P2282" t="s">
        <v>123</v>
      </c>
      <c r="Q2282" t="s">
        <v>120</v>
      </c>
      <c r="R2282" t="s">
        <v>151</v>
      </c>
      <c r="S2282" t="s">
        <v>1567</v>
      </c>
      <c r="T2282" t="s">
        <v>153</v>
      </c>
      <c r="U2282" t="s">
        <v>154</v>
      </c>
      <c r="V2282" t="str">
        <f>IFERROR(INDEX(Products!$C:$C,MATCH(D2282,Products!$A:$A,0)),"Unknown")</f>
        <v>Women Jeans</v>
      </c>
      <c r="W2282" t="str">
        <f>IFERROR(INDEX(Products!$E:$E,MATCH(D2282,Products!$A:$A,0)),"Unknown")</f>
        <v>Sonata</v>
      </c>
      <c r="X2282" t="str">
        <f>IFERROR(INDEX(Stores!$B:$B,MATCH(E2282,Stores!$A:$A,0)),"Unknown")</f>
        <v>TrendMart Visakhapatnam Flagship</v>
      </c>
      <c r="Y2282" t="str">
        <f>IFERROR(INDEX(Stores!$E:$E,MATCH(E2282,Stores!$A:$A,0)),"Unknown")</f>
        <v>South Zone 3</v>
      </c>
      <c r="Z2282" t="str">
        <f>IFERROR(INDEX(Customers!$J:$J,MATCH(C2282,Customers!$A:$A,0)),"Unknown")</f>
        <v>Gold</v>
      </c>
      <c r="AA2282" t="str">
        <f t="shared" si="35"/>
        <v>2024-06</v>
      </c>
      <c r="AB2282" t="str">
        <f>IFERROR(INDEX(Products!$I:$I,MATCH(D2282,Products!$A:$A,0)),"Unknown")</f>
        <v>SUP014</v>
      </c>
    </row>
    <row r="2283" spans="1:28" x14ac:dyDescent="0.25">
      <c r="A2283" t="s">
        <v>4307</v>
      </c>
      <c r="B2283" s="20">
        <v>45585</v>
      </c>
      <c r="C2283" t="s">
        <v>1556</v>
      </c>
      <c r="D2283" t="s">
        <v>1504</v>
      </c>
      <c r="E2283" t="s">
        <v>396</v>
      </c>
      <c r="F2283" t="s">
        <v>408</v>
      </c>
      <c r="G2283">
        <v>1</v>
      </c>
      <c r="H2283" s="21">
        <v>1669.82</v>
      </c>
      <c r="I2283">
        <v>10</v>
      </c>
      <c r="J2283" s="21">
        <v>166.98</v>
      </c>
      <c r="K2283">
        <v>12</v>
      </c>
      <c r="L2283" s="21">
        <v>180.34</v>
      </c>
      <c r="M2283" s="21">
        <v>1683.18</v>
      </c>
      <c r="N2283" s="21">
        <v>1144.5899999999999</v>
      </c>
      <c r="O2283" s="21">
        <v>358.25</v>
      </c>
      <c r="P2283" t="s">
        <v>124</v>
      </c>
      <c r="Q2283" t="s">
        <v>120</v>
      </c>
      <c r="R2283" t="s">
        <v>151</v>
      </c>
      <c r="S2283" t="s">
        <v>668</v>
      </c>
      <c r="T2283" t="s">
        <v>161</v>
      </c>
      <c r="U2283" t="s">
        <v>154</v>
      </c>
      <c r="V2283" t="str">
        <f>IFERROR(INDEX(Products!$C:$C,MATCH(D2283,Products!$A:$A,0)),"Unknown")</f>
        <v>Women Dresses</v>
      </c>
      <c r="W2283" t="str">
        <f>IFERROR(INDEX(Products!$E:$E,MATCH(D2283,Products!$A:$A,0)),"Unknown")</f>
        <v>Westside</v>
      </c>
      <c r="X2283" t="str">
        <f>IFERROR(INDEX(Stores!$B:$B,MATCH(E2283,Stores!$A:$A,0)),"Unknown")</f>
        <v>TrendMart Davanagere High Street</v>
      </c>
      <c r="Y2283" t="str">
        <f>IFERROR(INDEX(Stores!$E:$E,MATCH(E2283,Stores!$A:$A,0)),"Unknown")</f>
        <v>South Zone 2</v>
      </c>
      <c r="Z2283" t="str">
        <f>IFERROR(INDEX(Customers!$J:$J,MATCH(C2283,Customers!$A:$A,0)),"Unknown")</f>
        <v>Silver</v>
      </c>
      <c r="AA2283" t="str">
        <f t="shared" si="35"/>
        <v>2024-10</v>
      </c>
      <c r="AB2283" t="str">
        <f>IFERROR(INDEX(Products!$I:$I,MATCH(D2283,Products!$A:$A,0)),"Unknown")</f>
        <v>SUP010</v>
      </c>
    </row>
    <row r="2284" spans="1:28" x14ac:dyDescent="0.25">
      <c r="A2284" t="s">
        <v>4308</v>
      </c>
      <c r="B2284" s="20">
        <v>45420</v>
      </c>
      <c r="C2284" t="s">
        <v>3214</v>
      </c>
      <c r="D2284" t="s">
        <v>447</v>
      </c>
      <c r="E2284" t="s">
        <v>848</v>
      </c>
      <c r="F2284" t="s">
        <v>221</v>
      </c>
      <c r="G2284">
        <v>1</v>
      </c>
      <c r="H2284" s="21">
        <v>1420.74</v>
      </c>
      <c r="I2284">
        <v>10</v>
      </c>
      <c r="J2284" s="21">
        <v>142.07</v>
      </c>
      <c r="K2284">
        <v>12</v>
      </c>
      <c r="L2284" s="21">
        <v>153.44</v>
      </c>
      <c r="M2284" s="21">
        <v>1432.11</v>
      </c>
      <c r="N2284" s="21">
        <v>1073.45</v>
      </c>
      <c r="O2284" s="21">
        <v>205.22</v>
      </c>
      <c r="P2284" t="s">
        <v>125</v>
      </c>
      <c r="Q2284" t="s">
        <v>120</v>
      </c>
      <c r="R2284" t="s">
        <v>151</v>
      </c>
      <c r="S2284" t="s">
        <v>444</v>
      </c>
      <c r="T2284" t="s">
        <v>153</v>
      </c>
      <c r="U2284" t="s">
        <v>154</v>
      </c>
      <c r="V2284" t="str">
        <f>IFERROR(INDEX(Products!$C:$C,MATCH(D2284,Products!$A:$A,0)),"Unknown")</f>
        <v>Women Jeans</v>
      </c>
      <c r="W2284" t="str">
        <f>IFERROR(INDEX(Products!$E:$E,MATCH(D2284,Products!$A:$A,0)),"Unknown")</f>
        <v>Biba</v>
      </c>
      <c r="X2284" t="str">
        <f>IFERROR(INDEX(Stores!$B:$B,MATCH(E2284,Stores!$A:$A,0)),"Unknown")</f>
        <v>TrendMart Shivamogga Standard</v>
      </c>
      <c r="Y2284" t="str">
        <f>IFERROR(INDEX(Stores!$E:$E,MATCH(E2284,Stores!$A:$A,0)),"Unknown")</f>
        <v>South Zone 2</v>
      </c>
      <c r="Z2284" t="str">
        <f>IFERROR(INDEX(Customers!$J:$J,MATCH(C2284,Customers!$A:$A,0)),"Unknown")</f>
        <v>Regular</v>
      </c>
      <c r="AA2284" t="str">
        <f t="shared" si="35"/>
        <v>2024-05</v>
      </c>
      <c r="AB2284" t="str">
        <f>IFERROR(INDEX(Products!$I:$I,MATCH(D2284,Products!$A:$A,0)),"Unknown")</f>
        <v>SUP069</v>
      </c>
    </row>
    <row r="2285" spans="1:28" x14ac:dyDescent="0.25">
      <c r="A2285" t="s">
        <v>4309</v>
      </c>
      <c r="B2285" s="20">
        <v>45713</v>
      </c>
      <c r="C2285" t="s">
        <v>1684</v>
      </c>
      <c r="D2285" t="s">
        <v>1649</v>
      </c>
      <c r="E2285" t="s">
        <v>1002</v>
      </c>
      <c r="F2285" t="s">
        <v>237</v>
      </c>
      <c r="G2285">
        <v>3</v>
      </c>
      <c r="H2285" s="21">
        <v>1272.45</v>
      </c>
      <c r="I2285">
        <v>10</v>
      </c>
      <c r="J2285" s="21">
        <v>381.74</v>
      </c>
      <c r="K2285">
        <v>12</v>
      </c>
      <c r="L2285" s="21">
        <v>412.27</v>
      </c>
      <c r="M2285" s="21">
        <v>3847.88</v>
      </c>
      <c r="N2285" s="21">
        <v>2638.44</v>
      </c>
      <c r="O2285" s="21">
        <v>797.17</v>
      </c>
      <c r="P2285" t="s">
        <v>121</v>
      </c>
      <c r="Q2285" t="s">
        <v>120</v>
      </c>
      <c r="R2285" t="s">
        <v>151</v>
      </c>
      <c r="S2285" t="s">
        <v>2254</v>
      </c>
      <c r="T2285" t="s">
        <v>153</v>
      </c>
      <c r="U2285" t="s">
        <v>154</v>
      </c>
      <c r="V2285" t="str">
        <f>IFERROR(INDEX(Products!$C:$C,MATCH(D2285,Products!$A:$A,0)),"Unknown")</f>
        <v>Belts</v>
      </c>
      <c r="W2285" t="str">
        <f>IFERROR(INDEX(Products!$E:$E,MATCH(D2285,Products!$A:$A,0)),"Unknown")</f>
        <v>Bata</v>
      </c>
      <c r="X2285" t="str">
        <f>IFERROR(INDEX(Stores!$B:$B,MATCH(E2285,Stores!$A:$A,0)),"Unknown")</f>
        <v>TrendMart Coimbatore Mall Kiosk</v>
      </c>
      <c r="Y2285" t="str">
        <f>IFERROR(INDEX(Stores!$E:$E,MATCH(E2285,Stores!$A:$A,0)),"Unknown")</f>
        <v>South Zone 1</v>
      </c>
      <c r="Z2285" t="str">
        <f>IFERROR(INDEX(Customers!$J:$J,MATCH(C2285,Customers!$A:$A,0)),"Unknown")</f>
        <v>Silver</v>
      </c>
      <c r="AA2285" t="str">
        <f t="shared" si="35"/>
        <v>2025-02</v>
      </c>
      <c r="AB2285" t="str">
        <f>IFERROR(INDEX(Products!$I:$I,MATCH(D2285,Products!$A:$A,0)),"Unknown")</f>
        <v>SUP032</v>
      </c>
    </row>
    <row r="2286" spans="1:28" x14ac:dyDescent="0.25">
      <c r="A2286" t="s">
        <v>4310</v>
      </c>
      <c r="B2286" s="20">
        <v>45467</v>
      </c>
      <c r="C2286" t="s">
        <v>2797</v>
      </c>
      <c r="D2286" t="s">
        <v>157</v>
      </c>
      <c r="E2286" t="s">
        <v>934</v>
      </c>
      <c r="F2286" t="s">
        <v>263</v>
      </c>
      <c r="G2286">
        <v>4</v>
      </c>
      <c r="H2286" s="21">
        <v>799.63</v>
      </c>
      <c r="I2286">
        <v>0</v>
      </c>
      <c r="J2286" s="21">
        <v>0</v>
      </c>
      <c r="K2286">
        <v>5</v>
      </c>
      <c r="L2286" s="21">
        <v>159.93</v>
      </c>
      <c r="M2286" s="21">
        <v>3358.45</v>
      </c>
      <c r="N2286" s="21">
        <v>1968.44</v>
      </c>
      <c r="O2286" s="21">
        <v>1230.08</v>
      </c>
      <c r="P2286" t="s">
        <v>123</v>
      </c>
      <c r="Q2286" t="s">
        <v>120</v>
      </c>
      <c r="R2286" t="s">
        <v>151</v>
      </c>
      <c r="S2286" t="s">
        <v>3082</v>
      </c>
      <c r="T2286" t="s">
        <v>153</v>
      </c>
      <c r="U2286" t="s">
        <v>154</v>
      </c>
      <c r="V2286" t="str">
        <f>IFERROR(INDEX(Products!$C:$C,MATCH(D2286,Products!$A:$A,0)),"Unknown")</f>
        <v>Men T-Shirts</v>
      </c>
      <c r="W2286" t="str">
        <f>IFERROR(INDEX(Products!$E:$E,MATCH(D2286,Products!$A:$A,0)),"Unknown")</f>
        <v>Reebok</v>
      </c>
      <c r="X2286" t="str">
        <f>IFERROR(INDEX(Stores!$B:$B,MATCH(E2286,Stores!$A:$A,0)),"Unknown")</f>
        <v>TrendMart Bengaluru High Street</v>
      </c>
      <c r="Y2286" t="str">
        <f>IFERROR(INDEX(Stores!$E:$E,MATCH(E2286,Stores!$A:$A,0)),"Unknown")</f>
        <v>South Zone 2</v>
      </c>
      <c r="Z2286" t="str">
        <f>IFERROR(INDEX(Customers!$J:$J,MATCH(C2286,Customers!$A:$A,0)),"Unknown")</f>
        <v>Regular</v>
      </c>
      <c r="AA2286" t="str">
        <f t="shared" si="35"/>
        <v>2024-06</v>
      </c>
      <c r="AB2286" t="str">
        <f>IFERROR(INDEX(Products!$I:$I,MATCH(D2286,Products!$A:$A,0)),"Unknown")</f>
        <v>SUP073</v>
      </c>
    </row>
    <row r="2287" spans="1:28" x14ac:dyDescent="0.25">
      <c r="A2287" t="s">
        <v>4311</v>
      </c>
      <c r="B2287" s="20">
        <v>45569</v>
      </c>
      <c r="C2287" t="s">
        <v>2053</v>
      </c>
      <c r="D2287" t="s">
        <v>662</v>
      </c>
      <c r="E2287" t="s">
        <v>216</v>
      </c>
      <c r="F2287" t="s">
        <v>195</v>
      </c>
      <c r="G2287">
        <v>5</v>
      </c>
      <c r="H2287" s="21">
        <v>540.07000000000005</v>
      </c>
      <c r="I2287">
        <v>20</v>
      </c>
      <c r="J2287" s="21">
        <v>540.07000000000005</v>
      </c>
      <c r="K2287">
        <v>5</v>
      </c>
      <c r="L2287" s="21">
        <v>108.01</v>
      </c>
      <c r="M2287" s="21">
        <v>2268.29</v>
      </c>
      <c r="N2287" s="21">
        <v>1499.3</v>
      </c>
      <c r="O2287" s="21">
        <v>660.98</v>
      </c>
      <c r="P2287" t="s">
        <v>125</v>
      </c>
      <c r="Q2287" t="s">
        <v>120</v>
      </c>
      <c r="R2287" t="s">
        <v>151</v>
      </c>
      <c r="S2287" t="s">
        <v>902</v>
      </c>
      <c r="T2287" t="s">
        <v>153</v>
      </c>
      <c r="U2287" t="s">
        <v>154</v>
      </c>
      <c r="V2287" t="str">
        <f>IFERROR(INDEX(Products!$C:$C,MATCH(D2287,Products!$A:$A,0)),"Unknown")</f>
        <v>Men T-Shirts</v>
      </c>
      <c r="W2287" t="str">
        <f>IFERROR(INDEX(Products!$E:$E,MATCH(D2287,Products!$A:$A,0)),"Unknown")</f>
        <v>Global Desi</v>
      </c>
      <c r="X2287" t="str">
        <f>IFERROR(INDEX(Stores!$B:$B,MATCH(E2287,Stores!$A:$A,0)),"Unknown")</f>
        <v>TrendMart Madurai Mall Kiosk</v>
      </c>
      <c r="Y2287" t="str">
        <f>IFERROR(INDEX(Stores!$E:$E,MATCH(E2287,Stores!$A:$A,0)),"Unknown")</f>
        <v>South Zone 1</v>
      </c>
      <c r="Z2287" t="str">
        <f>IFERROR(INDEX(Customers!$J:$J,MATCH(C2287,Customers!$A:$A,0)),"Unknown")</f>
        <v>Silver</v>
      </c>
      <c r="AA2287" t="str">
        <f t="shared" si="35"/>
        <v>2024-10</v>
      </c>
      <c r="AB2287" t="str">
        <f>IFERROR(INDEX(Products!$I:$I,MATCH(D2287,Products!$A:$A,0)),"Unknown")</f>
        <v>SUP049</v>
      </c>
    </row>
    <row r="2288" spans="1:28" x14ac:dyDescent="0.25">
      <c r="A2288" t="s">
        <v>4312</v>
      </c>
      <c r="B2288" s="20">
        <v>45600</v>
      </c>
      <c r="C2288" t="s">
        <v>1764</v>
      </c>
      <c r="D2288" t="s">
        <v>447</v>
      </c>
      <c r="E2288" t="s">
        <v>741</v>
      </c>
      <c r="F2288" t="s">
        <v>182</v>
      </c>
      <c r="G2288">
        <v>1</v>
      </c>
      <c r="H2288" s="21">
        <v>1334.92</v>
      </c>
      <c r="I2288">
        <v>5</v>
      </c>
      <c r="J2288" s="21">
        <v>66.75</v>
      </c>
      <c r="K2288">
        <v>12</v>
      </c>
      <c r="L2288" s="21">
        <v>152.18</v>
      </c>
      <c r="M2288" s="21">
        <v>1420.35</v>
      </c>
      <c r="N2288" s="21">
        <v>1073.45</v>
      </c>
      <c r="O2288" s="21">
        <v>194.72</v>
      </c>
      <c r="P2288" t="s">
        <v>121</v>
      </c>
      <c r="Q2288" t="s">
        <v>120</v>
      </c>
      <c r="R2288" t="s">
        <v>313</v>
      </c>
      <c r="S2288" t="s">
        <v>789</v>
      </c>
      <c r="T2288" t="s">
        <v>153</v>
      </c>
      <c r="U2288" t="s">
        <v>154</v>
      </c>
      <c r="V2288" t="str">
        <f>IFERROR(INDEX(Products!$C:$C,MATCH(D2288,Products!$A:$A,0)),"Unknown")</f>
        <v>Women Jeans</v>
      </c>
      <c r="W2288" t="str">
        <f>IFERROR(INDEX(Products!$E:$E,MATCH(D2288,Products!$A:$A,0)),"Unknown")</f>
        <v>Biba</v>
      </c>
      <c r="X2288" t="str">
        <f>IFERROR(INDEX(Stores!$B:$B,MATCH(E2288,Stores!$A:$A,0)),"Unknown")</f>
        <v>TrendMart Nellore Mall Kiosk</v>
      </c>
      <c r="Y2288" t="str">
        <f>IFERROR(INDEX(Stores!$E:$E,MATCH(E2288,Stores!$A:$A,0)),"Unknown")</f>
        <v>South Zone 3</v>
      </c>
      <c r="Z2288" t="str">
        <f>IFERROR(INDEX(Customers!$J:$J,MATCH(C2288,Customers!$A:$A,0)),"Unknown")</f>
        <v>Regular</v>
      </c>
      <c r="AA2288" t="str">
        <f t="shared" si="35"/>
        <v>2024-11</v>
      </c>
      <c r="AB2288" t="str">
        <f>IFERROR(INDEX(Products!$I:$I,MATCH(D2288,Products!$A:$A,0)),"Unknown")</f>
        <v>SUP069</v>
      </c>
    </row>
    <row r="2289" spans="1:28" x14ac:dyDescent="0.25">
      <c r="A2289" t="s">
        <v>4313</v>
      </c>
      <c r="B2289" s="20">
        <v>45500</v>
      </c>
      <c r="C2289" t="s">
        <v>1897</v>
      </c>
      <c r="D2289" t="s">
        <v>339</v>
      </c>
      <c r="E2289" t="s">
        <v>1442</v>
      </c>
      <c r="F2289" t="s">
        <v>308</v>
      </c>
      <c r="G2289">
        <v>1</v>
      </c>
      <c r="H2289" s="21">
        <v>890.4</v>
      </c>
      <c r="I2289">
        <v>10</v>
      </c>
      <c r="J2289" s="21">
        <v>89.04</v>
      </c>
      <c r="K2289">
        <v>5</v>
      </c>
      <c r="L2289" s="21">
        <v>40.07</v>
      </c>
      <c r="M2289" s="21">
        <v>841.43</v>
      </c>
      <c r="N2289" s="21">
        <v>568.53</v>
      </c>
      <c r="O2289" s="21">
        <v>232.83</v>
      </c>
      <c r="P2289" t="s">
        <v>127</v>
      </c>
      <c r="Q2289" t="s">
        <v>122</v>
      </c>
      <c r="R2289" t="s">
        <v>151</v>
      </c>
      <c r="S2289" t="s">
        <v>3326</v>
      </c>
      <c r="T2289" t="s">
        <v>161</v>
      </c>
      <c r="U2289" t="s">
        <v>154</v>
      </c>
      <c r="V2289" t="str">
        <f>IFERROR(INDEX(Products!$C:$C,MATCH(D2289,Products!$A:$A,0)),"Unknown")</f>
        <v>Women Kurtis</v>
      </c>
      <c r="W2289" t="str">
        <f>IFERROR(INDEX(Products!$E:$E,MATCH(D2289,Products!$A:$A,0)),"Unknown")</f>
        <v>Allen Solly</v>
      </c>
      <c r="X2289" t="str">
        <f>IFERROR(INDEX(Stores!$B:$B,MATCH(E2289,Stores!$A:$A,0)),"Unknown")</f>
        <v>TrendMart Vellore High Street</v>
      </c>
      <c r="Y2289" t="str">
        <f>IFERROR(INDEX(Stores!$E:$E,MATCH(E2289,Stores!$A:$A,0)),"Unknown")</f>
        <v>South Zone 1</v>
      </c>
      <c r="Z2289" t="str">
        <f>IFERROR(INDEX(Customers!$J:$J,MATCH(C2289,Customers!$A:$A,0)),"Unknown")</f>
        <v>Silver</v>
      </c>
      <c r="AA2289" t="str">
        <f t="shared" si="35"/>
        <v>2024-07</v>
      </c>
      <c r="AB2289" t="str">
        <f>IFERROR(INDEX(Products!$I:$I,MATCH(D2289,Products!$A:$A,0)),"Unknown")</f>
        <v>SUP086</v>
      </c>
    </row>
    <row r="2290" spans="1:28" x14ac:dyDescent="0.25">
      <c r="A2290" t="s">
        <v>4314</v>
      </c>
      <c r="B2290" s="20">
        <v>45591</v>
      </c>
      <c r="C2290" t="s">
        <v>1562</v>
      </c>
      <c r="D2290" t="s">
        <v>2641</v>
      </c>
      <c r="E2290" t="s">
        <v>274</v>
      </c>
      <c r="F2290" t="s">
        <v>377</v>
      </c>
      <c r="G2290">
        <v>2</v>
      </c>
      <c r="H2290" s="21">
        <v>722.02</v>
      </c>
      <c r="I2290">
        <v>25</v>
      </c>
      <c r="J2290" s="21">
        <v>361.01</v>
      </c>
      <c r="K2290">
        <v>5</v>
      </c>
      <c r="L2290" s="21">
        <v>54.15</v>
      </c>
      <c r="M2290" s="21">
        <v>1137.18</v>
      </c>
      <c r="N2290" s="21">
        <v>1000.16</v>
      </c>
      <c r="O2290" s="21">
        <v>82.87</v>
      </c>
      <c r="P2290" t="s">
        <v>121</v>
      </c>
      <c r="Q2290" t="s">
        <v>122</v>
      </c>
      <c r="R2290" t="s">
        <v>151</v>
      </c>
      <c r="S2290" t="s">
        <v>3285</v>
      </c>
      <c r="T2290" t="s">
        <v>161</v>
      </c>
      <c r="U2290" t="s">
        <v>154</v>
      </c>
      <c r="V2290" t="str">
        <f>IFERROR(INDEX(Products!$C:$C,MATCH(D2290,Products!$A:$A,0)),"Unknown")</f>
        <v>Men Trousers</v>
      </c>
      <c r="W2290" t="str">
        <f>IFERROR(INDEX(Products!$E:$E,MATCH(D2290,Products!$A:$A,0)),"Unknown")</f>
        <v>Numero Uno</v>
      </c>
      <c r="X2290" t="str">
        <f>IFERROR(INDEX(Stores!$B:$B,MATCH(E2290,Stores!$A:$A,0)),"Unknown")</f>
        <v>TrendMart Mangaluru Standard</v>
      </c>
      <c r="Y2290" t="str">
        <f>IFERROR(INDEX(Stores!$E:$E,MATCH(E2290,Stores!$A:$A,0)),"Unknown")</f>
        <v>South Zone 2</v>
      </c>
      <c r="Z2290" t="str">
        <f>IFERROR(INDEX(Customers!$J:$J,MATCH(C2290,Customers!$A:$A,0)),"Unknown")</f>
        <v>Regular</v>
      </c>
      <c r="AA2290" t="str">
        <f t="shared" si="35"/>
        <v>2024-10</v>
      </c>
      <c r="AB2290" t="str">
        <f>IFERROR(INDEX(Products!$I:$I,MATCH(D2290,Products!$A:$A,0)),"Unknown")</f>
        <v>SUP072</v>
      </c>
    </row>
    <row r="2291" spans="1:28" x14ac:dyDescent="0.25">
      <c r="A2291" t="s">
        <v>4315</v>
      </c>
      <c r="B2291" s="20">
        <v>45543</v>
      </c>
      <c r="C2291" t="s">
        <v>1324</v>
      </c>
      <c r="D2291" t="s">
        <v>1931</v>
      </c>
      <c r="E2291" t="s">
        <v>681</v>
      </c>
      <c r="F2291" t="s">
        <v>403</v>
      </c>
      <c r="G2291">
        <v>2</v>
      </c>
      <c r="H2291" s="21">
        <v>1015.36</v>
      </c>
      <c r="I2291">
        <v>10</v>
      </c>
      <c r="J2291" s="21">
        <v>203.07</v>
      </c>
      <c r="K2291">
        <v>12</v>
      </c>
      <c r="L2291" s="21">
        <v>219.32</v>
      </c>
      <c r="M2291" s="21">
        <v>2046.97</v>
      </c>
      <c r="N2291" s="21">
        <v>1340.34</v>
      </c>
      <c r="O2291" s="21">
        <v>487.31</v>
      </c>
      <c r="P2291" t="s">
        <v>121</v>
      </c>
      <c r="Q2291" t="s">
        <v>120</v>
      </c>
      <c r="R2291" t="s">
        <v>151</v>
      </c>
      <c r="S2291" t="s">
        <v>2358</v>
      </c>
      <c r="T2291" t="s">
        <v>161</v>
      </c>
      <c r="U2291" t="s">
        <v>154</v>
      </c>
      <c r="V2291" t="str">
        <f>IFERROR(INDEX(Products!$C:$C,MATCH(D2291,Products!$A:$A,0)),"Unknown")</f>
        <v>Men Jeans</v>
      </c>
      <c r="W2291" t="str">
        <f>IFERROR(INDEX(Products!$E:$E,MATCH(D2291,Products!$A:$A,0)),"Unknown")</f>
        <v>Libas</v>
      </c>
      <c r="X2291" t="str">
        <f>IFERROR(INDEX(Stores!$B:$B,MATCH(E2291,Stores!$A:$A,0)),"Unknown")</f>
        <v>TrendMart Shivamogga Mall Kiosk</v>
      </c>
      <c r="Y2291" t="str">
        <f>IFERROR(INDEX(Stores!$E:$E,MATCH(E2291,Stores!$A:$A,0)),"Unknown")</f>
        <v>South Zone 2</v>
      </c>
      <c r="Z2291" t="str">
        <f>IFERROR(INDEX(Customers!$J:$J,MATCH(C2291,Customers!$A:$A,0)),"Unknown")</f>
        <v>Silver</v>
      </c>
      <c r="AA2291" t="str">
        <f t="shared" si="35"/>
        <v>2024-09</v>
      </c>
      <c r="AB2291" t="str">
        <f>IFERROR(INDEX(Products!$I:$I,MATCH(D2291,Products!$A:$A,0)),"Unknown")</f>
        <v>SUP018</v>
      </c>
    </row>
    <row r="2292" spans="1:28" x14ac:dyDescent="0.25">
      <c r="A2292" t="s">
        <v>4316</v>
      </c>
      <c r="B2292" s="20">
        <v>45708</v>
      </c>
      <c r="C2292" t="s">
        <v>4317</v>
      </c>
      <c r="D2292" t="s">
        <v>646</v>
      </c>
      <c r="E2292" t="s">
        <v>355</v>
      </c>
      <c r="F2292" t="s">
        <v>516</v>
      </c>
      <c r="G2292">
        <v>2</v>
      </c>
      <c r="H2292" s="21">
        <v>781.98</v>
      </c>
      <c r="I2292">
        <v>15</v>
      </c>
      <c r="J2292" s="21">
        <v>234.59</v>
      </c>
      <c r="K2292">
        <v>5</v>
      </c>
      <c r="L2292" s="21">
        <v>66.47</v>
      </c>
      <c r="M2292" s="21">
        <v>1395.84</v>
      </c>
      <c r="N2292" s="21">
        <v>1024.22</v>
      </c>
      <c r="O2292" s="21">
        <v>305.14999999999998</v>
      </c>
      <c r="P2292" t="s">
        <v>123</v>
      </c>
      <c r="Q2292" t="s">
        <v>120</v>
      </c>
      <c r="R2292" t="s">
        <v>151</v>
      </c>
      <c r="S2292" t="s">
        <v>1603</v>
      </c>
      <c r="T2292" t="s">
        <v>153</v>
      </c>
      <c r="U2292" t="s">
        <v>154</v>
      </c>
      <c r="V2292" t="str">
        <f>IFERROR(INDEX(Products!$C:$C,MATCH(D2292,Products!$A:$A,0)),"Unknown")</f>
        <v>Sportswear</v>
      </c>
      <c r="W2292" t="str">
        <f>IFERROR(INDEX(Products!$E:$E,MATCH(D2292,Products!$A:$A,0)),"Unknown")</f>
        <v>Fabindia</v>
      </c>
      <c r="X2292" t="str">
        <f>IFERROR(INDEX(Stores!$B:$B,MATCH(E2292,Stores!$A:$A,0)),"Unknown")</f>
        <v>TrendMart Thiruvananthapuram High Street</v>
      </c>
      <c r="Y2292" t="str">
        <f>IFERROR(INDEX(Stores!$E:$E,MATCH(E2292,Stores!$A:$A,0)),"Unknown")</f>
        <v>South Zone 1</v>
      </c>
      <c r="Z2292" t="str">
        <f>IFERROR(INDEX(Customers!$J:$J,MATCH(C2292,Customers!$A:$A,0)),"Unknown")</f>
        <v>Regular</v>
      </c>
      <c r="AA2292" t="str">
        <f t="shared" si="35"/>
        <v>2025-02</v>
      </c>
      <c r="AB2292" t="str">
        <f>IFERROR(INDEX(Products!$I:$I,MATCH(D2292,Products!$A:$A,0)),"Unknown")</f>
        <v>SUP087</v>
      </c>
    </row>
    <row r="2293" spans="1:28" x14ac:dyDescent="0.25">
      <c r="A2293" t="s">
        <v>4318</v>
      </c>
      <c r="B2293" s="20">
        <v>45438</v>
      </c>
      <c r="C2293" t="s">
        <v>179</v>
      </c>
      <c r="D2293" t="s">
        <v>312</v>
      </c>
      <c r="E2293" t="s">
        <v>442</v>
      </c>
      <c r="F2293" t="s">
        <v>195</v>
      </c>
      <c r="G2293">
        <v>4</v>
      </c>
      <c r="H2293" s="21">
        <v>1412.54</v>
      </c>
      <c r="I2293">
        <v>0</v>
      </c>
      <c r="J2293" s="21">
        <v>0</v>
      </c>
      <c r="K2293">
        <v>12</v>
      </c>
      <c r="L2293" s="21">
        <v>678.02</v>
      </c>
      <c r="M2293" s="21">
        <v>6328.18</v>
      </c>
      <c r="N2293" s="21">
        <v>3463.68</v>
      </c>
      <c r="O2293" s="21">
        <v>2186.48</v>
      </c>
      <c r="P2293" t="s">
        <v>123</v>
      </c>
      <c r="Q2293" t="s">
        <v>122</v>
      </c>
      <c r="R2293" t="s">
        <v>151</v>
      </c>
      <c r="S2293" t="s">
        <v>202</v>
      </c>
      <c r="T2293" t="s">
        <v>161</v>
      </c>
      <c r="U2293" t="s">
        <v>154</v>
      </c>
      <c r="V2293" t="str">
        <f>IFERROR(INDEX(Products!$C:$C,MATCH(D2293,Products!$A:$A,0)),"Unknown")</f>
        <v>Handbags</v>
      </c>
      <c r="W2293" t="str">
        <f>IFERROR(INDEX(Products!$E:$E,MATCH(D2293,Products!$A:$A,0)),"Unknown")</f>
        <v>Wrangler</v>
      </c>
      <c r="X2293" t="str">
        <f>IFERROR(INDEX(Stores!$B:$B,MATCH(E2293,Stores!$A:$A,0)),"Unknown")</f>
        <v>TrendMart Bengaluru Standard</v>
      </c>
      <c r="Y2293" t="str">
        <f>IFERROR(INDEX(Stores!$E:$E,MATCH(E2293,Stores!$A:$A,0)),"Unknown")</f>
        <v>South Zone 2</v>
      </c>
      <c r="Z2293" t="str">
        <f>IFERROR(INDEX(Customers!$J:$J,MATCH(C2293,Customers!$A:$A,0)),"Unknown")</f>
        <v>Platinum</v>
      </c>
      <c r="AA2293" t="str">
        <f t="shared" si="35"/>
        <v>2024-05</v>
      </c>
      <c r="AB2293" t="str">
        <f>IFERROR(INDEX(Products!$I:$I,MATCH(D2293,Products!$A:$A,0)),"Unknown")</f>
        <v>SUP008</v>
      </c>
    </row>
    <row r="2294" spans="1:28" x14ac:dyDescent="0.25">
      <c r="A2294" t="s">
        <v>4319</v>
      </c>
      <c r="B2294" s="20">
        <v>45541</v>
      </c>
      <c r="C2294" t="s">
        <v>535</v>
      </c>
      <c r="D2294" t="s">
        <v>1928</v>
      </c>
      <c r="E2294" t="s">
        <v>506</v>
      </c>
      <c r="F2294" t="s">
        <v>182</v>
      </c>
      <c r="G2294">
        <v>2</v>
      </c>
      <c r="H2294" s="21">
        <v>905.74</v>
      </c>
      <c r="I2294">
        <v>10</v>
      </c>
      <c r="J2294" s="21">
        <v>181.15</v>
      </c>
      <c r="K2294">
        <v>5</v>
      </c>
      <c r="L2294" s="21">
        <v>81.52</v>
      </c>
      <c r="M2294" s="21">
        <v>1711.85</v>
      </c>
      <c r="N2294" s="21">
        <v>1316.38</v>
      </c>
      <c r="O2294" s="21">
        <v>313.95</v>
      </c>
      <c r="P2294" t="s">
        <v>125</v>
      </c>
      <c r="Q2294" t="s">
        <v>122</v>
      </c>
      <c r="R2294" t="s">
        <v>151</v>
      </c>
      <c r="S2294" t="s">
        <v>698</v>
      </c>
      <c r="T2294" t="s">
        <v>153</v>
      </c>
      <c r="U2294" t="s">
        <v>154</v>
      </c>
      <c r="V2294" t="str">
        <f>IFERROR(INDEX(Products!$C:$C,MATCH(D2294,Products!$A:$A,0)),"Unknown")</f>
        <v>Men Jeans</v>
      </c>
      <c r="W2294" t="str">
        <f>IFERROR(INDEX(Products!$E:$E,MATCH(D2294,Products!$A:$A,0)),"Unknown")</f>
        <v>Skechers</v>
      </c>
      <c r="X2294" t="str">
        <f>IFERROR(INDEX(Stores!$B:$B,MATCH(E2294,Stores!$A:$A,0)),"Unknown")</f>
        <v>TrendMart Nellore High Street</v>
      </c>
      <c r="Y2294" t="str">
        <f>IFERROR(INDEX(Stores!$E:$E,MATCH(E2294,Stores!$A:$A,0)),"Unknown")</f>
        <v>South Zone 3</v>
      </c>
      <c r="Z2294" t="str">
        <f>IFERROR(INDEX(Customers!$J:$J,MATCH(C2294,Customers!$A:$A,0)),"Unknown")</f>
        <v>Gold</v>
      </c>
      <c r="AA2294" t="str">
        <f t="shared" si="35"/>
        <v>2024-09</v>
      </c>
      <c r="AB2294" t="str">
        <f>IFERROR(INDEX(Products!$I:$I,MATCH(D2294,Products!$A:$A,0)),"Unknown")</f>
        <v>SUP015</v>
      </c>
    </row>
    <row r="2295" spans="1:28" x14ac:dyDescent="0.25">
      <c r="A2295" t="s">
        <v>4320</v>
      </c>
      <c r="B2295" s="20">
        <v>45533</v>
      </c>
      <c r="C2295" t="s">
        <v>3098</v>
      </c>
      <c r="D2295" t="s">
        <v>1219</v>
      </c>
      <c r="E2295" t="s">
        <v>226</v>
      </c>
      <c r="F2295" t="s">
        <v>443</v>
      </c>
      <c r="G2295">
        <v>2</v>
      </c>
      <c r="H2295" s="21">
        <v>2945.76</v>
      </c>
      <c r="I2295">
        <v>25</v>
      </c>
      <c r="J2295" s="21">
        <v>1472.88</v>
      </c>
      <c r="K2295">
        <v>12</v>
      </c>
      <c r="L2295" s="21">
        <v>530.24</v>
      </c>
      <c r="M2295" s="21">
        <v>4948.88</v>
      </c>
      <c r="N2295" s="21">
        <v>4079.4</v>
      </c>
      <c r="O2295" s="21">
        <v>339.24</v>
      </c>
      <c r="P2295" t="s">
        <v>124</v>
      </c>
      <c r="Q2295" t="s">
        <v>120</v>
      </c>
      <c r="R2295" t="s">
        <v>151</v>
      </c>
      <c r="S2295" t="s">
        <v>1351</v>
      </c>
      <c r="T2295" t="s">
        <v>153</v>
      </c>
      <c r="U2295" t="s">
        <v>154</v>
      </c>
      <c r="V2295" t="str">
        <f>IFERROR(INDEX(Products!$C:$C,MATCH(D2295,Products!$A:$A,0)),"Unknown")</f>
        <v>Watches</v>
      </c>
      <c r="W2295" t="str">
        <f>IFERROR(INDEX(Products!$E:$E,MATCH(D2295,Products!$A:$A,0)),"Unknown")</f>
        <v>Fossil</v>
      </c>
      <c r="X2295" t="str">
        <f>IFERROR(INDEX(Stores!$B:$B,MATCH(E2295,Stores!$A:$A,0)),"Unknown")</f>
        <v>TrendMart Kurnool Standard</v>
      </c>
      <c r="Y2295" t="str">
        <f>IFERROR(INDEX(Stores!$E:$E,MATCH(E2295,Stores!$A:$A,0)),"Unknown")</f>
        <v>South Zone 3</v>
      </c>
      <c r="Z2295" t="str">
        <f>IFERROR(INDEX(Customers!$J:$J,MATCH(C2295,Customers!$A:$A,0)),"Unknown")</f>
        <v>Gold</v>
      </c>
      <c r="AA2295" t="str">
        <f t="shared" si="35"/>
        <v>2024-08</v>
      </c>
      <c r="AB2295" t="str">
        <f>IFERROR(INDEX(Products!$I:$I,MATCH(D2295,Products!$A:$A,0)),"Unknown")</f>
        <v>SUP054</v>
      </c>
    </row>
    <row r="2296" spans="1:28" x14ac:dyDescent="0.25">
      <c r="A2296" t="s">
        <v>4321</v>
      </c>
      <c r="B2296" s="20">
        <v>45598</v>
      </c>
      <c r="C2296" t="s">
        <v>1008</v>
      </c>
      <c r="D2296" t="s">
        <v>1088</v>
      </c>
      <c r="E2296" t="s">
        <v>402</v>
      </c>
      <c r="F2296" t="s">
        <v>377</v>
      </c>
      <c r="G2296">
        <v>1</v>
      </c>
      <c r="H2296" s="21">
        <v>958.49</v>
      </c>
      <c r="I2296">
        <v>30</v>
      </c>
      <c r="J2296" s="21">
        <v>287.55</v>
      </c>
      <c r="K2296">
        <v>5</v>
      </c>
      <c r="L2296" s="21">
        <v>33.549999999999997</v>
      </c>
      <c r="M2296" s="21">
        <v>704.49</v>
      </c>
      <c r="N2296" s="21">
        <v>599.28</v>
      </c>
      <c r="O2296" s="21">
        <v>71.66</v>
      </c>
      <c r="P2296" t="s">
        <v>125</v>
      </c>
      <c r="Q2296" t="s">
        <v>120</v>
      </c>
      <c r="R2296" t="s">
        <v>151</v>
      </c>
      <c r="S2296" t="s">
        <v>1460</v>
      </c>
      <c r="T2296" t="s">
        <v>161</v>
      </c>
      <c r="U2296" t="s">
        <v>154</v>
      </c>
      <c r="V2296" t="str">
        <f>IFERROR(INDEX(Products!$C:$C,MATCH(D2296,Products!$A:$A,0)),"Unknown")</f>
        <v>Women Kurtis</v>
      </c>
      <c r="W2296" t="str">
        <f>IFERROR(INDEX(Products!$E:$E,MATCH(D2296,Products!$A:$A,0)),"Unknown")</f>
        <v>Metro Shoes</v>
      </c>
      <c r="X2296" t="str">
        <f>IFERROR(INDEX(Stores!$B:$B,MATCH(E2296,Stores!$A:$A,0)),"Unknown")</f>
        <v>TrendMart Kannur Standard</v>
      </c>
      <c r="Y2296" t="str">
        <f>IFERROR(INDEX(Stores!$E:$E,MATCH(E2296,Stores!$A:$A,0)),"Unknown")</f>
        <v>South Zone 1</v>
      </c>
      <c r="Z2296" t="str">
        <f>IFERROR(INDEX(Customers!$J:$J,MATCH(C2296,Customers!$A:$A,0)),"Unknown")</f>
        <v>Regular</v>
      </c>
      <c r="AA2296" t="str">
        <f t="shared" si="35"/>
        <v>2024-11</v>
      </c>
      <c r="AB2296" t="str">
        <f>IFERROR(INDEX(Products!$I:$I,MATCH(D2296,Products!$A:$A,0)),"Unknown")</f>
        <v>SUP045</v>
      </c>
    </row>
    <row r="2297" spans="1:28" x14ac:dyDescent="0.25">
      <c r="A2297" t="s">
        <v>4322</v>
      </c>
      <c r="B2297" s="20">
        <v>45608</v>
      </c>
      <c r="C2297" t="s">
        <v>1638</v>
      </c>
      <c r="D2297" t="s">
        <v>261</v>
      </c>
      <c r="E2297" t="s">
        <v>727</v>
      </c>
      <c r="F2297" t="s">
        <v>550</v>
      </c>
      <c r="G2297">
        <v>1</v>
      </c>
      <c r="H2297" s="21">
        <v>1325.99</v>
      </c>
      <c r="I2297">
        <v>20</v>
      </c>
      <c r="J2297" s="21">
        <v>265.2</v>
      </c>
      <c r="K2297">
        <v>12</v>
      </c>
      <c r="L2297" s="21">
        <v>127.29</v>
      </c>
      <c r="M2297" s="21">
        <v>1188.08</v>
      </c>
      <c r="N2297" s="21">
        <v>844.65</v>
      </c>
      <c r="O2297" s="21">
        <v>216.14</v>
      </c>
      <c r="P2297" t="s">
        <v>123</v>
      </c>
      <c r="Q2297" t="s">
        <v>122</v>
      </c>
      <c r="R2297" t="s">
        <v>151</v>
      </c>
      <c r="S2297" t="s">
        <v>1796</v>
      </c>
      <c r="T2297" t="s">
        <v>153</v>
      </c>
      <c r="U2297" t="s">
        <v>154</v>
      </c>
      <c r="V2297" t="str">
        <f>IFERROR(INDEX(Products!$C:$C,MATCH(D2297,Products!$A:$A,0)),"Unknown")</f>
        <v>Women Kurtis</v>
      </c>
      <c r="W2297" t="str">
        <f>IFERROR(INDEX(Products!$E:$E,MATCH(D2297,Products!$A:$A,0)),"Unknown")</f>
        <v>Woodland</v>
      </c>
      <c r="X2297" t="str">
        <f>IFERROR(INDEX(Stores!$B:$B,MATCH(E2297,Stores!$A:$A,0)),"Unknown")</f>
        <v>TrendMart Nizamabad Standard</v>
      </c>
      <c r="Y2297" t="str">
        <f>IFERROR(INDEX(Stores!$E:$E,MATCH(E2297,Stores!$A:$A,0)),"Unknown")</f>
        <v>South Zone 2</v>
      </c>
      <c r="Z2297" t="str">
        <f>IFERROR(INDEX(Customers!$J:$J,MATCH(C2297,Customers!$A:$A,0)),"Unknown")</f>
        <v>Silver</v>
      </c>
      <c r="AA2297" t="str">
        <f t="shared" si="35"/>
        <v>2024-11</v>
      </c>
      <c r="AB2297" t="str">
        <f>IFERROR(INDEX(Products!$I:$I,MATCH(D2297,Products!$A:$A,0)),"Unknown")</f>
        <v>SUP071</v>
      </c>
    </row>
    <row r="2298" spans="1:28" x14ac:dyDescent="0.25">
      <c r="A2298" t="s">
        <v>4323</v>
      </c>
      <c r="B2298" s="20">
        <v>45467</v>
      </c>
      <c r="C2298" t="s">
        <v>1723</v>
      </c>
      <c r="D2298" t="s">
        <v>1278</v>
      </c>
      <c r="E2298" t="s">
        <v>490</v>
      </c>
      <c r="F2298" t="s">
        <v>443</v>
      </c>
      <c r="G2298">
        <v>1</v>
      </c>
      <c r="H2298" s="21">
        <v>4942.9399999999996</v>
      </c>
      <c r="I2298">
        <v>20</v>
      </c>
      <c r="J2298" s="21">
        <v>988.59</v>
      </c>
      <c r="K2298">
        <v>12</v>
      </c>
      <c r="L2298" s="21">
        <v>474.52</v>
      </c>
      <c r="M2298" s="21">
        <v>4428.87</v>
      </c>
      <c r="N2298" s="21">
        <v>3850.97</v>
      </c>
      <c r="O2298" s="21">
        <v>103.38</v>
      </c>
      <c r="P2298" t="s">
        <v>124</v>
      </c>
      <c r="Q2298" t="s">
        <v>120</v>
      </c>
      <c r="R2298" t="s">
        <v>151</v>
      </c>
      <c r="S2298" t="s">
        <v>4061</v>
      </c>
      <c r="T2298" t="s">
        <v>153</v>
      </c>
      <c r="U2298" t="s">
        <v>154</v>
      </c>
      <c r="V2298" t="str">
        <f>IFERROR(INDEX(Products!$C:$C,MATCH(D2298,Products!$A:$A,0)),"Unknown")</f>
        <v>Watches</v>
      </c>
      <c r="W2298" t="str">
        <f>IFERROR(INDEX(Products!$E:$E,MATCH(D2298,Products!$A:$A,0)),"Unknown")</f>
        <v>Aurelia</v>
      </c>
      <c r="X2298" t="str">
        <f>IFERROR(INDEX(Stores!$B:$B,MATCH(E2298,Stores!$A:$A,0)),"Unknown")</f>
        <v>TrendMart Mangaluru Mall Kiosk</v>
      </c>
      <c r="Y2298" t="str">
        <f>IFERROR(INDEX(Stores!$E:$E,MATCH(E2298,Stores!$A:$A,0)),"Unknown")</f>
        <v>South Zone 2</v>
      </c>
      <c r="Z2298" t="str">
        <f>IFERROR(INDEX(Customers!$J:$J,MATCH(C2298,Customers!$A:$A,0)),"Unknown")</f>
        <v>Regular</v>
      </c>
      <c r="AA2298" t="str">
        <f t="shared" si="35"/>
        <v>2024-06</v>
      </c>
      <c r="AB2298" t="str">
        <f>IFERROR(INDEX(Products!$I:$I,MATCH(D2298,Products!$A:$A,0)),"Unknown")</f>
        <v>SUP079</v>
      </c>
    </row>
    <row r="2299" spans="1:28" x14ac:dyDescent="0.25">
      <c r="A2299" t="s">
        <v>4324</v>
      </c>
      <c r="B2299" s="20">
        <v>45557</v>
      </c>
      <c r="C2299" t="s">
        <v>2858</v>
      </c>
      <c r="D2299" t="s">
        <v>407</v>
      </c>
      <c r="E2299" t="s">
        <v>402</v>
      </c>
      <c r="F2299" t="s">
        <v>263</v>
      </c>
      <c r="G2299">
        <v>4</v>
      </c>
      <c r="H2299" s="21">
        <v>1376.81</v>
      </c>
      <c r="I2299">
        <v>20</v>
      </c>
      <c r="J2299" s="21">
        <v>1101.45</v>
      </c>
      <c r="K2299">
        <v>12</v>
      </c>
      <c r="L2299" s="21">
        <v>528.69000000000005</v>
      </c>
      <c r="M2299" s="21">
        <v>4934.4799999999996</v>
      </c>
      <c r="N2299" s="21">
        <v>3210.56</v>
      </c>
      <c r="O2299" s="21">
        <v>1195.23</v>
      </c>
      <c r="P2299" t="s">
        <v>127</v>
      </c>
      <c r="Q2299" t="s">
        <v>120</v>
      </c>
      <c r="R2299" t="s">
        <v>151</v>
      </c>
      <c r="S2299" t="s">
        <v>499</v>
      </c>
      <c r="T2299" t="s">
        <v>161</v>
      </c>
      <c r="U2299" t="s">
        <v>154</v>
      </c>
      <c r="V2299" t="str">
        <f>IFERROR(INDEX(Products!$C:$C,MATCH(D2299,Products!$A:$A,0)),"Unknown")</f>
        <v>Winter Wear</v>
      </c>
      <c r="W2299" t="str">
        <f>IFERROR(INDEX(Products!$E:$E,MATCH(D2299,Products!$A:$A,0)),"Unknown")</f>
        <v>Metro Shoes</v>
      </c>
      <c r="X2299" t="str">
        <f>IFERROR(INDEX(Stores!$B:$B,MATCH(E2299,Stores!$A:$A,0)),"Unknown")</f>
        <v>TrendMart Kannur Standard</v>
      </c>
      <c r="Y2299" t="str">
        <f>IFERROR(INDEX(Stores!$E:$E,MATCH(E2299,Stores!$A:$A,0)),"Unknown")</f>
        <v>South Zone 1</v>
      </c>
      <c r="Z2299" t="str">
        <f>IFERROR(INDEX(Customers!$J:$J,MATCH(C2299,Customers!$A:$A,0)),"Unknown")</f>
        <v>Regular</v>
      </c>
      <c r="AA2299" t="str">
        <f t="shared" si="35"/>
        <v>2024-09</v>
      </c>
      <c r="AB2299" t="str">
        <f>IFERROR(INDEX(Products!$I:$I,MATCH(D2299,Products!$A:$A,0)),"Unknown")</f>
        <v>SUP067</v>
      </c>
    </row>
    <row r="2300" spans="1:28" x14ac:dyDescent="0.25">
      <c r="A2300" t="s">
        <v>4325</v>
      </c>
      <c r="B2300" s="20">
        <v>45734</v>
      </c>
      <c r="C2300" t="s">
        <v>316</v>
      </c>
      <c r="D2300" t="s">
        <v>666</v>
      </c>
      <c r="E2300" t="s">
        <v>1962</v>
      </c>
      <c r="F2300" t="s">
        <v>170</v>
      </c>
      <c r="G2300">
        <v>3</v>
      </c>
      <c r="H2300" s="21">
        <v>1307.46</v>
      </c>
      <c r="I2300">
        <v>20</v>
      </c>
      <c r="J2300" s="21">
        <v>784.48</v>
      </c>
      <c r="K2300">
        <v>12</v>
      </c>
      <c r="L2300" s="21">
        <v>376.55</v>
      </c>
      <c r="M2300" s="21">
        <v>3514.45</v>
      </c>
      <c r="N2300" s="21">
        <v>2712.63</v>
      </c>
      <c r="O2300" s="21">
        <v>425.27</v>
      </c>
      <c r="P2300" t="s">
        <v>124</v>
      </c>
      <c r="Q2300" t="s">
        <v>120</v>
      </c>
      <c r="R2300" t="s">
        <v>151</v>
      </c>
      <c r="S2300" t="s">
        <v>1089</v>
      </c>
      <c r="T2300" t="s">
        <v>153</v>
      </c>
      <c r="U2300" t="s">
        <v>154</v>
      </c>
      <c r="V2300" t="str">
        <f>IFERROR(INDEX(Products!$C:$C,MATCH(D2300,Products!$A:$A,0)),"Unknown")</f>
        <v>Wallets</v>
      </c>
      <c r="W2300" t="str">
        <f>IFERROR(INDEX(Products!$E:$E,MATCH(D2300,Products!$A:$A,0)),"Unknown")</f>
        <v>Louis Philippe</v>
      </c>
      <c r="X2300" t="str">
        <f>IFERROR(INDEX(Stores!$B:$B,MATCH(E2300,Stores!$A:$A,0)),"Unknown")</f>
        <v>TrendMart Guntur High Street</v>
      </c>
      <c r="Y2300" t="str">
        <f>IFERROR(INDEX(Stores!$E:$E,MATCH(E2300,Stores!$A:$A,0)),"Unknown")</f>
        <v>South Zone 3</v>
      </c>
      <c r="Z2300" t="str">
        <f>IFERROR(INDEX(Customers!$J:$J,MATCH(C2300,Customers!$A:$A,0)),"Unknown")</f>
        <v>Regular</v>
      </c>
      <c r="AA2300" t="str">
        <f t="shared" si="35"/>
        <v>2025-03</v>
      </c>
      <c r="AB2300" t="str">
        <f>IFERROR(INDEX(Products!$I:$I,MATCH(D2300,Products!$A:$A,0)),"Unknown")</f>
        <v>SUP039</v>
      </c>
    </row>
    <row r="2301" spans="1:28" x14ac:dyDescent="0.25">
      <c r="A2301" t="s">
        <v>4326</v>
      </c>
      <c r="B2301" s="20">
        <v>45563</v>
      </c>
      <c r="C2301" t="s">
        <v>256</v>
      </c>
      <c r="D2301" t="s">
        <v>558</v>
      </c>
      <c r="E2301" t="s">
        <v>1068</v>
      </c>
      <c r="F2301" t="s">
        <v>382</v>
      </c>
      <c r="G2301">
        <v>1</v>
      </c>
      <c r="H2301" s="21">
        <v>700.63</v>
      </c>
      <c r="I2301">
        <v>10</v>
      </c>
      <c r="J2301" s="21">
        <v>70.06</v>
      </c>
      <c r="K2301">
        <v>5</v>
      </c>
      <c r="L2301" s="21">
        <v>31.53</v>
      </c>
      <c r="M2301" s="21">
        <v>662.1</v>
      </c>
      <c r="N2301" s="21">
        <v>457.16</v>
      </c>
      <c r="O2301" s="21">
        <v>173.41</v>
      </c>
      <c r="P2301" t="s">
        <v>125</v>
      </c>
      <c r="Q2301" t="s">
        <v>122</v>
      </c>
      <c r="R2301" t="s">
        <v>151</v>
      </c>
      <c r="S2301" t="s">
        <v>659</v>
      </c>
      <c r="T2301" t="s">
        <v>161</v>
      </c>
      <c r="U2301" t="s">
        <v>154</v>
      </c>
      <c r="V2301" t="str">
        <f>IFERROR(INDEX(Products!$C:$C,MATCH(D2301,Products!$A:$A,0)),"Unknown")</f>
        <v>Women Tops</v>
      </c>
      <c r="W2301" t="str">
        <f>IFERROR(INDEX(Products!$E:$E,MATCH(D2301,Products!$A:$A,0)),"Unknown")</f>
        <v>Aurelia</v>
      </c>
      <c r="X2301" t="str">
        <f>IFERROR(INDEX(Stores!$B:$B,MATCH(E2301,Stores!$A:$A,0)),"Unknown")</f>
        <v>TrendMart Tumakuru High Street</v>
      </c>
      <c r="Y2301" t="str">
        <f>IFERROR(INDEX(Stores!$E:$E,MATCH(E2301,Stores!$A:$A,0)),"Unknown")</f>
        <v>South Zone 2</v>
      </c>
      <c r="Z2301" t="str">
        <f>IFERROR(INDEX(Customers!$J:$J,MATCH(C2301,Customers!$A:$A,0)),"Unknown")</f>
        <v>Regular</v>
      </c>
      <c r="AA2301" t="str">
        <f t="shared" si="35"/>
        <v>2024-09</v>
      </c>
      <c r="AB2301" t="str">
        <f>IFERROR(INDEX(Products!$I:$I,MATCH(D2301,Products!$A:$A,0)),"Unknown")</f>
        <v>SUP055</v>
      </c>
    </row>
    <row r="2302" spans="1:28" x14ac:dyDescent="0.25">
      <c r="A2302" t="s">
        <v>4327</v>
      </c>
      <c r="B2302" s="20">
        <v>45569</v>
      </c>
      <c r="C2302" t="s">
        <v>1761</v>
      </c>
      <c r="D2302" t="s">
        <v>773</v>
      </c>
      <c r="E2302" t="s">
        <v>416</v>
      </c>
      <c r="F2302" t="s">
        <v>195</v>
      </c>
      <c r="G2302">
        <v>0</v>
      </c>
      <c r="H2302" s="21">
        <v>3488.37</v>
      </c>
      <c r="I2302">
        <v>25</v>
      </c>
      <c r="J2302" s="21">
        <v>0</v>
      </c>
      <c r="K2302">
        <v>12</v>
      </c>
      <c r="L2302" s="21">
        <v>0</v>
      </c>
      <c r="M2302" s="21">
        <v>0</v>
      </c>
      <c r="N2302" s="21">
        <v>0</v>
      </c>
      <c r="O2302" s="21">
        <v>0</v>
      </c>
      <c r="P2302" t="s">
        <v>124</v>
      </c>
      <c r="Q2302" t="s">
        <v>120</v>
      </c>
      <c r="R2302" t="s">
        <v>482</v>
      </c>
      <c r="S2302" t="s">
        <v>1630</v>
      </c>
      <c r="T2302" t="s">
        <v>153</v>
      </c>
      <c r="U2302" t="s">
        <v>154</v>
      </c>
      <c r="V2302" t="str">
        <f>IFERROR(INDEX(Products!$C:$C,MATCH(D2302,Products!$A:$A,0)),"Unknown")</f>
        <v>Women Sarees</v>
      </c>
      <c r="W2302" t="str">
        <f>IFERROR(INDEX(Products!$E:$E,MATCH(D2302,Products!$A:$A,0)),"Unknown")</f>
        <v>Bata</v>
      </c>
      <c r="X2302" t="str">
        <f>IFERROR(INDEX(Stores!$B:$B,MATCH(E2302,Stores!$A:$A,0)),"Unknown")</f>
        <v>TrendMart Dindigul Standard</v>
      </c>
      <c r="Y2302" t="str">
        <f>IFERROR(INDEX(Stores!$E:$E,MATCH(E2302,Stores!$A:$A,0)),"Unknown")</f>
        <v>South Zone 1</v>
      </c>
      <c r="Z2302" t="str">
        <f>IFERROR(INDEX(Customers!$J:$J,MATCH(C2302,Customers!$A:$A,0)),"Unknown")</f>
        <v>Platinum</v>
      </c>
      <c r="AA2302" t="str">
        <f t="shared" si="35"/>
        <v>2024-10</v>
      </c>
      <c r="AB2302" t="str">
        <f>IFERROR(INDEX(Products!$I:$I,MATCH(D2302,Products!$A:$A,0)),"Unknown")</f>
        <v>SUP086</v>
      </c>
    </row>
    <row r="2303" spans="1:28" x14ac:dyDescent="0.25">
      <c r="A2303" t="s">
        <v>4328</v>
      </c>
      <c r="B2303" s="20">
        <v>45618</v>
      </c>
      <c r="C2303" t="s">
        <v>684</v>
      </c>
      <c r="D2303" t="s">
        <v>666</v>
      </c>
      <c r="E2303" t="s">
        <v>537</v>
      </c>
      <c r="F2303" t="s">
        <v>269</v>
      </c>
      <c r="G2303">
        <v>3</v>
      </c>
      <c r="H2303" s="21">
        <v>1311.31</v>
      </c>
      <c r="I2303">
        <v>30</v>
      </c>
      <c r="J2303" s="21">
        <v>1180.18</v>
      </c>
      <c r="K2303">
        <v>12</v>
      </c>
      <c r="L2303" s="21">
        <v>330.45</v>
      </c>
      <c r="M2303" s="21">
        <v>3084.2</v>
      </c>
      <c r="N2303" s="21">
        <v>2712.63</v>
      </c>
      <c r="O2303" s="21">
        <v>41.12</v>
      </c>
      <c r="P2303" t="s">
        <v>121</v>
      </c>
      <c r="Q2303" t="s">
        <v>120</v>
      </c>
      <c r="R2303" t="s">
        <v>151</v>
      </c>
      <c r="S2303" t="s">
        <v>2922</v>
      </c>
      <c r="T2303" t="s">
        <v>153</v>
      </c>
      <c r="U2303" t="s">
        <v>154</v>
      </c>
      <c r="V2303" t="str">
        <f>IFERROR(INDEX(Products!$C:$C,MATCH(D2303,Products!$A:$A,0)),"Unknown")</f>
        <v>Wallets</v>
      </c>
      <c r="W2303" t="str">
        <f>IFERROR(INDEX(Products!$E:$E,MATCH(D2303,Products!$A:$A,0)),"Unknown")</f>
        <v>Louis Philippe</v>
      </c>
      <c r="X2303" t="str">
        <f>IFERROR(INDEX(Stores!$B:$B,MATCH(E2303,Stores!$A:$A,0)),"Unknown")</f>
        <v>TrendMart Thrissur High Street</v>
      </c>
      <c r="Y2303" t="str">
        <f>IFERROR(INDEX(Stores!$E:$E,MATCH(E2303,Stores!$A:$A,0)),"Unknown")</f>
        <v>South Zone 1</v>
      </c>
      <c r="Z2303" t="str">
        <f>IFERROR(INDEX(Customers!$J:$J,MATCH(C2303,Customers!$A:$A,0)),"Unknown")</f>
        <v>Platinum</v>
      </c>
      <c r="AA2303" t="str">
        <f t="shared" si="35"/>
        <v>2024-11</v>
      </c>
      <c r="AB2303" t="str">
        <f>IFERROR(INDEX(Products!$I:$I,MATCH(D2303,Products!$A:$A,0)),"Unknown")</f>
        <v>SUP039</v>
      </c>
    </row>
    <row r="2304" spans="1:28" x14ac:dyDescent="0.25">
      <c r="A2304" t="s">
        <v>4329</v>
      </c>
      <c r="B2304" s="20">
        <v>45694</v>
      </c>
      <c r="C2304" t="s">
        <v>2733</v>
      </c>
      <c r="D2304" t="s">
        <v>433</v>
      </c>
      <c r="E2304" t="s">
        <v>927</v>
      </c>
      <c r="F2304" t="s">
        <v>344</v>
      </c>
      <c r="G2304">
        <v>2</v>
      </c>
      <c r="H2304" s="21">
        <v>812.7</v>
      </c>
      <c r="I2304">
        <v>15</v>
      </c>
      <c r="J2304" s="21">
        <v>243.81</v>
      </c>
      <c r="K2304">
        <v>5</v>
      </c>
      <c r="L2304" s="21">
        <v>69.08</v>
      </c>
      <c r="M2304" s="21">
        <v>1450.67</v>
      </c>
      <c r="N2304" s="21">
        <v>1146.18</v>
      </c>
      <c r="O2304" s="21">
        <v>235.41</v>
      </c>
      <c r="P2304" t="s">
        <v>123</v>
      </c>
      <c r="Q2304" t="s">
        <v>120</v>
      </c>
      <c r="R2304" t="s">
        <v>151</v>
      </c>
      <c r="S2304" t="s">
        <v>2728</v>
      </c>
      <c r="T2304" t="s">
        <v>153</v>
      </c>
      <c r="U2304" t="s">
        <v>154</v>
      </c>
      <c r="V2304" t="str">
        <f>IFERROR(INDEX(Products!$C:$C,MATCH(D2304,Products!$A:$A,0)),"Unknown")</f>
        <v>Women Kurtis</v>
      </c>
      <c r="W2304" t="str">
        <f>IFERROR(INDEX(Products!$E:$E,MATCH(D2304,Products!$A:$A,0)),"Unknown")</f>
        <v>Nike</v>
      </c>
      <c r="X2304" t="str">
        <f>IFERROR(INDEX(Stores!$B:$B,MATCH(E2304,Stores!$A:$A,0)),"Unknown")</f>
        <v>TrendMart Kochi Mall Kiosk</v>
      </c>
      <c r="Y2304" t="str">
        <f>IFERROR(INDEX(Stores!$E:$E,MATCH(E2304,Stores!$A:$A,0)),"Unknown")</f>
        <v>South Zone 1</v>
      </c>
      <c r="Z2304" t="str">
        <f>IFERROR(INDEX(Customers!$J:$J,MATCH(C2304,Customers!$A:$A,0)),"Unknown")</f>
        <v>Regular</v>
      </c>
      <c r="AA2304" t="str">
        <f t="shared" si="35"/>
        <v>2025-02</v>
      </c>
      <c r="AB2304" t="str">
        <f>IFERROR(INDEX(Products!$I:$I,MATCH(D2304,Products!$A:$A,0)),"Unknown")</f>
        <v>SUP012</v>
      </c>
    </row>
    <row r="2305" spans="1:28" x14ac:dyDescent="0.25">
      <c r="A2305" t="s">
        <v>4330</v>
      </c>
      <c r="B2305" s="20">
        <v>45743</v>
      </c>
      <c r="C2305" t="s">
        <v>649</v>
      </c>
      <c r="D2305" t="s">
        <v>536</v>
      </c>
      <c r="E2305" t="s">
        <v>910</v>
      </c>
      <c r="F2305" t="s">
        <v>275</v>
      </c>
      <c r="G2305">
        <v>4</v>
      </c>
      <c r="H2305" s="21">
        <v>534.87</v>
      </c>
      <c r="I2305">
        <v>30</v>
      </c>
      <c r="J2305" s="21">
        <v>641.84</v>
      </c>
      <c r="K2305">
        <v>5</v>
      </c>
      <c r="L2305" s="21">
        <v>74.88</v>
      </c>
      <c r="M2305" s="21">
        <v>1572.52</v>
      </c>
      <c r="N2305" s="21">
        <v>1429.8</v>
      </c>
      <c r="O2305" s="21">
        <v>67.84</v>
      </c>
      <c r="P2305" t="s">
        <v>121</v>
      </c>
      <c r="Q2305" t="s">
        <v>122</v>
      </c>
      <c r="R2305" t="s">
        <v>151</v>
      </c>
      <c r="S2305" t="s">
        <v>1492</v>
      </c>
      <c r="T2305" t="s">
        <v>153</v>
      </c>
      <c r="U2305" t="s">
        <v>154</v>
      </c>
      <c r="V2305" t="str">
        <f>IFERROR(INDEX(Products!$C:$C,MATCH(D2305,Products!$A:$A,0)),"Unknown")</f>
        <v>Wallets</v>
      </c>
      <c r="W2305" t="str">
        <f>IFERROR(INDEX(Products!$E:$E,MATCH(D2305,Products!$A:$A,0)),"Unknown")</f>
        <v>Aurelia</v>
      </c>
      <c r="X2305" t="str">
        <f>IFERROR(INDEX(Stores!$B:$B,MATCH(E2305,Stores!$A:$A,0)),"Unknown")</f>
        <v>TrendMart Karimnagar Standard</v>
      </c>
      <c r="Y2305" t="str">
        <f>IFERROR(INDEX(Stores!$E:$E,MATCH(E2305,Stores!$A:$A,0)),"Unknown")</f>
        <v>South Zone 2</v>
      </c>
      <c r="Z2305" t="str">
        <f>IFERROR(INDEX(Customers!$J:$J,MATCH(C2305,Customers!$A:$A,0)),"Unknown")</f>
        <v>Silver</v>
      </c>
      <c r="AA2305" t="str">
        <f t="shared" si="35"/>
        <v>2025-03</v>
      </c>
      <c r="AB2305" t="str">
        <f>IFERROR(INDEX(Products!$I:$I,MATCH(D2305,Products!$A:$A,0)),"Unknown")</f>
        <v>SUP084</v>
      </c>
    </row>
    <row r="2306" spans="1:28" x14ac:dyDescent="0.25">
      <c r="A2306" t="s">
        <v>4331</v>
      </c>
      <c r="B2306" s="20">
        <v>45555</v>
      </c>
      <c r="C2306" t="s">
        <v>2671</v>
      </c>
      <c r="D2306" t="s">
        <v>210</v>
      </c>
      <c r="E2306" t="s">
        <v>1281</v>
      </c>
      <c r="F2306" t="s">
        <v>281</v>
      </c>
      <c r="G2306">
        <v>1</v>
      </c>
      <c r="H2306" s="21">
        <v>1696.53</v>
      </c>
      <c r="I2306">
        <v>15</v>
      </c>
      <c r="J2306" s="21">
        <v>254.48</v>
      </c>
      <c r="K2306">
        <v>12</v>
      </c>
      <c r="L2306" s="21">
        <v>173.05</v>
      </c>
      <c r="M2306" s="21">
        <v>1615.1</v>
      </c>
      <c r="N2306" s="21">
        <v>1399.85</v>
      </c>
      <c r="O2306" s="21">
        <v>42.2</v>
      </c>
      <c r="P2306" t="s">
        <v>124</v>
      </c>
      <c r="Q2306" t="s">
        <v>120</v>
      </c>
      <c r="R2306" t="s">
        <v>151</v>
      </c>
      <c r="S2306" t="s">
        <v>2182</v>
      </c>
      <c r="T2306" t="s">
        <v>153</v>
      </c>
      <c r="U2306" t="s">
        <v>154</v>
      </c>
      <c r="V2306" t="str">
        <f>IFERROR(INDEX(Products!$C:$C,MATCH(D2306,Products!$A:$A,0)),"Unknown")</f>
        <v>Women Dresses</v>
      </c>
      <c r="W2306" t="str">
        <f>IFERROR(INDEX(Products!$E:$E,MATCH(D2306,Products!$A:$A,0)),"Unknown")</f>
        <v>Nike</v>
      </c>
      <c r="X2306" t="str">
        <f>IFERROR(INDEX(Stores!$B:$B,MATCH(E2306,Stores!$A:$A,0)),"Unknown")</f>
        <v>TrendMart Visakhapatnam Standard</v>
      </c>
      <c r="Y2306" t="str">
        <f>IFERROR(INDEX(Stores!$E:$E,MATCH(E2306,Stores!$A:$A,0)),"Unknown")</f>
        <v>South Zone 3</v>
      </c>
      <c r="Z2306" t="str">
        <f>IFERROR(INDEX(Customers!$J:$J,MATCH(C2306,Customers!$A:$A,0)),"Unknown")</f>
        <v>Platinum</v>
      </c>
      <c r="AA2306" t="str">
        <f t="shared" ref="AA2306:AA2369" si="36">TEXT(B2306,"YYYY-MM")</f>
        <v>2024-09</v>
      </c>
      <c r="AB2306" t="str">
        <f>IFERROR(INDEX(Products!$I:$I,MATCH(D2306,Products!$A:$A,0)),"Unknown")</f>
        <v>SUP073</v>
      </c>
    </row>
    <row r="2307" spans="1:28" x14ac:dyDescent="0.25">
      <c r="A2307" t="s">
        <v>4332</v>
      </c>
      <c r="B2307" s="20">
        <v>45703</v>
      </c>
      <c r="C2307" t="s">
        <v>676</v>
      </c>
      <c r="D2307" t="s">
        <v>531</v>
      </c>
      <c r="E2307" t="s">
        <v>578</v>
      </c>
      <c r="F2307" t="s">
        <v>532</v>
      </c>
      <c r="G2307">
        <v>1</v>
      </c>
      <c r="H2307" s="21">
        <v>3508.23</v>
      </c>
      <c r="I2307">
        <v>20</v>
      </c>
      <c r="J2307" s="21">
        <v>701.65</v>
      </c>
      <c r="K2307">
        <v>12</v>
      </c>
      <c r="L2307" s="21">
        <v>336.79</v>
      </c>
      <c r="M2307" s="21">
        <v>3143.37</v>
      </c>
      <c r="N2307" s="21">
        <v>2034.01</v>
      </c>
      <c r="O2307" s="21">
        <v>772.57</v>
      </c>
      <c r="P2307" t="s">
        <v>123</v>
      </c>
      <c r="Q2307" t="s">
        <v>120</v>
      </c>
      <c r="R2307" t="s">
        <v>151</v>
      </c>
      <c r="S2307" t="s">
        <v>2219</v>
      </c>
      <c r="T2307" t="s">
        <v>161</v>
      </c>
      <c r="U2307" t="s">
        <v>154</v>
      </c>
      <c r="V2307" t="str">
        <f>IFERROR(INDEX(Products!$C:$C,MATCH(D2307,Products!$A:$A,0)),"Unknown")</f>
        <v>Handbags</v>
      </c>
      <c r="W2307" t="str">
        <f>IFERROR(INDEX(Products!$E:$E,MATCH(D2307,Products!$A:$A,0)),"Unknown")</f>
        <v>GRT Jewellers</v>
      </c>
      <c r="X2307" t="str">
        <f>IFERROR(INDEX(Stores!$B:$B,MATCH(E2307,Stores!$A:$A,0)),"Unknown")</f>
        <v>TrendMart Vellore Standard</v>
      </c>
      <c r="Y2307" t="str">
        <f>IFERROR(INDEX(Stores!$E:$E,MATCH(E2307,Stores!$A:$A,0)),"Unknown")</f>
        <v>South Zone 1</v>
      </c>
      <c r="Z2307" t="str">
        <f>IFERROR(INDEX(Customers!$J:$J,MATCH(C2307,Customers!$A:$A,0)),"Unknown")</f>
        <v>Silver</v>
      </c>
      <c r="AA2307" t="str">
        <f t="shared" si="36"/>
        <v>2025-02</v>
      </c>
      <c r="AB2307" t="str">
        <f>IFERROR(INDEX(Products!$I:$I,MATCH(D2307,Products!$A:$A,0)),"Unknown")</f>
        <v>SUP047</v>
      </c>
    </row>
    <row r="2308" spans="1:28" x14ac:dyDescent="0.25">
      <c r="A2308" t="s">
        <v>4333</v>
      </c>
      <c r="B2308" s="20">
        <v>45574</v>
      </c>
      <c r="C2308" t="s">
        <v>3973</v>
      </c>
      <c r="D2308" t="s">
        <v>420</v>
      </c>
      <c r="E2308" t="s">
        <v>194</v>
      </c>
      <c r="F2308" t="s">
        <v>237</v>
      </c>
      <c r="G2308">
        <v>3</v>
      </c>
      <c r="H2308" s="21">
        <v>1114.94</v>
      </c>
      <c r="I2308">
        <v>0</v>
      </c>
      <c r="J2308" s="21">
        <v>0</v>
      </c>
      <c r="K2308">
        <v>12</v>
      </c>
      <c r="L2308" s="21">
        <v>401.38</v>
      </c>
      <c r="M2308" s="21">
        <v>3746.2</v>
      </c>
      <c r="N2308" s="21">
        <v>2598.1799999999998</v>
      </c>
      <c r="O2308" s="21">
        <v>746.64</v>
      </c>
      <c r="P2308" t="s">
        <v>123</v>
      </c>
      <c r="Q2308" t="s">
        <v>120</v>
      </c>
      <c r="R2308" t="s">
        <v>151</v>
      </c>
      <c r="S2308" t="s">
        <v>2688</v>
      </c>
      <c r="T2308" t="s">
        <v>153</v>
      </c>
      <c r="U2308" t="s">
        <v>154</v>
      </c>
      <c r="V2308" t="str">
        <f>IFERROR(INDEX(Products!$C:$C,MATCH(D2308,Products!$A:$A,0)),"Unknown")</f>
        <v>Men Jeans</v>
      </c>
      <c r="W2308" t="str">
        <f>IFERROR(INDEX(Products!$E:$E,MATCH(D2308,Products!$A:$A,0)),"Unknown")</f>
        <v>Raymond</v>
      </c>
      <c r="X2308" t="str">
        <f>IFERROR(INDEX(Stores!$B:$B,MATCH(E2308,Stores!$A:$A,0)),"Unknown")</f>
        <v>TrendMart Tirupati High Street</v>
      </c>
      <c r="Y2308" t="str">
        <f>IFERROR(INDEX(Stores!$E:$E,MATCH(E2308,Stores!$A:$A,0)),"Unknown")</f>
        <v>South Zone 3</v>
      </c>
      <c r="Z2308" t="str">
        <f>IFERROR(INDEX(Customers!$J:$J,MATCH(C2308,Customers!$A:$A,0)),"Unknown")</f>
        <v>Silver</v>
      </c>
      <c r="AA2308" t="str">
        <f t="shared" si="36"/>
        <v>2024-10</v>
      </c>
      <c r="AB2308" t="str">
        <f>IFERROR(INDEX(Products!$I:$I,MATCH(D2308,Products!$A:$A,0)),"Unknown")</f>
        <v>SUP060</v>
      </c>
    </row>
    <row r="2309" spans="1:28" x14ac:dyDescent="0.25">
      <c r="A2309" t="s">
        <v>4334</v>
      </c>
      <c r="B2309" s="20">
        <v>45578</v>
      </c>
      <c r="C2309" t="s">
        <v>332</v>
      </c>
      <c r="D2309" t="s">
        <v>1216</v>
      </c>
      <c r="E2309" t="s">
        <v>798</v>
      </c>
      <c r="F2309" t="s">
        <v>532</v>
      </c>
      <c r="G2309">
        <v>2</v>
      </c>
      <c r="H2309" s="21">
        <v>2367.98</v>
      </c>
      <c r="I2309">
        <v>5</v>
      </c>
      <c r="J2309" s="21">
        <v>236.8</v>
      </c>
      <c r="K2309">
        <v>12</v>
      </c>
      <c r="L2309" s="21">
        <v>539.9</v>
      </c>
      <c r="M2309" s="21">
        <v>5039.0600000000004</v>
      </c>
      <c r="N2309" s="21">
        <v>2864.02</v>
      </c>
      <c r="O2309" s="21">
        <v>1635.14</v>
      </c>
      <c r="P2309" t="s">
        <v>123</v>
      </c>
      <c r="Q2309" t="s">
        <v>122</v>
      </c>
      <c r="R2309" t="s">
        <v>151</v>
      </c>
      <c r="S2309" t="s">
        <v>1505</v>
      </c>
      <c r="T2309" t="s">
        <v>161</v>
      </c>
      <c r="U2309" t="s">
        <v>154</v>
      </c>
      <c r="V2309" t="str">
        <f>IFERROR(INDEX(Products!$C:$C,MATCH(D2309,Products!$A:$A,0)),"Unknown")</f>
        <v>Footwear</v>
      </c>
      <c r="W2309" t="str">
        <f>IFERROR(INDEX(Products!$E:$E,MATCH(D2309,Products!$A:$A,0)),"Unknown")</f>
        <v>Biba</v>
      </c>
      <c r="X2309" t="str">
        <f>IFERROR(INDEX(Stores!$B:$B,MATCH(E2309,Stores!$A:$A,0)),"Unknown")</f>
        <v>TrendMart Guntur Standard</v>
      </c>
      <c r="Y2309" t="str">
        <f>IFERROR(INDEX(Stores!$E:$E,MATCH(E2309,Stores!$A:$A,0)),"Unknown")</f>
        <v>South Zone 3</v>
      </c>
      <c r="Z2309" t="str">
        <f>IFERROR(INDEX(Customers!$J:$J,MATCH(C2309,Customers!$A:$A,0)),"Unknown")</f>
        <v>Platinum</v>
      </c>
      <c r="AA2309" t="str">
        <f t="shared" si="36"/>
        <v>2024-10</v>
      </c>
      <c r="AB2309" t="str">
        <f>IFERROR(INDEX(Products!$I:$I,MATCH(D2309,Products!$A:$A,0)),"Unknown")</f>
        <v>SUP048</v>
      </c>
    </row>
    <row r="2310" spans="1:28" x14ac:dyDescent="0.25">
      <c r="A2310" t="s">
        <v>4335</v>
      </c>
      <c r="B2310" s="20">
        <v>45432</v>
      </c>
      <c r="C2310" t="s">
        <v>548</v>
      </c>
      <c r="D2310" t="s">
        <v>460</v>
      </c>
      <c r="E2310" t="s">
        <v>752</v>
      </c>
      <c r="F2310" t="s">
        <v>150</v>
      </c>
      <c r="G2310">
        <v>1</v>
      </c>
      <c r="H2310" s="21">
        <v>1257.24</v>
      </c>
      <c r="I2310">
        <v>0</v>
      </c>
      <c r="J2310" s="21">
        <v>0</v>
      </c>
      <c r="K2310">
        <v>12</v>
      </c>
      <c r="L2310" s="21">
        <v>150.87</v>
      </c>
      <c r="M2310" s="21">
        <v>1408.11</v>
      </c>
      <c r="N2310" s="21">
        <v>911.84</v>
      </c>
      <c r="O2310" s="21">
        <v>345.4</v>
      </c>
      <c r="P2310" t="s">
        <v>121</v>
      </c>
      <c r="Q2310" t="s">
        <v>122</v>
      </c>
      <c r="R2310" t="s">
        <v>151</v>
      </c>
      <c r="S2310" t="s">
        <v>1516</v>
      </c>
      <c r="T2310" t="s">
        <v>153</v>
      </c>
      <c r="U2310" t="s">
        <v>154</v>
      </c>
      <c r="V2310" t="str">
        <f>IFERROR(INDEX(Products!$C:$C,MATCH(D2310,Products!$A:$A,0)),"Unknown")</f>
        <v>Men Trousers</v>
      </c>
      <c r="W2310" t="str">
        <f>IFERROR(INDEX(Products!$E:$E,MATCH(D2310,Products!$A:$A,0)),"Unknown")</f>
        <v>Louis Philippe</v>
      </c>
      <c r="X2310" t="str">
        <f>IFERROR(INDEX(Stores!$B:$B,MATCH(E2310,Stores!$A:$A,0)),"Unknown")</f>
        <v>TrendMart Dindigul High Street</v>
      </c>
      <c r="Y2310" t="str">
        <f>IFERROR(INDEX(Stores!$E:$E,MATCH(E2310,Stores!$A:$A,0)),"Unknown")</f>
        <v>South Zone 1</v>
      </c>
      <c r="Z2310" t="str">
        <f>IFERROR(INDEX(Customers!$J:$J,MATCH(C2310,Customers!$A:$A,0)),"Unknown")</f>
        <v>Regular</v>
      </c>
      <c r="AA2310" t="str">
        <f t="shared" si="36"/>
        <v>2024-05</v>
      </c>
      <c r="AB2310" t="str">
        <f>IFERROR(INDEX(Products!$I:$I,MATCH(D2310,Products!$A:$A,0)),"Unknown")</f>
        <v>SUP034</v>
      </c>
    </row>
    <row r="2311" spans="1:28" x14ac:dyDescent="0.25">
      <c r="A2311" t="s">
        <v>4336</v>
      </c>
      <c r="B2311" s="20">
        <v>45476</v>
      </c>
      <c r="C2311" t="s">
        <v>4337</v>
      </c>
      <c r="D2311" t="s">
        <v>438</v>
      </c>
      <c r="E2311" t="s">
        <v>89</v>
      </c>
      <c r="F2311" t="s">
        <v>344</v>
      </c>
      <c r="G2311">
        <v>3</v>
      </c>
      <c r="H2311" s="21">
        <v>1624.96</v>
      </c>
      <c r="I2311">
        <v>15</v>
      </c>
      <c r="J2311" s="21">
        <v>731.23</v>
      </c>
      <c r="K2311">
        <v>12</v>
      </c>
      <c r="L2311" s="21">
        <v>497.24</v>
      </c>
      <c r="M2311" s="21">
        <v>4640.8900000000003</v>
      </c>
      <c r="N2311" s="21">
        <v>3373.44</v>
      </c>
      <c r="O2311" s="21">
        <v>770.21</v>
      </c>
      <c r="P2311" t="s">
        <v>123</v>
      </c>
      <c r="Q2311" t="s">
        <v>120</v>
      </c>
      <c r="R2311" t="s">
        <v>151</v>
      </c>
      <c r="S2311" t="s">
        <v>1359</v>
      </c>
      <c r="T2311" t="s">
        <v>153</v>
      </c>
      <c r="U2311" t="s">
        <v>154</v>
      </c>
      <c r="V2311" t="str">
        <f>IFERROR(INDEX(Products!$C:$C,MATCH(D2311,Products!$A:$A,0)),"Unknown")</f>
        <v>Women Jeans</v>
      </c>
      <c r="W2311" t="str">
        <f>IFERROR(INDEX(Products!$E:$E,MATCH(D2311,Products!$A:$A,0)),"Unknown")</f>
        <v>Ramraj Cotton</v>
      </c>
      <c r="X2311" t="str">
        <f>IFERROR(INDEX(Stores!$B:$B,MATCH(E2311,Stores!$A:$A,0)),"Unknown")</f>
        <v>TrendMart Kochi Standard</v>
      </c>
      <c r="Y2311" t="str">
        <f>IFERROR(INDEX(Stores!$E:$E,MATCH(E2311,Stores!$A:$A,0)),"Unknown")</f>
        <v>South Zone 1</v>
      </c>
      <c r="Z2311" t="str">
        <f>IFERROR(INDEX(Customers!$J:$J,MATCH(C2311,Customers!$A:$A,0)),"Unknown")</f>
        <v>Silver</v>
      </c>
      <c r="AA2311" t="str">
        <f t="shared" si="36"/>
        <v>2024-07</v>
      </c>
      <c r="AB2311" t="str">
        <f>IFERROR(INDEX(Products!$I:$I,MATCH(D2311,Products!$A:$A,0)),"Unknown")</f>
        <v>SUP015</v>
      </c>
    </row>
    <row r="2312" spans="1:28" x14ac:dyDescent="0.25">
      <c r="A2312" t="s">
        <v>4338</v>
      </c>
      <c r="B2312" s="20">
        <v>45576</v>
      </c>
      <c r="C2312" t="s">
        <v>3925</v>
      </c>
      <c r="D2312" t="s">
        <v>1709</v>
      </c>
      <c r="E2312" t="s">
        <v>274</v>
      </c>
      <c r="F2312" t="s">
        <v>532</v>
      </c>
      <c r="G2312">
        <v>4</v>
      </c>
      <c r="H2312" s="21">
        <v>433.04</v>
      </c>
      <c r="I2312">
        <v>0</v>
      </c>
      <c r="J2312" s="21">
        <v>0</v>
      </c>
      <c r="K2312">
        <v>5</v>
      </c>
      <c r="L2312" s="21">
        <v>86.61</v>
      </c>
      <c r="M2312" s="21">
        <v>1818.77</v>
      </c>
      <c r="N2312" s="21">
        <v>1309.44</v>
      </c>
      <c r="O2312" s="21">
        <v>422.72</v>
      </c>
      <c r="P2312" t="s">
        <v>125</v>
      </c>
      <c r="Q2312" t="s">
        <v>120</v>
      </c>
      <c r="R2312" t="s">
        <v>151</v>
      </c>
      <c r="S2312" t="s">
        <v>171</v>
      </c>
      <c r="T2312" t="s">
        <v>153</v>
      </c>
      <c r="U2312" t="s">
        <v>154</v>
      </c>
      <c r="V2312" t="str">
        <f>IFERROR(INDEX(Products!$C:$C,MATCH(D2312,Products!$A:$A,0)),"Unknown")</f>
        <v>Kids Wear</v>
      </c>
      <c r="W2312" t="str">
        <f>IFERROR(INDEX(Products!$E:$E,MATCH(D2312,Products!$A:$A,0)),"Unknown")</f>
        <v>Aurelia</v>
      </c>
      <c r="X2312" t="str">
        <f>IFERROR(INDEX(Stores!$B:$B,MATCH(E2312,Stores!$A:$A,0)),"Unknown")</f>
        <v>TrendMart Mangaluru Standard</v>
      </c>
      <c r="Y2312" t="str">
        <f>IFERROR(INDEX(Stores!$E:$E,MATCH(E2312,Stores!$A:$A,0)),"Unknown")</f>
        <v>South Zone 2</v>
      </c>
      <c r="Z2312" t="str">
        <f>IFERROR(INDEX(Customers!$J:$J,MATCH(C2312,Customers!$A:$A,0)),"Unknown")</f>
        <v>Gold</v>
      </c>
      <c r="AA2312" t="str">
        <f t="shared" si="36"/>
        <v>2024-10</v>
      </c>
      <c r="AB2312" t="str">
        <f>IFERROR(INDEX(Products!$I:$I,MATCH(D2312,Products!$A:$A,0)),"Unknown")</f>
        <v>SUP055</v>
      </c>
    </row>
    <row r="2313" spans="1:28" x14ac:dyDescent="0.25">
      <c r="A2313" t="s">
        <v>4339</v>
      </c>
      <c r="B2313" s="20">
        <v>45480</v>
      </c>
      <c r="C2313" t="s">
        <v>4340</v>
      </c>
      <c r="D2313" t="s">
        <v>210</v>
      </c>
      <c r="E2313" t="s">
        <v>92</v>
      </c>
      <c r="F2313" t="s">
        <v>382</v>
      </c>
      <c r="G2313">
        <v>2</v>
      </c>
      <c r="H2313" s="21">
        <v>1912.02</v>
      </c>
      <c r="I2313">
        <v>0</v>
      </c>
      <c r="J2313" s="21">
        <v>0</v>
      </c>
      <c r="K2313">
        <v>12</v>
      </c>
      <c r="L2313" s="21">
        <v>458.88</v>
      </c>
      <c r="M2313" s="21">
        <v>4282.92</v>
      </c>
      <c r="N2313" s="21">
        <v>2799.7</v>
      </c>
      <c r="O2313" s="21">
        <v>1024.3399999999999</v>
      </c>
      <c r="P2313" t="s">
        <v>124</v>
      </c>
      <c r="Q2313" t="s">
        <v>120</v>
      </c>
      <c r="R2313" t="s">
        <v>151</v>
      </c>
      <c r="S2313" t="s">
        <v>2166</v>
      </c>
      <c r="T2313" t="s">
        <v>161</v>
      </c>
      <c r="U2313" t="s">
        <v>154</v>
      </c>
      <c r="V2313" t="str">
        <f>IFERROR(INDEX(Products!$C:$C,MATCH(D2313,Products!$A:$A,0)),"Unknown")</f>
        <v>Women Dresses</v>
      </c>
      <c r="W2313" t="str">
        <f>IFERROR(INDEX(Products!$E:$E,MATCH(D2313,Products!$A:$A,0)),"Unknown")</f>
        <v>Nike</v>
      </c>
      <c r="X2313" t="str">
        <f>IFERROR(INDEX(Stores!$B:$B,MATCH(E2313,Stores!$A:$A,0)),"Unknown")</f>
        <v>TrendMart Guntur High Street</v>
      </c>
      <c r="Y2313" t="str">
        <f>IFERROR(INDEX(Stores!$E:$E,MATCH(E2313,Stores!$A:$A,0)),"Unknown")</f>
        <v>South Zone 3</v>
      </c>
      <c r="Z2313" t="str">
        <f>IFERROR(INDEX(Customers!$J:$J,MATCH(C2313,Customers!$A:$A,0)),"Unknown")</f>
        <v>Regular</v>
      </c>
      <c r="AA2313" t="str">
        <f t="shared" si="36"/>
        <v>2024-07</v>
      </c>
      <c r="AB2313" t="str">
        <f>IFERROR(INDEX(Products!$I:$I,MATCH(D2313,Products!$A:$A,0)),"Unknown")</f>
        <v>SUP073</v>
      </c>
    </row>
    <row r="2314" spans="1:28" x14ac:dyDescent="0.25">
      <c r="A2314" t="s">
        <v>4341</v>
      </c>
      <c r="B2314" s="20">
        <v>45614</v>
      </c>
      <c r="C2314" t="s">
        <v>1632</v>
      </c>
      <c r="D2314" t="s">
        <v>1156</v>
      </c>
      <c r="E2314" t="s">
        <v>158</v>
      </c>
      <c r="F2314" t="s">
        <v>253</v>
      </c>
      <c r="G2314">
        <v>1</v>
      </c>
      <c r="H2314" s="21">
        <v>626.71</v>
      </c>
      <c r="I2314">
        <v>0</v>
      </c>
      <c r="J2314" s="21">
        <v>0</v>
      </c>
      <c r="K2314">
        <v>5</v>
      </c>
      <c r="L2314" s="21">
        <v>31.34</v>
      </c>
      <c r="M2314" s="21">
        <v>658.05</v>
      </c>
      <c r="N2314" s="21">
        <v>509.44</v>
      </c>
      <c r="O2314" s="21">
        <v>117.27</v>
      </c>
      <c r="P2314" t="s">
        <v>126</v>
      </c>
      <c r="Q2314" t="s">
        <v>122</v>
      </c>
      <c r="R2314" t="s">
        <v>151</v>
      </c>
      <c r="S2314" t="s">
        <v>1344</v>
      </c>
      <c r="T2314" t="s">
        <v>153</v>
      </c>
      <c r="U2314" t="s">
        <v>154</v>
      </c>
      <c r="V2314" t="str">
        <f>IFERROR(INDEX(Products!$C:$C,MATCH(D2314,Products!$A:$A,0)),"Unknown")</f>
        <v>Kids Wear</v>
      </c>
      <c r="W2314" t="str">
        <f>IFERROR(INDEX(Products!$E:$E,MATCH(D2314,Products!$A:$A,0)),"Unknown")</f>
        <v>Allen Solly</v>
      </c>
      <c r="X2314" t="str">
        <f>IFERROR(INDEX(Stores!$B:$B,MATCH(E2314,Stores!$A:$A,0)),"Unknown")</f>
        <v>TrendMart Tirunelveli High Street</v>
      </c>
      <c r="Y2314" t="str">
        <f>IFERROR(INDEX(Stores!$E:$E,MATCH(E2314,Stores!$A:$A,0)),"Unknown")</f>
        <v>South Zone 1</v>
      </c>
      <c r="Z2314" t="str">
        <f>IFERROR(INDEX(Customers!$J:$J,MATCH(C2314,Customers!$A:$A,0)),"Unknown")</f>
        <v>Gold</v>
      </c>
      <c r="AA2314" t="str">
        <f t="shared" si="36"/>
        <v>2024-11</v>
      </c>
      <c r="AB2314" t="str">
        <f>IFERROR(INDEX(Products!$I:$I,MATCH(D2314,Products!$A:$A,0)),"Unknown")</f>
        <v>SUP026</v>
      </c>
    </row>
    <row r="2315" spans="1:28" x14ac:dyDescent="0.25">
      <c r="A2315" t="s">
        <v>4342</v>
      </c>
      <c r="B2315" s="20">
        <v>45395</v>
      </c>
      <c r="C2315" t="s">
        <v>1766</v>
      </c>
      <c r="D2315" t="s">
        <v>905</v>
      </c>
      <c r="E2315" t="s">
        <v>999</v>
      </c>
      <c r="F2315" t="s">
        <v>516</v>
      </c>
      <c r="G2315">
        <v>2</v>
      </c>
      <c r="H2315" s="21">
        <v>640.33000000000004</v>
      </c>
      <c r="I2315">
        <v>25</v>
      </c>
      <c r="J2315" s="21">
        <v>320.17</v>
      </c>
      <c r="K2315">
        <v>5</v>
      </c>
      <c r="L2315" s="21">
        <v>48.02</v>
      </c>
      <c r="M2315" s="21">
        <v>1008.51</v>
      </c>
      <c r="N2315" s="21">
        <v>742.24</v>
      </c>
      <c r="O2315" s="21">
        <v>218.25</v>
      </c>
      <c r="P2315" t="s">
        <v>124</v>
      </c>
      <c r="Q2315" t="s">
        <v>120</v>
      </c>
      <c r="R2315" t="s">
        <v>151</v>
      </c>
      <c r="S2315" t="s">
        <v>941</v>
      </c>
      <c r="T2315" t="s">
        <v>161</v>
      </c>
      <c r="U2315" t="s">
        <v>154</v>
      </c>
      <c r="V2315" t="str">
        <f>IFERROR(INDEX(Products!$C:$C,MATCH(D2315,Products!$A:$A,0)),"Unknown")</f>
        <v>Wallets</v>
      </c>
      <c r="W2315" t="str">
        <f>IFERROR(INDEX(Products!$E:$E,MATCH(D2315,Products!$A:$A,0)),"Unknown")</f>
        <v>Global Desi</v>
      </c>
      <c r="X2315" t="str">
        <f>IFERROR(INDEX(Stores!$B:$B,MATCH(E2315,Stores!$A:$A,0)),"Unknown")</f>
        <v>TrendMart Tumakuru Standard</v>
      </c>
      <c r="Y2315" t="str">
        <f>IFERROR(INDEX(Stores!$E:$E,MATCH(E2315,Stores!$A:$A,0)),"Unknown")</f>
        <v>South Zone 2</v>
      </c>
      <c r="Z2315" t="str">
        <f>IFERROR(INDEX(Customers!$J:$J,MATCH(C2315,Customers!$A:$A,0)),"Unknown")</f>
        <v>Gold</v>
      </c>
      <c r="AA2315" t="str">
        <f t="shared" si="36"/>
        <v>2024-04</v>
      </c>
      <c r="AB2315" t="str">
        <f>IFERROR(INDEX(Products!$I:$I,MATCH(D2315,Products!$A:$A,0)),"Unknown")</f>
        <v>SUP051</v>
      </c>
    </row>
    <row r="2316" spans="1:28" x14ac:dyDescent="0.25">
      <c r="A2316" t="s">
        <v>4343</v>
      </c>
      <c r="B2316" s="20">
        <v>45568</v>
      </c>
      <c r="C2316" t="s">
        <v>2407</v>
      </c>
      <c r="D2316" t="s">
        <v>325</v>
      </c>
      <c r="E2316" t="s">
        <v>86</v>
      </c>
      <c r="F2316" t="s">
        <v>377</v>
      </c>
      <c r="G2316">
        <v>3</v>
      </c>
      <c r="H2316" s="21">
        <v>1148.54</v>
      </c>
      <c r="I2316">
        <v>0</v>
      </c>
      <c r="J2316" s="21">
        <v>0</v>
      </c>
      <c r="K2316">
        <v>12</v>
      </c>
      <c r="L2316" s="21">
        <v>413.47</v>
      </c>
      <c r="M2316" s="21">
        <v>3859.09</v>
      </c>
      <c r="N2316" s="21">
        <v>2277</v>
      </c>
      <c r="O2316" s="21">
        <v>1168.6199999999999</v>
      </c>
      <c r="P2316" t="s">
        <v>125</v>
      </c>
      <c r="Q2316" t="s">
        <v>122</v>
      </c>
      <c r="R2316" t="s">
        <v>151</v>
      </c>
      <c r="S2316" t="s">
        <v>3064</v>
      </c>
      <c r="T2316" t="s">
        <v>153</v>
      </c>
      <c r="U2316" t="s">
        <v>154</v>
      </c>
      <c r="V2316" t="str">
        <f>IFERROR(INDEX(Products!$C:$C,MATCH(D2316,Products!$A:$A,0)),"Unknown")</f>
        <v>Women Jeans</v>
      </c>
      <c r="W2316" t="str">
        <f>IFERROR(INDEX(Products!$E:$E,MATCH(D2316,Products!$A:$A,0)),"Unknown")</f>
        <v>Nalli Silks</v>
      </c>
      <c r="X2316" t="str">
        <f>IFERROR(INDEX(Stores!$B:$B,MATCH(E2316,Stores!$A:$A,0)),"Unknown")</f>
        <v>TrendMart Warangal High Street</v>
      </c>
      <c r="Y2316" t="str">
        <f>IFERROR(INDEX(Stores!$E:$E,MATCH(E2316,Stores!$A:$A,0)),"Unknown")</f>
        <v>South Zone 2</v>
      </c>
      <c r="Z2316" t="str">
        <f>IFERROR(INDEX(Customers!$J:$J,MATCH(C2316,Customers!$A:$A,0)),"Unknown")</f>
        <v>Gold</v>
      </c>
      <c r="AA2316" t="str">
        <f t="shared" si="36"/>
        <v>2024-10</v>
      </c>
      <c r="AB2316" t="str">
        <f>IFERROR(INDEX(Products!$I:$I,MATCH(D2316,Products!$A:$A,0)),"Unknown")</f>
        <v>SUP048</v>
      </c>
    </row>
    <row r="2317" spans="1:28" x14ac:dyDescent="0.25">
      <c r="A2317" t="s">
        <v>4344</v>
      </c>
      <c r="B2317" s="20">
        <v>45573</v>
      </c>
      <c r="C2317" t="s">
        <v>2522</v>
      </c>
      <c r="D2317" t="s">
        <v>830</v>
      </c>
      <c r="E2317" t="s">
        <v>231</v>
      </c>
      <c r="F2317" t="s">
        <v>516</v>
      </c>
      <c r="G2317">
        <v>3</v>
      </c>
      <c r="H2317" s="21">
        <v>830.42</v>
      </c>
      <c r="I2317">
        <v>20</v>
      </c>
      <c r="J2317" s="21">
        <v>498.25</v>
      </c>
      <c r="K2317">
        <v>5</v>
      </c>
      <c r="L2317" s="21">
        <v>99.65</v>
      </c>
      <c r="M2317" s="21">
        <v>2092.66</v>
      </c>
      <c r="N2317" s="21">
        <v>1710.6</v>
      </c>
      <c r="O2317" s="21">
        <v>282.41000000000003</v>
      </c>
      <c r="P2317" t="s">
        <v>123</v>
      </c>
      <c r="Q2317" t="s">
        <v>120</v>
      </c>
      <c r="R2317" t="s">
        <v>151</v>
      </c>
      <c r="S2317" t="s">
        <v>2190</v>
      </c>
      <c r="T2317" t="s">
        <v>153</v>
      </c>
      <c r="U2317" t="s">
        <v>154</v>
      </c>
      <c r="V2317" t="str">
        <f>IFERROR(INDEX(Products!$C:$C,MATCH(D2317,Products!$A:$A,0)),"Unknown")</f>
        <v>Men Shirts</v>
      </c>
      <c r="W2317" t="str">
        <f>IFERROR(INDEX(Products!$E:$E,MATCH(D2317,Products!$A:$A,0)),"Unknown")</f>
        <v>AND</v>
      </c>
      <c r="X2317" t="str">
        <f>IFERROR(INDEX(Stores!$B:$B,MATCH(E2317,Stores!$A:$A,0)),"Unknown")</f>
        <v>TrendMart Warangal Outlet</v>
      </c>
      <c r="Y2317" t="str">
        <f>IFERROR(INDEX(Stores!$E:$E,MATCH(E2317,Stores!$A:$A,0)),"Unknown")</f>
        <v>South Zone 2</v>
      </c>
      <c r="Z2317" t="str">
        <f>IFERROR(INDEX(Customers!$J:$J,MATCH(C2317,Customers!$A:$A,0)),"Unknown")</f>
        <v>Platinum</v>
      </c>
      <c r="AA2317" t="str">
        <f t="shared" si="36"/>
        <v>2024-10</v>
      </c>
      <c r="AB2317" t="str">
        <f>IFERROR(INDEX(Products!$I:$I,MATCH(D2317,Products!$A:$A,0)),"Unknown")</f>
        <v>SUP012</v>
      </c>
    </row>
    <row r="2318" spans="1:28" x14ac:dyDescent="0.25">
      <c r="A2318" t="s">
        <v>4345</v>
      </c>
      <c r="B2318" s="20">
        <v>45530</v>
      </c>
      <c r="C2318" t="s">
        <v>432</v>
      </c>
      <c r="D2318" t="s">
        <v>531</v>
      </c>
      <c r="E2318" t="s">
        <v>360</v>
      </c>
      <c r="F2318" t="s">
        <v>258</v>
      </c>
      <c r="G2318">
        <v>1</v>
      </c>
      <c r="H2318" s="21">
        <v>3208.08</v>
      </c>
      <c r="I2318">
        <v>30</v>
      </c>
      <c r="J2318" s="21">
        <v>962.42</v>
      </c>
      <c r="K2318">
        <v>12</v>
      </c>
      <c r="L2318" s="21">
        <v>269.48</v>
      </c>
      <c r="M2318" s="21">
        <v>2515.14</v>
      </c>
      <c r="N2318" s="21">
        <v>2034.01</v>
      </c>
      <c r="O2318" s="21">
        <v>211.65</v>
      </c>
      <c r="P2318" t="s">
        <v>124</v>
      </c>
      <c r="Q2318" t="s">
        <v>120</v>
      </c>
      <c r="R2318" t="s">
        <v>313</v>
      </c>
      <c r="S2318" t="s">
        <v>1806</v>
      </c>
      <c r="T2318" t="s">
        <v>153</v>
      </c>
      <c r="U2318" t="s">
        <v>154</v>
      </c>
      <c r="V2318" t="str">
        <f>IFERROR(INDEX(Products!$C:$C,MATCH(D2318,Products!$A:$A,0)),"Unknown")</f>
        <v>Handbags</v>
      </c>
      <c r="W2318" t="str">
        <f>IFERROR(INDEX(Products!$E:$E,MATCH(D2318,Products!$A:$A,0)),"Unknown")</f>
        <v>GRT Jewellers</v>
      </c>
      <c r="X2318" t="str">
        <f>IFERROR(INDEX(Stores!$B:$B,MATCH(E2318,Stores!$A:$A,0)),"Unknown")</f>
        <v>TrendMart Kochi Standard</v>
      </c>
      <c r="Y2318" t="str">
        <f>IFERROR(INDEX(Stores!$E:$E,MATCH(E2318,Stores!$A:$A,0)),"Unknown")</f>
        <v>South Zone 1</v>
      </c>
      <c r="Z2318" t="str">
        <f>IFERROR(INDEX(Customers!$J:$J,MATCH(C2318,Customers!$A:$A,0)),"Unknown")</f>
        <v>Regular</v>
      </c>
      <c r="AA2318" t="str">
        <f t="shared" si="36"/>
        <v>2024-08</v>
      </c>
      <c r="AB2318" t="str">
        <f>IFERROR(INDEX(Products!$I:$I,MATCH(D2318,Products!$A:$A,0)),"Unknown")</f>
        <v>SUP047</v>
      </c>
    </row>
    <row r="2319" spans="1:28" x14ac:dyDescent="0.25">
      <c r="A2319" t="s">
        <v>4346</v>
      </c>
      <c r="B2319" s="20">
        <v>45604</v>
      </c>
      <c r="C2319" t="s">
        <v>1597</v>
      </c>
      <c r="D2319" t="s">
        <v>1350</v>
      </c>
      <c r="E2319" t="s">
        <v>848</v>
      </c>
      <c r="F2319" t="s">
        <v>232</v>
      </c>
      <c r="G2319">
        <v>1</v>
      </c>
      <c r="H2319" s="21">
        <v>614.66</v>
      </c>
      <c r="I2319">
        <v>10</v>
      </c>
      <c r="J2319" s="21">
        <v>61.47</v>
      </c>
      <c r="K2319">
        <v>5</v>
      </c>
      <c r="L2319" s="21">
        <v>27.66</v>
      </c>
      <c r="M2319" s="21">
        <v>580.85</v>
      </c>
      <c r="N2319" s="21">
        <v>419.4</v>
      </c>
      <c r="O2319" s="21">
        <v>133.79</v>
      </c>
      <c r="P2319" t="s">
        <v>121</v>
      </c>
      <c r="Q2319" t="s">
        <v>120</v>
      </c>
      <c r="R2319" t="s">
        <v>151</v>
      </c>
      <c r="S2319" t="s">
        <v>1075</v>
      </c>
      <c r="T2319" t="s">
        <v>153</v>
      </c>
      <c r="U2319" t="s">
        <v>154</v>
      </c>
      <c r="V2319" t="str">
        <f>IFERROR(INDEX(Products!$C:$C,MATCH(D2319,Products!$A:$A,0)),"Unknown")</f>
        <v>Women Tops</v>
      </c>
      <c r="W2319" t="str">
        <f>IFERROR(INDEX(Products!$E:$E,MATCH(D2319,Products!$A:$A,0)),"Unknown")</f>
        <v>Jack &amp; Jones</v>
      </c>
      <c r="X2319" t="str">
        <f>IFERROR(INDEX(Stores!$B:$B,MATCH(E2319,Stores!$A:$A,0)),"Unknown")</f>
        <v>TrendMart Shivamogga Standard</v>
      </c>
      <c r="Y2319" t="str">
        <f>IFERROR(INDEX(Stores!$E:$E,MATCH(E2319,Stores!$A:$A,0)),"Unknown")</f>
        <v>South Zone 2</v>
      </c>
      <c r="Z2319" t="str">
        <f>IFERROR(INDEX(Customers!$J:$J,MATCH(C2319,Customers!$A:$A,0)),"Unknown")</f>
        <v>Silver</v>
      </c>
      <c r="AA2319" t="str">
        <f t="shared" si="36"/>
        <v>2024-11</v>
      </c>
      <c r="AB2319" t="str">
        <f>IFERROR(INDEX(Products!$I:$I,MATCH(D2319,Products!$A:$A,0)),"Unknown")</f>
        <v>SUP089</v>
      </c>
    </row>
    <row r="2320" spans="1:28" x14ac:dyDescent="0.25">
      <c r="A2320" t="s">
        <v>4347</v>
      </c>
      <c r="B2320" s="20">
        <v>45527</v>
      </c>
      <c r="C2320" t="s">
        <v>3131</v>
      </c>
      <c r="D2320" t="s">
        <v>1421</v>
      </c>
      <c r="E2320" t="s">
        <v>634</v>
      </c>
      <c r="F2320" t="s">
        <v>232</v>
      </c>
      <c r="G2320">
        <v>1</v>
      </c>
      <c r="H2320" s="21">
        <v>1158.92</v>
      </c>
      <c r="I2320">
        <v>0</v>
      </c>
      <c r="J2320" s="21">
        <v>0</v>
      </c>
      <c r="K2320">
        <v>12</v>
      </c>
      <c r="L2320" s="21">
        <v>139.07</v>
      </c>
      <c r="M2320" s="21">
        <v>1297.99</v>
      </c>
      <c r="N2320" s="21">
        <v>817.33</v>
      </c>
      <c r="O2320" s="21">
        <v>341.59</v>
      </c>
      <c r="P2320" t="s">
        <v>127</v>
      </c>
      <c r="Q2320" t="s">
        <v>120</v>
      </c>
      <c r="R2320" t="s">
        <v>151</v>
      </c>
      <c r="S2320" t="s">
        <v>3961</v>
      </c>
      <c r="T2320" t="s">
        <v>153</v>
      </c>
      <c r="U2320" t="s">
        <v>154</v>
      </c>
      <c r="V2320" t="str">
        <f>IFERROR(INDEX(Products!$C:$C,MATCH(D2320,Products!$A:$A,0)),"Unknown")</f>
        <v>Men Jeans</v>
      </c>
      <c r="W2320" t="str">
        <f>IFERROR(INDEX(Products!$E:$E,MATCH(D2320,Products!$A:$A,0)),"Unknown")</f>
        <v>Flying Machine</v>
      </c>
      <c r="X2320" t="str">
        <f>IFERROR(INDEX(Stores!$B:$B,MATCH(E2320,Stores!$A:$A,0)),"Unknown")</f>
        <v>TrendMart Thrissur High Street</v>
      </c>
      <c r="Y2320" t="str">
        <f>IFERROR(INDEX(Stores!$E:$E,MATCH(E2320,Stores!$A:$A,0)),"Unknown")</f>
        <v>South Zone 1</v>
      </c>
      <c r="Z2320" t="str">
        <f>IFERROR(INDEX(Customers!$J:$J,MATCH(C2320,Customers!$A:$A,0)),"Unknown")</f>
        <v>Silver</v>
      </c>
      <c r="AA2320" t="str">
        <f t="shared" si="36"/>
        <v>2024-08</v>
      </c>
      <c r="AB2320" t="str">
        <f>IFERROR(INDEX(Products!$I:$I,MATCH(D2320,Products!$A:$A,0)),"Unknown")</f>
        <v>SUP043</v>
      </c>
    </row>
    <row r="2321" spans="1:28" x14ac:dyDescent="0.25">
      <c r="A2321" t="s">
        <v>4348</v>
      </c>
      <c r="B2321" s="20">
        <v>45649</v>
      </c>
      <c r="C2321" t="s">
        <v>1900</v>
      </c>
      <c r="D2321" t="s">
        <v>1661</v>
      </c>
      <c r="E2321" t="s">
        <v>848</v>
      </c>
      <c r="F2321" t="s">
        <v>176</v>
      </c>
      <c r="G2321">
        <v>2</v>
      </c>
      <c r="H2321" s="21">
        <v>861.53</v>
      </c>
      <c r="I2321">
        <v>20</v>
      </c>
      <c r="J2321" s="21">
        <v>344.61</v>
      </c>
      <c r="K2321">
        <v>5</v>
      </c>
      <c r="L2321" s="21">
        <v>68.92</v>
      </c>
      <c r="M2321" s="21">
        <v>1447.37</v>
      </c>
      <c r="N2321" s="21">
        <v>1322.68</v>
      </c>
      <c r="O2321" s="21">
        <v>55.77</v>
      </c>
      <c r="P2321" t="s">
        <v>123</v>
      </c>
      <c r="Q2321" t="s">
        <v>120</v>
      </c>
      <c r="R2321" t="s">
        <v>151</v>
      </c>
      <c r="S2321" t="s">
        <v>2994</v>
      </c>
      <c r="T2321" t="s">
        <v>153</v>
      </c>
      <c r="U2321" t="s">
        <v>154</v>
      </c>
      <c r="V2321" t="str">
        <f>IFERROR(INDEX(Products!$C:$C,MATCH(D2321,Products!$A:$A,0)),"Unknown")</f>
        <v>Men Jeans</v>
      </c>
      <c r="W2321" t="str">
        <f>IFERROR(INDEX(Products!$E:$E,MATCH(D2321,Products!$A:$A,0)),"Unknown")</f>
        <v>Aurelia</v>
      </c>
      <c r="X2321" t="str">
        <f>IFERROR(INDEX(Stores!$B:$B,MATCH(E2321,Stores!$A:$A,0)),"Unknown")</f>
        <v>TrendMart Shivamogga Standard</v>
      </c>
      <c r="Y2321" t="str">
        <f>IFERROR(INDEX(Stores!$E:$E,MATCH(E2321,Stores!$A:$A,0)),"Unknown")</f>
        <v>South Zone 2</v>
      </c>
      <c r="Z2321" t="str">
        <f>IFERROR(INDEX(Customers!$J:$J,MATCH(C2321,Customers!$A:$A,0)),"Unknown")</f>
        <v>Gold</v>
      </c>
      <c r="AA2321" t="str">
        <f t="shared" si="36"/>
        <v>2024-12</v>
      </c>
      <c r="AB2321" t="str">
        <f>IFERROR(INDEX(Products!$I:$I,MATCH(D2321,Products!$A:$A,0)),"Unknown")</f>
        <v>SUP053</v>
      </c>
    </row>
    <row r="2322" spans="1:28" x14ac:dyDescent="0.25">
      <c r="A2322" t="s">
        <v>4349</v>
      </c>
      <c r="B2322" s="20">
        <v>45486</v>
      </c>
      <c r="C2322" t="s">
        <v>497</v>
      </c>
      <c r="D2322" t="s">
        <v>1539</v>
      </c>
      <c r="E2322" t="s">
        <v>89</v>
      </c>
      <c r="F2322" t="s">
        <v>377</v>
      </c>
      <c r="G2322">
        <v>2</v>
      </c>
      <c r="H2322" s="21">
        <v>1140.9100000000001</v>
      </c>
      <c r="I2322">
        <v>0</v>
      </c>
      <c r="J2322" s="21">
        <v>0</v>
      </c>
      <c r="K2322">
        <v>12</v>
      </c>
      <c r="L2322" s="21">
        <v>273.82</v>
      </c>
      <c r="M2322" s="21">
        <v>2555.64</v>
      </c>
      <c r="N2322" s="21">
        <v>1834.88</v>
      </c>
      <c r="O2322" s="21">
        <v>446.94</v>
      </c>
      <c r="P2322" t="s">
        <v>127</v>
      </c>
      <c r="Q2322" t="s">
        <v>120</v>
      </c>
      <c r="R2322" t="s">
        <v>151</v>
      </c>
      <c r="S2322" t="s">
        <v>1592</v>
      </c>
      <c r="T2322" t="s">
        <v>161</v>
      </c>
      <c r="U2322" t="s">
        <v>154</v>
      </c>
      <c r="V2322" t="str">
        <f>IFERROR(INDEX(Products!$C:$C,MATCH(D2322,Products!$A:$A,0)),"Unknown")</f>
        <v>Wallets</v>
      </c>
      <c r="W2322" t="str">
        <f>IFERROR(INDEX(Products!$E:$E,MATCH(D2322,Products!$A:$A,0)),"Unknown")</f>
        <v>Reebok</v>
      </c>
      <c r="X2322" t="str">
        <f>IFERROR(INDEX(Stores!$B:$B,MATCH(E2322,Stores!$A:$A,0)),"Unknown")</f>
        <v>TrendMart Kochi Standard</v>
      </c>
      <c r="Y2322" t="str">
        <f>IFERROR(INDEX(Stores!$E:$E,MATCH(E2322,Stores!$A:$A,0)),"Unknown")</f>
        <v>South Zone 1</v>
      </c>
      <c r="Z2322" t="str">
        <f>IFERROR(INDEX(Customers!$J:$J,MATCH(C2322,Customers!$A:$A,0)),"Unknown")</f>
        <v>Silver</v>
      </c>
      <c r="AA2322" t="str">
        <f t="shared" si="36"/>
        <v>2024-07</v>
      </c>
      <c r="AB2322" t="str">
        <f>IFERROR(INDEX(Products!$I:$I,MATCH(D2322,Products!$A:$A,0)),"Unknown")</f>
        <v>SUP007</v>
      </c>
    </row>
    <row r="2323" spans="1:28" x14ac:dyDescent="0.25">
      <c r="A2323" t="s">
        <v>4350</v>
      </c>
      <c r="B2323" s="20">
        <v>45741</v>
      </c>
      <c r="C2323" t="s">
        <v>2537</v>
      </c>
      <c r="D2323" t="s">
        <v>1809</v>
      </c>
      <c r="E2323" t="s">
        <v>831</v>
      </c>
      <c r="F2323" t="s">
        <v>618</v>
      </c>
      <c r="G2323">
        <v>2</v>
      </c>
      <c r="H2323" s="21">
        <v>1044.17</v>
      </c>
      <c r="I2323">
        <v>0</v>
      </c>
      <c r="J2323" s="21">
        <v>0</v>
      </c>
      <c r="K2323">
        <v>12</v>
      </c>
      <c r="L2323" s="21">
        <v>250.6</v>
      </c>
      <c r="M2323" s="21">
        <v>2338.94</v>
      </c>
      <c r="N2323" s="21">
        <v>1513.18</v>
      </c>
      <c r="O2323" s="21">
        <v>575.16</v>
      </c>
      <c r="P2323" t="s">
        <v>121</v>
      </c>
      <c r="Q2323" t="s">
        <v>122</v>
      </c>
      <c r="R2323" t="s">
        <v>151</v>
      </c>
      <c r="S2323" t="s">
        <v>2106</v>
      </c>
      <c r="T2323" t="s">
        <v>153</v>
      </c>
      <c r="U2323" t="s">
        <v>154</v>
      </c>
      <c r="V2323" t="str">
        <f>IFERROR(INDEX(Products!$C:$C,MATCH(D2323,Products!$A:$A,0)),"Unknown")</f>
        <v>Men Jeans</v>
      </c>
      <c r="W2323" t="str">
        <f>IFERROR(INDEX(Products!$E:$E,MATCH(D2323,Products!$A:$A,0)),"Unknown")</f>
        <v>Mufti</v>
      </c>
      <c r="X2323" t="str">
        <f>IFERROR(INDEX(Stores!$B:$B,MATCH(E2323,Stores!$A:$A,0)),"Unknown")</f>
        <v>TrendMart Vellore Standard</v>
      </c>
      <c r="Y2323" t="str">
        <f>IFERROR(INDEX(Stores!$E:$E,MATCH(E2323,Stores!$A:$A,0)),"Unknown")</f>
        <v>South Zone 1</v>
      </c>
      <c r="Z2323" t="str">
        <f>IFERROR(INDEX(Customers!$J:$J,MATCH(C2323,Customers!$A:$A,0)),"Unknown")</f>
        <v>Gold</v>
      </c>
      <c r="AA2323" t="str">
        <f t="shared" si="36"/>
        <v>2025-03</v>
      </c>
      <c r="AB2323" t="str">
        <f>IFERROR(INDEX(Products!$I:$I,MATCH(D2323,Products!$A:$A,0)),"Unknown")</f>
        <v>SUP035</v>
      </c>
    </row>
    <row r="2324" spans="1:28" x14ac:dyDescent="0.25">
      <c r="A2324" t="s">
        <v>4351</v>
      </c>
      <c r="B2324" s="20">
        <v>45730</v>
      </c>
      <c r="C2324" t="s">
        <v>3037</v>
      </c>
      <c r="D2324" t="s">
        <v>524</v>
      </c>
      <c r="E2324" t="s">
        <v>268</v>
      </c>
      <c r="F2324" t="s">
        <v>443</v>
      </c>
      <c r="G2324">
        <v>1</v>
      </c>
      <c r="H2324" s="21">
        <v>702.33</v>
      </c>
      <c r="I2324">
        <v>0</v>
      </c>
      <c r="J2324" s="21">
        <v>0</v>
      </c>
      <c r="K2324">
        <v>5</v>
      </c>
      <c r="L2324" s="21">
        <v>35.119999999999997</v>
      </c>
      <c r="M2324" s="21">
        <v>737.45</v>
      </c>
      <c r="N2324" s="21">
        <v>547.66999999999996</v>
      </c>
      <c r="O2324" s="21">
        <v>154.66</v>
      </c>
      <c r="P2324" t="s">
        <v>123</v>
      </c>
      <c r="Q2324" t="s">
        <v>122</v>
      </c>
      <c r="R2324" t="s">
        <v>151</v>
      </c>
      <c r="S2324" t="s">
        <v>1829</v>
      </c>
      <c r="T2324" t="s">
        <v>153</v>
      </c>
      <c r="U2324" t="s">
        <v>154</v>
      </c>
      <c r="V2324" t="str">
        <f>IFERROR(INDEX(Products!$C:$C,MATCH(D2324,Products!$A:$A,0)),"Unknown")</f>
        <v>Women Tops</v>
      </c>
      <c r="W2324" t="str">
        <f>IFERROR(INDEX(Products!$E:$E,MATCH(D2324,Products!$A:$A,0)),"Unknown")</f>
        <v>Indian Terrain</v>
      </c>
      <c r="X2324" t="str">
        <f>IFERROR(INDEX(Stores!$B:$B,MATCH(E2324,Stores!$A:$A,0)),"Unknown")</f>
        <v>TrendMart Kochi High Street</v>
      </c>
      <c r="Y2324" t="str">
        <f>IFERROR(INDEX(Stores!$E:$E,MATCH(E2324,Stores!$A:$A,0)),"Unknown")</f>
        <v>South Zone 1</v>
      </c>
      <c r="Z2324" t="str">
        <f>IFERROR(INDEX(Customers!$J:$J,MATCH(C2324,Customers!$A:$A,0)),"Unknown")</f>
        <v>Silver</v>
      </c>
      <c r="AA2324" t="str">
        <f t="shared" si="36"/>
        <v>2025-03</v>
      </c>
      <c r="AB2324" t="str">
        <f>IFERROR(INDEX(Products!$I:$I,MATCH(D2324,Products!$A:$A,0)),"Unknown")</f>
        <v>SUP062</v>
      </c>
    </row>
    <row r="2325" spans="1:28" x14ac:dyDescent="0.25">
      <c r="A2325" t="s">
        <v>4352</v>
      </c>
      <c r="B2325" s="20">
        <v>45601</v>
      </c>
      <c r="C2325" t="s">
        <v>2708</v>
      </c>
      <c r="D2325" t="s">
        <v>622</v>
      </c>
      <c r="E2325" t="s">
        <v>429</v>
      </c>
      <c r="F2325" t="s">
        <v>408</v>
      </c>
      <c r="G2325">
        <v>3</v>
      </c>
      <c r="H2325" s="21">
        <v>2645.8</v>
      </c>
      <c r="I2325">
        <v>5</v>
      </c>
      <c r="J2325" s="21">
        <v>396.87</v>
      </c>
      <c r="K2325">
        <v>12</v>
      </c>
      <c r="L2325" s="21">
        <v>904.86</v>
      </c>
      <c r="M2325" s="21">
        <v>8445.39</v>
      </c>
      <c r="N2325" s="21">
        <v>5559.42</v>
      </c>
      <c r="O2325" s="21">
        <v>1981.11</v>
      </c>
      <c r="P2325" t="s">
        <v>121</v>
      </c>
      <c r="Q2325" t="s">
        <v>120</v>
      </c>
      <c r="R2325" t="s">
        <v>151</v>
      </c>
      <c r="S2325" t="s">
        <v>1845</v>
      </c>
      <c r="T2325" t="s">
        <v>153</v>
      </c>
      <c r="U2325" t="s">
        <v>154</v>
      </c>
      <c r="V2325" t="str">
        <f>IFERROR(INDEX(Products!$C:$C,MATCH(D2325,Products!$A:$A,0)),"Unknown")</f>
        <v>Women Sarees</v>
      </c>
      <c r="W2325" t="str">
        <f>IFERROR(INDEX(Products!$E:$E,MATCH(D2325,Products!$A:$A,0)),"Unknown")</f>
        <v>Sparx</v>
      </c>
      <c r="X2325" t="str">
        <f>IFERROR(INDEX(Stores!$B:$B,MATCH(E2325,Stores!$A:$A,0)),"Unknown")</f>
        <v>TrendMart Tirunelveli Flagship</v>
      </c>
      <c r="Y2325" t="str">
        <f>IFERROR(INDEX(Stores!$E:$E,MATCH(E2325,Stores!$A:$A,0)),"Unknown")</f>
        <v>South Zone 1</v>
      </c>
      <c r="Z2325" t="str">
        <f>IFERROR(INDEX(Customers!$J:$J,MATCH(C2325,Customers!$A:$A,0)),"Unknown")</f>
        <v>Silver</v>
      </c>
      <c r="AA2325" t="str">
        <f t="shared" si="36"/>
        <v>2024-11</v>
      </c>
      <c r="AB2325" t="str">
        <f>IFERROR(INDEX(Products!$I:$I,MATCH(D2325,Products!$A:$A,0)),"Unknown")</f>
        <v>SUP080</v>
      </c>
    </row>
    <row r="2326" spans="1:28" x14ac:dyDescent="0.25">
      <c r="A2326" t="s">
        <v>4353</v>
      </c>
      <c r="B2326" s="20">
        <v>45743</v>
      </c>
      <c r="C2326" t="s">
        <v>1438</v>
      </c>
      <c r="D2326" t="s">
        <v>1036</v>
      </c>
      <c r="E2326" t="s">
        <v>701</v>
      </c>
      <c r="F2326" t="s">
        <v>579</v>
      </c>
      <c r="G2326">
        <v>4</v>
      </c>
      <c r="H2326" s="21">
        <v>903.94</v>
      </c>
      <c r="I2326">
        <v>15</v>
      </c>
      <c r="J2326" s="21">
        <v>542.36</v>
      </c>
      <c r="K2326">
        <v>5</v>
      </c>
      <c r="L2326" s="21">
        <v>153.66999999999999</v>
      </c>
      <c r="M2326" s="21">
        <v>3227.07</v>
      </c>
      <c r="N2326" s="21">
        <v>2360.08</v>
      </c>
      <c r="O2326" s="21">
        <v>713.32</v>
      </c>
      <c r="P2326" t="s">
        <v>121</v>
      </c>
      <c r="Q2326" t="s">
        <v>120</v>
      </c>
      <c r="R2326" t="s">
        <v>151</v>
      </c>
      <c r="S2326" t="s">
        <v>1625</v>
      </c>
      <c r="T2326" t="s">
        <v>153</v>
      </c>
      <c r="U2326" t="s">
        <v>154</v>
      </c>
      <c r="V2326" t="str">
        <f>IFERROR(INDEX(Products!$C:$C,MATCH(D2326,Products!$A:$A,0)),"Unknown")</f>
        <v>Belts</v>
      </c>
      <c r="W2326" t="str">
        <f>IFERROR(INDEX(Products!$E:$E,MATCH(D2326,Products!$A:$A,0)),"Unknown")</f>
        <v>Skechers</v>
      </c>
      <c r="X2326" t="str">
        <f>IFERROR(INDEX(Stores!$B:$B,MATCH(E2326,Stores!$A:$A,0)),"Unknown")</f>
        <v>TrendMart Vijayawada Mall Kiosk</v>
      </c>
      <c r="Y2326" t="str">
        <f>IFERROR(INDEX(Stores!$E:$E,MATCH(E2326,Stores!$A:$A,0)),"Unknown")</f>
        <v>South Zone 3</v>
      </c>
      <c r="Z2326" t="str">
        <f>IFERROR(INDEX(Customers!$J:$J,MATCH(C2326,Customers!$A:$A,0)),"Unknown")</f>
        <v>Silver</v>
      </c>
      <c r="AA2326" t="str">
        <f t="shared" si="36"/>
        <v>2025-03</v>
      </c>
      <c r="AB2326" t="str">
        <f>IFERROR(INDEX(Products!$I:$I,MATCH(D2326,Products!$A:$A,0)),"Unknown")</f>
        <v>SUP085</v>
      </c>
    </row>
    <row r="2327" spans="1:28" x14ac:dyDescent="0.25">
      <c r="A2327" t="s">
        <v>4354</v>
      </c>
      <c r="B2327" s="20">
        <v>45409</v>
      </c>
      <c r="C2327" t="s">
        <v>1001</v>
      </c>
      <c r="D2327" t="s">
        <v>1073</v>
      </c>
      <c r="E2327" t="s">
        <v>368</v>
      </c>
      <c r="F2327" t="s">
        <v>263</v>
      </c>
      <c r="G2327">
        <v>2</v>
      </c>
      <c r="H2327" s="21">
        <v>3336.4</v>
      </c>
      <c r="I2327">
        <v>25</v>
      </c>
      <c r="J2327" s="21">
        <v>1668.2</v>
      </c>
      <c r="K2327">
        <v>12</v>
      </c>
      <c r="L2327" s="21">
        <v>600.54999999999995</v>
      </c>
      <c r="M2327" s="21">
        <v>5605.15</v>
      </c>
      <c r="N2327" s="21">
        <v>4680.92</v>
      </c>
      <c r="O2327" s="21">
        <v>323.68</v>
      </c>
      <c r="P2327" t="s">
        <v>127</v>
      </c>
      <c r="Q2327" t="s">
        <v>120</v>
      </c>
      <c r="R2327" t="s">
        <v>151</v>
      </c>
      <c r="S2327" t="s">
        <v>1165</v>
      </c>
      <c r="T2327" t="s">
        <v>161</v>
      </c>
      <c r="U2327" t="s">
        <v>154</v>
      </c>
      <c r="V2327" t="str">
        <f>IFERROR(INDEX(Products!$C:$C,MATCH(D2327,Products!$A:$A,0)),"Unknown")</f>
        <v>Women Sarees</v>
      </c>
      <c r="W2327" t="str">
        <f>IFERROR(INDEX(Products!$E:$E,MATCH(D2327,Products!$A:$A,0)),"Unknown")</f>
        <v>W for Woman</v>
      </c>
      <c r="X2327" t="str">
        <f>IFERROR(INDEX(Stores!$B:$B,MATCH(E2327,Stores!$A:$A,0)),"Unknown")</f>
        <v>TrendMart Alappuzha Outlet</v>
      </c>
      <c r="Y2327" t="str">
        <f>IFERROR(INDEX(Stores!$E:$E,MATCH(E2327,Stores!$A:$A,0)),"Unknown")</f>
        <v>South Zone 1</v>
      </c>
      <c r="Z2327" t="str">
        <f>IFERROR(INDEX(Customers!$J:$J,MATCH(C2327,Customers!$A:$A,0)),"Unknown")</f>
        <v>Silver</v>
      </c>
      <c r="AA2327" t="str">
        <f t="shared" si="36"/>
        <v>2024-04</v>
      </c>
      <c r="AB2327" t="str">
        <f>IFERROR(INDEX(Products!$I:$I,MATCH(D2327,Products!$A:$A,0)),"Unknown")</f>
        <v>SUP012</v>
      </c>
    </row>
    <row r="2328" spans="1:28" x14ac:dyDescent="0.25">
      <c r="A2328" t="s">
        <v>4355</v>
      </c>
      <c r="B2328" s="20">
        <v>45677</v>
      </c>
      <c r="C2328" t="s">
        <v>1167</v>
      </c>
      <c r="D2328" t="s">
        <v>1256</v>
      </c>
      <c r="E2328" t="s">
        <v>1591</v>
      </c>
      <c r="F2328" t="s">
        <v>550</v>
      </c>
      <c r="G2328">
        <v>1</v>
      </c>
      <c r="H2328" s="21">
        <v>829.83</v>
      </c>
      <c r="I2328">
        <v>5</v>
      </c>
      <c r="J2328" s="21">
        <v>41.49</v>
      </c>
      <c r="K2328">
        <v>5</v>
      </c>
      <c r="L2328" s="21">
        <v>39.42</v>
      </c>
      <c r="M2328" s="21">
        <v>827.76</v>
      </c>
      <c r="N2328" s="21">
        <v>637.27</v>
      </c>
      <c r="O2328" s="21">
        <v>151.07</v>
      </c>
      <c r="P2328" t="s">
        <v>125</v>
      </c>
      <c r="Q2328" t="s">
        <v>122</v>
      </c>
      <c r="R2328" t="s">
        <v>151</v>
      </c>
      <c r="S2328" t="s">
        <v>3542</v>
      </c>
      <c r="T2328" t="s">
        <v>153</v>
      </c>
      <c r="U2328" t="s">
        <v>154</v>
      </c>
      <c r="V2328" t="str">
        <f>IFERROR(INDEX(Products!$C:$C,MATCH(D2328,Products!$A:$A,0)),"Unknown")</f>
        <v>Women Jeans</v>
      </c>
      <c r="W2328" t="str">
        <f>IFERROR(INDEX(Products!$E:$E,MATCH(D2328,Products!$A:$A,0)),"Unknown")</f>
        <v>Biba</v>
      </c>
      <c r="X2328" t="str">
        <f>IFERROR(INDEX(Stores!$B:$B,MATCH(E2328,Stores!$A:$A,0)),"Unknown")</f>
        <v>TrendMart Guntur Standard</v>
      </c>
      <c r="Y2328" t="str">
        <f>IFERROR(INDEX(Stores!$E:$E,MATCH(E2328,Stores!$A:$A,0)),"Unknown")</f>
        <v>South Zone 3</v>
      </c>
      <c r="Z2328" t="str">
        <f>IFERROR(INDEX(Customers!$J:$J,MATCH(C2328,Customers!$A:$A,0)),"Unknown")</f>
        <v>Regular</v>
      </c>
      <c r="AA2328" t="str">
        <f t="shared" si="36"/>
        <v>2025-01</v>
      </c>
      <c r="AB2328" t="str">
        <f>IFERROR(INDEX(Products!$I:$I,MATCH(D2328,Products!$A:$A,0)),"Unknown")</f>
        <v>SUP040</v>
      </c>
    </row>
    <row r="2329" spans="1:28" x14ac:dyDescent="0.25">
      <c r="A2329" t="s">
        <v>4356</v>
      </c>
      <c r="B2329" s="20">
        <v>45485</v>
      </c>
      <c r="C2329" t="s">
        <v>2041</v>
      </c>
      <c r="D2329" t="s">
        <v>697</v>
      </c>
      <c r="E2329" t="s">
        <v>97</v>
      </c>
      <c r="F2329" t="s">
        <v>292</v>
      </c>
      <c r="G2329">
        <v>3</v>
      </c>
      <c r="H2329" s="21">
        <v>1080.83</v>
      </c>
      <c r="I2329">
        <v>0</v>
      </c>
      <c r="J2329" s="21">
        <v>0</v>
      </c>
      <c r="K2329">
        <v>12</v>
      </c>
      <c r="L2329" s="21">
        <v>389.1</v>
      </c>
      <c r="M2329" s="21">
        <v>3631.59</v>
      </c>
      <c r="N2329" s="21">
        <v>2099.52</v>
      </c>
      <c r="O2329" s="21">
        <v>1142.97</v>
      </c>
      <c r="P2329" t="s">
        <v>125</v>
      </c>
      <c r="Q2329" t="s">
        <v>120</v>
      </c>
      <c r="R2329" t="s">
        <v>151</v>
      </c>
      <c r="S2329" t="s">
        <v>2387</v>
      </c>
      <c r="T2329" t="s">
        <v>153</v>
      </c>
      <c r="U2329" t="s">
        <v>154</v>
      </c>
      <c r="V2329" t="str">
        <f>IFERROR(INDEX(Products!$C:$C,MATCH(D2329,Products!$A:$A,0)),"Unknown")</f>
        <v>Women Tops</v>
      </c>
      <c r="W2329" t="str">
        <f>IFERROR(INDEX(Products!$E:$E,MATCH(D2329,Products!$A:$A,0)),"Unknown")</f>
        <v>Nalli Silks</v>
      </c>
      <c r="X2329" t="str">
        <f>IFERROR(INDEX(Stores!$B:$B,MATCH(E2329,Stores!$A:$A,0)),"Unknown")</f>
        <v>TrendMart Guntur Flagship</v>
      </c>
      <c r="Y2329" t="str">
        <f>IFERROR(INDEX(Stores!$E:$E,MATCH(E2329,Stores!$A:$A,0)),"Unknown")</f>
        <v>South Zone 3</v>
      </c>
      <c r="Z2329" t="str">
        <f>IFERROR(INDEX(Customers!$J:$J,MATCH(C2329,Customers!$A:$A,0)),"Unknown")</f>
        <v>Regular</v>
      </c>
      <c r="AA2329" t="str">
        <f t="shared" si="36"/>
        <v>2024-07</v>
      </c>
      <c r="AB2329" t="str">
        <f>IFERROR(INDEX(Products!$I:$I,MATCH(D2329,Products!$A:$A,0)),"Unknown")</f>
        <v>SUP008</v>
      </c>
    </row>
    <row r="2330" spans="1:28" x14ac:dyDescent="0.25">
      <c r="A2330" t="s">
        <v>4357</v>
      </c>
      <c r="B2330" s="20">
        <v>45582</v>
      </c>
      <c r="C2330" t="s">
        <v>2448</v>
      </c>
      <c r="D2330" t="s">
        <v>801</v>
      </c>
      <c r="E2330" t="s">
        <v>671</v>
      </c>
      <c r="F2330" t="s">
        <v>297</v>
      </c>
      <c r="G2330">
        <v>3</v>
      </c>
      <c r="H2330" s="21">
        <v>630.79999999999995</v>
      </c>
      <c r="I2330">
        <v>20</v>
      </c>
      <c r="J2330" s="21">
        <v>378.48</v>
      </c>
      <c r="K2330">
        <v>5</v>
      </c>
      <c r="L2330" s="21">
        <v>75.7</v>
      </c>
      <c r="M2330" s="21">
        <v>1589.62</v>
      </c>
      <c r="N2330" s="21">
        <v>1274.28</v>
      </c>
      <c r="O2330" s="21">
        <v>239.64</v>
      </c>
      <c r="P2330" t="s">
        <v>126</v>
      </c>
      <c r="Q2330" t="s">
        <v>122</v>
      </c>
      <c r="R2330" t="s">
        <v>151</v>
      </c>
      <c r="S2330" t="s">
        <v>2009</v>
      </c>
      <c r="T2330" t="s">
        <v>153</v>
      </c>
      <c r="U2330" t="s">
        <v>154</v>
      </c>
      <c r="V2330" t="str">
        <f>IFERROR(INDEX(Products!$C:$C,MATCH(D2330,Products!$A:$A,0)),"Unknown")</f>
        <v>Kids Wear</v>
      </c>
      <c r="W2330" t="str">
        <f>IFERROR(INDEX(Products!$E:$E,MATCH(D2330,Products!$A:$A,0)),"Unknown")</f>
        <v>Being Human</v>
      </c>
      <c r="X2330" t="str">
        <f>IFERROR(INDEX(Stores!$B:$B,MATCH(E2330,Stores!$A:$A,0)),"Unknown")</f>
        <v>TrendMart Hyderabad Mall Kiosk</v>
      </c>
      <c r="Y2330" t="str">
        <f>IFERROR(INDEX(Stores!$E:$E,MATCH(E2330,Stores!$A:$A,0)),"Unknown")</f>
        <v>South Zone 2</v>
      </c>
      <c r="Z2330" t="str">
        <f>IFERROR(INDEX(Customers!$J:$J,MATCH(C2330,Customers!$A:$A,0)),"Unknown")</f>
        <v>Silver</v>
      </c>
      <c r="AA2330" t="str">
        <f t="shared" si="36"/>
        <v>2024-10</v>
      </c>
      <c r="AB2330" t="str">
        <f>IFERROR(INDEX(Products!$I:$I,MATCH(D2330,Products!$A:$A,0)),"Unknown")</f>
        <v>SUP063</v>
      </c>
    </row>
    <row r="2331" spans="1:28" x14ac:dyDescent="0.25">
      <c r="A2331" t="s">
        <v>4358</v>
      </c>
      <c r="B2331" s="20">
        <v>45577</v>
      </c>
      <c r="C2331" t="s">
        <v>1554</v>
      </c>
      <c r="D2331" t="s">
        <v>2759</v>
      </c>
      <c r="E2331" t="s">
        <v>495</v>
      </c>
      <c r="F2331" t="s">
        <v>165</v>
      </c>
      <c r="G2331">
        <v>1</v>
      </c>
      <c r="H2331" s="21">
        <v>766.18</v>
      </c>
      <c r="I2331">
        <v>25</v>
      </c>
      <c r="J2331" s="21">
        <v>191.54</v>
      </c>
      <c r="K2331">
        <v>5</v>
      </c>
      <c r="L2331" s="21">
        <v>28.73</v>
      </c>
      <c r="M2331" s="21">
        <v>603.37</v>
      </c>
      <c r="N2331" s="21">
        <v>403.9</v>
      </c>
      <c r="O2331" s="21">
        <v>170.74</v>
      </c>
      <c r="P2331" t="s">
        <v>124</v>
      </c>
      <c r="Q2331" t="s">
        <v>120</v>
      </c>
      <c r="R2331" t="s">
        <v>151</v>
      </c>
      <c r="S2331" t="s">
        <v>1003</v>
      </c>
      <c r="T2331" t="s">
        <v>161</v>
      </c>
      <c r="U2331" t="s">
        <v>154</v>
      </c>
      <c r="V2331" t="str">
        <f>IFERROR(INDEX(Products!$C:$C,MATCH(D2331,Products!$A:$A,0)),"Unknown")</f>
        <v>Men T-Shirts</v>
      </c>
      <c r="W2331" t="str">
        <f>IFERROR(INDEX(Products!$E:$E,MATCH(D2331,Products!$A:$A,0)),"Unknown")</f>
        <v>Libas</v>
      </c>
      <c r="X2331" t="str">
        <f>IFERROR(INDEX(Stores!$B:$B,MATCH(E2331,Stores!$A:$A,0)),"Unknown")</f>
        <v>TrendMart Visakhapatnam Flagship</v>
      </c>
      <c r="Y2331" t="str">
        <f>IFERROR(INDEX(Stores!$E:$E,MATCH(E2331,Stores!$A:$A,0)),"Unknown")</f>
        <v>South Zone 3</v>
      </c>
      <c r="Z2331" t="str">
        <f>IFERROR(INDEX(Customers!$J:$J,MATCH(C2331,Customers!$A:$A,0)),"Unknown")</f>
        <v>Gold</v>
      </c>
      <c r="AA2331" t="str">
        <f t="shared" si="36"/>
        <v>2024-10</v>
      </c>
      <c r="AB2331" t="str">
        <f>IFERROR(INDEX(Products!$I:$I,MATCH(D2331,Products!$A:$A,0)),"Unknown")</f>
        <v>SUP041</v>
      </c>
    </row>
    <row r="2332" spans="1:28" x14ac:dyDescent="0.25">
      <c r="A2332" t="s">
        <v>4359</v>
      </c>
      <c r="B2332" s="20">
        <v>45420</v>
      </c>
      <c r="C2332" t="s">
        <v>4360</v>
      </c>
      <c r="D2332" t="s">
        <v>531</v>
      </c>
      <c r="E2332" t="s">
        <v>1074</v>
      </c>
      <c r="F2332" t="s">
        <v>170</v>
      </c>
      <c r="G2332">
        <v>3</v>
      </c>
      <c r="H2332" s="21">
        <v>3166.8</v>
      </c>
      <c r="I2332">
        <v>0</v>
      </c>
      <c r="J2332" s="21">
        <v>0</v>
      </c>
      <c r="K2332">
        <v>12</v>
      </c>
      <c r="L2332" s="21">
        <v>1140.05</v>
      </c>
      <c r="M2332" s="21">
        <v>10640.45</v>
      </c>
      <c r="N2332" s="21">
        <v>6102.03</v>
      </c>
      <c r="O2332" s="21">
        <v>3398.37</v>
      </c>
      <c r="P2332" t="s">
        <v>123</v>
      </c>
      <c r="Q2332" t="s">
        <v>122</v>
      </c>
      <c r="R2332" t="s">
        <v>313</v>
      </c>
      <c r="S2332" t="s">
        <v>4361</v>
      </c>
      <c r="T2332" t="s">
        <v>153</v>
      </c>
      <c r="U2332" t="s">
        <v>154</v>
      </c>
      <c r="V2332" t="str">
        <f>IFERROR(INDEX(Products!$C:$C,MATCH(D2332,Products!$A:$A,0)),"Unknown")</f>
        <v>Handbags</v>
      </c>
      <c r="W2332" t="str">
        <f>IFERROR(INDEX(Products!$E:$E,MATCH(D2332,Products!$A:$A,0)),"Unknown")</f>
        <v>GRT Jewellers</v>
      </c>
      <c r="X2332" t="str">
        <f>IFERROR(INDEX(Stores!$B:$B,MATCH(E2332,Stores!$A:$A,0)),"Unknown")</f>
        <v>TrendMart Hyderabad Standard</v>
      </c>
      <c r="Y2332" t="str">
        <f>IFERROR(INDEX(Stores!$E:$E,MATCH(E2332,Stores!$A:$A,0)),"Unknown")</f>
        <v>South Zone 2</v>
      </c>
      <c r="Z2332" t="str">
        <f>IFERROR(INDEX(Customers!$J:$J,MATCH(C2332,Customers!$A:$A,0)),"Unknown")</f>
        <v>Regular</v>
      </c>
      <c r="AA2332" t="str">
        <f t="shared" si="36"/>
        <v>2024-05</v>
      </c>
      <c r="AB2332" t="str">
        <f>IFERROR(INDEX(Products!$I:$I,MATCH(D2332,Products!$A:$A,0)),"Unknown")</f>
        <v>SUP047</v>
      </c>
    </row>
    <row r="2333" spans="1:28" x14ac:dyDescent="0.25">
      <c r="A2333" t="s">
        <v>4362</v>
      </c>
      <c r="B2333" s="20">
        <v>45569</v>
      </c>
      <c r="C2333" t="s">
        <v>3045</v>
      </c>
      <c r="D2333" t="s">
        <v>2169</v>
      </c>
      <c r="E2333" t="s">
        <v>1171</v>
      </c>
      <c r="F2333" t="s">
        <v>258</v>
      </c>
      <c r="G2333">
        <v>4</v>
      </c>
      <c r="H2333" s="21">
        <v>966.73</v>
      </c>
      <c r="I2333">
        <v>15</v>
      </c>
      <c r="J2333" s="21">
        <v>580.04</v>
      </c>
      <c r="K2333">
        <v>5</v>
      </c>
      <c r="L2333" s="21">
        <v>164.34</v>
      </c>
      <c r="M2333" s="21">
        <v>3451.22</v>
      </c>
      <c r="N2333" s="21">
        <v>2563.04</v>
      </c>
      <c r="O2333" s="21">
        <v>723.84</v>
      </c>
      <c r="P2333" t="s">
        <v>124</v>
      </c>
      <c r="Q2333" t="s">
        <v>120</v>
      </c>
      <c r="R2333" t="s">
        <v>151</v>
      </c>
      <c r="S2333" t="s">
        <v>570</v>
      </c>
      <c r="T2333" t="s">
        <v>153</v>
      </c>
      <c r="U2333" t="s">
        <v>154</v>
      </c>
      <c r="V2333" t="str">
        <f>IFERROR(INDEX(Products!$C:$C,MATCH(D2333,Products!$A:$A,0)),"Unknown")</f>
        <v>Men Trousers</v>
      </c>
      <c r="W2333" t="str">
        <f>IFERROR(INDEX(Products!$E:$E,MATCH(D2333,Products!$A:$A,0)),"Unknown")</f>
        <v>Titan</v>
      </c>
      <c r="X2333" t="str">
        <f>IFERROR(INDEX(Stores!$B:$B,MATCH(E2333,Stores!$A:$A,0)),"Unknown")</f>
        <v>TrendMart Chennai Standard</v>
      </c>
      <c r="Y2333" t="str">
        <f>IFERROR(INDEX(Stores!$E:$E,MATCH(E2333,Stores!$A:$A,0)),"Unknown")</f>
        <v>South Zone 1</v>
      </c>
      <c r="Z2333" t="str">
        <f>IFERROR(INDEX(Customers!$J:$J,MATCH(C2333,Customers!$A:$A,0)),"Unknown")</f>
        <v>Gold</v>
      </c>
      <c r="AA2333" t="str">
        <f t="shared" si="36"/>
        <v>2024-10</v>
      </c>
      <c r="AB2333" t="str">
        <f>IFERROR(INDEX(Products!$I:$I,MATCH(D2333,Products!$A:$A,0)),"Unknown")</f>
        <v>SUP069</v>
      </c>
    </row>
    <row r="2334" spans="1:28" x14ac:dyDescent="0.25">
      <c r="A2334" t="s">
        <v>4363</v>
      </c>
      <c r="B2334" s="20">
        <v>45717</v>
      </c>
      <c r="C2334" t="s">
        <v>688</v>
      </c>
      <c r="D2334" t="s">
        <v>1044</v>
      </c>
      <c r="E2334" t="s">
        <v>1681</v>
      </c>
      <c r="F2334" t="s">
        <v>303</v>
      </c>
      <c r="G2334">
        <v>3</v>
      </c>
      <c r="H2334" s="21">
        <v>654.04</v>
      </c>
      <c r="I2334">
        <v>15</v>
      </c>
      <c r="J2334" s="21">
        <v>294.32</v>
      </c>
      <c r="K2334">
        <v>5</v>
      </c>
      <c r="L2334" s="21">
        <v>83.39</v>
      </c>
      <c r="M2334" s="21">
        <v>1751.19</v>
      </c>
      <c r="N2334" s="21">
        <v>1005.45</v>
      </c>
      <c r="O2334" s="21">
        <v>662.35</v>
      </c>
      <c r="P2334" t="s">
        <v>124</v>
      </c>
      <c r="Q2334" t="s">
        <v>122</v>
      </c>
      <c r="R2334" t="s">
        <v>151</v>
      </c>
      <c r="S2334" t="s">
        <v>3239</v>
      </c>
      <c r="T2334" t="s">
        <v>161</v>
      </c>
      <c r="U2334" t="s">
        <v>154</v>
      </c>
      <c r="V2334" t="str">
        <f>IFERROR(INDEX(Products!$C:$C,MATCH(D2334,Products!$A:$A,0)),"Unknown")</f>
        <v>Men T-Shirts</v>
      </c>
      <c r="W2334" t="str">
        <f>IFERROR(INDEX(Products!$E:$E,MATCH(D2334,Products!$A:$A,0)),"Unknown")</f>
        <v>Mufti</v>
      </c>
      <c r="X2334" t="str">
        <f>IFERROR(INDEX(Stores!$B:$B,MATCH(E2334,Stores!$A:$A,0)),"Unknown")</f>
        <v>TrendMart Warangal Standard</v>
      </c>
      <c r="Y2334" t="str">
        <f>IFERROR(INDEX(Stores!$E:$E,MATCH(E2334,Stores!$A:$A,0)),"Unknown")</f>
        <v>South Zone 2</v>
      </c>
      <c r="Z2334" t="str">
        <f>IFERROR(INDEX(Customers!$J:$J,MATCH(C2334,Customers!$A:$A,0)),"Unknown")</f>
        <v>Gold</v>
      </c>
      <c r="AA2334" t="str">
        <f t="shared" si="36"/>
        <v>2025-03</v>
      </c>
      <c r="AB2334" t="str">
        <f>IFERROR(INDEX(Products!$I:$I,MATCH(D2334,Products!$A:$A,0)),"Unknown")</f>
        <v>SUP042</v>
      </c>
    </row>
    <row r="2335" spans="1:28" x14ac:dyDescent="0.25">
      <c r="A2335" t="s">
        <v>4364</v>
      </c>
      <c r="B2335" s="20">
        <v>45509</v>
      </c>
      <c r="C2335" t="s">
        <v>2644</v>
      </c>
      <c r="D2335" t="s">
        <v>1080</v>
      </c>
      <c r="E2335" t="s">
        <v>1068</v>
      </c>
      <c r="F2335" t="s">
        <v>170</v>
      </c>
      <c r="G2335">
        <v>1</v>
      </c>
      <c r="H2335" s="21">
        <v>1437.9</v>
      </c>
      <c r="I2335">
        <v>0</v>
      </c>
      <c r="J2335" s="21">
        <v>0</v>
      </c>
      <c r="K2335">
        <v>12</v>
      </c>
      <c r="L2335" s="21">
        <v>172.55</v>
      </c>
      <c r="M2335" s="21">
        <v>1610.45</v>
      </c>
      <c r="N2335" s="21">
        <v>914.35</v>
      </c>
      <c r="O2335" s="21">
        <v>523.54999999999995</v>
      </c>
      <c r="P2335" t="s">
        <v>124</v>
      </c>
      <c r="Q2335" t="s">
        <v>120</v>
      </c>
      <c r="R2335" t="s">
        <v>151</v>
      </c>
      <c r="S2335" t="s">
        <v>682</v>
      </c>
      <c r="T2335" t="s">
        <v>153</v>
      </c>
      <c r="U2335" t="s">
        <v>154</v>
      </c>
      <c r="V2335" t="str">
        <f>IFERROR(INDEX(Products!$C:$C,MATCH(D2335,Products!$A:$A,0)),"Unknown")</f>
        <v>Winter Wear</v>
      </c>
      <c r="W2335" t="str">
        <f>IFERROR(INDEX(Products!$E:$E,MATCH(D2335,Products!$A:$A,0)),"Unknown")</f>
        <v>Max Fashion</v>
      </c>
      <c r="X2335" t="str">
        <f>IFERROR(INDEX(Stores!$B:$B,MATCH(E2335,Stores!$A:$A,0)),"Unknown")</f>
        <v>TrendMart Tumakuru High Street</v>
      </c>
      <c r="Y2335" t="str">
        <f>IFERROR(INDEX(Stores!$E:$E,MATCH(E2335,Stores!$A:$A,0)),"Unknown")</f>
        <v>South Zone 2</v>
      </c>
      <c r="Z2335" t="str">
        <f>IFERROR(INDEX(Customers!$J:$J,MATCH(C2335,Customers!$A:$A,0)),"Unknown")</f>
        <v>Silver</v>
      </c>
      <c r="AA2335" t="str">
        <f t="shared" si="36"/>
        <v>2024-08</v>
      </c>
      <c r="AB2335" t="str">
        <f>IFERROR(INDEX(Products!$I:$I,MATCH(D2335,Products!$A:$A,0)),"Unknown")</f>
        <v>SUP017</v>
      </c>
    </row>
    <row r="2336" spans="1:28" x14ac:dyDescent="0.25">
      <c r="A2336" t="s">
        <v>4365</v>
      </c>
      <c r="B2336" s="20">
        <v>45673</v>
      </c>
      <c r="C2336" t="s">
        <v>3190</v>
      </c>
      <c r="D2336" t="s">
        <v>230</v>
      </c>
      <c r="E2336" t="s">
        <v>607</v>
      </c>
      <c r="F2336" t="s">
        <v>297</v>
      </c>
      <c r="G2336">
        <v>3</v>
      </c>
      <c r="H2336" s="21">
        <v>1471.63</v>
      </c>
      <c r="I2336">
        <v>0</v>
      </c>
      <c r="J2336" s="21">
        <v>0</v>
      </c>
      <c r="K2336">
        <v>12</v>
      </c>
      <c r="L2336" s="21">
        <v>529.79</v>
      </c>
      <c r="M2336" s="21">
        <v>4944.68</v>
      </c>
      <c r="N2336" s="21">
        <v>2838.9</v>
      </c>
      <c r="O2336" s="21">
        <v>1575.99</v>
      </c>
      <c r="P2336" t="s">
        <v>123</v>
      </c>
      <c r="Q2336" t="s">
        <v>120</v>
      </c>
      <c r="R2336" t="s">
        <v>151</v>
      </c>
      <c r="S2336" t="s">
        <v>1981</v>
      </c>
      <c r="T2336" t="s">
        <v>153</v>
      </c>
      <c r="U2336" t="s">
        <v>154</v>
      </c>
      <c r="V2336" t="str">
        <f>IFERROR(INDEX(Products!$C:$C,MATCH(D2336,Products!$A:$A,0)),"Unknown")</f>
        <v>Watches</v>
      </c>
      <c r="W2336" t="str">
        <f>IFERROR(INDEX(Products!$E:$E,MATCH(D2336,Products!$A:$A,0)),"Unknown")</f>
        <v>Wrangler</v>
      </c>
      <c r="X2336" t="str">
        <f>IFERROR(INDEX(Stores!$B:$B,MATCH(E2336,Stores!$A:$A,0)),"Unknown")</f>
        <v>TrendMart Thiruvananthapuram Standard</v>
      </c>
      <c r="Y2336" t="str">
        <f>IFERROR(INDEX(Stores!$E:$E,MATCH(E2336,Stores!$A:$A,0)),"Unknown")</f>
        <v>South Zone 1</v>
      </c>
      <c r="Z2336" t="str">
        <f>IFERROR(INDEX(Customers!$J:$J,MATCH(C2336,Customers!$A:$A,0)),"Unknown")</f>
        <v>Regular</v>
      </c>
      <c r="AA2336" t="str">
        <f t="shared" si="36"/>
        <v>2025-01</v>
      </c>
      <c r="AB2336" t="str">
        <f>IFERROR(INDEX(Products!$I:$I,MATCH(D2336,Products!$A:$A,0)),"Unknown")</f>
        <v>SUP044</v>
      </c>
    </row>
    <row r="2337" spans="1:28" x14ac:dyDescent="0.25">
      <c r="A2337" t="s">
        <v>4366</v>
      </c>
      <c r="B2337" s="20">
        <v>45479</v>
      </c>
      <c r="C2337" t="s">
        <v>4367</v>
      </c>
      <c r="D2337" t="s">
        <v>1204</v>
      </c>
      <c r="E2337" t="s">
        <v>81</v>
      </c>
      <c r="F2337" t="s">
        <v>532</v>
      </c>
      <c r="G2337">
        <v>1</v>
      </c>
      <c r="H2337" s="21">
        <v>754.22</v>
      </c>
      <c r="I2337">
        <v>20</v>
      </c>
      <c r="J2337" s="21">
        <v>150.84</v>
      </c>
      <c r="K2337">
        <v>5</v>
      </c>
      <c r="L2337" s="21">
        <v>30.17</v>
      </c>
      <c r="M2337" s="21">
        <v>633.54999999999995</v>
      </c>
      <c r="N2337" s="21">
        <v>414.5</v>
      </c>
      <c r="O2337" s="21">
        <v>188.88</v>
      </c>
      <c r="P2337" t="s">
        <v>124</v>
      </c>
      <c r="Q2337" t="s">
        <v>120</v>
      </c>
      <c r="R2337" t="s">
        <v>151</v>
      </c>
      <c r="S2337" t="s">
        <v>2367</v>
      </c>
      <c r="T2337" t="s">
        <v>161</v>
      </c>
      <c r="U2337" t="s">
        <v>154</v>
      </c>
      <c r="V2337" t="str">
        <f>IFERROR(INDEX(Products!$C:$C,MATCH(D2337,Products!$A:$A,0)),"Unknown")</f>
        <v>Accessories</v>
      </c>
      <c r="W2337" t="str">
        <f>IFERROR(INDEX(Products!$E:$E,MATCH(D2337,Products!$A:$A,0)),"Unknown")</f>
        <v>Pepe Jeans</v>
      </c>
      <c r="X2337" t="str">
        <f>IFERROR(INDEX(Stores!$B:$B,MATCH(E2337,Stores!$A:$A,0)),"Unknown")</f>
        <v>TrendMart Vijayawada High Street</v>
      </c>
      <c r="Y2337" t="str">
        <f>IFERROR(INDEX(Stores!$E:$E,MATCH(E2337,Stores!$A:$A,0)),"Unknown")</f>
        <v>South Zone 3</v>
      </c>
      <c r="Z2337" t="str">
        <f>IFERROR(INDEX(Customers!$J:$J,MATCH(C2337,Customers!$A:$A,0)),"Unknown")</f>
        <v>Regular</v>
      </c>
      <c r="AA2337" t="str">
        <f t="shared" si="36"/>
        <v>2024-07</v>
      </c>
      <c r="AB2337" t="str">
        <f>IFERROR(INDEX(Products!$I:$I,MATCH(D2337,Products!$A:$A,0)),"Unknown")</f>
        <v>SUP008</v>
      </c>
    </row>
    <row r="2338" spans="1:28" x14ac:dyDescent="0.25">
      <c r="A2338" t="s">
        <v>4368</v>
      </c>
      <c r="B2338" s="20">
        <v>45517</v>
      </c>
      <c r="C2338" t="s">
        <v>2231</v>
      </c>
      <c r="D2338" t="s">
        <v>1520</v>
      </c>
      <c r="E2338" t="s">
        <v>798</v>
      </c>
      <c r="F2338" t="s">
        <v>532</v>
      </c>
      <c r="G2338">
        <v>3</v>
      </c>
      <c r="H2338" s="21">
        <v>4360.95</v>
      </c>
      <c r="I2338">
        <v>30</v>
      </c>
      <c r="J2338" s="21">
        <v>3924.86</v>
      </c>
      <c r="K2338">
        <v>12</v>
      </c>
      <c r="L2338" s="21">
        <v>1098.96</v>
      </c>
      <c r="M2338" s="21">
        <v>10256.950000000001</v>
      </c>
      <c r="N2338" s="21">
        <v>9709.7099999999991</v>
      </c>
      <c r="O2338" s="21">
        <v>-551.72</v>
      </c>
      <c r="P2338" t="s">
        <v>123</v>
      </c>
      <c r="Q2338" t="s">
        <v>120</v>
      </c>
      <c r="R2338" t="s">
        <v>151</v>
      </c>
      <c r="S2338" t="s">
        <v>1191</v>
      </c>
      <c r="T2338" t="s">
        <v>153</v>
      </c>
      <c r="U2338" t="s">
        <v>184</v>
      </c>
      <c r="V2338" t="str">
        <f>IFERROR(INDEX(Products!$C:$C,MATCH(D2338,Products!$A:$A,0)),"Unknown")</f>
        <v>Women Sarees</v>
      </c>
      <c r="W2338" t="str">
        <f>IFERROR(INDEX(Products!$E:$E,MATCH(D2338,Products!$A:$A,0)),"Unknown")</f>
        <v>Pepe Jeans</v>
      </c>
      <c r="X2338" t="str">
        <f>IFERROR(INDEX(Stores!$B:$B,MATCH(E2338,Stores!$A:$A,0)),"Unknown")</f>
        <v>TrendMart Guntur Standard</v>
      </c>
      <c r="Y2338" t="str">
        <f>IFERROR(INDEX(Stores!$E:$E,MATCH(E2338,Stores!$A:$A,0)),"Unknown")</f>
        <v>South Zone 3</v>
      </c>
      <c r="Z2338" t="str">
        <f>IFERROR(INDEX(Customers!$J:$J,MATCH(C2338,Customers!$A:$A,0)),"Unknown")</f>
        <v>Silver</v>
      </c>
      <c r="AA2338" t="str">
        <f t="shared" si="36"/>
        <v>2024-08</v>
      </c>
      <c r="AB2338" t="str">
        <f>IFERROR(INDEX(Products!$I:$I,MATCH(D2338,Products!$A:$A,0)),"Unknown")</f>
        <v>SUP009</v>
      </c>
    </row>
    <row r="2339" spans="1:28" x14ac:dyDescent="0.25">
      <c r="A2339" t="s">
        <v>4369</v>
      </c>
      <c r="B2339" s="20">
        <v>45514</v>
      </c>
      <c r="C2339" t="s">
        <v>1552</v>
      </c>
      <c r="D2339" t="s">
        <v>1590</v>
      </c>
      <c r="E2339" t="s">
        <v>1163</v>
      </c>
      <c r="F2339" t="s">
        <v>176</v>
      </c>
      <c r="G2339">
        <v>1</v>
      </c>
      <c r="H2339" s="21">
        <v>547.49</v>
      </c>
      <c r="I2339">
        <v>30</v>
      </c>
      <c r="J2339" s="21">
        <v>164.25</v>
      </c>
      <c r="K2339">
        <v>5</v>
      </c>
      <c r="L2339" s="21">
        <v>19.16</v>
      </c>
      <c r="M2339" s="21">
        <v>402.4</v>
      </c>
      <c r="N2339" s="21">
        <v>337.09</v>
      </c>
      <c r="O2339" s="21">
        <v>46.15</v>
      </c>
      <c r="P2339" t="s">
        <v>121</v>
      </c>
      <c r="Q2339" t="s">
        <v>120</v>
      </c>
      <c r="R2339" t="s">
        <v>151</v>
      </c>
      <c r="S2339" t="s">
        <v>426</v>
      </c>
      <c r="T2339" t="s">
        <v>161</v>
      </c>
      <c r="U2339" t="s">
        <v>154</v>
      </c>
      <c r="V2339" t="str">
        <f>IFERROR(INDEX(Products!$C:$C,MATCH(D2339,Products!$A:$A,0)),"Unknown")</f>
        <v>Kids Wear</v>
      </c>
      <c r="W2339" t="str">
        <f>IFERROR(INDEX(Products!$E:$E,MATCH(D2339,Products!$A:$A,0)),"Unknown")</f>
        <v>Peter England</v>
      </c>
      <c r="X2339" t="str">
        <f>IFERROR(INDEX(Stores!$B:$B,MATCH(E2339,Stores!$A:$A,0)),"Unknown")</f>
        <v>TrendMart Alappuzha Outlet</v>
      </c>
      <c r="Y2339" t="str">
        <f>IFERROR(INDEX(Stores!$E:$E,MATCH(E2339,Stores!$A:$A,0)),"Unknown")</f>
        <v>South Zone 1</v>
      </c>
      <c r="Z2339" t="str">
        <f>IFERROR(INDEX(Customers!$J:$J,MATCH(C2339,Customers!$A:$A,0)),"Unknown")</f>
        <v>Platinum</v>
      </c>
      <c r="AA2339" t="str">
        <f t="shared" si="36"/>
        <v>2024-08</v>
      </c>
      <c r="AB2339" t="str">
        <f>IFERROR(INDEX(Products!$I:$I,MATCH(D2339,Products!$A:$A,0)),"Unknown")</f>
        <v>SUP065</v>
      </c>
    </row>
    <row r="2340" spans="1:28" x14ac:dyDescent="0.25">
      <c r="A2340" t="s">
        <v>4370</v>
      </c>
      <c r="B2340" s="20">
        <v>45584</v>
      </c>
      <c r="C2340" t="s">
        <v>4371</v>
      </c>
      <c r="D2340" t="s">
        <v>937</v>
      </c>
      <c r="E2340" t="s">
        <v>93</v>
      </c>
      <c r="F2340" t="s">
        <v>618</v>
      </c>
      <c r="G2340">
        <v>1</v>
      </c>
      <c r="H2340" s="21">
        <v>1444.03</v>
      </c>
      <c r="I2340">
        <v>25</v>
      </c>
      <c r="J2340" s="21">
        <v>361.01</v>
      </c>
      <c r="K2340">
        <v>12</v>
      </c>
      <c r="L2340" s="21">
        <v>129.96</v>
      </c>
      <c r="M2340" s="21">
        <v>1212.98</v>
      </c>
      <c r="N2340" s="21">
        <v>861.8</v>
      </c>
      <c r="O2340" s="21">
        <v>221.22</v>
      </c>
      <c r="P2340" t="s">
        <v>121</v>
      </c>
      <c r="Q2340" t="s">
        <v>120</v>
      </c>
      <c r="R2340" t="s">
        <v>151</v>
      </c>
      <c r="S2340" t="s">
        <v>1024</v>
      </c>
      <c r="T2340" t="s">
        <v>161</v>
      </c>
      <c r="U2340" t="s">
        <v>154</v>
      </c>
      <c r="V2340" t="str">
        <f>IFERROR(INDEX(Products!$C:$C,MATCH(D2340,Products!$A:$A,0)),"Unknown")</f>
        <v>Men Shirts</v>
      </c>
      <c r="W2340" t="str">
        <f>IFERROR(INDEX(Products!$E:$E,MATCH(D2340,Products!$A:$A,0)),"Unknown")</f>
        <v>Skechers</v>
      </c>
      <c r="X2340" t="str">
        <f>IFERROR(INDEX(Stores!$B:$B,MATCH(E2340,Stores!$A:$A,0)),"Unknown")</f>
        <v>TrendMart Thiruvananthapuram High Street</v>
      </c>
      <c r="Y2340" t="str">
        <f>IFERROR(INDEX(Stores!$E:$E,MATCH(E2340,Stores!$A:$A,0)),"Unknown")</f>
        <v>South Zone 1</v>
      </c>
      <c r="Z2340" t="str">
        <f>IFERROR(INDEX(Customers!$J:$J,MATCH(C2340,Customers!$A:$A,0)),"Unknown")</f>
        <v>Regular</v>
      </c>
      <c r="AA2340" t="str">
        <f t="shared" si="36"/>
        <v>2024-10</v>
      </c>
      <c r="AB2340" t="str">
        <f>IFERROR(INDEX(Products!$I:$I,MATCH(D2340,Products!$A:$A,0)),"Unknown")</f>
        <v>SUP042</v>
      </c>
    </row>
    <row r="2341" spans="1:28" x14ac:dyDescent="0.25">
      <c r="A2341" t="s">
        <v>4372</v>
      </c>
      <c r="B2341" s="20">
        <v>45604</v>
      </c>
      <c r="C2341" t="s">
        <v>385</v>
      </c>
      <c r="D2341" t="s">
        <v>1280</v>
      </c>
      <c r="E2341" t="s">
        <v>588</v>
      </c>
      <c r="F2341" t="s">
        <v>232</v>
      </c>
      <c r="G2341">
        <v>2</v>
      </c>
      <c r="H2341" s="21">
        <v>1127.2</v>
      </c>
      <c r="I2341">
        <v>20</v>
      </c>
      <c r="J2341" s="21">
        <v>450.88</v>
      </c>
      <c r="K2341">
        <v>12</v>
      </c>
      <c r="L2341" s="21">
        <v>216.42</v>
      </c>
      <c r="M2341" s="21">
        <v>2019.94</v>
      </c>
      <c r="N2341" s="21">
        <v>1509.46</v>
      </c>
      <c r="O2341" s="21">
        <v>294.06</v>
      </c>
      <c r="P2341" t="s">
        <v>125</v>
      </c>
      <c r="Q2341" t="s">
        <v>122</v>
      </c>
      <c r="R2341" t="s">
        <v>151</v>
      </c>
      <c r="S2341" t="s">
        <v>4006</v>
      </c>
      <c r="T2341" t="s">
        <v>153</v>
      </c>
      <c r="U2341" t="s">
        <v>154</v>
      </c>
      <c r="V2341" t="str">
        <f>IFERROR(INDEX(Products!$C:$C,MATCH(D2341,Products!$A:$A,0)),"Unknown")</f>
        <v>Men Jeans</v>
      </c>
      <c r="W2341" t="str">
        <f>IFERROR(INDEX(Products!$E:$E,MATCH(D2341,Products!$A:$A,0)),"Unknown")</f>
        <v>Jack &amp; Jones</v>
      </c>
      <c r="X2341" t="str">
        <f>IFERROR(INDEX(Stores!$B:$B,MATCH(E2341,Stores!$A:$A,0)),"Unknown")</f>
        <v>TrendMart Nizamabad Standard</v>
      </c>
      <c r="Y2341" t="str">
        <f>IFERROR(INDEX(Stores!$E:$E,MATCH(E2341,Stores!$A:$A,0)),"Unknown")</f>
        <v>South Zone 2</v>
      </c>
      <c r="Z2341" t="str">
        <f>IFERROR(INDEX(Customers!$J:$J,MATCH(C2341,Customers!$A:$A,0)),"Unknown")</f>
        <v>Platinum</v>
      </c>
      <c r="AA2341" t="str">
        <f t="shared" si="36"/>
        <v>2024-11</v>
      </c>
      <c r="AB2341" t="str">
        <f>IFERROR(INDEX(Products!$I:$I,MATCH(D2341,Products!$A:$A,0)),"Unknown")</f>
        <v>SUP072</v>
      </c>
    </row>
    <row r="2342" spans="1:28" x14ac:dyDescent="0.25">
      <c r="A2342" t="s">
        <v>4373</v>
      </c>
      <c r="B2342" s="20">
        <v>45604</v>
      </c>
      <c r="C2342" t="s">
        <v>1819</v>
      </c>
      <c r="D2342" t="s">
        <v>1312</v>
      </c>
      <c r="E2342" t="s">
        <v>537</v>
      </c>
      <c r="F2342" t="s">
        <v>150</v>
      </c>
      <c r="G2342">
        <v>4</v>
      </c>
      <c r="H2342" s="21">
        <v>1013.55</v>
      </c>
      <c r="I2342">
        <v>25</v>
      </c>
      <c r="J2342" s="21">
        <v>1013.55</v>
      </c>
      <c r="K2342">
        <v>12</v>
      </c>
      <c r="L2342" s="21">
        <v>364.88</v>
      </c>
      <c r="M2342" s="21">
        <v>3405.53</v>
      </c>
      <c r="N2342" s="21">
        <v>3068.44</v>
      </c>
      <c r="O2342" s="21">
        <v>-27.79</v>
      </c>
      <c r="P2342" t="s">
        <v>123</v>
      </c>
      <c r="Q2342" t="s">
        <v>120</v>
      </c>
      <c r="R2342" t="s">
        <v>151</v>
      </c>
      <c r="S2342" t="s">
        <v>2453</v>
      </c>
      <c r="T2342" t="s">
        <v>153</v>
      </c>
      <c r="U2342" t="s">
        <v>184</v>
      </c>
      <c r="V2342" t="str">
        <f>IFERROR(INDEX(Products!$C:$C,MATCH(D2342,Products!$A:$A,0)),"Unknown")</f>
        <v>Women Kurtis</v>
      </c>
      <c r="W2342" t="str">
        <f>IFERROR(INDEX(Products!$E:$E,MATCH(D2342,Products!$A:$A,0)),"Unknown")</f>
        <v>Louis Philippe</v>
      </c>
      <c r="X2342" t="str">
        <f>IFERROR(INDEX(Stores!$B:$B,MATCH(E2342,Stores!$A:$A,0)),"Unknown")</f>
        <v>TrendMart Thrissur High Street</v>
      </c>
      <c r="Y2342" t="str">
        <f>IFERROR(INDEX(Stores!$E:$E,MATCH(E2342,Stores!$A:$A,0)),"Unknown")</f>
        <v>South Zone 1</v>
      </c>
      <c r="Z2342" t="str">
        <f>IFERROR(INDEX(Customers!$J:$J,MATCH(C2342,Customers!$A:$A,0)),"Unknown")</f>
        <v>Regular</v>
      </c>
      <c r="AA2342" t="str">
        <f t="shared" si="36"/>
        <v>2024-11</v>
      </c>
      <c r="AB2342" t="str">
        <f>IFERROR(INDEX(Products!$I:$I,MATCH(D2342,Products!$A:$A,0)),"Unknown")</f>
        <v>SUP010</v>
      </c>
    </row>
    <row r="2343" spans="1:28" x14ac:dyDescent="0.25">
      <c r="A2343" t="s">
        <v>4374</v>
      </c>
      <c r="B2343" s="20">
        <v>45502</v>
      </c>
      <c r="C2343" t="s">
        <v>1556</v>
      </c>
      <c r="D2343" t="s">
        <v>510</v>
      </c>
      <c r="E2343" t="s">
        <v>83</v>
      </c>
      <c r="F2343" t="s">
        <v>303</v>
      </c>
      <c r="G2343">
        <v>0</v>
      </c>
      <c r="H2343" s="21">
        <v>1163.42</v>
      </c>
      <c r="I2343">
        <v>20</v>
      </c>
      <c r="J2343" s="21">
        <v>0</v>
      </c>
      <c r="K2343">
        <v>12</v>
      </c>
      <c r="L2343" s="21">
        <v>0</v>
      </c>
      <c r="M2343" s="21">
        <v>0</v>
      </c>
      <c r="N2343" s="21">
        <v>0</v>
      </c>
      <c r="O2343" s="21">
        <v>0</v>
      </c>
      <c r="P2343" t="s">
        <v>121</v>
      </c>
      <c r="Q2343" t="s">
        <v>122</v>
      </c>
      <c r="R2343" t="s">
        <v>482</v>
      </c>
      <c r="S2343" t="s">
        <v>2100</v>
      </c>
      <c r="T2343" t="s">
        <v>153</v>
      </c>
      <c r="U2343" t="s">
        <v>154</v>
      </c>
      <c r="V2343" t="str">
        <f>IFERROR(INDEX(Products!$C:$C,MATCH(D2343,Products!$A:$A,0)),"Unknown")</f>
        <v>Sportswear</v>
      </c>
      <c r="W2343" t="str">
        <f>IFERROR(INDEX(Products!$E:$E,MATCH(D2343,Products!$A:$A,0)),"Unknown")</f>
        <v>Liberty</v>
      </c>
      <c r="X2343" t="str">
        <f>IFERROR(INDEX(Stores!$B:$B,MATCH(E2343,Stores!$A:$A,0)),"Unknown")</f>
        <v>TrendMart Vellore Standard</v>
      </c>
      <c r="Y2343" t="str">
        <f>IFERROR(INDEX(Stores!$E:$E,MATCH(E2343,Stores!$A:$A,0)),"Unknown")</f>
        <v>South Zone 1</v>
      </c>
      <c r="Z2343" t="str">
        <f>IFERROR(INDEX(Customers!$J:$J,MATCH(C2343,Customers!$A:$A,0)),"Unknown")</f>
        <v>Silver</v>
      </c>
      <c r="AA2343" t="str">
        <f t="shared" si="36"/>
        <v>2024-07</v>
      </c>
      <c r="AB2343" t="str">
        <f>IFERROR(INDEX(Products!$I:$I,MATCH(D2343,Products!$A:$A,0)),"Unknown")</f>
        <v>SUP010</v>
      </c>
    </row>
    <row r="2344" spans="1:28" x14ac:dyDescent="0.25">
      <c r="A2344" t="s">
        <v>4375</v>
      </c>
      <c r="B2344" s="20">
        <v>45395</v>
      </c>
      <c r="C2344" t="s">
        <v>3032</v>
      </c>
      <c r="D2344" t="s">
        <v>2959</v>
      </c>
      <c r="E2344" t="s">
        <v>88</v>
      </c>
      <c r="F2344" t="s">
        <v>382</v>
      </c>
      <c r="G2344">
        <v>1</v>
      </c>
      <c r="H2344" s="21">
        <v>497.5</v>
      </c>
      <c r="I2344">
        <v>30</v>
      </c>
      <c r="J2344" s="21">
        <v>149.25</v>
      </c>
      <c r="K2344">
        <v>5</v>
      </c>
      <c r="L2344" s="21">
        <v>17.41</v>
      </c>
      <c r="M2344" s="21">
        <v>365.66</v>
      </c>
      <c r="N2344" s="21">
        <v>367.86</v>
      </c>
      <c r="O2344" s="21">
        <v>-19.61</v>
      </c>
      <c r="P2344" t="s">
        <v>124</v>
      </c>
      <c r="Q2344" t="s">
        <v>122</v>
      </c>
      <c r="R2344" t="s">
        <v>151</v>
      </c>
      <c r="S2344" t="s">
        <v>1762</v>
      </c>
      <c r="T2344" t="s">
        <v>161</v>
      </c>
      <c r="U2344" t="s">
        <v>184</v>
      </c>
      <c r="V2344" t="str">
        <f>IFERROR(INDEX(Products!$C:$C,MATCH(D2344,Products!$A:$A,0)),"Unknown")</f>
        <v>Wallets</v>
      </c>
      <c r="W2344" t="str">
        <f>IFERROR(INDEX(Products!$E:$E,MATCH(D2344,Products!$A:$A,0)),"Unknown")</f>
        <v>Biba</v>
      </c>
      <c r="X2344" t="str">
        <f>IFERROR(INDEX(Stores!$B:$B,MATCH(E2344,Stores!$A:$A,0)),"Unknown")</f>
        <v>TrendMart Kozhikode Mall Kiosk</v>
      </c>
      <c r="Y2344" t="str">
        <f>IFERROR(INDEX(Stores!$E:$E,MATCH(E2344,Stores!$A:$A,0)),"Unknown")</f>
        <v>South Zone 1</v>
      </c>
      <c r="Z2344" t="str">
        <f>IFERROR(INDEX(Customers!$J:$J,MATCH(C2344,Customers!$A:$A,0)),"Unknown")</f>
        <v>Platinum</v>
      </c>
      <c r="AA2344" t="str">
        <f t="shared" si="36"/>
        <v>2024-04</v>
      </c>
      <c r="AB2344" t="str">
        <f>IFERROR(INDEX(Products!$I:$I,MATCH(D2344,Products!$A:$A,0)),"Unknown")</f>
        <v>SUP075</v>
      </c>
    </row>
    <row r="2345" spans="1:28" x14ac:dyDescent="0.25">
      <c r="A2345" t="s">
        <v>4376</v>
      </c>
      <c r="B2345" s="20">
        <v>45451</v>
      </c>
      <c r="C2345" t="s">
        <v>4377</v>
      </c>
      <c r="D2345" t="s">
        <v>1256</v>
      </c>
      <c r="E2345" t="s">
        <v>360</v>
      </c>
      <c r="F2345" t="s">
        <v>579</v>
      </c>
      <c r="G2345">
        <v>3</v>
      </c>
      <c r="H2345" s="21">
        <v>813.56</v>
      </c>
      <c r="I2345">
        <v>25</v>
      </c>
      <c r="J2345" s="21">
        <v>610.16999999999996</v>
      </c>
      <c r="K2345">
        <v>5</v>
      </c>
      <c r="L2345" s="21">
        <v>91.53</v>
      </c>
      <c r="M2345" s="21">
        <v>1922.04</v>
      </c>
      <c r="N2345" s="21">
        <v>1911.81</v>
      </c>
      <c r="O2345" s="21">
        <v>-81.3</v>
      </c>
      <c r="P2345" t="s">
        <v>121</v>
      </c>
      <c r="Q2345" t="s">
        <v>122</v>
      </c>
      <c r="R2345" t="s">
        <v>151</v>
      </c>
      <c r="S2345" t="s">
        <v>816</v>
      </c>
      <c r="T2345" t="s">
        <v>161</v>
      </c>
      <c r="U2345" t="s">
        <v>184</v>
      </c>
      <c r="V2345" t="str">
        <f>IFERROR(INDEX(Products!$C:$C,MATCH(D2345,Products!$A:$A,0)),"Unknown")</f>
        <v>Women Jeans</v>
      </c>
      <c r="W2345" t="str">
        <f>IFERROR(INDEX(Products!$E:$E,MATCH(D2345,Products!$A:$A,0)),"Unknown")</f>
        <v>Biba</v>
      </c>
      <c r="X2345" t="str">
        <f>IFERROR(INDEX(Stores!$B:$B,MATCH(E2345,Stores!$A:$A,0)),"Unknown")</f>
        <v>TrendMart Kochi Standard</v>
      </c>
      <c r="Y2345" t="str">
        <f>IFERROR(INDEX(Stores!$E:$E,MATCH(E2345,Stores!$A:$A,0)),"Unknown")</f>
        <v>South Zone 1</v>
      </c>
      <c r="Z2345" t="str">
        <f>IFERROR(INDEX(Customers!$J:$J,MATCH(C2345,Customers!$A:$A,0)),"Unknown")</f>
        <v>Silver</v>
      </c>
      <c r="AA2345" t="str">
        <f t="shared" si="36"/>
        <v>2024-06</v>
      </c>
      <c r="AB2345" t="str">
        <f>IFERROR(INDEX(Products!$I:$I,MATCH(D2345,Products!$A:$A,0)),"Unknown")</f>
        <v>SUP040</v>
      </c>
    </row>
    <row r="2346" spans="1:28" x14ac:dyDescent="0.25">
      <c r="A2346" t="s">
        <v>4378</v>
      </c>
      <c r="B2346" s="20">
        <v>45513</v>
      </c>
      <c r="C2346" t="s">
        <v>2934</v>
      </c>
      <c r="D2346" t="s">
        <v>3165</v>
      </c>
      <c r="E2346" t="s">
        <v>667</v>
      </c>
      <c r="F2346" t="s">
        <v>263</v>
      </c>
      <c r="G2346">
        <v>1</v>
      </c>
      <c r="H2346" s="21">
        <v>1142.78</v>
      </c>
      <c r="I2346">
        <v>0</v>
      </c>
      <c r="J2346" s="21">
        <v>0</v>
      </c>
      <c r="K2346">
        <v>12</v>
      </c>
      <c r="L2346" s="21">
        <v>137.13</v>
      </c>
      <c r="M2346" s="21">
        <v>1279.9100000000001</v>
      </c>
      <c r="N2346" s="21">
        <v>871.26</v>
      </c>
      <c r="O2346" s="21">
        <v>271.52</v>
      </c>
      <c r="P2346" t="s">
        <v>123</v>
      </c>
      <c r="Q2346" t="s">
        <v>120</v>
      </c>
      <c r="R2346" t="s">
        <v>313</v>
      </c>
      <c r="S2346" t="s">
        <v>421</v>
      </c>
      <c r="T2346" t="s">
        <v>153</v>
      </c>
      <c r="U2346" t="s">
        <v>154</v>
      </c>
      <c r="V2346" t="str">
        <f>IFERROR(INDEX(Products!$C:$C,MATCH(D2346,Products!$A:$A,0)),"Unknown")</f>
        <v>Men Trousers</v>
      </c>
      <c r="W2346" t="str">
        <f>IFERROR(INDEX(Products!$E:$E,MATCH(D2346,Products!$A:$A,0)),"Unknown")</f>
        <v>Wrangler</v>
      </c>
      <c r="X2346" t="str">
        <f>IFERROR(INDEX(Stores!$B:$B,MATCH(E2346,Stores!$A:$A,0)),"Unknown")</f>
        <v>TrendMart Hyderabad High Street</v>
      </c>
      <c r="Y2346" t="str">
        <f>IFERROR(INDEX(Stores!$E:$E,MATCH(E2346,Stores!$A:$A,0)),"Unknown")</f>
        <v>South Zone 2</v>
      </c>
      <c r="Z2346" t="str">
        <f>IFERROR(INDEX(Customers!$J:$J,MATCH(C2346,Customers!$A:$A,0)),"Unknown")</f>
        <v>Gold</v>
      </c>
      <c r="AA2346" t="str">
        <f t="shared" si="36"/>
        <v>2024-08</v>
      </c>
      <c r="AB2346" t="str">
        <f>IFERROR(INDEX(Products!$I:$I,MATCH(D2346,Products!$A:$A,0)),"Unknown")</f>
        <v>SUP051</v>
      </c>
    </row>
    <row r="2347" spans="1:28" x14ac:dyDescent="0.25">
      <c r="A2347" t="s">
        <v>4379</v>
      </c>
      <c r="B2347" s="20">
        <v>45548</v>
      </c>
      <c r="C2347" t="s">
        <v>214</v>
      </c>
      <c r="D2347" t="s">
        <v>595</v>
      </c>
      <c r="E2347" t="s">
        <v>914</v>
      </c>
      <c r="F2347" t="s">
        <v>176</v>
      </c>
      <c r="G2347">
        <v>2</v>
      </c>
      <c r="H2347" s="21">
        <v>868.57</v>
      </c>
      <c r="I2347">
        <v>30</v>
      </c>
      <c r="J2347" s="21">
        <v>521.14</v>
      </c>
      <c r="K2347">
        <v>5</v>
      </c>
      <c r="L2347" s="21">
        <v>60.8</v>
      </c>
      <c r="M2347" s="21">
        <v>1276.8</v>
      </c>
      <c r="N2347" s="21">
        <v>1180.96</v>
      </c>
      <c r="O2347" s="21">
        <v>35.04</v>
      </c>
      <c r="P2347" t="s">
        <v>125</v>
      </c>
      <c r="Q2347" t="s">
        <v>122</v>
      </c>
      <c r="R2347" t="s">
        <v>151</v>
      </c>
      <c r="S2347" t="s">
        <v>4380</v>
      </c>
      <c r="T2347" t="s">
        <v>153</v>
      </c>
      <c r="U2347" t="s">
        <v>154</v>
      </c>
      <c r="V2347" t="str">
        <f>IFERROR(INDEX(Products!$C:$C,MATCH(D2347,Products!$A:$A,0)),"Unknown")</f>
        <v>Men Shirts</v>
      </c>
      <c r="W2347" t="str">
        <f>IFERROR(INDEX(Products!$E:$E,MATCH(D2347,Products!$A:$A,0)),"Unknown")</f>
        <v>Nalli Silks</v>
      </c>
      <c r="X2347" t="str">
        <f>IFERROR(INDEX(Stores!$B:$B,MATCH(E2347,Stores!$A:$A,0)),"Unknown")</f>
        <v>TrendMart Thiruvananthapuram Outlet</v>
      </c>
      <c r="Y2347" t="str">
        <f>IFERROR(INDEX(Stores!$E:$E,MATCH(E2347,Stores!$A:$A,0)),"Unknown")</f>
        <v>South Zone 1</v>
      </c>
      <c r="Z2347" t="str">
        <f>IFERROR(INDEX(Customers!$J:$J,MATCH(C2347,Customers!$A:$A,0)),"Unknown")</f>
        <v>Silver</v>
      </c>
      <c r="AA2347" t="str">
        <f t="shared" si="36"/>
        <v>2024-09</v>
      </c>
      <c r="AB2347" t="str">
        <f>IFERROR(INDEX(Products!$I:$I,MATCH(D2347,Products!$A:$A,0)),"Unknown")</f>
        <v>SUP055</v>
      </c>
    </row>
    <row r="2348" spans="1:28" x14ac:dyDescent="0.25">
      <c r="A2348" t="s">
        <v>4381</v>
      </c>
      <c r="B2348" s="20">
        <v>45573</v>
      </c>
      <c r="C2348" t="s">
        <v>1632</v>
      </c>
      <c r="D2348" t="s">
        <v>769</v>
      </c>
      <c r="E2348" t="s">
        <v>451</v>
      </c>
      <c r="F2348" t="s">
        <v>377</v>
      </c>
      <c r="G2348">
        <v>2</v>
      </c>
      <c r="H2348" s="21">
        <v>1636.67</v>
      </c>
      <c r="I2348">
        <v>10</v>
      </c>
      <c r="J2348" s="21">
        <v>327.33</v>
      </c>
      <c r="K2348">
        <v>12</v>
      </c>
      <c r="L2348" s="21">
        <v>353.52</v>
      </c>
      <c r="M2348" s="21">
        <v>3299.53</v>
      </c>
      <c r="N2348" s="21">
        <v>2230.38</v>
      </c>
      <c r="O2348" s="21">
        <v>715.63</v>
      </c>
      <c r="P2348" t="s">
        <v>123</v>
      </c>
      <c r="Q2348" t="s">
        <v>120</v>
      </c>
      <c r="R2348" t="s">
        <v>151</v>
      </c>
      <c r="S2348" t="s">
        <v>483</v>
      </c>
      <c r="T2348" t="s">
        <v>153</v>
      </c>
      <c r="U2348" t="s">
        <v>154</v>
      </c>
      <c r="V2348" t="str">
        <f>IFERROR(INDEX(Products!$C:$C,MATCH(D2348,Products!$A:$A,0)),"Unknown")</f>
        <v>Sportswear</v>
      </c>
      <c r="W2348" t="str">
        <f>IFERROR(INDEX(Products!$E:$E,MATCH(D2348,Products!$A:$A,0)),"Unknown")</f>
        <v>Allen Solly</v>
      </c>
      <c r="X2348" t="str">
        <f>IFERROR(INDEX(Stores!$B:$B,MATCH(E2348,Stores!$A:$A,0)),"Unknown")</f>
        <v>TrendMart Thoothukudi High Street</v>
      </c>
      <c r="Y2348" t="str">
        <f>IFERROR(INDEX(Stores!$E:$E,MATCH(E2348,Stores!$A:$A,0)),"Unknown")</f>
        <v>South Zone 1</v>
      </c>
      <c r="Z2348" t="str">
        <f>IFERROR(INDEX(Customers!$J:$J,MATCH(C2348,Customers!$A:$A,0)),"Unknown")</f>
        <v>Gold</v>
      </c>
      <c r="AA2348" t="str">
        <f t="shared" si="36"/>
        <v>2024-10</v>
      </c>
      <c r="AB2348" t="str">
        <f>IFERROR(INDEX(Products!$I:$I,MATCH(D2348,Products!$A:$A,0)),"Unknown")</f>
        <v>SUP029</v>
      </c>
    </row>
    <row r="2349" spans="1:28" x14ac:dyDescent="0.25">
      <c r="A2349" t="s">
        <v>4382</v>
      </c>
      <c r="B2349" s="20">
        <v>45565</v>
      </c>
      <c r="C2349" t="s">
        <v>2739</v>
      </c>
      <c r="D2349" t="s">
        <v>1280</v>
      </c>
      <c r="E2349" t="s">
        <v>99</v>
      </c>
      <c r="F2349" t="s">
        <v>434</v>
      </c>
      <c r="G2349">
        <v>3</v>
      </c>
      <c r="H2349" s="21">
        <v>1110.49</v>
      </c>
      <c r="I2349">
        <v>30</v>
      </c>
      <c r="J2349" s="21">
        <v>999.44</v>
      </c>
      <c r="K2349">
        <v>12</v>
      </c>
      <c r="L2349" s="21">
        <v>279.83999999999997</v>
      </c>
      <c r="M2349" s="21">
        <v>2611.87</v>
      </c>
      <c r="N2349" s="21">
        <v>2264.19</v>
      </c>
      <c r="O2349" s="21">
        <v>67.84</v>
      </c>
      <c r="P2349" t="s">
        <v>121</v>
      </c>
      <c r="Q2349" t="s">
        <v>120</v>
      </c>
      <c r="R2349" t="s">
        <v>151</v>
      </c>
      <c r="S2349" t="s">
        <v>2208</v>
      </c>
      <c r="T2349" t="s">
        <v>153</v>
      </c>
      <c r="U2349" t="s">
        <v>154</v>
      </c>
      <c r="V2349" t="str">
        <f>IFERROR(INDEX(Products!$C:$C,MATCH(D2349,Products!$A:$A,0)),"Unknown")</f>
        <v>Men Jeans</v>
      </c>
      <c r="W2349" t="str">
        <f>IFERROR(INDEX(Products!$E:$E,MATCH(D2349,Products!$A:$A,0)),"Unknown")</f>
        <v>Jack &amp; Jones</v>
      </c>
      <c r="X2349" t="str">
        <f>IFERROR(INDEX(Stores!$B:$B,MATCH(E2349,Stores!$A:$A,0)),"Unknown")</f>
        <v>TrendMart Hubballi Standard</v>
      </c>
      <c r="Y2349" t="str">
        <f>IFERROR(INDEX(Stores!$E:$E,MATCH(E2349,Stores!$A:$A,0)),"Unknown")</f>
        <v>South Zone 2</v>
      </c>
      <c r="Z2349" t="str">
        <f>IFERROR(INDEX(Customers!$J:$J,MATCH(C2349,Customers!$A:$A,0)),"Unknown")</f>
        <v>Regular</v>
      </c>
      <c r="AA2349" t="str">
        <f t="shared" si="36"/>
        <v>2024-09</v>
      </c>
      <c r="AB2349" t="str">
        <f>IFERROR(INDEX(Products!$I:$I,MATCH(D2349,Products!$A:$A,0)),"Unknown")</f>
        <v>SUP072</v>
      </c>
    </row>
    <row r="2350" spans="1:28" x14ac:dyDescent="0.25">
      <c r="A2350" t="s">
        <v>4383</v>
      </c>
      <c r="B2350" s="20">
        <v>45743</v>
      </c>
      <c r="C2350" t="s">
        <v>1599</v>
      </c>
      <c r="D2350" t="s">
        <v>376</v>
      </c>
      <c r="E2350" t="s">
        <v>206</v>
      </c>
      <c r="F2350" t="s">
        <v>443</v>
      </c>
      <c r="G2350">
        <v>4</v>
      </c>
      <c r="H2350" s="21">
        <v>1352.74</v>
      </c>
      <c r="I2350">
        <v>0</v>
      </c>
      <c r="J2350" s="21">
        <v>0</v>
      </c>
      <c r="K2350">
        <v>12</v>
      </c>
      <c r="L2350" s="21">
        <v>649.32000000000005</v>
      </c>
      <c r="M2350" s="21">
        <v>6060.28</v>
      </c>
      <c r="N2350" s="21">
        <v>4100.96</v>
      </c>
      <c r="O2350" s="21">
        <v>1310</v>
      </c>
      <c r="P2350" t="s">
        <v>125</v>
      </c>
      <c r="Q2350" t="s">
        <v>122</v>
      </c>
      <c r="R2350" t="s">
        <v>151</v>
      </c>
      <c r="S2350" t="s">
        <v>478</v>
      </c>
      <c r="T2350" t="s">
        <v>153</v>
      </c>
      <c r="U2350" t="s">
        <v>154</v>
      </c>
      <c r="V2350" t="str">
        <f>IFERROR(INDEX(Products!$C:$C,MATCH(D2350,Products!$A:$A,0)),"Unknown")</f>
        <v>Women Jeans</v>
      </c>
      <c r="W2350" t="str">
        <f>IFERROR(INDEX(Products!$E:$E,MATCH(D2350,Products!$A:$A,0)),"Unknown")</f>
        <v>Pothys</v>
      </c>
      <c r="X2350" t="str">
        <f>IFERROR(INDEX(Stores!$B:$B,MATCH(E2350,Stores!$A:$A,0)),"Unknown")</f>
        <v>TrendMart Nizamabad Outlet</v>
      </c>
      <c r="Y2350" t="str">
        <f>IFERROR(INDEX(Stores!$E:$E,MATCH(E2350,Stores!$A:$A,0)),"Unknown")</f>
        <v>South Zone 2</v>
      </c>
      <c r="Z2350" t="str">
        <f>IFERROR(INDEX(Customers!$J:$J,MATCH(C2350,Customers!$A:$A,0)),"Unknown")</f>
        <v>Regular</v>
      </c>
      <c r="AA2350" t="str">
        <f t="shared" si="36"/>
        <v>2025-03</v>
      </c>
      <c r="AB2350" t="str">
        <f>IFERROR(INDEX(Products!$I:$I,MATCH(D2350,Products!$A:$A,0)),"Unknown")</f>
        <v>SUP015</v>
      </c>
    </row>
    <row r="2351" spans="1:28" x14ac:dyDescent="0.25">
      <c r="A2351" t="s">
        <v>4384</v>
      </c>
      <c r="B2351" s="20">
        <v>45454</v>
      </c>
      <c r="C2351" t="s">
        <v>1867</v>
      </c>
      <c r="D2351" t="s">
        <v>1016</v>
      </c>
      <c r="E2351" t="s">
        <v>681</v>
      </c>
      <c r="F2351" t="s">
        <v>532</v>
      </c>
      <c r="G2351">
        <v>1</v>
      </c>
      <c r="H2351" s="21">
        <v>5590.31</v>
      </c>
      <c r="I2351">
        <v>20</v>
      </c>
      <c r="J2351" s="21">
        <v>1118.06</v>
      </c>
      <c r="K2351">
        <v>12</v>
      </c>
      <c r="L2351" s="21">
        <v>536.66999999999996</v>
      </c>
      <c r="M2351" s="21">
        <v>5008.92</v>
      </c>
      <c r="N2351" s="21">
        <v>3662.37</v>
      </c>
      <c r="O2351" s="21">
        <v>809.88</v>
      </c>
      <c r="P2351" t="s">
        <v>125</v>
      </c>
      <c r="Q2351" t="s">
        <v>122</v>
      </c>
      <c r="R2351" t="s">
        <v>151</v>
      </c>
      <c r="S2351" t="s">
        <v>2414</v>
      </c>
      <c r="T2351" t="s">
        <v>153</v>
      </c>
      <c r="U2351" t="s">
        <v>154</v>
      </c>
      <c r="V2351" t="str">
        <f>IFERROR(INDEX(Products!$C:$C,MATCH(D2351,Products!$A:$A,0)),"Unknown")</f>
        <v>Watches</v>
      </c>
      <c r="W2351" t="str">
        <f>IFERROR(INDEX(Products!$E:$E,MATCH(D2351,Products!$A:$A,0)),"Unknown")</f>
        <v>Pantaloons</v>
      </c>
      <c r="X2351" t="str">
        <f>IFERROR(INDEX(Stores!$B:$B,MATCH(E2351,Stores!$A:$A,0)),"Unknown")</f>
        <v>TrendMart Shivamogga Mall Kiosk</v>
      </c>
      <c r="Y2351" t="str">
        <f>IFERROR(INDEX(Stores!$E:$E,MATCH(E2351,Stores!$A:$A,0)),"Unknown")</f>
        <v>South Zone 2</v>
      </c>
      <c r="Z2351" t="str">
        <f>IFERROR(INDEX(Customers!$J:$J,MATCH(C2351,Customers!$A:$A,0)),"Unknown")</f>
        <v>Gold</v>
      </c>
      <c r="AA2351" t="str">
        <f t="shared" si="36"/>
        <v>2024-06</v>
      </c>
      <c r="AB2351" t="str">
        <f>IFERROR(INDEX(Products!$I:$I,MATCH(D2351,Products!$A:$A,0)),"Unknown")</f>
        <v>SUP007</v>
      </c>
    </row>
    <row r="2352" spans="1:28" x14ac:dyDescent="0.25">
      <c r="A2352" t="s">
        <v>4385</v>
      </c>
      <c r="B2352" s="20">
        <v>45622</v>
      </c>
      <c r="C2352" t="s">
        <v>2667</v>
      </c>
      <c r="D2352" t="s">
        <v>481</v>
      </c>
      <c r="E2352" t="s">
        <v>318</v>
      </c>
      <c r="F2352" t="s">
        <v>532</v>
      </c>
      <c r="G2352">
        <v>1</v>
      </c>
      <c r="H2352" s="21">
        <v>873.51</v>
      </c>
      <c r="I2352">
        <v>5</v>
      </c>
      <c r="J2352" s="21">
        <v>43.68</v>
      </c>
      <c r="K2352">
        <v>5</v>
      </c>
      <c r="L2352" s="21">
        <v>41.49</v>
      </c>
      <c r="M2352" s="21">
        <v>871.32</v>
      </c>
      <c r="N2352" s="21">
        <v>698.08</v>
      </c>
      <c r="O2352" s="21">
        <v>131.75</v>
      </c>
      <c r="P2352" t="s">
        <v>125</v>
      </c>
      <c r="Q2352" t="s">
        <v>120</v>
      </c>
      <c r="R2352" t="s">
        <v>151</v>
      </c>
      <c r="S2352" t="s">
        <v>340</v>
      </c>
      <c r="T2352" t="s">
        <v>153</v>
      </c>
      <c r="U2352" t="s">
        <v>154</v>
      </c>
      <c r="V2352" t="str">
        <f>IFERROR(INDEX(Products!$C:$C,MATCH(D2352,Products!$A:$A,0)),"Unknown")</f>
        <v>Women Dresses</v>
      </c>
      <c r="W2352" t="str">
        <f>IFERROR(INDEX(Products!$E:$E,MATCH(D2352,Products!$A:$A,0)),"Unknown")</f>
        <v>Jack &amp; Jones</v>
      </c>
      <c r="X2352" t="str">
        <f>IFERROR(INDEX(Stores!$B:$B,MATCH(E2352,Stores!$A:$A,0)),"Unknown")</f>
        <v>TrendMart Guntur Outlet</v>
      </c>
      <c r="Y2352" t="str">
        <f>IFERROR(INDEX(Stores!$E:$E,MATCH(E2352,Stores!$A:$A,0)),"Unknown")</f>
        <v>South Zone 3</v>
      </c>
      <c r="Z2352" t="str">
        <f>IFERROR(INDEX(Customers!$J:$J,MATCH(C2352,Customers!$A:$A,0)),"Unknown")</f>
        <v>Regular</v>
      </c>
      <c r="AA2352" t="str">
        <f t="shared" si="36"/>
        <v>2024-11</v>
      </c>
      <c r="AB2352" t="str">
        <f>IFERROR(INDEX(Products!$I:$I,MATCH(D2352,Products!$A:$A,0)),"Unknown")</f>
        <v>SUP069</v>
      </c>
    </row>
    <row r="2353" spans="1:28" x14ac:dyDescent="0.25">
      <c r="A2353" t="s">
        <v>4386</v>
      </c>
      <c r="B2353" s="20">
        <v>45529</v>
      </c>
      <c r="C2353" t="s">
        <v>3026</v>
      </c>
      <c r="D2353" t="s">
        <v>420</v>
      </c>
      <c r="E2353" t="s">
        <v>1108</v>
      </c>
      <c r="F2353" t="s">
        <v>258</v>
      </c>
      <c r="G2353">
        <v>1</v>
      </c>
      <c r="H2353" s="21">
        <v>1155.6300000000001</v>
      </c>
      <c r="I2353">
        <v>0</v>
      </c>
      <c r="J2353" s="21">
        <v>0</v>
      </c>
      <c r="K2353">
        <v>12</v>
      </c>
      <c r="L2353" s="21">
        <v>138.68</v>
      </c>
      <c r="M2353" s="21">
        <v>1294.31</v>
      </c>
      <c r="N2353" s="21">
        <v>866.06</v>
      </c>
      <c r="O2353" s="21">
        <v>289.57</v>
      </c>
      <c r="P2353" t="s">
        <v>121</v>
      </c>
      <c r="Q2353" t="s">
        <v>120</v>
      </c>
      <c r="R2353" t="s">
        <v>151</v>
      </c>
      <c r="S2353" t="s">
        <v>1031</v>
      </c>
      <c r="T2353" t="s">
        <v>161</v>
      </c>
      <c r="U2353" t="s">
        <v>154</v>
      </c>
      <c r="V2353" t="str">
        <f>IFERROR(INDEX(Products!$C:$C,MATCH(D2353,Products!$A:$A,0)),"Unknown")</f>
        <v>Men Jeans</v>
      </c>
      <c r="W2353" t="str">
        <f>IFERROR(INDEX(Products!$E:$E,MATCH(D2353,Products!$A:$A,0)),"Unknown")</f>
        <v>Raymond</v>
      </c>
      <c r="X2353" t="str">
        <f>IFERROR(INDEX(Stores!$B:$B,MATCH(E2353,Stores!$A:$A,0)),"Unknown")</f>
        <v>TrendMart Karimnagar Standard</v>
      </c>
      <c r="Y2353" t="str">
        <f>IFERROR(INDEX(Stores!$E:$E,MATCH(E2353,Stores!$A:$A,0)),"Unknown")</f>
        <v>South Zone 2</v>
      </c>
      <c r="Z2353" t="str">
        <f>IFERROR(INDEX(Customers!$J:$J,MATCH(C2353,Customers!$A:$A,0)),"Unknown")</f>
        <v>Silver</v>
      </c>
      <c r="AA2353" t="str">
        <f t="shared" si="36"/>
        <v>2024-08</v>
      </c>
      <c r="AB2353" t="str">
        <f>IFERROR(INDEX(Products!$I:$I,MATCH(D2353,Products!$A:$A,0)),"Unknown")</f>
        <v>SUP060</v>
      </c>
    </row>
    <row r="2354" spans="1:28" x14ac:dyDescent="0.25">
      <c r="A2354" t="s">
        <v>4387</v>
      </c>
      <c r="B2354" s="20">
        <v>45644</v>
      </c>
      <c r="C2354" t="s">
        <v>1994</v>
      </c>
      <c r="D2354" t="s">
        <v>1219</v>
      </c>
      <c r="E2354" t="s">
        <v>617</v>
      </c>
      <c r="F2354" t="s">
        <v>308</v>
      </c>
      <c r="G2354">
        <v>4</v>
      </c>
      <c r="H2354" s="21">
        <v>2877.85</v>
      </c>
      <c r="I2354">
        <v>0</v>
      </c>
      <c r="J2354" s="21">
        <v>0</v>
      </c>
      <c r="K2354">
        <v>12</v>
      </c>
      <c r="L2354" s="21">
        <v>1381.37</v>
      </c>
      <c r="M2354" s="21">
        <v>12892.77</v>
      </c>
      <c r="N2354" s="21">
        <v>8158.8</v>
      </c>
      <c r="O2354" s="21">
        <v>3352.6</v>
      </c>
      <c r="P2354" t="s">
        <v>123</v>
      </c>
      <c r="Q2354" t="s">
        <v>122</v>
      </c>
      <c r="R2354" t="s">
        <v>151</v>
      </c>
      <c r="S2354" t="s">
        <v>3038</v>
      </c>
      <c r="T2354" t="s">
        <v>153</v>
      </c>
      <c r="U2354" t="s">
        <v>154</v>
      </c>
      <c r="V2354" t="str">
        <f>IFERROR(INDEX(Products!$C:$C,MATCH(D2354,Products!$A:$A,0)),"Unknown")</f>
        <v>Watches</v>
      </c>
      <c r="W2354" t="str">
        <f>IFERROR(INDEX(Products!$E:$E,MATCH(D2354,Products!$A:$A,0)),"Unknown")</f>
        <v>Fossil</v>
      </c>
      <c r="X2354" t="str">
        <f>IFERROR(INDEX(Stores!$B:$B,MATCH(E2354,Stores!$A:$A,0)),"Unknown")</f>
        <v>TrendMart Mangaluru High Street</v>
      </c>
      <c r="Y2354" t="str">
        <f>IFERROR(INDEX(Stores!$E:$E,MATCH(E2354,Stores!$A:$A,0)),"Unknown")</f>
        <v>South Zone 2</v>
      </c>
      <c r="Z2354" t="str">
        <f>IFERROR(INDEX(Customers!$J:$J,MATCH(C2354,Customers!$A:$A,0)),"Unknown")</f>
        <v>Gold</v>
      </c>
      <c r="AA2354" t="str">
        <f t="shared" si="36"/>
        <v>2024-12</v>
      </c>
      <c r="AB2354" t="str">
        <f>IFERROR(INDEX(Products!$I:$I,MATCH(D2354,Products!$A:$A,0)),"Unknown")</f>
        <v>SUP054</v>
      </c>
    </row>
    <row r="2355" spans="1:28" x14ac:dyDescent="0.25">
      <c r="A2355" t="s">
        <v>4388</v>
      </c>
      <c r="B2355" s="20">
        <v>45608</v>
      </c>
      <c r="C2355" t="s">
        <v>1536</v>
      </c>
      <c r="D2355" t="s">
        <v>455</v>
      </c>
      <c r="E2355" t="s">
        <v>291</v>
      </c>
      <c r="F2355" t="s">
        <v>532</v>
      </c>
      <c r="G2355">
        <v>1</v>
      </c>
      <c r="H2355" s="21">
        <v>5336.17</v>
      </c>
      <c r="I2355">
        <v>15</v>
      </c>
      <c r="J2355" s="21">
        <v>800.43</v>
      </c>
      <c r="K2355">
        <v>12</v>
      </c>
      <c r="L2355" s="21">
        <v>544.29</v>
      </c>
      <c r="M2355" s="21">
        <v>5080.03</v>
      </c>
      <c r="N2355" s="21">
        <v>3748.71</v>
      </c>
      <c r="O2355" s="21">
        <v>787.03</v>
      </c>
      <c r="P2355" t="s">
        <v>123</v>
      </c>
      <c r="Q2355" t="s">
        <v>120</v>
      </c>
      <c r="R2355" t="s">
        <v>151</v>
      </c>
      <c r="S2355" t="s">
        <v>711</v>
      </c>
      <c r="T2355" t="s">
        <v>153</v>
      </c>
      <c r="U2355" t="s">
        <v>154</v>
      </c>
      <c r="V2355" t="str">
        <f>IFERROR(INDEX(Products!$C:$C,MATCH(D2355,Products!$A:$A,0)),"Unknown")</f>
        <v>Watches</v>
      </c>
      <c r="W2355" t="str">
        <f>IFERROR(INDEX(Products!$E:$E,MATCH(D2355,Products!$A:$A,0)),"Unknown")</f>
        <v>Bata</v>
      </c>
      <c r="X2355" t="str">
        <f>IFERROR(INDEX(Stores!$B:$B,MATCH(E2355,Stores!$A:$A,0)),"Unknown")</f>
        <v>TrendMart Khammam Standard</v>
      </c>
      <c r="Y2355" t="str">
        <f>IFERROR(INDEX(Stores!$E:$E,MATCH(E2355,Stores!$A:$A,0)),"Unknown")</f>
        <v>South Zone 2</v>
      </c>
      <c r="Z2355" t="str">
        <f>IFERROR(INDEX(Customers!$J:$J,MATCH(C2355,Customers!$A:$A,0)),"Unknown")</f>
        <v>Silver</v>
      </c>
      <c r="AA2355" t="str">
        <f t="shared" si="36"/>
        <v>2024-11</v>
      </c>
      <c r="AB2355" t="str">
        <f>IFERROR(INDEX(Products!$I:$I,MATCH(D2355,Products!$A:$A,0)),"Unknown")</f>
        <v>SUP051</v>
      </c>
    </row>
    <row r="2356" spans="1:28" x14ac:dyDescent="0.25">
      <c r="A2356" t="s">
        <v>4389</v>
      </c>
      <c r="B2356" s="20">
        <v>45549</v>
      </c>
      <c r="C2356" t="s">
        <v>4002</v>
      </c>
      <c r="D2356" t="s">
        <v>531</v>
      </c>
      <c r="E2356" t="s">
        <v>188</v>
      </c>
      <c r="F2356" t="s">
        <v>275</v>
      </c>
      <c r="G2356">
        <v>2</v>
      </c>
      <c r="H2356" s="21">
        <v>3254.58</v>
      </c>
      <c r="I2356">
        <v>30</v>
      </c>
      <c r="J2356" s="21">
        <v>1952.75</v>
      </c>
      <c r="K2356">
        <v>12</v>
      </c>
      <c r="L2356" s="21">
        <v>546.77</v>
      </c>
      <c r="M2356" s="21">
        <v>5103.18</v>
      </c>
      <c r="N2356" s="21">
        <v>4068.02</v>
      </c>
      <c r="O2356" s="21">
        <v>488.39</v>
      </c>
      <c r="P2356" t="s">
        <v>121</v>
      </c>
      <c r="Q2356" t="s">
        <v>122</v>
      </c>
      <c r="R2356" t="s">
        <v>151</v>
      </c>
      <c r="S2356" t="s">
        <v>2655</v>
      </c>
      <c r="T2356" t="s">
        <v>161</v>
      </c>
      <c r="U2356" t="s">
        <v>154</v>
      </c>
      <c r="V2356" t="str">
        <f>IFERROR(INDEX(Products!$C:$C,MATCH(D2356,Products!$A:$A,0)),"Unknown")</f>
        <v>Handbags</v>
      </c>
      <c r="W2356" t="str">
        <f>IFERROR(INDEX(Products!$E:$E,MATCH(D2356,Products!$A:$A,0)),"Unknown")</f>
        <v>GRT Jewellers</v>
      </c>
      <c r="X2356" t="str">
        <f>IFERROR(INDEX(Stores!$B:$B,MATCH(E2356,Stores!$A:$A,0)),"Unknown")</f>
        <v>TrendMart Vijayawada Standard</v>
      </c>
      <c r="Y2356" t="str">
        <f>IFERROR(INDEX(Stores!$E:$E,MATCH(E2356,Stores!$A:$A,0)),"Unknown")</f>
        <v>South Zone 3</v>
      </c>
      <c r="Z2356" t="str">
        <f>IFERROR(INDEX(Customers!$J:$J,MATCH(C2356,Customers!$A:$A,0)),"Unknown")</f>
        <v>Gold</v>
      </c>
      <c r="AA2356" t="str">
        <f t="shared" si="36"/>
        <v>2024-09</v>
      </c>
      <c r="AB2356" t="str">
        <f>IFERROR(INDEX(Products!$I:$I,MATCH(D2356,Products!$A:$A,0)),"Unknown")</f>
        <v>SUP047</v>
      </c>
    </row>
    <row r="2357" spans="1:28" x14ac:dyDescent="0.25">
      <c r="A2357" t="s">
        <v>4390</v>
      </c>
      <c r="B2357" s="20">
        <v>45455</v>
      </c>
      <c r="C2357" t="s">
        <v>2595</v>
      </c>
      <c r="D2357" t="s">
        <v>612</v>
      </c>
      <c r="E2357" t="s">
        <v>537</v>
      </c>
      <c r="F2357" t="s">
        <v>263</v>
      </c>
      <c r="G2357">
        <v>4</v>
      </c>
      <c r="H2357" s="21">
        <v>648.08000000000004</v>
      </c>
      <c r="I2357">
        <v>30</v>
      </c>
      <c r="J2357" s="21">
        <v>777.7</v>
      </c>
      <c r="K2357">
        <v>5</v>
      </c>
      <c r="L2357" s="21">
        <v>90.73</v>
      </c>
      <c r="M2357" s="21">
        <v>1905.35</v>
      </c>
      <c r="N2357" s="21">
        <v>1476</v>
      </c>
      <c r="O2357" s="21">
        <v>338.62</v>
      </c>
      <c r="P2357" t="s">
        <v>125</v>
      </c>
      <c r="Q2357" t="s">
        <v>120</v>
      </c>
      <c r="R2357" t="s">
        <v>151</v>
      </c>
      <c r="S2357" t="s">
        <v>4391</v>
      </c>
      <c r="T2357" t="s">
        <v>153</v>
      </c>
      <c r="U2357" t="s">
        <v>154</v>
      </c>
      <c r="V2357" t="str">
        <f>IFERROR(INDEX(Products!$C:$C,MATCH(D2357,Products!$A:$A,0)),"Unknown")</f>
        <v>Men T-Shirts</v>
      </c>
      <c r="W2357" t="str">
        <f>IFERROR(INDEX(Products!$E:$E,MATCH(D2357,Products!$A:$A,0)),"Unknown")</f>
        <v>Killer Jeans</v>
      </c>
      <c r="X2357" t="str">
        <f>IFERROR(INDEX(Stores!$B:$B,MATCH(E2357,Stores!$A:$A,0)),"Unknown")</f>
        <v>TrendMart Thrissur High Street</v>
      </c>
      <c r="Y2357" t="str">
        <f>IFERROR(INDEX(Stores!$E:$E,MATCH(E2357,Stores!$A:$A,0)),"Unknown")</f>
        <v>South Zone 1</v>
      </c>
      <c r="Z2357" t="str">
        <f>IFERROR(INDEX(Customers!$J:$J,MATCH(C2357,Customers!$A:$A,0)),"Unknown")</f>
        <v>Gold</v>
      </c>
      <c r="AA2357" t="str">
        <f t="shared" si="36"/>
        <v>2024-06</v>
      </c>
      <c r="AB2357" t="str">
        <f>IFERROR(INDEX(Products!$I:$I,MATCH(D2357,Products!$A:$A,0)),"Unknown")</f>
        <v>SUP056</v>
      </c>
    </row>
    <row r="2358" spans="1:28" x14ac:dyDescent="0.25">
      <c r="A2358" t="s">
        <v>4392</v>
      </c>
      <c r="B2358" s="20">
        <v>45432</v>
      </c>
      <c r="C2358" t="s">
        <v>2322</v>
      </c>
      <c r="D2358" t="s">
        <v>481</v>
      </c>
      <c r="E2358" t="s">
        <v>515</v>
      </c>
      <c r="F2358" t="s">
        <v>434</v>
      </c>
      <c r="G2358">
        <v>2</v>
      </c>
      <c r="H2358" s="21">
        <v>923.95</v>
      </c>
      <c r="I2358">
        <v>15</v>
      </c>
      <c r="J2358" s="21">
        <v>277.19</v>
      </c>
      <c r="K2358">
        <v>5</v>
      </c>
      <c r="L2358" s="21">
        <v>78.540000000000006</v>
      </c>
      <c r="M2358" s="21">
        <v>1649.25</v>
      </c>
      <c r="N2358" s="21">
        <v>1396.16</v>
      </c>
      <c r="O2358" s="21">
        <v>174.55</v>
      </c>
      <c r="P2358" t="s">
        <v>121</v>
      </c>
      <c r="Q2358" t="s">
        <v>120</v>
      </c>
      <c r="R2358" t="s">
        <v>151</v>
      </c>
      <c r="S2358" t="s">
        <v>1719</v>
      </c>
      <c r="T2358" t="s">
        <v>153</v>
      </c>
      <c r="U2358" t="s">
        <v>154</v>
      </c>
      <c r="V2358" t="str">
        <f>IFERROR(INDEX(Products!$C:$C,MATCH(D2358,Products!$A:$A,0)),"Unknown")</f>
        <v>Women Dresses</v>
      </c>
      <c r="W2358" t="str">
        <f>IFERROR(INDEX(Products!$E:$E,MATCH(D2358,Products!$A:$A,0)),"Unknown")</f>
        <v>Jack &amp; Jones</v>
      </c>
      <c r="X2358" t="str">
        <f>IFERROR(INDEX(Stores!$B:$B,MATCH(E2358,Stores!$A:$A,0)),"Unknown")</f>
        <v>TrendMart Kochi High Street</v>
      </c>
      <c r="Y2358" t="str">
        <f>IFERROR(INDEX(Stores!$E:$E,MATCH(E2358,Stores!$A:$A,0)),"Unknown")</f>
        <v>South Zone 1</v>
      </c>
      <c r="Z2358" t="str">
        <f>IFERROR(INDEX(Customers!$J:$J,MATCH(C2358,Customers!$A:$A,0)),"Unknown")</f>
        <v>Gold</v>
      </c>
      <c r="AA2358" t="str">
        <f t="shared" si="36"/>
        <v>2024-05</v>
      </c>
      <c r="AB2358" t="str">
        <f>IFERROR(INDEX(Products!$I:$I,MATCH(D2358,Products!$A:$A,0)),"Unknown")</f>
        <v>SUP069</v>
      </c>
    </row>
    <row r="2359" spans="1:28" x14ac:dyDescent="0.25">
      <c r="A2359" t="s">
        <v>4393</v>
      </c>
      <c r="B2359" s="20">
        <v>45538</v>
      </c>
      <c r="C2359" t="s">
        <v>1927</v>
      </c>
      <c r="D2359" t="s">
        <v>329</v>
      </c>
      <c r="E2359" t="s">
        <v>1074</v>
      </c>
      <c r="F2359" t="s">
        <v>170</v>
      </c>
      <c r="G2359">
        <v>4</v>
      </c>
      <c r="H2359" s="21">
        <v>681.05</v>
      </c>
      <c r="I2359">
        <v>10</v>
      </c>
      <c r="J2359" s="21">
        <v>272.42</v>
      </c>
      <c r="K2359">
        <v>5</v>
      </c>
      <c r="L2359" s="21">
        <v>122.59</v>
      </c>
      <c r="M2359" s="21">
        <v>2574.37</v>
      </c>
      <c r="N2359" s="21">
        <v>1677.12</v>
      </c>
      <c r="O2359" s="21">
        <v>774.66</v>
      </c>
      <c r="P2359" t="s">
        <v>121</v>
      </c>
      <c r="Q2359" t="s">
        <v>122</v>
      </c>
      <c r="R2359" t="s">
        <v>151</v>
      </c>
      <c r="S2359" t="s">
        <v>1396</v>
      </c>
      <c r="T2359" t="s">
        <v>153</v>
      </c>
      <c r="U2359" t="s">
        <v>154</v>
      </c>
      <c r="V2359" t="str">
        <f>IFERROR(INDEX(Products!$C:$C,MATCH(D2359,Products!$A:$A,0)),"Unknown")</f>
        <v>Men T-Shirts</v>
      </c>
      <c r="W2359" t="str">
        <f>IFERROR(INDEX(Products!$E:$E,MATCH(D2359,Products!$A:$A,0)),"Unknown")</f>
        <v>Peter England</v>
      </c>
      <c r="X2359" t="str">
        <f>IFERROR(INDEX(Stores!$B:$B,MATCH(E2359,Stores!$A:$A,0)),"Unknown")</f>
        <v>TrendMart Hyderabad Standard</v>
      </c>
      <c r="Y2359" t="str">
        <f>IFERROR(INDEX(Stores!$E:$E,MATCH(E2359,Stores!$A:$A,0)),"Unknown")</f>
        <v>South Zone 2</v>
      </c>
      <c r="Z2359" t="str">
        <f>IFERROR(INDEX(Customers!$J:$J,MATCH(C2359,Customers!$A:$A,0)),"Unknown")</f>
        <v>Silver</v>
      </c>
      <c r="AA2359" t="str">
        <f t="shared" si="36"/>
        <v>2024-09</v>
      </c>
      <c r="AB2359" t="str">
        <f>IFERROR(INDEX(Products!$I:$I,MATCH(D2359,Products!$A:$A,0)),"Unknown")</f>
        <v>SUP071</v>
      </c>
    </row>
    <row r="2360" spans="1:28" x14ac:dyDescent="0.25">
      <c r="A2360" t="s">
        <v>4394</v>
      </c>
      <c r="B2360" s="20">
        <v>45392</v>
      </c>
      <c r="C2360" t="s">
        <v>441</v>
      </c>
      <c r="D2360" t="s">
        <v>654</v>
      </c>
      <c r="E2360" t="s">
        <v>387</v>
      </c>
      <c r="F2360" t="s">
        <v>335</v>
      </c>
      <c r="G2360">
        <v>1</v>
      </c>
      <c r="H2360" s="21">
        <v>1199.6099999999999</v>
      </c>
      <c r="I2360">
        <v>0</v>
      </c>
      <c r="J2360" s="21">
        <v>0</v>
      </c>
      <c r="K2360">
        <v>12</v>
      </c>
      <c r="L2360" s="21">
        <v>143.94999999999999</v>
      </c>
      <c r="M2360" s="21">
        <v>1343.56</v>
      </c>
      <c r="N2360" s="21">
        <v>865.42</v>
      </c>
      <c r="O2360" s="21">
        <v>334.19</v>
      </c>
      <c r="P2360" t="s">
        <v>124</v>
      </c>
      <c r="Q2360" t="s">
        <v>120</v>
      </c>
      <c r="R2360" t="s">
        <v>151</v>
      </c>
      <c r="S2360" t="s">
        <v>2149</v>
      </c>
      <c r="T2360" t="s">
        <v>153</v>
      </c>
      <c r="U2360" t="s">
        <v>154</v>
      </c>
      <c r="V2360" t="str">
        <f>IFERROR(INDEX(Products!$C:$C,MATCH(D2360,Products!$A:$A,0)),"Unknown")</f>
        <v>Women Dresses</v>
      </c>
      <c r="W2360" t="str">
        <f>IFERROR(INDEX(Products!$E:$E,MATCH(D2360,Products!$A:$A,0)),"Unknown")</f>
        <v>Indian Terrain</v>
      </c>
      <c r="X2360" t="str">
        <f>IFERROR(INDEX(Stores!$B:$B,MATCH(E2360,Stores!$A:$A,0)),"Unknown")</f>
        <v>TrendMart Kannur Outlet</v>
      </c>
      <c r="Y2360" t="str">
        <f>IFERROR(INDEX(Stores!$E:$E,MATCH(E2360,Stores!$A:$A,0)),"Unknown")</f>
        <v>South Zone 1</v>
      </c>
      <c r="Z2360" t="str">
        <f>IFERROR(INDEX(Customers!$J:$J,MATCH(C2360,Customers!$A:$A,0)),"Unknown")</f>
        <v>Gold</v>
      </c>
      <c r="AA2360" t="str">
        <f t="shared" si="36"/>
        <v>2024-04</v>
      </c>
      <c r="AB2360" t="str">
        <f>IFERROR(INDEX(Products!$I:$I,MATCH(D2360,Products!$A:$A,0)),"Unknown")</f>
        <v>SUP049</v>
      </c>
    </row>
    <row r="2361" spans="1:28" x14ac:dyDescent="0.25">
      <c r="A2361" t="s">
        <v>4395</v>
      </c>
      <c r="B2361" s="20">
        <v>45689</v>
      </c>
      <c r="C2361" t="s">
        <v>3710</v>
      </c>
      <c r="D2361" t="s">
        <v>926</v>
      </c>
      <c r="E2361" t="s">
        <v>511</v>
      </c>
      <c r="F2361" t="s">
        <v>269</v>
      </c>
      <c r="G2361">
        <v>2</v>
      </c>
      <c r="H2361" s="21">
        <v>1294.22</v>
      </c>
      <c r="I2361">
        <v>0</v>
      </c>
      <c r="J2361" s="21">
        <v>0</v>
      </c>
      <c r="K2361">
        <v>12</v>
      </c>
      <c r="L2361" s="21">
        <v>310.61</v>
      </c>
      <c r="M2361" s="21">
        <v>2899.05</v>
      </c>
      <c r="N2361" s="21">
        <v>1621.24</v>
      </c>
      <c r="O2361" s="21">
        <v>967.2</v>
      </c>
      <c r="P2361" t="s">
        <v>123</v>
      </c>
      <c r="Q2361" t="s">
        <v>120</v>
      </c>
      <c r="R2361" t="s">
        <v>151</v>
      </c>
      <c r="S2361" t="s">
        <v>1728</v>
      </c>
      <c r="T2361" t="s">
        <v>161</v>
      </c>
      <c r="U2361" t="s">
        <v>154</v>
      </c>
      <c r="V2361" t="str">
        <f>IFERROR(INDEX(Products!$C:$C,MATCH(D2361,Products!$A:$A,0)),"Unknown")</f>
        <v>Women Dresses</v>
      </c>
      <c r="W2361" t="str">
        <f>IFERROR(INDEX(Products!$E:$E,MATCH(D2361,Products!$A:$A,0)),"Unknown")</f>
        <v>Fabindia</v>
      </c>
      <c r="X2361" t="str">
        <f>IFERROR(INDEX(Stores!$B:$B,MATCH(E2361,Stores!$A:$A,0)),"Unknown")</f>
        <v>TrendMart Khammam Standard</v>
      </c>
      <c r="Y2361" t="str">
        <f>IFERROR(INDEX(Stores!$E:$E,MATCH(E2361,Stores!$A:$A,0)),"Unknown")</f>
        <v>South Zone 2</v>
      </c>
      <c r="Z2361" t="str">
        <f>IFERROR(INDEX(Customers!$J:$J,MATCH(C2361,Customers!$A:$A,0)),"Unknown")</f>
        <v>Silver</v>
      </c>
      <c r="AA2361" t="str">
        <f t="shared" si="36"/>
        <v>2025-02</v>
      </c>
      <c r="AB2361" t="str">
        <f>IFERROR(INDEX(Products!$I:$I,MATCH(D2361,Products!$A:$A,0)),"Unknown")</f>
        <v>SUP059</v>
      </c>
    </row>
    <row r="2362" spans="1:28" x14ac:dyDescent="0.25">
      <c r="A2362" t="s">
        <v>4396</v>
      </c>
      <c r="B2362" s="20">
        <v>45440</v>
      </c>
      <c r="C2362" t="s">
        <v>3464</v>
      </c>
      <c r="D2362" t="s">
        <v>1156</v>
      </c>
      <c r="E2362" t="s">
        <v>506</v>
      </c>
      <c r="F2362" t="s">
        <v>242</v>
      </c>
      <c r="G2362">
        <v>3</v>
      </c>
      <c r="H2362" s="21">
        <v>616.87</v>
      </c>
      <c r="I2362">
        <v>5</v>
      </c>
      <c r="J2362" s="21">
        <v>92.53</v>
      </c>
      <c r="K2362">
        <v>5</v>
      </c>
      <c r="L2362" s="21">
        <v>87.9</v>
      </c>
      <c r="M2362" s="21">
        <v>1845.98</v>
      </c>
      <c r="N2362" s="21">
        <v>1528.32</v>
      </c>
      <c r="O2362" s="21">
        <v>229.76</v>
      </c>
      <c r="P2362" t="s">
        <v>121</v>
      </c>
      <c r="Q2362" t="s">
        <v>120</v>
      </c>
      <c r="R2362" t="s">
        <v>151</v>
      </c>
      <c r="S2362" t="s">
        <v>958</v>
      </c>
      <c r="T2362" t="s">
        <v>153</v>
      </c>
      <c r="U2362" t="s">
        <v>154</v>
      </c>
      <c r="V2362" t="str">
        <f>IFERROR(INDEX(Products!$C:$C,MATCH(D2362,Products!$A:$A,0)),"Unknown")</f>
        <v>Kids Wear</v>
      </c>
      <c r="W2362" t="str">
        <f>IFERROR(INDEX(Products!$E:$E,MATCH(D2362,Products!$A:$A,0)),"Unknown")</f>
        <v>Allen Solly</v>
      </c>
      <c r="X2362" t="str">
        <f>IFERROR(INDEX(Stores!$B:$B,MATCH(E2362,Stores!$A:$A,0)),"Unknown")</f>
        <v>TrendMart Nellore High Street</v>
      </c>
      <c r="Y2362" t="str">
        <f>IFERROR(INDEX(Stores!$E:$E,MATCH(E2362,Stores!$A:$A,0)),"Unknown")</f>
        <v>South Zone 3</v>
      </c>
      <c r="Z2362" t="str">
        <f>IFERROR(INDEX(Customers!$J:$J,MATCH(C2362,Customers!$A:$A,0)),"Unknown")</f>
        <v>Gold</v>
      </c>
      <c r="AA2362" t="str">
        <f t="shared" si="36"/>
        <v>2024-05</v>
      </c>
      <c r="AB2362" t="str">
        <f>IFERROR(INDEX(Products!$I:$I,MATCH(D2362,Products!$A:$A,0)),"Unknown")</f>
        <v>SUP026</v>
      </c>
    </row>
    <row r="2363" spans="1:28" x14ac:dyDescent="0.25">
      <c r="A2363" t="s">
        <v>4397</v>
      </c>
      <c r="B2363" s="20">
        <v>45585</v>
      </c>
      <c r="C2363" t="s">
        <v>2276</v>
      </c>
      <c r="D2363" t="s">
        <v>968</v>
      </c>
      <c r="E2363" t="s">
        <v>1962</v>
      </c>
      <c r="F2363" t="s">
        <v>258</v>
      </c>
      <c r="G2363">
        <v>2</v>
      </c>
      <c r="H2363" s="21">
        <v>578.71</v>
      </c>
      <c r="I2363">
        <v>15</v>
      </c>
      <c r="J2363" s="21">
        <v>173.61</v>
      </c>
      <c r="K2363">
        <v>5</v>
      </c>
      <c r="L2363" s="21">
        <v>49.19</v>
      </c>
      <c r="M2363" s="21">
        <v>1033</v>
      </c>
      <c r="N2363" s="21">
        <v>607.22</v>
      </c>
      <c r="O2363" s="21">
        <v>376.59</v>
      </c>
      <c r="P2363" t="s">
        <v>121</v>
      </c>
      <c r="Q2363" t="s">
        <v>120</v>
      </c>
      <c r="R2363" t="s">
        <v>151</v>
      </c>
      <c r="S2363" t="s">
        <v>1565</v>
      </c>
      <c r="T2363" t="s">
        <v>161</v>
      </c>
      <c r="U2363" t="s">
        <v>154</v>
      </c>
      <c r="V2363" t="str">
        <f>IFERROR(INDEX(Products!$C:$C,MATCH(D2363,Products!$A:$A,0)),"Unknown")</f>
        <v>Accessories</v>
      </c>
      <c r="W2363" t="str">
        <f>IFERROR(INDEX(Products!$E:$E,MATCH(D2363,Products!$A:$A,0)),"Unknown")</f>
        <v>Blackberrys</v>
      </c>
      <c r="X2363" t="str">
        <f>IFERROR(INDEX(Stores!$B:$B,MATCH(E2363,Stores!$A:$A,0)),"Unknown")</f>
        <v>TrendMart Guntur High Street</v>
      </c>
      <c r="Y2363" t="str">
        <f>IFERROR(INDEX(Stores!$E:$E,MATCH(E2363,Stores!$A:$A,0)),"Unknown")</f>
        <v>South Zone 3</v>
      </c>
      <c r="Z2363" t="str">
        <f>IFERROR(INDEX(Customers!$J:$J,MATCH(C2363,Customers!$A:$A,0)),"Unknown")</f>
        <v>Gold</v>
      </c>
      <c r="AA2363" t="str">
        <f t="shared" si="36"/>
        <v>2024-10</v>
      </c>
      <c r="AB2363" t="str">
        <f>IFERROR(INDEX(Products!$I:$I,MATCH(D2363,Products!$A:$A,0)),"Unknown")</f>
        <v>SUP048</v>
      </c>
    </row>
    <row r="2364" spans="1:28" x14ac:dyDescent="0.25">
      <c r="A2364" t="s">
        <v>4398</v>
      </c>
      <c r="B2364" s="20">
        <v>45640</v>
      </c>
      <c r="C2364" t="s">
        <v>1660</v>
      </c>
      <c r="D2364" t="s">
        <v>1104</v>
      </c>
      <c r="E2364" t="s">
        <v>1281</v>
      </c>
      <c r="F2364" t="s">
        <v>165</v>
      </c>
      <c r="G2364">
        <v>3</v>
      </c>
      <c r="H2364" s="21">
        <v>3647.73</v>
      </c>
      <c r="I2364">
        <v>15</v>
      </c>
      <c r="J2364" s="21">
        <v>1641.48</v>
      </c>
      <c r="K2364">
        <v>12</v>
      </c>
      <c r="L2364" s="21">
        <v>1116.21</v>
      </c>
      <c r="M2364" s="21">
        <v>10417.92</v>
      </c>
      <c r="N2364" s="21">
        <v>7122.09</v>
      </c>
      <c r="O2364" s="21">
        <v>2179.62</v>
      </c>
      <c r="P2364" t="s">
        <v>125</v>
      </c>
      <c r="Q2364" t="s">
        <v>120</v>
      </c>
      <c r="R2364" t="s">
        <v>151</v>
      </c>
      <c r="S2364" t="s">
        <v>491</v>
      </c>
      <c r="T2364" t="s">
        <v>161</v>
      </c>
      <c r="U2364" t="s">
        <v>154</v>
      </c>
      <c r="V2364" t="str">
        <f>IFERROR(INDEX(Products!$C:$C,MATCH(D2364,Products!$A:$A,0)),"Unknown")</f>
        <v>Handbags</v>
      </c>
      <c r="W2364" t="str">
        <f>IFERROR(INDEX(Products!$E:$E,MATCH(D2364,Products!$A:$A,0)),"Unknown")</f>
        <v>Nalli Silks</v>
      </c>
      <c r="X2364" t="str">
        <f>IFERROR(INDEX(Stores!$B:$B,MATCH(E2364,Stores!$A:$A,0)),"Unknown")</f>
        <v>TrendMart Visakhapatnam Standard</v>
      </c>
      <c r="Y2364" t="str">
        <f>IFERROR(INDEX(Stores!$E:$E,MATCH(E2364,Stores!$A:$A,0)),"Unknown")</f>
        <v>South Zone 3</v>
      </c>
      <c r="Z2364" t="str">
        <f>IFERROR(INDEX(Customers!$J:$J,MATCH(C2364,Customers!$A:$A,0)),"Unknown")</f>
        <v>Regular</v>
      </c>
      <c r="AA2364" t="str">
        <f t="shared" si="36"/>
        <v>2024-12</v>
      </c>
      <c r="AB2364" t="str">
        <f>IFERROR(INDEX(Products!$I:$I,MATCH(D2364,Products!$A:$A,0)),"Unknown")</f>
        <v>SUP070</v>
      </c>
    </row>
    <row r="2365" spans="1:28" x14ac:dyDescent="0.25">
      <c r="A2365" t="s">
        <v>4399</v>
      </c>
      <c r="B2365" s="20">
        <v>45471</v>
      </c>
      <c r="C2365" t="s">
        <v>1183</v>
      </c>
      <c r="D2365" t="s">
        <v>858</v>
      </c>
      <c r="E2365" t="s">
        <v>617</v>
      </c>
      <c r="F2365" t="s">
        <v>195</v>
      </c>
      <c r="G2365">
        <v>1</v>
      </c>
      <c r="H2365" s="21">
        <v>666.47</v>
      </c>
      <c r="I2365">
        <v>20</v>
      </c>
      <c r="J2365" s="21">
        <v>133.29</v>
      </c>
      <c r="K2365">
        <v>5</v>
      </c>
      <c r="L2365" s="21">
        <v>26.66</v>
      </c>
      <c r="M2365" s="21">
        <v>559.84</v>
      </c>
      <c r="N2365" s="21">
        <v>525.45000000000005</v>
      </c>
      <c r="O2365" s="21">
        <v>7.73</v>
      </c>
      <c r="P2365" t="s">
        <v>124</v>
      </c>
      <c r="Q2365" t="s">
        <v>122</v>
      </c>
      <c r="R2365" t="s">
        <v>151</v>
      </c>
      <c r="S2365" t="s">
        <v>2079</v>
      </c>
      <c r="T2365" t="s">
        <v>153</v>
      </c>
      <c r="U2365" t="s">
        <v>154</v>
      </c>
      <c r="V2365" t="str">
        <f>IFERROR(INDEX(Products!$C:$C,MATCH(D2365,Products!$A:$A,0)),"Unknown")</f>
        <v>Kids Wear</v>
      </c>
      <c r="W2365" t="str">
        <f>IFERROR(INDEX(Products!$E:$E,MATCH(D2365,Products!$A:$A,0)),"Unknown")</f>
        <v>Sonata</v>
      </c>
      <c r="X2365" t="str">
        <f>IFERROR(INDEX(Stores!$B:$B,MATCH(E2365,Stores!$A:$A,0)),"Unknown")</f>
        <v>TrendMart Mangaluru High Street</v>
      </c>
      <c r="Y2365" t="str">
        <f>IFERROR(INDEX(Stores!$E:$E,MATCH(E2365,Stores!$A:$A,0)),"Unknown")</f>
        <v>South Zone 2</v>
      </c>
      <c r="Z2365" t="str">
        <f>IFERROR(INDEX(Customers!$J:$J,MATCH(C2365,Customers!$A:$A,0)),"Unknown")</f>
        <v>Silver</v>
      </c>
      <c r="AA2365" t="str">
        <f t="shared" si="36"/>
        <v>2024-06</v>
      </c>
      <c r="AB2365" t="str">
        <f>IFERROR(INDEX(Products!$I:$I,MATCH(D2365,Products!$A:$A,0)),"Unknown")</f>
        <v>SUP089</v>
      </c>
    </row>
    <row r="2366" spans="1:28" x14ac:dyDescent="0.25">
      <c r="A2366" t="s">
        <v>4400</v>
      </c>
      <c r="B2366" s="20">
        <v>45714</v>
      </c>
      <c r="C2366" t="s">
        <v>2405</v>
      </c>
      <c r="D2366" t="s">
        <v>888</v>
      </c>
      <c r="E2366" t="s">
        <v>351</v>
      </c>
      <c r="F2366" t="s">
        <v>150</v>
      </c>
      <c r="G2366">
        <v>1</v>
      </c>
      <c r="H2366" s="21">
        <v>6413.15</v>
      </c>
      <c r="I2366">
        <v>25</v>
      </c>
      <c r="J2366" s="21">
        <v>1603.29</v>
      </c>
      <c r="K2366">
        <v>3</v>
      </c>
      <c r="L2366" s="21">
        <v>144.30000000000001</v>
      </c>
      <c r="M2366" s="21">
        <v>4954.16</v>
      </c>
      <c r="N2366" s="21">
        <v>4762.76</v>
      </c>
      <c r="O2366" s="21">
        <v>47.1</v>
      </c>
      <c r="P2366" t="s">
        <v>123</v>
      </c>
      <c r="Q2366" t="s">
        <v>122</v>
      </c>
      <c r="R2366" t="s">
        <v>151</v>
      </c>
      <c r="S2366" t="s">
        <v>3425</v>
      </c>
      <c r="T2366" t="s">
        <v>153</v>
      </c>
      <c r="U2366" t="s">
        <v>154</v>
      </c>
      <c r="V2366" t="str">
        <f>IFERROR(INDEX(Products!$C:$C,MATCH(D2366,Products!$A:$A,0)),"Unknown")</f>
        <v>Jewellery</v>
      </c>
      <c r="W2366" t="str">
        <f>IFERROR(INDEX(Products!$E:$E,MATCH(D2366,Products!$A:$A,0)),"Unknown")</f>
        <v>Aurelia</v>
      </c>
      <c r="X2366" t="str">
        <f>IFERROR(INDEX(Stores!$B:$B,MATCH(E2366,Stores!$A:$A,0)),"Unknown")</f>
        <v>TrendMart Kozhikode High Street</v>
      </c>
      <c r="Y2366" t="str">
        <f>IFERROR(INDEX(Stores!$E:$E,MATCH(E2366,Stores!$A:$A,0)),"Unknown")</f>
        <v>South Zone 1</v>
      </c>
      <c r="Z2366" t="str">
        <f>IFERROR(INDEX(Customers!$J:$J,MATCH(C2366,Customers!$A:$A,0)),"Unknown")</f>
        <v>Platinum</v>
      </c>
      <c r="AA2366" t="str">
        <f t="shared" si="36"/>
        <v>2025-02</v>
      </c>
      <c r="AB2366" t="str">
        <f>IFERROR(INDEX(Products!$I:$I,MATCH(D2366,Products!$A:$A,0)),"Unknown")</f>
        <v>SUP038</v>
      </c>
    </row>
    <row r="2367" spans="1:28" x14ac:dyDescent="0.25">
      <c r="A2367" t="s">
        <v>4401</v>
      </c>
      <c r="B2367" s="20">
        <v>45588</v>
      </c>
      <c r="C2367" t="s">
        <v>411</v>
      </c>
      <c r="D2367" t="s">
        <v>285</v>
      </c>
      <c r="E2367" t="s">
        <v>906</v>
      </c>
      <c r="F2367" t="s">
        <v>596</v>
      </c>
      <c r="G2367">
        <v>2</v>
      </c>
      <c r="H2367" s="21">
        <v>731.14</v>
      </c>
      <c r="I2367">
        <v>15</v>
      </c>
      <c r="J2367" s="21">
        <v>219.34</v>
      </c>
      <c r="K2367">
        <v>5</v>
      </c>
      <c r="L2367" s="21">
        <v>62.15</v>
      </c>
      <c r="M2367" s="21">
        <v>1305.0899999999999</v>
      </c>
      <c r="N2367" s="21">
        <v>998.62</v>
      </c>
      <c r="O2367" s="21">
        <v>244.32</v>
      </c>
      <c r="P2367" t="s">
        <v>121</v>
      </c>
      <c r="Q2367" t="s">
        <v>120</v>
      </c>
      <c r="R2367" t="s">
        <v>151</v>
      </c>
      <c r="S2367" t="s">
        <v>964</v>
      </c>
      <c r="T2367" t="s">
        <v>153</v>
      </c>
      <c r="U2367" t="s">
        <v>154</v>
      </c>
      <c r="V2367" t="str">
        <f>IFERROR(INDEX(Products!$C:$C,MATCH(D2367,Products!$A:$A,0)),"Unknown")</f>
        <v>Kids Wear</v>
      </c>
      <c r="W2367" t="str">
        <f>IFERROR(INDEX(Products!$E:$E,MATCH(D2367,Products!$A:$A,0)),"Unknown")</f>
        <v>Global Desi</v>
      </c>
      <c r="X2367" t="str">
        <f>IFERROR(INDEX(Stores!$B:$B,MATCH(E2367,Stores!$A:$A,0)),"Unknown")</f>
        <v>TrendMart Vijayawada Standard</v>
      </c>
      <c r="Y2367" t="str">
        <f>IFERROR(INDEX(Stores!$E:$E,MATCH(E2367,Stores!$A:$A,0)),"Unknown")</f>
        <v>South Zone 3</v>
      </c>
      <c r="Z2367" t="str">
        <f>IFERROR(INDEX(Customers!$J:$J,MATCH(C2367,Customers!$A:$A,0)),"Unknown")</f>
        <v>Gold</v>
      </c>
      <c r="AA2367" t="str">
        <f t="shared" si="36"/>
        <v>2024-10</v>
      </c>
      <c r="AB2367" t="str">
        <f>IFERROR(INDEX(Products!$I:$I,MATCH(D2367,Products!$A:$A,0)),"Unknown")</f>
        <v>SUP008</v>
      </c>
    </row>
    <row r="2368" spans="1:28" x14ac:dyDescent="0.25">
      <c r="A2368" t="s">
        <v>4402</v>
      </c>
      <c r="B2368" s="20">
        <v>45625</v>
      </c>
      <c r="C2368" t="s">
        <v>1119</v>
      </c>
      <c r="D2368" t="s">
        <v>697</v>
      </c>
      <c r="E2368" t="s">
        <v>84</v>
      </c>
      <c r="F2368" t="s">
        <v>574</v>
      </c>
      <c r="G2368">
        <v>3</v>
      </c>
      <c r="H2368" s="21">
        <v>1127.92</v>
      </c>
      <c r="I2368">
        <v>10</v>
      </c>
      <c r="J2368" s="21">
        <v>338.38</v>
      </c>
      <c r="K2368">
        <v>12</v>
      </c>
      <c r="L2368" s="21">
        <v>365.45</v>
      </c>
      <c r="M2368" s="21">
        <v>3410.83</v>
      </c>
      <c r="N2368" s="21">
        <v>2099.52</v>
      </c>
      <c r="O2368" s="21">
        <v>945.86</v>
      </c>
      <c r="P2368" t="s">
        <v>121</v>
      </c>
      <c r="Q2368" t="s">
        <v>120</v>
      </c>
      <c r="R2368" t="s">
        <v>151</v>
      </c>
      <c r="S2368" t="s">
        <v>1910</v>
      </c>
      <c r="T2368" t="s">
        <v>153</v>
      </c>
      <c r="U2368" t="s">
        <v>154</v>
      </c>
      <c r="V2368" t="str">
        <f>IFERROR(INDEX(Products!$C:$C,MATCH(D2368,Products!$A:$A,0)),"Unknown")</f>
        <v>Women Tops</v>
      </c>
      <c r="W2368" t="str">
        <f>IFERROR(INDEX(Products!$E:$E,MATCH(D2368,Products!$A:$A,0)),"Unknown")</f>
        <v>Nalli Silks</v>
      </c>
      <c r="X2368" t="str">
        <f>IFERROR(INDEX(Stores!$B:$B,MATCH(E2368,Stores!$A:$A,0)),"Unknown")</f>
        <v>TrendMart Tirupati Standard</v>
      </c>
      <c r="Y2368" t="str">
        <f>IFERROR(INDEX(Stores!$E:$E,MATCH(E2368,Stores!$A:$A,0)),"Unknown")</f>
        <v>South Zone 3</v>
      </c>
      <c r="Z2368" t="str">
        <f>IFERROR(INDEX(Customers!$J:$J,MATCH(C2368,Customers!$A:$A,0)),"Unknown")</f>
        <v>Silver</v>
      </c>
      <c r="AA2368" t="str">
        <f t="shared" si="36"/>
        <v>2024-11</v>
      </c>
      <c r="AB2368" t="str">
        <f>IFERROR(INDEX(Products!$I:$I,MATCH(D2368,Products!$A:$A,0)),"Unknown")</f>
        <v>SUP008</v>
      </c>
    </row>
    <row r="2369" spans="1:28" x14ac:dyDescent="0.25">
      <c r="A2369" t="s">
        <v>4403</v>
      </c>
      <c r="B2369" s="20">
        <v>45594</v>
      </c>
      <c r="C2369" t="s">
        <v>2733</v>
      </c>
      <c r="D2369" t="s">
        <v>658</v>
      </c>
      <c r="E2369" t="s">
        <v>181</v>
      </c>
      <c r="F2369" t="s">
        <v>574</v>
      </c>
      <c r="G2369">
        <v>1</v>
      </c>
      <c r="H2369" s="21">
        <v>299.29000000000002</v>
      </c>
      <c r="I2369">
        <v>25</v>
      </c>
      <c r="J2369" s="21">
        <v>74.819999999999993</v>
      </c>
      <c r="K2369">
        <v>5</v>
      </c>
      <c r="L2369" s="21">
        <v>11.22</v>
      </c>
      <c r="M2369" s="21">
        <v>235.69</v>
      </c>
      <c r="N2369" s="21">
        <v>171.9</v>
      </c>
      <c r="O2369" s="21">
        <v>52.57</v>
      </c>
      <c r="P2369" t="s">
        <v>121</v>
      </c>
      <c r="Q2369" t="s">
        <v>120</v>
      </c>
      <c r="R2369" t="s">
        <v>151</v>
      </c>
      <c r="S2369" t="s">
        <v>336</v>
      </c>
      <c r="T2369" t="s">
        <v>153</v>
      </c>
      <c r="U2369" t="s">
        <v>154</v>
      </c>
      <c r="V2369" t="str">
        <f>IFERROR(INDEX(Products!$C:$C,MATCH(D2369,Products!$A:$A,0)),"Unknown")</f>
        <v>Accessories</v>
      </c>
      <c r="W2369" t="str">
        <f>IFERROR(INDEX(Products!$E:$E,MATCH(D2369,Products!$A:$A,0)),"Unknown")</f>
        <v>Flying Machine</v>
      </c>
      <c r="X2369" t="str">
        <f>IFERROR(INDEX(Stores!$B:$B,MATCH(E2369,Stores!$A:$A,0)),"Unknown")</f>
        <v>TrendMart Kurnool High Street</v>
      </c>
      <c r="Y2369" t="str">
        <f>IFERROR(INDEX(Stores!$E:$E,MATCH(E2369,Stores!$A:$A,0)),"Unknown")</f>
        <v>South Zone 3</v>
      </c>
      <c r="Z2369" t="str">
        <f>IFERROR(INDEX(Customers!$J:$J,MATCH(C2369,Customers!$A:$A,0)),"Unknown")</f>
        <v>Regular</v>
      </c>
      <c r="AA2369" t="str">
        <f t="shared" si="36"/>
        <v>2024-10</v>
      </c>
      <c r="AB2369" t="str">
        <f>IFERROR(INDEX(Products!$I:$I,MATCH(D2369,Products!$A:$A,0)),"Unknown")</f>
        <v>SUP002</v>
      </c>
    </row>
    <row r="2370" spans="1:28" x14ac:dyDescent="0.25">
      <c r="A2370" t="s">
        <v>4404</v>
      </c>
      <c r="B2370" s="20">
        <v>45639</v>
      </c>
      <c r="C2370" t="s">
        <v>4405</v>
      </c>
      <c r="D2370" t="s">
        <v>888</v>
      </c>
      <c r="E2370" t="s">
        <v>216</v>
      </c>
      <c r="F2370" t="s">
        <v>377</v>
      </c>
      <c r="G2370">
        <v>1</v>
      </c>
      <c r="H2370" s="21">
        <v>6118.48</v>
      </c>
      <c r="I2370">
        <v>30</v>
      </c>
      <c r="J2370" s="21">
        <v>1835.54</v>
      </c>
      <c r="K2370">
        <v>3</v>
      </c>
      <c r="L2370" s="21">
        <v>128.49</v>
      </c>
      <c r="M2370" s="21">
        <v>4411.43</v>
      </c>
      <c r="N2370" s="21">
        <v>4762.76</v>
      </c>
      <c r="O2370" s="21">
        <v>-479.82</v>
      </c>
      <c r="P2370" t="s">
        <v>123</v>
      </c>
      <c r="Q2370" t="s">
        <v>120</v>
      </c>
      <c r="R2370" t="s">
        <v>151</v>
      </c>
      <c r="S2370" t="s">
        <v>4061</v>
      </c>
      <c r="T2370" t="s">
        <v>153</v>
      </c>
      <c r="U2370" t="s">
        <v>184</v>
      </c>
      <c r="V2370" t="str">
        <f>IFERROR(INDEX(Products!$C:$C,MATCH(D2370,Products!$A:$A,0)),"Unknown")</f>
        <v>Jewellery</v>
      </c>
      <c r="W2370" t="str">
        <f>IFERROR(INDEX(Products!$E:$E,MATCH(D2370,Products!$A:$A,0)),"Unknown")</f>
        <v>Aurelia</v>
      </c>
      <c r="X2370" t="str">
        <f>IFERROR(INDEX(Stores!$B:$B,MATCH(E2370,Stores!$A:$A,0)),"Unknown")</f>
        <v>TrendMart Madurai Mall Kiosk</v>
      </c>
      <c r="Y2370" t="str">
        <f>IFERROR(INDEX(Stores!$E:$E,MATCH(E2370,Stores!$A:$A,0)),"Unknown")</f>
        <v>South Zone 1</v>
      </c>
      <c r="Z2370" t="str">
        <f>IFERROR(INDEX(Customers!$J:$J,MATCH(C2370,Customers!$A:$A,0)),"Unknown")</f>
        <v>Silver</v>
      </c>
      <c r="AA2370" t="str">
        <f t="shared" ref="AA2370:AA2433" si="37">TEXT(B2370,"YYYY-MM")</f>
        <v>2024-12</v>
      </c>
      <c r="AB2370" t="str">
        <f>IFERROR(INDEX(Products!$I:$I,MATCH(D2370,Products!$A:$A,0)),"Unknown")</f>
        <v>SUP038</v>
      </c>
    </row>
    <row r="2371" spans="1:28" x14ac:dyDescent="0.25">
      <c r="A2371" t="s">
        <v>4406</v>
      </c>
      <c r="B2371" s="20">
        <v>45585</v>
      </c>
      <c r="C2371" t="s">
        <v>716</v>
      </c>
      <c r="D2371" t="s">
        <v>1350</v>
      </c>
      <c r="E2371" t="s">
        <v>334</v>
      </c>
      <c r="F2371" t="s">
        <v>150</v>
      </c>
      <c r="G2371">
        <v>2</v>
      </c>
      <c r="H2371" s="21">
        <v>706.11</v>
      </c>
      <c r="I2371">
        <v>0</v>
      </c>
      <c r="J2371" s="21">
        <v>0</v>
      </c>
      <c r="K2371">
        <v>5</v>
      </c>
      <c r="L2371" s="21">
        <v>70.61</v>
      </c>
      <c r="M2371" s="21">
        <v>1482.83</v>
      </c>
      <c r="N2371" s="21">
        <v>838.8</v>
      </c>
      <c r="O2371" s="21">
        <v>573.41999999999996</v>
      </c>
      <c r="P2371" t="s">
        <v>126</v>
      </c>
      <c r="Q2371" t="s">
        <v>122</v>
      </c>
      <c r="R2371" t="s">
        <v>151</v>
      </c>
      <c r="S2371" t="s">
        <v>917</v>
      </c>
      <c r="T2371" t="s">
        <v>161</v>
      </c>
      <c r="U2371" t="s">
        <v>154</v>
      </c>
      <c r="V2371" t="str">
        <f>IFERROR(INDEX(Products!$C:$C,MATCH(D2371,Products!$A:$A,0)),"Unknown")</f>
        <v>Women Tops</v>
      </c>
      <c r="W2371" t="str">
        <f>IFERROR(INDEX(Products!$E:$E,MATCH(D2371,Products!$A:$A,0)),"Unknown")</f>
        <v>Jack &amp; Jones</v>
      </c>
      <c r="X2371" t="str">
        <f>IFERROR(INDEX(Stores!$B:$B,MATCH(E2371,Stores!$A:$A,0)),"Unknown")</f>
        <v>TrendMart Madurai High Street</v>
      </c>
      <c r="Y2371" t="str">
        <f>IFERROR(INDEX(Stores!$E:$E,MATCH(E2371,Stores!$A:$A,0)),"Unknown")</f>
        <v>South Zone 1</v>
      </c>
      <c r="Z2371" t="str">
        <f>IFERROR(INDEX(Customers!$J:$J,MATCH(C2371,Customers!$A:$A,0)),"Unknown")</f>
        <v>Silver</v>
      </c>
      <c r="AA2371" t="str">
        <f t="shared" si="37"/>
        <v>2024-10</v>
      </c>
      <c r="AB2371" t="str">
        <f>IFERROR(INDEX(Products!$I:$I,MATCH(D2371,Products!$A:$A,0)),"Unknown")</f>
        <v>SUP089</v>
      </c>
    </row>
    <row r="2372" spans="1:28" x14ac:dyDescent="0.25">
      <c r="A2372" t="s">
        <v>4407</v>
      </c>
      <c r="B2372" s="20">
        <v>45650</v>
      </c>
      <c r="C2372" t="s">
        <v>4408</v>
      </c>
      <c r="D2372" t="s">
        <v>646</v>
      </c>
      <c r="E2372" t="s">
        <v>1825</v>
      </c>
      <c r="F2372" t="s">
        <v>170</v>
      </c>
      <c r="G2372">
        <v>2</v>
      </c>
      <c r="H2372" s="21">
        <v>755.29</v>
      </c>
      <c r="I2372">
        <v>15</v>
      </c>
      <c r="J2372" s="21">
        <v>226.59</v>
      </c>
      <c r="K2372">
        <v>5</v>
      </c>
      <c r="L2372" s="21">
        <v>64.2</v>
      </c>
      <c r="M2372" s="21">
        <v>1348.19</v>
      </c>
      <c r="N2372" s="21">
        <v>1024.22</v>
      </c>
      <c r="O2372" s="21">
        <v>259.77</v>
      </c>
      <c r="P2372" t="s">
        <v>123</v>
      </c>
      <c r="Q2372" t="s">
        <v>122</v>
      </c>
      <c r="R2372" t="s">
        <v>151</v>
      </c>
      <c r="S2372" t="s">
        <v>222</v>
      </c>
      <c r="T2372" t="s">
        <v>153</v>
      </c>
      <c r="U2372" t="s">
        <v>154</v>
      </c>
      <c r="V2372" t="str">
        <f>IFERROR(INDEX(Products!$C:$C,MATCH(D2372,Products!$A:$A,0)),"Unknown")</f>
        <v>Sportswear</v>
      </c>
      <c r="W2372" t="str">
        <f>IFERROR(INDEX(Products!$E:$E,MATCH(D2372,Products!$A:$A,0)),"Unknown")</f>
        <v>Fabindia</v>
      </c>
      <c r="X2372" t="str">
        <f>IFERROR(INDEX(Stores!$B:$B,MATCH(E2372,Stores!$A:$A,0)),"Unknown")</f>
        <v>TrendMart Vijayawada Outlet</v>
      </c>
      <c r="Y2372" t="str">
        <f>IFERROR(INDEX(Stores!$E:$E,MATCH(E2372,Stores!$A:$A,0)),"Unknown")</f>
        <v>South Zone 3</v>
      </c>
      <c r="Z2372" t="str">
        <f>IFERROR(INDEX(Customers!$J:$J,MATCH(C2372,Customers!$A:$A,0)),"Unknown")</f>
        <v>Platinum</v>
      </c>
      <c r="AA2372" t="str">
        <f t="shared" si="37"/>
        <v>2024-12</v>
      </c>
      <c r="AB2372" t="str">
        <f>IFERROR(INDEX(Products!$I:$I,MATCH(D2372,Products!$A:$A,0)),"Unknown")</f>
        <v>SUP087</v>
      </c>
    </row>
    <row r="2373" spans="1:28" x14ac:dyDescent="0.25">
      <c r="A2373" t="s">
        <v>4409</v>
      </c>
      <c r="B2373" s="20">
        <v>45706</v>
      </c>
      <c r="C2373" t="s">
        <v>2501</v>
      </c>
      <c r="D2373" t="s">
        <v>2037</v>
      </c>
      <c r="E2373" t="s">
        <v>241</v>
      </c>
      <c r="F2373" t="s">
        <v>195</v>
      </c>
      <c r="G2373">
        <v>1</v>
      </c>
      <c r="H2373" s="21">
        <v>1842.15</v>
      </c>
      <c r="I2373">
        <v>15</v>
      </c>
      <c r="J2373" s="21">
        <v>276.32</v>
      </c>
      <c r="K2373">
        <v>12</v>
      </c>
      <c r="L2373" s="21">
        <v>187.9</v>
      </c>
      <c r="M2373" s="21">
        <v>1753.73</v>
      </c>
      <c r="N2373" s="21">
        <v>1205.1400000000001</v>
      </c>
      <c r="O2373" s="21">
        <v>360.69</v>
      </c>
      <c r="P2373" t="s">
        <v>125</v>
      </c>
      <c r="Q2373" t="s">
        <v>120</v>
      </c>
      <c r="R2373" t="s">
        <v>151</v>
      </c>
      <c r="S2373" t="s">
        <v>2492</v>
      </c>
      <c r="T2373" t="s">
        <v>153</v>
      </c>
      <c r="U2373" t="s">
        <v>154</v>
      </c>
      <c r="V2373" t="str">
        <f>IFERROR(INDEX(Products!$C:$C,MATCH(D2373,Products!$A:$A,0)),"Unknown")</f>
        <v>Men Ethnic</v>
      </c>
      <c r="W2373" t="str">
        <f>IFERROR(INDEX(Products!$E:$E,MATCH(D2373,Products!$A:$A,0)),"Unknown")</f>
        <v>Skechers</v>
      </c>
      <c r="X2373" t="str">
        <f>IFERROR(INDEX(Stores!$B:$B,MATCH(E2373,Stores!$A:$A,0)),"Unknown")</f>
        <v>TrendMart Nizamabad Mall Kiosk</v>
      </c>
      <c r="Y2373" t="str">
        <f>IFERROR(INDEX(Stores!$E:$E,MATCH(E2373,Stores!$A:$A,0)),"Unknown")</f>
        <v>South Zone 2</v>
      </c>
      <c r="Z2373" t="str">
        <f>IFERROR(INDEX(Customers!$J:$J,MATCH(C2373,Customers!$A:$A,0)),"Unknown")</f>
        <v>Silver</v>
      </c>
      <c r="AA2373" t="str">
        <f t="shared" si="37"/>
        <v>2025-02</v>
      </c>
      <c r="AB2373" t="str">
        <f>IFERROR(INDEX(Products!$I:$I,MATCH(D2373,Products!$A:$A,0)),"Unknown")</f>
        <v>SUP083</v>
      </c>
    </row>
    <row r="2374" spans="1:28" x14ac:dyDescent="0.25">
      <c r="A2374" t="s">
        <v>4410</v>
      </c>
      <c r="B2374" s="20">
        <v>45407</v>
      </c>
      <c r="C2374" t="s">
        <v>2610</v>
      </c>
      <c r="D2374" t="s">
        <v>267</v>
      </c>
      <c r="E2374" t="s">
        <v>280</v>
      </c>
      <c r="F2374" t="s">
        <v>182</v>
      </c>
      <c r="G2374">
        <v>1</v>
      </c>
      <c r="H2374" s="21">
        <v>730.13</v>
      </c>
      <c r="I2374">
        <v>10</v>
      </c>
      <c r="J2374" s="21">
        <v>73.010000000000005</v>
      </c>
      <c r="K2374">
        <v>5</v>
      </c>
      <c r="L2374" s="21">
        <v>32.86</v>
      </c>
      <c r="M2374" s="21">
        <v>689.98</v>
      </c>
      <c r="N2374" s="21">
        <v>443.19</v>
      </c>
      <c r="O2374" s="21">
        <v>213.93</v>
      </c>
      <c r="P2374" t="s">
        <v>126</v>
      </c>
      <c r="Q2374" t="s">
        <v>122</v>
      </c>
      <c r="R2374" t="s">
        <v>151</v>
      </c>
      <c r="S2374" t="s">
        <v>483</v>
      </c>
      <c r="T2374" t="s">
        <v>153</v>
      </c>
      <c r="U2374" t="s">
        <v>154</v>
      </c>
      <c r="V2374" t="str">
        <f>IFERROR(INDEX(Products!$C:$C,MATCH(D2374,Products!$A:$A,0)),"Unknown")</f>
        <v>Accessories</v>
      </c>
      <c r="W2374" t="str">
        <f>IFERROR(INDEX(Products!$E:$E,MATCH(D2374,Products!$A:$A,0)),"Unknown")</f>
        <v>Allen Solly</v>
      </c>
      <c r="X2374" t="str">
        <f>IFERROR(INDEX(Stores!$B:$B,MATCH(E2374,Stores!$A:$A,0)),"Unknown")</f>
        <v>TrendMart Chennai Standard</v>
      </c>
      <c r="Y2374" t="str">
        <f>IFERROR(INDEX(Stores!$E:$E,MATCH(E2374,Stores!$A:$A,0)),"Unknown")</f>
        <v>South Zone 1</v>
      </c>
      <c r="Z2374" t="str">
        <f>IFERROR(INDEX(Customers!$J:$J,MATCH(C2374,Customers!$A:$A,0)),"Unknown")</f>
        <v>Regular</v>
      </c>
      <c r="AA2374" t="str">
        <f t="shared" si="37"/>
        <v>2024-04</v>
      </c>
      <c r="AB2374" t="str">
        <f>IFERROR(INDEX(Products!$I:$I,MATCH(D2374,Products!$A:$A,0)),"Unknown")</f>
        <v>SUP069</v>
      </c>
    </row>
    <row r="2375" spans="1:28" x14ac:dyDescent="0.25">
      <c r="A2375" t="s">
        <v>4411</v>
      </c>
      <c r="B2375" s="20">
        <v>45453</v>
      </c>
      <c r="C2375" t="s">
        <v>1270</v>
      </c>
      <c r="D2375" t="s">
        <v>599</v>
      </c>
      <c r="E2375" t="s">
        <v>318</v>
      </c>
      <c r="F2375" t="s">
        <v>377</v>
      </c>
      <c r="G2375">
        <v>2</v>
      </c>
      <c r="H2375" s="21">
        <v>942.62</v>
      </c>
      <c r="I2375">
        <v>10</v>
      </c>
      <c r="J2375" s="21">
        <v>188.52</v>
      </c>
      <c r="K2375">
        <v>5</v>
      </c>
      <c r="L2375" s="21">
        <v>84.84</v>
      </c>
      <c r="M2375" s="21">
        <v>1781.56</v>
      </c>
      <c r="N2375" s="21">
        <v>1291.18</v>
      </c>
      <c r="O2375" s="21">
        <v>405.54</v>
      </c>
      <c r="P2375" t="s">
        <v>124</v>
      </c>
      <c r="Q2375" t="s">
        <v>120</v>
      </c>
      <c r="R2375" t="s">
        <v>151</v>
      </c>
      <c r="S2375" t="s">
        <v>2084</v>
      </c>
      <c r="T2375" t="s">
        <v>153</v>
      </c>
      <c r="U2375" t="s">
        <v>154</v>
      </c>
      <c r="V2375" t="str">
        <f>IFERROR(INDEX(Products!$C:$C,MATCH(D2375,Products!$A:$A,0)),"Unknown")</f>
        <v>Men Shirts</v>
      </c>
      <c r="W2375" t="str">
        <f>IFERROR(INDEX(Products!$E:$E,MATCH(D2375,Products!$A:$A,0)),"Unknown")</f>
        <v>Van Heusen</v>
      </c>
      <c r="X2375" t="str">
        <f>IFERROR(INDEX(Stores!$B:$B,MATCH(E2375,Stores!$A:$A,0)),"Unknown")</f>
        <v>TrendMart Guntur Outlet</v>
      </c>
      <c r="Y2375" t="str">
        <f>IFERROR(INDEX(Stores!$E:$E,MATCH(E2375,Stores!$A:$A,0)),"Unknown")</f>
        <v>South Zone 3</v>
      </c>
      <c r="Z2375" t="str">
        <f>IFERROR(INDEX(Customers!$J:$J,MATCH(C2375,Customers!$A:$A,0)),"Unknown")</f>
        <v>Silver</v>
      </c>
      <c r="AA2375" t="str">
        <f t="shared" si="37"/>
        <v>2024-06</v>
      </c>
      <c r="AB2375" t="str">
        <f>IFERROR(INDEX(Products!$I:$I,MATCH(D2375,Products!$A:$A,0)),"Unknown")</f>
        <v>SUP084</v>
      </c>
    </row>
    <row r="2376" spans="1:28" x14ac:dyDescent="0.25">
      <c r="A2376" t="s">
        <v>4412</v>
      </c>
      <c r="B2376" s="20">
        <v>45404</v>
      </c>
      <c r="C2376" t="s">
        <v>2034</v>
      </c>
      <c r="D2376" t="s">
        <v>536</v>
      </c>
      <c r="E2376" t="s">
        <v>355</v>
      </c>
      <c r="F2376" t="s">
        <v>258</v>
      </c>
      <c r="G2376">
        <v>5</v>
      </c>
      <c r="H2376" s="21">
        <v>532.04</v>
      </c>
      <c r="I2376">
        <v>0</v>
      </c>
      <c r="J2376" s="21">
        <v>0</v>
      </c>
      <c r="K2376">
        <v>5</v>
      </c>
      <c r="L2376" s="21">
        <v>133.01</v>
      </c>
      <c r="M2376" s="21">
        <v>2793.21</v>
      </c>
      <c r="N2376" s="21">
        <v>1787.25</v>
      </c>
      <c r="O2376" s="21">
        <v>872.95</v>
      </c>
      <c r="P2376" t="s">
        <v>123</v>
      </c>
      <c r="Q2376" t="s">
        <v>122</v>
      </c>
      <c r="R2376" t="s">
        <v>151</v>
      </c>
      <c r="S2376" t="s">
        <v>1289</v>
      </c>
      <c r="T2376" t="s">
        <v>153</v>
      </c>
      <c r="U2376" t="s">
        <v>154</v>
      </c>
      <c r="V2376" t="str">
        <f>IFERROR(INDEX(Products!$C:$C,MATCH(D2376,Products!$A:$A,0)),"Unknown")</f>
        <v>Wallets</v>
      </c>
      <c r="W2376" t="str">
        <f>IFERROR(INDEX(Products!$E:$E,MATCH(D2376,Products!$A:$A,0)),"Unknown")</f>
        <v>Aurelia</v>
      </c>
      <c r="X2376" t="str">
        <f>IFERROR(INDEX(Stores!$B:$B,MATCH(E2376,Stores!$A:$A,0)),"Unknown")</f>
        <v>TrendMart Thiruvananthapuram High Street</v>
      </c>
      <c r="Y2376" t="str">
        <f>IFERROR(INDEX(Stores!$E:$E,MATCH(E2376,Stores!$A:$A,0)),"Unknown")</f>
        <v>South Zone 1</v>
      </c>
      <c r="Z2376" t="str">
        <f>IFERROR(INDEX(Customers!$J:$J,MATCH(C2376,Customers!$A:$A,0)),"Unknown")</f>
        <v>Gold</v>
      </c>
      <c r="AA2376" t="str">
        <f t="shared" si="37"/>
        <v>2024-04</v>
      </c>
      <c r="AB2376" t="str">
        <f>IFERROR(INDEX(Products!$I:$I,MATCH(D2376,Products!$A:$A,0)),"Unknown")</f>
        <v>SUP084</v>
      </c>
    </row>
    <row r="2377" spans="1:28" x14ac:dyDescent="0.25">
      <c r="A2377" t="s">
        <v>4413</v>
      </c>
      <c r="B2377" s="20">
        <v>45502</v>
      </c>
      <c r="C2377" t="s">
        <v>2366</v>
      </c>
      <c r="D2377" t="s">
        <v>1616</v>
      </c>
      <c r="E2377" t="s">
        <v>525</v>
      </c>
      <c r="F2377" t="s">
        <v>150</v>
      </c>
      <c r="G2377">
        <v>2</v>
      </c>
      <c r="H2377" s="21">
        <v>4645.45</v>
      </c>
      <c r="I2377">
        <v>15</v>
      </c>
      <c r="J2377" s="21">
        <v>1393.63</v>
      </c>
      <c r="K2377">
        <v>12</v>
      </c>
      <c r="L2377" s="21">
        <v>947.67</v>
      </c>
      <c r="M2377" s="21">
        <v>8844.94</v>
      </c>
      <c r="N2377" s="21">
        <v>6046.26</v>
      </c>
      <c r="O2377" s="21">
        <v>1851.01</v>
      </c>
      <c r="P2377" t="s">
        <v>125</v>
      </c>
      <c r="Q2377" t="s">
        <v>120</v>
      </c>
      <c r="R2377" t="s">
        <v>151</v>
      </c>
      <c r="S2377" t="s">
        <v>1863</v>
      </c>
      <c r="T2377" t="s">
        <v>153</v>
      </c>
      <c r="U2377" t="s">
        <v>154</v>
      </c>
      <c r="V2377" t="str">
        <f>IFERROR(INDEX(Products!$C:$C,MATCH(D2377,Products!$A:$A,0)),"Unknown")</f>
        <v>Women Sarees</v>
      </c>
      <c r="W2377" t="str">
        <f>IFERROR(INDEX(Products!$E:$E,MATCH(D2377,Products!$A:$A,0)),"Unknown")</f>
        <v>Max Fashion</v>
      </c>
      <c r="X2377" t="str">
        <f>IFERROR(INDEX(Stores!$B:$B,MATCH(E2377,Stores!$A:$A,0)),"Unknown")</f>
        <v>TrendMart Kollam Standard</v>
      </c>
      <c r="Y2377" t="str">
        <f>IFERROR(INDEX(Stores!$E:$E,MATCH(E2377,Stores!$A:$A,0)),"Unknown")</f>
        <v>South Zone 1</v>
      </c>
      <c r="Z2377" t="str">
        <f>IFERROR(INDEX(Customers!$J:$J,MATCH(C2377,Customers!$A:$A,0)),"Unknown")</f>
        <v>Gold</v>
      </c>
      <c r="AA2377" t="str">
        <f t="shared" si="37"/>
        <v>2024-07</v>
      </c>
      <c r="AB2377" t="str">
        <f>IFERROR(INDEX(Products!$I:$I,MATCH(D2377,Products!$A:$A,0)),"Unknown")</f>
        <v>SUP047</v>
      </c>
    </row>
    <row r="2378" spans="1:28" x14ac:dyDescent="0.25">
      <c r="A2378" t="s">
        <v>4414</v>
      </c>
      <c r="B2378" s="20">
        <v>45602</v>
      </c>
      <c r="C2378" t="s">
        <v>2917</v>
      </c>
      <c r="D2378" t="s">
        <v>961</v>
      </c>
      <c r="E2378" t="s">
        <v>667</v>
      </c>
      <c r="F2378" t="s">
        <v>242</v>
      </c>
      <c r="G2378">
        <v>1</v>
      </c>
      <c r="H2378" s="21">
        <v>1155.98</v>
      </c>
      <c r="I2378">
        <v>0</v>
      </c>
      <c r="J2378" s="21">
        <v>0</v>
      </c>
      <c r="K2378">
        <v>12</v>
      </c>
      <c r="L2378" s="21">
        <v>138.72</v>
      </c>
      <c r="M2378" s="21">
        <v>1294.7</v>
      </c>
      <c r="N2378" s="21">
        <v>881.93</v>
      </c>
      <c r="O2378" s="21">
        <v>274.05</v>
      </c>
      <c r="P2378" t="s">
        <v>123</v>
      </c>
      <c r="Q2378" t="s">
        <v>120</v>
      </c>
      <c r="R2378" t="s">
        <v>151</v>
      </c>
      <c r="S2378" t="s">
        <v>842</v>
      </c>
      <c r="T2378" t="s">
        <v>153</v>
      </c>
      <c r="U2378" t="s">
        <v>154</v>
      </c>
      <c r="V2378" t="str">
        <f>IFERROR(INDEX(Products!$C:$C,MATCH(D2378,Products!$A:$A,0)),"Unknown")</f>
        <v>Men Trousers</v>
      </c>
      <c r="W2378" t="str">
        <f>IFERROR(INDEX(Products!$E:$E,MATCH(D2378,Products!$A:$A,0)),"Unknown")</f>
        <v>Pepe Jeans</v>
      </c>
      <c r="X2378" t="str">
        <f>IFERROR(INDEX(Stores!$B:$B,MATCH(E2378,Stores!$A:$A,0)),"Unknown")</f>
        <v>TrendMart Hyderabad High Street</v>
      </c>
      <c r="Y2378" t="str">
        <f>IFERROR(INDEX(Stores!$E:$E,MATCH(E2378,Stores!$A:$A,0)),"Unknown")</f>
        <v>South Zone 2</v>
      </c>
      <c r="Z2378" t="str">
        <f>IFERROR(INDEX(Customers!$J:$J,MATCH(C2378,Customers!$A:$A,0)),"Unknown")</f>
        <v>Silver</v>
      </c>
      <c r="AA2378" t="str">
        <f t="shared" si="37"/>
        <v>2024-11</v>
      </c>
      <c r="AB2378" t="str">
        <f>IFERROR(INDEX(Products!$I:$I,MATCH(D2378,Products!$A:$A,0)),"Unknown")</f>
        <v>SUP071</v>
      </c>
    </row>
    <row r="2379" spans="1:28" x14ac:dyDescent="0.25">
      <c r="A2379" t="s">
        <v>4415</v>
      </c>
      <c r="B2379" s="20">
        <v>45492</v>
      </c>
      <c r="C2379" t="s">
        <v>3073</v>
      </c>
      <c r="D2379" t="s">
        <v>545</v>
      </c>
      <c r="E2379" t="s">
        <v>416</v>
      </c>
      <c r="F2379" t="s">
        <v>263</v>
      </c>
      <c r="G2379">
        <v>2</v>
      </c>
      <c r="H2379" s="21">
        <v>1228.94</v>
      </c>
      <c r="I2379">
        <v>30</v>
      </c>
      <c r="J2379" s="21">
        <v>737.36</v>
      </c>
      <c r="K2379">
        <v>12</v>
      </c>
      <c r="L2379" s="21">
        <v>206.46</v>
      </c>
      <c r="M2379" s="21">
        <v>1926.98</v>
      </c>
      <c r="N2379" s="21">
        <v>1669.92</v>
      </c>
      <c r="O2379" s="21">
        <v>50.6</v>
      </c>
      <c r="P2379" t="s">
        <v>127</v>
      </c>
      <c r="Q2379" t="s">
        <v>122</v>
      </c>
      <c r="R2379" t="s">
        <v>151</v>
      </c>
      <c r="S2379" t="s">
        <v>1835</v>
      </c>
      <c r="T2379" t="s">
        <v>153</v>
      </c>
      <c r="U2379" t="s">
        <v>154</v>
      </c>
      <c r="V2379" t="str">
        <f>IFERROR(INDEX(Products!$C:$C,MATCH(D2379,Products!$A:$A,0)),"Unknown")</f>
        <v>Women Jeans</v>
      </c>
      <c r="W2379" t="str">
        <f>IFERROR(INDEX(Products!$E:$E,MATCH(D2379,Products!$A:$A,0)),"Unknown")</f>
        <v>US Polo Assn</v>
      </c>
      <c r="X2379" t="str">
        <f>IFERROR(INDEX(Stores!$B:$B,MATCH(E2379,Stores!$A:$A,0)),"Unknown")</f>
        <v>TrendMart Dindigul Standard</v>
      </c>
      <c r="Y2379" t="str">
        <f>IFERROR(INDEX(Stores!$E:$E,MATCH(E2379,Stores!$A:$A,0)),"Unknown")</f>
        <v>South Zone 1</v>
      </c>
      <c r="Z2379" t="str">
        <f>IFERROR(INDEX(Customers!$J:$J,MATCH(C2379,Customers!$A:$A,0)),"Unknown")</f>
        <v>Regular</v>
      </c>
      <c r="AA2379" t="str">
        <f t="shared" si="37"/>
        <v>2024-07</v>
      </c>
      <c r="AB2379" t="str">
        <f>IFERROR(INDEX(Products!$I:$I,MATCH(D2379,Products!$A:$A,0)),"Unknown")</f>
        <v>SUP041</v>
      </c>
    </row>
    <row r="2380" spans="1:28" x14ac:dyDescent="0.25">
      <c r="A2380" t="s">
        <v>4416</v>
      </c>
      <c r="B2380" s="20">
        <v>45588</v>
      </c>
      <c r="C2380" t="s">
        <v>1241</v>
      </c>
      <c r="D2380" t="s">
        <v>220</v>
      </c>
      <c r="E2380" t="s">
        <v>1187</v>
      </c>
      <c r="F2380" t="s">
        <v>443</v>
      </c>
      <c r="G2380">
        <v>1</v>
      </c>
      <c r="H2380" s="21">
        <v>5790.3</v>
      </c>
      <c r="I2380">
        <v>20</v>
      </c>
      <c r="J2380" s="21">
        <v>1158.06</v>
      </c>
      <c r="K2380">
        <v>12</v>
      </c>
      <c r="L2380" s="21">
        <v>555.87</v>
      </c>
      <c r="M2380" s="21">
        <v>5188.1099999999997</v>
      </c>
      <c r="N2380" s="21">
        <v>3970.86</v>
      </c>
      <c r="O2380" s="21">
        <v>661.38</v>
      </c>
      <c r="P2380" t="s">
        <v>121</v>
      </c>
      <c r="Q2380" t="s">
        <v>122</v>
      </c>
      <c r="R2380" t="s">
        <v>151</v>
      </c>
      <c r="S2380" t="s">
        <v>1806</v>
      </c>
      <c r="T2380" t="s">
        <v>153</v>
      </c>
      <c r="U2380" t="s">
        <v>154</v>
      </c>
      <c r="V2380" t="str">
        <f>IFERROR(INDEX(Products!$C:$C,MATCH(D2380,Products!$A:$A,0)),"Unknown")</f>
        <v>Watches</v>
      </c>
      <c r="W2380" t="str">
        <f>IFERROR(INDEX(Products!$E:$E,MATCH(D2380,Products!$A:$A,0)),"Unknown")</f>
        <v>Global Desi</v>
      </c>
      <c r="X2380" t="str">
        <f>IFERROR(INDEX(Stores!$B:$B,MATCH(E2380,Stores!$A:$A,0)),"Unknown")</f>
        <v>TrendMart Vijayawada Mall Kiosk</v>
      </c>
      <c r="Y2380" t="str">
        <f>IFERROR(INDEX(Stores!$E:$E,MATCH(E2380,Stores!$A:$A,0)),"Unknown")</f>
        <v>South Zone 3</v>
      </c>
      <c r="Z2380" t="str">
        <f>IFERROR(INDEX(Customers!$J:$J,MATCH(C2380,Customers!$A:$A,0)),"Unknown")</f>
        <v>Silver</v>
      </c>
      <c r="AA2380" t="str">
        <f t="shared" si="37"/>
        <v>2024-10</v>
      </c>
      <c r="AB2380" t="str">
        <f>IFERROR(INDEX(Products!$I:$I,MATCH(D2380,Products!$A:$A,0)),"Unknown")</f>
        <v>SUP055</v>
      </c>
    </row>
    <row r="2381" spans="1:28" x14ac:dyDescent="0.25">
      <c r="A2381" t="s">
        <v>4417</v>
      </c>
      <c r="B2381" s="20">
        <v>45451</v>
      </c>
      <c r="C2381" t="s">
        <v>2783</v>
      </c>
      <c r="D2381" t="s">
        <v>1476</v>
      </c>
      <c r="E2381" t="s">
        <v>247</v>
      </c>
      <c r="F2381" t="s">
        <v>211</v>
      </c>
      <c r="G2381">
        <v>1</v>
      </c>
      <c r="H2381" s="21">
        <v>883.9</v>
      </c>
      <c r="I2381">
        <v>5</v>
      </c>
      <c r="J2381" s="21">
        <v>44.2</v>
      </c>
      <c r="K2381">
        <v>5</v>
      </c>
      <c r="L2381" s="21">
        <v>41.98</v>
      </c>
      <c r="M2381" s="21">
        <v>881.68</v>
      </c>
      <c r="N2381" s="21">
        <v>585.26</v>
      </c>
      <c r="O2381" s="21">
        <v>254.44</v>
      </c>
      <c r="P2381" t="s">
        <v>121</v>
      </c>
      <c r="Q2381" t="s">
        <v>120</v>
      </c>
      <c r="R2381" t="s">
        <v>151</v>
      </c>
      <c r="S2381" t="s">
        <v>3462</v>
      </c>
      <c r="T2381" t="s">
        <v>161</v>
      </c>
      <c r="U2381" t="s">
        <v>154</v>
      </c>
      <c r="V2381" t="str">
        <f>IFERROR(INDEX(Products!$C:$C,MATCH(D2381,Products!$A:$A,0)),"Unknown")</f>
        <v>Men Trousers</v>
      </c>
      <c r="W2381" t="str">
        <f>IFERROR(INDEX(Products!$E:$E,MATCH(D2381,Products!$A:$A,0)),"Unknown")</f>
        <v>Van Heusen</v>
      </c>
      <c r="X2381" t="str">
        <f>IFERROR(INDEX(Stores!$B:$B,MATCH(E2381,Stores!$A:$A,0)),"Unknown")</f>
        <v>TrendMart Tirupati Outlet</v>
      </c>
      <c r="Y2381" t="str">
        <f>IFERROR(INDEX(Stores!$E:$E,MATCH(E2381,Stores!$A:$A,0)),"Unknown")</f>
        <v>South Zone 3</v>
      </c>
      <c r="Z2381" t="str">
        <f>IFERROR(INDEX(Customers!$J:$J,MATCH(C2381,Customers!$A:$A,0)),"Unknown")</f>
        <v>Gold</v>
      </c>
      <c r="AA2381" t="str">
        <f t="shared" si="37"/>
        <v>2024-06</v>
      </c>
      <c r="AB2381" t="str">
        <f>IFERROR(INDEX(Products!$I:$I,MATCH(D2381,Products!$A:$A,0)),"Unknown")</f>
        <v>SUP012</v>
      </c>
    </row>
    <row r="2382" spans="1:28" x14ac:dyDescent="0.25">
      <c r="A2382" t="s">
        <v>4418</v>
      </c>
      <c r="B2382" s="20">
        <v>45570</v>
      </c>
      <c r="C2382" t="s">
        <v>2719</v>
      </c>
      <c r="D2382" t="s">
        <v>236</v>
      </c>
      <c r="E2382" t="s">
        <v>607</v>
      </c>
      <c r="F2382" t="s">
        <v>408</v>
      </c>
      <c r="G2382">
        <v>4</v>
      </c>
      <c r="H2382" s="21">
        <v>823.99</v>
      </c>
      <c r="I2382">
        <v>0</v>
      </c>
      <c r="J2382" s="21">
        <v>0</v>
      </c>
      <c r="K2382">
        <v>5</v>
      </c>
      <c r="L2382" s="21">
        <v>164.8</v>
      </c>
      <c r="M2382" s="21">
        <v>3460.76</v>
      </c>
      <c r="N2382" s="21">
        <v>2200.04</v>
      </c>
      <c r="O2382" s="21">
        <v>1095.92</v>
      </c>
      <c r="P2382" t="s">
        <v>121</v>
      </c>
      <c r="Q2382" t="s">
        <v>120</v>
      </c>
      <c r="R2382" t="s">
        <v>151</v>
      </c>
      <c r="S2382" t="s">
        <v>2655</v>
      </c>
      <c r="T2382" t="s">
        <v>161</v>
      </c>
      <c r="U2382" t="s">
        <v>154</v>
      </c>
      <c r="V2382" t="str">
        <f>IFERROR(INDEX(Products!$C:$C,MATCH(D2382,Products!$A:$A,0)),"Unknown")</f>
        <v>Women Tops</v>
      </c>
      <c r="W2382" t="str">
        <f>IFERROR(INDEX(Products!$E:$E,MATCH(D2382,Products!$A:$A,0)),"Unknown")</f>
        <v>Nike</v>
      </c>
      <c r="X2382" t="str">
        <f>IFERROR(INDEX(Stores!$B:$B,MATCH(E2382,Stores!$A:$A,0)),"Unknown")</f>
        <v>TrendMart Thiruvananthapuram Standard</v>
      </c>
      <c r="Y2382" t="str">
        <f>IFERROR(INDEX(Stores!$E:$E,MATCH(E2382,Stores!$A:$A,0)),"Unknown")</f>
        <v>South Zone 1</v>
      </c>
      <c r="Z2382" t="str">
        <f>IFERROR(INDEX(Customers!$J:$J,MATCH(C2382,Customers!$A:$A,0)),"Unknown")</f>
        <v>Gold</v>
      </c>
      <c r="AA2382" t="str">
        <f t="shared" si="37"/>
        <v>2024-10</v>
      </c>
      <c r="AB2382" t="str">
        <f>IFERROR(INDEX(Products!$I:$I,MATCH(D2382,Products!$A:$A,0)),"Unknown")</f>
        <v>SUP075</v>
      </c>
    </row>
    <row r="2383" spans="1:28" x14ac:dyDescent="0.25">
      <c r="A2383" t="s">
        <v>4419</v>
      </c>
      <c r="B2383" s="20">
        <v>45612</v>
      </c>
      <c r="C2383" t="s">
        <v>2807</v>
      </c>
      <c r="D2383" t="s">
        <v>372</v>
      </c>
      <c r="E2383" t="s">
        <v>93</v>
      </c>
      <c r="F2383" t="s">
        <v>532</v>
      </c>
      <c r="G2383">
        <v>4</v>
      </c>
      <c r="H2383" s="21">
        <v>610.46</v>
      </c>
      <c r="I2383">
        <v>30</v>
      </c>
      <c r="J2383" s="21">
        <v>732.55</v>
      </c>
      <c r="K2383">
        <v>5</v>
      </c>
      <c r="L2383" s="21">
        <v>85.46</v>
      </c>
      <c r="M2383" s="21">
        <v>1794.75</v>
      </c>
      <c r="N2383" s="21">
        <v>1653.56</v>
      </c>
      <c r="O2383" s="21">
        <v>55.73</v>
      </c>
      <c r="P2383" t="s">
        <v>123</v>
      </c>
      <c r="Q2383" t="s">
        <v>120</v>
      </c>
      <c r="R2383" t="s">
        <v>151</v>
      </c>
      <c r="S2383" t="s">
        <v>1249</v>
      </c>
      <c r="T2383" t="s">
        <v>161</v>
      </c>
      <c r="U2383" t="s">
        <v>154</v>
      </c>
      <c r="V2383" t="str">
        <f>IFERROR(INDEX(Products!$C:$C,MATCH(D2383,Products!$A:$A,0)),"Unknown")</f>
        <v>Kids Wear</v>
      </c>
      <c r="W2383" t="str">
        <f>IFERROR(INDEX(Products!$E:$E,MATCH(D2383,Products!$A:$A,0)),"Unknown")</f>
        <v>Jack &amp; Jones</v>
      </c>
      <c r="X2383" t="str">
        <f>IFERROR(INDEX(Stores!$B:$B,MATCH(E2383,Stores!$A:$A,0)),"Unknown")</f>
        <v>TrendMart Thiruvananthapuram High Street</v>
      </c>
      <c r="Y2383" t="str">
        <f>IFERROR(INDEX(Stores!$E:$E,MATCH(E2383,Stores!$A:$A,0)),"Unknown")</f>
        <v>South Zone 1</v>
      </c>
      <c r="Z2383" t="str">
        <f>IFERROR(INDEX(Customers!$J:$J,MATCH(C2383,Customers!$A:$A,0)),"Unknown")</f>
        <v>Regular</v>
      </c>
      <c r="AA2383" t="str">
        <f t="shared" si="37"/>
        <v>2024-11</v>
      </c>
      <c r="AB2383" t="str">
        <f>IFERROR(INDEX(Products!$I:$I,MATCH(D2383,Products!$A:$A,0)),"Unknown")</f>
        <v>SUP065</v>
      </c>
    </row>
    <row r="2384" spans="1:28" x14ac:dyDescent="0.25">
      <c r="A2384" t="s">
        <v>4420</v>
      </c>
      <c r="B2384" s="20">
        <v>45437</v>
      </c>
      <c r="C2384" t="s">
        <v>2780</v>
      </c>
      <c r="D2384" t="s">
        <v>2751</v>
      </c>
      <c r="E2384" t="s">
        <v>94</v>
      </c>
      <c r="F2384" t="s">
        <v>221</v>
      </c>
      <c r="G2384">
        <v>2</v>
      </c>
      <c r="H2384" s="21">
        <v>457.08</v>
      </c>
      <c r="I2384">
        <v>0</v>
      </c>
      <c r="J2384" s="21">
        <v>0</v>
      </c>
      <c r="K2384">
        <v>5</v>
      </c>
      <c r="L2384" s="21">
        <v>45.71</v>
      </c>
      <c r="M2384" s="21">
        <v>959.87</v>
      </c>
      <c r="N2384" s="21">
        <v>638.14</v>
      </c>
      <c r="O2384" s="21">
        <v>276.02</v>
      </c>
      <c r="P2384" t="s">
        <v>121</v>
      </c>
      <c r="Q2384" t="s">
        <v>120</v>
      </c>
      <c r="R2384" t="s">
        <v>151</v>
      </c>
      <c r="S2384" t="s">
        <v>1865</v>
      </c>
      <c r="T2384" t="s">
        <v>161</v>
      </c>
      <c r="U2384" t="s">
        <v>154</v>
      </c>
      <c r="V2384" t="str">
        <f>IFERROR(INDEX(Products!$C:$C,MATCH(D2384,Products!$A:$A,0)),"Unknown")</f>
        <v>Belts</v>
      </c>
      <c r="W2384" t="str">
        <f>IFERROR(INDEX(Products!$E:$E,MATCH(D2384,Products!$A:$A,0)),"Unknown")</f>
        <v>AND</v>
      </c>
      <c r="X2384" t="str">
        <f>IFERROR(INDEX(Stores!$B:$B,MATCH(E2384,Stores!$A:$A,0)),"Unknown")</f>
        <v>TrendMart Bengaluru Mall Kiosk</v>
      </c>
      <c r="Y2384" t="str">
        <f>IFERROR(INDEX(Stores!$E:$E,MATCH(E2384,Stores!$A:$A,0)),"Unknown")</f>
        <v>South Zone 2</v>
      </c>
      <c r="Z2384" t="str">
        <f>IFERROR(INDEX(Customers!$J:$J,MATCH(C2384,Customers!$A:$A,0)),"Unknown")</f>
        <v>Regular</v>
      </c>
      <c r="AA2384" t="str">
        <f t="shared" si="37"/>
        <v>2024-05</v>
      </c>
      <c r="AB2384" t="str">
        <f>IFERROR(INDEX(Products!$I:$I,MATCH(D2384,Products!$A:$A,0)),"Unknown")</f>
        <v>SUP026</v>
      </c>
    </row>
    <row r="2385" spans="1:28" x14ac:dyDescent="0.25">
      <c r="A2385" t="s">
        <v>4421</v>
      </c>
      <c r="B2385" s="20">
        <v>45434</v>
      </c>
      <c r="C2385" t="s">
        <v>857</v>
      </c>
      <c r="D2385" t="s">
        <v>279</v>
      </c>
      <c r="E2385" t="s">
        <v>1171</v>
      </c>
      <c r="F2385" t="s">
        <v>377</v>
      </c>
      <c r="G2385">
        <v>2</v>
      </c>
      <c r="H2385" s="21">
        <v>3067.86</v>
      </c>
      <c r="I2385">
        <v>10</v>
      </c>
      <c r="J2385" s="21">
        <v>613.57000000000005</v>
      </c>
      <c r="K2385">
        <v>12</v>
      </c>
      <c r="L2385" s="21">
        <v>662.66</v>
      </c>
      <c r="M2385" s="21">
        <v>6184.81</v>
      </c>
      <c r="N2385" s="21">
        <v>4138.66</v>
      </c>
      <c r="O2385" s="21">
        <v>1383.49</v>
      </c>
      <c r="P2385" t="s">
        <v>123</v>
      </c>
      <c r="Q2385" t="s">
        <v>120</v>
      </c>
      <c r="R2385" t="s">
        <v>151</v>
      </c>
      <c r="S2385" t="s">
        <v>1205</v>
      </c>
      <c r="T2385" t="s">
        <v>153</v>
      </c>
      <c r="U2385" t="s">
        <v>154</v>
      </c>
      <c r="V2385" t="str">
        <f>IFERROR(INDEX(Products!$C:$C,MATCH(D2385,Products!$A:$A,0)),"Unknown")</f>
        <v>Handbags</v>
      </c>
      <c r="W2385" t="str">
        <f>IFERROR(INDEX(Products!$E:$E,MATCH(D2385,Products!$A:$A,0)),"Unknown")</f>
        <v>Westside</v>
      </c>
      <c r="X2385" t="str">
        <f>IFERROR(INDEX(Stores!$B:$B,MATCH(E2385,Stores!$A:$A,0)),"Unknown")</f>
        <v>TrendMart Chennai Standard</v>
      </c>
      <c r="Y2385" t="str">
        <f>IFERROR(INDEX(Stores!$E:$E,MATCH(E2385,Stores!$A:$A,0)),"Unknown")</f>
        <v>South Zone 1</v>
      </c>
      <c r="Z2385" t="str">
        <f>IFERROR(INDEX(Customers!$J:$J,MATCH(C2385,Customers!$A:$A,0)),"Unknown")</f>
        <v>Gold</v>
      </c>
      <c r="AA2385" t="str">
        <f t="shared" si="37"/>
        <v>2024-05</v>
      </c>
      <c r="AB2385" t="str">
        <f>IFERROR(INDEX(Products!$I:$I,MATCH(D2385,Products!$A:$A,0)),"Unknown")</f>
        <v>SUP066</v>
      </c>
    </row>
    <row r="2386" spans="1:28" x14ac:dyDescent="0.25">
      <c r="A2386" t="s">
        <v>4422</v>
      </c>
      <c r="B2386" s="20">
        <v>45745</v>
      </c>
      <c r="C2386" t="s">
        <v>2420</v>
      </c>
      <c r="D2386" t="s">
        <v>931</v>
      </c>
      <c r="E2386" t="s">
        <v>343</v>
      </c>
      <c r="F2386" t="s">
        <v>211</v>
      </c>
      <c r="G2386">
        <v>2</v>
      </c>
      <c r="H2386" s="21">
        <v>1529.82</v>
      </c>
      <c r="I2386">
        <v>30</v>
      </c>
      <c r="J2386" s="21">
        <v>917.89</v>
      </c>
      <c r="K2386">
        <v>12</v>
      </c>
      <c r="L2386" s="21">
        <v>257.01</v>
      </c>
      <c r="M2386" s="21">
        <v>2398.7600000000002</v>
      </c>
      <c r="N2386" s="21">
        <v>2041.8</v>
      </c>
      <c r="O2386" s="21">
        <v>99.95</v>
      </c>
      <c r="P2386" t="s">
        <v>121</v>
      </c>
      <c r="Q2386" t="s">
        <v>120</v>
      </c>
      <c r="R2386" t="s">
        <v>151</v>
      </c>
      <c r="S2386" t="s">
        <v>345</v>
      </c>
      <c r="T2386" t="s">
        <v>161</v>
      </c>
      <c r="U2386" t="s">
        <v>154</v>
      </c>
      <c r="V2386" t="str">
        <f>IFERROR(INDEX(Products!$C:$C,MATCH(D2386,Products!$A:$A,0)),"Unknown")</f>
        <v>Women Sarees</v>
      </c>
      <c r="W2386" t="str">
        <f>IFERROR(INDEX(Products!$E:$E,MATCH(D2386,Products!$A:$A,0)),"Unknown")</f>
        <v>Jack &amp; Jones</v>
      </c>
      <c r="X2386" t="str">
        <f>IFERROR(INDEX(Stores!$B:$B,MATCH(E2386,Stores!$A:$A,0)),"Unknown")</f>
        <v>TrendMart Tumakuru Outlet</v>
      </c>
      <c r="Y2386" t="str">
        <f>IFERROR(INDEX(Stores!$E:$E,MATCH(E2386,Stores!$A:$A,0)),"Unknown")</f>
        <v>South Zone 2</v>
      </c>
      <c r="Z2386" t="str">
        <f>IFERROR(INDEX(Customers!$J:$J,MATCH(C2386,Customers!$A:$A,0)),"Unknown")</f>
        <v>Gold</v>
      </c>
      <c r="AA2386" t="str">
        <f t="shared" si="37"/>
        <v>2025-03</v>
      </c>
      <c r="AB2386" t="str">
        <f>IFERROR(INDEX(Products!$I:$I,MATCH(D2386,Products!$A:$A,0)),"Unknown")</f>
        <v>SUP058</v>
      </c>
    </row>
    <row r="2387" spans="1:28" x14ac:dyDescent="0.25">
      <c r="A2387" t="s">
        <v>4423</v>
      </c>
      <c r="B2387" s="20">
        <v>45637</v>
      </c>
      <c r="C2387" t="s">
        <v>4424</v>
      </c>
      <c r="D2387" t="s">
        <v>1224</v>
      </c>
      <c r="E2387" t="s">
        <v>355</v>
      </c>
      <c r="F2387" t="s">
        <v>532</v>
      </c>
      <c r="G2387">
        <v>1</v>
      </c>
      <c r="H2387" s="21">
        <v>1521.73</v>
      </c>
      <c r="I2387">
        <v>0</v>
      </c>
      <c r="J2387" s="21">
        <v>0</v>
      </c>
      <c r="K2387">
        <v>12</v>
      </c>
      <c r="L2387" s="21">
        <v>182.61</v>
      </c>
      <c r="M2387" s="21">
        <v>1704.34</v>
      </c>
      <c r="N2387" s="21">
        <v>1194.1400000000001</v>
      </c>
      <c r="O2387" s="21">
        <v>327.58999999999997</v>
      </c>
      <c r="P2387" t="s">
        <v>124</v>
      </c>
      <c r="Q2387" t="s">
        <v>120</v>
      </c>
      <c r="R2387" t="s">
        <v>151</v>
      </c>
      <c r="S2387" t="s">
        <v>1981</v>
      </c>
      <c r="T2387" t="s">
        <v>153</v>
      </c>
      <c r="U2387" t="s">
        <v>154</v>
      </c>
      <c r="V2387" t="str">
        <f>IFERROR(INDEX(Products!$C:$C,MATCH(D2387,Products!$A:$A,0)),"Unknown")</f>
        <v>Men Jeans</v>
      </c>
      <c r="W2387" t="str">
        <f>IFERROR(INDEX(Products!$E:$E,MATCH(D2387,Products!$A:$A,0)),"Unknown")</f>
        <v>Killer Jeans</v>
      </c>
      <c r="X2387" t="str">
        <f>IFERROR(INDEX(Stores!$B:$B,MATCH(E2387,Stores!$A:$A,0)),"Unknown")</f>
        <v>TrendMart Thiruvananthapuram High Street</v>
      </c>
      <c r="Y2387" t="str">
        <f>IFERROR(INDEX(Stores!$E:$E,MATCH(E2387,Stores!$A:$A,0)),"Unknown")</f>
        <v>South Zone 1</v>
      </c>
      <c r="Z2387" t="str">
        <f>IFERROR(INDEX(Customers!$J:$J,MATCH(C2387,Customers!$A:$A,0)),"Unknown")</f>
        <v>Silver</v>
      </c>
      <c r="AA2387" t="str">
        <f t="shared" si="37"/>
        <v>2024-12</v>
      </c>
      <c r="AB2387" t="str">
        <f>IFERROR(INDEX(Products!$I:$I,MATCH(D2387,Products!$A:$A,0)),"Unknown")</f>
        <v>SUP084</v>
      </c>
    </row>
    <row r="2388" spans="1:28" x14ac:dyDescent="0.25">
      <c r="A2388" t="s">
        <v>4425</v>
      </c>
      <c r="B2388" s="20">
        <v>45396</v>
      </c>
      <c r="C2388" t="s">
        <v>390</v>
      </c>
      <c r="D2388" t="s">
        <v>1016</v>
      </c>
      <c r="E2388" t="s">
        <v>910</v>
      </c>
      <c r="F2388" t="s">
        <v>516</v>
      </c>
      <c r="G2388">
        <v>4</v>
      </c>
      <c r="H2388" s="21">
        <v>5887.26</v>
      </c>
      <c r="I2388">
        <v>25</v>
      </c>
      <c r="J2388" s="21">
        <v>5887.26</v>
      </c>
      <c r="K2388">
        <v>12</v>
      </c>
      <c r="L2388" s="21">
        <v>2119.41</v>
      </c>
      <c r="M2388" s="21">
        <v>19781.189999999999</v>
      </c>
      <c r="N2388" s="21">
        <v>14649.48</v>
      </c>
      <c r="O2388" s="21">
        <v>3012.3</v>
      </c>
      <c r="P2388" t="s">
        <v>126</v>
      </c>
      <c r="Q2388" t="s">
        <v>120</v>
      </c>
      <c r="R2388" t="s">
        <v>151</v>
      </c>
      <c r="S2388" t="s">
        <v>1319</v>
      </c>
      <c r="T2388" t="s">
        <v>161</v>
      </c>
      <c r="U2388" t="s">
        <v>154</v>
      </c>
      <c r="V2388" t="str">
        <f>IFERROR(INDEX(Products!$C:$C,MATCH(D2388,Products!$A:$A,0)),"Unknown")</f>
        <v>Watches</v>
      </c>
      <c r="W2388" t="str">
        <f>IFERROR(INDEX(Products!$E:$E,MATCH(D2388,Products!$A:$A,0)),"Unknown")</f>
        <v>Pantaloons</v>
      </c>
      <c r="X2388" t="str">
        <f>IFERROR(INDEX(Stores!$B:$B,MATCH(E2388,Stores!$A:$A,0)),"Unknown")</f>
        <v>TrendMart Karimnagar Standard</v>
      </c>
      <c r="Y2388" t="str">
        <f>IFERROR(INDEX(Stores!$E:$E,MATCH(E2388,Stores!$A:$A,0)),"Unknown")</f>
        <v>South Zone 2</v>
      </c>
      <c r="Z2388" t="str">
        <f>IFERROR(INDEX(Customers!$J:$J,MATCH(C2388,Customers!$A:$A,0)),"Unknown")</f>
        <v>Regular</v>
      </c>
      <c r="AA2388" t="str">
        <f t="shared" si="37"/>
        <v>2024-04</v>
      </c>
      <c r="AB2388" t="str">
        <f>IFERROR(INDEX(Products!$I:$I,MATCH(D2388,Products!$A:$A,0)),"Unknown")</f>
        <v>SUP007</v>
      </c>
    </row>
    <row r="2389" spans="1:28" x14ac:dyDescent="0.25">
      <c r="A2389" t="s">
        <v>4426</v>
      </c>
      <c r="B2389" s="20">
        <v>45711</v>
      </c>
      <c r="C2389" t="s">
        <v>1990</v>
      </c>
      <c r="D2389" t="s">
        <v>756</v>
      </c>
      <c r="E2389" t="s">
        <v>391</v>
      </c>
      <c r="F2389" t="s">
        <v>211</v>
      </c>
      <c r="G2389">
        <v>2</v>
      </c>
      <c r="H2389" s="21">
        <v>768.94</v>
      </c>
      <c r="I2389">
        <v>5</v>
      </c>
      <c r="J2389" s="21">
        <v>76.89</v>
      </c>
      <c r="K2389">
        <v>5</v>
      </c>
      <c r="L2389" s="21">
        <v>73.05</v>
      </c>
      <c r="M2389" s="21">
        <v>1534.04</v>
      </c>
      <c r="N2389" s="21">
        <v>1044.76</v>
      </c>
      <c r="O2389" s="21">
        <v>416.23</v>
      </c>
      <c r="P2389" t="s">
        <v>124</v>
      </c>
      <c r="Q2389" t="s">
        <v>120</v>
      </c>
      <c r="R2389" t="s">
        <v>151</v>
      </c>
      <c r="S2389" t="s">
        <v>1619</v>
      </c>
      <c r="T2389" t="s">
        <v>161</v>
      </c>
      <c r="U2389" t="s">
        <v>154</v>
      </c>
      <c r="V2389" t="str">
        <f>IFERROR(INDEX(Products!$C:$C,MATCH(D2389,Products!$A:$A,0)),"Unknown")</f>
        <v>Women Tops</v>
      </c>
      <c r="W2389" t="str">
        <f>IFERROR(INDEX(Products!$E:$E,MATCH(D2389,Products!$A:$A,0)),"Unknown")</f>
        <v>Peter England</v>
      </c>
      <c r="X2389" t="str">
        <f>IFERROR(INDEX(Stores!$B:$B,MATCH(E2389,Stores!$A:$A,0)),"Unknown")</f>
        <v>TrendMart Warangal High Street</v>
      </c>
      <c r="Y2389" t="str">
        <f>IFERROR(INDEX(Stores!$E:$E,MATCH(E2389,Stores!$A:$A,0)),"Unknown")</f>
        <v>South Zone 2</v>
      </c>
      <c r="Z2389" t="str">
        <f>IFERROR(INDEX(Customers!$J:$J,MATCH(C2389,Customers!$A:$A,0)),"Unknown")</f>
        <v>Silver</v>
      </c>
      <c r="AA2389" t="str">
        <f t="shared" si="37"/>
        <v>2025-02</v>
      </c>
      <c r="AB2389" t="str">
        <f>IFERROR(INDEX(Products!$I:$I,MATCH(D2389,Products!$A:$A,0)),"Unknown")</f>
        <v>SUP018</v>
      </c>
    </row>
    <row r="2390" spans="1:28" x14ac:dyDescent="0.25">
      <c r="A2390" t="s">
        <v>4427</v>
      </c>
      <c r="B2390" s="20">
        <v>45588</v>
      </c>
      <c r="C2390" t="s">
        <v>2667</v>
      </c>
      <c r="D2390" t="s">
        <v>1350</v>
      </c>
      <c r="E2390" t="s">
        <v>86</v>
      </c>
      <c r="F2390" t="s">
        <v>232</v>
      </c>
      <c r="G2390">
        <v>1</v>
      </c>
      <c r="H2390" s="21">
        <v>652.30999999999995</v>
      </c>
      <c r="I2390">
        <v>0</v>
      </c>
      <c r="J2390" s="21">
        <v>0</v>
      </c>
      <c r="K2390">
        <v>5</v>
      </c>
      <c r="L2390" s="21">
        <v>32.619999999999997</v>
      </c>
      <c r="M2390" s="21">
        <v>684.93</v>
      </c>
      <c r="N2390" s="21">
        <v>419.4</v>
      </c>
      <c r="O2390" s="21">
        <v>232.91</v>
      </c>
      <c r="P2390" t="s">
        <v>123</v>
      </c>
      <c r="Q2390" t="s">
        <v>122</v>
      </c>
      <c r="R2390" t="s">
        <v>151</v>
      </c>
      <c r="S2390" t="s">
        <v>517</v>
      </c>
      <c r="T2390" t="s">
        <v>153</v>
      </c>
      <c r="U2390" t="s">
        <v>154</v>
      </c>
      <c r="V2390" t="str">
        <f>IFERROR(INDEX(Products!$C:$C,MATCH(D2390,Products!$A:$A,0)),"Unknown")</f>
        <v>Women Tops</v>
      </c>
      <c r="W2390" t="str">
        <f>IFERROR(INDEX(Products!$E:$E,MATCH(D2390,Products!$A:$A,0)),"Unknown")</f>
        <v>Jack &amp; Jones</v>
      </c>
      <c r="X2390" t="str">
        <f>IFERROR(INDEX(Stores!$B:$B,MATCH(E2390,Stores!$A:$A,0)),"Unknown")</f>
        <v>TrendMart Warangal High Street</v>
      </c>
      <c r="Y2390" t="str">
        <f>IFERROR(INDEX(Stores!$E:$E,MATCH(E2390,Stores!$A:$A,0)),"Unknown")</f>
        <v>South Zone 2</v>
      </c>
      <c r="Z2390" t="str">
        <f>IFERROR(INDEX(Customers!$J:$J,MATCH(C2390,Customers!$A:$A,0)),"Unknown")</f>
        <v>Regular</v>
      </c>
      <c r="AA2390" t="str">
        <f t="shared" si="37"/>
        <v>2024-10</v>
      </c>
      <c r="AB2390" t="str">
        <f>IFERROR(INDEX(Products!$I:$I,MATCH(D2390,Products!$A:$A,0)),"Unknown")</f>
        <v>SUP089</v>
      </c>
    </row>
    <row r="2391" spans="1:28" x14ac:dyDescent="0.25">
      <c r="A2391" t="s">
        <v>4428</v>
      </c>
      <c r="B2391" s="20">
        <v>45558</v>
      </c>
      <c r="C2391" t="s">
        <v>2631</v>
      </c>
      <c r="D2391" t="s">
        <v>317</v>
      </c>
      <c r="E2391" t="s">
        <v>461</v>
      </c>
      <c r="F2391" t="s">
        <v>237</v>
      </c>
      <c r="G2391">
        <v>1</v>
      </c>
      <c r="H2391" s="21">
        <v>2189.9699999999998</v>
      </c>
      <c r="I2391">
        <v>0</v>
      </c>
      <c r="J2391" s="21">
        <v>0</v>
      </c>
      <c r="K2391">
        <v>12</v>
      </c>
      <c r="L2391" s="21">
        <v>262.8</v>
      </c>
      <c r="M2391" s="21">
        <v>2452.77</v>
      </c>
      <c r="N2391" s="21">
        <v>1461.73</v>
      </c>
      <c r="O2391" s="21">
        <v>728.24</v>
      </c>
      <c r="P2391" t="s">
        <v>121</v>
      </c>
      <c r="Q2391" t="s">
        <v>120</v>
      </c>
      <c r="R2391" t="s">
        <v>313</v>
      </c>
      <c r="S2391" t="s">
        <v>1424</v>
      </c>
      <c r="T2391" t="s">
        <v>153</v>
      </c>
      <c r="U2391" t="s">
        <v>154</v>
      </c>
      <c r="V2391" t="str">
        <f>IFERROR(INDEX(Products!$C:$C,MATCH(D2391,Products!$A:$A,0)),"Unknown")</f>
        <v>Handbags</v>
      </c>
      <c r="W2391" t="str">
        <f>IFERROR(INDEX(Products!$E:$E,MATCH(D2391,Products!$A:$A,0)),"Unknown")</f>
        <v>Titan</v>
      </c>
      <c r="X2391" t="str">
        <f>IFERROR(INDEX(Stores!$B:$B,MATCH(E2391,Stores!$A:$A,0)),"Unknown")</f>
        <v>TrendMart Visakhapatnam High Street</v>
      </c>
      <c r="Y2391" t="str">
        <f>IFERROR(INDEX(Stores!$E:$E,MATCH(E2391,Stores!$A:$A,0)),"Unknown")</f>
        <v>South Zone 3</v>
      </c>
      <c r="Z2391" t="str">
        <f>IFERROR(INDEX(Customers!$J:$J,MATCH(C2391,Customers!$A:$A,0)),"Unknown")</f>
        <v>Gold</v>
      </c>
      <c r="AA2391" t="str">
        <f t="shared" si="37"/>
        <v>2024-09</v>
      </c>
      <c r="AB2391" t="str">
        <f>IFERROR(INDEX(Products!$I:$I,MATCH(D2391,Products!$A:$A,0)),"Unknown")</f>
        <v>SUP027</v>
      </c>
    </row>
    <row r="2392" spans="1:28" x14ac:dyDescent="0.25">
      <c r="A2392" t="s">
        <v>4429</v>
      </c>
      <c r="B2392" s="20">
        <v>45657</v>
      </c>
      <c r="C2392" t="s">
        <v>2698</v>
      </c>
      <c r="D2392" t="s">
        <v>633</v>
      </c>
      <c r="E2392" t="s">
        <v>671</v>
      </c>
      <c r="F2392" t="s">
        <v>397</v>
      </c>
      <c r="G2392">
        <v>5</v>
      </c>
      <c r="H2392" s="21">
        <v>671.13</v>
      </c>
      <c r="I2392">
        <v>0</v>
      </c>
      <c r="J2392" s="21">
        <v>0</v>
      </c>
      <c r="K2392">
        <v>5</v>
      </c>
      <c r="L2392" s="21">
        <v>167.78</v>
      </c>
      <c r="M2392" s="21">
        <v>3523.43</v>
      </c>
      <c r="N2392" s="21">
        <v>2089.6</v>
      </c>
      <c r="O2392" s="21">
        <v>1266.05</v>
      </c>
      <c r="P2392" t="s">
        <v>124</v>
      </c>
      <c r="Q2392" t="s">
        <v>120</v>
      </c>
      <c r="R2392" t="s">
        <v>151</v>
      </c>
      <c r="S2392" t="s">
        <v>1416</v>
      </c>
      <c r="T2392" t="s">
        <v>153</v>
      </c>
      <c r="U2392" t="s">
        <v>154</v>
      </c>
      <c r="V2392" t="str">
        <f>IFERROR(INDEX(Products!$C:$C,MATCH(D2392,Products!$A:$A,0)),"Unknown")</f>
        <v>Men T-Shirts</v>
      </c>
      <c r="W2392" t="str">
        <f>IFERROR(INDEX(Products!$E:$E,MATCH(D2392,Products!$A:$A,0)),"Unknown")</f>
        <v>Reebok</v>
      </c>
      <c r="X2392" t="str">
        <f>IFERROR(INDEX(Stores!$B:$B,MATCH(E2392,Stores!$A:$A,0)),"Unknown")</f>
        <v>TrendMart Hyderabad Mall Kiosk</v>
      </c>
      <c r="Y2392" t="str">
        <f>IFERROR(INDEX(Stores!$E:$E,MATCH(E2392,Stores!$A:$A,0)),"Unknown")</f>
        <v>South Zone 2</v>
      </c>
      <c r="Z2392" t="str">
        <f>IFERROR(INDEX(Customers!$J:$J,MATCH(C2392,Customers!$A:$A,0)),"Unknown")</f>
        <v>Gold</v>
      </c>
      <c r="AA2392" t="str">
        <f t="shared" si="37"/>
        <v>2024-12</v>
      </c>
      <c r="AB2392" t="str">
        <f>IFERROR(INDEX(Products!$I:$I,MATCH(D2392,Products!$A:$A,0)),"Unknown")</f>
        <v>SUP046</v>
      </c>
    </row>
    <row r="2393" spans="1:28" x14ac:dyDescent="0.25">
      <c r="A2393" t="s">
        <v>4430</v>
      </c>
      <c r="B2393" s="20">
        <v>45613</v>
      </c>
      <c r="C2393" t="s">
        <v>916</v>
      </c>
      <c r="D2393" t="s">
        <v>2699</v>
      </c>
      <c r="E2393" t="s">
        <v>396</v>
      </c>
      <c r="F2393" t="s">
        <v>443</v>
      </c>
      <c r="G2393">
        <v>2</v>
      </c>
      <c r="H2393" s="21">
        <v>1218.46</v>
      </c>
      <c r="I2393">
        <v>5</v>
      </c>
      <c r="J2393" s="21">
        <v>121.85</v>
      </c>
      <c r="K2393">
        <v>12</v>
      </c>
      <c r="L2393" s="21">
        <v>277.81</v>
      </c>
      <c r="M2393" s="21">
        <v>2592.88</v>
      </c>
      <c r="N2393" s="21">
        <v>1719.88</v>
      </c>
      <c r="O2393" s="21">
        <v>595.19000000000005</v>
      </c>
      <c r="P2393" t="s">
        <v>126</v>
      </c>
      <c r="Q2393" t="s">
        <v>120</v>
      </c>
      <c r="R2393" t="s">
        <v>151</v>
      </c>
      <c r="S2393" t="s">
        <v>882</v>
      </c>
      <c r="T2393" t="s">
        <v>161</v>
      </c>
      <c r="U2393" t="s">
        <v>154</v>
      </c>
      <c r="V2393" t="str">
        <f>IFERROR(INDEX(Products!$C:$C,MATCH(D2393,Products!$A:$A,0)),"Unknown")</f>
        <v>Women Kurtis</v>
      </c>
      <c r="W2393" t="str">
        <f>IFERROR(INDEX(Products!$E:$E,MATCH(D2393,Products!$A:$A,0)),"Unknown")</f>
        <v>Liberty</v>
      </c>
      <c r="X2393" t="str">
        <f>IFERROR(INDEX(Stores!$B:$B,MATCH(E2393,Stores!$A:$A,0)),"Unknown")</f>
        <v>TrendMart Davanagere High Street</v>
      </c>
      <c r="Y2393" t="str">
        <f>IFERROR(INDEX(Stores!$E:$E,MATCH(E2393,Stores!$A:$A,0)),"Unknown")</f>
        <v>South Zone 2</v>
      </c>
      <c r="Z2393" t="str">
        <f>IFERROR(INDEX(Customers!$J:$J,MATCH(C2393,Customers!$A:$A,0)),"Unknown")</f>
        <v>Silver</v>
      </c>
      <c r="AA2393" t="str">
        <f t="shared" si="37"/>
        <v>2024-11</v>
      </c>
      <c r="AB2393" t="str">
        <f>IFERROR(INDEX(Products!$I:$I,MATCH(D2393,Products!$A:$A,0)),"Unknown")</f>
        <v>SUP003</v>
      </c>
    </row>
    <row r="2394" spans="1:28" x14ac:dyDescent="0.25">
      <c r="A2394" t="s">
        <v>4431</v>
      </c>
      <c r="B2394" s="20">
        <v>45718</v>
      </c>
      <c r="C2394" t="s">
        <v>1546</v>
      </c>
      <c r="D2394" t="s">
        <v>1407</v>
      </c>
      <c r="E2394" t="s">
        <v>1163</v>
      </c>
      <c r="F2394" t="s">
        <v>242</v>
      </c>
      <c r="G2394">
        <v>0</v>
      </c>
      <c r="H2394" s="21">
        <v>1320.34</v>
      </c>
      <c r="I2394">
        <v>25</v>
      </c>
      <c r="J2394" s="21">
        <v>0</v>
      </c>
      <c r="K2394">
        <v>12</v>
      </c>
      <c r="L2394" s="21">
        <v>0</v>
      </c>
      <c r="M2394" s="21">
        <v>0</v>
      </c>
      <c r="N2394" s="21">
        <v>0</v>
      </c>
      <c r="O2394" s="21">
        <v>0</v>
      </c>
      <c r="P2394" t="s">
        <v>121</v>
      </c>
      <c r="Q2394" t="s">
        <v>120</v>
      </c>
      <c r="R2394" t="s">
        <v>482</v>
      </c>
      <c r="S2394" t="s">
        <v>964</v>
      </c>
      <c r="T2394" t="s">
        <v>161</v>
      </c>
      <c r="U2394" t="s">
        <v>154</v>
      </c>
      <c r="V2394" t="str">
        <f>IFERROR(INDEX(Products!$C:$C,MATCH(D2394,Products!$A:$A,0)),"Unknown")</f>
        <v>Belts</v>
      </c>
      <c r="W2394" t="str">
        <f>IFERROR(INDEX(Products!$E:$E,MATCH(D2394,Products!$A:$A,0)),"Unknown")</f>
        <v>Pantaloons</v>
      </c>
      <c r="X2394" t="str">
        <f>IFERROR(INDEX(Stores!$B:$B,MATCH(E2394,Stores!$A:$A,0)),"Unknown")</f>
        <v>TrendMart Alappuzha Outlet</v>
      </c>
      <c r="Y2394" t="str">
        <f>IFERROR(INDEX(Stores!$E:$E,MATCH(E2394,Stores!$A:$A,0)),"Unknown")</f>
        <v>South Zone 1</v>
      </c>
      <c r="Z2394" t="str">
        <f>IFERROR(INDEX(Customers!$J:$J,MATCH(C2394,Customers!$A:$A,0)),"Unknown")</f>
        <v>Silver</v>
      </c>
      <c r="AA2394" t="str">
        <f t="shared" si="37"/>
        <v>2025-03</v>
      </c>
      <c r="AB2394" t="str">
        <f>IFERROR(INDEX(Products!$I:$I,MATCH(D2394,Products!$A:$A,0)),"Unknown")</f>
        <v>SUP030</v>
      </c>
    </row>
    <row r="2395" spans="1:28" x14ac:dyDescent="0.25">
      <c r="A2395" t="s">
        <v>4432</v>
      </c>
      <c r="B2395" s="20">
        <v>45625</v>
      </c>
      <c r="C2395" t="s">
        <v>3073</v>
      </c>
      <c r="D2395" t="s">
        <v>599</v>
      </c>
      <c r="E2395" t="s">
        <v>721</v>
      </c>
      <c r="F2395" t="s">
        <v>397</v>
      </c>
      <c r="G2395">
        <v>2</v>
      </c>
      <c r="H2395" s="21">
        <v>1018.92</v>
      </c>
      <c r="I2395">
        <v>0</v>
      </c>
      <c r="J2395" s="21">
        <v>0</v>
      </c>
      <c r="K2395">
        <v>12</v>
      </c>
      <c r="L2395" s="21">
        <v>244.54</v>
      </c>
      <c r="M2395" s="21">
        <v>2282.38</v>
      </c>
      <c r="N2395" s="21">
        <v>1291.18</v>
      </c>
      <c r="O2395" s="21">
        <v>746.66</v>
      </c>
      <c r="P2395" t="s">
        <v>121</v>
      </c>
      <c r="Q2395" t="s">
        <v>122</v>
      </c>
      <c r="R2395" t="s">
        <v>151</v>
      </c>
      <c r="S2395" t="s">
        <v>430</v>
      </c>
      <c r="T2395" t="s">
        <v>153</v>
      </c>
      <c r="U2395" t="s">
        <v>154</v>
      </c>
      <c r="V2395" t="str">
        <f>IFERROR(INDEX(Products!$C:$C,MATCH(D2395,Products!$A:$A,0)),"Unknown")</f>
        <v>Men Shirts</v>
      </c>
      <c r="W2395" t="str">
        <f>IFERROR(INDEX(Products!$E:$E,MATCH(D2395,Products!$A:$A,0)),"Unknown")</f>
        <v>Van Heusen</v>
      </c>
      <c r="X2395" t="str">
        <f>IFERROR(INDEX(Stores!$B:$B,MATCH(E2395,Stores!$A:$A,0)),"Unknown")</f>
        <v>TrendMart Kollam Flagship</v>
      </c>
      <c r="Y2395" t="str">
        <f>IFERROR(INDEX(Stores!$E:$E,MATCH(E2395,Stores!$A:$A,0)),"Unknown")</f>
        <v>South Zone 1</v>
      </c>
      <c r="Z2395" t="str">
        <f>IFERROR(INDEX(Customers!$J:$J,MATCH(C2395,Customers!$A:$A,0)),"Unknown")</f>
        <v>Regular</v>
      </c>
      <c r="AA2395" t="str">
        <f t="shared" si="37"/>
        <v>2024-11</v>
      </c>
      <c r="AB2395" t="str">
        <f>IFERROR(INDEX(Products!$I:$I,MATCH(D2395,Products!$A:$A,0)),"Unknown")</f>
        <v>SUP084</v>
      </c>
    </row>
    <row r="2396" spans="1:28" x14ac:dyDescent="0.25">
      <c r="A2396" t="s">
        <v>4433</v>
      </c>
      <c r="B2396" s="20">
        <v>45703</v>
      </c>
      <c r="C2396" t="s">
        <v>3136</v>
      </c>
      <c r="D2396" t="s">
        <v>2392</v>
      </c>
      <c r="E2396" t="s">
        <v>83</v>
      </c>
      <c r="F2396" t="s">
        <v>408</v>
      </c>
      <c r="G2396">
        <v>1</v>
      </c>
      <c r="H2396" s="21">
        <v>1197.9100000000001</v>
      </c>
      <c r="I2396">
        <v>5</v>
      </c>
      <c r="J2396" s="21">
        <v>59.9</v>
      </c>
      <c r="K2396">
        <v>12</v>
      </c>
      <c r="L2396" s="21">
        <v>136.56</v>
      </c>
      <c r="M2396" s="21">
        <v>1274.57</v>
      </c>
      <c r="N2396" s="21">
        <v>744</v>
      </c>
      <c r="O2396" s="21">
        <v>394.01</v>
      </c>
      <c r="P2396" t="s">
        <v>121</v>
      </c>
      <c r="Q2396" t="s">
        <v>120</v>
      </c>
      <c r="R2396" t="s">
        <v>151</v>
      </c>
      <c r="S2396" t="s">
        <v>2554</v>
      </c>
      <c r="T2396" t="s">
        <v>161</v>
      </c>
      <c r="U2396" t="s">
        <v>154</v>
      </c>
      <c r="V2396" t="str">
        <f>IFERROR(INDEX(Products!$C:$C,MATCH(D2396,Products!$A:$A,0)),"Unknown")</f>
        <v>Women Kurtis</v>
      </c>
      <c r="W2396" t="str">
        <f>IFERROR(INDEX(Products!$E:$E,MATCH(D2396,Products!$A:$A,0)),"Unknown")</f>
        <v>Reebok</v>
      </c>
      <c r="X2396" t="str">
        <f>IFERROR(INDEX(Stores!$B:$B,MATCH(E2396,Stores!$A:$A,0)),"Unknown")</f>
        <v>TrendMart Vellore Standard</v>
      </c>
      <c r="Y2396" t="str">
        <f>IFERROR(INDEX(Stores!$E:$E,MATCH(E2396,Stores!$A:$A,0)),"Unknown")</f>
        <v>South Zone 1</v>
      </c>
      <c r="Z2396" t="str">
        <f>IFERROR(INDEX(Customers!$J:$J,MATCH(C2396,Customers!$A:$A,0)),"Unknown")</f>
        <v>Regular</v>
      </c>
      <c r="AA2396" t="str">
        <f t="shared" si="37"/>
        <v>2025-02</v>
      </c>
      <c r="AB2396" t="str">
        <f>IFERROR(INDEX(Products!$I:$I,MATCH(D2396,Products!$A:$A,0)),"Unknown")</f>
        <v>SUP029</v>
      </c>
    </row>
    <row r="2397" spans="1:28" x14ac:dyDescent="0.25">
      <c r="A2397" t="s">
        <v>4434</v>
      </c>
      <c r="B2397" s="20">
        <v>45617</v>
      </c>
      <c r="C2397" t="s">
        <v>891</v>
      </c>
      <c r="D2397" t="s">
        <v>481</v>
      </c>
      <c r="E2397" t="s">
        <v>95</v>
      </c>
      <c r="F2397" t="s">
        <v>258</v>
      </c>
      <c r="G2397">
        <v>1</v>
      </c>
      <c r="H2397" s="21">
        <v>906.67</v>
      </c>
      <c r="I2397">
        <v>0</v>
      </c>
      <c r="J2397" s="21">
        <v>0</v>
      </c>
      <c r="K2397">
        <v>5</v>
      </c>
      <c r="L2397" s="21">
        <v>45.33</v>
      </c>
      <c r="M2397" s="21">
        <v>952</v>
      </c>
      <c r="N2397" s="21">
        <v>698.08</v>
      </c>
      <c r="O2397" s="21">
        <v>208.59</v>
      </c>
      <c r="P2397" t="s">
        <v>121</v>
      </c>
      <c r="Q2397" t="s">
        <v>120</v>
      </c>
      <c r="R2397" t="s">
        <v>151</v>
      </c>
      <c r="S2397" t="s">
        <v>1653</v>
      </c>
      <c r="T2397" t="s">
        <v>153</v>
      </c>
      <c r="U2397" t="s">
        <v>154</v>
      </c>
      <c r="V2397" t="str">
        <f>IFERROR(INDEX(Products!$C:$C,MATCH(D2397,Products!$A:$A,0)),"Unknown")</f>
        <v>Women Dresses</v>
      </c>
      <c r="W2397" t="str">
        <f>IFERROR(INDEX(Products!$E:$E,MATCH(D2397,Products!$A:$A,0)),"Unknown")</f>
        <v>Jack &amp; Jones</v>
      </c>
      <c r="X2397" t="str">
        <f>IFERROR(INDEX(Stores!$B:$B,MATCH(E2397,Stores!$A:$A,0)),"Unknown")</f>
        <v>TrendMart Thrissur Standard</v>
      </c>
      <c r="Y2397" t="str">
        <f>IFERROR(INDEX(Stores!$E:$E,MATCH(E2397,Stores!$A:$A,0)),"Unknown")</f>
        <v>South Zone 1</v>
      </c>
      <c r="Z2397" t="str">
        <f>IFERROR(INDEX(Customers!$J:$J,MATCH(C2397,Customers!$A:$A,0)),"Unknown")</f>
        <v>Regular</v>
      </c>
      <c r="AA2397" t="str">
        <f t="shared" si="37"/>
        <v>2024-11</v>
      </c>
      <c r="AB2397" t="str">
        <f>IFERROR(INDEX(Products!$I:$I,MATCH(D2397,Products!$A:$A,0)),"Unknown")</f>
        <v>SUP069</v>
      </c>
    </row>
    <row r="2398" spans="1:28" x14ac:dyDescent="0.25">
      <c r="A2398" t="s">
        <v>4435</v>
      </c>
      <c r="B2398" s="20">
        <v>45507</v>
      </c>
      <c r="C2398" t="s">
        <v>1077</v>
      </c>
      <c r="D2398" t="s">
        <v>1564</v>
      </c>
      <c r="E2398" t="s">
        <v>1002</v>
      </c>
      <c r="F2398" t="s">
        <v>281</v>
      </c>
      <c r="G2398">
        <v>1</v>
      </c>
      <c r="H2398" s="21">
        <v>1010.2</v>
      </c>
      <c r="I2398">
        <v>25</v>
      </c>
      <c r="J2398" s="21">
        <v>252.55</v>
      </c>
      <c r="K2398">
        <v>12</v>
      </c>
      <c r="L2398" s="21">
        <v>90.92</v>
      </c>
      <c r="M2398" s="21">
        <v>848.57</v>
      </c>
      <c r="N2398" s="21">
        <v>695.67</v>
      </c>
      <c r="O2398" s="21">
        <v>61.98</v>
      </c>
      <c r="P2398" t="s">
        <v>123</v>
      </c>
      <c r="Q2398" t="s">
        <v>120</v>
      </c>
      <c r="R2398" t="s">
        <v>151</v>
      </c>
      <c r="S2398" t="s">
        <v>2285</v>
      </c>
      <c r="T2398" t="s">
        <v>161</v>
      </c>
      <c r="U2398" t="s">
        <v>154</v>
      </c>
      <c r="V2398" t="str">
        <f>IFERROR(INDEX(Products!$C:$C,MATCH(D2398,Products!$A:$A,0)),"Unknown")</f>
        <v>Handbags</v>
      </c>
      <c r="W2398" t="str">
        <f>IFERROR(INDEX(Products!$E:$E,MATCH(D2398,Products!$A:$A,0)),"Unknown")</f>
        <v>W for Woman</v>
      </c>
      <c r="X2398" t="str">
        <f>IFERROR(INDEX(Stores!$B:$B,MATCH(E2398,Stores!$A:$A,0)),"Unknown")</f>
        <v>TrendMart Coimbatore Mall Kiosk</v>
      </c>
      <c r="Y2398" t="str">
        <f>IFERROR(INDEX(Stores!$E:$E,MATCH(E2398,Stores!$A:$A,0)),"Unknown")</f>
        <v>South Zone 1</v>
      </c>
      <c r="Z2398" t="str">
        <f>IFERROR(INDEX(Customers!$J:$J,MATCH(C2398,Customers!$A:$A,0)),"Unknown")</f>
        <v>Gold</v>
      </c>
      <c r="AA2398" t="str">
        <f t="shared" si="37"/>
        <v>2024-08</v>
      </c>
      <c r="AB2398" t="str">
        <f>IFERROR(INDEX(Products!$I:$I,MATCH(D2398,Products!$A:$A,0)),"Unknown")</f>
        <v>SUP011</v>
      </c>
    </row>
    <row r="2399" spans="1:28" x14ac:dyDescent="0.25">
      <c r="A2399" t="s">
        <v>4436</v>
      </c>
      <c r="B2399" s="20">
        <v>45581</v>
      </c>
      <c r="C2399" t="s">
        <v>441</v>
      </c>
      <c r="D2399" t="s">
        <v>763</v>
      </c>
      <c r="E2399" t="s">
        <v>815</v>
      </c>
      <c r="F2399" t="s">
        <v>269</v>
      </c>
      <c r="G2399">
        <v>1</v>
      </c>
      <c r="H2399" s="21">
        <v>1083.53</v>
      </c>
      <c r="I2399">
        <v>10</v>
      </c>
      <c r="J2399" s="21">
        <v>108.35</v>
      </c>
      <c r="K2399">
        <v>12</v>
      </c>
      <c r="L2399" s="21">
        <v>117.02</v>
      </c>
      <c r="M2399" s="21">
        <v>1092.2</v>
      </c>
      <c r="N2399" s="21">
        <v>815.46</v>
      </c>
      <c r="O2399" s="21">
        <v>159.72</v>
      </c>
      <c r="P2399" t="s">
        <v>121</v>
      </c>
      <c r="Q2399" t="s">
        <v>120</v>
      </c>
      <c r="R2399" t="s">
        <v>151</v>
      </c>
      <c r="S2399" t="s">
        <v>1492</v>
      </c>
      <c r="T2399" t="s">
        <v>153</v>
      </c>
      <c r="U2399" t="s">
        <v>154</v>
      </c>
      <c r="V2399" t="str">
        <f>IFERROR(INDEX(Products!$C:$C,MATCH(D2399,Products!$A:$A,0)),"Unknown")</f>
        <v>Watches</v>
      </c>
      <c r="W2399" t="str">
        <f>IFERROR(INDEX(Products!$E:$E,MATCH(D2399,Products!$A:$A,0)),"Unknown")</f>
        <v>Libas</v>
      </c>
      <c r="X2399" t="str">
        <f>IFERROR(INDEX(Stores!$B:$B,MATCH(E2399,Stores!$A:$A,0)),"Unknown")</f>
        <v>TrendMart Madurai Mall Kiosk</v>
      </c>
      <c r="Y2399" t="str">
        <f>IFERROR(INDEX(Stores!$E:$E,MATCH(E2399,Stores!$A:$A,0)),"Unknown")</f>
        <v>South Zone 1</v>
      </c>
      <c r="Z2399" t="str">
        <f>IFERROR(INDEX(Customers!$J:$J,MATCH(C2399,Customers!$A:$A,0)),"Unknown")</f>
        <v>Gold</v>
      </c>
      <c r="AA2399" t="str">
        <f t="shared" si="37"/>
        <v>2024-10</v>
      </c>
      <c r="AB2399" t="str">
        <f>IFERROR(INDEX(Products!$I:$I,MATCH(D2399,Products!$A:$A,0)),"Unknown")</f>
        <v>SUP047</v>
      </c>
    </row>
    <row r="2400" spans="1:28" x14ac:dyDescent="0.25">
      <c r="A2400" t="s">
        <v>4437</v>
      </c>
      <c r="B2400" s="20">
        <v>45692</v>
      </c>
      <c r="C2400" t="s">
        <v>2683</v>
      </c>
      <c r="D2400" t="s">
        <v>2618</v>
      </c>
      <c r="E2400" t="s">
        <v>721</v>
      </c>
      <c r="F2400" t="s">
        <v>211</v>
      </c>
      <c r="G2400">
        <v>1</v>
      </c>
      <c r="H2400" s="21">
        <v>1179.51</v>
      </c>
      <c r="I2400">
        <v>20</v>
      </c>
      <c r="J2400" s="21">
        <v>235.9</v>
      </c>
      <c r="K2400">
        <v>12</v>
      </c>
      <c r="L2400" s="21">
        <v>113.23</v>
      </c>
      <c r="M2400" s="21">
        <v>1056.8399999999999</v>
      </c>
      <c r="N2400" s="21">
        <v>795.4</v>
      </c>
      <c r="O2400" s="21">
        <v>148.21</v>
      </c>
      <c r="P2400" t="s">
        <v>124</v>
      </c>
      <c r="Q2400" t="s">
        <v>120</v>
      </c>
      <c r="R2400" t="s">
        <v>151</v>
      </c>
      <c r="S2400" t="s">
        <v>1898</v>
      </c>
      <c r="T2400" t="s">
        <v>153</v>
      </c>
      <c r="U2400" t="s">
        <v>154</v>
      </c>
      <c r="V2400" t="str">
        <f>IFERROR(INDEX(Products!$C:$C,MATCH(D2400,Products!$A:$A,0)),"Unknown")</f>
        <v>Men Trousers</v>
      </c>
      <c r="W2400" t="str">
        <f>IFERROR(INDEX(Products!$E:$E,MATCH(D2400,Products!$A:$A,0)),"Unknown")</f>
        <v>Titan</v>
      </c>
      <c r="X2400" t="str">
        <f>IFERROR(INDEX(Stores!$B:$B,MATCH(E2400,Stores!$A:$A,0)),"Unknown")</f>
        <v>TrendMart Kollam Flagship</v>
      </c>
      <c r="Y2400" t="str">
        <f>IFERROR(INDEX(Stores!$E:$E,MATCH(E2400,Stores!$A:$A,0)),"Unknown")</f>
        <v>South Zone 1</v>
      </c>
      <c r="Z2400" t="str">
        <f>IFERROR(INDEX(Customers!$J:$J,MATCH(C2400,Customers!$A:$A,0)),"Unknown")</f>
        <v>Silver</v>
      </c>
      <c r="AA2400" t="str">
        <f t="shared" si="37"/>
        <v>2025-02</v>
      </c>
      <c r="AB2400" t="str">
        <f>IFERROR(INDEX(Products!$I:$I,MATCH(D2400,Products!$A:$A,0)),"Unknown")</f>
        <v>SUP074</v>
      </c>
    </row>
    <row r="2401" spans="1:28" x14ac:dyDescent="0.25">
      <c r="A2401" t="s">
        <v>4438</v>
      </c>
      <c r="B2401" s="20">
        <v>45422</v>
      </c>
      <c r="C2401" t="s">
        <v>1147</v>
      </c>
      <c r="D2401" t="s">
        <v>827</v>
      </c>
      <c r="E2401" t="s">
        <v>831</v>
      </c>
      <c r="F2401" t="s">
        <v>221</v>
      </c>
      <c r="G2401">
        <v>3</v>
      </c>
      <c r="H2401" s="21">
        <v>772.02</v>
      </c>
      <c r="I2401">
        <v>10</v>
      </c>
      <c r="J2401" s="21">
        <v>231.61</v>
      </c>
      <c r="K2401">
        <v>5</v>
      </c>
      <c r="L2401" s="21">
        <v>104.22</v>
      </c>
      <c r="M2401" s="21">
        <v>2188.67</v>
      </c>
      <c r="N2401" s="21">
        <v>1677.75</v>
      </c>
      <c r="O2401" s="21">
        <v>406.7</v>
      </c>
      <c r="P2401" t="s">
        <v>121</v>
      </c>
      <c r="Q2401" t="s">
        <v>120</v>
      </c>
      <c r="R2401" t="s">
        <v>151</v>
      </c>
      <c r="S2401" t="s">
        <v>2502</v>
      </c>
      <c r="T2401" t="s">
        <v>153</v>
      </c>
      <c r="U2401" t="s">
        <v>154</v>
      </c>
      <c r="V2401" t="str">
        <f>IFERROR(INDEX(Products!$C:$C,MATCH(D2401,Products!$A:$A,0)),"Unknown")</f>
        <v>Sportswear</v>
      </c>
      <c r="W2401" t="str">
        <f>IFERROR(INDEX(Products!$E:$E,MATCH(D2401,Products!$A:$A,0)),"Unknown")</f>
        <v>Max Fashion</v>
      </c>
      <c r="X2401" t="str">
        <f>IFERROR(INDEX(Stores!$B:$B,MATCH(E2401,Stores!$A:$A,0)),"Unknown")</f>
        <v>TrendMart Vellore Standard</v>
      </c>
      <c r="Y2401" t="str">
        <f>IFERROR(INDEX(Stores!$E:$E,MATCH(E2401,Stores!$A:$A,0)),"Unknown")</f>
        <v>South Zone 1</v>
      </c>
      <c r="Z2401" t="str">
        <f>IFERROR(INDEX(Customers!$J:$J,MATCH(C2401,Customers!$A:$A,0)),"Unknown")</f>
        <v>Gold</v>
      </c>
      <c r="AA2401" t="str">
        <f t="shared" si="37"/>
        <v>2024-05</v>
      </c>
      <c r="AB2401" t="str">
        <f>IFERROR(INDEX(Products!$I:$I,MATCH(D2401,Products!$A:$A,0)),"Unknown")</f>
        <v>SUP043</v>
      </c>
    </row>
    <row r="2402" spans="1:28" x14ac:dyDescent="0.25">
      <c r="A2402" t="s">
        <v>4439</v>
      </c>
      <c r="B2402" s="20">
        <v>45610</v>
      </c>
      <c r="C2402" t="s">
        <v>2029</v>
      </c>
      <c r="D2402" t="s">
        <v>968</v>
      </c>
      <c r="E2402" t="s">
        <v>247</v>
      </c>
      <c r="F2402" t="s">
        <v>165</v>
      </c>
      <c r="G2402">
        <v>3</v>
      </c>
      <c r="H2402" s="21">
        <v>573.91</v>
      </c>
      <c r="I2402">
        <v>10</v>
      </c>
      <c r="J2402" s="21">
        <v>172.17</v>
      </c>
      <c r="K2402">
        <v>5</v>
      </c>
      <c r="L2402" s="21">
        <v>77.48</v>
      </c>
      <c r="M2402" s="21">
        <v>1627.04</v>
      </c>
      <c r="N2402" s="21">
        <v>910.83</v>
      </c>
      <c r="O2402" s="21">
        <v>638.73</v>
      </c>
      <c r="P2402" t="s">
        <v>123</v>
      </c>
      <c r="Q2402" t="s">
        <v>122</v>
      </c>
      <c r="R2402" t="s">
        <v>151</v>
      </c>
      <c r="S2402" t="s">
        <v>879</v>
      </c>
      <c r="T2402" t="s">
        <v>153</v>
      </c>
      <c r="U2402" t="s">
        <v>154</v>
      </c>
      <c r="V2402" t="str">
        <f>IFERROR(INDEX(Products!$C:$C,MATCH(D2402,Products!$A:$A,0)),"Unknown")</f>
        <v>Accessories</v>
      </c>
      <c r="W2402" t="str">
        <f>IFERROR(INDEX(Products!$E:$E,MATCH(D2402,Products!$A:$A,0)),"Unknown")</f>
        <v>Blackberrys</v>
      </c>
      <c r="X2402" t="str">
        <f>IFERROR(INDEX(Stores!$B:$B,MATCH(E2402,Stores!$A:$A,0)),"Unknown")</f>
        <v>TrendMart Tirupati Outlet</v>
      </c>
      <c r="Y2402" t="str">
        <f>IFERROR(INDEX(Stores!$E:$E,MATCH(E2402,Stores!$A:$A,0)),"Unknown")</f>
        <v>South Zone 3</v>
      </c>
      <c r="Z2402" t="str">
        <f>IFERROR(INDEX(Customers!$J:$J,MATCH(C2402,Customers!$A:$A,0)),"Unknown")</f>
        <v>Regular</v>
      </c>
      <c r="AA2402" t="str">
        <f t="shared" si="37"/>
        <v>2024-11</v>
      </c>
      <c r="AB2402" t="str">
        <f>IFERROR(INDEX(Products!$I:$I,MATCH(D2402,Products!$A:$A,0)),"Unknown")</f>
        <v>SUP048</v>
      </c>
    </row>
    <row r="2403" spans="1:28" x14ac:dyDescent="0.25">
      <c r="A2403" t="s">
        <v>4440</v>
      </c>
      <c r="B2403" s="20">
        <v>45703</v>
      </c>
      <c r="C2403" t="s">
        <v>1967</v>
      </c>
      <c r="D2403" t="s">
        <v>359</v>
      </c>
      <c r="E2403" t="s">
        <v>262</v>
      </c>
      <c r="F2403" t="s">
        <v>281</v>
      </c>
      <c r="G2403">
        <v>2</v>
      </c>
      <c r="H2403" s="21">
        <v>2722.76</v>
      </c>
      <c r="I2403">
        <v>0</v>
      </c>
      <c r="J2403" s="21">
        <v>0</v>
      </c>
      <c r="K2403">
        <v>12</v>
      </c>
      <c r="L2403" s="21">
        <v>653.46</v>
      </c>
      <c r="M2403" s="21">
        <v>6098.98</v>
      </c>
      <c r="N2403" s="21">
        <v>3608.74</v>
      </c>
      <c r="O2403" s="21">
        <v>1836.78</v>
      </c>
      <c r="P2403" t="s">
        <v>124</v>
      </c>
      <c r="Q2403" t="s">
        <v>120</v>
      </c>
      <c r="R2403" t="s">
        <v>151</v>
      </c>
      <c r="S2403" t="s">
        <v>1505</v>
      </c>
      <c r="T2403" t="s">
        <v>161</v>
      </c>
      <c r="U2403" t="s">
        <v>154</v>
      </c>
      <c r="V2403" t="str">
        <f>IFERROR(INDEX(Products!$C:$C,MATCH(D2403,Products!$A:$A,0)),"Unknown")</f>
        <v>Men Ethnic</v>
      </c>
      <c r="W2403" t="str">
        <f>IFERROR(INDEX(Products!$E:$E,MATCH(D2403,Products!$A:$A,0)),"Unknown")</f>
        <v>US Polo Assn</v>
      </c>
      <c r="X2403" t="str">
        <f>IFERROR(INDEX(Stores!$B:$B,MATCH(E2403,Stores!$A:$A,0)),"Unknown")</f>
        <v>TrendMart Thoothukudi Outlet</v>
      </c>
      <c r="Y2403" t="str">
        <f>IFERROR(INDEX(Stores!$E:$E,MATCH(E2403,Stores!$A:$A,0)),"Unknown")</f>
        <v>South Zone 1</v>
      </c>
      <c r="Z2403" t="str">
        <f>IFERROR(INDEX(Customers!$J:$J,MATCH(C2403,Customers!$A:$A,0)),"Unknown")</f>
        <v>Gold</v>
      </c>
      <c r="AA2403" t="str">
        <f t="shared" si="37"/>
        <v>2025-02</v>
      </c>
      <c r="AB2403" t="str">
        <f>IFERROR(INDEX(Products!$I:$I,MATCH(D2403,Products!$A:$A,0)),"Unknown")</f>
        <v>SUP036</v>
      </c>
    </row>
    <row r="2404" spans="1:28" x14ac:dyDescent="0.25">
      <c r="A2404" t="s">
        <v>4441</v>
      </c>
      <c r="B2404" s="20">
        <v>45572</v>
      </c>
      <c r="C2404" t="s">
        <v>497</v>
      </c>
      <c r="D2404" t="s">
        <v>1312</v>
      </c>
      <c r="E2404" t="s">
        <v>82</v>
      </c>
      <c r="F2404" t="s">
        <v>382</v>
      </c>
      <c r="G2404">
        <v>4</v>
      </c>
      <c r="H2404" s="21">
        <v>1032.71</v>
      </c>
      <c r="I2404">
        <v>0</v>
      </c>
      <c r="J2404" s="21">
        <v>0</v>
      </c>
      <c r="K2404">
        <v>12</v>
      </c>
      <c r="L2404" s="21">
        <v>495.7</v>
      </c>
      <c r="M2404" s="21">
        <v>4626.54</v>
      </c>
      <c r="N2404" s="21">
        <v>3068.44</v>
      </c>
      <c r="O2404" s="21">
        <v>1062.4000000000001</v>
      </c>
      <c r="P2404" t="s">
        <v>123</v>
      </c>
      <c r="Q2404" t="s">
        <v>122</v>
      </c>
      <c r="R2404" t="s">
        <v>151</v>
      </c>
      <c r="S2404" t="s">
        <v>2025</v>
      </c>
      <c r="T2404" t="s">
        <v>153</v>
      </c>
      <c r="U2404" t="s">
        <v>154</v>
      </c>
      <c r="V2404" t="str">
        <f>IFERROR(INDEX(Products!$C:$C,MATCH(D2404,Products!$A:$A,0)),"Unknown")</f>
        <v>Women Kurtis</v>
      </c>
      <c r="W2404" t="str">
        <f>IFERROR(INDEX(Products!$E:$E,MATCH(D2404,Products!$A:$A,0)),"Unknown")</f>
        <v>Louis Philippe</v>
      </c>
      <c r="X2404" t="str">
        <f>IFERROR(INDEX(Stores!$B:$B,MATCH(E2404,Stores!$A:$A,0)),"Unknown")</f>
        <v>TrendMart Kochi High Street</v>
      </c>
      <c r="Y2404" t="str">
        <f>IFERROR(INDEX(Stores!$E:$E,MATCH(E2404,Stores!$A:$A,0)),"Unknown")</f>
        <v>South Zone 1</v>
      </c>
      <c r="Z2404" t="str">
        <f>IFERROR(INDEX(Customers!$J:$J,MATCH(C2404,Customers!$A:$A,0)),"Unknown")</f>
        <v>Silver</v>
      </c>
      <c r="AA2404" t="str">
        <f t="shared" si="37"/>
        <v>2024-10</v>
      </c>
      <c r="AB2404" t="str">
        <f>IFERROR(INDEX(Products!$I:$I,MATCH(D2404,Products!$A:$A,0)),"Unknown")</f>
        <v>SUP010</v>
      </c>
    </row>
    <row r="2405" spans="1:28" x14ac:dyDescent="0.25">
      <c r="A2405" t="s">
        <v>4442</v>
      </c>
      <c r="B2405" s="20">
        <v>45595</v>
      </c>
      <c r="C2405" t="s">
        <v>3009</v>
      </c>
      <c r="D2405" t="s">
        <v>993</v>
      </c>
      <c r="E2405" t="s">
        <v>537</v>
      </c>
      <c r="F2405" t="s">
        <v>159</v>
      </c>
      <c r="G2405">
        <v>2</v>
      </c>
      <c r="H2405" s="21">
        <v>979.4</v>
      </c>
      <c r="I2405">
        <v>30</v>
      </c>
      <c r="J2405" s="21">
        <v>587.64</v>
      </c>
      <c r="K2405">
        <v>5</v>
      </c>
      <c r="L2405" s="21">
        <v>68.56</v>
      </c>
      <c r="M2405" s="21">
        <v>1439.72</v>
      </c>
      <c r="N2405" s="21">
        <v>1442.58</v>
      </c>
      <c r="O2405" s="21">
        <v>-71.42</v>
      </c>
      <c r="P2405" t="s">
        <v>125</v>
      </c>
      <c r="Q2405" t="s">
        <v>120</v>
      </c>
      <c r="R2405" t="s">
        <v>151</v>
      </c>
      <c r="S2405" t="s">
        <v>2964</v>
      </c>
      <c r="T2405" t="s">
        <v>153</v>
      </c>
      <c r="U2405" t="s">
        <v>184</v>
      </c>
      <c r="V2405" t="str">
        <f>IFERROR(INDEX(Products!$C:$C,MATCH(D2405,Products!$A:$A,0)),"Unknown")</f>
        <v>Men Jeans</v>
      </c>
      <c r="W2405" t="str">
        <f>IFERROR(INDEX(Products!$E:$E,MATCH(D2405,Products!$A:$A,0)),"Unknown")</f>
        <v>Louis Philippe</v>
      </c>
      <c r="X2405" t="str">
        <f>IFERROR(INDEX(Stores!$B:$B,MATCH(E2405,Stores!$A:$A,0)),"Unknown")</f>
        <v>TrendMart Thrissur High Street</v>
      </c>
      <c r="Y2405" t="str">
        <f>IFERROR(INDEX(Stores!$E:$E,MATCH(E2405,Stores!$A:$A,0)),"Unknown")</f>
        <v>South Zone 1</v>
      </c>
      <c r="Z2405" t="str">
        <f>IFERROR(INDEX(Customers!$J:$J,MATCH(C2405,Customers!$A:$A,0)),"Unknown")</f>
        <v>Regular</v>
      </c>
      <c r="AA2405" t="str">
        <f t="shared" si="37"/>
        <v>2024-10</v>
      </c>
      <c r="AB2405" t="str">
        <f>IFERROR(INDEX(Products!$I:$I,MATCH(D2405,Products!$A:$A,0)),"Unknown")</f>
        <v>SUP088</v>
      </c>
    </row>
    <row r="2406" spans="1:28" x14ac:dyDescent="0.25">
      <c r="A2406" t="s">
        <v>4443</v>
      </c>
      <c r="B2406" s="20">
        <v>45571</v>
      </c>
      <c r="C2406" t="s">
        <v>3100</v>
      </c>
      <c r="D2406" t="s">
        <v>1616</v>
      </c>
      <c r="E2406" t="s">
        <v>368</v>
      </c>
      <c r="F2406" t="s">
        <v>550</v>
      </c>
      <c r="G2406">
        <v>1</v>
      </c>
      <c r="H2406" s="21">
        <v>5212.91</v>
      </c>
      <c r="I2406">
        <v>20</v>
      </c>
      <c r="J2406" s="21">
        <v>1042.58</v>
      </c>
      <c r="K2406">
        <v>12</v>
      </c>
      <c r="L2406" s="21">
        <v>500.44</v>
      </c>
      <c r="M2406" s="21">
        <v>4670.7700000000004</v>
      </c>
      <c r="N2406" s="21">
        <v>3023.13</v>
      </c>
      <c r="O2406" s="21">
        <v>1147.2</v>
      </c>
      <c r="P2406" t="s">
        <v>126</v>
      </c>
      <c r="Q2406" t="s">
        <v>120</v>
      </c>
      <c r="R2406" t="s">
        <v>151</v>
      </c>
      <c r="S2406" t="s">
        <v>807</v>
      </c>
      <c r="T2406" t="s">
        <v>161</v>
      </c>
      <c r="U2406" t="s">
        <v>154</v>
      </c>
      <c r="V2406" t="str">
        <f>IFERROR(INDEX(Products!$C:$C,MATCH(D2406,Products!$A:$A,0)),"Unknown")</f>
        <v>Women Sarees</v>
      </c>
      <c r="W2406" t="str">
        <f>IFERROR(INDEX(Products!$E:$E,MATCH(D2406,Products!$A:$A,0)),"Unknown")</f>
        <v>Max Fashion</v>
      </c>
      <c r="X2406" t="str">
        <f>IFERROR(INDEX(Stores!$B:$B,MATCH(E2406,Stores!$A:$A,0)),"Unknown")</f>
        <v>TrendMart Alappuzha Outlet</v>
      </c>
      <c r="Y2406" t="str">
        <f>IFERROR(INDEX(Stores!$E:$E,MATCH(E2406,Stores!$A:$A,0)),"Unknown")</f>
        <v>South Zone 1</v>
      </c>
      <c r="Z2406" t="str">
        <f>IFERROR(INDEX(Customers!$J:$J,MATCH(C2406,Customers!$A:$A,0)),"Unknown")</f>
        <v>Silver</v>
      </c>
      <c r="AA2406" t="str">
        <f t="shared" si="37"/>
        <v>2024-10</v>
      </c>
      <c r="AB2406" t="str">
        <f>IFERROR(INDEX(Products!$I:$I,MATCH(D2406,Products!$A:$A,0)),"Unknown")</f>
        <v>SUP047</v>
      </c>
    </row>
    <row r="2407" spans="1:28" x14ac:dyDescent="0.25">
      <c r="A2407" t="s">
        <v>4444</v>
      </c>
      <c r="B2407" s="20">
        <v>45511</v>
      </c>
      <c r="C2407" t="s">
        <v>4059</v>
      </c>
      <c r="D2407" t="s">
        <v>424</v>
      </c>
      <c r="E2407" t="s">
        <v>89</v>
      </c>
      <c r="F2407" t="s">
        <v>221</v>
      </c>
      <c r="G2407">
        <v>4</v>
      </c>
      <c r="H2407" s="21">
        <v>327.74</v>
      </c>
      <c r="I2407">
        <v>20</v>
      </c>
      <c r="J2407" s="21">
        <v>262.19</v>
      </c>
      <c r="K2407">
        <v>5</v>
      </c>
      <c r="L2407" s="21">
        <v>52.44</v>
      </c>
      <c r="M2407" s="21">
        <v>1101.21</v>
      </c>
      <c r="N2407" s="21">
        <v>1016.6</v>
      </c>
      <c r="O2407" s="21">
        <v>32.17</v>
      </c>
      <c r="P2407" t="s">
        <v>125</v>
      </c>
      <c r="Q2407" t="s">
        <v>122</v>
      </c>
      <c r="R2407" t="s">
        <v>151</v>
      </c>
      <c r="S2407" t="s">
        <v>722</v>
      </c>
      <c r="T2407" t="s">
        <v>153</v>
      </c>
      <c r="U2407" t="s">
        <v>154</v>
      </c>
      <c r="V2407" t="str">
        <f>IFERROR(INDEX(Products!$C:$C,MATCH(D2407,Products!$A:$A,0)),"Unknown")</f>
        <v>Belts</v>
      </c>
      <c r="W2407" t="str">
        <f>IFERROR(INDEX(Products!$E:$E,MATCH(D2407,Products!$A:$A,0)),"Unknown")</f>
        <v>Raymond</v>
      </c>
      <c r="X2407" t="str">
        <f>IFERROR(INDEX(Stores!$B:$B,MATCH(E2407,Stores!$A:$A,0)),"Unknown")</f>
        <v>TrendMart Kochi Standard</v>
      </c>
      <c r="Y2407" t="str">
        <f>IFERROR(INDEX(Stores!$E:$E,MATCH(E2407,Stores!$A:$A,0)),"Unknown")</f>
        <v>South Zone 1</v>
      </c>
      <c r="Z2407" t="str">
        <f>IFERROR(INDEX(Customers!$J:$J,MATCH(C2407,Customers!$A:$A,0)),"Unknown")</f>
        <v>Silver</v>
      </c>
      <c r="AA2407" t="str">
        <f t="shared" si="37"/>
        <v>2024-08</v>
      </c>
      <c r="AB2407" t="str">
        <f>IFERROR(INDEX(Products!$I:$I,MATCH(D2407,Products!$A:$A,0)),"Unknown")</f>
        <v>SUP002</v>
      </c>
    </row>
    <row r="2408" spans="1:28" x14ac:dyDescent="0.25">
      <c r="A2408" t="s">
        <v>4445</v>
      </c>
      <c r="B2408" s="20">
        <v>45395</v>
      </c>
      <c r="C2408" t="s">
        <v>1718</v>
      </c>
      <c r="D2408" t="s">
        <v>801</v>
      </c>
      <c r="E2408" t="s">
        <v>1325</v>
      </c>
      <c r="F2408" t="s">
        <v>516</v>
      </c>
      <c r="G2408">
        <v>1</v>
      </c>
      <c r="H2408" s="21">
        <v>687.24</v>
      </c>
      <c r="I2408">
        <v>30</v>
      </c>
      <c r="J2408" s="21">
        <v>206.17</v>
      </c>
      <c r="K2408">
        <v>5</v>
      </c>
      <c r="L2408" s="21">
        <v>24.05</v>
      </c>
      <c r="M2408" s="21">
        <v>505.12</v>
      </c>
      <c r="N2408" s="21">
        <v>424.76</v>
      </c>
      <c r="O2408" s="21">
        <v>56.31</v>
      </c>
      <c r="P2408" t="s">
        <v>124</v>
      </c>
      <c r="Q2408" t="s">
        <v>122</v>
      </c>
      <c r="R2408" t="s">
        <v>151</v>
      </c>
      <c r="S2408" t="s">
        <v>3041</v>
      </c>
      <c r="T2408" t="s">
        <v>161</v>
      </c>
      <c r="U2408" t="s">
        <v>154</v>
      </c>
      <c r="V2408" t="str">
        <f>IFERROR(INDEX(Products!$C:$C,MATCH(D2408,Products!$A:$A,0)),"Unknown")</f>
        <v>Kids Wear</v>
      </c>
      <c r="W2408" t="str">
        <f>IFERROR(INDEX(Products!$E:$E,MATCH(D2408,Products!$A:$A,0)),"Unknown")</f>
        <v>Being Human</v>
      </c>
      <c r="X2408" t="str">
        <f>IFERROR(INDEX(Stores!$B:$B,MATCH(E2408,Stores!$A:$A,0)),"Unknown")</f>
        <v>TrendMart Thrissur Standard</v>
      </c>
      <c r="Y2408" t="str">
        <f>IFERROR(INDEX(Stores!$E:$E,MATCH(E2408,Stores!$A:$A,0)),"Unknown")</f>
        <v>South Zone 1</v>
      </c>
      <c r="Z2408" t="str">
        <f>IFERROR(INDEX(Customers!$J:$J,MATCH(C2408,Customers!$A:$A,0)),"Unknown")</f>
        <v>Regular</v>
      </c>
      <c r="AA2408" t="str">
        <f t="shared" si="37"/>
        <v>2024-04</v>
      </c>
      <c r="AB2408" t="str">
        <f>IFERROR(INDEX(Products!$I:$I,MATCH(D2408,Products!$A:$A,0)),"Unknown")</f>
        <v>SUP063</v>
      </c>
    </row>
    <row r="2409" spans="1:28" x14ac:dyDescent="0.25">
      <c r="A2409" t="s">
        <v>4446</v>
      </c>
      <c r="B2409" s="20">
        <v>45464</v>
      </c>
      <c r="C2409" t="s">
        <v>2599</v>
      </c>
      <c r="D2409" t="s">
        <v>301</v>
      </c>
      <c r="E2409" t="s">
        <v>1068</v>
      </c>
      <c r="F2409" t="s">
        <v>242</v>
      </c>
      <c r="G2409">
        <v>4</v>
      </c>
      <c r="H2409" s="21">
        <v>1512.38</v>
      </c>
      <c r="I2409">
        <v>15</v>
      </c>
      <c r="J2409" s="21">
        <v>907.43</v>
      </c>
      <c r="K2409">
        <v>12</v>
      </c>
      <c r="L2409" s="21">
        <v>617.04999999999995</v>
      </c>
      <c r="M2409" s="21">
        <v>5759.14</v>
      </c>
      <c r="N2409" s="21">
        <v>3886.6</v>
      </c>
      <c r="O2409" s="21">
        <v>1255.49</v>
      </c>
      <c r="P2409" t="s">
        <v>124</v>
      </c>
      <c r="Q2409" t="s">
        <v>120</v>
      </c>
      <c r="R2409" t="s">
        <v>151</v>
      </c>
      <c r="S2409" t="s">
        <v>982</v>
      </c>
      <c r="T2409" t="s">
        <v>153</v>
      </c>
      <c r="U2409" t="s">
        <v>154</v>
      </c>
      <c r="V2409" t="str">
        <f>IFERROR(INDEX(Products!$C:$C,MATCH(D2409,Products!$A:$A,0)),"Unknown")</f>
        <v>Women Jeans</v>
      </c>
      <c r="W2409" t="str">
        <f>IFERROR(INDEX(Products!$E:$E,MATCH(D2409,Products!$A:$A,0)),"Unknown")</f>
        <v>Unknown</v>
      </c>
      <c r="X2409" t="str">
        <f>IFERROR(INDEX(Stores!$B:$B,MATCH(E2409,Stores!$A:$A,0)),"Unknown")</f>
        <v>TrendMart Tumakuru High Street</v>
      </c>
      <c r="Y2409" t="str">
        <f>IFERROR(INDEX(Stores!$E:$E,MATCH(E2409,Stores!$A:$A,0)),"Unknown")</f>
        <v>South Zone 2</v>
      </c>
      <c r="Z2409" t="str">
        <f>IFERROR(INDEX(Customers!$J:$J,MATCH(C2409,Customers!$A:$A,0)),"Unknown")</f>
        <v>Regular</v>
      </c>
      <c r="AA2409" t="str">
        <f t="shared" si="37"/>
        <v>2024-06</v>
      </c>
      <c r="AB2409" t="str">
        <f>IFERROR(INDEX(Products!$I:$I,MATCH(D2409,Products!$A:$A,0)),"Unknown")</f>
        <v>SUP050</v>
      </c>
    </row>
    <row r="2410" spans="1:28" x14ac:dyDescent="0.25">
      <c r="A2410" t="s">
        <v>4447</v>
      </c>
      <c r="B2410" s="20">
        <v>45610</v>
      </c>
      <c r="C2410" t="s">
        <v>2667</v>
      </c>
      <c r="D2410" t="s">
        <v>1292</v>
      </c>
      <c r="E2410" t="s">
        <v>1426</v>
      </c>
      <c r="F2410" t="s">
        <v>397</v>
      </c>
      <c r="G2410">
        <v>4</v>
      </c>
      <c r="H2410" s="21">
        <v>566.63</v>
      </c>
      <c r="I2410">
        <v>20</v>
      </c>
      <c r="J2410" s="21">
        <v>453.3</v>
      </c>
      <c r="K2410">
        <v>5</v>
      </c>
      <c r="L2410" s="21">
        <v>90.66</v>
      </c>
      <c r="M2410" s="21">
        <v>1903.88</v>
      </c>
      <c r="N2410" s="21">
        <v>1395</v>
      </c>
      <c r="O2410" s="21">
        <v>418.22</v>
      </c>
      <c r="P2410" t="s">
        <v>124</v>
      </c>
      <c r="Q2410" t="s">
        <v>120</v>
      </c>
      <c r="R2410" t="s">
        <v>151</v>
      </c>
      <c r="S2410" t="s">
        <v>4448</v>
      </c>
      <c r="T2410" t="s">
        <v>153</v>
      </c>
      <c r="U2410" t="s">
        <v>154</v>
      </c>
      <c r="V2410" t="str">
        <f>IFERROR(INDEX(Products!$C:$C,MATCH(D2410,Products!$A:$A,0)),"Unknown")</f>
        <v>Men T-Shirts</v>
      </c>
      <c r="W2410" t="str">
        <f>IFERROR(INDEX(Products!$E:$E,MATCH(D2410,Products!$A:$A,0)),"Unknown")</f>
        <v>Metro Shoes</v>
      </c>
      <c r="X2410" t="str">
        <f>IFERROR(INDEX(Stores!$B:$B,MATCH(E2410,Stores!$A:$A,0)),"Unknown")</f>
        <v>TrendMart Alappuzha Mall Kiosk</v>
      </c>
      <c r="Y2410" t="str">
        <f>IFERROR(INDEX(Stores!$E:$E,MATCH(E2410,Stores!$A:$A,0)),"Unknown")</f>
        <v>South Zone 1</v>
      </c>
      <c r="Z2410" t="str">
        <f>IFERROR(INDEX(Customers!$J:$J,MATCH(C2410,Customers!$A:$A,0)),"Unknown")</f>
        <v>Regular</v>
      </c>
      <c r="AA2410" t="str">
        <f t="shared" si="37"/>
        <v>2024-11</v>
      </c>
      <c r="AB2410" t="str">
        <f>IFERROR(INDEX(Products!$I:$I,MATCH(D2410,Products!$A:$A,0)),"Unknown")</f>
        <v>SUP024</v>
      </c>
    </row>
    <row r="2411" spans="1:28" x14ac:dyDescent="0.25">
      <c r="A2411" t="s">
        <v>4449</v>
      </c>
      <c r="B2411" s="20">
        <v>45718</v>
      </c>
      <c r="C2411" t="s">
        <v>1213</v>
      </c>
      <c r="D2411" t="s">
        <v>1073</v>
      </c>
      <c r="E2411" t="s">
        <v>291</v>
      </c>
      <c r="F2411" t="s">
        <v>532</v>
      </c>
      <c r="G2411">
        <v>3</v>
      </c>
      <c r="H2411" s="21">
        <v>3347.41</v>
      </c>
      <c r="I2411">
        <v>0</v>
      </c>
      <c r="J2411" s="21">
        <v>0</v>
      </c>
      <c r="K2411">
        <v>12</v>
      </c>
      <c r="L2411" s="21">
        <v>1205.07</v>
      </c>
      <c r="M2411" s="21">
        <v>11247.3</v>
      </c>
      <c r="N2411" s="21">
        <v>7021.38</v>
      </c>
      <c r="O2411" s="21">
        <v>3020.85</v>
      </c>
      <c r="P2411" t="s">
        <v>124</v>
      </c>
      <c r="Q2411" t="s">
        <v>122</v>
      </c>
      <c r="R2411" t="s">
        <v>151</v>
      </c>
      <c r="S2411" t="s">
        <v>1865</v>
      </c>
      <c r="T2411" t="s">
        <v>161</v>
      </c>
      <c r="U2411" t="s">
        <v>154</v>
      </c>
      <c r="V2411" t="str">
        <f>IFERROR(INDEX(Products!$C:$C,MATCH(D2411,Products!$A:$A,0)),"Unknown")</f>
        <v>Women Sarees</v>
      </c>
      <c r="W2411" t="str">
        <f>IFERROR(INDEX(Products!$E:$E,MATCH(D2411,Products!$A:$A,0)),"Unknown")</f>
        <v>W for Woman</v>
      </c>
      <c r="X2411" t="str">
        <f>IFERROR(INDEX(Stores!$B:$B,MATCH(E2411,Stores!$A:$A,0)),"Unknown")</f>
        <v>TrendMart Khammam Standard</v>
      </c>
      <c r="Y2411" t="str">
        <f>IFERROR(INDEX(Stores!$E:$E,MATCH(E2411,Stores!$A:$A,0)),"Unknown")</f>
        <v>South Zone 2</v>
      </c>
      <c r="Z2411" t="str">
        <f>IFERROR(INDEX(Customers!$J:$J,MATCH(C2411,Customers!$A:$A,0)),"Unknown")</f>
        <v>Silver</v>
      </c>
      <c r="AA2411" t="str">
        <f t="shared" si="37"/>
        <v>2025-03</v>
      </c>
      <c r="AB2411" t="str">
        <f>IFERROR(INDEX(Products!$I:$I,MATCH(D2411,Products!$A:$A,0)),"Unknown")</f>
        <v>SUP012</v>
      </c>
    </row>
    <row r="2412" spans="1:28" x14ac:dyDescent="0.25">
      <c r="A2412" t="s">
        <v>4450</v>
      </c>
      <c r="B2412" s="20">
        <v>45660</v>
      </c>
      <c r="C2412" t="s">
        <v>1959</v>
      </c>
      <c r="D2412" t="s">
        <v>362</v>
      </c>
      <c r="E2412" t="s">
        <v>98</v>
      </c>
      <c r="F2412" t="s">
        <v>2479</v>
      </c>
      <c r="G2412">
        <v>1</v>
      </c>
      <c r="H2412" s="21">
        <v>1232.55</v>
      </c>
      <c r="I2412">
        <v>20</v>
      </c>
      <c r="J2412" s="21">
        <v>246.51</v>
      </c>
      <c r="K2412">
        <v>12</v>
      </c>
      <c r="L2412" s="21">
        <v>118.32</v>
      </c>
      <c r="M2412" s="21">
        <v>1104.3599999999999</v>
      </c>
      <c r="N2412" s="21">
        <v>887.02</v>
      </c>
      <c r="O2412" s="21">
        <v>99.02</v>
      </c>
      <c r="P2412" t="s">
        <v>125</v>
      </c>
      <c r="Q2412" t="s">
        <v>120</v>
      </c>
      <c r="R2412" t="s">
        <v>151</v>
      </c>
      <c r="S2412" t="s">
        <v>2302</v>
      </c>
      <c r="T2412" t="s">
        <v>153</v>
      </c>
      <c r="U2412" t="s">
        <v>154</v>
      </c>
      <c r="V2412" t="str">
        <f>IFERROR(INDEX(Products!$C:$C,MATCH(D2412,Products!$A:$A,0)),"Unknown")</f>
        <v>Men Trousers</v>
      </c>
      <c r="W2412" t="str">
        <f>IFERROR(INDEX(Products!$E:$E,MATCH(D2412,Products!$A:$A,0)),"Unknown")</f>
        <v>Pepe Jeans</v>
      </c>
      <c r="X2412" t="str">
        <f>IFERROR(INDEX(Stores!$B:$B,MATCH(E2412,Stores!$A:$A,0)),"Unknown")</f>
        <v>TrendMart Bengaluru Flagship</v>
      </c>
      <c r="Y2412" t="str">
        <f>IFERROR(INDEX(Stores!$E:$E,MATCH(E2412,Stores!$A:$A,0)),"Unknown")</f>
        <v>South Zone 2</v>
      </c>
      <c r="Z2412" t="str">
        <f>IFERROR(INDEX(Customers!$J:$J,MATCH(C2412,Customers!$A:$A,0)),"Unknown")</f>
        <v>Silver</v>
      </c>
      <c r="AA2412" t="str">
        <f t="shared" si="37"/>
        <v>2025-01</v>
      </c>
      <c r="AB2412" t="str">
        <f>IFERROR(INDEX(Products!$I:$I,MATCH(D2412,Products!$A:$A,0)),"Unknown")</f>
        <v>SUP028</v>
      </c>
    </row>
    <row r="2413" spans="1:28" x14ac:dyDescent="0.25">
      <c r="A2413" t="s">
        <v>4451</v>
      </c>
      <c r="B2413" s="20">
        <v>45448</v>
      </c>
      <c r="C2413" t="s">
        <v>3100</v>
      </c>
      <c r="D2413" t="s">
        <v>307</v>
      </c>
      <c r="E2413" t="s">
        <v>1171</v>
      </c>
      <c r="F2413" t="s">
        <v>434</v>
      </c>
      <c r="G2413">
        <v>2</v>
      </c>
      <c r="H2413" s="21">
        <v>1097.29</v>
      </c>
      <c r="I2413">
        <v>30</v>
      </c>
      <c r="J2413" s="21">
        <v>658.37</v>
      </c>
      <c r="K2413">
        <v>12</v>
      </c>
      <c r="L2413" s="21">
        <v>184.35</v>
      </c>
      <c r="M2413" s="21">
        <v>1720.56</v>
      </c>
      <c r="N2413" s="21">
        <v>1510.12</v>
      </c>
      <c r="O2413" s="21">
        <v>26.09</v>
      </c>
      <c r="P2413" t="s">
        <v>121</v>
      </c>
      <c r="Q2413" t="s">
        <v>120</v>
      </c>
      <c r="R2413" t="s">
        <v>151</v>
      </c>
      <c r="S2413" t="s">
        <v>1499</v>
      </c>
      <c r="T2413" t="s">
        <v>153</v>
      </c>
      <c r="U2413" t="s">
        <v>154</v>
      </c>
      <c r="V2413" t="str">
        <f>IFERROR(INDEX(Products!$C:$C,MATCH(D2413,Products!$A:$A,0)),"Unknown")</f>
        <v>Winter Wear</v>
      </c>
      <c r="W2413" t="str">
        <f>IFERROR(INDEX(Products!$E:$E,MATCH(D2413,Products!$A:$A,0)),"Unknown")</f>
        <v>Fastrack</v>
      </c>
      <c r="X2413" t="str">
        <f>IFERROR(INDEX(Stores!$B:$B,MATCH(E2413,Stores!$A:$A,0)),"Unknown")</f>
        <v>TrendMart Chennai Standard</v>
      </c>
      <c r="Y2413" t="str">
        <f>IFERROR(INDEX(Stores!$E:$E,MATCH(E2413,Stores!$A:$A,0)),"Unknown")</f>
        <v>South Zone 1</v>
      </c>
      <c r="Z2413" t="str">
        <f>IFERROR(INDEX(Customers!$J:$J,MATCH(C2413,Customers!$A:$A,0)),"Unknown")</f>
        <v>Silver</v>
      </c>
      <c r="AA2413" t="str">
        <f t="shared" si="37"/>
        <v>2024-06</v>
      </c>
      <c r="AB2413" t="str">
        <f>IFERROR(INDEX(Products!$I:$I,MATCH(D2413,Products!$A:$A,0)),"Unknown")</f>
        <v>SUP008</v>
      </c>
    </row>
    <row r="2414" spans="1:28" x14ac:dyDescent="0.25">
      <c r="A2414" t="s">
        <v>4452</v>
      </c>
      <c r="B2414" s="20">
        <v>45446</v>
      </c>
      <c r="C2414" t="s">
        <v>4059</v>
      </c>
      <c r="D2414" t="s">
        <v>931</v>
      </c>
      <c r="E2414" t="s">
        <v>84</v>
      </c>
      <c r="F2414" t="s">
        <v>150</v>
      </c>
      <c r="G2414">
        <v>2</v>
      </c>
      <c r="H2414" s="21">
        <v>1481.08</v>
      </c>
      <c r="I2414">
        <v>15</v>
      </c>
      <c r="J2414" s="21">
        <v>444.32</v>
      </c>
      <c r="K2414">
        <v>12</v>
      </c>
      <c r="L2414" s="21">
        <v>302.14</v>
      </c>
      <c r="M2414" s="21">
        <v>2819.98</v>
      </c>
      <c r="N2414" s="21">
        <v>2041.8</v>
      </c>
      <c r="O2414" s="21">
        <v>476.04</v>
      </c>
      <c r="P2414" t="s">
        <v>124</v>
      </c>
      <c r="Q2414" t="s">
        <v>120</v>
      </c>
      <c r="R2414" t="s">
        <v>151</v>
      </c>
      <c r="S2414" t="s">
        <v>533</v>
      </c>
      <c r="T2414" t="s">
        <v>153</v>
      </c>
      <c r="U2414" t="s">
        <v>154</v>
      </c>
      <c r="V2414" t="str">
        <f>IFERROR(INDEX(Products!$C:$C,MATCH(D2414,Products!$A:$A,0)),"Unknown")</f>
        <v>Women Sarees</v>
      </c>
      <c r="W2414" t="str">
        <f>IFERROR(INDEX(Products!$E:$E,MATCH(D2414,Products!$A:$A,0)),"Unknown")</f>
        <v>Jack &amp; Jones</v>
      </c>
      <c r="X2414" t="str">
        <f>IFERROR(INDEX(Stores!$B:$B,MATCH(E2414,Stores!$A:$A,0)),"Unknown")</f>
        <v>TrendMart Tirupati Standard</v>
      </c>
      <c r="Y2414" t="str">
        <f>IFERROR(INDEX(Stores!$E:$E,MATCH(E2414,Stores!$A:$A,0)),"Unknown")</f>
        <v>South Zone 3</v>
      </c>
      <c r="Z2414" t="str">
        <f>IFERROR(INDEX(Customers!$J:$J,MATCH(C2414,Customers!$A:$A,0)),"Unknown")</f>
        <v>Silver</v>
      </c>
      <c r="AA2414" t="str">
        <f t="shared" si="37"/>
        <v>2024-06</v>
      </c>
      <c r="AB2414" t="str">
        <f>IFERROR(INDEX(Products!$I:$I,MATCH(D2414,Products!$A:$A,0)),"Unknown")</f>
        <v>SUP058</v>
      </c>
    </row>
    <row r="2415" spans="1:28" x14ac:dyDescent="0.25">
      <c r="A2415" t="s">
        <v>4453</v>
      </c>
      <c r="B2415" s="20">
        <v>45589</v>
      </c>
      <c r="C2415" t="s">
        <v>1766</v>
      </c>
      <c r="D2415" t="s">
        <v>1780</v>
      </c>
      <c r="E2415" t="s">
        <v>910</v>
      </c>
      <c r="F2415" t="s">
        <v>516</v>
      </c>
      <c r="G2415">
        <v>3</v>
      </c>
      <c r="H2415" s="21">
        <v>1177.06</v>
      </c>
      <c r="I2415">
        <v>15</v>
      </c>
      <c r="J2415" s="21">
        <v>529.67999999999995</v>
      </c>
      <c r="K2415">
        <v>3</v>
      </c>
      <c r="L2415" s="21">
        <v>90.05</v>
      </c>
      <c r="M2415" s="21">
        <v>3091.55</v>
      </c>
      <c r="N2415" s="21">
        <v>2731.38</v>
      </c>
      <c r="O2415" s="21">
        <v>270.12</v>
      </c>
      <c r="P2415" t="s">
        <v>125</v>
      </c>
      <c r="Q2415" t="s">
        <v>120</v>
      </c>
      <c r="R2415" t="s">
        <v>151</v>
      </c>
      <c r="S2415" t="s">
        <v>1027</v>
      </c>
      <c r="T2415" t="s">
        <v>153</v>
      </c>
      <c r="U2415" t="s">
        <v>154</v>
      </c>
      <c r="V2415" t="str">
        <f>IFERROR(INDEX(Products!$C:$C,MATCH(D2415,Products!$A:$A,0)),"Unknown")</f>
        <v>Jewellery</v>
      </c>
      <c r="W2415" t="str">
        <f>IFERROR(INDEX(Products!$E:$E,MATCH(D2415,Products!$A:$A,0)),"Unknown")</f>
        <v>Flying Machine</v>
      </c>
      <c r="X2415" t="str">
        <f>IFERROR(INDEX(Stores!$B:$B,MATCH(E2415,Stores!$A:$A,0)),"Unknown")</f>
        <v>TrendMart Karimnagar Standard</v>
      </c>
      <c r="Y2415" t="str">
        <f>IFERROR(INDEX(Stores!$E:$E,MATCH(E2415,Stores!$A:$A,0)),"Unknown")</f>
        <v>South Zone 2</v>
      </c>
      <c r="Z2415" t="str">
        <f>IFERROR(INDEX(Customers!$J:$J,MATCH(C2415,Customers!$A:$A,0)),"Unknown")</f>
        <v>Gold</v>
      </c>
      <c r="AA2415" t="str">
        <f t="shared" si="37"/>
        <v>2024-10</v>
      </c>
      <c r="AB2415" t="str">
        <f>IFERROR(INDEX(Products!$I:$I,MATCH(D2415,Products!$A:$A,0)),"Unknown")</f>
        <v>SUP039</v>
      </c>
    </row>
    <row r="2416" spans="1:28" x14ac:dyDescent="0.25">
      <c r="A2416" t="s">
        <v>4454</v>
      </c>
      <c r="B2416" s="20">
        <v>45744</v>
      </c>
      <c r="C2416" t="s">
        <v>1286</v>
      </c>
      <c r="D2416" t="s">
        <v>174</v>
      </c>
      <c r="E2416" t="s">
        <v>848</v>
      </c>
      <c r="F2416" t="s">
        <v>532</v>
      </c>
      <c r="G2416">
        <v>1</v>
      </c>
      <c r="H2416" s="21">
        <v>827.15</v>
      </c>
      <c r="I2416">
        <v>20</v>
      </c>
      <c r="J2416" s="21">
        <v>165.43</v>
      </c>
      <c r="K2416">
        <v>5</v>
      </c>
      <c r="L2416" s="21">
        <v>33.090000000000003</v>
      </c>
      <c r="M2416" s="21">
        <v>694.81</v>
      </c>
      <c r="N2416" s="21">
        <v>539.76</v>
      </c>
      <c r="O2416" s="21">
        <v>121.96</v>
      </c>
      <c r="P2416" t="s">
        <v>121</v>
      </c>
      <c r="Q2416" t="s">
        <v>120</v>
      </c>
      <c r="R2416" t="s">
        <v>151</v>
      </c>
      <c r="S2416" t="s">
        <v>631</v>
      </c>
      <c r="T2416" t="s">
        <v>153</v>
      </c>
      <c r="U2416" t="s">
        <v>154</v>
      </c>
      <c r="V2416" t="str">
        <f>IFERROR(INDEX(Products!$C:$C,MATCH(D2416,Products!$A:$A,0)),"Unknown")</f>
        <v>Women Kurtis</v>
      </c>
      <c r="W2416" t="str">
        <f>IFERROR(INDEX(Products!$E:$E,MATCH(D2416,Products!$A:$A,0)),"Unknown")</f>
        <v>Reebok</v>
      </c>
      <c r="X2416" t="str">
        <f>IFERROR(INDEX(Stores!$B:$B,MATCH(E2416,Stores!$A:$A,0)),"Unknown")</f>
        <v>TrendMart Shivamogga Standard</v>
      </c>
      <c r="Y2416" t="str">
        <f>IFERROR(INDEX(Stores!$E:$E,MATCH(E2416,Stores!$A:$A,0)),"Unknown")</f>
        <v>South Zone 2</v>
      </c>
      <c r="Z2416" t="str">
        <f>IFERROR(INDEX(Customers!$J:$J,MATCH(C2416,Customers!$A:$A,0)),"Unknown")</f>
        <v>Regular</v>
      </c>
      <c r="AA2416" t="str">
        <f t="shared" si="37"/>
        <v>2025-03</v>
      </c>
      <c r="AB2416" t="str">
        <f>IFERROR(INDEX(Products!$I:$I,MATCH(D2416,Products!$A:$A,0)),"Unknown")</f>
        <v>SUP012</v>
      </c>
    </row>
    <row r="2417" spans="1:28" x14ac:dyDescent="0.25">
      <c r="A2417" t="s">
        <v>4455</v>
      </c>
      <c r="B2417" s="20">
        <v>45494</v>
      </c>
      <c r="C2417" t="s">
        <v>1510</v>
      </c>
      <c r="D2417" t="s">
        <v>888</v>
      </c>
      <c r="E2417" t="s">
        <v>910</v>
      </c>
      <c r="F2417" t="s">
        <v>232</v>
      </c>
      <c r="G2417">
        <v>0</v>
      </c>
      <c r="H2417" s="21">
        <v>6302.13</v>
      </c>
      <c r="I2417">
        <v>0</v>
      </c>
      <c r="J2417" s="21">
        <v>0</v>
      </c>
      <c r="K2417">
        <v>3</v>
      </c>
      <c r="L2417" s="21">
        <v>0</v>
      </c>
      <c r="M2417" s="21">
        <v>0</v>
      </c>
      <c r="N2417" s="21">
        <v>0</v>
      </c>
      <c r="O2417" s="21">
        <v>0</v>
      </c>
      <c r="P2417" t="s">
        <v>124</v>
      </c>
      <c r="Q2417" t="s">
        <v>122</v>
      </c>
      <c r="R2417" t="s">
        <v>482</v>
      </c>
      <c r="S2417" t="s">
        <v>1134</v>
      </c>
      <c r="T2417" t="s">
        <v>161</v>
      </c>
      <c r="U2417" t="s">
        <v>154</v>
      </c>
      <c r="V2417" t="str">
        <f>IFERROR(INDEX(Products!$C:$C,MATCH(D2417,Products!$A:$A,0)),"Unknown")</f>
        <v>Jewellery</v>
      </c>
      <c r="W2417" t="str">
        <f>IFERROR(INDEX(Products!$E:$E,MATCH(D2417,Products!$A:$A,0)),"Unknown")</f>
        <v>Aurelia</v>
      </c>
      <c r="X2417" t="str">
        <f>IFERROR(INDEX(Stores!$B:$B,MATCH(E2417,Stores!$A:$A,0)),"Unknown")</f>
        <v>TrendMart Karimnagar Standard</v>
      </c>
      <c r="Y2417" t="str">
        <f>IFERROR(INDEX(Stores!$E:$E,MATCH(E2417,Stores!$A:$A,0)),"Unknown")</f>
        <v>South Zone 2</v>
      </c>
      <c r="Z2417" t="str">
        <f>IFERROR(INDEX(Customers!$J:$J,MATCH(C2417,Customers!$A:$A,0)),"Unknown")</f>
        <v>Gold</v>
      </c>
      <c r="AA2417" t="str">
        <f t="shared" si="37"/>
        <v>2024-07</v>
      </c>
      <c r="AB2417" t="str">
        <f>IFERROR(INDEX(Products!$I:$I,MATCH(D2417,Products!$A:$A,0)),"Unknown")</f>
        <v>SUP038</v>
      </c>
    </row>
    <row r="2418" spans="1:28" x14ac:dyDescent="0.25">
      <c r="A2418" t="s">
        <v>4456</v>
      </c>
      <c r="B2418" s="20">
        <v>45583</v>
      </c>
      <c r="C2418" t="s">
        <v>3331</v>
      </c>
      <c r="D2418" t="s">
        <v>1092</v>
      </c>
      <c r="E2418" t="s">
        <v>226</v>
      </c>
      <c r="F2418" t="s">
        <v>574</v>
      </c>
      <c r="G2418">
        <v>1</v>
      </c>
      <c r="H2418" s="21">
        <v>3639.73</v>
      </c>
      <c r="I2418">
        <v>25</v>
      </c>
      <c r="J2418" s="21">
        <v>909.93</v>
      </c>
      <c r="K2418">
        <v>12</v>
      </c>
      <c r="L2418" s="21">
        <v>327.58</v>
      </c>
      <c r="M2418" s="21">
        <v>3057.38</v>
      </c>
      <c r="N2418" s="21">
        <v>2467.2199999999998</v>
      </c>
      <c r="O2418" s="21">
        <v>262.58</v>
      </c>
      <c r="P2418" t="s">
        <v>124</v>
      </c>
      <c r="Q2418" t="s">
        <v>122</v>
      </c>
      <c r="R2418" t="s">
        <v>151</v>
      </c>
      <c r="S2418" t="s">
        <v>1347</v>
      </c>
      <c r="T2418" t="s">
        <v>153</v>
      </c>
      <c r="U2418" t="s">
        <v>154</v>
      </c>
      <c r="V2418" t="str">
        <f>IFERROR(INDEX(Products!$C:$C,MATCH(D2418,Products!$A:$A,0)),"Unknown")</f>
        <v>Footwear</v>
      </c>
      <c r="W2418" t="str">
        <f>IFERROR(INDEX(Products!$E:$E,MATCH(D2418,Products!$A:$A,0)),"Unknown")</f>
        <v>Reebok</v>
      </c>
      <c r="X2418" t="str">
        <f>IFERROR(INDEX(Stores!$B:$B,MATCH(E2418,Stores!$A:$A,0)),"Unknown")</f>
        <v>TrendMart Kurnool Standard</v>
      </c>
      <c r="Y2418" t="str">
        <f>IFERROR(INDEX(Stores!$E:$E,MATCH(E2418,Stores!$A:$A,0)),"Unknown")</f>
        <v>South Zone 3</v>
      </c>
      <c r="Z2418" t="str">
        <f>IFERROR(INDEX(Customers!$J:$J,MATCH(C2418,Customers!$A:$A,0)),"Unknown")</f>
        <v>Silver</v>
      </c>
      <c r="AA2418" t="str">
        <f t="shared" si="37"/>
        <v>2024-10</v>
      </c>
      <c r="AB2418" t="str">
        <f>IFERROR(INDEX(Products!$I:$I,MATCH(D2418,Products!$A:$A,0)),"Unknown")</f>
        <v>SUP056</v>
      </c>
    </row>
    <row r="2419" spans="1:28" x14ac:dyDescent="0.25">
      <c r="A2419" t="s">
        <v>4457</v>
      </c>
      <c r="B2419" s="20">
        <v>45590</v>
      </c>
      <c r="C2419" t="s">
        <v>2683</v>
      </c>
      <c r="D2419" t="s">
        <v>1905</v>
      </c>
      <c r="E2419" t="s">
        <v>396</v>
      </c>
      <c r="F2419" t="s">
        <v>344</v>
      </c>
      <c r="G2419">
        <v>1</v>
      </c>
      <c r="H2419" s="21">
        <v>908.92</v>
      </c>
      <c r="I2419">
        <v>5</v>
      </c>
      <c r="J2419" s="21">
        <v>45.45</v>
      </c>
      <c r="K2419">
        <v>5</v>
      </c>
      <c r="L2419" s="21">
        <v>43.17</v>
      </c>
      <c r="M2419" s="21">
        <v>906.64</v>
      </c>
      <c r="N2419" s="21">
        <v>630.1</v>
      </c>
      <c r="O2419" s="21">
        <v>233.37</v>
      </c>
      <c r="P2419" t="s">
        <v>123</v>
      </c>
      <c r="Q2419" t="s">
        <v>122</v>
      </c>
      <c r="R2419" t="s">
        <v>151</v>
      </c>
      <c r="S2419" t="s">
        <v>2612</v>
      </c>
      <c r="T2419" t="s">
        <v>153</v>
      </c>
      <c r="U2419" t="s">
        <v>154</v>
      </c>
      <c r="V2419" t="str">
        <f>IFERROR(INDEX(Products!$C:$C,MATCH(D2419,Products!$A:$A,0)),"Unknown")</f>
        <v>Sportswear</v>
      </c>
      <c r="W2419" t="str">
        <f>IFERROR(INDEX(Products!$E:$E,MATCH(D2419,Products!$A:$A,0)),"Unknown")</f>
        <v>Pantaloons</v>
      </c>
      <c r="X2419" t="str">
        <f>IFERROR(INDEX(Stores!$B:$B,MATCH(E2419,Stores!$A:$A,0)),"Unknown")</f>
        <v>TrendMart Davanagere High Street</v>
      </c>
      <c r="Y2419" t="str">
        <f>IFERROR(INDEX(Stores!$E:$E,MATCH(E2419,Stores!$A:$A,0)),"Unknown")</f>
        <v>South Zone 2</v>
      </c>
      <c r="Z2419" t="str">
        <f>IFERROR(INDEX(Customers!$J:$J,MATCH(C2419,Customers!$A:$A,0)),"Unknown")</f>
        <v>Silver</v>
      </c>
      <c r="AA2419" t="str">
        <f t="shared" si="37"/>
        <v>2024-10</v>
      </c>
      <c r="AB2419" t="str">
        <f>IFERROR(INDEX(Products!$I:$I,MATCH(D2419,Products!$A:$A,0)),"Unknown")</f>
        <v>SUP062</v>
      </c>
    </row>
    <row r="2420" spans="1:28" x14ac:dyDescent="0.25">
      <c r="A2420" t="s">
        <v>4458</v>
      </c>
      <c r="B2420" s="20">
        <v>45729</v>
      </c>
      <c r="C2420" t="s">
        <v>2842</v>
      </c>
      <c r="D2420" t="s">
        <v>801</v>
      </c>
      <c r="E2420" t="s">
        <v>231</v>
      </c>
      <c r="F2420" t="s">
        <v>201</v>
      </c>
      <c r="G2420">
        <v>3</v>
      </c>
      <c r="H2420" s="21">
        <v>619.01</v>
      </c>
      <c r="I2420">
        <v>0</v>
      </c>
      <c r="J2420" s="21">
        <v>0</v>
      </c>
      <c r="K2420">
        <v>5</v>
      </c>
      <c r="L2420" s="21">
        <v>92.85</v>
      </c>
      <c r="M2420" s="21">
        <v>1949.88</v>
      </c>
      <c r="N2420" s="21">
        <v>1274.28</v>
      </c>
      <c r="O2420" s="21">
        <v>582.75</v>
      </c>
      <c r="P2420" t="s">
        <v>123</v>
      </c>
      <c r="Q2420" t="s">
        <v>120</v>
      </c>
      <c r="R2420" t="s">
        <v>151</v>
      </c>
      <c r="S2420" t="s">
        <v>1275</v>
      </c>
      <c r="T2420" t="s">
        <v>153</v>
      </c>
      <c r="U2420" t="s">
        <v>154</v>
      </c>
      <c r="V2420" t="str">
        <f>IFERROR(INDEX(Products!$C:$C,MATCH(D2420,Products!$A:$A,0)),"Unknown")</f>
        <v>Kids Wear</v>
      </c>
      <c r="W2420" t="str">
        <f>IFERROR(INDEX(Products!$E:$E,MATCH(D2420,Products!$A:$A,0)),"Unknown")</f>
        <v>Being Human</v>
      </c>
      <c r="X2420" t="str">
        <f>IFERROR(INDEX(Stores!$B:$B,MATCH(E2420,Stores!$A:$A,0)),"Unknown")</f>
        <v>TrendMart Warangal Outlet</v>
      </c>
      <c r="Y2420" t="str">
        <f>IFERROR(INDEX(Stores!$E:$E,MATCH(E2420,Stores!$A:$A,0)),"Unknown")</f>
        <v>South Zone 2</v>
      </c>
      <c r="Z2420" t="str">
        <f>IFERROR(INDEX(Customers!$J:$J,MATCH(C2420,Customers!$A:$A,0)),"Unknown")</f>
        <v>Regular</v>
      </c>
      <c r="AA2420" t="str">
        <f t="shared" si="37"/>
        <v>2025-03</v>
      </c>
      <c r="AB2420" t="str">
        <f>IFERROR(INDEX(Products!$I:$I,MATCH(D2420,Products!$A:$A,0)),"Unknown")</f>
        <v>SUP063</v>
      </c>
    </row>
    <row r="2421" spans="1:28" x14ac:dyDescent="0.25">
      <c r="A2421" t="s">
        <v>4459</v>
      </c>
      <c r="B2421" s="20">
        <v>45416</v>
      </c>
      <c r="C2421" t="s">
        <v>572</v>
      </c>
      <c r="D2421" t="s">
        <v>861</v>
      </c>
      <c r="E2421" t="s">
        <v>477</v>
      </c>
      <c r="F2421" t="s">
        <v>579</v>
      </c>
      <c r="G2421">
        <v>2</v>
      </c>
      <c r="H2421" s="21">
        <v>1819.49</v>
      </c>
      <c r="I2421">
        <v>20</v>
      </c>
      <c r="J2421" s="21">
        <v>727.8</v>
      </c>
      <c r="K2421">
        <v>12</v>
      </c>
      <c r="L2421" s="21">
        <v>349.34</v>
      </c>
      <c r="M2421" s="21">
        <v>3260.52</v>
      </c>
      <c r="N2421" s="21">
        <v>2279.62</v>
      </c>
      <c r="O2421" s="21">
        <v>631.55999999999995</v>
      </c>
      <c r="P2421" t="s">
        <v>124</v>
      </c>
      <c r="Q2421" t="s">
        <v>122</v>
      </c>
      <c r="R2421" t="s">
        <v>313</v>
      </c>
      <c r="S2421" t="s">
        <v>1781</v>
      </c>
      <c r="T2421" t="s">
        <v>161</v>
      </c>
      <c r="U2421" t="s">
        <v>154</v>
      </c>
      <c r="V2421" t="str">
        <f>IFERROR(INDEX(Products!$C:$C,MATCH(D2421,Products!$A:$A,0)),"Unknown")</f>
        <v>Women Jeans</v>
      </c>
      <c r="W2421" t="str">
        <f>IFERROR(INDEX(Products!$E:$E,MATCH(D2421,Products!$A:$A,0)),"Unknown")</f>
        <v>Spykar</v>
      </c>
      <c r="X2421" t="str">
        <f>IFERROR(INDEX(Stores!$B:$B,MATCH(E2421,Stores!$A:$A,0)),"Unknown")</f>
        <v>TrendMart Hubballi Standard</v>
      </c>
      <c r="Y2421" t="str">
        <f>IFERROR(INDEX(Stores!$E:$E,MATCH(E2421,Stores!$A:$A,0)),"Unknown")</f>
        <v>South Zone 2</v>
      </c>
      <c r="Z2421" t="str">
        <f>IFERROR(INDEX(Customers!$J:$J,MATCH(C2421,Customers!$A:$A,0)),"Unknown")</f>
        <v>Regular</v>
      </c>
      <c r="AA2421" t="str">
        <f t="shared" si="37"/>
        <v>2024-05</v>
      </c>
      <c r="AB2421" t="str">
        <f>IFERROR(INDEX(Products!$I:$I,MATCH(D2421,Products!$A:$A,0)),"Unknown")</f>
        <v>SUP088</v>
      </c>
    </row>
    <row r="2422" spans="1:28" x14ac:dyDescent="0.25">
      <c r="A2422" t="s">
        <v>4460</v>
      </c>
      <c r="B2422" s="20">
        <v>45482</v>
      </c>
      <c r="C2422" t="s">
        <v>1177</v>
      </c>
      <c r="D2422" t="s">
        <v>1877</v>
      </c>
      <c r="E2422" t="s">
        <v>194</v>
      </c>
      <c r="F2422" t="s">
        <v>443</v>
      </c>
      <c r="G2422">
        <v>1</v>
      </c>
      <c r="H2422" s="21">
        <v>1798.76</v>
      </c>
      <c r="I2422">
        <v>20</v>
      </c>
      <c r="J2422" s="21">
        <v>359.75</v>
      </c>
      <c r="K2422">
        <v>12</v>
      </c>
      <c r="L2422" s="21">
        <v>172.68</v>
      </c>
      <c r="M2422" s="21">
        <v>1611.69</v>
      </c>
      <c r="N2422" s="21">
        <v>1331.55</v>
      </c>
      <c r="O2422" s="21">
        <v>107.46</v>
      </c>
      <c r="P2422" t="s">
        <v>121</v>
      </c>
      <c r="Q2422" t="s">
        <v>120</v>
      </c>
      <c r="R2422" t="s">
        <v>151</v>
      </c>
      <c r="S2422" t="s">
        <v>2453</v>
      </c>
      <c r="T2422" t="s">
        <v>153</v>
      </c>
      <c r="U2422" t="s">
        <v>154</v>
      </c>
      <c r="V2422" t="str">
        <f>IFERROR(INDEX(Products!$C:$C,MATCH(D2422,Products!$A:$A,0)),"Unknown")</f>
        <v>Women Sarees</v>
      </c>
      <c r="W2422" t="str">
        <f>IFERROR(INDEX(Products!$E:$E,MATCH(D2422,Products!$A:$A,0)),"Unknown")</f>
        <v>Sonata</v>
      </c>
      <c r="X2422" t="str">
        <f>IFERROR(INDEX(Stores!$B:$B,MATCH(E2422,Stores!$A:$A,0)),"Unknown")</f>
        <v>TrendMart Tirupati High Street</v>
      </c>
      <c r="Y2422" t="str">
        <f>IFERROR(INDEX(Stores!$E:$E,MATCH(E2422,Stores!$A:$A,0)),"Unknown")</f>
        <v>South Zone 3</v>
      </c>
      <c r="Z2422" t="str">
        <f>IFERROR(INDEX(Customers!$J:$J,MATCH(C2422,Customers!$A:$A,0)),"Unknown")</f>
        <v>Silver</v>
      </c>
      <c r="AA2422" t="str">
        <f t="shared" si="37"/>
        <v>2024-07</v>
      </c>
      <c r="AB2422" t="str">
        <f>IFERROR(INDEX(Products!$I:$I,MATCH(D2422,Products!$A:$A,0)),"Unknown")</f>
        <v>SUP073</v>
      </c>
    </row>
    <row r="2423" spans="1:28" x14ac:dyDescent="0.25">
      <c r="A2423" t="s">
        <v>4461</v>
      </c>
      <c r="B2423" s="20">
        <v>45385</v>
      </c>
      <c r="C2423" t="s">
        <v>2416</v>
      </c>
      <c r="D2423" t="s">
        <v>773</v>
      </c>
      <c r="E2423" t="s">
        <v>85</v>
      </c>
      <c r="F2423" t="s">
        <v>150</v>
      </c>
      <c r="G2423">
        <v>1</v>
      </c>
      <c r="H2423" s="21">
        <v>3355.53</v>
      </c>
      <c r="I2423">
        <v>20</v>
      </c>
      <c r="J2423" s="21">
        <v>671.11</v>
      </c>
      <c r="K2423">
        <v>12</v>
      </c>
      <c r="L2423" s="21">
        <v>322.13</v>
      </c>
      <c r="M2423" s="21">
        <v>3006.55</v>
      </c>
      <c r="N2423" s="21">
        <v>2710.05</v>
      </c>
      <c r="O2423" s="21">
        <v>-25.63</v>
      </c>
      <c r="P2423" t="s">
        <v>121</v>
      </c>
      <c r="Q2423" t="s">
        <v>122</v>
      </c>
      <c r="R2423" t="s">
        <v>151</v>
      </c>
      <c r="S2423" t="s">
        <v>849</v>
      </c>
      <c r="T2423" t="s">
        <v>153</v>
      </c>
      <c r="U2423" t="s">
        <v>184</v>
      </c>
      <c r="V2423" t="str">
        <f>IFERROR(INDEX(Products!$C:$C,MATCH(D2423,Products!$A:$A,0)),"Unknown")</f>
        <v>Women Sarees</v>
      </c>
      <c r="W2423" t="str">
        <f>IFERROR(INDEX(Products!$E:$E,MATCH(D2423,Products!$A:$A,0)),"Unknown")</f>
        <v>Bata</v>
      </c>
      <c r="X2423" t="str">
        <f>IFERROR(INDEX(Stores!$B:$B,MATCH(E2423,Stores!$A:$A,0)),"Unknown")</f>
        <v>TrendMart Kalaburagi Mall Kiosk</v>
      </c>
      <c r="Y2423" t="str">
        <f>IFERROR(INDEX(Stores!$E:$E,MATCH(E2423,Stores!$A:$A,0)),"Unknown")</f>
        <v>South Zone 2</v>
      </c>
      <c r="Z2423" t="str">
        <f>IFERROR(INDEX(Customers!$J:$J,MATCH(C2423,Customers!$A:$A,0)),"Unknown")</f>
        <v>Regular</v>
      </c>
      <c r="AA2423" t="str">
        <f t="shared" si="37"/>
        <v>2024-04</v>
      </c>
      <c r="AB2423" t="str">
        <f>IFERROR(INDEX(Products!$I:$I,MATCH(D2423,Products!$A:$A,0)),"Unknown")</f>
        <v>SUP086</v>
      </c>
    </row>
    <row r="2424" spans="1:28" x14ac:dyDescent="0.25">
      <c r="A2424" t="s">
        <v>4462</v>
      </c>
      <c r="B2424" s="20">
        <v>45416</v>
      </c>
      <c r="C2424" t="s">
        <v>2795</v>
      </c>
      <c r="D2424" t="s">
        <v>1204</v>
      </c>
      <c r="E2424" t="s">
        <v>81</v>
      </c>
      <c r="F2424" t="s">
        <v>377</v>
      </c>
      <c r="G2424">
        <v>5</v>
      </c>
      <c r="H2424" s="21">
        <v>809.84</v>
      </c>
      <c r="I2424">
        <v>0</v>
      </c>
      <c r="J2424" s="21">
        <v>0</v>
      </c>
      <c r="K2424">
        <v>5</v>
      </c>
      <c r="L2424" s="21">
        <v>202.46</v>
      </c>
      <c r="M2424" s="21">
        <v>4251.66</v>
      </c>
      <c r="N2424" s="21">
        <v>2072.5</v>
      </c>
      <c r="O2424" s="21">
        <v>1976.7</v>
      </c>
      <c r="P2424" t="s">
        <v>123</v>
      </c>
      <c r="Q2424" t="s">
        <v>120</v>
      </c>
      <c r="R2424" t="s">
        <v>151</v>
      </c>
      <c r="S2424" t="s">
        <v>1222</v>
      </c>
      <c r="T2424" t="s">
        <v>161</v>
      </c>
      <c r="U2424" t="s">
        <v>154</v>
      </c>
      <c r="V2424" t="str">
        <f>IFERROR(INDEX(Products!$C:$C,MATCH(D2424,Products!$A:$A,0)),"Unknown")</f>
        <v>Accessories</v>
      </c>
      <c r="W2424" t="str">
        <f>IFERROR(INDEX(Products!$E:$E,MATCH(D2424,Products!$A:$A,0)),"Unknown")</f>
        <v>Pepe Jeans</v>
      </c>
      <c r="X2424" t="str">
        <f>IFERROR(INDEX(Stores!$B:$B,MATCH(E2424,Stores!$A:$A,0)),"Unknown")</f>
        <v>TrendMart Vijayawada High Street</v>
      </c>
      <c r="Y2424" t="str">
        <f>IFERROR(INDEX(Stores!$E:$E,MATCH(E2424,Stores!$A:$A,0)),"Unknown")</f>
        <v>South Zone 3</v>
      </c>
      <c r="Z2424" t="str">
        <f>IFERROR(INDEX(Customers!$J:$J,MATCH(C2424,Customers!$A:$A,0)),"Unknown")</f>
        <v>Gold</v>
      </c>
      <c r="AA2424" t="str">
        <f t="shared" si="37"/>
        <v>2024-05</v>
      </c>
      <c r="AB2424" t="str">
        <f>IFERROR(INDEX(Products!$I:$I,MATCH(D2424,Products!$A:$A,0)),"Unknown")</f>
        <v>SUP008</v>
      </c>
    </row>
    <row r="2425" spans="1:28" x14ac:dyDescent="0.25">
      <c r="A2425" t="s">
        <v>4463</v>
      </c>
      <c r="B2425" s="20">
        <v>45572</v>
      </c>
      <c r="C2425" t="s">
        <v>2466</v>
      </c>
      <c r="D2425" t="s">
        <v>1373</v>
      </c>
      <c r="E2425" t="s">
        <v>274</v>
      </c>
      <c r="F2425" t="s">
        <v>532</v>
      </c>
      <c r="G2425">
        <v>1</v>
      </c>
      <c r="H2425" s="21">
        <v>3355</v>
      </c>
      <c r="I2425">
        <v>25</v>
      </c>
      <c r="J2425" s="21">
        <v>838.75</v>
      </c>
      <c r="K2425">
        <v>12</v>
      </c>
      <c r="L2425" s="21">
        <v>301.95</v>
      </c>
      <c r="M2425" s="21">
        <v>2818.2</v>
      </c>
      <c r="N2425" s="21">
        <v>2458</v>
      </c>
      <c r="O2425" s="21">
        <v>58.25</v>
      </c>
      <c r="P2425" t="s">
        <v>124</v>
      </c>
      <c r="Q2425" t="s">
        <v>122</v>
      </c>
      <c r="R2425" t="s">
        <v>151</v>
      </c>
      <c r="S2425" t="s">
        <v>4464</v>
      </c>
      <c r="T2425" t="s">
        <v>153</v>
      </c>
      <c r="U2425" t="s">
        <v>154</v>
      </c>
      <c r="V2425" t="str">
        <f>IFERROR(INDEX(Products!$C:$C,MATCH(D2425,Products!$A:$A,0)),"Unknown")</f>
        <v>Footwear</v>
      </c>
      <c r="W2425" t="str">
        <f>IFERROR(INDEX(Products!$E:$E,MATCH(D2425,Products!$A:$A,0)),"Unknown")</f>
        <v>Unknown</v>
      </c>
      <c r="X2425" t="str">
        <f>IFERROR(INDEX(Stores!$B:$B,MATCH(E2425,Stores!$A:$A,0)),"Unknown")</f>
        <v>TrendMart Mangaluru Standard</v>
      </c>
      <c r="Y2425" t="str">
        <f>IFERROR(INDEX(Stores!$E:$E,MATCH(E2425,Stores!$A:$A,0)),"Unknown")</f>
        <v>South Zone 2</v>
      </c>
      <c r="Z2425" t="str">
        <f>IFERROR(INDEX(Customers!$J:$J,MATCH(C2425,Customers!$A:$A,0)),"Unknown")</f>
        <v>Regular</v>
      </c>
      <c r="AA2425" t="str">
        <f t="shared" si="37"/>
        <v>2024-10</v>
      </c>
      <c r="AB2425" t="str">
        <f>IFERROR(INDEX(Products!$I:$I,MATCH(D2425,Products!$A:$A,0)),"Unknown")</f>
        <v>SUP087</v>
      </c>
    </row>
    <row r="2426" spans="1:28" x14ac:dyDescent="0.25">
      <c r="A2426" t="s">
        <v>4465</v>
      </c>
      <c r="B2426" s="20">
        <v>45584</v>
      </c>
      <c r="C2426" t="s">
        <v>2838</v>
      </c>
      <c r="D2426" t="s">
        <v>1454</v>
      </c>
      <c r="E2426" t="s">
        <v>630</v>
      </c>
      <c r="F2426" t="s">
        <v>382</v>
      </c>
      <c r="G2426">
        <v>1</v>
      </c>
      <c r="H2426" s="21">
        <v>833.82</v>
      </c>
      <c r="I2426">
        <v>10</v>
      </c>
      <c r="J2426" s="21">
        <v>83.38</v>
      </c>
      <c r="K2426">
        <v>5</v>
      </c>
      <c r="L2426" s="21">
        <v>37.520000000000003</v>
      </c>
      <c r="M2426" s="21">
        <v>787.96</v>
      </c>
      <c r="N2426" s="21">
        <v>570.17999999999995</v>
      </c>
      <c r="O2426" s="21">
        <v>180.26</v>
      </c>
      <c r="P2426" t="s">
        <v>124</v>
      </c>
      <c r="Q2426" t="s">
        <v>120</v>
      </c>
      <c r="R2426" t="s">
        <v>151</v>
      </c>
      <c r="S2426" t="s">
        <v>1153</v>
      </c>
      <c r="T2426" t="s">
        <v>161</v>
      </c>
      <c r="U2426" t="s">
        <v>154</v>
      </c>
      <c r="V2426" t="str">
        <f>IFERROR(INDEX(Products!$C:$C,MATCH(D2426,Products!$A:$A,0)),"Unknown")</f>
        <v>Wallets</v>
      </c>
      <c r="W2426" t="str">
        <f>IFERROR(INDEX(Products!$E:$E,MATCH(D2426,Products!$A:$A,0)),"Unknown")</f>
        <v>Skechers</v>
      </c>
      <c r="X2426" t="str">
        <f>IFERROR(INDEX(Stores!$B:$B,MATCH(E2426,Stores!$A:$A,0)),"Unknown")</f>
        <v>TrendMart Guntur Standard</v>
      </c>
      <c r="Y2426" t="str">
        <f>IFERROR(INDEX(Stores!$E:$E,MATCH(E2426,Stores!$A:$A,0)),"Unknown")</f>
        <v>South Zone 3</v>
      </c>
      <c r="Z2426" t="str">
        <f>IFERROR(INDEX(Customers!$J:$J,MATCH(C2426,Customers!$A:$A,0)),"Unknown")</f>
        <v>Regular</v>
      </c>
      <c r="AA2426" t="str">
        <f t="shared" si="37"/>
        <v>2024-10</v>
      </c>
      <c r="AB2426" t="str">
        <f>IFERROR(INDEX(Products!$I:$I,MATCH(D2426,Products!$A:$A,0)),"Unknown")</f>
        <v>SUP013</v>
      </c>
    </row>
    <row r="2427" spans="1:28" x14ac:dyDescent="0.25">
      <c r="A2427" t="s">
        <v>4466</v>
      </c>
      <c r="B2427" s="20">
        <v>45421</v>
      </c>
      <c r="C2427" t="s">
        <v>2357</v>
      </c>
      <c r="D2427" t="s">
        <v>149</v>
      </c>
      <c r="E2427" t="s">
        <v>1187</v>
      </c>
      <c r="F2427" t="s">
        <v>303</v>
      </c>
      <c r="G2427">
        <v>1</v>
      </c>
      <c r="H2427" s="21">
        <v>786.11</v>
      </c>
      <c r="I2427">
        <v>30</v>
      </c>
      <c r="J2427" s="21">
        <v>235.83</v>
      </c>
      <c r="K2427">
        <v>5</v>
      </c>
      <c r="L2427" s="21">
        <v>27.51</v>
      </c>
      <c r="M2427" s="21">
        <v>577.79</v>
      </c>
      <c r="N2427" s="21">
        <v>496.67</v>
      </c>
      <c r="O2427" s="21">
        <v>53.61</v>
      </c>
      <c r="P2427" t="s">
        <v>121</v>
      </c>
      <c r="Q2427" t="s">
        <v>120</v>
      </c>
      <c r="R2427" t="s">
        <v>151</v>
      </c>
      <c r="S2427" t="s">
        <v>1929</v>
      </c>
      <c r="T2427" t="s">
        <v>153</v>
      </c>
      <c r="U2427" t="s">
        <v>154</v>
      </c>
      <c r="V2427" t="str">
        <f>IFERROR(INDEX(Products!$C:$C,MATCH(D2427,Products!$A:$A,0)),"Unknown")</f>
        <v>Women Kurtis</v>
      </c>
      <c r="W2427" t="str">
        <f>IFERROR(INDEX(Products!$E:$E,MATCH(D2427,Products!$A:$A,0)),"Unknown")</f>
        <v>Pepe Jeans</v>
      </c>
      <c r="X2427" t="str">
        <f>IFERROR(INDEX(Stores!$B:$B,MATCH(E2427,Stores!$A:$A,0)),"Unknown")</f>
        <v>TrendMart Vijayawada Mall Kiosk</v>
      </c>
      <c r="Y2427" t="str">
        <f>IFERROR(INDEX(Stores!$E:$E,MATCH(E2427,Stores!$A:$A,0)),"Unknown")</f>
        <v>South Zone 3</v>
      </c>
      <c r="Z2427" t="str">
        <f>IFERROR(INDEX(Customers!$J:$J,MATCH(C2427,Customers!$A:$A,0)),"Unknown")</f>
        <v>Silver</v>
      </c>
      <c r="AA2427" t="str">
        <f t="shared" si="37"/>
        <v>2024-05</v>
      </c>
      <c r="AB2427" t="str">
        <f>IFERROR(INDEX(Products!$I:$I,MATCH(D2427,Products!$A:$A,0)),"Unknown")</f>
        <v>SUP049</v>
      </c>
    </row>
    <row r="2428" spans="1:28" x14ac:dyDescent="0.25">
      <c r="A2428" t="s">
        <v>4467</v>
      </c>
      <c r="B2428" s="20">
        <v>45678</v>
      </c>
      <c r="C2428" t="s">
        <v>594</v>
      </c>
      <c r="D2428" t="s">
        <v>220</v>
      </c>
      <c r="E2428" t="s">
        <v>274</v>
      </c>
      <c r="F2428" t="s">
        <v>579</v>
      </c>
      <c r="G2428">
        <v>2</v>
      </c>
      <c r="H2428" s="21">
        <v>5647.31</v>
      </c>
      <c r="I2428">
        <v>10</v>
      </c>
      <c r="J2428" s="21">
        <v>1129.46</v>
      </c>
      <c r="K2428">
        <v>12</v>
      </c>
      <c r="L2428" s="21">
        <v>1219.82</v>
      </c>
      <c r="M2428" s="21">
        <v>11384.98</v>
      </c>
      <c r="N2428" s="21">
        <v>7941.72</v>
      </c>
      <c r="O2428" s="21">
        <v>2223.44</v>
      </c>
      <c r="P2428" t="s">
        <v>124</v>
      </c>
      <c r="Q2428" t="s">
        <v>122</v>
      </c>
      <c r="R2428" t="s">
        <v>151</v>
      </c>
      <c r="S2428" t="s">
        <v>899</v>
      </c>
      <c r="T2428" t="s">
        <v>153</v>
      </c>
      <c r="U2428" t="s">
        <v>154</v>
      </c>
      <c r="V2428" t="str">
        <f>IFERROR(INDEX(Products!$C:$C,MATCH(D2428,Products!$A:$A,0)),"Unknown")</f>
        <v>Watches</v>
      </c>
      <c r="W2428" t="str">
        <f>IFERROR(INDEX(Products!$E:$E,MATCH(D2428,Products!$A:$A,0)),"Unknown")</f>
        <v>Global Desi</v>
      </c>
      <c r="X2428" t="str">
        <f>IFERROR(INDEX(Stores!$B:$B,MATCH(E2428,Stores!$A:$A,0)),"Unknown")</f>
        <v>TrendMart Mangaluru Standard</v>
      </c>
      <c r="Y2428" t="str">
        <f>IFERROR(INDEX(Stores!$E:$E,MATCH(E2428,Stores!$A:$A,0)),"Unknown")</f>
        <v>South Zone 2</v>
      </c>
      <c r="Z2428" t="str">
        <f>IFERROR(INDEX(Customers!$J:$J,MATCH(C2428,Customers!$A:$A,0)),"Unknown")</f>
        <v>Silver</v>
      </c>
      <c r="AA2428" t="str">
        <f t="shared" si="37"/>
        <v>2025-01</v>
      </c>
      <c r="AB2428" t="str">
        <f>IFERROR(INDEX(Products!$I:$I,MATCH(D2428,Products!$A:$A,0)),"Unknown")</f>
        <v>SUP055</v>
      </c>
    </row>
    <row r="2429" spans="1:28" x14ac:dyDescent="0.25">
      <c r="A2429" t="s">
        <v>4468</v>
      </c>
      <c r="B2429" s="20">
        <v>45393</v>
      </c>
      <c r="C2429" t="s">
        <v>1742</v>
      </c>
      <c r="D2429" t="s">
        <v>1016</v>
      </c>
      <c r="E2429" t="s">
        <v>525</v>
      </c>
      <c r="F2429" t="s">
        <v>275</v>
      </c>
      <c r="G2429">
        <v>1</v>
      </c>
      <c r="H2429" s="21">
        <v>5314.31</v>
      </c>
      <c r="I2429">
        <v>10</v>
      </c>
      <c r="J2429" s="21">
        <v>531.42999999999995</v>
      </c>
      <c r="K2429">
        <v>12</v>
      </c>
      <c r="L2429" s="21">
        <v>573.95000000000005</v>
      </c>
      <c r="M2429" s="21">
        <v>5356.83</v>
      </c>
      <c r="N2429" s="21">
        <v>3662.37</v>
      </c>
      <c r="O2429" s="21">
        <v>1120.51</v>
      </c>
      <c r="P2429" t="s">
        <v>124</v>
      </c>
      <c r="Q2429" t="s">
        <v>122</v>
      </c>
      <c r="R2429" t="s">
        <v>151</v>
      </c>
      <c r="S2429" t="s">
        <v>626</v>
      </c>
      <c r="T2429" t="s">
        <v>153</v>
      </c>
      <c r="U2429" t="s">
        <v>154</v>
      </c>
      <c r="V2429" t="str">
        <f>IFERROR(INDEX(Products!$C:$C,MATCH(D2429,Products!$A:$A,0)),"Unknown")</f>
        <v>Watches</v>
      </c>
      <c r="W2429" t="str">
        <f>IFERROR(INDEX(Products!$E:$E,MATCH(D2429,Products!$A:$A,0)),"Unknown")</f>
        <v>Pantaloons</v>
      </c>
      <c r="X2429" t="str">
        <f>IFERROR(INDEX(Stores!$B:$B,MATCH(E2429,Stores!$A:$A,0)),"Unknown")</f>
        <v>TrendMart Kollam Standard</v>
      </c>
      <c r="Y2429" t="str">
        <f>IFERROR(INDEX(Stores!$E:$E,MATCH(E2429,Stores!$A:$A,0)),"Unknown")</f>
        <v>South Zone 1</v>
      </c>
      <c r="Z2429" t="str">
        <f>IFERROR(INDEX(Customers!$J:$J,MATCH(C2429,Customers!$A:$A,0)),"Unknown")</f>
        <v>Silver</v>
      </c>
      <c r="AA2429" t="str">
        <f t="shared" si="37"/>
        <v>2024-04</v>
      </c>
      <c r="AB2429" t="str">
        <f>IFERROR(INDEX(Products!$I:$I,MATCH(D2429,Products!$A:$A,0)),"Unknown")</f>
        <v>SUP007</v>
      </c>
    </row>
    <row r="2430" spans="1:28" x14ac:dyDescent="0.25">
      <c r="A2430" t="s">
        <v>4469</v>
      </c>
      <c r="B2430" s="20">
        <v>45736</v>
      </c>
      <c r="C2430" t="s">
        <v>1181</v>
      </c>
      <c r="D2430" t="s">
        <v>1088</v>
      </c>
      <c r="E2430" t="s">
        <v>578</v>
      </c>
      <c r="F2430" t="s">
        <v>579</v>
      </c>
      <c r="G2430">
        <v>2</v>
      </c>
      <c r="H2430" s="21">
        <v>894.53</v>
      </c>
      <c r="I2430">
        <v>30</v>
      </c>
      <c r="J2430" s="21">
        <v>536.72</v>
      </c>
      <c r="K2430">
        <v>5</v>
      </c>
      <c r="L2430" s="21">
        <v>62.62</v>
      </c>
      <c r="M2430" s="21">
        <v>1314.96</v>
      </c>
      <c r="N2430" s="21">
        <v>1198.56</v>
      </c>
      <c r="O2430" s="21">
        <v>53.78</v>
      </c>
      <c r="P2430" t="s">
        <v>125</v>
      </c>
      <c r="Q2430" t="s">
        <v>122</v>
      </c>
      <c r="R2430" t="s">
        <v>151</v>
      </c>
      <c r="S2430" t="s">
        <v>2177</v>
      </c>
      <c r="T2430" t="s">
        <v>153</v>
      </c>
      <c r="U2430" t="s">
        <v>154</v>
      </c>
      <c r="V2430" t="str">
        <f>IFERROR(INDEX(Products!$C:$C,MATCH(D2430,Products!$A:$A,0)),"Unknown")</f>
        <v>Women Kurtis</v>
      </c>
      <c r="W2430" t="str">
        <f>IFERROR(INDEX(Products!$E:$E,MATCH(D2430,Products!$A:$A,0)),"Unknown")</f>
        <v>Metro Shoes</v>
      </c>
      <c r="X2430" t="str">
        <f>IFERROR(INDEX(Stores!$B:$B,MATCH(E2430,Stores!$A:$A,0)),"Unknown")</f>
        <v>TrendMart Vellore Standard</v>
      </c>
      <c r="Y2430" t="str">
        <f>IFERROR(INDEX(Stores!$E:$E,MATCH(E2430,Stores!$A:$A,0)),"Unknown")</f>
        <v>South Zone 1</v>
      </c>
      <c r="Z2430" t="str">
        <f>IFERROR(INDEX(Customers!$J:$J,MATCH(C2430,Customers!$A:$A,0)),"Unknown")</f>
        <v>Gold</v>
      </c>
      <c r="AA2430" t="str">
        <f t="shared" si="37"/>
        <v>2025-03</v>
      </c>
      <c r="AB2430" t="str">
        <f>IFERROR(INDEX(Products!$I:$I,MATCH(D2430,Products!$A:$A,0)),"Unknown")</f>
        <v>SUP045</v>
      </c>
    </row>
    <row r="2431" spans="1:28" x14ac:dyDescent="0.25">
      <c r="A2431" t="s">
        <v>4470</v>
      </c>
      <c r="B2431" s="20">
        <v>45483</v>
      </c>
      <c r="C2431" t="s">
        <v>1624</v>
      </c>
      <c r="D2431" t="s">
        <v>1476</v>
      </c>
      <c r="E2431" t="s">
        <v>89</v>
      </c>
      <c r="F2431" t="s">
        <v>579</v>
      </c>
      <c r="G2431">
        <v>1</v>
      </c>
      <c r="H2431" s="21">
        <v>764.52</v>
      </c>
      <c r="I2431">
        <v>15</v>
      </c>
      <c r="J2431" s="21">
        <v>114.68</v>
      </c>
      <c r="K2431">
        <v>5</v>
      </c>
      <c r="L2431" s="21">
        <v>32.49</v>
      </c>
      <c r="M2431" s="21">
        <v>682.33</v>
      </c>
      <c r="N2431" s="21">
        <v>585.26</v>
      </c>
      <c r="O2431" s="21">
        <v>64.58</v>
      </c>
      <c r="P2431" t="s">
        <v>121</v>
      </c>
      <c r="Q2431" t="s">
        <v>122</v>
      </c>
      <c r="R2431" t="s">
        <v>151</v>
      </c>
      <c r="S2431" t="s">
        <v>1201</v>
      </c>
      <c r="T2431" t="s">
        <v>153</v>
      </c>
      <c r="U2431" t="s">
        <v>154</v>
      </c>
      <c r="V2431" t="str">
        <f>IFERROR(INDEX(Products!$C:$C,MATCH(D2431,Products!$A:$A,0)),"Unknown")</f>
        <v>Men Trousers</v>
      </c>
      <c r="W2431" t="str">
        <f>IFERROR(INDEX(Products!$E:$E,MATCH(D2431,Products!$A:$A,0)),"Unknown")</f>
        <v>Van Heusen</v>
      </c>
      <c r="X2431" t="str">
        <f>IFERROR(INDEX(Stores!$B:$B,MATCH(E2431,Stores!$A:$A,0)),"Unknown")</f>
        <v>TrendMart Kochi Standard</v>
      </c>
      <c r="Y2431" t="str">
        <f>IFERROR(INDEX(Stores!$E:$E,MATCH(E2431,Stores!$A:$A,0)),"Unknown")</f>
        <v>South Zone 1</v>
      </c>
      <c r="Z2431" t="str">
        <f>IFERROR(INDEX(Customers!$J:$J,MATCH(C2431,Customers!$A:$A,0)),"Unknown")</f>
        <v>Silver</v>
      </c>
      <c r="AA2431" t="str">
        <f t="shared" si="37"/>
        <v>2024-07</v>
      </c>
      <c r="AB2431" t="str">
        <f>IFERROR(INDEX(Products!$I:$I,MATCH(D2431,Products!$A:$A,0)),"Unknown")</f>
        <v>SUP012</v>
      </c>
    </row>
    <row r="2432" spans="1:28" x14ac:dyDescent="0.25">
      <c r="A2432" t="s">
        <v>4471</v>
      </c>
      <c r="B2432" s="20">
        <v>45575</v>
      </c>
      <c r="C2432" t="s">
        <v>3826</v>
      </c>
      <c r="D2432" t="s">
        <v>498</v>
      </c>
      <c r="E2432" t="s">
        <v>1591</v>
      </c>
      <c r="F2432" t="s">
        <v>275</v>
      </c>
      <c r="G2432">
        <v>2</v>
      </c>
      <c r="H2432" s="21">
        <v>425.97</v>
      </c>
      <c r="I2432">
        <v>10</v>
      </c>
      <c r="J2432" s="21">
        <v>85.19</v>
      </c>
      <c r="K2432">
        <v>5</v>
      </c>
      <c r="L2432" s="21">
        <v>38.340000000000003</v>
      </c>
      <c r="M2432" s="21">
        <v>805.09</v>
      </c>
      <c r="N2432" s="21">
        <v>630.26</v>
      </c>
      <c r="O2432" s="21">
        <v>136.49</v>
      </c>
      <c r="P2432" t="s">
        <v>123</v>
      </c>
      <c r="Q2432" t="s">
        <v>120</v>
      </c>
      <c r="R2432" t="s">
        <v>151</v>
      </c>
      <c r="S2432" t="s">
        <v>4472</v>
      </c>
      <c r="T2432" t="s">
        <v>153</v>
      </c>
      <c r="U2432" t="s">
        <v>154</v>
      </c>
      <c r="V2432" t="str">
        <f>IFERROR(INDEX(Products!$C:$C,MATCH(D2432,Products!$A:$A,0)),"Unknown")</f>
        <v>Belts</v>
      </c>
      <c r="W2432" t="str">
        <f>IFERROR(INDEX(Products!$E:$E,MATCH(D2432,Products!$A:$A,0)),"Unknown")</f>
        <v>Nike</v>
      </c>
      <c r="X2432" t="str">
        <f>IFERROR(INDEX(Stores!$B:$B,MATCH(E2432,Stores!$A:$A,0)),"Unknown")</f>
        <v>TrendMart Guntur Standard</v>
      </c>
      <c r="Y2432" t="str">
        <f>IFERROR(INDEX(Stores!$E:$E,MATCH(E2432,Stores!$A:$A,0)),"Unknown")</f>
        <v>South Zone 3</v>
      </c>
      <c r="Z2432" t="str">
        <f>IFERROR(INDEX(Customers!$J:$J,MATCH(C2432,Customers!$A:$A,0)),"Unknown")</f>
        <v>Regular</v>
      </c>
      <c r="AA2432" t="str">
        <f t="shared" si="37"/>
        <v>2024-10</v>
      </c>
      <c r="AB2432" t="str">
        <f>IFERROR(INDEX(Products!$I:$I,MATCH(D2432,Products!$A:$A,0)),"Unknown")</f>
        <v>SUP071</v>
      </c>
    </row>
    <row r="2433" spans="1:28" x14ac:dyDescent="0.25">
      <c r="A2433" t="s">
        <v>4473</v>
      </c>
      <c r="B2433" s="20">
        <v>45566</v>
      </c>
      <c r="C2433" t="s">
        <v>1573</v>
      </c>
      <c r="D2433" t="s">
        <v>717</v>
      </c>
      <c r="E2433" t="s">
        <v>999</v>
      </c>
      <c r="F2433" t="s">
        <v>170</v>
      </c>
      <c r="G2433">
        <v>1</v>
      </c>
      <c r="H2433" s="21">
        <v>1752.56</v>
      </c>
      <c r="I2433">
        <v>15</v>
      </c>
      <c r="J2433" s="21">
        <v>262.88</v>
      </c>
      <c r="K2433">
        <v>12</v>
      </c>
      <c r="L2433" s="21">
        <v>178.76</v>
      </c>
      <c r="M2433" s="21">
        <v>1668.44</v>
      </c>
      <c r="N2433" s="21">
        <v>1133.27</v>
      </c>
      <c r="O2433" s="21">
        <v>356.41</v>
      </c>
      <c r="P2433" t="s">
        <v>121</v>
      </c>
      <c r="Q2433" t="s">
        <v>120</v>
      </c>
      <c r="R2433" t="s">
        <v>151</v>
      </c>
      <c r="S2433" t="s">
        <v>3484</v>
      </c>
      <c r="T2433" t="s">
        <v>153</v>
      </c>
      <c r="U2433" t="s">
        <v>154</v>
      </c>
      <c r="V2433" t="str">
        <f>IFERROR(INDEX(Products!$C:$C,MATCH(D2433,Products!$A:$A,0)),"Unknown")</f>
        <v>Women Dresses</v>
      </c>
      <c r="W2433" t="str">
        <f>IFERROR(INDEX(Products!$E:$E,MATCH(D2433,Products!$A:$A,0)),"Unknown")</f>
        <v>Pantaloons</v>
      </c>
      <c r="X2433" t="str">
        <f>IFERROR(INDEX(Stores!$B:$B,MATCH(E2433,Stores!$A:$A,0)),"Unknown")</f>
        <v>TrendMart Tumakuru Standard</v>
      </c>
      <c r="Y2433" t="str">
        <f>IFERROR(INDEX(Stores!$E:$E,MATCH(E2433,Stores!$A:$A,0)),"Unknown")</f>
        <v>South Zone 2</v>
      </c>
      <c r="Z2433" t="str">
        <f>IFERROR(INDEX(Customers!$J:$J,MATCH(C2433,Customers!$A:$A,0)),"Unknown")</f>
        <v>Silver</v>
      </c>
      <c r="AA2433" t="str">
        <f t="shared" si="37"/>
        <v>2024-10</v>
      </c>
      <c r="AB2433" t="str">
        <f>IFERROR(INDEX(Products!$I:$I,MATCH(D2433,Products!$A:$A,0)),"Unknown")</f>
        <v>SUP046</v>
      </c>
    </row>
    <row r="2434" spans="1:28" x14ac:dyDescent="0.25">
      <c r="A2434" t="s">
        <v>4474</v>
      </c>
      <c r="B2434" s="20">
        <v>45525</v>
      </c>
      <c r="C2434" t="s">
        <v>1288</v>
      </c>
      <c r="D2434" t="s">
        <v>748</v>
      </c>
      <c r="E2434" t="s">
        <v>848</v>
      </c>
      <c r="F2434" t="s">
        <v>150</v>
      </c>
      <c r="G2434">
        <v>1</v>
      </c>
      <c r="H2434" s="21">
        <v>1213.49</v>
      </c>
      <c r="I2434">
        <v>5</v>
      </c>
      <c r="J2434" s="21">
        <v>60.67</v>
      </c>
      <c r="K2434">
        <v>12</v>
      </c>
      <c r="L2434" s="21">
        <v>138.34</v>
      </c>
      <c r="M2434" s="21">
        <v>1291.1600000000001</v>
      </c>
      <c r="N2434" s="21">
        <v>841.85</v>
      </c>
      <c r="O2434" s="21">
        <v>310.97000000000003</v>
      </c>
      <c r="P2434" t="s">
        <v>121</v>
      </c>
      <c r="Q2434" t="s">
        <v>120</v>
      </c>
      <c r="R2434" t="s">
        <v>151</v>
      </c>
      <c r="S2434" t="s">
        <v>2112</v>
      </c>
      <c r="T2434" t="s">
        <v>153</v>
      </c>
      <c r="U2434" t="s">
        <v>154</v>
      </c>
      <c r="V2434" t="str">
        <f>IFERROR(INDEX(Products!$C:$C,MATCH(D2434,Products!$A:$A,0)),"Unknown")</f>
        <v>Women Dresses</v>
      </c>
      <c r="W2434" t="str">
        <f>IFERROR(INDEX(Products!$E:$E,MATCH(D2434,Products!$A:$A,0)),"Unknown")</f>
        <v>Kalyan Silks</v>
      </c>
      <c r="X2434" t="str">
        <f>IFERROR(INDEX(Stores!$B:$B,MATCH(E2434,Stores!$A:$A,0)),"Unknown")</f>
        <v>TrendMart Shivamogga Standard</v>
      </c>
      <c r="Y2434" t="str">
        <f>IFERROR(INDEX(Stores!$E:$E,MATCH(E2434,Stores!$A:$A,0)),"Unknown")</f>
        <v>South Zone 2</v>
      </c>
      <c r="Z2434" t="str">
        <f>IFERROR(INDEX(Customers!$J:$J,MATCH(C2434,Customers!$A:$A,0)),"Unknown")</f>
        <v>Silver</v>
      </c>
      <c r="AA2434" t="str">
        <f t="shared" ref="AA2434:AA2497" si="38">TEXT(B2434,"YYYY-MM")</f>
        <v>2024-08</v>
      </c>
      <c r="AB2434" t="str">
        <f>IFERROR(INDEX(Products!$I:$I,MATCH(D2434,Products!$A:$A,0)),"Unknown")</f>
        <v>SUP036</v>
      </c>
    </row>
    <row r="2435" spans="1:28" x14ac:dyDescent="0.25">
      <c r="A2435" t="s">
        <v>4475</v>
      </c>
      <c r="B2435" s="20">
        <v>45718</v>
      </c>
      <c r="C2435" t="s">
        <v>987</v>
      </c>
      <c r="D2435" t="s">
        <v>756</v>
      </c>
      <c r="E2435" t="s">
        <v>806</v>
      </c>
      <c r="F2435" t="s">
        <v>242</v>
      </c>
      <c r="G2435">
        <v>4</v>
      </c>
      <c r="H2435" s="21">
        <v>853.2</v>
      </c>
      <c r="I2435">
        <v>30</v>
      </c>
      <c r="J2435" s="21">
        <v>1023.84</v>
      </c>
      <c r="K2435">
        <v>5</v>
      </c>
      <c r="L2435" s="21">
        <v>119.45</v>
      </c>
      <c r="M2435" s="21">
        <v>2508.41</v>
      </c>
      <c r="N2435" s="21">
        <v>2089.52</v>
      </c>
      <c r="O2435" s="21">
        <v>299.44</v>
      </c>
      <c r="P2435" t="s">
        <v>124</v>
      </c>
      <c r="Q2435" t="s">
        <v>120</v>
      </c>
      <c r="R2435" t="s">
        <v>151</v>
      </c>
      <c r="S2435" t="s">
        <v>3003</v>
      </c>
      <c r="T2435" t="s">
        <v>161</v>
      </c>
      <c r="U2435" t="s">
        <v>154</v>
      </c>
      <c r="V2435" t="str">
        <f>IFERROR(INDEX(Products!$C:$C,MATCH(D2435,Products!$A:$A,0)),"Unknown")</f>
        <v>Women Tops</v>
      </c>
      <c r="W2435" t="str">
        <f>IFERROR(INDEX(Products!$E:$E,MATCH(D2435,Products!$A:$A,0)),"Unknown")</f>
        <v>Peter England</v>
      </c>
      <c r="X2435" t="str">
        <f>IFERROR(INDEX(Stores!$B:$B,MATCH(E2435,Stores!$A:$A,0)),"Unknown")</f>
        <v>TrendMart Tirunelveli Flagship</v>
      </c>
      <c r="Y2435" t="str">
        <f>IFERROR(INDEX(Stores!$E:$E,MATCH(E2435,Stores!$A:$A,0)),"Unknown")</f>
        <v>South Zone 1</v>
      </c>
      <c r="Z2435" t="str">
        <f>IFERROR(INDEX(Customers!$J:$J,MATCH(C2435,Customers!$A:$A,0)),"Unknown")</f>
        <v>Regular</v>
      </c>
      <c r="AA2435" t="str">
        <f t="shared" si="38"/>
        <v>2025-03</v>
      </c>
      <c r="AB2435" t="str">
        <f>IFERROR(INDEX(Products!$I:$I,MATCH(D2435,Products!$A:$A,0)),"Unknown")</f>
        <v>SUP018</v>
      </c>
    </row>
    <row r="2436" spans="1:28" x14ac:dyDescent="0.25">
      <c r="A2436" t="s">
        <v>4476</v>
      </c>
      <c r="B2436" s="20">
        <v>45560</v>
      </c>
      <c r="C2436" t="s">
        <v>2444</v>
      </c>
      <c r="D2436" t="s">
        <v>520</v>
      </c>
      <c r="E2436" t="s">
        <v>515</v>
      </c>
      <c r="F2436" t="s">
        <v>189</v>
      </c>
      <c r="G2436">
        <v>1</v>
      </c>
      <c r="H2436" s="21">
        <v>1360.29</v>
      </c>
      <c r="I2436">
        <v>10</v>
      </c>
      <c r="J2436" s="21">
        <v>136.03</v>
      </c>
      <c r="K2436">
        <v>12</v>
      </c>
      <c r="L2436" s="21">
        <v>146.91</v>
      </c>
      <c r="M2436" s="21">
        <v>1371.17</v>
      </c>
      <c r="N2436" s="21">
        <v>903.3</v>
      </c>
      <c r="O2436" s="21">
        <v>320.95999999999998</v>
      </c>
      <c r="P2436" t="s">
        <v>121</v>
      </c>
      <c r="Q2436" t="s">
        <v>120</v>
      </c>
      <c r="R2436" t="s">
        <v>151</v>
      </c>
      <c r="S2436" t="s">
        <v>2524</v>
      </c>
      <c r="T2436" t="s">
        <v>153</v>
      </c>
      <c r="U2436" t="s">
        <v>154</v>
      </c>
      <c r="V2436" t="str">
        <f>IFERROR(INDEX(Products!$C:$C,MATCH(D2436,Products!$A:$A,0)),"Unknown")</f>
        <v>Wallets</v>
      </c>
      <c r="W2436" t="str">
        <f>IFERROR(INDEX(Products!$E:$E,MATCH(D2436,Products!$A:$A,0)),"Unknown")</f>
        <v>Nike</v>
      </c>
      <c r="X2436" t="str">
        <f>IFERROR(INDEX(Stores!$B:$B,MATCH(E2436,Stores!$A:$A,0)),"Unknown")</f>
        <v>TrendMart Kochi High Street</v>
      </c>
      <c r="Y2436" t="str">
        <f>IFERROR(INDEX(Stores!$E:$E,MATCH(E2436,Stores!$A:$A,0)),"Unknown")</f>
        <v>South Zone 1</v>
      </c>
      <c r="Z2436" t="str">
        <f>IFERROR(INDEX(Customers!$J:$J,MATCH(C2436,Customers!$A:$A,0)),"Unknown")</f>
        <v>Regular</v>
      </c>
      <c r="AA2436" t="str">
        <f t="shared" si="38"/>
        <v>2024-09</v>
      </c>
      <c r="AB2436" t="str">
        <f>IFERROR(INDEX(Products!$I:$I,MATCH(D2436,Products!$A:$A,0)),"Unknown")</f>
        <v>SUP027</v>
      </c>
    </row>
    <row r="2437" spans="1:28" x14ac:dyDescent="0.25">
      <c r="A2437" t="s">
        <v>4477</v>
      </c>
      <c r="B2437" s="20">
        <v>45573</v>
      </c>
      <c r="C2437" t="s">
        <v>1732</v>
      </c>
      <c r="D2437" t="s">
        <v>1044</v>
      </c>
      <c r="E2437" t="s">
        <v>461</v>
      </c>
      <c r="F2437" t="s">
        <v>237</v>
      </c>
      <c r="G2437">
        <v>5</v>
      </c>
      <c r="H2437" s="21">
        <v>548.65</v>
      </c>
      <c r="I2437">
        <v>0</v>
      </c>
      <c r="J2437" s="21">
        <v>0</v>
      </c>
      <c r="K2437">
        <v>5</v>
      </c>
      <c r="L2437" s="21">
        <v>137.16</v>
      </c>
      <c r="M2437" s="21">
        <v>2880.41</v>
      </c>
      <c r="N2437" s="21">
        <v>1675.75</v>
      </c>
      <c r="O2437" s="21">
        <v>1067.5</v>
      </c>
      <c r="P2437" t="s">
        <v>121</v>
      </c>
      <c r="Q2437" t="s">
        <v>120</v>
      </c>
      <c r="R2437" t="s">
        <v>151</v>
      </c>
      <c r="S2437" t="s">
        <v>1275</v>
      </c>
      <c r="T2437" t="s">
        <v>153</v>
      </c>
      <c r="U2437" t="s">
        <v>154</v>
      </c>
      <c r="V2437" t="str">
        <f>IFERROR(INDEX(Products!$C:$C,MATCH(D2437,Products!$A:$A,0)),"Unknown")</f>
        <v>Men T-Shirts</v>
      </c>
      <c r="W2437" t="str">
        <f>IFERROR(INDEX(Products!$E:$E,MATCH(D2437,Products!$A:$A,0)),"Unknown")</f>
        <v>Mufti</v>
      </c>
      <c r="X2437" t="str">
        <f>IFERROR(INDEX(Stores!$B:$B,MATCH(E2437,Stores!$A:$A,0)),"Unknown")</f>
        <v>TrendMart Visakhapatnam High Street</v>
      </c>
      <c r="Y2437" t="str">
        <f>IFERROR(INDEX(Stores!$E:$E,MATCH(E2437,Stores!$A:$A,0)),"Unknown")</f>
        <v>South Zone 3</v>
      </c>
      <c r="Z2437" t="str">
        <f>IFERROR(INDEX(Customers!$J:$J,MATCH(C2437,Customers!$A:$A,0)),"Unknown")</f>
        <v>Regular</v>
      </c>
      <c r="AA2437" t="str">
        <f t="shared" si="38"/>
        <v>2024-10</v>
      </c>
      <c r="AB2437" t="str">
        <f>IFERROR(INDEX(Products!$I:$I,MATCH(D2437,Products!$A:$A,0)),"Unknown")</f>
        <v>SUP042</v>
      </c>
    </row>
    <row r="2438" spans="1:28" x14ac:dyDescent="0.25">
      <c r="A2438" t="s">
        <v>4478</v>
      </c>
      <c r="B2438" s="20">
        <v>45733</v>
      </c>
      <c r="C2438" t="s">
        <v>1766</v>
      </c>
      <c r="D2438" t="s">
        <v>947</v>
      </c>
      <c r="E2438" t="s">
        <v>1825</v>
      </c>
      <c r="F2438" t="s">
        <v>344</v>
      </c>
      <c r="G2438">
        <v>3</v>
      </c>
      <c r="H2438" s="21">
        <v>778.13</v>
      </c>
      <c r="I2438">
        <v>15</v>
      </c>
      <c r="J2438" s="21">
        <v>350.16</v>
      </c>
      <c r="K2438">
        <v>5</v>
      </c>
      <c r="L2438" s="21">
        <v>99.21</v>
      </c>
      <c r="M2438" s="21">
        <v>2083.44</v>
      </c>
      <c r="N2438" s="21">
        <v>1708.05</v>
      </c>
      <c r="O2438" s="21">
        <v>276.18</v>
      </c>
      <c r="P2438" t="s">
        <v>121</v>
      </c>
      <c r="Q2438" t="s">
        <v>120</v>
      </c>
      <c r="R2438" t="s">
        <v>313</v>
      </c>
      <c r="S2438" t="s">
        <v>2017</v>
      </c>
      <c r="T2438" t="s">
        <v>153</v>
      </c>
      <c r="U2438" t="s">
        <v>154</v>
      </c>
      <c r="V2438" t="str">
        <f>IFERROR(INDEX(Products!$C:$C,MATCH(D2438,Products!$A:$A,0)),"Unknown")</f>
        <v>Women Kurtis</v>
      </c>
      <c r="W2438" t="str">
        <f>IFERROR(INDEX(Products!$E:$E,MATCH(D2438,Products!$A:$A,0)),"Unknown")</f>
        <v>Sonata</v>
      </c>
      <c r="X2438" t="str">
        <f>IFERROR(INDEX(Stores!$B:$B,MATCH(E2438,Stores!$A:$A,0)),"Unknown")</f>
        <v>TrendMart Vijayawada Outlet</v>
      </c>
      <c r="Y2438" t="str">
        <f>IFERROR(INDEX(Stores!$E:$E,MATCH(E2438,Stores!$A:$A,0)),"Unknown")</f>
        <v>South Zone 3</v>
      </c>
      <c r="Z2438" t="str">
        <f>IFERROR(INDEX(Customers!$J:$J,MATCH(C2438,Customers!$A:$A,0)),"Unknown")</f>
        <v>Gold</v>
      </c>
      <c r="AA2438" t="str">
        <f t="shared" si="38"/>
        <v>2025-03</v>
      </c>
      <c r="AB2438" t="str">
        <f>IFERROR(INDEX(Products!$I:$I,MATCH(D2438,Products!$A:$A,0)),"Unknown")</f>
        <v>SUP001</v>
      </c>
    </row>
    <row r="2439" spans="1:28" x14ac:dyDescent="0.25">
      <c r="A2439" t="s">
        <v>4479</v>
      </c>
      <c r="B2439" s="20">
        <v>45733</v>
      </c>
      <c r="C2439" t="s">
        <v>3445</v>
      </c>
      <c r="D2439" t="s">
        <v>1504</v>
      </c>
      <c r="E2439" t="s">
        <v>1442</v>
      </c>
      <c r="F2439" t="s">
        <v>237</v>
      </c>
      <c r="G2439">
        <v>1</v>
      </c>
      <c r="H2439" s="21">
        <v>1607.74</v>
      </c>
      <c r="I2439">
        <v>5</v>
      </c>
      <c r="J2439" s="21">
        <v>80.39</v>
      </c>
      <c r="K2439">
        <v>12</v>
      </c>
      <c r="L2439" s="21">
        <v>183.28</v>
      </c>
      <c r="M2439" s="21">
        <v>1710.63</v>
      </c>
      <c r="N2439" s="21">
        <v>1144.5899999999999</v>
      </c>
      <c r="O2439" s="21">
        <v>382.76</v>
      </c>
      <c r="P2439" t="s">
        <v>125</v>
      </c>
      <c r="Q2439" t="s">
        <v>120</v>
      </c>
      <c r="R2439" t="s">
        <v>151</v>
      </c>
      <c r="S2439" t="s">
        <v>352</v>
      </c>
      <c r="T2439" t="s">
        <v>153</v>
      </c>
      <c r="U2439" t="s">
        <v>154</v>
      </c>
      <c r="V2439" t="str">
        <f>IFERROR(INDEX(Products!$C:$C,MATCH(D2439,Products!$A:$A,0)),"Unknown")</f>
        <v>Women Dresses</v>
      </c>
      <c r="W2439" t="str">
        <f>IFERROR(INDEX(Products!$E:$E,MATCH(D2439,Products!$A:$A,0)),"Unknown")</f>
        <v>Westside</v>
      </c>
      <c r="X2439" t="str">
        <f>IFERROR(INDEX(Stores!$B:$B,MATCH(E2439,Stores!$A:$A,0)),"Unknown")</f>
        <v>TrendMart Vellore High Street</v>
      </c>
      <c r="Y2439" t="str">
        <f>IFERROR(INDEX(Stores!$E:$E,MATCH(E2439,Stores!$A:$A,0)),"Unknown")</f>
        <v>South Zone 1</v>
      </c>
      <c r="Z2439" t="str">
        <f>IFERROR(INDEX(Customers!$J:$J,MATCH(C2439,Customers!$A:$A,0)),"Unknown")</f>
        <v>Platinum</v>
      </c>
      <c r="AA2439" t="str">
        <f t="shared" si="38"/>
        <v>2025-03</v>
      </c>
      <c r="AB2439" t="str">
        <f>IFERROR(INDEX(Products!$I:$I,MATCH(D2439,Products!$A:$A,0)),"Unknown")</f>
        <v>SUP010</v>
      </c>
    </row>
    <row r="2440" spans="1:28" x14ac:dyDescent="0.25">
      <c r="A2440" t="s">
        <v>4480</v>
      </c>
      <c r="B2440" s="20">
        <v>45582</v>
      </c>
      <c r="C2440" t="s">
        <v>553</v>
      </c>
      <c r="D2440" t="s">
        <v>3068</v>
      </c>
      <c r="E2440" t="s">
        <v>831</v>
      </c>
      <c r="F2440" t="s">
        <v>596</v>
      </c>
      <c r="G2440">
        <v>2</v>
      </c>
      <c r="H2440" s="21">
        <v>2883.51</v>
      </c>
      <c r="I2440">
        <v>25</v>
      </c>
      <c r="J2440" s="21">
        <v>1441.76</v>
      </c>
      <c r="K2440">
        <v>12</v>
      </c>
      <c r="L2440" s="21">
        <v>519.03</v>
      </c>
      <c r="M2440" s="21">
        <v>4844.29</v>
      </c>
      <c r="N2440" s="21">
        <v>4299.3999999999996</v>
      </c>
      <c r="O2440" s="21">
        <v>25.86</v>
      </c>
      <c r="P2440" t="s">
        <v>121</v>
      </c>
      <c r="Q2440" t="s">
        <v>120</v>
      </c>
      <c r="R2440" t="s">
        <v>151</v>
      </c>
      <c r="S2440" t="s">
        <v>3612</v>
      </c>
      <c r="T2440" t="s">
        <v>153</v>
      </c>
      <c r="U2440" t="s">
        <v>154</v>
      </c>
      <c r="V2440" t="str">
        <f>IFERROR(INDEX(Products!$C:$C,MATCH(D2440,Products!$A:$A,0)),"Unknown")</f>
        <v>Footwear</v>
      </c>
      <c r="W2440" t="str">
        <f>IFERROR(INDEX(Products!$E:$E,MATCH(D2440,Products!$A:$A,0)),"Unknown")</f>
        <v>Bata</v>
      </c>
      <c r="X2440" t="str">
        <f>IFERROR(INDEX(Stores!$B:$B,MATCH(E2440,Stores!$A:$A,0)),"Unknown")</f>
        <v>TrendMart Vellore Standard</v>
      </c>
      <c r="Y2440" t="str">
        <f>IFERROR(INDEX(Stores!$E:$E,MATCH(E2440,Stores!$A:$A,0)),"Unknown")</f>
        <v>South Zone 1</v>
      </c>
      <c r="Z2440" t="str">
        <f>IFERROR(INDEX(Customers!$J:$J,MATCH(C2440,Customers!$A:$A,0)),"Unknown")</f>
        <v>Silver</v>
      </c>
      <c r="AA2440" t="str">
        <f t="shared" si="38"/>
        <v>2024-10</v>
      </c>
      <c r="AB2440" t="str">
        <f>IFERROR(INDEX(Products!$I:$I,MATCH(D2440,Products!$A:$A,0)),"Unknown")</f>
        <v>SUP074</v>
      </c>
    </row>
    <row r="2441" spans="1:28" x14ac:dyDescent="0.25">
      <c r="A2441" t="s">
        <v>4481</v>
      </c>
      <c r="B2441" s="20">
        <v>45631</v>
      </c>
      <c r="C2441" t="s">
        <v>2743</v>
      </c>
      <c r="D2441" t="s">
        <v>2699</v>
      </c>
      <c r="E2441" t="s">
        <v>360</v>
      </c>
      <c r="F2441" t="s">
        <v>532</v>
      </c>
      <c r="G2441">
        <v>2</v>
      </c>
      <c r="H2441" s="21">
        <v>1151.44</v>
      </c>
      <c r="I2441">
        <v>0</v>
      </c>
      <c r="J2441" s="21">
        <v>0</v>
      </c>
      <c r="K2441">
        <v>12</v>
      </c>
      <c r="L2441" s="21">
        <v>276.35000000000002</v>
      </c>
      <c r="M2441" s="21">
        <v>2579.23</v>
      </c>
      <c r="N2441" s="21">
        <v>1719.88</v>
      </c>
      <c r="O2441" s="21">
        <v>583</v>
      </c>
      <c r="P2441" t="s">
        <v>125</v>
      </c>
      <c r="Q2441" t="s">
        <v>122</v>
      </c>
      <c r="R2441" t="s">
        <v>151</v>
      </c>
      <c r="S2441" t="s">
        <v>1235</v>
      </c>
      <c r="T2441" t="s">
        <v>153</v>
      </c>
      <c r="U2441" t="s">
        <v>154</v>
      </c>
      <c r="V2441" t="str">
        <f>IFERROR(INDEX(Products!$C:$C,MATCH(D2441,Products!$A:$A,0)),"Unknown")</f>
        <v>Women Kurtis</v>
      </c>
      <c r="W2441" t="str">
        <f>IFERROR(INDEX(Products!$E:$E,MATCH(D2441,Products!$A:$A,0)),"Unknown")</f>
        <v>Liberty</v>
      </c>
      <c r="X2441" t="str">
        <f>IFERROR(INDEX(Stores!$B:$B,MATCH(E2441,Stores!$A:$A,0)),"Unknown")</f>
        <v>TrendMart Kochi Standard</v>
      </c>
      <c r="Y2441" t="str">
        <f>IFERROR(INDEX(Stores!$E:$E,MATCH(E2441,Stores!$A:$A,0)),"Unknown")</f>
        <v>South Zone 1</v>
      </c>
      <c r="Z2441" t="str">
        <f>IFERROR(INDEX(Customers!$J:$J,MATCH(C2441,Customers!$A:$A,0)),"Unknown")</f>
        <v>Silver</v>
      </c>
      <c r="AA2441" t="str">
        <f t="shared" si="38"/>
        <v>2024-12</v>
      </c>
      <c r="AB2441" t="str">
        <f>IFERROR(INDEX(Products!$I:$I,MATCH(D2441,Products!$A:$A,0)),"Unknown")</f>
        <v>SUP003</v>
      </c>
    </row>
    <row r="2442" spans="1:28" x14ac:dyDescent="0.25">
      <c r="A2442" t="s">
        <v>4482</v>
      </c>
      <c r="B2442" s="20">
        <v>45609</v>
      </c>
      <c r="C2442" t="s">
        <v>2797</v>
      </c>
      <c r="D2442" t="s">
        <v>1156</v>
      </c>
      <c r="E2442" t="s">
        <v>752</v>
      </c>
      <c r="F2442" t="s">
        <v>165</v>
      </c>
      <c r="G2442">
        <v>4</v>
      </c>
      <c r="H2442" s="21">
        <v>645.20000000000005</v>
      </c>
      <c r="I2442">
        <v>10</v>
      </c>
      <c r="J2442" s="21">
        <v>258.08</v>
      </c>
      <c r="K2442">
        <v>5</v>
      </c>
      <c r="L2442" s="21">
        <v>116.14</v>
      </c>
      <c r="M2442" s="21">
        <v>2438.86</v>
      </c>
      <c r="N2442" s="21">
        <v>2037.76</v>
      </c>
      <c r="O2442" s="21">
        <v>284.95999999999998</v>
      </c>
      <c r="P2442" t="s">
        <v>121</v>
      </c>
      <c r="Q2442" t="s">
        <v>122</v>
      </c>
      <c r="R2442" t="s">
        <v>151</v>
      </c>
      <c r="S2442" t="s">
        <v>668</v>
      </c>
      <c r="T2442" t="s">
        <v>153</v>
      </c>
      <c r="U2442" t="s">
        <v>154</v>
      </c>
      <c r="V2442" t="str">
        <f>IFERROR(INDEX(Products!$C:$C,MATCH(D2442,Products!$A:$A,0)),"Unknown")</f>
        <v>Kids Wear</v>
      </c>
      <c r="W2442" t="str">
        <f>IFERROR(INDEX(Products!$E:$E,MATCH(D2442,Products!$A:$A,0)),"Unknown")</f>
        <v>Allen Solly</v>
      </c>
      <c r="X2442" t="str">
        <f>IFERROR(INDEX(Stores!$B:$B,MATCH(E2442,Stores!$A:$A,0)),"Unknown")</f>
        <v>TrendMart Dindigul High Street</v>
      </c>
      <c r="Y2442" t="str">
        <f>IFERROR(INDEX(Stores!$E:$E,MATCH(E2442,Stores!$A:$A,0)),"Unknown")</f>
        <v>South Zone 1</v>
      </c>
      <c r="Z2442" t="str">
        <f>IFERROR(INDEX(Customers!$J:$J,MATCH(C2442,Customers!$A:$A,0)),"Unknown")</f>
        <v>Regular</v>
      </c>
      <c r="AA2442" t="str">
        <f t="shared" si="38"/>
        <v>2024-11</v>
      </c>
      <c r="AB2442" t="str">
        <f>IFERROR(INDEX(Products!$I:$I,MATCH(D2442,Products!$A:$A,0)),"Unknown")</f>
        <v>SUP026</v>
      </c>
    </row>
    <row r="2443" spans="1:28" x14ac:dyDescent="0.25">
      <c r="A2443" t="s">
        <v>4483</v>
      </c>
      <c r="B2443" s="20">
        <v>45560</v>
      </c>
      <c r="C2443" t="s">
        <v>278</v>
      </c>
      <c r="D2443" t="s">
        <v>814</v>
      </c>
      <c r="E2443" t="s">
        <v>396</v>
      </c>
      <c r="F2443" t="s">
        <v>159</v>
      </c>
      <c r="G2443">
        <v>3</v>
      </c>
      <c r="H2443" s="21">
        <v>614.11</v>
      </c>
      <c r="I2443">
        <v>10</v>
      </c>
      <c r="J2443" s="21">
        <v>184.23</v>
      </c>
      <c r="K2443">
        <v>5</v>
      </c>
      <c r="L2443" s="21">
        <v>82.91</v>
      </c>
      <c r="M2443" s="21">
        <v>1741.01</v>
      </c>
      <c r="N2443" s="21">
        <v>1093.83</v>
      </c>
      <c r="O2443" s="21">
        <v>564.27</v>
      </c>
      <c r="P2443" t="s">
        <v>123</v>
      </c>
      <c r="Q2443" t="s">
        <v>120</v>
      </c>
      <c r="R2443" t="s">
        <v>151</v>
      </c>
      <c r="S2443" t="s">
        <v>1020</v>
      </c>
      <c r="T2443" t="s">
        <v>153</v>
      </c>
      <c r="U2443" t="s">
        <v>154</v>
      </c>
      <c r="V2443" t="str">
        <f>IFERROR(INDEX(Products!$C:$C,MATCH(D2443,Products!$A:$A,0)),"Unknown")</f>
        <v>Men T-Shirts</v>
      </c>
      <c r="W2443" t="str">
        <f>IFERROR(INDEX(Products!$E:$E,MATCH(D2443,Products!$A:$A,0)),"Unknown")</f>
        <v>Woodland</v>
      </c>
      <c r="X2443" t="str">
        <f>IFERROR(INDEX(Stores!$B:$B,MATCH(E2443,Stores!$A:$A,0)),"Unknown")</f>
        <v>TrendMart Davanagere High Street</v>
      </c>
      <c r="Y2443" t="str">
        <f>IFERROR(INDEX(Stores!$E:$E,MATCH(E2443,Stores!$A:$A,0)),"Unknown")</f>
        <v>South Zone 2</v>
      </c>
      <c r="Z2443" t="str">
        <f>IFERROR(INDEX(Customers!$J:$J,MATCH(C2443,Customers!$A:$A,0)),"Unknown")</f>
        <v>Regular</v>
      </c>
      <c r="AA2443" t="str">
        <f t="shared" si="38"/>
        <v>2024-09</v>
      </c>
      <c r="AB2443" t="str">
        <f>IFERROR(INDEX(Products!$I:$I,MATCH(D2443,Products!$A:$A,0)),"Unknown")</f>
        <v>SUP051</v>
      </c>
    </row>
    <row r="2444" spans="1:28" x14ac:dyDescent="0.25">
      <c r="A2444" t="s">
        <v>4484</v>
      </c>
      <c r="B2444" s="20">
        <v>45568</v>
      </c>
      <c r="C2444" t="s">
        <v>3284</v>
      </c>
      <c r="D2444" t="s">
        <v>830</v>
      </c>
      <c r="E2444" t="s">
        <v>200</v>
      </c>
      <c r="F2444" t="s">
        <v>618</v>
      </c>
      <c r="G2444">
        <v>1</v>
      </c>
      <c r="H2444" s="21">
        <v>885.29</v>
      </c>
      <c r="I2444">
        <v>20</v>
      </c>
      <c r="J2444" s="21">
        <v>177.06</v>
      </c>
      <c r="K2444">
        <v>5</v>
      </c>
      <c r="L2444" s="21">
        <v>35.409999999999997</v>
      </c>
      <c r="M2444" s="21">
        <v>743.64</v>
      </c>
      <c r="N2444" s="21">
        <v>570.20000000000005</v>
      </c>
      <c r="O2444" s="21">
        <v>138.03</v>
      </c>
      <c r="P2444" t="s">
        <v>121</v>
      </c>
      <c r="Q2444" t="s">
        <v>120</v>
      </c>
      <c r="R2444" t="s">
        <v>151</v>
      </c>
      <c r="S2444" t="s">
        <v>1995</v>
      </c>
      <c r="T2444" t="s">
        <v>153</v>
      </c>
      <c r="U2444" t="s">
        <v>154</v>
      </c>
      <c r="V2444" t="str">
        <f>IFERROR(INDEX(Products!$C:$C,MATCH(D2444,Products!$A:$A,0)),"Unknown")</f>
        <v>Men Shirts</v>
      </c>
      <c r="W2444" t="str">
        <f>IFERROR(INDEX(Products!$E:$E,MATCH(D2444,Products!$A:$A,0)),"Unknown")</f>
        <v>AND</v>
      </c>
      <c r="X2444" t="str">
        <f>IFERROR(INDEX(Stores!$B:$B,MATCH(E2444,Stores!$A:$A,0)),"Unknown")</f>
        <v>TrendMart Kozhikode Standard</v>
      </c>
      <c r="Y2444" t="str">
        <f>IFERROR(INDEX(Stores!$E:$E,MATCH(E2444,Stores!$A:$A,0)),"Unknown")</f>
        <v>South Zone 1</v>
      </c>
      <c r="Z2444" t="str">
        <f>IFERROR(INDEX(Customers!$J:$J,MATCH(C2444,Customers!$A:$A,0)),"Unknown")</f>
        <v>Regular</v>
      </c>
      <c r="AA2444" t="str">
        <f t="shared" si="38"/>
        <v>2024-10</v>
      </c>
      <c r="AB2444" t="str">
        <f>IFERROR(INDEX(Products!$I:$I,MATCH(D2444,Products!$A:$A,0)),"Unknown")</f>
        <v>SUP012</v>
      </c>
    </row>
    <row r="2445" spans="1:28" x14ac:dyDescent="0.25">
      <c r="A2445" t="s">
        <v>4485</v>
      </c>
      <c r="B2445" s="20">
        <v>45608</v>
      </c>
      <c r="C2445" t="s">
        <v>411</v>
      </c>
      <c r="D2445" t="s">
        <v>583</v>
      </c>
      <c r="E2445" t="s">
        <v>81</v>
      </c>
      <c r="F2445" t="s">
        <v>189</v>
      </c>
      <c r="G2445">
        <v>1</v>
      </c>
      <c r="H2445" s="21">
        <v>845.85</v>
      </c>
      <c r="I2445">
        <v>25</v>
      </c>
      <c r="J2445" s="21">
        <v>211.46</v>
      </c>
      <c r="K2445">
        <v>5</v>
      </c>
      <c r="L2445" s="21">
        <v>31.72</v>
      </c>
      <c r="M2445" s="21">
        <v>666.11</v>
      </c>
      <c r="N2445" s="21">
        <v>629.72</v>
      </c>
      <c r="O2445" s="21">
        <v>4.67</v>
      </c>
      <c r="P2445" t="s">
        <v>125</v>
      </c>
      <c r="Q2445" t="s">
        <v>120</v>
      </c>
      <c r="R2445" t="s">
        <v>151</v>
      </c>
      <c r="S2445" t="s">
        <v>1656</v>
      </c>
      <c r="T2445" t="s">
        <v>153</v>
      </c>
      <c r="U2445" t="s">
        <v>154</v>
      </c>
      <c r="V2445" t="str">
        <f>IFERROR(INDEX(Products!$C:$C,MATCH(D2445,Products!$A:$A,0)),"Unknown")</f>
        <v>Women Tops</v>
      </c>
      <c r="W2445" t="str">
        <f>IFERROR(INDEX(Products!$E:$E,MATCH(D2445,Products!$A:$A,0)),"Unknown")</f>
        <v>Ramraj Cotton</v>
      </c>
      <c r="X2445" t="str">
        <f>IFERROR(INDEX(Stores!$B:$B,MATCH(E2445,Stores!$A:$A,0)),"Unknown")</f>
        <v>TrendMart Vijayawada High Street</v>
      </c>
      <c r="Y2445" t="str">
        <f>IFERROR(INDEX(Stores!$E:$E,MATCH(E2445,Stores!$A:$A,0)),"Unknown")</f>
        <v>South Zone 3</v>
      </c>
      <c r="Z2445" t="str">
        <f>IFERROR(INDEX(Customers!$J:$J,MATCH(C2445,Customers!$A:$A,0)),"Unknown")</f>
        <v>Gold</v>
      </c>
      <c r="AA2445" t="str">
        <f t="shared" si="38"/>
        <v>2024-11</v>
      </c>
      <c r="AB2445" t="str">
        <f>IFERROR(INDEX(Products!$I:$I,MATCH(D2445,Products!$A:$A,0)),"Unknown")</f>
        <v>SUP048</v>
      </c>
    </row>
    <row r="2446" spans="1:28" x14ac:dyDescent="0.25">
      <c r="A2446" t="s">
        <v>4486</v>
      </c>
      <c r="B2446" s="20">
        <v>45721</v>
      </c>
      <c r="C2446" t="s">
        <v>1468</v>
      </c>
      <c r="D2446" t="s">
        <v>646</v>
      </c>
      <c r="E2446" t="s">
        <v>752</v>
      </c>
      <c r="F2446" t="s">
        <v>532</v>
      </c>
      <c r="G2446">
        <v>3</v>
      </c>
      <c r="H2446" s="21">
        <v>797.29</v>
      </c>
      <c r="I2446">
        <v>0</v>
      </c>
      <c r="J2446" s="21">
        <v>0</v>
      </c>
      <c r="K2446">
        <v>5</v>
      </c>
      <c r="L2446" s="21">
        <v>119.59</v>
      </c>
      <c r="M2446" s="21">
        <v>2511.46</v>
      </c>
      <c r="N2446" s="21">
        <v>1536.33</v>
      </c>
      <c r="O2446" s="21">
        <v>855.54</v>
      </c>
      <c r="P2446" t="s">
        <v>124</v>
      </c>
      <c r="Q2446" t="s">
        <v>122</v>
      </c>
      <c r="R2446" t="s">
        <v>151</v>
      </c>
      <c r="S2446" t="s">
        <v>2272</v>
      </c>
      <c r="T2446" t="s">
        <v>153</v>
      </c>
      <c r="U2446" t="s">
        <v>154</v>
      </c>
      <c r="V2446" t="str">
        <f>IFERROR(INDEX(Products!$C:$C,MATCH(D2446,Products!$A:$A,0)),"Unknown")</f>
        <v>Sportswear</v>
      </c>
      <c r="W2446" t="str">
        <f>IFERROR(INDEX(Products!$E:$E,MATCH(D2446,Products!$A:$A,0)),"Unknown")</f>
        <v>Fabindia</v>
      </c>
      <c r="X2446" t="str">
        <f>IFERROR(INDEX(Stores!$B:$B,MATCH(E2446,Stores!$A:$A,0)),"Unknown")</f>
        <v>TrendMart Dindigul High Street</v>
      </c>
      <c r="Y2446" t="str">
        <f>IFERROR(INDEX(Stores!$E:$E,MATCH(E2446,Stores!$A:$A,0)),"Unknown")</f>
        <v>South Zone 1</v>
      </c>
      <c r="Z2446" t="str">
        <f>IFERROR(INDEX(Customers!$J:$J,MATCH(C2446,Customers!$A:$A,0)),"Unknown")</f>
        <v>Gold</v>
      </c>
      <c r="AA2446" t="str">
        <f t="shared" si="38"/>
        <v>2025-03</v>
      </c>
      <c r="AB2446" t="str">
        <f>IFERROR(INDEX(Products!$I:$I,MATCH(D2446,Products!$A:$A,0)),"Unknown")</f>
        <v>SUP087</v>
      </c>
    </row>
    <row r="2447" spans="1:28" x14ac:dyDescent="0.25">
      <c r="A2447" t="s">
        <v>4487</v>
      </c>
      <c r="B2447" s="20">
        <v>45575</v>
      </c>
      <c r="C2447" t="s">
        <v>2089</v>
      </c>
      <c r="D2447" t="s">
        <v>1178</v>
      </c>
      <c r="E2447" t="s">
        <v>387</v>
      </c>
      <c r="F2447" t="s">
        <v>195</v>
      </c>
      <c r="G2447">
        <v>1</v>
      </c>
      <c r="H2447" s="21">
        <v>1691.75</v>
      </c>
      <c r="I2447">
        <v>10</v>
      </c>
      <c r="J2447" s="21">
        <v>169.18</v>
      </c>
      <c r="K2447">
        <v>12</v>
      </c>
      <c r="L2447" s="21">
        <v>182.71</v>
      </c>
      <c r="M2447" s="21">
        <v>1705.28</v>
      </c>
      <c r="N2447" s="21">
        <v>1145.21</v>
      </c>
      <c r="O2447" s="21">
        <v>377.36</v>
      </c>
      <c r="P2447" t="s">
        <v>125</v>
      </c>
      <c r="Q2447" t="s">
        <v>120</v>
      </c>
      <c r="R2447" t="s">
        <v>151</v>
      </c>
      <c r="S2447" t="s">
        <v>2188</v>
      </c>
      <c r="T2447" t="s">
        <v>153</v>
      </c>
      <c r="U2447" t="s">
        <v>154</v>
      </c>
      <c r="V2447" t="str">
        <f>IFERROR(INDEX(Products!$C:$C,MATCH(D2447,Products!$A:$A,0)),"Unknown")</f>
        <v>Footwear</v>
      </c>
      <c r="W2447" t="str">
        <f>IFERROR(INDEX(Products!$E:$E,MATCH(D2447,Products!$A:$A,0)),"Unknown")</f>
        <v>Sparx</v>
      </c>
      <c r="X2447" t="str">
        <f>IFERROR(INDEX(Stores!$B:$B,MATCH(E2447,Stores!$A:$A,0)),"Unknown")</f>
        <v>TrendMart Kannur Outlet</v>
      </c>
      <c r="Y2447" t="str">
        <f>IFERROR(INDEX(Stores!$E:$E,MATCH(E2447,Stores!$A:$A,0)),"Unknown")</f>
        <v>South Zone 1</v>
      </c>
      <c r="Z2447" t="str">
        <f>IFERROR(INDEX(Customers!$J:$J,MATCH(C2447,Customers!$A:$A,0)),"Unknown")</f>
        <v>Silver</v>
      </c>
      <c r="AA2447" t="str">
        <f t="shared" si="38"/>
        <v>2024-10</v>
      </c>
      <c r="AB2447" t="str">
        <f>IFERROR(INDEX(Products!$I:$I,MATCH(D2447,Products!$A:$A,0)),"Unknown")</f>
        <v>SUP063</v>
      </c>
    </row>
    <row r="2448" spans="1:28" x14ac:dyDescent="0.25">
      <c r="A2448" t="s">
        <v>4488</v>
      </c>
      <c r="B2448" s="20">
        <v>45514</v>
      </c>
      <c r="C2448" t="s">
        <v>1116</v>
      </c>
      <c r="D2448" t="s">
        <v>1431</v>
      </c>
      <c r="E2448" t="s">
        <v>402</v>
      </c>
      <c r="F2448" t="s">
        <v>176</v>
      </c>
      <c r="G2448">
        <v>1</v>
      </c>
      <c r="H2448" s="21">
        <v>1479.13</v>
      </c>
      <c r="I2448">
        <v>25</v>
      </c>
      <c r="J2448" s="21">
        <v>369.78</v>
      </c>
      <c r="K2448">
        <v>12</v>
      </c>
      <c r="L2448" s="21">
        <v>133.12</v>
      </c>
      <c r="M2448" s="21">
        <v>1242.47</v>
      </c>
      <c r="N2448" s="21">
        <v>949.97</v>
      </c>
      <c r="O2448" s="21">
        <v>159.38</v>
      </c>
      <c r="P2448" t="s">
        <v>125</v>
      </c>
      <c r="Q2448" t="s">
        <v>122</v>
      </c>
      <c r="R2448" t="s">
        <v>151</v>
      </c>
      <c r="S2448" t="s">
        <v>1477</v>
      </c>
      <c r="T2448" t="s">
        <v>161</v>
      </c>
      <c r="U2448" t="s">
        <v>154</v>
      </c>
      <c r="V2448" t="str">
        <f>IFERROR(INDEX(Products!$C:$C,MATCH(D2448,Products!$A:$A,0)),"Unknown")</f>
        <v>Wallets</v>
      </c>
      <c r="W2448" t="str">
        <f>IFERROR(INDEX(Products!$E:$E,MATCH(D2448,Products!$A:$A,0)),"Unknown")</f>
        <v>Van Heusen</v>
      </c>
      <c r="X2448" t="str">
        <f>IFERROR(INDEX(Stores!$B:$B,MATCH(E2448,Stores!$A:$A,0)),"Unknown")</f>
        <v>TrendMart Kannur Standard</v>
      </c>
      <c r="Y2448" t="str">
        <f>IFERROR(INDEX(Stores!$E:$E,MATCH(E2448,Stores!$A:$A,0)),"Unknown")</f>
        <v>South Zone 1</v>
      </c>
      <c r="Z2448" t="str">
        <f>IFERROR(INDEX(Customers!$J:$J,MATCH(C2448,Customers!$A:$A,0)),"Unknown")</f>
        <v>Silver</v>
      </c>
      <c r="AA2448" t="str">
        <f t="shared" si="38"/>
        <v>2024-08</v>
      </c>
      <c r="AB2448" t="str">
        <f>IFERROR(INDEX(Products!$I:$I,MATCH(D2448,Products!$A:$A,0)),"Unknown")</f>
        <v>SUP087</v>
      </c>
    </row>
    <row r="2449" spans="1:28" x14ac:dyDescent="0.25">
      <c r="A2449" t="s">
        <v>4489</v>
      </c>
      <c r="B2449" s="20">
        <v>45687</v>
      </c>
      <c r="C2449" t="s">
        <v>3282</v>
      </c>
      <c r="D2449" t="s">
        <v>773</v>
      </c>
      <c r="E2449" t="s">
        <v>613</v>
      </c>
      <c r="F2449" t="s">
        <v>150</v>
      </c>
      <c r="G2449">
        <v>1</v>
      </c>
      <c r="H2449" s="21">
        <v>3556.99</v>
      </c>
      <c r="I2449">
        <v>10</v>
      </c>
      <c r="J2449" s="21">
        <v>355.7</v>
      </c>
      <c r="K2449">
        <v>12</v>
      </c>
      <c r="L2449" s="21">
        <v>384.15</v>
      </c>
      <c r="M2449" s="21">
        <v>3585.44</v>
      </c>
      <c r="N2449" s="21">
        <v>2710.05</v>
      </c>
      <c r="O2449" s="21">
        <v>491.24</v>
      </c>
      <c r="P2449" t="s">
        <v>124</v>
      </c>
      <c r="Q2449" t="s">
        <v>120</v>
      </c>
      <c r="R2449" t="s">
        <v>151</v>
      </c>
      <c r="S2449" t="s">
        <v>885</v>
      </c>
      <c r="T2449" t="s">
        <v>153</v>
      </c>
      <c r="U2449" t="s">
        <v>154</v>
      </c>
      <c r="V2449" t="str">
        <f>IFERROR(INDEX(Products!$C:$C,MATCH(D2449,Products!$A:$A,0)),"Unknown")</f>
        <v>Women Sarees</v>
      </c>
      <c r="W2449" t="str">
        <f>IFERROR(INDEX(Products!$E:$E,MATCH(D2449,Products!$A:$A,0)),"Unknown")</f>
        <v>Bata</v>
      </c>
      <c r="X2449" t="str">
        <f>IFERROR(INDEX(Stores!$B:$B,MATCH(E2449,Stores!$A:$A,0)),"Unknown")</f>
        <v>TrendMart Kochi Mall Kiosk</v>
      </c>
      <c r="Y2449" t="str">
        <f>IFERROR(INDEX(Stores!$E:$E,MATCH(E2449,Stores!$A:$A,0)),"Unknown")</f>
        <v>South Zone 1</v>
      </c>
      <c r="Z2449" t="str">
        <f>IFERROR(INDEX(Customers!$J:$J,MATCH(C2449,Customers!$A:$A,0)),"Unknown")</f>
        <v>Regular</v>
      </c>
      <c r="AA2449" t="str">
        <f t="shared" si="38"/>
        <v>2025-01</v>
      </c>
      <c r="AB2449" t="str">
        <f>IFERROR(INDEX(Products!$I:$I,MATCH(D2449,Products!$A:$A,0)),"Unknown")</f>
        <v>SUP086</v>
      </c>
    </row>
    <row r="2450" spans="1:28" x14ac:dyDescent="0.25">
      <c r="A2450" t="s">
        <v>4490</v>
      </c>
      <c r="B2450" s="20">
        <v>45551</v>
      </c>
      <c r="C2450" t="s">
        <v>1605</v>
      </c>
      <c r="D2450" t="s">
        <v>481</v>
      </c>
      <c r="E2450" t="s">
        <v>815</v>
      </c>
      <c r="F2450" t="s">
        <v>201</v>
      </c>
      <c r="G2450">
        <v>3</v>
      </c>
      <c r="H2450" s="21">
        <v>856.29</v>
      </c>
      <c r="I2450">
        <v>5</v>
      </c>
      <c r="J2450" s="21">
        <v>128.44</v>
      </c>
      <c r="K2450">
        <v>5</v>
      </c>
      <c r="L2450" s="21">
        <v>122.02</v>
      </c>
      <c r="M2450" s="21">
        <v>2562.4499999999998</v>
      </c>
      <c r="N2450" s="21">
        <v>2094.2399999999998</v>
      </c>
      <c r="O2450" s="21">
        <v>346.19</v>
      </c>
      <c r="P2450" t="s">
        <v>121</v>
      </c>
      <c r="Q2450" t="s">
        <v>120</v>
      </c>
      <c r="R2450" t="s">
        <v>151</v>
      </c>
      <c r="S2450" t="s">
        <v>559</v>
      </c>
      <c r="T2450" t="s">
        <v>153</v>
      </c>
      <c r="U2450" t="s">
        <v>154</v>
      </c>
      <c r="V2450" t="str">
        <f>IFERROR(INDEX(Products!$C:$C,MATCH(D2450,Products!$A:$A,0)),"Unknown")</f>
        <v>Women Dresses</v>
      </c>
      <c r="W2450" t="str">
        <f>IFERROR(INDEX(Products!$E:$E,MATCH(D2450,Products!$A:$A,0)),"Unknown")</f>
        <v>Jack &amp; Jones</v>
      </c>
      <c r="X2450" t="str">
        <f>IFERROR(INDEX(Stores!$B:$B,MATCH(E2450,Stores!$A:$A,0)),"Unknown")</f>
        <v>TrendMart Madurai Mall Kiosk</v>
      </c>
      <c r="Y2450" t="str">
        <f>IFERROR(INDEX(Stores!$E:$E,MATCH(E2450,Stores!$A:$A,0)),"Unknown")</f>
        <v>South Zone 1</v>
      </c>
      <c r="Z2450" t="str">
        <f>IFERROR(INDEX(Customers!$J:$J,MATCH(C2450,Customers!$A:$A,0)),"Unknown")</f>
        <v>Gold</v>
      </c>
      <c r="AA2450" t="str">
        <f t="shared" si="38"/>
        <v>2024-09</v>
      </c>
      <c r="AB2450" t="str">
        <f>IFERROR(INDEX(Products!$I:$I,MATCH(D2450,Products!$A:$A,0)),"Unknown")</f>
        <v>SUP069</v>
      </c>
    </row>
    <row r="2451" spans="1:28" x14ac:dyDescent="0.25">
      <c r="A2451" t="s">
        <v>4491</v>
      </c>
      <c r="B2451" s="20">
        <v>45707</v>
      </c>
      <c r="C2451" t="s">
        <v>2858</v>
      </c>
      <c r="D2451" t="s">
        <v>1256</v>
      </c>
      <c r="E2451" t="s">
        <v>252</v>
      </c>
      <c r="F2451" t="s">
        <v>550</v>
      </c>
      <c r="G2451">
        <v>1</v>
      </c>
      <c r="H2451" s="21">
        <v>821.38</v>
      </c>
      <c r="I2451">
        <v>30</v>
      </c>
      <c r="J2451" s="21">
        <v>246.41</v>
      </c>
      <c r="K2451">
        <v>5</v>
      </c>
      <c r="L2451" s="21">
        <v>28.75</v>
      </c>
      <c r="M2451" s="21">
        <v>603.72</v>
      </c>
      <c r="N2451" s="21">
        <v>637.27</v>
      </c>
      <c r="O2451" s="21">
        <v>-62.3</v>
      </c>
      <c r="P2451" t="s">
        <v>121</v>
      </c>
      <c r="Q2451" t="s">
        <v>120</v>
      </c>
      <c r="R2451" t="s">
        <v>151</v>
      </c>
      <c r="S2451" t="s">
        <v>1497</v>
      </c>
      <c r="T2451" t="s">
        <v>153</v>
      </c>
      <c r="U2451" t="s">
        <v>184</v>
      </c>
      <c r="V2451" t="str">
        <f>IFERROR(INDEX(Products!$C:$C,MATCH(D2451,Products!$A:$A,0)),"Unknown")</f>
        <v>Women Jeans</v>
      </c>
      <c r="W2451" t="str">
        <f>IFERROR(INDEX(Products!$E:$E,MATCH(D2451,Products!$A:$A,0)),"Unknown")</f>
        <v>Biba</v>
      </c>
      <c r="X2451" t="str">
        <f>IFERROR(INDEX(Stores!$B:$B,MATCH(E2451,Stores!$A:$A,0)),"Unknown")</f>
        <v>TrendMart Nellore Standard</v>
      </c>
      <c r="Y2451" t="str">
        <f>IFERROR(INDEX(Stores!$E:$E,MATCH(E2451,Stores!$A:$A,0)),"Unknown")</f>
        <v>South Zone 3</v>
      </c>
      <c r="Z2451" t="str">
        <f>IFERROR(INDEX(Customers!$J:$J,MATCH(C2451,Customers!$A:$A,0)),"Unknown")</f>
        <v>Regular</v>
      </c>
      <c r="AA2451" t="str">
        <f t="shared" si="38"/>
        <v>2025-02</v>
      </c>
      <c r="AB2451" t="str">
        <f>IFERROR(INDEX(Products!$I:$I,MATCH(D2451,Products!$A:$A,0)),"Unknown")</f>
        <v>SUP040</v>
      </c>
    </row>
    <row r="2452" spans="1:28" x14ac:dyDescent="0.25">
      <c r="A2452" t="s">
        <v>4492</v>
      </c>
      <c r="B2452" s="20">
        <v>45538</v>
      </c>
      <c r="C2452" t="s">
        <v>3631</v>
      </c>
      <c r="D2452" t="s">
        <v>447</v>
      </c>
      <c r="E2452" t="s">
        <v>934</v>
      </c>
      <c r="F2452" t="s">
        <v>281</v>
      </c>
      <c r="G2452">
        <v>0</v>
      </c>
      <c r="H2452" s="21">
        <v>1346.73</v>
      </c>
      <c r="I2452">
        <v>0</v>
      </c>
      <c r="J2452" s="21">
        <v>0</v>
      </c>
      <c r="K2452">
        <v>12</v>
      </c>
      <c r="L2452" s="21">
        <v>0</v>
      </c>
      <c r="M2452" s="21">
        <v>0</v>
      </c>
      <c r="N2452" s="21">
        <v>0</v>
      </c>
      <c r="O2452" s="21">
        <v>0</v>
      </c>
      <c r="P2452" t="s">
        <v>125</v>
      </c>
      <c r="Q2452" t="s">
        <v>120</v>
      </c>
      <c r="R2452" t="s">
        <v>482</v>
      </c>
      <c r="S2452" t="s">
        <v>3561</v>
      </c>
      <c r="T2452" t="s">
        <v>153</v>
      </c>
      <c r="U2452" t="s">
        <v>154</v>
      </c>
      <c r="V2452" t="str">
        <f>IFERROR(INDEX(Products!$C:$C,MATCH(D2452,Products!$A:$A,0)),"Unknown")</f>
        <v>Women Jeans</v>
      </c>
      <c r="W2452" t="str">
        <f>IFERROR(INDEX(Products!$E:$E,MATCH(D2452,Products!$A:$A,0)),"Unknown")</f>
        <v>Biba</v>
      </c>
      <c r="X2452" t="str">
        <f>IFERROR(INDEX(Stores!$B:$B,MATCH(E2452,Stores!$A:$A,0)),"Unknown")</f>
        <v>TrendMart Bengaluru High Street</v>
      </c>
      <c r="Y2452" t="str">
        <f>IFERROR(INDEX(Stores!$E:$E,MATCH(E2452,Stores!$A:$A,0)),"Unknown")</f>
        <v>South Zone 2</v>
      </c>
      <c r="Z2452" t="str">
        <f>IFERROR(INDEX(Customers!$J:$J,MATCH(C2452,Customers!$A:$A,0)),"Unknown")</f>
        <v>Platinum</v>
      </c>
      <c r="AA2452" t="str">
        <f t="shared" si="38"/>
        <v>2024-09</v>
      </c>
      <c r="AB2452" t="str">
        <f>IFERROR(INDEX(Products!$I:$I,MATCH(D2452,Products!$A:$A,0)),"Unknown")</f>
        <v>SUP069</v>
      </c>
    </row>
    <row r="2453" spans="1:28" x14ac:dyDescent="0.25">
      <c r="A2453" t="s">
        <v>4493</v>
      </c>
      <c r="B2453" s="20">
        <v>45651</v>
      </c>
      <c r="C2453" t="s">
        <v>1484</v>
      </c>
      <c r="D2453" t="s">
        <v>1296</v>
      </c>
      <c r="E2453" t="s">
        <v>90</v>
      </c>
      <c r="F2453" t="s">
        <v>579</v>
      </c>
      <c r="G2453">
        <v>1</v>
      </c>
      <c r="H2453" s="21">
        <v>900.07</v>
      </c>
      <c r="I2453">
        <v>10</v>
      </c>
      <c r="J2453" s="21">
        <v>90.01</v>
      </c>
      <c r="K2453">
        <v>5</v>
      </c>
      <c r="L2453" s="21">
        <v>40.5</v>
      </c>
      <c r="M2453" s="21">
        <v>850.56</v>
      </c>
      <c r="N2453" s="21">
        <v>671.19</v>
      </c>
      <c r="O2453" s="21">
        <v>138.87</v>
      </c>
      <c r="P2453" t="s">
        <v>126</v>
      </c>
      <c r="Q2453" t="s">
        <v>122</v>
      </c>
      <c r="R2453" t="s">
        <v>151</v>
      </c>
      <c r="S2453" t="s">
        <v>944</v>
      </c>
      <c r="T2453" t="s">
        <v>153</v>
      </c>
      <c r="U2453" t="s">
        <v>154</v>
      </c>
      <c r="V2453" t="str">
        <f>IFERROR(INDEX(Products!$C:$C,MATCH(D2453,Products!$A:$A,0)),"Unknown")</f>
        <v>Handbags</v>
      </c>
      <c r="W2453" t="str">
        <f>IFERROR(INDEX(Products!$E:$E,MATCH(D2453,Products!$A:$A,0)),"Unknown")</f>
        <v>Tanishq</v>
      </c>
      <c r="X2453" t="str">
        <f>IFERROR(INDEX(Stores!$B:$B,MATCH(E2453,Stores!$A:$A,0)),"Unknown")</f>
        <v>TrendMart Thoothukudi Mall Kiosk</v>
      </c>
      <c r="Y2453" t="str">
        <f>IFERROR(INDEX(Stores!$E:$E,MATCH(E2453,Stores!$A:$A,0)),"Unknown")</f>
        <v>South Zone 1</v>
      </c>
      <c r="Z2453" t="str">
        <f>IFERROR(INDEX(Customers!$J:$J,MATCH(C2453,Customers!$A:$A,0)),"Unknown")</f>
        <v>Silver</v>
      </c>
      <c r="AA2453" t="str">
        <f t="shared" si="38"/>
        <v>2024-12</v>
      </c>
      <c r="AB2453" t="str">
        <f>IFERROR(INDEX(Products!$I:$I,MATCH(D2453,Products!$A:$A,0)),"Unknown")</f>
        <v>SUP083</v>
      </c>
    </row>
    <row r="2454" spans="1:28" x14ac:dyDescent="0.25">
      <c r="A2454" t="s">
        <v>4494</v>
      </c>
      <c r="B2454" s="20">
        <v>45618</v>
      </c>
      <c r="C2454" t="s">
        <v>2246</v>
      </c>
      <c r="D2454" t="s">
        <v>531</v>
      </c>
      <c r="E2454" t="s">
        <v>815</v>
      </c>
      <c r="F2454" t="s">
        <v>308</v>
      </c>
      <c r="G2454">
        <v>1</v>
      </c>
      <c r="H2454" s="21">
        <v>3154.54</v>
      </c>
      <c r="I2454">
        <v>20</v>
      </c>
      <c r="J2454" s="21">
        <v>630.91</v>
      </c>
      <c r="K2454">
        <v>12</v>
      </c>
      <c r="L2454" s="21">
        <v>302.83999999999997</v>
      </c>
      <c r="M2454" s="21">
        <v>2826.47</v>
      </c>
      <c r="N2454" s="21">
        <v>2034.01</v>
      </c>
      <c r="O2454" s="21">
        <v>489.62</v>
      </c>
      <c r="P2454" t="s">
        <v>123</v>
      </c>
      <c r="Q2454" t="s">
        <v>122</v>
      </c>
      <c r="R2454" t="s">
        <v>151</v>
      </c>
      <c r="S2454" t="s">
        <v>2770</v>
      </c>
      <c r="T2454" t="s">
        <v>153</v>
      </c>
      <c r="U2454" t="s">
        <v>154</v>
      </c>
      <c r="V2454" t="str">
        <f>IFERROR(INDEX(Products!$C:$C,MATCH(D2454,Products!$A:$A,0)),"Unknown")</f>
        <v>Handbags</v>
      </c>
      <c r="W2454" t="str">
        <f>IFERROR(INDEX(Products!$E:$E,MATCH(D2454,Products!$A:$A,0)),"Unknown")</f>
        <v>GRT Jewellers</v>
      </c>
      <c r="X2454" t="str">
        <f>IFERROR(INDEX(Stores!$B:$B,MATCH(E2454,Stores!$A:$A,0)),"Unknown")</f>
        <v>TrendMart Madurai Mall Kiosk</v>
      </c>
      <c r="Y2454" t="str">
        <f>IFERROR(INDEX(Stores!$E:$E,MATCH(E2454,Stores!$A:$A,0)),"Unknown")</f>
        <v>South Zone 1</v>
      </c>
      <c r="Z2454" t="str">
        <f>IFERROR(INDEX(Customers!$J:$J,MATCH(C2454,Customers!$A:$A,0)),"Unknown")</f>
        <v>Gold</v>
      </c>
      <c r="AA2454" t="str">
        <f t="shared" si="38"/>
        <v>2024-11</v>
      </c>
      <c r="AB2454" t="str">
        <f>IFERROR(INDEX(Products!$I:$I,MATCH(D2454,Products!$A:$A,0)),"Unknown")</f>
        <v>SUP047</v>
      </c>
    </row>
    <row r="2455" spans="1:28" x14ac:dyDescent="0.25">
      <c r="A2455" t="s">
        <v>4495</v>
      </c>
      <c r="B2455" s="20">
        <v>45538</v>
      </c>
      <c r="C2455" t="s">
        <v>2870</v>
      </c>
      <c r="D2455" t="s">
        <v>246</v>
      </c>
      <c r="E2455" t="s">
        <v>425</v>
      </c>
      <c r="F2455" t="s">
        <v>159</v>
      </c>
      <c r="G2455">
        <v>2</v>
      </c>
      <c r="H2455" s="21">
        <v>1226.01</v>
      </c>
      <c r="I2455">
        <v>0</v>
      </c>
      <c r="J2455" s="21">
        <v>0</v>
      </c>
      <c r="K2455">
        <v>12</v>
      </c>
      <c r="L2455" s="21">
        <v>294.24</v>
      </c>
      <c r="M2455" s="21">
        <v>2746.26</v>
      </c>
      <c r="N2455" s="21">
        <v>1730.96</v>
      </c>
      <c r="O2455" s="21">
        <v>721.06</v>
      </c>
      <c r="P2455" t="s">
        <v>121</v>
      </c>
      <c r="Q2455" t="s">
        <v>120</v>
      </c>
      <c r="R2455" t="s">
        <v>151</v>
      </c>
      <c r="S2455" t="s">
        <v>2704</v>
      </c>
      <c r="T2455" t="s">
        <v>153</v>
      </c>
      <c r="U2455" t="s">
        <v>154</v>
      </c>
      <c r="V2455" t="str">
        <f>IFERROR(INDEX(Products!$C:$C,MATCH(D2455,Products!$A:$A,0)),"Unknown")</f>
        <v>Women Dresses</v>
      </c>
      <c r="W2455" t="str">
        <f>IFERROR(INDEX(Products!$E:$E,MATCH(D2455,Products!$A:$A,0)),"Unknown")</f>
        <v>Tanishq</v>
      </c>
      <c r="X2455" t="str">
        <f>IFERROR(INDEX(Stores!$B:$B,MATCH(E2455,Stores!$A:$A,0)),"Unknown")</f>
        <v>TrendMart Kozhikode Outlet</v>
      </c>
      <c r="Y2455" t="str">
        <f>IFERROR(INDEX(Stores!$E:$E,MATCH(E2455,Stores!$A:$A,0)),"Unknown")</f>
        <v>South Zone 1</v>
      </c>
      <c r="Z2455" t="str">
        <f>IFERROR(INDEX(Customers!$J:$J,MATCH(C2455,Customers!$A:$A,0)),"Unknown")</f>
        <v>Platinum</v>
      </c>
      <c r="AA2455" t="str">
        <f t="shared" si="38"/>
        <v>2024-09</v>
      </c>
      <c r="AB2455" t="str">
        <f>IFERROR(INDEX(Products!$I:$I,MATCH(D2455,Products!$A:$A,0)),"Unknown")</f>
        <v>SUP002</v>
      </c>
    </row>
    <row r="2456" spans="1:28" x14ac:dyDescent="0.25">
      <c r="A2456" t="s">
        <v>4496</v>
      </c>
      <c r="B2456" s="20">
        <v>45419</v>
      </c>
      <c r="C2456" t="s">
        <v>1301</v>
      </c>
      <c r="D2456" t="s">
        <v>905</v>
      </c>
      <c r="E2456" t="s">
        <v>81</v>
      </c>
      <c r="F2456" t="s">
        <v>403</v>
      </c>
      <c r="G2456">
        <v>1</v>
      </c>
      <c r="H2456" s="21">
        <v>587.95000000000005</v>
      </c>
      <c r="I2456">
        <v>5</v>
      </c>
      <c r="J2456" s="21">
        <v>29.4</v>
      </c>
      <c r="K2456">
        <v>5</v>
      </c>
      <c r="L2456" s="21">
        <v>27.93</v>
      </c>
      <c r="M2456" s="21">
        <v>586.48</v>
      </c>
      <c r="N2456" s="21">
        <v>371.12</v>
      </c>
      <c r="O2456" s="21">
        <v>187.43</v>
      </c>
      <c r="P2456" t="s">
        <v>121</v>
      </c>
      <c r="Q2456" t="s">
        <v>120</v>
      </c>
      <c r="R2456" t="s">
        <v>151</v>
      </c>
      <c r="S2456" t="s">
        <v>491</v>
      </c>
      <c r="T2456" t="s">
        <v>153</v>
      </c>
      <c r="U2456" t="s">
        <v>154</v>
      </c>
      <c r="V2456" t="str">
        <f>IFERROR(INDEX(Products!$C:$C,MATCH(D2456,Products!$A:$A,0)),"Unknown")</f>
        <v>Wallets</v>
      </c>
      <c r="W2456" t="str">
        <f>IFERROR(INDEX(Products!$E:$E,MATCH(D2456,Products!$A:$A,0)),"Unknown")</f>
        <v>Global Desi</v>
      </c>
      <c r="X2456" t="str">
        <f>IFERROR(INDEX(Stores!$B:$B,MATCH(E2456,Stores!$A:$A,0)),"Unknown")</f>
        <v>TrendMart Vijayawada High Street</v>
      </c>
      <c r="Y2456" t="str">
        <f>IFERROR(INDEX(Stores!$E:$E,MATCH(E2456,Stores!$A:$A,0)),"Unknown")</f>
        <v>South Zone 3</v>
      </c>
      <c r="Z2456" t="str">
        <f>IFERROR(INDEX(Customers!$J:$J,MATCH(C2456,Customers!$A:$A,0)),"Unknown")</f>
        <v>Regular</v>
      </c>
      <c r="AA2456" t="str">
        <f t="shared" si="38"/>
        <v>2024-05</v>
      </c>
      <c r="AB2456" t="str">
        <f>IFERROR(INDEX(Products!$I:$I,MATCH(D2456,Products!$A:$A,0)),"Unknown")</f>
        <v>SUP051</v>
      </c>
    </row>
    <row r="2457" spans="1:28" x14ac:dyDescent="0.25">
      <c r="A2457" t="s">
        <v>4497</v>
      </c>
      <c r="B2457" s="20">
        <v>45447</v>
      </c>
      <c r="C2457" t="s">
        <v>179</v>
      </c>
      <c r="D2457" t="s">
        <v>913</v>
      </c>
      <c r="E2457" t="s">
        <v>226</v>
      </c>
      <c r="F2457" t="s">
        <v>434</v>
      </c>
      <c r="G2457">
        <v>0</v>
      </c>
      <c r="H2457" s="21">
        <v>1453.56</v>
      </c>
      <c r="I2457">
        <v>15</v>
      </c>
      <c r="J2457" s="21">
        <v>0</v>
      </c>
      <c r="K2457">
        <v>12</v>
      </c>
      <c r="L2457" s="21">
        <v>0</v>
      </c>
      <c r="M2457" s="21">
        <v>0</v>
      </c>
      <c r="N2457" s="21">
        <v>0</v>
      </c>
      <c r="O2457" s="21">
        <v>0</v>
      </c>
      <c r="P2457" t="s">
        <v>125</v>
      </c>
      <c r="Q2457" t="s">
        <v>122</v>
      </c>
      <c r="R2457" t="s">
        <v>482</v>
      </c>
      <c r="S2457" t="s">
        <v>2155</v>
      </c>
      <c r="T2457" t="s">
        <v>153</v>
      </c>
      <c r="U2457" t="s">
        <v>154</v>
      </c>
      <c r="V2457" t="str">
        <f>IFERROR(INDEX(Products!$C:$C,MATCH(D2457,Products!$A:$A,0)),"Unknown")</f>
        <v>Sportswear</v>
      </c>
      <c r="W2457" t="str">
        <f>IFERROR(INDEX(Products!$E:$E,MATCH(D2457,Products!$A:$A,0)),"Unknown")</f>
        <v>GRT Jewellers</v>
      </c>
      <c r="X2457" t="str">
        <f>IFERROR(INDEX(Stores!$B:$B,MATCH(E2457,Stores!$A:$A,0)),"Unknown")</f>
        <v>TrendMart Kurnool Standard</v>
      </c>
      <c r="Y2457" t="str">
        <f>IFERROR(INDEX(Stores!$E:$E,MATCH(E2457,Stores!$A:$A,0)),"Unknown")</f>
        <v>South Zone 3</v>
      </c>
      <c r="Z2457" t="str">
        <f>IFERROR(INDEX(Customers!$J:$J,MATCH(C2457,Customers!$A:$A,0)),"Unknown")</f>
        <v>Platinum</v>
      </c>
      <c r="AA2457" t="str">
        <f t="shared" si="38"/>
        <v>2024-06</v>
      </c>
      <c r="AB2457" t="str">
        <f>IFERROR(INDEX(Products!$I:$I,MATCH(D2457,Products!$A:$A,0)),"Unknown")</f>
        <v>SUP072</v>
      </c>
    </row>
    <row r="2458" spans="1:28" x14ac:dyDescent="0.25">
      <c r="A2458" t="s">
        <v>4498</v>
      </c>
      <c r="B2458" s="20">
        <v>45591</v>
      </c>
      <c r="C2458" t="s">
        <v>4499</v>
      </c>
      <c r="D2458" t="s">
        <v>1550</v>
      </c>
      <c r="E2458" t="s">
        <v>360</v>
      </c>
      <c r="F2458" t="s">
        <v>532</v>
      </c>
      <c r="G2458">
        <v>2</v>
      </c>
      <c r="H2458" s="21">
        <v>2736.17</v>
      </c>
      <c r="I2458">
        <v>0</v>
      </c>
      <c r="J2458" s="21">
        <v>0</v>
      </c>
      <c r="K2458">
        <v>12</v>
      </c>
      <c r="L2458" s="21">
        <v>656.68</v>
      </c>
      <c r="M2458" s="21">
        <v>6129.02</v>
      </c>
      <c r="N2458" s="21">
        <v>3724.7</v>
      </c>
      <c r="O2458" s="21">
        <v>1747.64</v>
      </c>
      <c r="P2458" t="s">
        <v>123</v>
      </c>
      <c r="Q2458" t="s">
        <v>120</v>
      </c>
      <c r="R2458" t="s">
        <v>151</v>
      </c>
      <c r="S2458" t="s">
        <v>1728</v>
      </c>
      <c r="T2458" t="s">
        <v>161</v>
      </c>
      <c r="U2458" t="s">
        <v>154</v>
      </c>
      <c r="V2458" t="str">
        <f>IFERROR(INDEX(Products!$C:$C,MATCH(D2458,Products!$A:$A,0)),"Unknown")</f>
        <v>Footwear</v>
      </c>
      <c r="W2458" t="str">
        <f>IFERROR(INDEX(Products!$E:$E,MATCH(D2458,Products!$A:$A,0)),"Unknown")</f>
        <v>Pothys</v>
      </c>
      <c r="X2458" t="str">
        <f>IFERROR(INDEX(Stores!$B:$B,MATCH(E2458,Stores!$A:$A,0)),"Unknown")</f>
        <v>TrendMart Kochi Standard</v>
      </c>
      <c r="Y2458" t="str">
        <f>IFERROR(INDEX(Stores!$E:$E,MATCH(E2458,Stores!$A:$A,0)),"Unknown")</f>
        <v>South Zone 1</v>
      </c>
      <c r="Z2458" t="str">
        <f>IFERROR(INDEX(Customers!$J:$J,MATCH(C2458,Customers!$A:$A,0)),"Unknown")</f>
        <v>Gold</v>
      </c>
      <c r="AA2458" t="str">
        <f t="shared" si="38"/>
        <v>2024-10</v>
      </c>
      <c r="AB2458" t="str">
        <f>IFERROR(INDEX(Products!$I:$I,MATCH(D2458,Products!$A:$A,0)),"Unknown")</f>
        <v>SUP061</v>
      </c>
    </row>
    <row r="2459" spans="1:28" x14ac:dyDescent="0.25">
      <c r="A2459" t="s">
        <v>4500</v>
      </c>
      <c r="B2459" s="20">
        <v>45584</v>
      </c>
      <c r="C2459" t="s">
        <v>2605</v>
      </c>
      <c r="D2459" t="s">
        <v>1080</v>
      </c>
      <c r="E2459" t="s">
        <v>848</v>
      </c>
      <c r="F2459" t="s">
        <v>462</v>
      </c>
      <c r="G2459">
        <v>4</v>
      </c>
      <c r="H2459" s="21">
        <v>1416.47</v>
      </c>
      <c r="I2459">
        <v>0</v>
      </c>
      <c r="J2459" s="21">
        <v>0</v>
      </c>
      <c r="K2459">
        <v>12</v>
      </c>
      <c r="L2459" s="21">
        <v>679.91</v>
      </c>
      <c r="M2459" s="21">
        <v>6345.79</v>
      </c>
      <c r="N2459" s="21">
        <v>3657.4</v>
      </c>
      <c r="O2459" s="21">
        <v>2008.48</v>
      </c>
      <c r="P2459" t="s">
        <v>126</v>
      </c>
      <c r="Q2459" t="s">
        <v>122</v>
      </c>
      <c r="R2459" t="s">
        <v>151</v>
      </c>
      <c r="S2459" t="s">
        <v>2504</v>
      </c>
      <c r="T2459" t="s">
        <v>161</v>
      </c>
      <c r="U2459" t="s">
        <v>154</v>
      </c>
      <c r="V2459" t="str">
        <f>IFERROR(INDEX(Products!$C:$C,MATCH(D2459,Products!$A:$A,0)),"Unknown")</f>
        <v>Winter Wear</v>
      </c>
      <c r="W2459" t="str">
        <f>IFERROR(INDEX(Products!$E:$E,MATCH(D2459,Products!$A:$A,0)),"Unknown")</f>
        <v>Max Fashion</v>
      </c>
      <c r="X2459" t="str">
        <f>IFERROR(INDEX(Stores!$B:$B,MATCH(E2459,Stores!$A:$A,0)),"Unknown")</f>
        <v>TrendMart Shivamogga Standard</v>
      </c>
      <c r="Y2459" t="str">
        <f>IFERROR(INDEX(Stores!$E:$E,MATCH(E2459,Stores!$A:$A,0)),"Unknown")</f>
        <v>South Zone 2</v>
      </c>
      <c r="Z2459" t="str">
        <f>IFERROR(INDEX(Customers!$J:$J,MATCH(C2459,Customers!$A:$A,0)),"Unknown")</f>
        <v>Gold</v>
      </c>
      <c r="AA2459" t="str">
        <f t="shared" si="38"/>
        <v>2024-10</v>
      </c>
      <c r="AB2459" t="str">
        <f>IFERROR(INDEX(Products!$I:$I,MATCH(D2459,Products!$A:$A,0)),"Unknown")</f>
        <v>SUP017</v>
      </c>
    </row>
    <row r="2460" spans="1:28" x14ac:dyDescent="0.25">
      <c r="A2460" t="s">
        <v>4501</v>
      </c>
      <c r="B2460" s="20">
        <v>45440</v>
      </c>
      <c r="C2460" t="s">
        <v>2733</v>
      </c>
      <c r="D2460" t="s">
        <v>481</v>
      </c>
      <c r="E2460" t="s">
        <v>578</v>
      </c>
      <c r="F2460" t="s">
        <v>165</v>
      </c>
      <c r="G2460">
        <v>1</v>
      </c>
      <c r="H2460" s="21">
        <v>930.46</v>
      </c>
      <c r="I2460">
        <v>30</v>
      </c>
      <c r="J2460" s="21">
        <v>279.14</v>
      </c>
      <c r="K2460">
        <v>5</v>
      </c>
      <c r="L2460" s="21">
        <v>32.57</v>
      </c>
      <c r="M2460" s="21">
        <v>683.89</v>
      </c>
      <c r="N2460" s="21">
        <v>698.08</v>
      </c>
      <c r="O2460" s="21">
        <v>-46.76</v>
      </c>
      <c r="P2460" t="s">
        <v>121</v>
      </c>
      <c r="Q2460" t="s">
        <v>120</v>
      </c>
      <c r="R2460" t="s">
        <v>151</v>
      </c>
      <c r="S2460" t="s">
        <v>2149</v>
      </c>
      <c r="T2460" t="s">
        <v>153</v>
      </c>
      <c r="U2460" t="s">
        <v>184</v>
      </c>
      <c r="V2460" t="str">
        <f>IFERROR(INDEX(Products!$C:$C,MATCH(D2460,Products!$A:$A,0)),"Unknown")</f>
        <v>Women Dresses</v>
      </c>
      <c r="W2460" t="str">
        <f>IFERROR(INDEX(Products!$E:$E,MATCH(D2460,Products!$A:$A,0)),"Unknown")</f>
        <v>Jack &amp; Jones</v>
      </c>
      <c r="X2460" t="str">
        <f>IFERROR(INDEX(Stores!$B:$B,MATCH(E2460,Stores!$A:$A,0)),"Unknown")</f>
        <v>TrendMart Vellore Standard</v>
      </c>
      <c r="Y2460" t="str">
        <f>IFERROR(INDEX(Stores!$E:$E,MATCH(E2460,Stores!$A:$A,0)),"Unknown")</f>
        <v>South Zone 1</v>
      </c>
      <c r="Z2460" t="str">
        <f>IFERROR(INDEX(Customers!$J:$J,MATCH(C2460,Customers!$A:$A,0)),"Unknown")</f>
        <v>Regular</v>
      </c>
      <c r="AA2460" t="str">
        <f t="shared" si="38"/>
        <v>2024-05</v>
      </c>
      <c r="AB2460" t="str">
        <f>IFERROR(INDEX(Products!$I:$I,MATCH(D2460,Products!$A:$A,0)),"Unknown")</f>
        <v>SUP069</v>
      </c>
    </row>
    <row r="2461" spans="1:28" x14ac:dyDescent="0.25">
      <c r="A2461" t="s">
        <v>4502</v>
      </c>
      <c r="B2461" s="20">
        <v>45461</v>
      </c>
      <c r="C2461" t="s">
        <v>1234</v>
      </c>
      <c r="D2461" t="s">
        <v>693</v>
      </c>
      <c r="E2461" t="s">
        <v>188</v>
      </c>
      <c r="F2461" t="s">
        <v>297</v>
      </c>
      <c r="G2461">
        <v>1</v>
      </c>
      <c r="H2461" s="21">
        <v>2932.95</v>
      </c>
      <c r="I2461">
        <v>15</v>
      </c>
      <c r="J2461" s="21">
        <v>439.94</v>
      </c>
      <c r="K2461">
        <v>12</v>
      </c>
      <c r="L2461" s="21">
        <v>299.16000000000003</v>
      </c>
      <c r="M2461" s="21">
        <v>2792.17</v>
      </c>
      <c r="N2461" s="21">
        <v>2198.2199999999998</v>
      </c>
      <c r="O2461" s="21">
        <v>294.79000000000002</v>
      </c>
      <c r="P2461" t="s">
        <v>124</v>
      </c>
      <c r="Q2461" t="s">
        <v>120</v>
      </c>
      <c r="R2461" t="s">
        <v>151</v>
      </c>
      <c r="S2461" t="s">
        <v>3442</v>
      </c>
      <c r="T2461" t="s">
        <v>153</v>
      </c>
      <c r="U2461" t="s">
        <v>154</v>
      </c>
      <c r="V2461" t="str">
        <f>IFERROR(INDEX(Products!$C:$C,MATCH(D2461,Products!$A:$A,0)),"Unknown")</f>
        <v>Handbags</v>
      </c>
      <c r="W2461" t="str">
        <f>IFERROR(INDEX(Products!$E:$E,MATCH(D2461,Products!$A:$A,0)),"Unknown")</f>
        <v>Woodland</v>
      </c>
      <c r="X2461" t="str">
        <f>IFERROR(INDEX(Stores!$B:$B,MATCH(E2461,Stores!$A:$A,0)),"Unknown")</f>
        <v>TrendMart Vijayawada Standard</v>
      </c>
      <c r="Y2461" t="str">
        <f>IFERROR(INDEX(Stores!$E:$E,MATCH(E2461,Stores!$A:$A,0)),"Unknown")</f>
        <v>South Zone 3</v>
      </c>
      <c r="Z2461" t="str">
        <f>IFERROR(INDEX(Customers!$J:$J,MATCH(C2461,Customers!$A:$A,0)),"Unknown")</f>
        <v>Regular</v>
      </c>
      <c r="AA2461" t="str">
        <f t="shared" si="38"/>
        <v>2024-06</v>
      </c>
      <c r="AB2461" t="str">
        <f>IFERROR(INDEX(Products!$I:$I,MATCH(D2461,Products!$A:$A,0)),"Unknown")</f>
        <v>SUP090</v>
      </c>
    </row>
    <row r="2462" spans="1:28" x14ac:dyDescent="0.25">
      <c r="A2462" t="s">
        <v>4503</v>
      </c>
      <c r="B2462" s="20">
        <v>45729</v>
      </c>
      <c r="C2462" t="s">
        <v>2389</v>
      </c>
      <c r="D2462" t="s">
        <v>325</v>
      </c>
      <c r="E2462" t="s">
        <v>727</v>
      </c>
      <c r="F2462" t="s">
        <v>232</v>
      </c>
      <c r="G2462">
        <v>2</v>
      </c>
      <c r="H2462" s="21">
        <v>1048.97</v>
      </c>
      <c r="I2462">
        <v>25</v>
      </c>
      <c r="J2462" s="21">
        <v>524.49</v>
      </c>
      <c r="K2462">
        <v>12</v>
      </c>
      <c r="L2462" s="21">
        <v>188.81</v>
      </c>
      <c r="M2462" s="21">
        <v>1762.26</v>
      </c>
      <c r="N2462" s="21">
        <v>1518</v>
      </c>
      <c r="O2462" s="21">
        <v>55.45</v>
      </c>
      <c r="P2462" t="s">
        <v>124</v>
      </c>
      <c r="Q2462" t="s">
        <v>120</v>
      </c>
      <c r="R2462" t="s">
        <v>151</v>
      </c>
      <c r="S2462" t="s">
        <v>1608</v>
      </c>
      <c r="T2462" t="s">
        <v>153</v>
      </c>
      <c r="U2462" t="s">
        <v>154</v>
      </c>
      <c r="V2462" t="str">
        <f>IFERROR(INDEX(Products!$C:$C,MATCH(D2462,Products!$A:$A,0)),"Unknown")</f>
        <v>Women Jeans</v>
      </c>
      <c r="W2462" t="str">
        <f>IFERROR(INDEX(Products!$E:$E,MATCH(D2462,Products!$A:$A,0)),"Unknown")</f>
        <v>Nalli Silks</v>
      </c>
      <c r="X2462" t="str">
        <f>IFERROR(INDEX(Stores!$B:$B,MATCH(E2462,Stores!$A:$A,0)),"Unknown")</f>
        <v>TrendMart Nizamabad Standard</v>
      </c>
      <c r="Y2462" t="str">
        <f>IFERROR(INDEX(Stores!$E:$E,MATCH(E2462,Stores!$A:$A,0)),"Unknown")</f>
        <v>South Zone 2</v>
      </c>
      <c r="Z2462" t="str">
        <f>IFERROR(INDEX(Customers!$J:$J,MATCH(C2462,Customers!$A:$A,0)),"Unknown")</f>
        <v>Silver</v>
      </c>
      <c r="AA2462" t="str">
        <f t="shared" si="38"/>
        <v>2025-03</v>
      </c>
      <c r="AB2462" t="str">
        <f>IFERROR(INDEX(Products!$I:$I,MATCH(D2462,Products!$A:$A,0)),"Unknown")</f>
        <v>SUP048</v>
      </c>
    </row>
    <row r="2463" spans="1:28" x14ac:dyDescent="0.25">
      <c r="A2463" t="s">
        <v>4504</v>
      </c>
      <c r="B2463" s="20">
        <v>45407</v>
      </c>
      <c r="C2463" t="s">
        <v>2557</v>
      </c>
      <c r="D2463" t="s">
        <v>510</v>
      </c>
      <c r="E2463" t="s">
        <v>515</v>
      </c>
      <c r="F2463" t="s">
        <v>443</v>
      </c>
      <c r="G2463">
        <v>2</v>
      </c>
      <c r="H2463" s="21">
        <v>1205.31</v>
      </c>
      <c r="I2463">
        <v>20</v>
      </c>
      <c r="J2463" s="21">
        <v>482.12</v>
      </c>
      <c r="K2463">
        <v>12</v>
      </c>
      <c r="L2463" s="21">
        <v>231.42</v>
      </c>
      <c r="M2463" s="21">
        <v>2159.92</v>
      </c>
      <c r="N2463" s="21">
        <v>1829.44</v>
      </c>
      <c r="O2463" s="21">
        <v>99.06</v>
      </c>
      <c r="P2463" t="s">
        <v>121</v>
      </c>
      <c r="Q2463" t="s">
        <v>120</v>
      </c>
      <c r="R2463" t="s">
        <v>151</v>
      </c>
      <c r="S2463" t="s">
        <v>276</v>
      </c>
      <c r="T2463" t="s">
        <v>153</v>
      </c>
      <c r="U2463" t="s">
        <v>154</v>
      </c>
      <c r="V2463" t="str">
        <f>IFERROR(INDEX(Products!$C:$C,MATCH(D2463,Products!$A:$A,0)),"Unknown")</f>
        <v>Sportswear</v>
      </c>
      <c r="W2463" t="str">
        <f>IFERROR(INDEX(Products!$E:$E,MATCH(D2463,Products!$A:$A,0)),"Unknown")</f>
        <v>Liberty</v>
      </c>
      <c r="X2463" t="str">
        <f>IFERROR(INDEX(Stores!$B:$B,MATCH(E2463,Stores!$A:$A,0)),"Unknown")</f>
        <v>TrendMart Kochi High Street</v>
      </c>
      <c r="Y2463" t="str">
        <f>IFERROR(INDEX(Stores!$E:$E,MATCH(E2463,Stores!$A:$A,0)),"Unknown")</f>
        <v>South Zone 1</v>
      </c>
      <c r="Z2463" t="str">
        <f>IFERROR(INDEX(Customers!$J:$J,MATCH(C2463,Customers!$A:$A,0)),"Unknown")</f>
        <v>Silver</v>
      </c>
      <c r="AA2463" t="str">
        <f t="shared" si="38"/>
        <v>2024-04</v>
      </c>
      <c r="AB2463" t="str">
        <f>IFERROR(INDEX(Products!$I:$I,MATCH(D2463,Products!$A:$A,0)),"Unknown")</f>
        <v>SUP010</v>
      </c>
    </row>
    <row r="2464" spans="1:28" x14ac:dyDescent="0.25">
      <c r="A2464" t="s">
        <v>4505</v>
      </c>
      <c r="B2464" s="20">
        <v>45633</v>
      </c>
      <c r="C2464" t="s">
        <v>1723</v>
      </c>
      <c r="D2464" t="s">
        <v>261</v>
      </c>
      <c r="E2464" t="s">
        <v>226</v>
      </c>
      <c r="F2464" t="s">
        <v>195</v>
      </c>
      <c r="G2464">
        <v>1</v>
      </c>
      <c r="H2464" s="21">
        <v>1432.5</v>
      </c>
      <c r="I2464">
        <v>25</v>
      </c>
      <c r="J2464" s="21">
        <v>358.12</v>
      </c>
      <c r="K2464">
        <v>12</v>
      </c>
      <c r="L2464" s="21">
        <v>128.93</v>
      </c>
      <c r="M2464" s="21">
        <v>1203.31</v>
      </c>
      <c r="N2464" s="21">
        <v>844.65</v>
      </c>
      <c r="O2464" s="21">
        <v>229.73</v>
      </c>
      <c r="P2464" t="s">
        <v>124</v>
      </c>
      <c r="Q2464" t="s">
        <v>122</v>
      </c>
      <c r="R2464" t="s">
        <v>151</v>
      </c>
      <c r="S2464" t="s">
        <v>580</v>
      </c>
      <c r="T2464" t="s">
        <v>161</v>
      </c>
      <c r="U2464" t="s">
        <v>154</v>
      </c>
      <c r="V2464" t="str">
        <f>IFERROR(INDEX(Products!$C:$C,MATCH(D2464,Products!$A:$A,0)),"Unknown")</f>
        <v>Women Kurtis</v>
      </c>
      <c r="W2464" t="str">
        <f>IFERROR(INDEX(Products!$E:$E,MATCH(D2464,Products!$A:$A,0)),"Unknown")</f>
        <v>Woodland</v>
      </c>
      <c r="X2464" t="str">
        <f>IFERROR(INDEX(Stores!$B:$B,MATCH(E2464,Stores!$A:$A,0)),"Unknown")</f>
        <v>TrendMart Kurnool Standard</v>
      </c>
      <c r="Y2464" t="str">
        <f>IFERROR(INDEX(Stores!$E:$E,MATCH(E2464,Stores!$A:$A,0)),"Unknown")</f>
        <v>South Zone 3</v>
      </c>
      <c r="Z2464" t="str">
        <f>IFERROR(INDEX(Customers!$J:$J,MATCH(C2464,Customers!$A:$A,0)),"Unknown")</f>
        <v>Regular</v>
      </c>
      <c r="AA2464" t="str">
        <f t="shared" si="38"/>
        <v>2024-12</v>
      </c>
      <c r="AB2464" t="str">
        <f>IFERROR(INDEX(Products!$I:$I,MATCH(D2464,Products!$A:$A,0)),"Unknown")</f>
        <v>SUP071</v>
      </c>
    </row>
    <row r="2465" spans="1:28" x14ac:dyDescent="0.25">
      <c r="A2465" t="s">
        <v>4506</v>
      </c>
      <c r="B2465" s="20">
        <v>45505</v>
      </c>
      <c r="C2465" t="s">
        <v>1793</v>
      </c>
      <c r="D2465" t="s">
        <v>210</v>
      </c>
      <c r="E2465" t="s">
        <v>613</v>
      </c>
      <c r="F2465" t="s">
        <v>221</v>
      </c>
      <c r="G2465">
        <v>4</v>
      </c>
      <c r="H2465" s="21">
        <v>1822.36</v>
      </c>
      <c r="I2465">
        <v>10</v>
      </c>
      <c r="J2465" s="21">
        <v>728.94</v>
      </c>
      <c r="K2465">
        <v>12</v>
      </c>
      <c r="L2465" s="21">
        <v>787.26</v>
      </c>
      <c r="M2465" s="21">
        <v>7347.76</v>
      </c>
      <c r="N2465" s="21">
        <v>5599.4</v>
      </c>
      <c r="O2465" s="21">
        <v>961.1</v>
      </c>
      <c r="P2465" t="s">
        <v>124</v>
      </c>
      <c r="Q2465" t="s">
        <v>120</v>
      </c>
      <c r="R2465" t="s">
        <v>151</v>
      </c>
      <c r="S2465" t="s">
        <v>3154</v>
      </c>
      <c r="T2465" t="s">
        <v>153</v>
      </c>
      <c r="U2465" t="s">
        <v>154</v>
      </c>
      <c r="V2465" t="str">
        <f>IFERROR(INDEX(Products!$C:$C,MATCH(D2465,Products!$A:$A,0)),"Unknown")</f>
        <v>Women Dresses</v>
      </c>
      <c r="W2465" t="str">
        <f>IFERROR(INDEX(Products!$E:$E,MATCH(D2465,Products!$A:$A,0)),"Unknown")</f>
        <v>Nike</v>
      </c>
      <c r="X2465" t="str">
        <f>IFERROR(INDEX(Stores!$B:$B,MATCH(E2465,Stores!$A:$A,0)),"Unknown")</f>
        <v>TrendMart Kochi Mall Kiosk</v>
      </c>
      <c r="Y2465" t="str">
        <f>IFERROR(INDEX(Stores!$E:$E,MATCH(E2465,Stores!$A:$A,0)),"Unknown")</f>
        <v>South Zone 1</v>
      </c>
      <c r="Z2465" t="str">
        <f>IFERROR(INDEX(Customers!$J:$J,MATCH(C2465,Customers!$A:$A,0)),"Unknown")</f>
        <v>Gold</v>
      </c>
      <c r="AA2465" t="str">
        <f t="shared" si="38"/>
        <v>2024-08</v>
      </c>
      <c r="AB2465" t="str">
        <f>IFERROR(INDEX(Products!$I:$I,MATCH(D2465,Products!$A:$A,0)),"Unknown")</f>
        <v>SUP073</v>
      </c>
    </row>
    <row r="2466" spans="1:28" x14ac:dyDescent="0.25">
      <c r="A2466" t="s">
        <v>4507</v>
      </c>
      <c r="B2466" s="20">
        <v>45450</v>
      </c>
      <c r="C2466" t="s">
        <v>1008</v>
      </c>
      <c r="D2466" t="s">
        <v>520</v>
      </c>
      <c r="E2466" t="s">
        <v>1962</v>
      </c>
      <c r="F2466" t="s">
        <v>221</v>
      </c>
      <c r="G2466">
        <v>1</v>
      </c>
      <c r="H2466" s="21">
        <v>1272.17</v>
      </c>
      <c r="I2466">
        <v>5</v>
      </c>
      <c r="J2466" s="21">
        <v>63.61</v>
      </c>
      <c r="K2466">
        <v>12</v>
      </c>
      <c r="L2466" s="21">
        <v>145.03</v>
      </c>
      <c r="M2466" s="21">
        <v>1353.59</v>
      </c>
      <c r="N2466" s="21">
        <v>903.3</v>
      </c>
      <c r="O2466" s="21">
        <v>305.26</v>
      </c>
      <c r="P2466" t="s">
        <v>121</v>
      </c>
      <c r="Q2466" t="s">
        <v>120</v>
      </c>
      <c r="R2466" t="s">
        <v>151</v>
      </c>
      <c r="S2466" t="s">
        <v>3457</v>
      </c>
      <c r="T2466" t="s">
        <v>153</v>
      </c>
      <c r="U2466" t="s">
        <v>154</v>
      </c>
      <c r="V2466" t="str">
        <f>IFERROR(INDEX(Products!$C:$C,MATCH(D2466,Products!$A:$A,0)),"Unknown")</f>
        <v>Wallets</v>
      </c>
      <c r="W2466" t="str">
        <f>IFERROR(INDEX(Products!$E:$E,MATCH(D2466,Products!$A:$A,0)),"Unknown")</f>
        <v>Nike</v>
      </c>
      <c r="X2466" t="str">
        <f>IFERROR(INDEX(Stores!$B:$B,MATCH(E2466,Stores!$A:$A,0)),"Unknown")</f>
        <v>TrendMart Guntur High Street</v>
      </c>
      <c r="Y2466" t="str">
        <f>IFERROR(INDEX(Stores!$E:$E,MATCH(E2466,Stores!$A:$A,0)),"Unknown")</f>
        <v>South Zone 3</v>
      </c>
      <c r="Z2466" t="str">
        <f>IFERROR(INDEX(Customers!$J:$J,MATCH(C2466,Customers!$A:$A,0)),"Unknown")</f>
        <v>Regular</v>
      </c>
      <c r="AA2466" t="str">
        <f t="shared" si="38"/>
        <v>2024-06</v>
      </c>
      <c r="AB2466" t="str">
        <f>IFERROR(INDEX(Products!$I:$I,MATCH(D2466,Products!$A:$A,0)),"Unknown")</f>
        <v>SUP027</v>
      </c>
    </row>
    <row r="2467" spans="1:28" x14ac:dyDescent="0.25">
      <c r="A2467" t="s">
        <v>4508</v>
      </c>
      <c r="B2467" s="20">
        <v>45645</v>
      </c>
      <c r="C2467" t="s">
        <v>1739</v>
      </c>
      <c r="D2467" t="s">
        <v>606</v>
      </c>
      <c r="E2467" t="s">
        <v>1522</v>
      </c>
      <c r="F2467" t="s">
        <v>201</v>
      </c>
      <c r="G2467">
        <v>2</v>
      </c>
      <c r="H2467" s="21">
        <v>1585.96</v>
      </c>
      <c r="I2467">
        <v>15</v>
      </c>
      <c r="J2467" s="21">
        <v>475.79</v>
      </c>
      <c r="K2467">
        <v>12</v>
      </c>
      <c r="L2467" s="21">
        <v>323.54000000000002</v>
      </c>
      <c r="M2467" s="21">
        <v>3019.67</v>
      </c>
      <c r="N2467" s="21">
        <v>2009.88</v>
      </c>
      <c r="O2467" s="21">
        <v>686.25</v>
      </c>
      <c r="P2467" t="s">
        <v>125</v>
      </c>
      <c r="Q2467" t="s">
        <v>122</v>
      </c>
      <c r="R2467" t="s">
        <v>151</v>
      </c>
      <c r="S2467" t="s">
        <v>2188</v>
      </c>
      <c r="T2467" t="s">
        <v>153</v>
      </c>
      <c r="U2467" t="s">
        <v>154</v>
      </c>
      <c r="V2467" t="str">
        <f>IFERROR(INDEX(Products!$C:$C,MATCH(D2467,Products!$A:$A,0)),"Unknown")</f>
        <v>Sportswear</v>
      </c>
      <c r="W2467" t="str">
        <f>IFERROR(INDEX(Products!$E:$E,MATCH(D2467,Products!$A:$A,0)),"Unknown")</f>
        <v>Fossil</v>
      </c>
      <c r="X2467" t="str">
        <f>IFERROR(INDEX(Stores!$B:$B,MATCH(E2467,Stores!$A:$A,0)),"Unknown")</f>
        <v>TrendMart Guntur High Street</v>
      </c>
      <c r="Y2467" t="str">
        <f>IFERROR(INDEX(Stores!$E:$E,MATCH(E2467,Stores!$A:$A,0)),"Unknown")</f>
        <v>South Zone 3</v>
      </c>
      <c r="Z2467" t="str">
        <f>IFERROR(INDEX(Customers!$J:$J,MATCH(C2467,Customers!$A:$A,0)),"Unknown")</f>
        <v>Silver</v>
      </c>
      <c r="AA2467" t="str">
        <f t="shared" si="38"/>
        <v>2024-12</v>
      </c>
      <c r="AB2467" t="str">
        <f>IFERROR(INDEX(Products!$I:$I,MATCH(D2467,Products!$A:$A,0)),"Unknown")</f>
        <v>SUP049</v>
      </c>
    </row>
    <row r="2468" spans="1:28" x14ac:dyDescent="0.25">
      <c r="A2468" t="s">
        <v>4509</v>
      </c>
      <c r="B2468" s="20">
        <v>45628</v>
      </c>
      <c r="C2468" t="s">
        <v>1700</v>
      </c>
      <c r="D2468" t="s">
        <v>524</v>
      </c>
      <c r="E2468" t="s">
        <v>83</v>
      </c>
      <c r="F2468" t="s">
        <v>275</v>
      </c>
      <c r="G2468">
        <v>4</v>
      </c>
      <c r="H2468" s="21">
        <v>724.81</v>
      </c>
      <c r="I2468">
        <v>10</v>
      </c>
      <c r="J2468" s="21">
        <v>289.92</v>
      </c>
      <c r="K2468">
        <v>5</v>
      </c>
      <c r="L2468" s="21">
        <v>130.47</v>
      </c>
      <c r="M2468" s="21">
        <v>2739.79</v>
      </c>
      <c r="N2468" s="21">
        <v>2190.6799999999998</v>
      </c>
      <c r="O2468" s="21">
        <v>418.64</v>
      </c>
      <c r="P2468" t="s">
        <v>121</v>
      </c>
      <c r="Q2468" t="s">
        <v>120</v>
      </c>
      <c r="R2468" t="s">
        <v>151</v>
      </c>
      <c r="S2468" t="s">
        <v>1225</v>
      </c>
      <c r="T2468" t="s">
        <v>153</v>
      </c>
      <c r="U2468" t="s">
        <v>154</v>
      </c>
      <c r="V2468" t="str">
        <f>IFERROR(INDEX(Products!$C:$C,MATCH(D2468,Products!$A:$A,0)),"Unknown")</f>
        <v>Women Tops</v>
      </c>
      <c r="W2468" t="str">
        <f>IFERROR(INDEX(Products!$E:$E,MATCH(D2468,Products!$A:$A,0)),"Unknown")</f>
        <v>Indian Terrain</v>
      </c>
      <c r="X2468" t="str">
        <f>IFERROR(INDEX(Stores!$B:$B,MATCH(E2468,Stores!$A:$A,0)),"Unknown")</f>
        <v>TrendMart Vellore Standard</v>
      </c>
      <c r="Y2468" t="str">
        <f>IFERROR(INDEX(Stores!$E:$E,MATCH(E2468,Stores!$A:$A,0)),"Unknown")</f>
        <v>South Zone 1</v>
      </c>
      <c r="Z2468" t="str">
        <f>IFERROR(INDEX(Customers!$J:$J,MATCH(C2468,Customers!$A:$A,0)),"Unknown")</f>
        <v>Silver</v>
      </c>
      <c r="AA2468" t="str">
        <f t="shared" si="38"/>
        <v>2024-12</v>
      </c>
      <c r="AB2468" t="str">
        <f>IFERROR(INDEX(Products!$I:$I,MATCH(D2468,Products!$A:$A,0)),"Unknown")</f>
        <v>SUP062</v>
      </c>
    </row>
    <row r="2469" spans="1:28" x14ac:dyDescent="0.25">
      <c r="A2469" t="s">
        <v>4510</v>
      </c>
      <c r="B2469" s="20">
        <v>45743</v>
      </c>
      <c r="C2469" t="s">
        <v>3304</v>
      </c>
      <c r="D2469" t="s">
        <v>2281</v>
      </c>
      <c r="E2469" t="s">
        <v>206</v>
      </c>
      <c r="F2469" t="s">
        <v>263</v>
      </c>
      <c r="G2469">
        <v>3</v>
      </c>
      <c r="H2469" s="21">
        <v>610.52</v>
      </c>
      <c r="I2469">
        <v>30</v>
      </c>
      <c r="J2469" s="21">
        <v>549.47</v>
      </c>
      <c r="K2469">
        <v>5</v>
      </c>
      <c r="L2469" s="21">
        <v>64.099999999999994</v>
      </c>
      <c r="M2469" s="21">
        <v>1346.19</v>
      </c>
      <c r="N2469" s="21">
        <v>1119.81</v>
      </c>
      <c r="O2469" s="21">
        <v>162.28</v>
      </c>
      <c r="P2469" t="s">
        <v>126</v>
      </c>
      <c r="Q2469" t="s">
        <v>122</v>
      </c>
      <c r="R2469" t="s">
        <v>151</v>
      </c>
      <c r="S2469" t="s">
        <v>2274</v>
      </c>
      <c r="T2469" t="s">
        <v>153</v>
      </c>
      <c r="U2469" t="s">
        <v>154</v>
      </c>
      <c r="V2469" t="str">
        <f>IFERROR(INDEX(Products!$C:$C,MATCH(D2469,Products!$A:$A,0)),"Unknown")</f>
        <v>Men T-Shirts</v>
      </c>
      <c r="W2469" t="str">
        <f>IFERROR(INDEX(Products!$E:$E,MATCH(D2469,Products!$A:$A,0)),"Unknown")</f>
        <v>Indian Terrain</v>
      </c>
      <c r="X2469" t="str">
        <f>IFERROR(INDEX(Stores!$B:$B,MATCH(E2469,Stores!$A:$A,0)),"Unknown")</f>
        <v>TrendMart Nizamabad Outlet</v>
      </c>
      <c r="Y2469" t="str">
        <f>IFERROR(INDEX(Stores!$E:$E,MATCH(E2469,Stores!$A:$A,0)),"Unknown")</f>
        <v>South Zone 2</v>
      </c>
      <c r="Z2469" t="str">
        <f>IFERROR(INDEX(Customers!$J:$J,MATCH(C2469,Customers!$A:$A,0)),"Unknown")</f>
        <v>Gold</v>
      </c>
      <c r="AA2469" t="str">
        <f t="shared" si="38"/>
        <v>2025-03</v>
      </c>
      <c r="AB2469" t="str">
        <f>IFERROR(INDEX(Products!$I:$I,MATCH(D2469,Products!$A:$A,0)),"Unknown")</f>
        <v>SUP074</v>
      </c>
    </row>
    <row r="2470" spans="1:28" x14ac:dyDescent="0.25">
      <c r="A2470" t="s">
        <v>4511</v>
      </c>
      <c r="B2470" s="20">
        <v>45612</v>
      </c>
      <c r="C2470" t="s">
        <v>840</v>
      </c>
      <c r="D2470" t="s">
        <v>1026</v>
      </c>
      <c r="E2470" t="s">
        <v>280</v>
      </c>
      <c r="F2470" t="s">
        <v>211</v>
      </c>
      <c r="G2470">
        <v>1</v>
      </c>
      <c r="H2470" s="21">
        <v>1619.97</v>
      </c>
      <c r="I2470">
        <v>10</v>
      </c>
      <c r="J2470" s="21">
        <v>162</v>
      </c>
      <c r="K2470">
        <v>12</v>
      </c>
      <c r="L2470" s="21">
        <v>174.96</v>
      </c>
      <c r="M2470" s="21">
        <v>1632.93</v>
      </c>
      <c r="N2470" s="21">
        <v>962.17</v>
      </c>
      <c r="O2470" s="21">
        <v>495.8</v>
      </c>
      <c r="P2470" t="s">
        <v>121</v>
      </c>
      <c r="Q2470" t="s">
        <v>120</v>
      </c>
      <c r="R2470" t="s">
        <v>151</v>
      </c>
      <c r="S2470" t="s">
        <v>4061</v>
      </c>
      <c r="T2470" t="s">
        <v>161</v>
      </c>
      <c r="U2470" t="s">
        <v>154</v>
      </c>
      <c r="V2470" t="str">
        <f>IFERROR(INDEX(Products!$C:$C,MATCH(D2470,Products!$A:$A,0)),"Unknown")</f>
        <v>Women Sarees</v>
      </c>
      <c r="W2470" t="str">
        <f>IFERROR(INDEX(Products!$E:$E,MATCH(D2470,Products!$A:$A,0)),"Unknown")</f>
        <v>Spykar</v>
      </c>
      <c r="X2470" t="str">
        <f>IFERROR(INDEX(Stores!$B:$B,MATCH(E2470,Stores!$A:$A,0)),"Unknown")</f>
        <v>TrendMart Chennai Standard</v>
      </c>
      <c r="Y2470" t="str">
        <f>IFERROR(INDEX(Stores!$E:$E,MATCH(E2470,Stores!$A:$A,0)),"Unknown")</f>
        <v>South Zone 1</v>
      </c>
      <c r="Z2470" t="str">
        <f>IFERROR(INDEX(Customers!$J:$J,MATCH(C2470,Customers!$A:$A,0)),"Unknown")</f>
        <v>Platinum</v>
      </c>
      <c r="AA2470" t="str">
        <f t="shared" si="38"/>
        <v>2024-11</v>
      </c>
      <c r="AB2470" t="str">
        <f>IFERROR(INDEX(Products!$I:$I,MATCH(D2470,Products!$A:$A,0)),"Unknown")</f>
        <v>SUP001</v>
      </c>
    </row>
    <row r="2471" spans="1:28" x14ac:dyDescent="0.25">
      <c r="A2471" t="s">
        <v>4512</v>
      </c>
      <c r="B2471" s="20">
        <v>45693</v>
      </c>
      <c r="C2471" t="s">
        <v>1770</v>
      </c>
      <c r="D2471" t="s">
        <v>531</v>
      </c>
      <c r="E2471" t="s">
        <v>86</v>
      </c>
      <c r="F2471" t="s">
        <v>550</v>
      </c>
      <c r="G2471">
        <v>4</v>
      </c>
      <c r="H2471" s="21">
        <v>3140.01</v>
      </c>
      <c r="I2471">
        <v>25</v>
      </c>
      <c r="J2471" s="21">
        <v>3140.01</v>
      </c>
      <c r="K2471">
        <v>12</v>
      </c>
      <c r="L2471" s="21">
        <v>1130.4000000000001</v>
      </c>
      <c r="M2471" s="21">
        <v>10550.43</v>
      </c>
      <c r="N2471" s="21">
        <v>8136.04</v>
      </c>
      <c r="O2471" s="21">
        <v>1283.99</v>
      </c>
      <c r="P2471" t="s">
        <v>125</v>
      </c>
      <c r="Q2471" t="s">
        <v>120</v>
      </c>
      <c r="R2471" t="s">
        <v>151</v>
      </c>
      <c r="S2471" t="s">
        <v>2216</v>
      </c>
      <c r="T2471" t="s">
        <v>153</v>
      </c>
      <c r="U2471" t="s">
        <v>154</v>
      </c>
      <c r="V2471" t="str">
        <f>IFERROR(INDEX(Products!$C:$C,MATCH(D2471,Products!$A:$A,0)),"Unknown")</f>
        <v>Handbags</v>
      </c>
      <c r="W2471" t="str">
        <f>IFERROR(INDEX(Products!$E:$E,MATCH(D2471,Products!$A:$A,0)),"Unknown")</f>
        <v>GRT Jewellers</v>
      </c>
      <c r="X2471" t="str">
        <f>IFERROR(INDEX(Stores!$B:$B,MATCH(E2471,Stores!$A:$A,0)),"Unknown")</f>
        <v>TrendMart Warangal High Street</v>
      </c>
      <c r="Y2471" t="str">
        <f>IFERROR(INDEX(Stores!$E:$E,MATCH(E2471,Stores!$A:$A,0)),"Unknown")</f>
        <v>South Zone 2</v>
      </c>
      <c r="Z2471" t="str">
        <f>IFERROR(INDEX(Customers!$J:$J,MATCH(C2471,Customers!$A:$A,0)),"Unknown")</f>
        <v>Silver</v>
      </c>
      <c r="AA2471" t="str">
        <f t="shared" si="38"/>
        <v>2025-02</v>
      </c>
      <c r="AB2471" t="str">
        <f>IFERROR(INDEX(Products!$I:$I,MATCH(D2471,Products!$A:$A,0)),"Unknown")</f>
        <v>SUP047</v>
      </c>
    </row>
    <row r="2472" spans="1:28" x14ac:dyDescent="0.25">
      <c r="A2472" t="s">
        <v>4513</v>
      </c>
      <c r="B2472" s="20">
        <v>45731</v>
      </c>
      <c r="C2472" t="s">
        <v>1527</v>
      </c>
      <c r="D2472" t="s">
        <v>2751</v>
      </c>
      <c r="E2472" t="s">
        <v>200</v>
      </c>
      <c r="F2472" t="s">
        <v>377</v>
      </c>
      <c r="G2472">
        <v>1</v>
      </c>
      <c r="H2472" s="21">
        <v>441.02</v>
      </c>
      <c r="I2472">
        <v>5</v>
      </c>
      <c r="J2472" s="21">
        <v>22.05</v>
      </c>
      <c r="K2472">
        <v>5</v>
      </c>
      <c r="L2472" s="21">
        <v>20.95</v>
      </c>
      <c r="M2472" s="21">
        <v>439.92</v>
      </c>
      <c r="N2472" s="21">
        <v>319.07</v>
      </c>
      <c r="O2472" s="21">
        <v>99.9</v>
      </c>
      <c r="P2472" t="s">
        <v>121</v>
      </c>
      <c r="Q2472" t="s">
        <v>120</v>
      </c>
      <c r="R2472" t="s">
        <v>151</v>
      </c>
      <c r="S2472" t="s">
        <v>3138</v>
      </c>
      <c r="T2472" t="s">
        <v>161</v>
      </c>
      <c r="U2472" t="s">
        <v>154</v>
      </c>
      <c r="V2472" t="str">
        <f>IFERROR(INDEX(Products!$C:$C,MATCH(D2472,Products!$A:$A,0)),"Unknown")</f>
        <v>Belts</v>
      </c>
      <c r="W2472" t="str">
        <f>IFERROR(INDEX(Products!$E:$E,MATCH(D2472,Products!$A:$A,0)),"Unknown")</f>
        <v>AND</v>
      </c>
      <c r="X2472" t="str">
        <f>IFERROR(INDEX(Stores!$B:$B,MATCH(E2472,Stores!$A:$A,0)),"Unknown")</f>
        <v>TrendMart Kozhikode Standard</v>
      </c>
      <c r="Y2472" t="str">
        <f>IFERROR(INDEX(Stores!$E:$E,MATCH(E2472,Stores!$A:$A,0)),"Unknown")</f>
        <v>South Zone 1</v>
      </c>
      <c r="Z2472" t="str">
        <f>IFERROR(INDEX(Customers!$J:$J,MATCH(C2472,Customers!$A:$A,0)),"Unknown")</f>
        <v>Gold</v>
      </c>
      <c r="AA2472" t="str">
        <f t="shared" si="38"/>
        <v>2025-03</v>
      </c>
      <c r="AB2472" t="str">
        <f>IFERROR(INDEX(Products!$I:$I,MATCH(D2472,Products!$A:$A,0)),"Unknown")</f>
        <v>SUP026</v>
      </c>
    </row>
    <row r="2473" spans="1:28" x14ac:dyDescent="0.25">
      <c r="A2473" t="s">
        <v>4514</v>
      </c>
      <c r="B2473" s="20">
        <v>45456</v>
      </c>
      <c r="C2473" t="s">
        <v>3445</v>
      </c>
      <c r="D2473" t="s">
        <v>2264</v>
      </c>
      <c r="E2473" t="s">
        <v>402</v>
      </c>
      <c r="F2473" t="s">
        <v>335</v>
      </c>
      <c r="G2473">
        <v>2</v>
      </c>
      <c r="H2473" s="21">
        <v>1136.93</v>
      </c>
      <c r="I2473">
        <v>10</v>
      </c>
      <c r="J2473" s="21">
        <v>227.39</v>
      </c>
      <c r="K2473">
        <v>12</v>
      </c>
      <c r="L2473" s="21">
        <v>245.58</v>
      </c>
      <c r="M2473" s="21">
        <v>2292.0500000000002</v>
      </c>
      <c r="N2473" s="21">
        <v>1507.46</v>
      </c>
      <c r="O2473" s="21">
        <v>539.01</v>
      </c>
      <c r="P2473" t="s">
        <v>121</v>
      </c>
      <c r="Q2473" t="s">
        <v>122</v>
      </c>
      <c r="R2473" t="s">
        <v>313</v>
      </c>
      <c r="S2473" t="s">
        <v>4515</v>
      </c>
      <c r="T2473" t="s">
        <v>153</v>
      </c>
      <c r="U2473" t="s">
        <v>154</v>
      </c>
      <c r="V2473" t="str">
        <f>IFERROR(INDEX(Products!$C:$C,MATCH(D2473,Products!$A:$A,0)),"Unknown")</f>
        <v>Belts</v>
      </c>
      <c r="W2473" t="str">
        <f>IFERROR(INDEX(Products!$E:$E,MATCH(D2473,Products!$A:$A,0)),"Unknown")</f>
        <v>Liberty</v>
      </c>
      <c r="X2473" t="str">
        <f>IFERROR(INDEX(Stores!$B:$B,MATCH(E2473,Stores!$A:$A,0)),"Unknown")</f>
        <v>TrendMart Kannur Standard</v>
      </c>
      <c r="Y2473" t="str">
        <f>IFERROR(INDEX(Stores!$E:$E,MATCH(E2473,Stores!$A:$A,0)),"Unknown")</f>
        <v>South Zone 1</v>
      </c>
      <c r="Z2473" t="str">
        <f>IFERROR(INDEX(Customers!$J:$J,MATCH(C2473,Customers!$A:$A,0)),"Unknown")</f>
        <v>Platinum</v>
      </c>
      <c r="AA2473" t="str">
        <f t="shared" si="38"/>
        <v>2024-06</v>
      </c>
      <c r="AB2473" t="str">
        <f>IFERROR(INDEX(Products!$I:$I,MATCH(D2473,Products!$A:$A,0)),"Unknown")</f>
        <v>SUP063</v>
      </c>
    </row>
    <row r="2474" spans="1:28" x14ac:dyDescent="0.25">
      <c r="A2474" t="s">
        <v>4516</v>
      </c>
      <c r="B2474" s="20">
        <v>45613</v>
      </c>
      <c r="C2474" t="s">
        <v>4340</v>
      </c>
      <c r="D2474" t="s">
        <v>1511</v>
      </c>
      <c r="E2474" t="s">
        <v>470</v>
      </c>
      <c r="F2474" t="s">
        <v>443</v>
      </c>
      <c r="G2474">
        <v>3</v>
      </c>
      <c r="H2474" s="21">
        <v>2584.81</v>
      </c>
      <c r="I2474">
        <v>10</v>
      </c>
      <c r="J2474" s="21">
        <v>775.44</v>
      </c>
      <c r="K2474">
        <v>12</v>
      </c>
      <c r="L2474" s="21">
        <v>837.48</v>
      </c>
      <c r="M2474" s="21">
        <v>7816.47</v>
      </c>
      <c r="N2474" s="21">
        <v>5418.09</v>
      </c>
      <c r="O2474" s="21">
        <v>1560.9</v>
      </c>
      <c r="P2474" t="s">
        <v>123</v>
      </c>
      <c r="Q2474" t="s">
        <v>120</v>
      </c>
      <c r="R2474" t="s">
        <v>151</v>
      </c>
      <c r="S2474" t="s">
        <v>2612</v>
      </c>
      <c r="T2474" t="s">
        <v>161</v>
      </c>
      <c r="U2474" t="s">
        <v>154</v>
      </c>
      <c r="V2474" t="str">
        <f>IFERROR(INDEX(Products!$C:$C,MATCH(D2474,Products!$A:$A,0)),"Unknown")</f>
        <v>Watches</v>
      </c>
      <c r="W2474" t="str">
        <f>IFERROR(INDEX(Products!$E:$E,MATCH(D2474,Products!$A:$A,0)),"Unknown")</f>
        <v>Woodland</v>
      </c>
      <c r="X2474" t="str">
        <f>IFERROR(INDEX(Stores!$B:$B,MATCH(E2474,Stores!$A:$A,0)),"Unknown")</f>
        <v>TrendMart Thiruvananthapuram High Street</v>
      </c>
      <c r="Y2474" t="str">
        <f>IFERROR(INDEX(Stores!$E:$E,MATCH(E2474,Stores!$A:$A,0)),"Unknown")</f>
        <v>South Zone 1</v>
      </c>
      <c r="Z2474" t="str">
        <f>IFERROR(INDEX(Customers!$J:$J,MATCH(C2474,Customers!$A:$A,0)),"Unknown")</f>
        <v>Regular</v>
      </c>
      <c r="AA2474" t="str">
        <f t="shared" si="38"/>
        <v>2024-11</v>
      </c>
      <c r="AB2474" t="str">
        <f>IFERROR(INDEX(Products!$I:$I,MATCH(D2474,Products!$A:$A,0)),"Unknown")</f>
        <v>SUP064</v>
      </c>
    </row>
    <row r="2475" spans="1:28" x14ac:dyDescent="0.25">
      <c r="A2475" t="s">
        <v>4517</v>
      </c>
      <c r="B2475" s="20">
        <v>45652</v>
      </c>
      <c r="C2475" t="s">
        <v>2315</v>
      </c>
      <c r="D2475" t="s">
        <v>230</v>
      </c>
      <c r="E2475" t="s">
        <v>343</v>
      </c>
      <c r="F2475" t="s">
        <v>263</v>
      </c>
      <c r="G2475">
        <v>4</v>
      </c>
      <c r="H2475" s="21">
        <v>1454.81</v>
      </c>
      <c r="I2475">
        <v>0</v>
      </c>
      <c r="J2475" s="21">
        <v>0</v>
      </c>
      <c r="K2475">
        <v>12</v>
      </c>
      <c r="L2475" s="21">
        <v>698.31</v>
      </c>
      <c r="M2475" s="21">
        <v>6517.55</v>
      </c>
      <c r="N2475" s="21">
        <v>3785.2</v>
      </c>
      <c r="O2475" s="21">
        <v>2034.04</v>
      </c>
      <c r="P2475" t="s">
        <v>124</v>
      </c>
      <c r="Q2475" t="s">
        <v>120</v>
      </c>
      <c r="R2475" t="s">
        <v>151</v>
      </c>
      <c r="S2475" t="s">
        <v>1901</v>
      </c>
      <c r="T2475" t="s">
        <v>153</v>
      </c>
      <c r="U2475" t="s">
        <v>154</v>
      </c>
      <c r="V2475" t="str">
        <f>IFERROR(INDEX(Products!$C:$C,MATCH(D2475,Products!$A:$A,0)),"Unknown")</f>
        <v>Watches</v>
      </c>
      <c r="W2475" t="str">
        <f>IFERROR(INDEX(Products!$E:$E,MATCH(D2475,Products!$A:$A,0)),"Unknown")</f>
        <v>Wrangler</v>
      </c>
      <c r="X2475" t="str">
        <f>IFERROR(INDEX(Stores!$B:$B,MATCH(E2475,Stores!$A:$A,0)),"Unknown")</f>
        <v>TrendMart Tumakuru Outlet</v>
      </c>
      <c r="Y2475" t="str">
        <f>IFERROR(INDEX(Stores!$E:$E,MATCH(E2475,Stores!$A:$A,0)),"Unknown")</f>
        <v>South Zone 2</v>
      </c>
      <c r="Z2475" t="str">
        <f>IFERROR(INDEX(Customers!$J:$J,MATCH(C2475,Customers!$A:$A,0)),"Unknown")</f>
        <v>Regular</v>
      </c>
      <c r="AA2475" t="str">
        <f t="shared" si="38"/>
        <v>2024-12</v>
      </c>
      <c r="AB2475" t="str">
        <f>IFERROR(INDEX(Products!$I:$I,MATCH(D2475,Products!$A:$A,0)),"Unknown")</f>
        <v>SUP044</v>
      </c>
    </row>
    <row r="2476" spans="1:28" x14ac:dyDescent="0.25">
      <c r="A2476" t="s">
        <v>4518</v>
      </c>
      <c r="B2476" s="20">
        <v>45640</v>
      </c>
      <c r="C2476" t="s">
        <v>1331</v>
      </c>
      <c r="D2476" t="s">
        <v>469</v>
      </c>
      <c r="E2476" t="s">
        <v>252</v>
      </c>
      <c r="F2476" t="s">
        <v>263</v>
      </c>
      <c r="G2476">
        <v>1</v>
      </c>
      <c r="H2476" s="21">
        <v>1007.33</v>
      </c>
      <c r="I2476">
        <v>0</v>
      </c>
      <c r="J2476" s="21">
        <v>0</v>
      </c>
      <c r="K2476">
        <v>12</v>
      </c>
      <c r="L2476" s="21">
        <v>120.88</v>
      </c>
      <c r="M2476" s="21">
        <v>1128.21</v>
      </c>
      <c r="N2476" s="21">
        <v>568.05999999999995</v>
      </c>
      <c r="O2476" s="21">
        <v>439.27</v>
      </c>
      <c r="P2476" t="s">
        <v>126</v>
      </c>
      <c r="Q2476" t="s">
        <v>122</v>
      </c>
      <c r="R2476" t="s">
        <v>151</v>
      </c>
      <c r="S2476" t="s">
        <v>1639</v>
      </c>
      <c r="T2476" t="s">
        <v>161</v>
      </c>
      <c r="U2476" t="s">
        <v>154</v>
      </c>
      <c r="V2476" t="str">
        <f>IFERROR(INDEX(Products!$C:$C,MATCH(D2476,Products!$A:$A,0)),"Unknown")</f>
        <v>Women Kurtis</v>
      </c>
      <c r="W2476" t="str">
        <f>IFERROR(INDEX(Products!$E:$E,MATCH(D2476,Products!$A:$A,0)),"Unknown")</f>
        <v>Libas</v>
      </c>
      <c r="X2476" t="str">
        <f>IFERROR(INDEX(Stores!$B:$B,MATCH(E2476,Stores!$A:$A,0)),"Unknown")</f>
        <v>TrendMart Nellore Standard</v>
      </c>
      <c r="Y2476" t="str">
        <f>IFERROR(INDEX(Stores!$E:$E,MATCH(E2476,Stores!$A:$A,0)),"Unknown")</f>
        <v>South Zone 3</v>
      </c>
      <c r="Z2476" t="str">
        <f>IFERROR(INDEX(Customers!$J:$J,MATCH(C2476,Customers!$A:$A,0)),"Unknown")</f>
        <v>Regular</v>
      </c>
      <c r="AA2476" t="str">
        <f t="shared" si="38"/>
        <v>2024-12</v>
      </c>
      <c r="AB2476" t="str">
        <f>IFERROR(INDEX(Products!$I:$I,MATCH(D2476,Products!$A:$A,0)),"Unknown")</f>
        <v>SUP079</v>
      </c>
    </row>
    <row r="2477" spans="1:28" x14ac:dyDescent="0.25">
      <c r="A2477" t="s">
        <v>4519</v>
      </c>
      <c r="B2477" s="20">
        <v>45740</v>
      </c>
      <c r="C2477" t="s">
        <v>847</v>
      </c>
      <c r="D2477" t="s">
        <v>251</v>
      </c>
      <c r="E2477" t="s">
        <v>391</v>
      </c>
      <c r="F2477" t="s">
        <v>596</v>
      </c>
      <c r="G2477">
        <v>1</v>
      </c>
      <c r="H2477" s="21">
        <v>820.61</v>
      </c>
      <c r="I2477">
        <v>0</v>
      </c>
      <c r="J2477" s="21">
        <v>0</v>
      </c>
      <c r="K2477">
        <v>5</v>
      </c>
      <c r="L2477" s="21">
        <v>41.03</v>
      </c>
      <c r="M2477" s="21">
        <v>861.64</v>
      </c>
      <c r="N2477" s="21">
        <v>534.80999999999995</v>
      </c>
      <c r="O2477" s="21">
        <v>285.8</v>
      </c>
      <c r="P2477" t="s">
        <v>121</v>
      </c>
      <c r="Q2477" t="s">
        <v>120</v>
      </c>
      <c r="R2477" t="s">
        <v>151</v>
      </c>
      <c r="S2477" t="s">
        <v>2688</v>
      </c>
      <c r="T2477" t="s">
        <v>153</v>
      </c>
      <c r="U2477" t="s">
        <v>154</v>
      </c>
      <c r="V2477" t="str">
        <f>IFERROR(INDEX(Products!$C:$C,MATCH(D2477,Products!$A:$A,0)),"Unknown")</f>
        <v>Women Tops</v>
      </c>
      <c r="W2477" t="str">
        <f>IFERROR(INDEX(Products!$E:$E,MATCH(D2477,Products!$A:$A,0)),"Unknown")</f>
        <v>US Polo Assn</v>
      </c>
      <c r="X2477" t="str">
        <f>IFERROR(INDEX(Stores!$B:$B,MATCH(E2477,Stores!$A:$A,0)),"Unknown")</f>
        <v>TrendMart Warangal High Street</v>
      </c>
      <c r="Y2477" t="str">
        <f>IFERROR(INDEX(Stores!$E:$E,MATCH(E2477,Stores!$A:$A,0)),"Unknown")</f>
        <v>South Zone 2</v>
      </c>
      <c r="Z2477" t="str">
        <f>IFERROR(INDEX(Customers!$J:$J,MATCH(C2477,Customers!$A:$A,0)),"Unknown")</f>
        <v>Silver</v>
      </c>
      <c r="AA2477" t="str">
        <f t="shared" si="38"/>
        <v>2025-03</v>
      </c>
      <c r="AB2477" t="str">
        <f>IFERROR(INDEX(Products!$I:$I,MATCH(D2477,Products!$A:$A,0)),"Unknown")</f>
        <v>SUP039</v>
      </c>
    </row>
    <row r="2478" spans="1:28" x14ac:dyDescent="0.25">
      <c r="A2478" t="s">
        <v>4520</v>
      </c>
      <c r="B2478" s="20">
        <v>45507</v>
      </c>
      <c r="C2478" t="s">
        <v>766</v>
      </c>
      <c r="D2478" t="s">
        <v>180</v>
      </c>
      <c r="E2478" t="s">
        <v>798</v>
      </c>
      <c r="F2478" t="s">
        <v>408</v>
      </c>
      <c r="G2478">
        <v>1</v>
      </c>
      <c r="H2478" s="21">
        <v>3681.94</v>
      </c>
      <c r="I2478">
        <v>0</v>
      </c>
      <c r="J2478" s="21">
        <v>0</v>
      </c>
      <c r="K2478">
        <v>12</v>
      </c>
      <c r="L2478" s="21">
        <v>441.83</v>
      </c>
      <c r="M2478" s="21">
        <v>4123.7700000000004</v>
      </c>
      <c r="N2478" s="21">
        <v>2424.62</v>
      </c>
      <c r="O2478" s="21">
        <v>1257.32</v>
      </c>
      <c r="P2478" t="s">
        <v>124</v>
      </c>
      <c r="Q2478" t="s">
        <v>120</v>
      </c>
      <c r="R2478" t="s">
        <v>151</v>
      </c>
      <c r="S2478" t="s">
        <v>467</v>
      </c>
      <c r="T2478" t="s">
        <v>161</v>
      </c>
      <c r="U2478" t="s">
        <v>154</v>
      </c>
      <c r="V2478" t="str">
        <f>IFERROR(INDEX(Products!$C:$C,MATCH(D2478,Products!$A:$A,0)),"Unknown")</f>
        <v>Footwear</v>
      </c>
      <c r="W2478" t="str">
        <f>IFERROR(INDEX(Products!$E:$E,MATCH(D2478,Products!$A:$A,0)),"Unknown")</f>
        <v>US Polo Assn</v>
      </c>
      <c r="X2478" t="str">
        <f>IFERROR(INDEX(Stores!$B:$B,MATCH(E2478,Stores!$A:$A,0)),"Unknown")</f>
        <v>TrendMart Guntur Standard</v>
      </c>
      <c r="Y2478" t="str">
        <f>IFERROR(INDEX(Stores!$E:$E,MATCH(E2478,Stores!$A:$A,0)),"Unknown")</f>
        <v>South Zone 3</v>
      </c>
      <c r="Z2478" t="str">
        <f>IFERROR(INDEX(Customers!$J:$J,MATCH(C2478,Customers!$A:$A,0)),"Unknown")</f>
        <v>Regular</v>
      </c>
      <c r="AA2478" t="str">
        <f t="shared" si="38"/>
        <v>2024-08</v>
      </c>
      <c r="AB2478" t="str">
        <f>IFERROR(INDEX(Products!$I:$I,MATCH(D2478,Products!$A:$A,0)),"Unknown")</f>
        <v>SUP084</v>
      </c>
    </row>
    <row r="2479" spans="1:28" x14ac:dyDescent="0.25">
      <c r="A2479" t="s">
        <v>4521</v>
      </c>
      <c r="B2479" s="20">
        <v>45646</v>
      </c>
      <c r="C2479" t="s">
        <v>1270</v>
      </c>
      <c r="D2479" t="s">
        <v>1328</v>
      </c>
      <c r="E2479" t="s">
        <v>451</v>
      </c>
      <c r="F2479" t="s">
        <v>221</v>
      </c>
      <c r="G2479">
        <v>2</v>
      </c>
      <c r="H2479" s="21">
        <v>1646.98</v>
      </c>
      <c r="I2479">
        <v>5</v>
      </c>
      <c r="J2479" s="21">
        <v>164.7</v>
      </c>
      <c r="K2479">
        <v>12</v>
      </c>
      <c r="L2479" s="21">
        <v>375.51</v>
      </c>
      <c r="M2479" s="21">
        <v>3504.77</v>
      </c>
      <c r="N2479" s="21">
        <v>2184.86</v>
      </c>
      <c r="O2479" s="21">
        <v>944.4</v>
      </c>
      <c r="P2479" t="s">
        <v>125</v>
      </c>
      <c r="Q2479" t="s">
        <v>122</v>
      </c>
      <c r="R2479" t="s">
        <v>151</v>
      </c>
      <c r="S2479" t="s">
        <v>430</v>
      </c>
      <c r="T2479" t="s">
        <v>153</v>
      </c>
      <c r="U2479" t="s">
        <v>154</v>
      </c>
      <c r="V2479" t="str">
        <f>IFERROR(INDEX(Products!$C:$C,MATCH(D2479,Products!$A:$A,0)),"Unknown")</f>
        <v>Winter Wear</v>
      </c>
      <c r="W2479" t="str">
        <f>IFERROR(INDEX(Products!$E:$E,MATCH(D2479,Products!$A:$A,0)),"Unknown")</f>
        <v>Fastrack</v>
      </c>
      <c r="X2479" t="str">
        <f>IFERROR(INDEX(Stores!$B:$B,MATCH(E2479,Stores!$A:$A,0)),"Unknown")</f>
        <v>TrendMart Thoothukudi High Street</v>
      </c>
      <c r="Y2479" t="str">
        <f>IFERROR(INDEX(Stores!$E:$E,MATCH(E2479,Stores!$A:$A,0)),"Unknown")</f>
        <v>South Zone 1</v>
      </c>
      <c r="Z2479" t="str">
        <f>IFERROR(INDEX(Customers!$J:$J,MATCH(C2479,Customers!$A:$A,0)),"Unknown")</f>
        <v>Silver</v>
      </c>
      <c r="AA2479" t="str">
        <f t="shared" si="38"/>
        <v>2024-12</v>
      </c>
      <c r="AB2479" t="str">
        <f>IFERROR(INDEX(Products!$I:$I,MATCH(D2479,Products!$A:$A,0)),"Unknown")</f>
        <v>SUP033</v>
      </c>
    </row>
    <row r="2480" spans="1:28" x14ac:dyDescent="0.25">
      <c r="A2480" t="s">
        <v>4522</v>
      </c>
      <c r="B2480" s="20">
        <v>45693</v>
      </c>
      <c r="C2480" t="s">
        <v>4102</v>
      </c>
      <c r="D2480" t="s">
        <v>2051</v>
      </c>
      <c r="E2480" t="s">
        <v>387</v>
      </c>
      <c r="F2480" t="s">
        <v>201</v>
      </c>
      <c r="G2480">
        <v>3</v>
      </c>
      <c r="H2480" s="21">
        <v>2717.14</v>
      </c>
      <c r="I2480">
        <v>30</v>
      </c>
      <c r="J2480" s="21">
        <v>2445.4299999999998</v>
      </c>
      <c r="K2480">
        <v>12</v>
      </c>
      <c r="L2480" s="21">
        <v>684.72</v>
      </c>
      <c r="M2480" s="21">
        <v>6390.71</v>
      </c>
      <c r="N2480" s="21">
        <v>5875.17</v>
      </c>
      <c r="O2480" s="21">
        <v>-169.18</v>
      </c>
      <c r="P2480" t="s">
        <v>123</v>
      </c>
      <c r="Q2480" t="s">
        <v>120</v>
      </c>
      <c r="R2480" t="s">
        <v>151</v>
      </c>
      <c r="S2480" t="s">
        <v>3038</v>
      </c>
      <c r="T2480" t="s">
        <v>153</v>
      </c>
      <c r="U2480" t="s">
        <v>184</v>
      </c>
      <c r="V2480" t="str">
        <f>IFERROR(INDEX(Products!$C:$C,MATCH(D2480,Products!$A:$A,0)),"Unknown")</f>
        <v>Men Ethnic</v>
      </c>
      <c r="W2480" t="str">
        <f>IFERROR(INDEX(Products!$E:$E,MATCH(D2480,Products!$A:$A,0)),"Unknown")</f>
        <v>Nike</v>
      </c>
      <c r="X2480" t="str">
        <f>IFERROR(INDEX(Stores!$B:$B,MATCH(E2480,Stores!$A:$A,0)),"Unknown")</f>
        <v>TrendMart Kannur Outlet</v>
      </c>
      <c r="Y2480" t="str">
        <f>IFERROR(INDEX(Stores!$E:$E,MATCH(E2480,Stores!$A:$A,0)),"Unknown")</f>
        <v>South Zone 1</v>
      </c>
      <c r="Z2480" t="str">
        <f>IFERROR(INDEX(Customers!$J:$J,MATCH(C2480,Customers!$A:$A,0)),"Unknown")</f>
        <v>Silver</v>
      </c>
      <c r="AA2480" t="str">
        <f t="shared" si="38"/>
        <v>2025-02</v>
      </c>
      <c r="AB2480" t="str">
        <f>IFERROR(INDEX(Products!$I:$I,MATCH(D2480,Products!$A:$A,0)),"Unknown")</f>
        <v>SUP002</v>
      </c>
    </row>
    <row r="2481" spans="1:28" x14ac:dyDescent="0.25">
      <c r="A2481" t="s">
        <v>4523</v>
      </c>
      <c r="B2481" s="20">
        <v>45442</v>
      </c>
      <c r="C2481" t="s">
        <v>1062</v>
      </c>
      <c r="D2481" t="s">
        <v>680</v>
      </c>
      <c r="E2481" t="s">
        <v>461</v>
      </c>
      <c r="F2481" t="s">
        <v>176</v>
      </c>
      <c r="G2481">
        <v>4</v>
      </c>
      <c r="H2481" s="21">
        <v>647.4</v>
      </c>
      <c r="I2481">
        <v>25</v>
      </c>
      <c r="J2481" s="21">
        <v>647.4</v>
      </c>
      <c r="K2481">
        <v>5</v>
      </c>
      <c r="L2481" s="21">
        <v>97.11</v>
      </c>
      <c r="M2481" s="21">
        <v>2039.31</v>
      </c>
      <c r="N2481" s="21">
        <v>1614.84</v>
      </c>
      <c r="O2481" s="21">
        <v>327.36</v>
      </c>
      <c r="P2481" t="s">
        <v>123</v>
      </c>
      <c r="Q2481" t="s">
        <v>122</v>
      </c>
      <c r="R2481" t="s">
        <v>151</v>
      </c>
      <c r="S2481" t="s">
        <v>551</v>
      </c>
      <c r="T2481" t="s">
        <v>153</v>
      </c>
      <c r="U2481" t="s">
        <v>154</v>
      </c>
      <c r="V2481" t="str">
        <f>IFERROR(INDEX(Products!$C:$C,MATCH(D2481,Products!$A:$A,0)),"Unknown")</f>
        <v>Accessories</v>
      </c>
      <c r="W2481" t="str">
        <f>IFERROR(INDEX(Products!$E:$E,MATCH(D2481,Products!$A:$A,0)),"Unknown")</f>
        <v>Westside</v>
      </c>
      <c r="X2481" t="str">
        <f>IFERROR(INDEX(Stores!$B:$B,MATCH(E2481,Stores!$A:$A,0)),"Unknown")</f>
        <v>TrendMart Visakhapatnam High Street</v>
      </c>
      <c r="Y2481" t="str">
        <f>IFERROR(INDEX(Stores!$E:$E,MATCH(E2481,Stores!$A:$A,0)),"Unknown")</f>
        <v>South Zone 3</v>
      </c>
      <c r="Z2481" t="str">
        <f>IFERROR(INDEX(Customers!$J:$J,MATCH(C2481,Customers!$A:$A,0)),"Unknown")</f>
        <v>Gold</v>
      </c>
      <c r="AA2481" t="str">
        <f t="shared" si="38"/>
        <v>2024-05</v>
      </c>
      <c r="AB2481" t="str">
        <f>IFERROR(INDEX(Products!$I:$I,MATCH(D2481,Products!$A:$A,0)),"Unknown")</f>
        <v>SUP064</v>
      </c>
    </row>
    <row r="2482" spans="1:28" x14ac:dyDescent="0.25">
      <c r="A2482" t="s">
        <v>4524</v>
      </c>
      <c r="B2482" s="20">
        <v>45397</v>
      </c>
      <c r="C2482" t="s">
        <v>4317</v>
      </c>
      <c r="D2482" t="s">
        <v>1302</v>
      </c>
      <c r="E2482" t="s">
        <v>634</v>
      </c>
      <c r="F2482" t="s">
        <v>269</v>
      </c>
      <c r="G2482">
        <v>1</v>
      </c>
      <c r="H2482" s="21">
        <v>1147.7</v>
      </c>
      <c r="I2482">
        <v>5</v>
      </c>
      <c r="J2482" s="21">
        <v>57.38</v>
      </c>
      <c r="K2482">
        <v>12</v>
      </c>
      <c r="L2482" s="21">
        <v>130.84</v>
      </c>
      <c r="M2482" s="21">
        <v>1221.1600000000001</v>
      </c>
      <c r="N2482" s="21">
        <v>770.73</v>
      </c>
      <c r="O2482" s="21">
        <v>319.58999999999997</v>
      </c>
      <c r="P2482" t="s">
        <v>121</v>
      </c>
      <c r="Q2482" t="s">
        <v>120</v>
      </c>
      <c r="R2482" t="s">
        <v>151</v>
      </c>
      <c r="S2482" t="s">
        <v>1775</v>
      </c>
      <c r="T2482" t="s">
        <v>153</v>
      </c>
      <c r="U2482" t="s">
        <v>154</v>
      </c>
      <c r="V2482" t="str">
        <f>IFERROR(INDEX(Products!$C:$C,MATCH(D2482,Products!$A:$A,0)),"Unknown")</f>
        <v>Women Kurtis</v>
      </c>
      <c r="W2482" t="str">
        <f>IFERROR(INDEX(Products!$E:$E,MATCH(D2482,Products!$A:$A,0)),"Unknown")</f>
        <v>Fabindia</v>
      </c>
      <c r="X2482" t="str">
        <f>IFERROR(INDEX(Stores!$B:$B,MATCH(E2482,Stores!$A:$A,0)),"Unknown")</f>
        <v>TrendMart Thrissur High Street</v>
      </c>
      <c r="Y2482" t="str">
        <f>IFERROR(INDEX(Stores!$E:$E,MATCH(E2482,Stores!$A:$A,0)),"Unknown")</f>
        <v>South Zone 1</v>
      </c>
      <c r="Z2482" t="str">
        <f>IFERROR(INDEX(Customers!$J:$J,MATCH(C2482,Customers!$A:$A,0)),"Unknown")</f>
        <v>Regular</v>
      </c>
      <c r="AA2482" t="str">
        <f t="shared" si="38"/>
        <v>2024-04</v>
      </c>
      <c r="AB2482" t="str">
        <f>IFERROR(INDEX(Products!$I:$I,MATCH(D2482,Products!$A:$A,0)),"Unknown")</f>
        <v>SUP059</v>
      </c>
    </row>
    <row r="2483" spans="1:28" x14ac:dyDescent="0.25">
      <c r="A2483" t="s">
        <v>4525</v>
      </c>
      <c r="B2483" s="20">
        <v>45403</v>
      </c>
      <c r="C2483" t="s">
        <v>3236</v>
      </c>
      <c r="D2483" t="s">
        <v>329</v>
      </c>
      <c r="E2483" t="s">
        <v>82</v>
      </c>
      <c r="F2483" t="s">
        <v>292</v>
      </c>
      <c r="G2483">
        <v>3</v>
      </c>
      <c r="H2483" s="21">
        <v>686.67</v>
      </c>
      <c r="I2483">
        <v>10</v>
      </c>
      <c r="J2483" s="21">
        <v>206</v>
      </c>
      <c r="K2483">
        <v>5</v>
      </c>
      <c r="L2483" s="21">
        <v>92.7</v>
      </c>
      <c r="M2483" s="21">
        <v>1946.71</v>
      </c>
      <c r="N2483" s="21">
        <v>1257.8399999999999</v>
      </c>
      <c r="O2483" s="21">
        <v>596.16999999999996</v>
      </c>
      <c r="P2483" t="s">
        <v>121</v>
      </c>
      <c r="Q2483" t="s">
        <v>120</v>
      </c>
      <c r="R2483" t="s">
        <v>151</v>
      </c>
      <c r="S2483" t="s">
        <v>811</v>
      </c>
      <c r="T2483" t="s">
        <v>161</v>
      </c>
      <c r="U2483" t="s">
        <v>154</v>
      </c>
      <c r="V2483" t="str">
        <f>IFERROR(INDEX(Products!$C:$C,MATCH(D2483,Products!$A:$A,0)),"Unknown")</f>
        <v>Men T-Shirts</v>
      </c>
      <c r="W2483" t="str">
        <f>IFERROR(INDEX(Products!$E:$E,MATCH(D2483,Products!$A:$A,0)),"Unknown")</f>
        <v>Peter England</v>
      </c>
      <c r="X2483" t="str">
        <f>IFERROR(INDEX(Stores!$B:$B,MATCH(E2483,Stores!$A:$A,0)),"Unknown")</f>
        <v>TrendMart Kochi High Street</v>
      </c>
      <c r="Y2483" t="str">
        <f>IFERROR(INDEX(Stores!$E:$E,MATCH(E2483,Stores!$A:$A,0)),"Unknown")</f>
        <v>South Zone 1</v>
      </c>
      <c r="Z2483" t="str">
        <f>IFERROR(INDEX(Customers!$J:$J,MATCH(C2483,Customers!$A:$A,0)),"Unknown")</f>
        <v>Regular</v>
      </c>
      <c r="AA2483" t="str">
        <f t="shared" si="38"/>
        <v>2024-04</v>
      </c>
      <c r="AB2483" t="str">
        <f>IFERROR(INDEX(Products!$I:$I,MATCH(D2483,Products!$A:$A,0)),"Unknown")</f>
        <v>SUP071</v>
      </c>
    </row>
    <row r="2484" spans="1:28" x14ac:dyDescent="0.25">
      <c r="A2484" t="s">
        <v>4526</v>
      </c>
      <c r="B2484" s="20">
        <v>45436</v>
      </c>
      <c r="C2484" t="s">
        <v>3676</v>
      </c>
      <c r="D2484" t="s">
        <v>339</v>
      </c>
      <c r="E2484" t="s">
        <v>90</v>
      </c>
      <c r="F2484" t="s">
        <v>297</v>
      </c>
      <c r="G2484">
        <v>2</v>
      </c>
      <c r="H2484" s="21">
        <v>867.55</v>
      </c>
      <c r="I2484">
        <v>5</v>
      </c>
      <c r="J2484" s="21">
        <v>86.75</v>
      </c>
      <c r="K2484">
        <v>5</v>
      </c>
      <c r="L2484" s="21">
        <v>82.42</v>
      </c>
      <c r="M2484" s="21">
        <v>1730.77</v>
      </c>
      <c r="N2484" s="21">
        <v>1137.06</v>
      </c>
      <c r="O2484" s="21">
        <v>511.29</v>
      </c>
      <c r="P2484" t="s">
        <v>125</v>
      </c>
      <c r="Q2484" t="s">
        <v>122</v>
      </c>
      <c r="R2484" t="s">
        <v>151</v>
      </c>
      <c r="S2484" t="s">
        <v>471</v>
      </c>
      <c r="T2484" t="s">
        <v>153</v>
      </c>
      <c r="U2484" t="s">
        <v>154</v>
      </c>
      <c r="V2484" t="str">
        <f>IFERROR(INDEX(Products!$C:$C,MATCH(D2484,Products!$A:$A,0)),"Unknown")</f>
        <v>Women Kurtis</v>
      </c>
      <c r="W2484" t="str">
        <f>IFERROR(INDEX(Products!$E:$E,MATCH(D2484,Products!$A:$A,0)),"Unknown")</f>
        <v>Allen Solly</v>
      </c>
      <c r="X2484" t="str">
        <f>IFERROR(INDEX(Stores!$B:$B,MATCH(E2484,Stores!$A:$A,0)),"Unknown")</f>
        <v>TrendMart Thoothukudi Mall Kiosk</v>
      </c>
      <c r="Y2484" t="str">
        <f>IFERROR(INDEX(Stores!$E:$E,MATCH(E2484,Stores!$A:$A,0)),"Unknown")</f>
        <v>South Zone 1</v>
      </c>
      <c r="Z2484" t="str">
        <f>IFERROR(INDEX(Customers!$J:$J,MATCH(C2484,Customers!$A:$A,0)),"Unknown")</f>
        <v>Gold</v>
      </c>
      <c r="AA2484" t="str">
        <f t="shared" si="38"/>
        <v>2024-05</v>
      </c>
      <c r="AB2484" t="str">
        <f>IFERROR(INDEX(Products!$I:$I,MATCH(D2484,Products!$A:$A,0)),"Unknown")</f>
        <v>SUP086</v>
      </c>
    </row>
    <row r="2485" spans="1:28" x14ac:dyDescent="0.25">
      <c r="A2485" t="s">
        <v>4527</v>
      </c>
      <c r="B2485" s="20">
        <v>45499</v>
      </c>
      <c r="C2485" t="s">
        <v>1107</v>
      </c>
      <c r="D2485" t="s">
        <v>2751</v>
      </c>
      <c r="E2485" t="s">
        <v>200</v>
      </c>
      <c r="F2485" t="s">
        <v>308</v>
      </c>
      <c r="G2485">
        <v>3</v>
      </c>
      <c r="H2485" s="21">
        <v>423.58</v>
      </c>
      <c r="I2485">
        <v>15</v>
      </c>
      <c r="J2485" s="21">
        <v>190.61</v>
      </c>
      <c r="K2485">
        <v>5</v>
      </c>
      <c r="L2485" s="21">
        <v>54.01</v>
      </c>
      <c r="M2485" s="21">
        <v>1134.1400000000001</v>
      </c>
      <c r="N2485" s="21">
        <v>957.21</v>
      </c>
      <c r="O2485" s="21">
        <v>122.92</v>
      </c>
      <c r="P2485" t="s">
        <v>124</v>
      </c>
      <c r="Q2485" t="s">
        <v>120</v>
      </c>
      <c r="R2485" t="s">
        <v>151</v>
      </c>
      <c r="S2485" t="s">
        <v>786</v>
      </c>
      <c r="T2485" t="s">
        <v>153</v>
      </c>
      <c r="U2485" t="s">
        <v>154</v>
      </c>
      <c r="V2485" t="str">
        <f>IFERROR(INDEX(Products!$C:$C,MATCH(D2485,Products!$A:$A,0)),"Unknown")</f>
        <v>Belts</v>
      </c>
      <c r="W2485" t="str">
        <f>IFERROR(INDEX(Products!$E:$E,MATCH(D2485,Products!$A:$A,0)),"Unknown")</f>
        <v>AND</v>
      </c>
      <c r="X2485" t="str">
        <f>IFERROR(INDEX(Stores!$B:$B,MATCH(E2485,Stores!$A:$A,0)),"Unknown")</f>
        <v>TrendMart Kozhikode Standard</v>
      </c>
      <c r="Y2485" t="str">
        <f>IFERROR(INDEX(Stores!$E:$E,MATCH(E2485,Stores!$A:$A,0)),"Unknown")</f>
        <v>South Zone 1</v>
      </c>
      <c r="Z2485" t="str">
        <f>IFERROR(INDEX(Customers!$J:$J,MATCH(C2485,Customers!$A:$A,0)),"Unknown")</f>
        <v>Silver</v>
      </c>
      <c r="AA2485" t="str">
        <f t="shared" si="38"/>
        <v>2024-07</v>
      </c>
      <c r="AB2485" t="str">
        <f>IFERROR(INDEX(Products!$I:$I,MATCH(D2485,Products!$A:$A,0)),"Unknown")</f>
        <v>SUP026</v>
      </c>
    </row>
    <row r="2486" spans="1:28" x14ac:dyDescent="0.25">
      <c r="A2486" t="s">
        <v>4528</v>
      </c>
      <c r="B2486" s="20">
        <v>45429</v>
      </c>
      <c r="C2486" t="s">
        <v>2371</v>
      </c>
      <c r="D2486" t="s">
        <v>633</v>
      </c>
      <c r="E2486" t="s">
        <v>226</v>
      </c>
      <c r="F2486" t="s">
        <v>462</v>
      </c>
      <c r="G2486">
        <v>3</v>
      </c>
      <c r="H2486" s="21">
        <v>659.15</v>
      </c>
      <c r="I2486">
        <v>25</v>
      </c>
      <c r="J2486" s="21">
        <v>494.36</v>
      </c>
      <c r="K2486">
        <v>5</v>
      </c>
      <c r="L2486" s="21">
        <v>74.150000000000006</v>
      </c>
      <c r="M2486" s="21">
        <v>1557.24</v>
      </c>
      <c r="N2486" s="21">
        <v>1253.76</v>
      </c>
      <c r="O2486" s="21">
        <v>229.33</v>
      </c>
      <c r="P2486" t="s">
        <v>123</v>
      </c>
      <c r="Q2486" t="s">
        <v>120</v>
      </c>
      <c r="R2486" t="s">
        <v>151</v>
      </c>
      <c r="S2486" t="s">
        <v>3219</v>
      </c>
      <c r="T2486" t="s">
        <v>153</v>
      </c>
      <c r="U2486" t="s">
        <v>154</v>
      </c>
      <c r="V2486" t="str">
        <f>IFERROR(INDEX(Products!$C:$C,MATCH(D2486,Products!$A:$A,0)),"Unknown")</f>
        <v>Men T-Shirts</v>
      </c>
      <c r="W2486" t="str">
        <f>IFERROR(INDEX(Products!$E:$E,MATCH(D2486,Products!$A:$A,0)),"Unknown")</f>
        <v>Reebok</v>
      </c>
      <c r="X2486" t="str">
        <f>IFERROR(INDEX(Stores!$B:$B,MATCH(E2486,Stores!$A:$A,0)),"Unknown")</f>
        <v>TrendMart Kurnool Standard</v>
      </c>
      <c r="Y2486" t="str">
        <f>IFERROR(INDEX(Stores!$E:$E,MATCH(E2486,Stores!$A:$A,0)),"Unknown")</f>
        <v>South Zone 3</v>
      </c>
      <c r="Z2486" t="str">
        <f>IFERROR(INDEX(Customers!$J:$J,MATCH(C2486,Customers!$A:$A,0)),"Unknown")</f>
        <v>Regular</v>
      </c>
      <c r="AA2486" t="str">
        <f t="shared" si="38"/>
        <v>2024-05</v>
      </c>
      <c r="AB2486" t="str">
        <f>IFERROR(INDEX(Products!$I:$I,MATCH(D2486,Products!$A:$A,0)),"Unknown")</f>
        <v>SUP046</v>
      </c>
    </row>
    <row r="2487" spans="1:28" x14ac:dyDescent="0.25">
      <c r="A2487" t="s">
        <v>4529</v>
      </c>
      <c r="B2487" s="20">
        <v>45513</v>
      </c>
      <c r="C2487" t="s">
        <v>4530</v>
      </c>
      <c r="D2487" t="s">
        <v>717</v>
      </c>
      <c r="E2487" t="s">
        <v>617</v>
      </c>
      <c r="F2487" t="s">
        <v>275</v>
      </c>
      <c r="G2487">
        <v>2</v>
      </c>
      <c r="H2487" s="21">
        <v>1726.93</v>
      </c>
      <c r="I2487">
        <v>30</v>
      </c>
      <c r="J2487" s="21">
        <v>1036.1600000000001</v>
      </c>
      <c r="K2487">
        <v>12</v>
      </c>
      <c r="L2487" s="21">
        <v>290.12</v>
      </c>
      <c r="M2487" s="21">
        <v>2707.82</v>
      </c>
      <c r="N2487" s="21">
        <v>2266.54</v>
      </c>
      <c r="O2487" s="21">
        <v>151.16</v>
      </c>
      <c r="P2487" t="s">
        <v>126</v>
      </c>
      <c r="Q2487" t="s">
        <v>122</v>
      </c>
      <c r="R2487" t="s">
        <v>151</v>
      </c>
      <c r="S2487" t="s">
        <v>2380</v>
      </c>
      <c r="T2487" t="s">
        <v>153</v>
      </c>
      <c r="U2487" t="s">
        <v>154</v>
      </c>
      <c r="V2487" t="str">
        <f>IFERROR(INDEX(Products!$C:$C,MATCH(D2487,Products!$A:$A,0)),"Unknown")</f>
        <v>Women Dresses</v>
      </c>
      <c r="W2487" t="str">
        <f>IFERROR(INDEX(Products!$E:$E,MATCH(D2487,Products!$A:$A,0)),"Unknown")</f>
        <v>Pantaloons</v>
      </c>
      <c r="X2487" t="str">
        <f>IFERROR(INDEX(Stores!$B:$B,MATCH(E2487,Stores!$A:$A,0)),"Unknown")</f>
        <v>TrendMart Mangaluru High Street</v>
      </c>
      <c r="Y2487" t="str">
        <f>IFERROR(INDEX(Stores!$E:$E,MATCH(E2487,Stores!$A:$A,0)),"Unknown")</f>
        <v>South Zone 2</v>
      </c>
      <c r="Z2487" t="str">
        <f>IFERROR(INDEX(Customers!$J:$J,MATCH(C2487,Customers!$A:$A,0)),"Unknown")</f>
        <v>Gold</v>
      </c>
      <c r="AA2487" t="str">
        <f t="shared" si="38"/>
        <v>2024-08</v>
      </c>
      <c r="AB2487" t="str">
        <f>IFERROR(INDEX(Products!$I:$I,MATCH(D2487,Products!$A:$A,0)),"Unknown")</f>
        <v>SUP046</v>
      </c>
    </row>
    <row r="2488" spans="1:28" x14ac:dyDescent="0.25">
      <c r="A2488" t="s">
        <v>4531</v>
      </c>
      <c r="B2488" s="20">
        <v>45453</v>
      </c>
      <c r="C2488" t="s">
        <v>4532</v>
      </c>
      <c r="D2488" t="s">
        <v>3165</v>
      </c>
      <c r="E2488" t="s">
        <v>89</v>
      </c>
      <c r="F2488" t="s">
        <v>303</v>
      </c>
      <c r="G2488">
        <v>1</v>
      </c>
      <c r="H2488" s="21">
        <v>1240.55</v>
      </c>
      <c r="I2488">
        <v>10</v>
      </c>
      <c r="J2488" s="21">
        <v>124.06</v>
      </c>
      <c r="K2488">
        <v>12</v>
      </c>
      <c r="L2488" s="21">
        <v>133.97999999999999</v>
      </c>
      <c r="M2488" s="21">
        <v>1250.47</v>
      </c>
      <c r="N2488" s="21">
        <v>871.26</v>
      </c>
      <c r="O2488" s="21">
        <v>245.23</v>
      </c>
      <c r="P2488" t="s">
        <v>121</v>
      </c>
      <c r="Q2488" t="s">
        <v>120</v>
      </c>
      <c r="R2488" t="s">
        <v>151</v>
      </c>
      <c r="S2488" t="s">
        <v>1027</v>
      </c>
      <c r="T2488" t="s">
        <v>153</v>
      </c>
      <c r="U2488" t="s">
        <v>154</v>
      </c>
      <c r="V2488" t="str">
        <f>IFERROR(INDEX(Products!$C:$C,MATCH(D2488,Products!$A:$A,0)),"Unknown")</f>
        <v>Men Trousers</v>
      </c>
      <c r="W2488" t="str">
        <f>IFERROR(INDEX(Products!$E:$E,MATCH(D2488,Products!$A:$A,0)),"Unknown")</f>
        <v>Wrangler</v>
      </c>
      <c r="X2488" t="str">
        <f>IFERROR(INDEX(Stores!$B:$B,MATCH(E2488,Stores!$A:$A,0)),"Unknown")</f>
        <v>TrendMart Kochi Standard</v>
      </c>
      <c r="Y2488" t="str">
        <f>IFERROR(INDEX(Stores!$E:$E,MATCH(E2488,Stores!$A:$A,0)),"Unknown")</f>
        <v>South Zone 1</v>
      </c>
      <c r="Z2488" t="str">
        <f>IFERROR(INDEX(Customers!$J:$J,MATCH(C2488,Customers!$A:$A,0)),"Unknown")</f>
        <v>Regular</v>
      </c>
      <c r="AA2488" t="str">
        <f t="shared" si="38"/>
        <v>2024-06</v>
      </c>
      <c r="AB2488" t="str">
        <f>IFERROR(INDEX(Products!$I:$I,MATCH(D2488,Products!$A:$A,0)),"Unknown")</f>
        <v>SUP051</v>
      </c>
    </row>
    <row r="2489" spans="1:28" x14ac:dyDescent="0.25">
      <c r="A2489" t="s">
        <v>4533</v>
      </c>
      <c r="B2489" s="20">
        <v>45401</v>
      </c>
      <c r="C2489" t="s">
        <v>1985</v>
      </c>
      <c r="D2489" t="s">
        <v>1616</v>
      </c>
      <c r="E2489" t="s">
        <v>87</v>
      </c>
      <c r="F2489" t="s">
        <v>189</v>
      </c>
      <c r="G2489">
        <v>2</v>
      </c>
      <c r="H2489" s="21">
        <v>4362.9799999999996</v>
      </c>
      <c r="I2489">
        <v>30</v>
      </c>
      <c r="J2489" s="21">
        <v>2617.79</v>
      </c>
      <c r="K2489">
        <v>12</v>
      </c>
      <c r="L2489" s="21">
        <v>732.98</v>
      </c>
      <c r="M2489" s="21">
        <v>6841.15</v>
      </c>
      <c r="N2489" s="21">
        <v>6046.26</v>
      </c>
      <c r="O2489" s="21">
        <v>61.91</v>
      </c>
      <c r="P2489" t="s">
        <v>124</v>
      </c>
      <c r="Q2489" t="s">
        <v>122</v>
      </c>
      <c r="R2489" t="s">
        <v>151</v>
      </c>
      <c r="S2489" t="s">
        <v>1027</v>
      </c>
      <c r="T2489" t="s">
        <v>153</v>
      </c>
      <c r="U2489" t="s">
        <v>154</v>
      </c>
      <c r="V2489" t="str">
        <f>IFERROR(INDEX(Products!$C:$C,MATCH(D2489,Products!$A:$A,0)),"Unknown")</f>
        <v>Women Sarees</v>
      </c>
      <c r="W2489" t="str">
        <f>IFERROR(INDEX(Products!$E:$E,MATCH(D2489,Products!$A:$A,0)),"Unknown")</f>
        <v>Max Fashion</v>
      </c>
      <c r="X2489" t="str">
        <f>IFERROR(INDEX(Stores!$B:$B,MATCH(E2489,Stores!$A:$A,0)),"Unknown")</f>
        <v>TrendMart Thiruvananthapuram Standard</v>
      </c>
      <c r="Y2489" t="str">
        <f>IFERROR(INDEX(Stores!$E:$E,MATCH(E2489,Stores!$A:$A,0)),"Unknown")</f>
        <v>South Zone 1</v>
      </c>
      <c r="Z2489" t="str">
        <f>IFERROR(INDEX(Customers!$J:$J,MATCH(C2489,Customers!$A:$A,0)),"Unknown")</f>
        <v>Platinum</v>
      </c>
      <c r="AA2489" t="str">
        <f t="shared" si="38"/>
        <v>2024-04</v>
      </c>
      <c r="AB2489" t="str">
        <f>IFERROR(INDEX(Products!$I:$I,MATCH(D2489,Products!$A:$A,0)),"Unknown")</f>
        <v>SUP047</v>
      </c>
    </row>
    <row r="2490" spans="1:28" x14ac:dyDescent="0.25">
      <c r="A2490" t="s">
        <v>4534</v>
      </c>
      <c r="B2490" s="20">
        <v>45526</v>
      </c>
      <c r="C2490" t="s">
        <v>4535</v>
      </c>
      <c r="D2490" t="s">
        <v>905</v>
      </c>
      <c r="E2490" t="s">
        <v>1017</v>
      </c>
      <c r="F2490" t="s">
        <v>275</v>
      </c>
      <c r="G2490">
        <v>1</v>
      </c>
      <c r="H2490" s="21">
        <v>580.69000000000005</v>
      </c>
      <c r="I2490">
        <v>25</v>
      </c>
      <c r="J2490" s="21">
        <v>145.16999999999999</v>
      </c>
      <c r="K2490">
        <v>5</v>
      </c>
      <c r="L2490" s="21">
        <v>21.78</v>
      </c>
      <c r="M2490" s="21">
        <v>457.3</v>
      </c>
      <c r="N2490" s="21">
        <v>371.12</v>
      </c>
      <c r="O2490" s="21">
        <v>64.400000000000006</v>
      </c>
      <c r="P2490" t="s">
        <v>121</v>
      </c>
      <c r="Q2490" t="s">
        <v>120</v>
      </c>
      <c r="R2490" t="s">
        <v>151</v>
      </c>
      <c r="S2490" t="s">
        <v>770</v>
      </c>
      <c r="T2490" t="s">
        <v>153</v>
      </c>
      <c r="U2490" t="s">
        <v>154</v>
      </c>
      <c r="V2490" t="str">
        <f>IFERROR(INDEX(Products!$C:$C,MATCH(D2490,Products!$A:$A,0)),"Unknown")</f>
        <v>Wallets</v>
      </c>
      <c r="W2490" t="str">
        <f>IFERROR(INDEX(Products!$E:$E,MATCH(D2490,Products!$A:$A,0)),"Unknown")</f>
        <v>Global Desi</v>
      </c>
      <c r="X2490" t="str">
        <f>IFERROR(INDEX(Stores!$B:$B,MATCH(E2490,Stores!$A:$A,0)),"Unknown")</f>
        <v>TrendMart Mangaluru Standard</v>
      </c>
      <c r="Y2490" t="str">
        <f>IFERROR(INDEX(Stores!$E:$E,MATCH(E2490,Stores!$A:$A,0)),"Unknown")</f>
        <v>South Zone 2</v>
      </c>
      <c r="Z2490" t="str">
        <f>IFERROR(INDEX(Customers!$J:$J,MATCH(C2490,Customers!$A:$A,0)),"Unknown")</f>
        <v>Regular</v>
      </c>
      <c r="AA2490" t="str">
        <f t="shared" si="38"/>
        <v>2024-08</v>
      </c>
      <c r="AB2490" t="str">
        <f>IFERROR(INDEX(Products!$I:$I,MATCH(D2490,Products!$A:$A,0)),"Unknown")</f>
        <v>SUP051</v>
      </c>
    </row>
    <row r="2491" spans="1:28" x14ac:dyDescent="0.25">
      <c r="A2491" t="s">
        <v>4536</v>
      </c>
      <c r="B2491" s="20">
        <v>45394</v>
      </c>
      <c r="C2491" t="s">
        <v>2913</v>
      </c>
      <c r="D2491" t="s">
        <v>1431</v>
      </c>
      <c r="E2491" t="s">
        <v>752</v>
      </c>
      <c r="F2491" t="s">
        <v>344</v>
      </c>
      <c r="G2491">
        <v>4</v>
      </c>
      <c r="H2491" s="21">
        <v>1309.6400000000001</v>
      </c>
      <c r="I2491">
        <v>10</v>
      </c>
      <c r="J2491" s="21">
        <v>523.86</v>
      </c>
      <c r="K2491">
        <v>12</v>
      </c>
      <c r="L2491" s="21">
        <v>565.76</v>
      </c>
      <c r="M2491" s="21">
        <v>5280.46</v>
      </c>
      <c r="N2491" s="21">
        <v>3799.88</v>
      </c>
      <c r="O2491" s="21">
        <v>914.82</v>
      </c>
      <c r="P2491" t="s">
        <v>125</v>
      </c>
      <c r="Q2491" t="s">
        <v>120</v>
      </c>
      <c r="R2491" t="s">
        <v>151</v>
      </c>
      <c r="S2491" t="s">
        <v>1513</v>
      </c>
      <c r="T2491" t="s">
        <v>153</v>
      </c>
      <c r="U2491" t="s">
        <v>154</v>
      </c>
      <c r="V2491" t="str">
        <f>IFERROR(INDEX(Products!$C:$C,MATCH(D2491,Products!$A:$A,0)),"Unknown")</f>
        <v>Wallets</v>
      </c>
      <c r="W2491" t="str">
        <f>IFERROR(INDEX(Products!$E:$E,MATCH(D2491,Products!$A:$A,0)),"Unknown")</f>
        <v>Van Heusen</v>
      </c>
      <c r="X2491" t="str">
        <f>IFERROR(INDEX(Stores!$B:$B,MATCH(E2491,Stores!$A:$A,0)),"Unknown")</f>
        <v>TrendMart Dindigul High Street</v>
      </c>
      <c r="Y2491" t="str">
        <f>IFERROR(INDEX(Stores!$E:$E,MATCH(E2491,Stores!$A:$A,0)),"Unknown")</f>
        <v>South Zone 1</v>
      </c>
      <c r="Z2491" t="str">
        <f>IFERROR(INDEX(Customers!$J:$J,MATCH(C2491,Customers!$A:$A,0)),"Unknown")</f>
        <v>Gold</v>
      </c>
      <c r="AA2491" t="str">
        <f t="shared" si="38"/>
        <v>2024-04</v>
      </c>
      <c r="AB2491" t="str">
        <f>IFERROR(INDEX(Products!$I:$I,MATCH(D2491,Products!$A:$A,0)),"Unknown")</f>
        <v>SUP087</v>
      </c>
    </row>
    <row r="2492" spans="1:28" x14ac:dyDescent="0.25">
      <c r="A2492" t="s">
        <v>4537</v>
      </c>
      <c r="B2492" s="20">
        <v>45575</v>
      </c>
      <c r="C2492" t="s">
        <v>1430</v>
      </c>
      <c r="D2492" t="s">
        <v>2353</v>
      </c>
      <c r="E2492" t="s">
        <v>831</v>
      </c>
      <c r="F2492" t="s">
        <v>335</v>
      </c>
      <c r="G2492">
        <v>0</v>
      </c>
      <c r="H2492" s="21">
        <v>724.53</v>
      </c>
      <c r="I2492">
        <v>10</v>
      </c>
      <c r="J2492" s="21">
        <v>0</v>
      </c>
      <c r="K2492">
        <v>5</v>
      </c>
      <c r="L2492" s="21">
        <v>0</v>
      </c>
      <c r="M2492" s="21">
        <v>0</v>
      </c>
      <c r="N2492" s="21">
        <v>0</v>
      </c>
      <c r="O2492" s="21">
        <v>0</v>
      </c>
      <c r="P2492" t="s">
        <v>121</v>
      </c>
      <c r="Q2492" t="s">
        <v>120</v>
      </c>
      <c r="R2492" t="s">
        <v>482</v>
      </c>
      <c r="S2492" t="s">
        <v>2060</v>
      </c>
      <c r="T2492" t="s">
        <v>153</v>
      </c>
      <c r="U2492" t="s">
        <v>154</v>
      </c>
      <c r="V2492" t="str">
        <f>IFERROR(INDEX(Products!$C:$C,MATCH(D2492,Products!$A:$A,0)),"Unknown")</f>
        <v>Sportswear</v>
      </c>
      <c r="W2492" t="str">
        <f>IFERROR(INDEX(Products!$E:$E,MATCH(D2492,Products!$A:$A,0)),"Unknown")</f>
        <v>Mufti</v>
      </c>
      <c r="X2492" t="str">
        <f>IFERROR(INDEX(Stores!$B:$B,MATCH(E2492,Stores!$A:$A,0)),"Unknown")</f>
        <v>TrendMart Vellore Standard</v>
      </c>
      <c r="Y2492" t="str">
        <f>IFERROR(INDEX(Stores!$E:$E,MATCH(E2492,Stores!$A:$A,0)),"Unknown")</f>
        <v>South Zone 1</v>
      </c>
      <c r="Z2492" t="str">
        <f>IFERROR(INDEX(Customers!$J:$J,MATCH(C2492,Customers!$A:$A,0)),"Unknown")</f>
        <v>Regular</v>
      </c>
      <c r="AA2492" t="str">
        <f t="shared" si="38"/>
        <v>2024-10</v>
      </c>
      <c r="AB2492" t="str">
        <f>IFERROR(INDEX(Products!$I:$I,MATCH(D2492,Products!$A:$A,0)),"Unknown")</f>
        <v>SUP020</v>
      </c>
    </row>
    <row r="2493" spans="1:28" x14ac:dyDescent="0.25">
      <c r="A2493" t="s">
        <v>4538</v>
      </c>
      <c r="B2493" s="20">
        <v>45523</v>
      </c>
      <c r="C2493" t="s">
        <v>2559</v>
      </c>
      <c r="D2493" t="s">
        <v>1101</v>
      </c>
      <c r="E2493" t="s">
        <v>470</v>
      </c>
      <c r="F2493" t="s">
        <v>618</v>
      </c>
      <c r="G2493">
        <v>1</v>
      </c>
      <c r="H2493" s="21">
        <v>833.12</v>
      </c>
      <c r="I2493">
        <v>20</v>
      </c>
      <c r="J2493" s="21">
        <v>166.62</v>
      </c>
      <c r="K2493">
        <v>5</v>
      </c>
      <c r="L2493" s="21">
        <v>33.33</v>
      </c>
      <c r="M2493" s="21">
        <v>699.83</v>
      </c>
      <c r="N2493" s="21">
        <v>565.45000000000005</v>
      </c>
      <c r="O2493" s="21">
        <v>101.05</v>
      </c>
      <c r="P2493" t="s">
        <v>125</v>
      </c>
      <c r="Q2493" t="s">
        <v>120</v>
      </c>
      <c r="R2493" t="s">
        <v>151</v>
      </c>
      <c r="S2493" t="s">
        <v>3894</v>
      </c>
      <c r="T2493" t="s">
        <v>153</v>
      </c>
      <c r="U2493" t="s">
        <v>154</v>
      </c>
      <c r="V2493" t="str">
        <f>IFERROR(INDEX(Products!$C:$C,MATCH(D2493,Products!$A:$A,0)),"Unknown")</f>
        <v>Kids Wear</v>
      </c>
      <c r="W2493" t="str">
        <f>IFERROR(INDEX(Products!$E:$E,MATCH(D2493,Products!$A:$A,0)),"Unknown")</f>
        <v>Woodland</v>
      </c>
      <c r="X2493" t="str">
        <f>IFERROR(INDEX(Stores!$B:$B,MATCH(E2493,Stores!$A:$A,0)),"Unknown")</f>
        <v>TrendMart Thiruvananthapuram High Street</v>
      </c>
      <c r="Y2493" t="str">
        <f>IFERROR(INDEX(Stores!$E:$E,MATCH(E2493,Stores!$A:$A,0)),"Unknown")</f>
        <v>South Zone 1</v>
      </c>
      <c r="Z2493" t="str">
        <f>IFERROR(INDEX(Customers!$J:$J,MATCH(C2493,Customers!$A:$A,0)),"Unknown")</f>
        <v>Silver</v>
      </c>
      <c r="AA2493" t="str">
        <f t="shared" si="38"/>
        <v>2024-08</v>
      </c>
      <c r="AB2493" t="str">
        <f>IFERROR(INDEX(Products!$I:$I,MATCH(D2493,Products!$A:$A,0)),"Unknown")</f>
        <v>SUP010</v>
      </c>
    </row>
    <row r="2494" spans="1:28" x14ac:dyDescent="0.25">
      <c r="A2494" t="s">
        <v>4539</v>
      </c>
      <c r="B2494" s="20">
        <v>45415</v>
      </c>
      <c r="C2494" t="s">
        <v>505</v>
      </c>
      <c r="D2494" t="s">
        <v>236</v>
      </c>
      <c r="E2494" t="s">
        <v>495</v>
      </c>
      <c r="F2494" t="s">
        <v>532</v>
      </c>
      <c r="G2494">
        <v>2</v>
      </c>
      <c r="H2494" s="21">
        <v>769.09</v>
      </c>
      <c r="I2494">
        <v>10</v>
      </c>
      <c r="J2494" s="21">
        <v>153.82</v>
      </c>
      <c r="K2494">
        <v>5</v>
      </c>
      <c r="L2494" s="21">
        <v>69.22</v>
      </c>
      <c r="M2494" s="21">
        <v>1453.58</v>
      </c>
      <c r="N2494" s="21">
        <v>1100.02</v>
      </c>
      <c r="O2494" s="21">
        <v>284.33999999999997</v>
      </c>
      <c r="P2494" t="s">
        <v>127</v>
      </c>
      <c r="Q2494" t="s">
        <v>120</v>
      </c>
      <c r="R2494" t="s">
        <v>151</v>
      </c>
      <c r="S2494" t="s">
        <v>551</v>
      </c>
      <c r="T2494" t="s">
        <v>153</v>
      </c>
      <c r="U2494" t="s">
        <v>154</v>
      </c>
      <c r="V2494" t="str">
        <f>IFERROR(INDEX(Products!$C:$C,MATCH(D2494,Products!$A:$A,0)),"Unknown")</f>
        <v>Women Tops</v>
      </c>
      <c r="W2494" t="str">
        <f>IFERROR(INDEX(Products!$E:$E,MATCH(D2494,Products!$A:$A,0)),"Unknown")</f>
        <v>Nike</v>
      </c>
      <c r="X2494" t="str">
        <f>IFERROR(INDEX(Stores!$B:$B,MATCH(E2494,Stores!$A:$A,0)),"Unknown")</f>
        <v>TrendMart Visakhapatnam Flagship</v>
      </c>
      <c r="Y2494" t="str">
        <f>IFERROR(INDEX(Stores!$E:$E,MATCH(E2494,Stores!$A:$A,0)),"Unknown")</f>
        <v>South Zone 3</v>
      </c>
      <c r="Z2494" t="str">
        <f>IFERROR(INDEX(Customers!$J:$J,MATCH(C2494,Customers!$A:$A,0)),"Unknown")</f>
        <v>Regular</v>
      </c>
      <c r="AA2494" t="str">
        <f t="shared" si="38"/>
        <v>2024-05</v>
      </c>
      <c r="AB2494" t="str">
        <f>IFERROR(INDEX(Products!$I:$I,MATCH(D2494,Products!$A:$A,0)),"Unknown")</f>
        <v>SUP075</v>
      </c>
    </row>
    <row r="2495" spans="1:28" x14ac:dyDescent="0.25">
      <c r="A2495" t="s">
        <v>4540</v>
      </c>
      <c r="B2495" s="20">
        <v>45616</v>
      </c>
      <c r="C2495" t="s">
        <v>1234</v>
      </c>
      <c r="D2495" t="s">
        <v>372</v>
      </c>
      <c r="E2495" t="s">
        <v>425</v>
      </c>
      <c r="F2495" t="s">
        <v>596</v>
      </c>
      <c r="G2495">
        <v>1</v>
      </c>
      <c r="H2495" s="21">
        <v>602.02</v>
      </c>
      <c r="I2495">
        <v>10</v>
      </c>
      <c r="J2495" s="21">
        <v>60.2</v>
      </c>
      <c r="K2495">
        <v>5</v>
      </c>
      <c r="L2495" s="21">
        <v>27.09</v>
      </c>
      <c r="M2495" s="21">
        <v>568.91</v>
      </c>
      <c r="N2495" s="21">
        <v>413.39</v>
      </c>
      <c r="O2495" s="21">
        <v>128.43</v>
      </c>
      <c r="P2495" t="s">
        <v>123</v>
      </c>
      <c r="Q2495" t="s">
        <v>120</v>
      </c>
      <c r="R2495" t="s">
        <v>151</v>
      </c>
      <c r="S2495" t="s">
        <v>2057</v>
      </c>
      <c r="T2495" t="s">
        <v>153</v>
      </c>
      <c r="U2495" t="s">
        <v>154</v>
      </c>
      <c r="V2495" t="str">
        <f>IFERROR(INDEX(Products!$C:$C,MATCH(D2495,Products!$A:$A,0)),"Unknown")</f>
        <v>Kids Wear</v>
      </c>
      <c r="W2495" t="str">
        <f>IFERROR(INDEX(Products!$E:$E,MATCH(D2495,Products!$A:$A,0)),"Unknown")</f>
        <v>Jack &amp; Jones</v>
      </c>
      <c r="X2495" t="str">
        <f>IFERROR(INDEX(Stores!$B:$B,MATCH(E2495,Stores!$A:$A,0)),"Unknown")</f>
        <v>TrendMart Kozhikode Outlet</v>
      </c>
      <c r="Y2495" t="str">
        <f>IFERROR(INDEX(Stores!$E:$E,MATCH(E2495,Stores!$A:$A,0)),"Unknown")</f>
        <v>South Zone 1</v>
      </c>
      <c r="Z2495" t="str">
        <f>IFERROR(INDEX(Customers!$J:$J,MATCH(C2495,Customers!$A:$A,0)),"Unknown")</f>
        <v>Regular</v>
      </c>
      <c r="AA2495" t="str">
        <f t="shared" si="38"/>
        <v>2024-11</v>
      </c>
      <c r="AB2495" t="str">
        <f>IFERROR(INDEX(Products!$I:$I,MATCH(D2495,Products!$A:$A,0)),"Unknown")</f>
        <v>SUP065</v>
      </c>
    </row>
    <row r="2496" spans="1:28" x14ac:dyDescent="0.25">
      <c r="A2496" t="s">
        <v>4541</v>
      </c>
      <c r="B2496" s="20">
        <v>45420</v>
      </c>
      <c r="C2496" t="s">
        <v>2045</v>
      </c>
      <c r="D2496" t="s">
        <v>1476</v>
      </c>
      <c r="E2496" t="s">
        <v>416</v>
      </c>
      <c r="F2496" t="s">
        <v>253</v>
      </c>
      <c r="G2496">
        <v>3</v>
      </c>
      <c r="H2496" s="21">
        <v>782.44</v>
      </c>
      <c r="I2496">
        <v>15</v>
      </c>
      <c r="J2496" s="21">
        <v>352.1</v>
      </c>
      <c r="K2496">
        <v>5</v>
      </c>
      <c r="L2496" s="21">
        <v>99.76</v>
      </c>
      <c r="M2496" s="21">
        <v>2094.98</v>
      </c>
      <c r="N2496" s="21">
        <v>1755.78</v>
      </c>
      <c r="O2496" s="21">
        <v>239.44</v>
      </c>
      <c r="P2496" t="s">
        <v>123</v>
      </c>
      <c r="Q2496" t="s">
        <v>122</v>
      </c>
      <c r="R2496" t="s">
        <v>151</v>
      </c>
      <c r="S2496" t="s">
        <v>1532</v>
      </c>
      <c r="T2496" t="s">
        <v>153</v>
      </c>
      <c r="U2496" t="s">
        <v>154</v>
      </c>
      <c r="V2496" t="str">
        <f>IFERROR(INDEX(Products!$C:$C,MATCH(D2496,Products!$A:$A,0)),"Unknown")</f>
        <v>Men Trousers</v>
      </c>
      <c r="W2496" t="str">
        <f>IFERROR(INDEX(Products!$E:$E,MATCH(D2496,Products!$A:$A,0)),"Unknown")</f>
        <v>Van Heusen</v>
      </c>
      <c r="X2496" t="str">
        <f>IFERROR(INDEX(Stores!$B:$B,MATCH(E2496,Stores!$A:$A,0)),"Unknown")</f>
        <v>TrendMart Dindigul Standard</v>
      </c>
      <c r="Y2496" t="str">
        <f>IFERROR(INDEX(Stores!$E:$E,MATCH(E2496,Stores!$A:$A,0)),"Unknown")</f>
        <v>South Zone 1</v>
      </c>
      <c r="Z2496" t="str">
        <f>IFERROR(INDEX(Customers!$J:$J,MATCH(C2496,Customers!$A:$A,0)),"Unknown")</f>
        <v>Regular</v>
      </c>
      <c r="AA2496" t="str">
        <f t="shared" si="38"/>
        <v>2024-05</v>
      </c>
      <c r="AB2496" t="str">
        <f>IFERROR(INDEX(Products!$I:$I,MATCH(D2496,Products!$A:$A,0)),"Unknown")</f>
        <v>SUP012</v>
      </c>
    </row>
    <row r="2497" spans="1:28" x14ac:dyDescent="0.25">
      <c r="A2497" t="s">
        <v>4542</v>
      </c>
      <c r="B2497" s="20">
        <v>45434</v>
      </c>
      <c r="C2497" t="s">
        <v>4543</v>
      </c>
      <c r="D2497" t="s">
        <v>1280</v>
      </c>
      <c r="E2497" t="s">
        <v>721</v>
      </c>
      <c r="F2497" t="s">
        <v>377</v>
      </c>
      <c r="G2497">
        <v>1</v>
      </c>
      <c r="H2497" s="21">
        <v>1127.83</v>
      </c>
      <c r="I2497">
        <v>20</v>
      </c>
      <c r="J2497" s="21">
        <v>225.57</v>
      </c>
      <c r="K2497">
        <v>12</v>
      </c>
      <c r="L2497" s="21">
        <v>108.27</v>
      </c>
      <c r="M2497" s="21">
        <v>1010.53</v>
      </c>
      <c r="N2497" s="21">
        <v>754.73</v>
      </c>
      <c r="O2497" s="21">
        <v>147.53</v>
      </c>
      <c r="P2497" t="s">
        <v>126</v>
      </c>
      <c r="Q2497" t="s">
        <v>120</v>
      </c>
      <c r="R2497" t="s">
        <v>151</v>
      </c>
      <c r="S2497" t="s">
        <v>640</v>
      </c>
      <c r="T2497" t="s">
        <v>153</v>
      </c>
      <c r="U2497" t="s">
        <v>154</v>
      </c>
      <c r="V2497" t="str">
        <f>IFERROR(INDEX(Products!$C:$C,MATCH(D2497,Products!$A:$A,0)),"Unknown")</f>
        <v>Men Jeans</v>
      </c>
      <c r="W2497" t="str">
        <f>IFERROR(INDEX(Products!$E:$E,MATCH(D2497,Products!$A:$A,0)),"Unknown")</f>
        <v>Jack &amp; Jones</v>
      </c>
      <c r="X2497" t="str">
        <f>IFERROR(INDEX(Stores!$B:$B,MATCH(E2497,Stores!$A:$A,0)),"Unknown")</f>
        <v>TrendMart Kollam Flagship</v>
      </c>
      <c r="Y2497" t="str">
        <f>IFERROR(INDEX(Stores!$E:$E,MATCH(E2497,Stores!$A:$A,0)),"Unknown")</f>
        <v>South Zone 1</v>
      </c>
      <c r="Z2497" t="str">
        <f>IFERROR(INDEX(Customers!$J:$J,MATCH(C2497,Customers!$A:$A,0)),"Unknown")</f>
        <v>Silver</v>
      </c>
      <c r="AA2497" t="str">
        <f t="shared" si="38"/>
        <v>2024-05</v>
      </c>
      <c r="AB2497" t="str">
        <f>IFERROR(INDEX(Products!$I:$I,MATCH(D2497,Products!$A:$A,0)),"Unknown")</f>
        <v>SUP072</v>
      </c>
    </row>
    <row r="2498" spans="1:28" x14ac:dyDescent="0.25">
      <c r="A2498" t="s">
        <v>4544</v>
      </c>
      <c r="B2498" s="20">
        <v>45742</v>
      </c>
      <c r="C2498" t="s">
        <v>1040</v>
      </c>
      <c r="D2498" t="s">
        <v>362</v>
      </c>
      <c r="E2498" t="s">
        <v>402</v>
      </c>
      <c r="F2498" t="s">
        <v>253</v>
      </c>
      <c r="G2498">
        <v>1</v>
      </c>
      <c r="H2498" s="21">
        <v>1136.18</v>
      </c>
      <c r="I2498">
        <v>0</v>
      </c>
      <c r="J2498" s="21">
        <v>0</v>
      </c>
      <c r="K2498">
        <v>12</v>
      </c>
      <c r="L2498" s="21">
        <v>136.34</v>
      </c>
      <c r="M2498" s="21">
        <v>1272.52</v>
      </c>
      <c r="N2498" s="21">
        <v>887.02</v>
      </c>
      <c r="O2498" s="21">
        <v>249.16</v>
      </c>
      <c r="P2498" t="s">
        <v>124</v>
      </c>
      <c r="Q2498" t="s">
        <v>120</v>
      </c>
      <c r="R2498" t="s">
        <v>151</v>
      </c>
      <c r="S2498" t="s">
        <v>1492</v>
      </c>
      <c r="T2498" t="s">
        <v>153</v>
      </c>
      <c r="U2498" t="s">
        <v>154</v>
      </c>
      <c r="V2498" t="str">
        <f>IFERROR(INDEX(Products!$C:$C,MATCH(D2498,Products!$A:$A,0)),"Unknown")</f>
        <v>Men Trousers</v>
      </c>
      <c r="W2498" t="str">
        <f>IFERROR(INDEX(Products!$E:$E,MATCH(D2498,Products!$A:$A,0)),"Unknown")</f>
        <v>Pepe Jeans</v>
      </c>
      <c r="X2498" t="str">
        <f>IFERROR(INDEX(Stores!$B:$B,MATCH(E2498,Stores!$A:$A,0)),"Unknown")</f>
        <v>TrendMart Kannur Standard</v>
      </c>
      <c r="Y2498" t="str">
        <f>IFERROR(INDEX(Stores!$E:$E,MATCH(E2498,Stores!$A:$A,0)),"Unknown")</f>
        <v>South Zone 1</v>
      </c>
      <c r="Z2498" t="str">
        <f>IFERROR(INDEX(Customers!$J:$J,MATCH(C2498,Customers!$A:$A,0)),"Unknown")</f>
        <v>Regular</v>
      </c>
      <c r="AA2498" t="str">
        <f t="shared" ref="AA2498:AA2561" si="39">TEXT(B2498,"YYYY-MM")</f>
        <v>2025-03</v>
      </c>
      <c r="AB2498" t="str">
        <f>IFERROR(INDEX(Products!$I:$I,MATCH(D2498,Products!$A:$A,0)),"Unknown")</f>
        <v>SUP028</v>
      </c>
    </row>
    <row r="2499" spans="1:28" x14ac:dyDescent="0.25">
      <c r="A2499" t="s">
        <v>4545</v>
      </c>
      <c r="B2499" s="20">
        <v>45405</v>
      </c>
      <c r="C2499" t="s">
        <v>1398</v>
      </c>
      <c r="D2499" t="s">
        <v>2392</v>
      </c>
      <c r="E2499" t="s">
        <v>89</v>
      </c>
      <c r="F2499" t="s">
        <v>308</v>
      </c>
      <c r="G2499">
        <v>1</v>
      </c>
      <c r="H2499" s="21">
        <v>1129.78</v>
      </c>
      <c r="I2499">
        <v>0</v>
      </c>
      <c r="J2499" s="21">
        <v>0</v>
      </c>
      <c r="K2499">
        <v>12</v>
      </c>
      <c r="L2499" s="21">
        <v>135.57</v>
      </c>
      <c r="M2499" s="21">
        <v>1265.3499999999999</v>
      </c>
      <c r="N2499" s="21">
        <v>744</v>
      </c>
      <c r="O2499" s="21">
        <v>385.78</v>
      </c>
      <c r="P2499" t="s">
        <v>121</v>
      </c>
      <c r="Q2499" t="s">
        <v>122</v>
      </c>
      <c r="R2499" t="s">
        <v>151</v>
      </c>
      <c r="S2499" t="s">
        <v>2688</v>
      </c>
      <c r="T2499" t="s">
        <v>153</v>
      </c>
      <c r="U2499" t="s">
        <v>154</v>
      </c>
      <c r="V2499" t="str">
        <f>IFERROR(INDEX(Products!$C:$C,MATCH(D2499,Products!$A:$A,0)),"Unknown")</f>
        <v>Women Kurtis</v>
      </c>
      <c r="W2499" t="str">
        <f>IFERROR(INDEX(Products!$E:$E,MATCH(D2499,Products!$A:$A,0)),"Unknown")</f>
        <v>Reebok</v>
      </c>
      <c r="X2499" t="str">
        <f>IFERROR(INDEX(Stores!$B:$B,MATCH(E2499,Stores!$A:$A,0)),"Unknown")</f>
        <v>TrendMart Kochi Standard</v>
      </c>
      <c r="Y2499" t="str">
        <f>IFERROR(INDEX(Stores!$E:$E,MATCH(E2499,Stores!$A:$A,0)),"Unknown")</f>
        <v>South Zone 1</v>
      </c>
      <c r="Z2499" t="str">
        <f>IFERROR(INDEX(Customers!$J:$J,MATCH(C2499,Customers!$A:$A,0)),"Unknown")</f>
        <v>Silver</v>
      </c>
      <c r="AA2499" t="str">
        <f t="shared" si="39"/>
        <v>2024-04</v>
      </c>
      <c r="AB2499" t="str">
        <f>IFERROR(INDEX(Products!$I:$I,MATCH(D2499,Products!$A:$A,0)),"Unknown")</f>
        <v>SUP029</v>
      </c>
    </row>
    <row r="2500" spans="1:28" x14ac:dyDescent="0.25">
      <c r="A2500" t="s">
        <v>4546</v>
      </c>
      <c r="B2500" s="20">
        <v>45608</v>
      </c>
      <c r="C2500" t="s">
        <v>692</v>
      </c>
      <c r="D2500" t="s">
        <v>780</v>
      </c>
      <c r="E2500" t="s">
        <v>262</v>
      </c>
      <c r="F2500" t="s">
        <v>182</v>
      </c>
      <c r="G2500">
        <v>2</v>
      </c>
      <c r="H2500" s="21">
        <v>4069.58</v>
      </c>
      <c r="I2500">
        <v>0</v>
      </c>
      <c r="J2500" s="21">
        <v>0</v>
      </c>
      <c r="K2500">
        <v>12</v>
      </c>
      <c r="L2500" s="21">
        <v>976.7</v>
      </c>
      <c r="M2500" s="21">
        <v>9115.86</v>
      </c>
      <c r="N2500" s="21">
        <v>5667.22</v>
      </c>
      <c r="O2500" s="21">
        <v>2471.94</v>
      </c>
      <c r="P2500" t="s">
        <v>121</v>
      </c>
      <c r="Q2500" t="s">
        <v>120</v>
      </c>
      <c r="R2500" t="s">
        <v>151</v>
      </c>
      <c r="S2500" t="s">
        <v>3048</v>
      </c>
      <c r="T2500" t="s">
        <v>153</v>
      </c>
      <c r="U2500" t="s">
        <v>154</v>
      </c>
      <c r="V2500" t="str">
        <f>IFERROR(INDEX(Products!$C:$C,MATCH(D2500,Products!$A:$A,0)),"Unknown")</f>
        <v>Watches</v>
      </c>
      <c r="W2500" t="str">
        <f>IFERROR(INDEX(Products!$E:$E,MATCH(D2500,Products!$A:$A,0)),"Unknown")</f>
        <v>Mufti</v>
      </c>
      <c r="X2500" t="str">
        <f>IFERROR(INDEX(Stores!$B:$B,MATCH(E2500,Stores!$A:$A,0)),"Unknown")</f>
        <v>TrendMart Thoothukudi Outlet</v>
      </c>
      <c r="Y2500" t="str">
        <f>IFERROR(INDEX(Stores!$E:$E,MATCH(E2500,Stores!$A:$A,0)),"Unknown")</f>
        <v>South Zone 1</v>
      </c>
      <c r="Z2500" t="str">
        <f>IFERROR(INDEX(Customers!$J:$J,MATCH(C2500,Customers!$A:$A,0)),"Unknown")</f>
        <v>Regular</v>
      </c>
      <c r="AA2500" t="str">
        <f t="shared" si="39"/>
        <v>2024-11</v>
      </c>
      <c r="AB2500" t="str">
        <f>IFERROR(INDEX(Products!$I:$I,MATCH(D2500,Products!$A:$A,0)),"Unknown")</f>
        <v>SUP063</v>
      </c>
    </row>
    <row r="2501" spans="1:28" x14ac:dyDescent="0.25">
      <c r="A2501" t="s">
        <v>4547</v>
      </c>
      <c r="B2501" s="20">
        <v>45725</v>
      </c>
      <c r="C2501" t="s">
        <v>1927</v>
      </c>
      <c r="D2501" t="s">
        <v>149</v>
      </c>
      <c r="E2501" t="s">
        <v>387</v>
      </c>
      <c r="F2501" t="s">
        <v>170</v>
      </c>
      <c r="G2501">
        <v>1</v>
      </c>
      <c r="H2501" s="21">
        <v>834.1</v>
      </c>
      <c r="I2501">
        <v>15</v>
      </c>
      <c r="J2501" s="21">
        <v>125.11</v>
      </c>
      <c r="K2501">
        <v>5</v>
      </c>
      <c r="L2501" s="21">
        <v>35.450000000000003</v>
      </c>
      <c r="M2501" s="21">
        <v>744.44</v>
      </c>
      <c r="N2501" s="21">
        <v>496.67</v>
      </c>
      <c r="O2501" s="21">
        <v>212.32</v>
      </c>
      <c r="P2501" t="s">
        <v>123</v>
      </c>
      <c r="Q2501" t="s">
        <v>120</v>
      </c>
      <c r="R2501" t="s">
        <v>151</v>
      </c>
      <c r="S2501" t="s">
        <v>233</v>
      </c>
      <c r="T2501" t="s">
        <v>161</v>
      </c>
      <c r="U2501" t="s">
        <v>154</v>
      </c>
      <c r="V2501" t="str">
        <f>IFERROR(INDEX(Products!$C:$C,MATCH(D2501,Products!$A:$A,0)),"Unknown")</f>
        <v>Women Kurtis</v>
      </c>
      <c r="W2501" t="str">
        <f>IFERROR(INDEX(Products!$E:$E,MATCH(D2501,Products!$A:$A,0)),"Unknown")</f>
        <v>Pepe Jeans</v>
      </c>
      <c r="X2501" t="str">
        <f>IFERROR(INDEX(Stores!$B:$B,MATCH(E2501,Stores!$A:$A,0)),"Unknown")</f>
        <v>TrendMart Kannur Outlet</v>
      </c>
      <c r="Y2501" t="str">
        <f>IFERROR(INDEX(Stores!$E:$E,MATCH(E2501,Stores!$A:$A,0)),"Unknown")</f>
        <v>South Zone 1</v>
      </c>
      <c r="Z2501" t="str">
        <f>IFERROR(INDEX(Customers!$J:$J,MATCH(C2501,Customers!$A:$A,0)),"Unknown")</f>
        <v>Silver</v>
      </c>
      <c r="AA2501" t="str">
        <f t="shared" si="39"/>
        <v>2025-03</v>
      </c>
      <c r="AB2501" t="str">
        <f>IFERROR(INDEX(Products!$I:$I,MATCH(D2501,Products!$A:$A,0)),"Unknown")</f>
        <v>SUP049</v>
      </c>
    </row>
    <row r="2502" spans="1:28" x14ac:dyDescent="0.25">
      <c r="A2502" t="s">
        <v>4548</v>
      </c>
      <c r="B2502" s="20">
        <v>45572</v>
      </c>
      <c r="C2502" t="s">
        <v>3976</v>
      </c>
      <c r="D2502" t="s">
        <v>650</v>
      </c>
      <c r="E2502" t="s">
        <v>1002</v>
      </c>
      <c r="F2502" t="s">
        <v>165</v>
      </c>
      <c r="G2502">
        <v>4</v>
      </c>
      <c r="H2502" s="21">
        <v>1861.86</v>
      </c>
      <c r="I2502">
        <v>10</v>
      </c>
      <c r="J2502" s="21">
        <v>744.74</v>
      </c>
      <c r="K2502">
        <v>12</v>
      </c>
      <c r="L2502" s="21">
        <v>804.32</v>
      </c>
      <c r="M2502" s="21">
        <v>7507.02</v>
      </c>
      <c r="N2502" s="21">
        <v>5636.48</v>
      </c>
      <c r="O2502" s="21">
        <v>1066.22</v>
      </c>
      <c r="P2502" t="s">
        <v>126</v>
      </c>
      <c r="Q2502" t="s">
        <v>120</v>
      </c>
      <c r="R2502" t="s">
        <v>151</v>
      </c>
      <c r="S2502" t="s">
        <v>1220</v>
      </c>
      <c r="T2502" t="s">
        <v>153</v>
      </c>
      <c r="U2502" t="s">
        <v>154</v>
      </c>
      <c r="V2502" t="str">
        <f>IFERROR(INDEX(Products!$C:$C,MATCH(D2502,Products!$A:$A,0)),"Unknown")</f>
        <v>Winter Wear</v>
      </c>
      <c r="W2502" t="str">
        <f>IFERROR(INDEX(Products!$E:$E,MATCH(D2502,Products!$A:$A,0)),"Unknown")</f>
        <v>Mufti</v>
      </c>
      <c r="X2502" t="str">
        <f>IFERROR(INDEX(Stores!$B:$B,MATCH(E2502,Stores!$A:$A,0)),"Unknown")</f>
        <v>TrendMart Coimbatore Mall Kiosk</v>
      </c>
      <c r="Y2502" t="str">
        <f>IFERROR(INDEX(Stores!$E:$E,MATCH(E2502,Stores!$A:$A,0)),"Unknown")</f>
        <v>South Zone 1</v>
      </c>
      <c r="Z2502" t="str">
        <f>IFERROR(INDEX(Customers!$J:$J,MATCH(C2502,Customers!$A:$A,0)),"Unknown")</f>
        <v>Regular</v>
      </c>
      <c r="AA2502" t="str">
        <f t="shared" si="39"/>
        <v>2024-10</v>
      </c>
      <c r="AB2502" t="str">
        <f>IFERROR(INDEX(Products!$I:$I,MATCH(D2502,Products!$A:$A,0)),"Unknown")</f>
        <v>SUP078</v>
      </c>
    </row>
    <row r="2503" spans="1:28" x14ac:dyDescent="0.25">
      <c r="A2503" t="s">
        <v>4549</v>
      </c>
      <c r="B2503" s="20">
        <v>45463</v>
      </c>
      <c r="C2503" t="s">
        <v>1487</v>
      </c>
      <c r="D2503" t="s">
        <v>1080</v>
      </c>
      <c r="E2503" t="s">
        <v>1962</v>
      </c>
      <c r="F2503" t="s">
        <v>275</v>
      </c>
      <c r="G2503">
        <v>1</v>
      </c>
      <c r="H2503" s="21">
        <v>1385.98</v>
      </c>
      <c r="I2503">
        <v>0</v>
      </c>
      <c r="J2503" s="21">
        <v>0</v>
      </c>
      <c r="K2503">
        <v>12</v>
      </c>
      <c r="L2503" s="21">
        <v>166.32</v>
      </c>
      <c r="M2503" s="21">
        <v>1552.3</v>
      </c>
      <c r="N2503" s="21">
        <v>914.35</v>
      </c>
      <c r="O2503" s="21">
        <v>471.63</v>
      </c>
      <c r="P2503" t="s">
        <v>121</v>
      </c>
      <c r="Q2503" t="s">
        <v>122</v>
      </c>
      <c r="R2503" t="s">
        <v>151</v>
      </c>
      <c r="S2503" t="s">
        <v>2418</v>
      </c>
      <c r="T2503" t="s">
        <v>153</v>
      </c>
      <c r="U2503" t="s">
        <v>154</v>
      </c>
      <c r="V2503" t="str">
        <f>IFERROR(INDEX(Products!$C:$C,MATCH(D2503,Products!$A:$A,0)),"Unknown")</f>
        <v>Winter Wear</v>
      </c>
      <c r="W2503" t="str">
        <f>IFERROR(INDEX(Products!$E:$E,MATCH(D2503,Products!$A:$A,0)),"Unknown")</f>
        <v>Max Fashion</v>
      </c>
      <c r="X2503" t="str">
        <f>IFERROR(INDEX(Stores!$B:$B,MATCH(E2503,Stores!$A:$A,0)),"Unknown")</f>
        <v>TrendMart Guntur High Street</v>
      </c>
      <c r="Y2503" t="str">
        <f>IFERROR(INDEX(Stores!$E:$E,MATCH(E2503,Stores!$A:$A,0)),"Unknown")</f>
        <v>South Zone 3</v>
      </c>
      <c r="Z2503" t="str">
        <f>IFERROR(INDEX(Customers!$J:$J,MATCH(C2503,Customers!$A:$A,0)),"Unknown")</f>
        <v>Regular</v>
      </c>
      <c r="AA2503" t="str">
        <f t="shared" si="39"/>
        <v>2024-06</v>
      </c>
      <c r="AB2503" t="str">
        <f>IFERROR(INDEX(Products!$I:$I,MATCH(D2503,Products!$A:$A,0)),"Unknown")</f>
        <v>SUP017</v>
      </c>
    </row>
    <row r="2504" spans="1:28" x14ac:dyDescent="0.25">
      <c r="A2504" t="s">
        <v>4550</v>
      </c>
      <c r="B2504" s="20">
        <v>45616</v>
      </c>
      <c r="C2504" t="s">
        <v>1040</v>
      </c>
      <c r="D2504" t="s">
        <v>407</v>
      </c>
      <c r="E2504" t="s">
        <v>1512</v>
      </c>
      <c r="F2504" t="s">
        <v>182</v>
      </c>
      <c r="G2504">
        <v>2</v>
      </c>
      <c r="H2504" s="21">
        <v>1279.96</v>
      </c>
      <c r="I2504">
        <v>5</v>
      </c>
      <c r="J2504" s="21">
        <v>128</v>
      </c>
      <c r="K2504">
        <v>12</v>
      </c>
      <c r="L2504" s="21">
        <v>291.83</v>
      </c>
      <c r="M2504" s="21">
        <v>2723.75</v>
      </c>
      <c r="N2504" s="21">
        <v>1605.28</v>
      </c>
      <c r="O2504" s="21">
        <v>826.64</v>
      </c>
      <c r="P2504" t="s">
        <v>125</v>
      </c>
      <c r="Q2504" t="s">
        <v>120</v>
      </c>
      <c r="R2504" t="s">
        <v>151</v>
      </c>
      <c r="S2504" t="s">
        <v>2112</v>
      </c>
      <c r="T2504" t="s">
        <v>153</v>
      </c>
      <c r="U2504" t="s">
        <v>154</v>
      </c>
      <c r="V2504" t="str">
        <f>IFERROR(INDEX(Products!$C:$C,MATCH(D2504,Products!$A:$A,0)),"Unknown")</f>
        <v>Winter Wear</v>
      </c>
      <c r="W2504" t="str">
        <f>IFERROR(INDEX(Products!$E:$E,MATCH(D2504,Products!$A:$A,0)),"Unknown")</f>
        <v>Metro Shoes</v>
      </c>
      <c r="X2504" t="str">
        <f>IFERROR(INDEX(Stores!$B:$B,MATCH(E2504,Stores!$A:$A,0)),"Unknown")</f>
        <v>TrendMart Erode Mall Kiosk</v>
      </c>
      <c r="Y2504" t="str">
        <f>IFERROR(INDEX(Stores!$E:$E,MATCH(E2504,Stores!$A:$A,0)),"Unknown")</f>
        <v>South Zone 1</v>
      </c>
      <c r="Z2504" t="str">
        <f>IFERROR(INDEX(Customers!$J:$J,MATCH(C2504,Customers!$A:$A,0)),"Unknown")</f>
        <v>Regular</v>
      </c>
      <c r="AA2504" t="str">
        <f t="shared" si="39"/>
        <v>2024-11</v>
      </c>
      <c r="AB2504" t="str">
        <f>IFERROR(INDEX(Products!$I:$I,MATCH(D2504,Products!$A:$A,0)),"Unknown")</f>
        <v>SUP067</v>
      </c>
    </row>
    <row r="2505" spans="1:28" x14ac:dyDescent="0.25">
      <c r="A2505" t="s">
        <v>4551</v>
      </c>
      <c r="B2505" s="20">
        <v>45700</v>
      </c>
      <c r="C2505" t="s">
        <v>2029</v>
      </c>
      <c r="D2505" t="s">
        <v>199</v>
      </c>
      <c r="E2505" t="s">
        <v>745</v>
      </c>
      <c r="F2505" t="s">
        <v>443</v>
      </c>
      <c r="G2505">
        <v>1</v>
      </c>
      <c r="H2505" s="21">
        <v>835.13</v>
      </c>
      <c r="I2505">
        <v>0</v>
      </c>
      <c r="J2505" s="21">
        <v>0</v>
      </c>
      <c r="K2505">
        <v>5</v>
      </c>
      <c r="L2505" s="21">
        <v>41.76</v>
      </c>
      <c r="M2505" s="21">
        <v>876.89</v>
      </c>
      <c r="N2505" s="21">
        <v>488.6</v>
      </c>
      <c r="O2505" s="21">
        <v>346.53</v>
      </c>
      <c r="P2505" t="s">
        <v>123</v>
      </c>
      <c r="Q2505" t="s">
        <v>120</v>
      </c>
      <c r="R2505" t="s">
        <v>151</v>
      </c>
      <c r="S2505" t="s">
        <v>2900</v>
      </c>
      <c r="T2505" t="s">
        <v>153</v>
      </c>
      <c r="U2505" t="s">
        <v>154</v>
      </c>
      <c r="V2505" t="str">
        <f>IFERROR(INDEX(Products!$C:$C,MATCH(D2505,Products!$A:$A,0)),"Unknown")</f>
        <v>Accessories</v>
      </c>
      <c r="W2505" t="str">
        <f>IFERROR(INDEX(Products!$E:$E,MATCH(D2505,Products!$A:$A,0)),"Unknown")</f>
        <v>Arrow</v>
      </c>
      <c r="X2505" t="str">
        <f>IFERROR(INDEX(Stores!$B:$B,MATCH(E2505,Stores!$A:$A,0)),"Unknown")</f>
        <v>TrendMart Thiruvananthapuram Outlet</v>
      </c>
      <c r="Y2505" t="str">
        <f>IFERROR(INDEX(Stores!$E:$E,MATCH(E2505,Stores!$A:$A,0)),"Unknown")</f>
        <v>South Zone 1</v>
      </c>
      <c r="Z2505" t="str">
        <f>IFERROR(INDEX(Customers!$J:$J,MATCH(C2505,Customers!$A:$A,0)),"Unknown")</f>
        <v>Regular</v>
      </c>
      <c r="AA2505" t="str">
        <f t="shared" si="39"/>
        <v>2025-02</v>
      </c>
      <c r="AB2505" t="str">
        <f>IFERROR(INDEX(Products!$I:$I,MATCH(D2505,Products!$A:$A,0)),"Unknown")</f>
        <v>SUP018</v>
      </c>
    </row>
    <row r="2506" spans="1:28" x14ac:dyDescent="0.25">
      <c r="A2506" t="s">
        <v>4552</v>
      </c>
      <c r="B2506" s="20">
        <v>45595</v>
      </c>
      <c r="C2506" t="s">
        <v>2328</v>
      </c>
      <c r="D2506" t="s">
        <v>1564</v>
      </c>
      <c r="E2506" t="s">
        <v>1591</v>
      </c>
      <c r="F2506" t="s">
        <v>303</v>
      </c>
      <c r="G2506">
        <v>1</v>
      </c>
      <c r="H2506" s="21">
        <v>891.5</v>
      </c>
      <c r="I2506">
        <v>0</v>
      </c>
      <c r="J2506" s="21">
        <v>0</v>
      </c>
      <c r="K2506">
        <v>5</v>
      </c>
      <c r="L2506" s="21">
        <v>44.58</v>
      </c>
      <c r="M2506" s="21">
        <v>936.08</v>
      </c>
      <c r="N2506" s="21">
        <v>695.67</v>
      </c>
      <c r="O2506" s="21">
        <v>195.83</v>
      </c>
      <c r="P2506" t="s">
        <v>124</v>
      </c>
      <c r="Q2506" t="s">
        <v>120</v>
      </c>
      <c r="R2506" t="s">
        <v>151</v>
      </c>
      <c r="S2506" t="s">
        <v>1211</v>
      </c>
      <c r="T2506" t="s">
        <v>153</v>
      </c>
      <c r="U2506" t="s">
        <v>154</v>
      </c>
      <c r="V2506" t="str">
        <f>IFERROR(INDEX(Products!$C:$C,MATCH(D2506,Products!$A:$A,0)),"Unknown")</f>
        <v>Handbags</v>
      </c>
      <c r="W2506" t="str">
        <f>IFERROR(INDEX(Products!$E:$E,MATCH(D2506,Products!$A:$A,0)),"Unknown")</f>
        <v>W for Woman</v>
      </c>
      <c r="X2506" t="str">
        <f>IFERROR(INDEX(Stores!$B:$B,MATCH(E2506,Stores!$A:$A,0)),"Unknown")</f>
        <v>TrendMart Guntur Standard</v>
      </c>
      <c r="Y2506" t="str">
        <f>IFERROR(INDEX(Stores!$E:$E,MATCH(E2506,Stores!$A:$A,0)),"Unknown")</f>
        <v>South Zone 3</v>
      </c>
      <c r="Z2506" t="str">
        <f>IFERROR(INDEX(Customers!$J:$J,MATCH(C2506,Customers!$A:$A,0)),"Unknown")</f>
        <v>Silver</v>
      </c>
      <c r="AA2506" t="str">
        <f t="shared" si="39"/>
        <v>2024-10</v>
      </c>
      <c r="AB2506" t="str">
        <f>IFERROR(INDEX(Products!$I:$I,MATCH(D2506,Products!$A:$A,0)),"Unknown")</f>
        <v>SUP011</v>
      </c>
    </row>
    <row r="2507" spans="1:28" x14ac:dyDescent="0.25">
      <c r="A2507" t="s">
        <v>4553</v>
      </c>
      <c r="B2507" s="20">
        <v>45573</v>
      </c>
      <c r="C2507" t="s">
        <v>2448</v>
      </c>
      <c r="D2507" t="s">
        <v>1564</v>
      </c>
      <c r="E2507" t="s">
        <v>226</v>
      </c>
      <c r="F2507" t="s">
        <v>258</v>
      </c>
      <c r="G2507">
        <v>1</v>
      </c>
      <c r="H2507" s="21">
        <v>950.16</v>
      </c>
      <c r="I2507">
        <v>5</v>
      </c>
      <c r="J2507" s="21">
        <v>47.51</v>
      </c>
      <c r="K2507">
        <v>5</v>
      </c>
      <c r="L2507" s="21">
        <v>45.13</v>
      </c>
      <c r="M2507" s="21">
        <v>947.78</v>
      </c>
      <c r="N2507" s="21">
        <v>695.67</v>
      </c>
      <c r="O2507" s="21">
        <v>206.98</v>
      </c>
      <c r="P2507" t="s">
        <v>121</v>
      </c>
      <c r="Q2507" t="s">
        <v>122</v>
      </c>
      <c r="R2507" t="s">
        <v>151</v>
      </c>
      <c r="S2507" t="s">
        <v>1011</v>
      </c>
      <c r="T2507" t="s">
        <v>153</v>
      </c>
      <c r="U2507" t="s">
        <v>154</v>
      </c>
      <c r="V2507" t="str">
        <f>IFERROR(INDEX(Products!$C:$C,MATCH(D2507,Products!$A:$A,0)),"Unknown")</f>
        <v>Handbags</v>
      </c>
      <c r="W2507" t="str">
        <f>IFERROR(INDEX(Products!$E:$E,MATCH(D2507,Products!$A:$A,0)),"Unknown")</f>
        <v>W for Woman</v>
      </c>
      <c r="X2507" t="str">
        <f>IFERROR(INDEX(Stores!$B:$B,MATCH(E2507,Stores!$A:$A,0)),"Unknown")</f>
        <v>TrendMart Kurnool Standard</v>
      </c>
      <c r="Y2507" t="str">
        <f>IFERROR(INDEX(Stores!$E:$E,MATCH(E2507,Stores!$A:$A,0)),"Unknown")</f>
        <v>South Zone 3</v>
      </c>
      <c r="Z2507" t="str">
        <f>IFERROR(INDEX(Customers!$J:$J,MATCH(C2507,Customers!$A:$A,0)),"Unknown")</f>
        <v>Silver</v>
      </c>
      <c r="AA2507" t="str">
        <f t="shared" si="39"/>
        <v>2024-10</v>
      </c>
      <c r="AB2507" t="str">
        <f>IFERROR(INDEX(Products!$I:$I,MATCH(D2507,Products!$A:$A,0)),"Unknown")</f>
        <v>SUP011</v>
      </c>
    </row>
    <row r="2508" spans="1:28" x14ac:dyDescent="0.25">
      <c r="A2508" t="s">
        <v>4554</v>
      </c>
      <c r="B2508" s="20">
        <v>45740</v>
      </c>
      <c r="C2508" t="s">
        <v>1959</v>
      </c>
      <c r="D2508" t="s">
        <v>1200</v>
      </c>
      <c r="E2508" t="s">
        <v>490</v>
      </c>
      <c r="F2508" t="s">
        <v>574</v>
      </c>
      <c r="G2508">
        <v>2</v>
      </c>
      <c r="H2508" s="21">
        <v>3438.94</v>
      </c>
      <c r="I2508">
        <v>0</v>
      </c>
      <c r="J2508" s="21">
        <v>0</v>
      </c>
      <c r="K2508">
        <v>12</v>
      </c>
      <c r="L2508" s="21">
        <v>825.35</v>
      </c>
      <c r="M2508" s="21">
        <v>7703.23</v>
      </c>
      <c r="N2508" s="21">
        <v>4475.6400000000003</v>
      </c>
      <c r="O2508" s="21">
        <v>2402.2399999999998</v>
      </c>
      <c r="P2508" t="s">
        <v>125</v>
      </c>
      <c r="Q2508" t="s">
        <v>120</v>
      </c>
      <c r="R2508" t="s">
        <v>151</v>
      </c>
      <c r="S2508" t="s">
        <v>580</v>
      </c>
      <c r="T2508" t="s">
        <v>153</v>
      </c>
      <c r="U2508" t="s">
        <v>154</v>
      </c>
      <c r="V2508" t="str">
        <f>IFERROR(INDEX(Products!$C:$C,MATCH(D2508,Products!$A:$A,0)),"Unknown")</f>
        <v>Footwear</v>
      </c>
      <c r="W2508" t="str">
        <f>IFERROR(INDEX(Products!$E:$E,MATCH(D2508,Products!$A:$A,0)),"Unknown")</f>
        <v>Kalyan Silks</v>
      </c>
      <c r="X2508" t="str">
        <f>IFERROR(INDEX(Stores!$B:$B,MATCH(E2508,Stores!$A:$A,0)),"Unknown")</f>
        <v>TrendMart Mangaluru Mall Kiosk</v>
      </c>
      <c r="Y2508" t="str">
        <f>IFERROR(INDEX(Stores!$E:$E,MATCH(E2508,Stores!$A:$A,0)),"Unknown")</f>
        <v>South Zone 2</v>
      </c>
      <c r="Z2508" t="str">
        <f>IFERROR(INDEX(Customers!$J:$J,MATCH(C2508,Customers!$A:$A,0)),"Unknown")</f>
        <v>Silver</v>
      </c>
      <c r="AA2508" t="str">
        <f t="shared" si="39"/>
        <v>2025-03</v>
      </c>
      <c r="AB2508" t="str">
        <f>IFERROR(INDEX(Products!$I:$I,MATCH(D2508,Products!$A:$A,0)),"Unknown")</f>
        <v>SUP090</v>
      </c>
    </row>
    <row r="2509" spans="1:28" x14ac:dyDescent="0.25">
      <c r="A2509" t="s">
        <v>4555</v>
      </c>
      <c r="B2509" s="20">
        <v>45582</v>
      </c>
      <c r="C2509" t="s">
        <v>1481</v>
      </c>
      <c r="D2509" t="s">
        <v>246</v>
      </c>
      <c r="E2509" t="s">
        <v>175</v>
      </c>
      <c r="F2509" t="s">
        <v>297</v>
      </c>
      <c r="G2509">
        <v>1</v>
      </c>
      <c r="H2509" s="21">
        <v>1299.5999999999999</v>
      </c>
      <c r="I2509">
        <v>5</v>
      </c>
      <c r="J2509" s="21">
        <v>64.98</v>
      </c>
      <c r="K2509">
        <v>12</v>
      </c>
      <c r="L2509" s="21">
        <v>148.15</v>
      </c>
      <c r="M2509" s="21">
        <v>1382.77</v>
      </c>
      <c r="N2509" s="21">
        <v>865.48</v>
      </c>
      <c r="O2509" s="21">
        <v>369.14</v>
      </c>
      <c r="P2509" t="s">
        <v>121</v>
      </c>
      <c r="Q2509" t="s">
        <v>120</v>
      </c>
      <c r="R2509" t="s">
        <v>151</v>
      </c>
      <c r="S2509" t="s">
        <v>1574</v>
      </c>
      <c r="T2509" t="s">
        <v>153</v>
      </c>
      <c r="U2509" t="s">
        <v>154</v>
      </c>
      <c r="V2509" t="str">
        <f>IFERROR(INDEX(Products!$C:$C,MATCH(D2509,Products!$A:$A,0)),"Unknown")</f>
        <v>Women Dresses</v>
      </c>
      <c r="W2509" t="str">
        <f>IFERROR(INDEX(Products!$E:$E,MATCH(D2509,Products!$A:$A,0)),"Unknown")</f>
        <v>Tanishq</v>
      </c>
      <c r="X2509" t="str">
        <f>IFERROR(INDEX(Stores!$B:$B,MATCH(E2509,Stores!$A:$A,0)),"Unknown")</f>
        <v>TrendMart Thoothukudi Flagship</v>
      </c>
      <c r="Y2509" t="str">
        <f>IFERROR(INDEX(Stores!$E:$E,MATCH(E2509,Stores!$A:$A,0)),"Unknown")</f>
        <v>South Zone 1</v>
      </c>
      <c r="Z2509" t="str">
        <f>IFERROR(INDEX(Customers!$J:$J,MATCH(C2509,Customers!$A:$A,0)),"Unknown")</f>
        <v>Silver</v>
      </c>
      <c r="AA2509" t="str">
        <f t="shared" si="39"/>
        <v>2024-10</v>
      </c>
      <c r="AB2509" t="str">
        <f>IFERROR(INDEX(Products!$I:$I,MATCH(D2509,Products!$A:$A,0)),"Unknown")</f>
        <v>SUP002</v>
      </c>
    </row>
    <row r="2510" spans="1:28" x14ac:dyDescent="0.25">
      <c r="A2510" t="s">
        <v>4556</v>
      </c>
      <c r="B2510" s="20">
        <v>45686</v>
      </c>
      <c r="C2510" t="s">
        <v>857</v>
      </c>
      <c r="D2510" t="s">
        <v>697</v>
      </c>
      <c r="E2510" t="s">
        <v>927</v>
      </c>
      <c r="F2510" t="s">
        <v>286</v>
      </c>
      <c r="G2510">
        <v>2</v>
      </c>
      <c r="H2510" s="21">
        <v>1106.17</v>
      </c>
      <c r="I2510">
        <v>10</v>
      </c>
      <c r="J2510" s="21">
        <v>221.23</v>
      </c>
      <c r="K2510">
        <v>12</v>
      </c>
      <c r="L2510" s="21">
        <v>238.93</v>
      </c>
      <c r="M2510" s="21">
        <v>2230.04</v>
      </c>
      <c r="N2510" s="21">
        <v>1399.68</v>
      </c>
      <c r="O2510" s="21">
        <v>591.42999999999995</v>
      </c>
      <c r="P2510" t="s">
        <v>121</v>
      </c>
      <c r="Q2510" t="s">
        <v>120</v>
      </c>
      <c r="R2510" t="s">
        <v>151</v>
      </c>
      <c r="S2510" t="s">
        <v>2046</v>
      </c>
      <c r="T2510" t="s">
        <v>153</v>
      </c>
      <c r="U2510" t="s">
        <v>154</v>
      </c>
      <c r="V2510" t="str">
        <f>IFERROR(INDEX(Products!$C:$C,MATCH(D2510,Products!$A:$A,0)),"Unknown")</f>
        <v>Women Tops</v>
      </c>
      <c r="W2510" t="str">
        <f>IFERROR(INDEX(Products!$E:$E,MATCH(D2510,Products!$A:$A,0)),"Unknown")</f>
        <v>Nalli Silks</v>
      </c>
      <c r="X2510" t="str">
        <f>IFERROR(INDEX(Stores!$B:$B,MATCH(E2510,Stores!$A:$A,0)),"Unknown")</f>
        <v>TrendMart Kochi Mall Kiosk</v>
      </c>
      <c r="Y2510" t="str">
        <f>IFERROR(INDEX(Stores!$E:$E,MATCH(E2510,Stores!$A:$A,0)),"Unknown")</f>
        <v>South Zone 1</v>
      </c>
      <c r="Z2510" t="str">
        <f>IFERROR(INDEX(Customers!$J:$J,MATCH(C2510,Customers!$A:$A,0)),"Unknown")</f>
        <v>Gold</v>
      </c>
      <c r="AA2510" t="str">
        <f t="shared" si="39"/>
        <v>2025-01</v>
      </c>
      <c r="AB2510" t="str">
        <f>IFERROR(INDEX(Products!$I:$I,MATCH(D2510,Products!$A:$A,0)),"Unknown")</f>
        <v>SUP008</v>
      </c>
    </row>
    <row r="2511" spans="1:28" x14ac:dyDescent="0.25">
      <c r="A2511" t="s">
        <v>4557</v>
      </c>
      <c r="B2511" s="20">
        <v>45430</v>
      </c>
      <c r="C2511" t="s">
        <v>1284</v>
      </c>
      <c r="D2511" t="s">
        <v>339</v>
      </c>
      <c r="E2511" t="s">
        <v>86</v>
      </c>
      <c r="F2511" t="s">
        <v>253</v>
      </c>
      <c r="G2511">
        <v>2</v>
      </c>
      <c r="H2511" s="21">
        <v>919.8</v>
      </c>
      <c r="I2511">
        <v>10</v>
      </c>
      <c r="J2511" s="21">
        <v>183.96</v>
      </c>
      <c r="K2511">
        <v>5</v>
      </c>
      <c r="L2511" s="21">
        <v>82.78</v>
      </c>
      <c r="M2511" s="21">
        <v>1738.42</v>
      </c>
      <c r="N2511" s="21">
        <v>1137.06</v>
      </c>
      <c r="O2511" s="21">
        <v>518.58000000000004</v>
      </c>
      <c r="P2511" t="s">
        <v>123</v>
      </c>
      <c r="Q2511" t="s">
        <v>122</v>
      </c>
      <c r="R2511" t="s">
        <v>151</v>
      </c>
      <c r="S2511" t="s">
        <v>1523</v>
      </c>
      <c r="T2511" t="s">
        <v>161</v>
      </c>
      <c r="U2511" t="s">
        <v>154</v>
      </c>
      <c r="V2511" t="str">
        <f>IFERROR(INDEX(Products!$C:$C,MATCH(D2511,Products!$A:$A,0)),"Unknown")</f>
        <v>Women Kurtis</v>
      </c>
      <c r="W2511" t="str">
        <f>IFERROR(INDEX(Products!$E:$E,MATCH(D2511,Products!$A:$A,0)),"Unknown")</f>
        <v>Allen Solly</v>
      </c>
      <c r="X2511" t="str">
        <f>IFERROR(INDEX(Stores!$B:$B,MATCH(E2511,Stores!$A:$A,0)),"Unknown")</f>
        <v>TrendMart Warangal High Street</v>
      </c>
      <c r="Y2511" t="str">
        <f>IFERROR(INDEX(Stores!$E:$E,MATCH(E2511,Stores!$A:$A,0)),"Unknown")</f>
        <v>South Zone 2</v>
      </c>
      <c r="Z2511" t="str">
        <f>IFERROR(INDEX(Customers!$J:$J,MATCH(C2511,Customers!$A:$A,0)),"Unknown")</f>
        <v>Regular</v>
      </c>
      <c r="AA2511" t="str">
        <f t="shared" si="39"/>
        <v>2024-05</v>
      </c>
      <c r="AB2511" t="str">
        <f>IFERROR(INDEX(Products!$I:$I,MATCH(D2511,Products!$A:$A,0)),"Unknown")</f>
        <v>SUP086</v>
      </c>
    </row>
    <row r="2512" spans="1:28" x14ac:dyDescent="0.25">
      <c r="A2512" t="s">
        <v>4558</v>
      </c>
      <c r="B2512" s="20">
        <v>45429</v>
      </c>
      <c r="C2512" t="s">
        <v>3264</v>
      </c>
      <c r="D2512" t="s">
        <v>1537</v>
      </c>
      <c r="E2512" t="s">
        <v>89</v>
      </c>
      <c r="F2512" t="s">
        <v>403</v>
      </c>
      <c r="G2512">
        <v>4</v>
      </c>
      <c r="H2512" s="21">
        <v>1196.8699999999999</v>
      </c>
      <c r="I2512">
        <v>30</v>
      </c>
      <c r="J2512" s="21">
        <v>1436.24</v>
      </c>
      <c r="K2512">
        <v>12</v>
      </c>
      <c r="L2512" s="21">
        <v>402.15</v>
      </c>
      <c r="M2512" s="21">
        <v>3753.39</v>
      </c>
      <c r="N2512" s="21">
        <v>3663.48</v>
      </c>
      <c r="O2512" s="21">
        <v>-312.24</v>
      </c>
      <c r="P2512" t="s">
        <v>126</v>
      </c>
      <c r="Q2512" t="s">
        <v>120</v>
      </c>
      <c r="R2512" t="s">
        <v>151</v>
      </c>
      <c r="S2512" t="s">
        <v>474</v>
      </c>
      <c r="T2512" t="s">
        <v>153</v>
      </c>
      <c r="U2512" t="s">
        <v>184</v>
      </c>
      <c r="V2512" t="str">
        <f>IFERROR(INDEX(Products!$C:$C,MATCH(D2512,Products!$A:$A,0)),"Unknown")</f>
        <v>Men Jeans</v>
      </c>
      <c r="W2512" t="str">
        <f>IFERROR(INDEX(Products!$E:$E,MATCH(D2512,Products!$A:$A,0)),"Unknown")</f>
        <v>Fabindia</v>
      </c>
      <c r="X2512" t="str">
        <f>IFERROR(INDEX(Stores!$B:$B,MATCH(E2512,Stores!$A:$A,0)),"Unknown")</f>
        <v>TrendMart Kochi Standard</v>
      </c>
      <c r="Y2512" t="str">
        <f>IFERROR(INDEX(Stores!$E:$E,MATCH(E2512,Stores!$A:$A,0)),"Unknown")</f>
        <v>South Zone 1</v>
      </c>
      <c r="Z2512" t="str">
        <f>IFERROR(INDEX(Customers!$J:$J,MATCH(C2512,Customers!$A:$A,0)),"Unknown")</f>
        <v>Silver</v>
      </c>
      <c r="AA2512" t="str">
        <f t="shared" si="39"/>
        <v>2024-05</v>
      </c>
      <c r="AB2512" t="str">
        <f>IFERROR(INDEX(Products!$I:$I,MATCH(D2512,Products!$A:$A,0)),"Unknown")</f>
        <v>SUP044</v>
      </c>
    </row>
    <row r="2513" spans="1:28" x14ac:dyDescent="0.25">
      <c r="A2513" t="s">
        <v>4559</v>
      </c>
      <c r="B2513" s="20">
        <v>45746</v>
      </c>
      <c r="C2513" t="s">
        <v>295</v>
      </c>
      <c r="D2513" t="s">
        <v>2064</v>
      </c>
      <c r="E2513" t="s">
        <v>247</v>
      </c>
      <c r="F2513" t="s">
        <v>2479</v>
      </c>
      <c r="G2513">
        <v>2</v>
      </c>
      <c r="H2513" s="21">
        <v>1961.66</v>
      </c>
      <c r="I2513">
        <v>10</v>
      </c>
      <c r="J2513" s="21">
        <v>392.33</v>
      </c>
      <c r="K2513">
        <v>12</v>
      </c>
      <c r="L2513" s="21">
        <v>423.72</v>
      </c>
      <c r="M2513" s="21">
        <v>3954.71</v>
      </c>
      <c r="N2513" s="21">
        <v>2366.8200000000002</v>
      </c>
      <c r="O2513" s="21">
        <v>1164.17</v>
      </c>
      <c r="P2513" t="s">
        <v>125</v>
      </c>
      <c r="Q2513" t="s">
        <v>120</v>
      </c>
      <c r="R2513" t="s">
        <v>151</v>
      </c>
      <c r="S2513" t="s">
        <v>1448</v>
      </c>
      <c r="T2513" t="s">
        <v>161</v>
      </c>
      <c r="U2513" t="s">
        <v>154</v>
      </c>
      <c r="V2513" t="str">
        <f>IFERROR(INDEX(Products!$C:$C,MATCH(D2513,Products!$A:$A,0)),"Unknown")</f>
        <v>Watches</v>
      </c>
      <c r="W2513" t="str">
        <f>IFERROR(INDEX(Products!$E:$E,MATCH(D2513,Products!$A:$A,0)),"Unknown")</f>
        <v>Nalli Silks</v>
      </c>
      <c r="X2513" t="str">
        <f>IFERROR(INDEX(Stores!$B:$B,MATCH(E2513,Stores!$A:$A,0)),"Unknown")</f>
        <v>TrendMart Tirupati Outlet</v>
      </c>
      <c r="Y2513" t="str">
        <f>IFERROR(INDEX(Stores!$E:$E,MATCH(E2513,Stores!$A:$A,0)),"Unknown")</f>
        <v>South Zone 3</v>
      </c>
      <c r="Z2513" t="str">
        <f>IFERROR(INDEX(Customers!$J:$J,MATCH(C2513,Customers!$A:$A,0)),"Unknown")</f>
        <v>Regular</v>
      </c>
      <c r="AA2513" t="str">
        <f t="shared" si="39"/>
        <v>2025-03</v>
      </c>
      <c r="AB2513" t="str">
        <f>IFERROR(INDEX(Products!$I:$I,MATCH(D2513,Products!$A:$A,0)),"Unknown")</f>
        <v>SUP020</v>
      </c>
    </row>
    <row r="2514" spans="1:28" x14ac:dyDescent="0.25">
      <c r="A2514" t="s">
        <v>4560</v>
      </c>
      <c r="B2514" s="20">
        <v>45484</v>
      </c>
      <c r="C2514" t="s">
        <v>922</v>
      </c>
      <c r="D2514" t="s">
        <v>583</v>
      </c>
      <c r="E2514" t="s">
        <v>81</v>
      </c>
      <c r="F2514" t="s">
        <v>532</v>
      </c>
      <c r="G2514">
        <v>3</v>
      </c>
      <c r="H2514" s="21">
        <v>833.21</v>
      </c>
      <c r="I2514">
        <v>0</v>
      </c>
      <c r="J2514" s="21">
        <v>0</v>
      </c>
      <c r="K2514">
        <v>5</v>
      </c>
      <c r="L2514" s="21">
        <v>124.98</v>
      </c>
      <c r="M2514" s="21">
        <v>2624.61</v>
      </c>
      <c r="N2514" s="21">
        <v>1889.16</v>
      </c>
      <c r="O2514" s="21">
        <v>610.47</v>
      </c>
      <c r="P2514" t="s">
        <v>125</v>
      </c>
      <c r="Q2514" t="s">
        <v>120</v>
      </c>
      <c r="R2514" t="s">
        <v>151</v>
      </c>
      <c r="S2514" t="s">
        <v>183</v>
      </c>
      <c r="T2514" t="s">
        <v>153</v>
      </c>
      <c r="U2514" t="s">
        <v>154</v>
      </c>
      <c r="V2514" t="str">
        <f>IFERROR(INDEX(Products!$C:$C,MATCH(D2514,Products!$A:$A,0)),"Unknown")</f>
        <v>Women Tops</v>
      </c>
      <c r="W2514" t="str">
        <f>IFERROR(INDEX(Products!$E:$E,MATCH(D2514,Products!$A:$A,0)),"Unknown")</f>
        <v>Ramraj Cotton</v>
      </c>
      <c r="X2514" t="str">
        <f>IFERROR(INDEX(Stores!$B:$B,MATCH(E2514,Stores!$A:$A,0)),"Unknown")</f>
        <v>TrendMart Vijayawada High Street</v>
      </c>
      <c r="Y2514" t="str">
        <f>IFERROR(INDEX(Stores!$E:$E,MATCH(E2514,Stores!$A:$A,0)),"Unknown")</f>
        <v>South Zone 3</v>
      </c>
      <c r="Z2514" t="str">
        <f>IFERROR(INDEX(Customers!$J:$J,MATCH(C2514,Customers!$A:$A,0)),"Unknown")</f>
        <v>Regular</v>
      </c>
      <c r="AA2514" t="str">
        <f t="shared" si="39"/>
        <v>2024-07</v>
      </c>
      <c r="AB2514" t="str">
        <f>IFERROR(INDEX(Products!$I:$I,MATCH(D2514,Products!$A:$A,0)),"Unknown")</f>
        <v>SUP048</v>
      </c>
    </row>
    <row r="2515" spans="1:28" x14ac:dyDescent="0.25">
      <c r="A2515" t="s">
        <v>4561</v>
      </c>
      <c r="B2515" s="20">
        <v>45467</v>
      </c>
      <c r="C2515" t="s">
        <v>3404</v>
      </c>
      <c r="D2515" t="s">
        <v>257</v>
      </c>
      <c r="E2515" t="s">
        <v>188</v>
      </c>
      <c r="F2515" t="s">
        <v>286</v>
      </c>
      <c r="G2515">
        <v>1</v>
      </c>
      <c r="H2515" s="21">
        <v>995.49</v>
      </c>
      <c r="I2515">
        <v>15</v>
      </c>
      <c r="J2515" s="21">
        <v>149.32</v>
      </c>
      <c r="K2515">
        <v>5</v>
      </c>
      <c r="L2515" s="21">
        <v>42.31</v>
      </c>
      <c r="M2515" s="21">
        <v>888.48</v>
      </c>
      <c r="N2515" s="21">
        <v>721.22</v>
      </c>
      <c r="O2515" s="21">
        <v>124.95</v>
      </c>
      <c r="P2515" t="s">
        <v>124</v>
      </c>
      <c r="Q2515" t="s">
        <v>122</v>
      </c>
      <c r="R2515" t="s">
        <v>151</v>
      </c>
      <c r="S2515" t="s">
        <v>2720</v>
      </c>
      <c r="T2515" t="s">
        <v>153</v>
      </c>
      <c r="U2515" t="s">
        <v>154</v>
      </c>
      <c r="V2515" t="str">
        <f>IFERROR(INDEX(Products!$C:$C,MATCH(D2515,Products!$A:$A,0)),"Unknown")</f>
        <v>Men Shirts</v>
      </c>
      <c r="W2515" t="str">
        <f>IFERROR(INDEX(Products!$E:$E,MATCH(D2515,Products!$A:$A,0)),"Unknown")</f>
        <v>Indian Terrain</v>
      </c>
      <c r="X2515" t="str">
        <f>IFERROR(INDEX(Stores!$B:$B,MATCH(E2515,Stores!$A:$A,0)),"Unknown")</f>
        <v>TrendMart Vijayawada Standard</v>
      </c>
      <c r="Y2515" t="str">
        <f>IFERROR(INDEX(Stores!$E:$E,MATCH(E2515,Stores!$A:$A,0)),"Unknown")</f>
        <v>South Zone 3</v>
      </c>
      <c r="Z2515" t="str">
        <f>IFERROR(INDEX(Customers!$J:$J,MATCH(C2515,Customers!$A:$A,0)),"Unknown")</f>
        <v>Regular</v>
      </c>
      <c r="AA2515" t="str">
        <f t="shared" si="39"/>
        <v>2024-06</v>
      </c>
      <c r="AB2515" t="str">
        <f>IFERROR(INDEX(Products!$I:$I,MATCH(D2515,Products!$A:$A,0)),"Unknown")</f>
        <v>SUP080</v>
      </c>
    </row>
    <row r="2516" spans="1:28" x14ac:dyDescent="0.25">
      <c r="A2516" t="s">
        <v>4562</v>
      </c>
      <c r="B2516" s="20">
        <v>45608</v>
      </c>
      <c r="C2516" t="s">
        <v>625</v>
      </c>
      <c r="D2516" t="s">
        <v>595</v>
      </c>
      <c r="E2516" t="s">
        <v>216</v>
      </c>
      <c r="F2516" t="s">
        <v>382</v>
      </c>
      <c r="G2516">
        <v>3</v>
      </c>
      <c r="H2516" s="21">
        <v>866.74</v>
      </c>
      <c r="I2516">
        <v>30</v>
      </c>
      <c r="J2516" s="21">
        <v>780.07</v>
      </c>
      <c r="K2516">
        <v>5</v>
      </c>
      <c r="L2516" s="21">
        <v>91.01</v>
      </c>
      <c r="M2516" s="21">
        <v>1911.16</v>
      </c>
      <c r="N2516" s="21">
        <v>1771.44</v>
      </c>
      <c r="O2516" s="21">
        <v>48.71</v>
      </c>
      <c r="P2516" t="s">
        <v>125</v>
      </c>
      <c r="Q2516" t="s">
        <v>120</v>
      </c>
      <c r="R2516" t="s">
        <v>151</v>
      </c>
      <c r="S2516" t="s">
        <v>1249</v>
      </c>
      <c r="T2516" t="s">
        <v>153</v>
      </c>
      <c r="U2516" t="s">
        <v>154</v>
      </c>
      <c r="V2516" t="str">
        <f>IFERROR(INDEX(Products!$C:$C,MATCH(D2516,Products!$A:$A,0)),"Unknown")</f>
        <v>Men Shirts</v>
      </c>
      <c r="W2516" t="str">
        <f>IFERROR(INDEX(Products!$E:$E,MATCH(D2516,Products!$A:$A,0)),"Unknown")</f>
        <v>Nalli Silks</v>
      </c>
      <c r="X2516" t="str">
        <f>IFERROR(INDEX(Stores!$B:$B,MATCH(E2516,Stores!$A:$A,0)),"Unknown")</f>
        <v>TrendMart Madurai Mall Kiosk</v>
      </c>
      <c r="Y2516" t="str">
        <f>IFERROR(INDEX(Stores!$E:$E,MATCH(E2516,Stores!$A:$A,0)),"Unknown")</f>
        <v>South Zone 1</v>
      </c>
      <c r="Z2516" t="str">
        <f>IFERROR(INDEX(Customers!$J:$J,MATCH(C2516,Customers!$A:$A,0)),"Unknown")</f>
        <v>Silver</v>
      </c>
      <c r="AA2516" t="str">
        <f t="shared" si="39"/>
        <v>2024-11</v>
      </c>
      <c r="AB2516" t="str">
        <f>IFERROR(INDEX(Products!$I:$I,MATCH(D2516,Products!$A:$A,0)),"Unknown")</f>
        <v>SUP055</v>
      </c>
    </row>
    <row r="2517" spans="1:28" x14ac:dyDescent="0.25">
      <c r="A2517" t="s">
        <v>4563</v>
      </c>
      <c r="B2517" s="20">
        <v>45585</v>
      </c>
      <c r="C2517" t="s">
        <v>1473</v>
      </c>
      <c r="D2517" t="s">
        <v>658</v>
      </c>
      <c r="E2517" t="s">
        <v>1171</v>
      </c>
      <c r="F2517" t="s">
        <v>281</v>
      </c>
      <c r="G2517">
        <v>3</v>
      </c>
      <c r="H2517" s="21">
        <v>321.73</v>
      </c>
      <c r="I2517">
        <v>10</v>
      </c>
      <c r="J2517" s="21">
        <v>96.52</v>
      </c>
      <c r="K2517">
        <v>5</v>
      </c>
      <c r="L2517" s="21">
        <v>43.43</v>
      </c>
      <c r="M2517" s="21">
        <v>912.1</v>
      </c>
      <c r="N2517" s="21">
        <v>515.70000000000005</v>
      </c>
      <c r="O2517" s="21">
        <v>352.97</v>
      </c>
      <c r="P2517" t="s">
        <v>125</v>
      </c>
      <c r="Q2517" t="s">
        <v>122</v>
      </c>
      <c r="R2517" t="s">
        <v>151</v>
      </c>
      <c r="S2517" t="s">
        <v>1706</v>
      </c>
      <c r="T2517" t="s">
        <v>161</v>
      </c>
      <c r="U2517" t="s">
        <v>154</v>
      </c>
      <c r="V2517" t="str">
        <f>IFERROR(INDEX(Products!$C:$C,MATCH(D2517,Products!$A:$A,0)),"Unknown")</f>
        <v>Accessories</v>
      </c>
      <c r="W2517" t="str">
        <f>IFERROR(INDEX(Products!$E:$E,MATCH(D2517,Products!$A:$A,0)),"Unknown")</f>
        <v>Flying Machine</v>
      </c>
      <c r="X2517" t="str">
        <f>IFERROR(INDEX(Stores!$B:$B,MATCH(E2517,Stores!$A:$A,0)),"Unknown")</f>
        <v>TrendMart Chennai Standard</v>
      </c>
      <c r="Y2517" t="str">
        <f>IFERROR(INDEX(Stores!$E:$E,MATCH(E2517,Stores!$A:$A,0)),"Unknown")</f>
        <v>South Zone 1</v>
      </c>
      <c r="Z2517" t="str">
        <f>IFERROR(INDEX(Customers!$J:$J,MATCH(C2517,Customers!$A:$A,0)),"Unknown")</f>
        <v>Regular</v>
      </c>
      <c r="AA2517" t="str">
        <f t="shared" si="39"/>
        <v>2024-10</v>
      </c>
      <c r="AB2517" t="str">
        <f>IFERROR(INDEX(Products!$I:$I,MATCH(D2517,Products!$A:$A,0)),"Unknown")</f>
        <v>SUP002</v>
      </c>
    </row>
    <row r="2518" spans="1:28" x14ac:dyDescent="0.25">
      <c r="A2518" t="s">
        <v>4564</v>
      </c>
      <c r="B2518" s="20">
        <v>45594</v>
      </c>
      <c r="C2518" t="s">
        <v>3123</v>
      </c>
      <c r="D2518" t="s">
        <v>1321</v>
      </c>
      <c r="E2518" t="s">
        <v>1426</v>
      </c>
      <c r="F2518" t="s">
        <v>189</v>
      </c>
      <c r="G2518">
        <v>3</v>
      </c>
      <c r="H2518" s="21">
        <v>2452.73</v>
      </c>
      <c r="I2518">
        <v>20</v>
      </c>
      <c r="J2518" s="21">
        <v>1471.64</v>
      </c>
      <c r="K2518">
        <v>12</v>
      </c>
      <c r="L2518" s="21">
        <v>706.39</v>
      </c>
      <c r="M2518" s="21">
        <v>6592.94</v>
      </c>
      <c r="N2518" s="21">
        <v>5189.16</v>
      </c>
      <c r="O2518" s="21">
        <v>697.39</v>
      </c>
      <c r="P2518" t="s">
        <v>125</v>
      </c>
      <c r="Q2518" t="s">
        <v>120</v>
      </c>
      <c r="R2518" t="s">
        <v>151</v>
      </c>
      <c r="S2518" t="s">
        <v>2660</v>
      </c>
      <c r="T2518" t="s">
        <v>153</v>
      </c>
      <c r="U2518" t="s">
        <v>154</v>
      </c>
      <c r="V2518" t="str">
        <f>IFERROR(INDEX(Products!$C:$C,MATCH(D2518,Products!$A:$A,0)),"Unknown")</f>
        <v>Men Ethnic</v>
      </c>
      <c r="W2518" t="str">
        <f>IFERROR(INDEX(Products!$E:$E,MATCH(D2518,Products!$A:$A,0)),"Unknown")</f>
        <v>Nalli Silks</v>
      </c>
      <c r="X2518" t="str">
        <f>IFERROR(INDEX(Stores!$B:$B,MATCH(E2518,Stores!$A:$A,0)),"Unknown")</f>
        <v>TrendMart Alappuzha Mall Kiosk</v>
      </c>
      <c r="Y2518" t="str">
        <f>IFERROR(INDEX(Stores!$E:$E,MATCH(E2518,Stores!$A:$A,0)),"Unknown")</f>
        <v>South Zone 1</v>
      </c>
      <c r="Z2518" t="str">
        <f>IFERROR(INDEX(Customers!$J:$J,MATCH(C2518,Customers!$A:$A,0)),"Unknown")</f>
        <v>Silver</v>
      </c>
      <c r="AA2518" t="str">
        <f t="shared" si="39"/>
        <v>2024-10</v>
      </c>
      <c r="AB2518" t="str">
        <f>IFERROR(INDEX(Products!$I:$I,MATCH(D2518,Products!$A:$A,0)),"Unknown")</f>
        <v>SUP018</v>
      </c>
    </row>
    <row r="2519" spans="1:28" x14ac:dyDescent="0.25">
      <c r="A2519" t="s">
        <v>4565</v>
      </c>
      <c r="B2519" s="20">
        <v>45474</v>
      </c>
      <c r="C2519" t="s">
        <v>2883</v>
      </c>
      <c r="D2519" t="s">
        <v>494</v>
      </c>
      <c r="E2519" t="s">
        <v>630</v>
      </c>
      <c r="F2519" t="s">
        <v>532</v>
      </c>
      <c r="G2519">
        <v>2</v>
      </c>
      <c r="H2519" s="21">
        <v>1601.74</v>
      </c>
      <c r="I2519">
        <v>15</v>
      </c>
      <c r="J2519" s="21">
        <v>480.52</v>
      </c>
      <c r="K2519">
        <v>12</v>
      </c>
      <c r="L2519" s="21">
        <v>326.76</v>
      </c>
      <c r="M2519" s="21">
        <v>3049.72</v>
      </c>
      <c r="N2519" s="21">
        <v>2281.8000000000002</v>
      </c>
      <c r="O2519" s="21">
        <v>441.16</v>
      </c>
      <c r="P2519" t="s">
        <v>123</v>
      </c>
      <c r="Q2519" t="s">
        <v>120</v>
      </c>
      <c r="R2519" t="s">
        <v>151</v>
      </c>
      <c r="S2519" t="s">
        <v>4566</v>
      </c>
      <c r="T2519" t="s">
        <v>153</v>
      </c>
      <c r="U2519" t="s">
        <v>154</v>
      </c>
      <c r="V2519" t="str">
        <f>IFERROR(INDEX(Products!$C:$C,MATCH(D2519,Products!$A:$A,0)),"Unknown")</f>
        <v>Women Dresses</v>
      </c>
      <c r="W2519" t="str">
        <f>IFERROR(INDEX(Products!$E:$E,MATCH(D2519,Products!$A:$A,0)),"Unknown")</f>
        <v>Reebok</v>
      </c>
      <c r="X2519" t="str">
        <f>IFERROR(INDEX(Stores!$B:$B,MATCH(E2519,Stores!$A:$A,0)),"Unknown")</f>
        <v>TrendMart Guntur Standard</v>
      </c>
      <c r="Y2519" t="str">
        <f>IFERROR(INDEX(Stores!$E:$E,MATCH(E2519,Stores!$A:$A,0)),"Unknown")</f>
        <v>South Zone 3</v>
      </c>
      <c r="Z2519" t="str">
        <f>IFERROR(INDEX(Customers!$J:$J,MATCH(C2519,Customers!$A:$A,0)),"Unknown")</f>
        <v>Gold</v>
      </c>
      <c r="AA2519" t="str">
        <f t="shared" si="39"/>
        <v>2024-07</v>
      </c>
      <c r="AB2519" t="str">
        <f>IFERROR(INDEX(Products!$I:$I,MATCH(D2519,Products!$A:$A,0)),"Unknown")</f>
        <v>SUP085</v>
      </c>
    </row>
    <row r="2520" spans="1:28" x14ac:dyDescent="0.25">
      <c r="A2520" t="s">
        <v>4567</v>
      </c>
      <c r="B2520" s="20">
        <v>45441</v>
      </c>
      <c r="C2520" t="s">
        <v>2426</v>
      </c>
      <c r="D2520" t="s">
        <v>949</v>
      </c>
      <c r="E2520" t="s">
        <v>815</v>
      </c>
      <c r="F2520" t="s">
        <v>269</v>
      </c>
      <c r="G2520">
        <v>3</v>
      </c>
      <c r="H2520" s="21">
        <v>1527.5</v>
      </c>
      <c r="I2520">
        <v>10</v>
      </c>
      <c r="J2520" s="21">
        <v>458.25</v>
      </c>
      <c r="K2520">
        <v>12</v>
      </c>
      <c r="L2520" s="21">
        <v>494.91</v>
      </c>
      <c r="M2520" s="21">
        <v>4619.16</v>
      </c>
      <c r="N2520" s="21">
        <v>2965.71</v>
      </c>
      <c r="O2520" s="21">
        <v>1158.54</v>
      </c>
      <c r="P2520" t="s">
        <v>121</v>
      </c>
      <c r="Q2520" t="s">
        <v>120</v>
      </c>
      <c r="R2520" t="s">
        <v>151</v>
      </c>
      <c r="S2520" t="s">
        <v>2318</v>
      </c>
      <c r="T2520" t="s">
        <v>153</v>
      </c>
      <c r="U2520" t="s">
        <v>154</v>
      </c>
      <c r="V2520" t="str">
        <f>IFERROR(INDEX(Products!$C:$C,MATCH(D2520,Products!$A:$A,0)),"Unknown")</f>
        <v>Handbags</v>
      </c>
      <c r="W2520" t="str">
        <f>IFERROR(INDEX(Products!$E:$E,MATCH(D2520,Products!$A:$A,0)),"Unknown")</f>
        <v>Fastrack</v>
      </c>
      <c r="X2520" t="str">
        <f>IFERROR(INDEX(Stores!$B:$B,MATCH(E2520,Stores!$A:$A,0)),"Unknown")</f>
        <v>TrendMart Madurai Mall Kiosk</v>
      </c>
      <c r="Y2520" t="str">
        <f>IFERROR(INDEX(Stores!$E:$E,MATCH(E2520,Stores!$A:$A,0)),"Unknown")</f>
        <v>South Zone 1</v>
      </c>
      <c r="Z2520" t="str">
        <f>IFERROR(INDEX(Customers!$J:$J,MATCH(C2520,Customers!$A:$A,0)),"Unknown")</f>
        <v>Silver</v>
      </c>
      <c r="AA2520" t="str">
        <f t="shared" si="39"/>
        <v>2024-05</v>
      </c>
      <c r="AB2520" t="str">
        <f>IFERROR(INDEX(Products!$I:$I,MATCH(D2520,Products!$A:$A,0)),"Unknown")</f>
        <v>SUP069</v>
      </c>
    </row>
    <row r="2521" spans="1:28" x14ac:dyDescent="0.25">
      <c r="A2521" t="s">
        <v>4568</v>
      </c>
      <c r="B2521" s="20">
        <v>45573</v>
      </c>
      <c r="C2521" t="s">
        <v>1607</v>
      </c>
      <c r="D2521" t="s">
        <v>359</v>
      </c>
      <c r="E2521" t="s">
        <v>442</v>
      </c>
      <c r="F2521" t="s">
        <v>579</v>
      </c>
      <c r="G2521">
        <v>2</v>
      </c>
      <c r="H2521" s="21">
        <v>2301.46</v>
      </c>
      <c r="I2521">
        <v>25</v>
      </c>
      <c r="J2521" s="21">
        <v>1150.73</v>
      </c>
      <c r="K2521">
        <v>12</v>
      </c>
      <c r="L2521" s="21">
        <v>414.26</v>
      </c>
      <c r="M2521" s="21">
        <v>3866.45</v>
      </c>
      <c r="N2521" s="21">
        <v>3608.74</v>
      </c>
      <c r="O2521" s="21">
        <v>-156.55000000000001</v>
      </c>
      <c r="P2521" t="s">
        <v>124</v>
      </c>
      <c r="Q2521" t="s">
        <v>120</v>
      </c>
      <c r="R2521" t="s">
        <v>151</v>
      </c>
      <c r="S2521" t="s">
        <v>1408</v>
      </c>
      <c r="T2521" t="s">
        <v>153</v>
      </c>
      <c r="U2521" t="s">
        <v>184</v>
      </c>
      <c r="V2521" t="str">
        <f>IFERROR(INDEX(Products!$C:$C,MATCH(D2521,Products!$A:$A,0)),"Unknown")</f>
        <v>Men Ethnic</v>
      </c>
      <c r="W2521" t="str">
        <f>IFERROR(INDEX(Products!$E:$E,MATCH(D2521,Products!$A:$A,0)),"Unknown")</f>
        <v>US Polo Assn</v>
      </c>
      <c r="X2521" t="str">
        <f>IFERROR(INDEX(Stores!$B:$B,MATCH(E2521,Stores!$A:$A,0)),"Unknown")</f>
        <v>TrendMart Bengaluru Standard</v>
      </c>
      <c r="Y2521" t="str">
        <f>IFERROR(INDEX(Stores!$E:$E,MATCH(E2521,Stores!$A:$A,0)),"Unknown")</f>
        <v>South Zone 2</v>
      </c>
      <c r="Z2521" t="str">
        <f>IFERROR(INDEX(Customers!$J:$J,MATCH(C2521,Customers!$A:$A,0)),"Unknown")</f>
        <v>Regular</v>
      </c>
      <c r="AA2521" t="str">
        <f t="shared" si="39"/>
        <v>2024-10</v>
      </c>
      <c r="AB2521" t="str">
        <f>IFERROR(INDEX(Products!$I:$I,MATCH(D2521,Products!$A:$A,0)),"Unknown")</f>
        <v>SUP036</v>
      </c>
    </row>
    <row r="2522" spans="1:28" x14ac:dyDescent="0.25">
      <c r="A2522" t="s">
        <v>4569</v>
      </c>
      <c r="B2522" s="20">
        <v>45689</v>
      </c>
      <c r="C2522" t="s">
        <v>2761</v>
      </c>
      <c r="D2522" t="s">
        <v>854</v>
      </c>
      <c r="E2522" t="s">
        <v>1171</v>
      </c>
      <c r="F2522" t="s">
        <v>596</v>
      </c>
      <c r="G2522">
        <v>2</v>
      </c>
      <c r="H2522" s="21">
        <v>1294.3800000000001</v>
      </c>
      <c r="I2522">
        <v>20</v>
      </c>
      <c r="J2522" s="21">
        <v>517.75</v>
      </c>
      <c r="K2522">
        <v>3</v>
      </c>
      <c r="L2522" s="21">
        <v>62.13</v>
      </c>
      <c r="M2522" s="21">
        <v>2133.14</v>
      </c>
      <c r="N2522" s="21">
        <v>1908.08</v>
      </c>
      <c r="O2522" s="21">
        <v>162.93</v>
      </c>
      <c r="P2522" t="s">
        <v>125</v>
      </c>
      <c r="Q2522" t="s">
        <v>120</v>
      </c>
      <c r="R2522" t="s">
        <v>151</v>
      </c>
      <c r="S2522" t="s">
        <v>1313</v>
      </c>
      <c r="T2522" t="s">
        <v>161</v>
      </c>
      <c r="U2522" t="s">
        <v>154</v>
      </c>
      <c r="V2522" t="str">
        <f>IFERROR(INDEX(Products!$C:$C,MATCH(D2522,Products!$A:$A,0)),"Unknown")</f>
        <v>Jewellery</v>
      </c>
      <c r="W2522" t="str">
        <f>IFERROR(INDEX(Products!$E:$E,MATCH(D2522,Products!$A:$A,0)),"Unknown")</f>
        <v>W for Woman</v>
      </c>
      <c r="X2522" t="str">
        <f>IFERROR(INDEX(Stores!$B:$B,MATCH(E2522,Stores!$A:$A,0)),"Unknown")</f>
        <v>TrendMart Chennai Standard</v>
      </c>
      <c r="Y2522" t="str">
        <f>IFERROR(INDEX(Stores!$E:$E,MATCH(E2522,Stores!$A:$A,0)),"Unknown")</f>
        <v>South Zone 1</v>
      </c>
      <c r="Z2522" t="str">
        <f>IFERROR(INDEX(Customers!$J:$J,MATCH(C2522,Customers!$A:$A,0)),"Unknown")</f>
        <v>Gold</v>
      </c>
      <c r="AA2522" t="str">
        <f t="shared" si="39"/>
        <v>2025-02</v>
      </c>
      <c r="AB2522" t="str">
        <f>IFERROR(INDEX(Products!$I:$I,MATCH(D2522,Products!$A:$A,0)),"Unknown")</f>
        <v>SUP006</v>
      </c>
    </row>
    <row r="2523" spans="1:28" x14ac:dyDescent="0.25">
      <c r="A2523" t="s">
        <v>4570</v>
      </c>
      <c r="B2523" s="20">
        <v>45390</v>
      </c>
      <c r="C2523" t="s">
        <v>684</v>
      </c>
      <c r="D2523" t="s">
        <v>157</v>
      </c>
      <c r="E2523" t="s">
        <v>1002</v>
      </c>
      <c r="F2523" t="s">
        <v>550</v>
      </c>
      <c r="G2523">
        <v>3</v>
      </c>
      <c r="H2523" s="21">
        <v>798.11</v>
      </c>
      <c r="I2523">
        <v>0</v>
      </c>
      <c r="J2523" s="21">
        <v>0</v>
      </c>
      <c r="K2523">
        <v>5</v>
      </c>
      <c r="L2523" s="21">
        <v>119.72</v>
      </c>
      <c r="M2523" s="21">
        <v>2514.0500000000002</v>
      </c>
      <c r="N2523" s="21">
        <v>1476.33</v>
      </c>
      <c r="O2523" s="21">
        <v>918</v>
      </c>
      <c r="P2523" t="s">
        <v>124</v>
      </c>
      <c r="Q2523" t="s">
        <v>120</v>
      </c>
      <c r="R2523" t="s">
        <v>151</v>
      </c>
      <c r="S2523" t="s">
        <v>1639</v>
      </c>
      <c r="T2523" t="s">
        <v>153</v>
      </c>
      <c r="U2523" t="s">
        <v>154</v>
      </c>
      <c r="V2523" t="str">
        <f>IFERROR(INDEX(Products!$C:$C,MATCH(D2523,Products!$A:$A,0)),"Unknown")</f>
        <v>Men T-Shirts</v>
      </c>
      <c r="W2523" t="str">
        <f>IFERROR(INDEX(Products!$E:$E,MATCH(D2523,Products!$A:$A,0)),"Unknown")</f>
        <v>Reebok</v>
      </c>
      <c r="X2523" t="str">
        <f>IFERROR(INDEX(Stores!$B:$B,MATCH(E2523,Stores!$A:$A,0)),"Unknown")</f>
        <v>TrendMart Coimbatore Mall Kiosk</v>
      </c>
      <c r="Y2523" t="str">
        <f>IFERROR(INDEX(Stores!$E:$E,MATCH(E2523,Stores!$A:$A,0)),"Unknown")</f>
        <v>South Zone 1</v>
      </c>
      <c r="Z2523" t="str">
        <f>IFERROR(INDEX(Customers!$J:$J,MATCH(C2523,Customers!$A:$A,0)),"Unknown")</f>
        <v>Platinum</v>
      </c>
      <c r="AA2523" t="str">
        <f t="shared" si="39"/>
        <v>2024-04</v>
      </c>
      <c r="AB2523" t="str">
        <f>IFERROR(INDEX(Products!$I:$I,MATCH(D2523,Products!$A:$A,0)),"Unknown")</f>
        <v>SUP073</v>
      </c>
    </row>
    <row r="2524" spans="1:28" x14ac:dyDescent="0.25">
      <c r="A2524" t="s">
        <v>4571</v>
      </c>
      <c r="B2524" s="20">
        <v>45497</v>
      </c>
      <c r="C2524" t="s">
        <v>2586</v>
      </c>
      <c r="D2524" t="s">
        <v>697</v>
      </c>
      <c r="E2524" t="s">
        <v>158</v>
      </c>
      <c r="F2524" t="s">
        <v>292</v>
      </c>
      <c r="G2524">
        <v>1</v>
      </c>
      <c r="H2524" s="21">
        <v>1076.78</v>
      </c>
      <c r="I2524">
        <v>10</v>
      </c>
      <c r="J2524" s="21">
        <v>107.68</v>
      </c>
      <c r="K2524">
        <v>12</v>
      </c>
      <c r="L2524" s="21">
        <v>116.29</v>
      </c>
      <c r="M2524" s="21">
        <v>1085.3900000000001</v>
      </c>
      <c r="N2524" s="21">
        <v>699.84</v>
      </c>
      <c r="O2524" s="21">
        <v>269.26</v>
      </c>
      <c r="P2524" t="s">
        <v>127</v>
      </c>
      <c r="Q2524" t="s">
        <v>122</v>
      </c>
      <c r="R2524" t="s">
        <v>151</v>
      </c>
      <c r="S2524" t="s">
        <v>1771</v>
      </c>
      <c r="T2524" t="s">
        <v>153</v>
      </c>
      <c r="U2524" t="s">
        <v>154</v>
      </c>
      <c r="V2524" t="str">
        <f>IFERROR(INDEX(Products!$C:$C,MATCH(D2524,Products!$A:$A,0)),"Unknown")</f>
        <v>Women Tops</v>
      </c>
      <c r="W2524" t="str">
        <f>IFERROR(INDEX(Products!$E:$E,MATCH(D2524,Products!$A:$A,0)),"Unknown")</f>
        <v>Nalli Silks</v>
      </c>
      <c r="X2524" t="str">
        <f>IFERROR(INDEX(Stores!$B:$B,MATCH(E2524,Stores!$A:$A,0)),"Unknown")</f>
        <v>TrendMart Tirunelveli High Street</v>
      </c>
      <c r="Y2524" t="str">
        <f>IFERROR(INDEX(Stores!$E:$E,MATCH(E2524,Stores!$A:$A,0)),"Unknown")</f>
        <v>South Zone 1</v>
      </c>
      <c r="Z2524" t="str">
        <f>IFERROR(INDEX(Customers!$J:$J,MATCH(C2524,Customers!$A:$A,0)),"Unknown")</f>
        <v>Regular</v>
      </c>
      <c r="AA2524" t="str">
        <f t="shared" si="39"/>
        <v>2024-07</v>
      </c>
      <c r="AB2524" t="str">
        <f>IFERROR(INDEX(Products!$I:$I,MATCH(D2524,Products!$A:$A,0)),"Unknown")</f>
        <v>SUP008</v>
      </c>
    </row>
    <row r="2525" spans="1:28" x14ac:dyDescent="0.25">
      <c r="A2525" t="s">
        <v>4572</v>
      </c>
      <c r="B2525" s="20">
        <v>45618</v>
      </c>
      <c r="C2525" t="s">
        <v>2550</v>
      </c>
      <c r="D2525" t="s">
        <v>199</v>
      </c>
      <c r="E2525" t="s">
        <v>701</v>
      </c>
      <c r="F2525" t="s">
        <v>335</v>
      </c>
      <c r="G2525">
        <v>1</v>
      </c>
      <c r="H2525" s="21">
        <v>864.53</v>
      </c>
      <c r="I2525">
        <v>10</v>
      </c>
      <c r="J2525" s="21">
        <v>86.45</v>
      </c>
      <c r="K2525">
        <v>5</v>
      </c>
      <c r="L2525" s="21">
        <v>38.9</v>
      </c>
      <c r="M2525" s="21">
        <v>816.98</v>
      </c>
      <c r="N2525" s="21">
        <v>488.6</v>
      </c>
      <c r="O2525" s="21">
        <v>289.48</v>
      </c>
      <c r="P2525" t="s">
        <v>125</v>
      </c>
      <c r="Q2525" t="s">
        <v>120</v>
      </c>
      <c r="R2525" t="s">
        <v>151</v>
      </c>
      <c r="S2525" t="s">
        <v>1737</v>
      </c>
      <c r="T2525" t="s">
        <v>153</v>
      </c>
      <c r="U2525" t="s">
        <v>154</v>
      </c>
      <c r="V2525" t="str">
        <f>IFERROR(INDEX(Products!$C:$C,MATCH(D2525,Products!$A:$A,0)),"Unknown")</f>
        <v>Accessories</v>
      </c>
      <c r="W2525" t="str">
        <f>IFERROR(INDEX(Products!$E:$E,MATCH(D2525,Products!$A:$A,0)),"Unknown")</f>
        <v>Arrow</v>
      </c>
      <c r="X2525" t="str">
        <f>IFERROR(INDEX(Stores!$B:$B,MATCH(E2525,Stores!$A:$A,0)),"Unknown")</f>
        <v>TrendMart Vijayawada Mall Kiosk</v>
      </c>
      <c r="Y2525" t="str">
        <f>IFERROR(INDEX(Stores!$E:$E,MATCH(E2525,Stores!$A:$A,0)),"Unknown")</f>
        <v>South Zone 3</v>
      </c>
      <c r="Z2525" t="str">
        <f>IFERROR(INDEX(Customers!$J:$J,MATCH(C2525,Customers!$A:$A,0)),"Unknown")</f>
        <v>Regular</v>
      </c>
      <c r="AA2525" t="str">
        <f t="shared" si="39"/>
        <v>2024-11</v>
      </c>
      <c r="AB2525" t="str">
        <f>IFERROR(INDEX(Products!$I:$I,MATCH(D2525,Products!$A:$A,0)),"Unknown")</f>
        <v>SUP018</v>
      </c>
    </row>
    <row r="2526" spans="1:28" x14ac:dyDescent="0.25">
      <c r="A2526" t="s">
        <v>4573</v>
      </c>
      <c r="B2526" s="20">
        <v>45598</v>
      </c>
      <c r="C2526" t="s">
        <v>4574</v>
      </c>
      <c r="D2526" t="s">
        <v>415</v>
      </c>
      <c r="E2526" t="s">
        <v>318</v>
      </c>
      <c r="F2526" t="s">
        <v>195</v>
      </c>
      <c r="G2526">
        <v>2</v>
      </c>
      <c r="H2526" s="21">
        <v>1594.18</v>
      </c>
      <c r="I2526">
        <v>0</v>
      </c>
      <c r="J2526" s="21">
        <v>0</v>
      </c>
      <c r="K2526">
        <v>12</v>
      </c>
      <c r="L2526" s="21">
        <v>382.6</v>
      </c>
      <c r="M2526" s="21">
        <v>3570.96</v>
      </c>
      <c r="N2526" s="21">
        <v>2094.96</v>
      </c>
      <c r="O2526" s="21">
        <v>1093.4000000000001</v>
      </c>
      <c r="P2526" t="s">
        <v>124</v>
      </c>
      <c r="Q2526" t="s">
        <v>120</v>
      </c>
      <c r="R2526" t="s">
        <v>151</v>
      </c>
      <c r="S2526" t="s">
        <v>920</v>
      </c>
      <c r="T2526" t="s">
        <v>161</v>
      </c>
      <c r="U2526" t="s">
        <v>154</v>
      </c>
      <c r="V2526" t="str">
        <f>IFERROR(INDEX(Products!$C:$C,MATCH(D2526,Products!$A:$A,0)),"Unknown")</f>
        <v>Women Jeans</v>
      </c>
      <c r="W2526" t="str">
        <f>IFERROR(INDEX(Products!$E:$E,MATCH(D2526,Products!$A:$A,0)),"Unknown")</f>
        <v>Killer Jeans</v>
      </c>
      <c r="X2526" t="str">
        <f>IFERROR(INDEX(Stores!$B:$B,MATCH(E2526,Stores!$A:$A,0)),"Unknown")</f>
        <v>TrendMart Guntur Outlet</v>
      </c>
      <c r="Y2526" t="str">
        <f>IFERROR(INDEX(Stores!$E:$E,MATCH(E2526,Stores!$A:$A,0)),"Unknown")</f>
        <v>South Zone 3</v>
      </c>
      <c r="Z2526" t="str">
        <f>IFERROR(INDEX(Customers!$J:$J,MATCH(C2526,Customers!$A:$A,0)),"Unknown")</f>
        <v>Silver</v>
      </c>
      <c r="AA2526" t="str">
        <f t="shared" si="39"/>
        <v>2024-11</v>
      </c>
      <c r="AB2526" t="str">
        <f>IFERROR(INDEX(Products!$I:$I,MATCH(D2526,Products!$A:$A,0)),"Unknown")</f>
        <v>SUP070</v>
      </c>
    </row>
    <row r="2527" spans="1:28" x14ac:dyDescent="0.25">
      <c r="A2527" t="s">
        <v>4575</v>
      </c>
      <c r="B2527" s="20">
        <v>45638</v>
      </c>
      <c r="C2527" t="s">
        <v>366</v>
      </c>
      <c r="D2527" t="s">
        <v>2633</v>
      </c>
      <c r="E2527" t="s">
        <v>241</v>
      </c>
      <c r="F2527" t="s">
        <v>550</v>
      </c>
      <c r="G2527">
        <v>2</v>
      </c>
      <c r="H2527" s="21">
        <v>1014.61</v>
      </c>
      <c r="I2527">
        <v>0</v>
      </c>
      <c r="J2527" s="21">
        <v>0</v>
      </c>
      <c r="K2527">
        <v>12</v>
      </c>
      <c r="L2527" s="21">
        <v>243.51</v>
      </c>
      <c r="M2527" s="21">
        <v>2272.73</v>
      </c>
      <c r="N2527" s="21">
        <v>1348.58</v>
      </c>
      <c r="O2527" s="21">
        <v>680.64</v>
      </c>
      <c r="P2527" t="s">
        <v>126</v>
      </c>
      <c r="Q2527" t="s">
        <v>120</v>
      </c>
      <c r="R2527" t="s">
        <v>151</v>
      </c>
      <c r="S2527" t="s">
        <v>1557</v>
      </c>
      <c r="T2527" t="s">
        <v>153</v>
      </c>
      <c r="U2527" t="s">
        <v>154</v>
      </c>
      <c r="V2527" t="str">
        <f>IFERROR(INDEX(Products!$C:$C,MATCH(D2527,Products!$A:$A,0)),"Unknown")</f>
        <v>Men Trousers</v>
      </c>
      <c r="W2527" t="str">
        <f>IFERROR(INDEX(Products!$E:$E,MATCH(D2527,Products!$A:$A,0)),"Unknown")</f>
        <v>Aurelia</v>
      </c>
      <c r="X2527" t="str">
        <f>IFERROR(INDEX(Stores!$B:$B,MATCH(E2527,Stores!$A:$A,0)),"Unknown")</f>
        <v>TrendMart Nizamabad Mall Kiosk</v>
      </c>
      <c r="Y2527" t="str">
        <f>IFERROR(INDEX(Stores!$E:$E,MATCH(E2527,Stores!$A:$A,0)),"Unknown")</f>
        <v>South Zone 2</v>
      </c>
      <c r="Z2527" t="str">
        <f>IFERROR(INDEX(Customers!$J:$J,MATCH(C2527,Customers!$A:$A,0)),"Unknown")</f>
        <v>Gold</v>
      </c>
      <c r="AA2527" t="str">
        <f t="shared" si="39"/>
        <v>2024-12</v>
      </c>
      <c r="AB2527" t="str">
        <f>IFERROR(INDEX(Products!$I:$I,MATCH(D2527,Products!$A:$A,0)),"Unknown")</f>
        <v>SUP031</v>
      </c>
    </row>
    <row r="2528" spans="1:28" x14ac:dyDescent="0.25">
      <c r="A2528" t="s">
        <v>4576</v>
      </c>
      <c r="B2528" s="20">
        <v>45561</v>
      </c>
      <c r="C2528" t="s">
        <v>1786</v>
      </c>
      <c r="D2528" t="s">
        <v>1178</v>
      </c>
      <c r="E2528" t="s">
        <v>226</v>
      </c>
      <c r="F2528" t="s">
        <v>532</v>
      </c>
      <c r="G2528">
        <v>1</v>
      </c>
      <c r="H2528" s="21">
        <v>1687.8</v>
      </c>
      <c r="I2528">
        <v>20</v>
      </c>
      <c r="J2528" s="21">
        <v>337.56</v>
      </c>
      <c r="K2528">
        <v>12</v>
      </c>
      <c r="L2528" s="21">
        <v>162.03</v>
      </c>
      <c r="M2528" s="21">
        <v>1512.27</v>
      </c>
      <c r="N2528" s="21">
        <v>1145.21</v>
      </c>
      <c r="O2528" s="21">
        <v>205.03</v>
      </c>
      <c r="P2528" t="s">
        <v>121</v>
      </c>
      <c r="Q2528" t="s">
        <v>122</v>
      </c>
      <c r="R2528" t="s">
        <v>151</v>
      </c>
      <c r="S2528" t="s">
        <v>444</v>
      </c>
      <c r="T2528" t="s">
        <v>153</v>
      </c>
      <c r="U2528" t="s">
        <v>154</v>
      </c>
      <c r="V2528" t="str">
        <f>IFERROR(INDEX(Products!$C:$C,MATCH(D2528,Products!$A:$A,0)),"Unknown")</f>
        <v>Footwear</v>
      </c>
      <c r="W2528" t="str">
        <f>IFERROR(INDEX(Products!$E:$E,MATCH(D2528,Products!$A:$A,0)),"Unknown")</f>
        <v>Sparx</v>
      </c>
      <c r="X2528" t="str">
        <f>IFERROR(INDEX(Stores!$B:$B,MATCH(E2528,Stores!$A:$A,0)),"Unknown")</f>
        <v>TrendMart Kurnool Standard</v>
      </c>
      <c r="Y2528" t="str">
        <f>IFERROR(INDEX(Stores!$E:$E,MATCH(E2528,Stores!$A:$A,0)),"Unknown")</f>
        <v>South Zone 3</v>
      </c>
      <c r="Z2528" t="str">
        <f>IFERROR(INDEX(Customers!$J:$J,MATCH(C2528,Customers!$A:$A,0)),"Unknown")</f>
        <v>Gold</v>
      </c>
      <c r="AA2528" t="str">
        <f t="shared" si="39"/>
        <v>2024-09</v>
      </c>
      <c r="AB2528" t="str">
        <f>IFERROR(INDEX(Products!$I:$I,MATCH(D2528,Products!$A:$A,0)),"Unknown")</f>
        <v>SUP063</v>
      </c>
    </row>
    <row r="2529" spans="1:28" x14ac:dyDescent="0.25">
      <c r="A2529" t="s">
        <v>4577</v>
      </c>
      <c r="B2529" s="20">
        <v>45574</v>
      </c>
      <c r="C2529" t="s">
        <v>797</v>
      </c>
      <c r="D2529" t="s">
        <v>1905</v>
      </c>
      <c r="E2529" t="s">
        <v>745</v>
      </c>
      <c r="F2529" t="s">
        <v>443</v>
      </c>
      <c r="G2529">
        <v>1</v>
      </c>
      <c r="H2529" s="21">
        <v>933.72</v>
      </c>
      <c r="I2529">
        <v>30</v>
      </c>
      <c r="J2529" s="21">
        <v>280.12</v>
      </c>
      <c r="K2529">
        <v>5</v>
      </c>
      <c r="L2529" s="21">
        <v>32.68</v>
      </c>
      <c r="M2529" s="21">
        <v>686.28</v>
      </c>
      <c r="N2529" s="21">
        <v>630.1</v>
      </c>
      <c r="O2529" s="21">
        <v>23.5</v>
      </c>
      <c r="P2529" t="s">
        <v>121</v>
      </c>
      <c r="Q2529" t="s">
        <v>120</v>
      </c>
      <c r="R2529" t="s">
        <v>151</v>
      </c>
      <c r="S2529" t="s">
        <v>212</v>
      </c>
      <c r="T2529" t="s">
        <v>153</v>
      </c>
      <c r="U2529" t="s">
        <v>154</v>
      </c>
      <c r="V2529" t="str">
        <f>IFERROR(INDEX(Products!$C:$C,MATCH(D2529,Products!$A:$A,0)),"Unknown")</f>
        <v>Sportswear</v>
      </c>
      <c r="W2529" t="str">
        <f>IFERROR(INDEX(Products!$E:$E,MATCH(D2529,Products!$A:$A,0)),"Unknown")</f>
        <v>Pantaloons</v>
      </c>
      <c r="X2529" t="str">
        <f>IFERROR(INDEX(Stores!$B:$B,MATCH(E2529,Stores!$A:$A,0)),"Unknown")</f>
        <v>TrendMart Thiruvananthapuram Outlet</v>
      </c>
      <c r="Y2529" t="str">
        <f>IFERROR(INDEX(Stores!$E:$E,MATCH(E2529,Stores!$A:$A,0)),"Unknown")</f>
        <v>South Zone 1</v>
      </c>
      <c r="Z2529" t="str">
        <f>IFERROR(INDEX(Customers!$J:$J,MATCH(C2529,Customers!$A:$A,0)),"Unknown")</f>
        <v>Platinum</v>
      </c>
      <c r="AA2529" t="str">
        <f t="shared" si="39"/>
        <v>2024-10</v>
      </c>
      <c r="AB2529" t="str">
        <f>IFERROR(INDEX(Products!$I:$I,MATCH(D2529,Products!$A:$A,0)),"Unknown")</f>
        <v>SUP062</v>
      </c>
    </row>
    <row r="2530" spans="1:28" x14ac:dyDescent="0.25">
      <c r="A2530" t="s">
        <v>4578</v>
      </c>
      <c r="B2530" s="20">
        <v>45589</v>
      </c>
      <c r="C2530" t="s">
        <v>3706</v>
      </c>
      <c r="D2530" t="s">
        <v>1073</v>
      </c>
      <c r="E2530" t="s">
        <v>231</v>
      </c>
      <c r="F2530" t="s">
        <v>258</v>
      </c>
      <c r="G2530">
        <v>2</v>
      </c>
      <c r="H2530" s="21">
        <v>3117.82</v>
      </c>
      <c r="I2530">
        <v>10</v>
      </c>
      <c r="J2530" s="21">
        <v>623.55999999999995</v>
      </c>
      <c r="K2530">
        <v>12</v>
      </c>
      <c r="L2530" s="21">
        <v>673.45</v>
      </c>
      <c r="M2530" s="21">
        <v>6285.53</v>
      </c>
      <c r="N2530" s="21">
        <v>4680.92</v>
      </c>
      <c r="O2530" s="21">
        <v>931.16</v>
      </c>
      <c r="P2530" t="s">
        <v>126</v>
      </c>
      <c r="Q2530" t="s">
        <v>120</v>
      </c>
      <c r="R2530" t="s">
        <v>151</v>
      </c>
      <c r="S2530" t="s">
        <v>2265</v>
      </c>
      <c r="T2530" t="s">
        <v>153</v>
      </c>
      <c r="U2530" t="s">
        <v>154</v>
      </c>
      <c r="V2530" t="str">
        <f>IFERROR(INDEX(Products!$C:$C,MATCH(D2530,Products!$A:$A,0)),"Unknown")</f>
        <v>Women Sarees</v>
      </c>
      <c r="W2530" t="str">
        <f>IFERROR(INDEX(Products!$E:$E,MATCH(D2530,Products!$A:$A,0)),"Unknown")</f>
        <v>W for Woman</v>
      </c>
      <c r="X2530" t="str">
        <f>IFERROR(INDEX(Stores!$B:$B,MATCH(E2530,Stores!$A:$A,0)),"Unknown")</f>
        <v>TrendMart Warangal Outlet</v>
      </c>
      <c r="Y2530" t="str">
        <f>IFERROR(INDEX(Stores!$E:$E,MATCH(E2530,Stores!$A:$A,0)),"Unknown")</f>
        <v>South Zone 2</v>
      </c>
      <c r="Z2530" t="str">
        <f>IFERROR(INDEX(Customers!$J:$J,MATCH(C2530,Customers!$A:$A,0)),"Unknown")</f>
        <v>Gold</v>
      </c>
      <c r="AA2530" t="str">
        <f t="shared" si="39"/>
        <v>2024-10</v>
      </c>
      <c r="AB2530" t="str">
        <f>IFERROR(INDEX(Products!$I:$I,MATCH(D2530,Products!$A:$A,0)),"Unknown")</f>
        <v>SUP012</v>
      </c>
    </row>
    <row r="2531" spans="1:28" x14ac:dyDescent="0.25">
      <c r="A2531" t="s">
        <v>4579</v>
      </c>
      <c r="B2531" s="20">
        <v>45436</v>
      </c>
      <c r="C2531" t="s">
        <v>4249</v>
      </c>
      <c r="D2531" t="s">
        <v>193</v>
      </c>
      <c r="E2531" t="s">
        <v>511</v>
      </c>
      <c r="F2531" t="s">
        <v>344</v>
      </c>
      <c r="G2531">
        <v>1</v>
      </c>
      <c r="H2531" s="21">
        <v>1419.31</v>
      </c>
      <c r="I2531">
        <v>10</v>
      </c>
      <c r="J2531" s="21">
        <v>141.93</v>
      </c>
      <c r="K2531">
        <v>12</v>
      </c>
      <c r="L2531" s="21">
        <v>153.29</v>
      </c>
      <c r="M2531" s="21">
        <v>1430.67</v>
      </c>
      <c r="N2531" s="21">
        <v>1067.72</v>
      </c>
      <c r="O2531" s="21">
        <v>209.66</v>
      </c>
      <c r="P2531" t="s">
        <v>126</v>
      </c>
      <c r="Q2531" t="s">
        <v>120</v>
      </c>
      <c r="R2531" t="s">
        <v>151</v>
      </c>
      <c r="S2531" t="s">
        <v>2898</v>
      </c>
      <c r="T2531" t="s">
        <v>153</v>
      </c>
      <c r="U2531" t="s">
        <v>154</v>
      </c>
      <c r="V2531" t="str">
        <f>IFERROR(INDEX(Products!$C:$C,MATCH(D2531,Products!$A:$A,0)),"Unknown")</f>
        <v>Men Jeans</v>
      </c>
      <c r="W2531" t="str">
        <f>IFERROR(INDEX(Products!$E:$E,MATCH(D2531,Products!$A:$A,0)),"Unknown")</f>
        <v>Metro Shoes</v>
      </c>
      <c r="X2531" t="str">
        <f>IFERROR(INDEX(Stores!$B:$B,MATCH(E2531,Stores!$A:$A,0)),"Unknown")</f>
        <v>TrendMart Khammam Standard</v>
      </c>
      <c r="Y2531" t="str">
        <f>IFERROR(INDEX(Stores!$E:$E,MATCH(E2531,Stores!$A:$A,0)),"Unknown")</f>
        <v>South Zone 2</v>
      </c>
      <c r="Z2531" t="str">
        <f>IFERROR(INDEX(Customers!$J:$J,MATCH(C2531,Customers!$A:$A,0)),"Unknown")</f>
        <v>Silver</v>
      </c>
      <c r="AA2531" t="str">
        <f t="shared" si="39"/>
        <v>2024-05</v>
      </c>
      <c r="AB2531" t="str">
        <f>IFERROR(INDEX(Products!$I:$I,MATCH(D2531,Products!$A:$A,0)),"Unknown")</f>
        <v>SUP059</v>
      </c>
    </row>
    <row r="2532" spans="1:28" x14ac:dyDescent="0.25">
      <c r="A2532" t="s">
        <v>4580</v>
      </c>
      <c r="B2532" s="20">
        <v>45552</v>
      </c>
      <c r="C2532" t="s">
        <v>909</v>
      </c>
      <c r="D2532" t="s">
        <v>717</v>
      </c>
      <c r="E2532" t="s">
        <v>1591</v>
      </c>
      <c r="F2532" t="s">
        <v>189</v>
      </c>
      <c r="G2532">
        <v>1</v>
      </c>
      <c r="H2532" s="21">
        <v>1712.55</v>
      </c>
      <c r="I2532">
        <v>0</v>
      </c>
      <c r="J2532" s="21">
        <v>0</v>
      </c>
      <c r="K2532">
        <v>12</v>
      </c>
      <c r="L2532" s="21">
        <v>205.51</v>
      </c>
      <c r="M2532" s="21">
        <v>1918.06</v>
      </c>
      <c r="N2532" s="21">
        <v>1133.27</v>
      </c>
      <c r="O2532" s="21">
        <v>579.28</v>
      </c>
      <c r="P2532" t="s">
        <v>123</v>
      </c>
      <c r="Q2532" t="s">
        <v>120</v>
      </c>
      <c r="R2532" t="s">
        <v>151</v>
      </c>
      <c r="S2532" t="s">
        <v>1829</v>
      </c>
      <c r="T2532" t="s">
        <v>153</v>
      </c>
      <c r="U2532" t="s">
        <v>154</v>
      </c>
      <c r="V2532" t="str">
        <f>IFERROR(INDEX(Products!$C:$C,MATCH(D2532,Products!$A:$A,0)),"Unknown")</f>
        <v>Women Dresses</v>
      </c>
      <c r="W2532" t="str">
        <f>IFERROR(INDEX(Products!$E:$E,MATCH(D2532,Products!$A:$A,0)),"Unknown")</f>
        <v>Pantaloons</v>
      </c>
      <c r="X2532" t="str">
        <f>IFERROR(INDEX(Stores!$B:$B,MATCH(E2532,Stores!$A:$A,0)),"Unknown")</f>
        <v>TrendMart Guntur Standard</v>
      </c>
      <c r="Y2532" t="str">
        <f>IFERROR(INDEX(Stores!$E:$E,MATCH(E2532,Stores!$A:$A,0)),"Unknown")</f>
        <v>South Zone 3</v>
      </c>
      <c r="Z2532" t="str">
        <f>IFERROR(INDEX(Customers!$J:$J,MATCH(C2532,Customers!$A:$A,0)),"Unknown")</f>
        <v>Regular</v>
      </c>
      <c r="AA2532" t="str">
        <f t="shared" si="39"/>
        <v>2024-09</v>
      </c>
      <c r="AB2532" t="str">
        <f>IFERROR(INDEX(Products!$I:$I,MATCH(D2532,Products!$A:$A,0)),"Unknown")</f>
        <v>SUP046</v>
      </c>
    </row>
    <row r="2533" spans="1:28" x14ac:dyDescent="0.25">
      <c r="A2533" t="s">
        <v>4581</v>
      </c>
      <c r="B2533" s="20">
        <v>45584</v>
      </c>
      <c r="C2533" t="s">
        <v>4582</v>
      </c>
      <c r="D2533" t="s">
        <v>1709</v>
      </c>
      <c r="E2533" t="s">
        <v>1141</v>
      </c>
      <c r="F2533" t="s">
        <v>253</v>
      </c>
      <c r="G2533">
        <v>4</v>
      </c>
      <c r="H2533" s="21">
        <v>505.26</v>
      </c>
      <c r="I2533">
        <v>10</v>
      </c>
      <c r="J2533" s="21">
        <v>202.1</v>
      </c>
      <c r="K2533">
        <v>5</v>
      </c>
      <c r="L2533" s="21">
        <v>90.95</v>
      </c>
      <c r="M2533" s="21">
        <v>1909.89</v>
      </c>
      <c r="N2533" s="21">
        <v>1309.44</v>
      </c>
      <c r="O2533" s="21">
        <v>509.5</v>
      </c>
      <c r="P2533" t="s">
        <v>124</v>
      </c>
      <c r="Q2533" t="s">
        <v>120</v>
      </c>
      <c r="R2533" t="s">
        <v>313</v>
      </c>
      <c r="S2533" t="s">
        <v>304</v>
      </c>
      <c r="T2533" t="s">
        <v>161</v>
      </c>
      <c r="U2533" t="s">
        <v>154</v>
      </c>
      <c r="V2533" t="str">
        <f>IFERROR(INDEX(Products!$C:$C,MATCH(D2533,Products!$A:$A,0)),"Unknown")</f>
        <v>Kids Wear</v>
      </c>
      <c r="W2533" t="str">
        <f>IFERROR(INDEX(Products!$E:$E,MATCH(D2533,Products!$A:$A,0)),"Unknown")</f>
        <v>Aurelia</v>
      </c>
      <c r="X2533" t="str">
        <f>IFERROR(INDEX(Stores!$B:$B,MATCH(E2533,Stores!$A:$A,0)),"Unknown")</f>
        <v>TrendMart Kochi Standard</v>
      </c>
      <c r="Y2533" t="str">
        <f>IFERROR(INDEX(Stores!$E:$E,MATCH(E2533,Stores!$A:$A,0)),"Unknown")</f>
        <v>South Zone 1</v>
      </c>
      <c r="Z2533" t="str">
        <f>IFERROR(INDEX(Customers!$J:$J,MATCH(C2533,Customers!$A:$A,0)),"Unknown")</f>
        <v>Regular</v>
      </c>
      <c r="AA2533" t="str">
        <f t="shared" si="39"/>
        <v>2024-10</v>
      </c>
      <c r="AB2533" t="str">
        <f>IFERROR(INDEX(Products!$I:$I,MATCH(D2533,Products!$A:$A,0)),"Unknown")</f>
        <v>SUP055</v>
      </c>
    </row>
    <row r="2534" spans="1:28" x14ac:dyDescent="0.25">
      <c r="A2534" t="s">
        <v>4583</v>
      </c>
      <c r="B2534" s="20">
        <v>45532</v>
      </c>
      <c r="C2534" t="s">
        <v>3668</v>
      </c>
      <c r="D2534" t="s">
        <v>1088</v>
      </c>
      <c r="E2534" t="s">
        <v>355</v>
      </c>
      <c r="F2534" t="s">
        <v>308</v>
      </c>
      <c r="G2534">
        <v>3</v>
      </c>
      <c r="H2534" s="21">
        <v>845.87</v>
      </c>
      <c r="I2534">
        <v>25</v>
      </c>
      <c r="J2534" s="21">
        <v>634.4</v>
      </c>
      <c r="K2534">
        <v>5</v>
      </c>
      <c r="L2534" s="21">
        <v>95.16</v>
      </c>
      <c r="M2534" s="21">
        <v>1998.37</v>
      </c>
      <c r="N2534" s="21">
        <v>1797.84</v>
      </c>
      <c r="O2534" s="21">
        <v>105.37</v>
      </c>
      <c r="P2534" t="s">
        <v>123</v>
      </c>
      <c r="Q2534" t="s">
        <v>122</v>
      </c>
      <c r="R2534" t="s">
        <v>151</v>
      </c>
      <c r="S2534" t="s">
        <v>631</v>
      </c>
      <c r="T2534" t="s">
        <v>153</v>
      </c>
      <c r="U2534" t="s">
        <v>154</v>
      </c>
      <c r="V2534" t="str">
        <f>IFERROR(INDEX(Products!$C:$C,MATCH(D2534,Products!$A:$A,0)),"Unknown")</f>
        <v>Women Kurtis</v>
      </c>
      <c r="W2534" t="str">
        <f>IFERROR(INDEX(Products!$E:$E,MATCH(D2534,Products!$A:$A,0)),"Unknown")</f>
        <v>Metro Shoes</v>
      </c>
      <c r="X2534" t="str">
        <f>IFERROR(INDEX(Stores!$B:$B,MATCH(E2534,Stores!$A:$A,0)),"Unknown")</f>
        <v>TrendMart Thiruvananthapuram High Street</v>
      </c>
      <c r="Y2534" t="str">
        <f>IFERROR(INDEX(Stores!$E:$E,MATCH(E2534,Stores!$A:$A,0)),"Unknown")</f>
        <v>South Zone 1</v>
      </c>
      <c r="Z2534" t="str">
        <f>IFERROR(INDEX(Customers!$J:$J,MATCH(C2534,Customers!$A:$A,0)),"Unknown")</f>
        <v>Platinum</v>
      </c>
      <c r="AA2534" t="str">
        <f t="shared" si="39"/>
        <v>2024-08</v>
      </c>
      <c r="AB2534" t="str">
        <f>IFERROR(INDEX(Products!$I:$I,MATCH(D2534,Products!$A:$A,0)),"Unknown")</f>
        <v>SUP045</v>
      </c>
    </row>
    <row r="2535" spans="1:28" x14ac:dyDescent="0.25">
      <c r="A2535" t="s">
        <v>4584</v>
      </c>
      <c r="B2535" s="20">
        <v>45526</v>
      </c>
      <c r="C2535" t="s">
        <v>4002</v>
      </c>
      <c r="D2535" t="s">
        <v>888</v>
      </c>
      <c r="E2535" t="s">
        <v>425</v>
      </c>
      <c r="F2535" t="s">
        <v>618</v>
      </c>
      <c r="G2535">
        <v>2</v>
      </c>
      <c r="H2535" s="21">
        <v>6245.21</v>
      </c>
      <c r="I2535">
        <v>0</v>
      </c>
      <c r="J2535" s="21">
        <v>0</v>
      </c>
      <c r="K2535">
        <v>3</v>
      </c>
      <c r="L2535" s="21">
        <v>374.71</v>
      </c>
      <c r="M2535" s="21">
        <v>12865.13</v>
      </c>
      <c r="N2535" s="21">
        <v>9525.52</v>
      </c>
      <c r="O2535" s="21">
        <v>2964.9</v>
      </c>
      <c r="P2535" t="s">
        <v>124</v>
      </c>
      <c r="Q2535" t="s">
        <v>122</v>
      </c>
      <c r="R2535" t="s">
        <v>151</v>
      </c>
      <c r="S2535" t="s">
        <v>3462</v>
      </c>
      <c r="T2535" t="s">
        <v>153</v>
      </c>
      <c r="U2535" t="s">
        <v>154</v>
      </c>
      <c r="V2535" t="str">
        <f>IFERROR(INDEX(Products!$C:$C,MATCH(D2535,Products!$A:$A,0)),"Unknown")</f>
        <v>Jewellery</v>
      </c>
      <c r="W2535" t="str">
        <f>IFERROR(INDEX(Products!$E:$E,MATCH(D2535,Products!$A:$A,0)),"Unknown")</f>
        <v>Aurelia</v>
      </c>
      <c r="X2535" t="str">
        <f>IFERROR(INDEX(Stores!$B:$B,MATCH(E2535,Stores!$A:$A,0)),"Unknown")</f>
        <v>TrendMart Kozhikode Outlet</v>
      </c>
      <c r="Y2535" t="str">
        <f>IFERROR(INDEX(Stores!$E:$E,MATCH(E2535,Stores!$A:$A,0)),"Unknown")</f>
        <v>South Zone 1</v>
      </c>
      <c r="Z2535" t="str">
        <f>IFERROR(INDEX(Customers!$J:$J,MATCH(C2535,Customers!$A:$A,0)),"Unknown")</f>
        <v>Gold</v>
      </c>
      <c r="AA2535" t="str">
        <f t="shared" si="39"/>
        <v>2024-08</v>
      </c>
      <c r="AB2535" t="str">
        <f>IFERROR(INDEX(Products!$I:$I,MATCH(D2535,Products!$A:$A,0)),"Unknown")</f>
        <v>SUP038</v>
      </c>
    </row>
    <row r="2536" spans="1:28" x14ac:dyDescent="0.25">
      <c r="A2536" t="s">
        <v>4585</v>
      </c>
      <c r="B2536" s="20">
        <v>45433</v>
      </c>
      <c r="C2536" t="s">
        <v>2791</v>
      </c>
      <c r="D2536" t="s">
        <v>236</v>
      </c>
      <c r="E2536" t="s">
        <v>247</v>
      </c>
      <c r="F2536" t="s">
        <v>201</v>
      </c>
      <c r="G2536">
        <v>2</v>
      </c>
      <c r="H2536" s="21">
        <v>789.58</v>
      </c>
      <c r="I2536">
        <v>10</v>
      </c>
      <c r="J2536" s="21">
        <v>157.91999999999999</v>
      </c>
      <c r="K2536">
        <v>5</v>
      </c>
      <c r="L2536" s="21">
        <v>71.06</v>
      </c>
      <c r="M2536" s="21">
        <v>1492.3</v>
      </c>
      <c r="N2536" s="21">
        <v>1100.02</v>
      </c>
      <c r="O2536" s="21">
        <v>321.22000000000003</v>
      </c>
      <c r="P2536" t="s">
        <v>125</v>
      </c>
      <c r="Q2536" t="s">
        <v>120</v>
      </c>
      <c r="R2536" t="s">
        <v>151</v>
      </c>
      <c r="S2536" t="s">
        <v>614</v>
      </c>
      <c r="T2536" t="s">
        <v>153</v>
      </c>
      <c r="U2536" t="s">
        <v>154</v>
      </c>
      <c r="V2536" t="str">
        <f>IFERROR(INDEX(Products!$C:$C,MATCH(D2536,Products!$A:$A,0)),"Unknown")</f>
        <v>Women Tops</v>
      </c>
      <c r="W2536" t="str">
        <f>IFERROR(INDEX(Products!$E:$E,MATCH(D2536,Products!$A:$A,0)),"Unknown")</f>
        <v>Nike</v>
      </c>
      <c r="X2536" t="str">
        <f>IFERROR(INDEX(Stores!$B:$B,MATCH(E2536,Stores!$A:$A,0)),"Unknown")</f>
        <v>TrendMart Tirupati Outlet</v>
      </c>
      <c r="Y2536" t="str">
        <f>IFERROR(INDEX(Stores!$E:$E,MATCH(E2536,Stores!$A:$A,0)),"Unknown")</f>
        <v>South Zone 3</v>
      </c>
      <c r="Z2536" t="str">
        <f>IFERROR(INDEX(Customers!$J:$J,MATCH(C2536,Customers!$A:$A,0)),"Unknown")</f>
        <v>Silver</v>
      </c>
      <c r="AA2536" t="str">
        <f t="shared" si="39"/>
        <v>2024-05</v>
      </c>
      <c r="AB2536" t="str">
        <f>IFERROR(INDEX(Products!$I:$I,MATCH(D2536,Products!$A:$A,0)),"Unknown")</f>
        <v>SUP075</v>
      </c>
    </row>
    <row r="2537" spans="1:28" x14ac:dyDescent="0.25">
      <c r="A2537" t="s">
        <v>4586</v>
      </c>
      <c r="B2537" s="20">
        <v>45653</v>
      </c>
      <c r="C2537" t="s">
        <v>2941</v>
      </c>
      <c r="D2537" t="s">
        <v>1026</v>
      </c>
      <c r="E2537" t="s">
        <v>84</v>
      </c>
      <c r="F2537" t="s">
        <v>618</v>
      </c>
      <c r="G2537">
        <v>3</v>
      </c>
      <c r="H2537" s="21">
        <v>1367.57</v>
      </c>
      <c r="I2537">
        <v>0</v>
      </c>
      <c r="J2537" s="21">
        <v>0</v>
      </c>
      <c r="K2537">
        <v>12</v>
      </c>
      <c r="L2537" s="21">
        <v>492.33</v>
      </c>
      <c r="M2537" s="21">
        <v>4595.04</v>
      </c>
      <c r="N2537" s="21">
        <v>2886.51</v>
      </c>
      <c r="O2537" s="21">
        <v>1216.2</v>
      </c>
      <c r="P2537" t="s">
        <v>123</v>
      </c>
      <c r="Q2537" t="s">
        <v>120</v>
      </c>
      <c r="R2537" t="s">
        <v>151</v>
      </c>
      <c r="S2537" t="s">
        <v>512</v>
      </c>
      <c r="T2537" t="s">
        <v>153</v>
      </c>
      <c r="U2537" t="s">
        <v>154</v>
      </c>
      <c r="V2537" t="str">
        <f>IFERROR(INDEX(Products!$C:$C,MATCH(D2537,Products!$A:$A,0)),"Unknown")</f>
        <v>Women Sarees</v>
      </c>
      <c r="W2537" t="str">
        <f>IFERROR(INDEX(Products!$E:$E,MATCH(D2537,Products!$A:$A,0)),"Unknown")</f>
        <v>Spykar</v>
      </c>
      <c r="X2537" t="str">
        <f>IFERROR(INDEX(Stores!$B:$B,MATCH(E2537,Stores!$A:$A,0)),"Unknown")</f>
        <v>TrendMart Tirupati Standard</v>
      </c>
      <c r="Y2537" t="str">
        <f>IFERROR(INDEX(Stores!$E:$E,MATCH(E2537,Stores!$A:$A,0)),"Unknown")</f>
        <v>South Zone 3</v>
      </c>
      <c r="Z2537" t="str">
        <f>IFERROR(INDEX(Customers!$J:$J,MATCH(C2537,Customers!$A:$A,0)),"Unknown")</f>
        <v>Silver</v>
      </c>
      <c r="AA2537" t="str">
        <f t="shared" si="39"/>
        <v>2024-12</v>
      </c>
      <c r="AB2537" t="str">
        <f>IFERROR(INDEX(Products!$I:$I,MATCH(D2537,Products!$A:$A,0)),"Unknown")</f>
        <v>SUP001</v>
      </c>
    </row>
    <row r="2538" spans="1:28" x14ac:dyDescent="0.25">
      <c r="A2538" t="s">
        <v>4587</v>
      </c>
      <c r="B2538" s="20">
        <v>45622</v>
      </c>
      <c r="C2538" t="s">
        <v>2793</v>
      </c>
      <c r="D2538" t="s">
        <v>225</v>
      </c>
      <c r="E2538" t="s">
        <v>617</v>
      </c>
      <c r="F2538" t="s">
        <v>335</v>
      </c>
      <c r="G2538">
        <v>1</v>
      </c>
      <c r="H2538" s="21">
        <v>1742.37</v>
      </c>
      <c r="I2538">
        <v>20</v>
      </c>
      <c r="J2538" s="21">
        <v>348.47</v>
      </c>
      <c r="K2538">
        <v>12</v>
      </c>
      <c r="L2538" s="21">
        <v>167.27</v>
      </c>
      <c r="M2538" s="21">
        <v>1561.17</v>
      </c>
      <c r="N2538" s="21">
        <v>1407.33</v>
      </c>
      <c r="O2538" s="21">
        <v>-13.43</v>
      </c>
      <c r="P2538" t="s">
        <v>121</v>
      </c>
      <c r="Q2538" t="s">
        <v>122</v>
      </c>
      <c r="R2538" t="s">
        <v>151</v>
      </c>
      <c r="S2538" t="s">
        <v>3199</v>
      </c>
      <c r="T2538" t="s">
        <v>153</v>
      </c>
      <c r="U2538" t="s">
        <v>184</v>
      </c>
      <c r="V2538" t="str">
        <f>IFERROR(INDEX(Products!$C:$C,MATCH(D2538,Products!$A:$A,0)),"Unknown")</f>
        <v>Women Dresses</v>
      </c>
      <c r="W2538" t="str">
        <f>IFERROR(INDEX(Products!$E:$E,MATCH(D2538,Products!$A:$A,0)),"Unknown")</f>
        <v>Tanishq</v>
      </c>
      <c r="X2538" t="str">
        <f>IFERROR(INDEX(Stores!$B:$B,MATCH(E2538,Stores!$A:$A,0)),"Unknown")</f>
        <v>TrendMart Mangaluru High Street</v>
      </c>
      <c r="Y2538" t="str">
        <f>IFERROR(INDEX(Stores!$E:$E,MATCH(E2538,Stores!$A:$A,0)),"Unknown")</f>
        <v>South Zone 2</v>
      </c>
      <c r="Z2538" t="str">
        <f>IFERROR(INDEX(Customers!$J:$J,MATCH(C2538,Customers!$A:$A,0)),"Unknown")</f>
        <v>Platinum</v>
      </c>
      <c r="AA2538" t="str">
        <f t="shared" si="39"/>
        <v>2024-11</v>
      </c>
      <c r="AB2538" t="str">
        <f>IFERROR(INDEX(Products!$I:$I,MATCH(D2538,Products!$A:$A,0)),"Unknown")</f>
        <v>SUP063</v>
      </c>
    </row>
    <row r="2539" spans="1:28" x14ac:dyDescent="0.25">
      <c r="A2539" t="s">
        <v>4588</v>
      </c>
      <c r="B2539" s="20">
        <v>45582</v>
      </c>
      <c r="C2539" t="s">
        <v>509</v>
      </c>
      <c r="D2539" t="s">
        <v>1972</v>
      </c>
      <c r="E2539" t="s">
        <v>425</v>
      </c>
      <c r="F2539" t="s">
        <v>434</v>
      </c>
      <c r="G2539">
        <v>2</v>
      </c>
      <c r="H2539" s="21">
        <v>1000.72</v>
      </c>
      <c r="I2539">
        <v>5</v>
      </c>
      <c r="J2539" s="21">
        <v>100.07</v>
      </c>
      <c r="K2539">
        <v>12</v>
      </c>
      <c r="L2539" s="21">
        <v>228.16</v>
      </c>
      <c r="M2539" s="21">
        <v>2129.5300000000002</v>
      </c>
      <c r="N2539" s="21">
        <v>1444.8</v>
      </c>
      <c r="O2539" s="21">
        <v>456.57</v>
      </c>
      <c r="P2539" t="s">
        <v>125</v>
      </c>
      <c r="Q2539" t="s">
        <v>122</v>
      </c>
      <c r="R2539" t="s">
        <v>151</v>
      </c>
      <c r="S2539" t="s">
        <v>1307</v>
      </c>
      <c r="T2539" t="s">
        <v>153</v>
      </c>
      <c r="U2539" t="s">
        <v>154</v>
      </c>
      <c r="V2539" t="str">
        <f>IFERROR(INDEX(Products!$C:$C,MATCH(D2539,Products!$A:$A,0)),"Unknown")</f>
        <v>Women Jeans</v>
      </c>
      <c r="W2539" t="str">
        <f>IFERROR(INDEX(Products!$E:$E,MATCH(D2539,Products!$A:$A,0)),"Unknown")</f>
        <v>Spykar</v>
      </c>
      <c r="X2539" t="str">
        <f>IFERROR(INDEX(Stores!$B:$B,MATCH(E2539,Stores!$A:$A,0)),"Unknown")</f>
        <v>TrendMart Kozhikode Outlet</v>
      </c>
      <c r="Y2539" t="str">
        <f>IFERROR(INDEX(Stores!$E:$E,MATCH(E2539,Stores!$A:$A,0)),"Unknown")</f>
        <v>South Zone 1</v>
      </c>
      <c r="Z2539" t="str">
        <f>IFERROR(INDEX(Customers!$J:$J,MATCH(C2539,Customers!$A:$A,0)),"Unknown")</f>
        <v>Gold</v>
      </c>
      <c r="AA2539" t="str">
        <f t="shared" si="39"/>
        <v>2024-10</v>
      </c>
      <c r="AB2539" t="str">
        <f>IFERROR(INDEX(Products!$I:$I,MATCH(D2539,Products!$A:$A,0)),"Unknown")</f>
        <v>SUP087</v>
      </c>
    </row>
    <row r="2540" spans="1:28" x14ac:dyDescent="0.25">
      <c r="A2540" t="s">
        <v>4589</v>
      </c>
      <c r="B2540" s="20">
        <v>45738</v>
      </c>
      <c r="C2540" t="s">
        <v>1559</v>
      </c>
      <c r="D2540" t="s">
        <v>792</v>
      </c>
      <c r="E2540" t="s">
        <v>396</v>
      </c>
      <c r="F2540" t="s">
        <v>550</v>
      </c>
      <c r="G2540">
        <v>1</v>
      </c>
      <c r="H2540" s="21">
        <v>1216.25</v>
      </c>
      <c r="I2540">
        <v>10</v>
      </c>
      <c r="J2540" s="21">
        <v>121.62</v>
      </c>
      <c r="K2540">
        <v>12</v>
      </c>
      <c r="L2540" s="21">
        <v>131.36000000000001</v>
      </c>
      <c r="M2540" s="21">
        <v>1225.99</v>
      </c>
      <c r="N2540" s="21">
        <v>737.35</v>
      </c>
      <c r="O2540" s="21">
        <v>357.28</v>
      </c>
      <c r="P2540" t="s">
        <v>121</v>
      </c>
      <c r="Q2540" t="s">
        <v>122</v>
      </c>
      <c r="R2540" t="s">
        <v>151</v>
      </c>
      <c r="S2540" t="s">
        <v>1948</v>
      </c>
      <c r="T2540" t="s">
        <v>161</v>
      </c>
      <c r="U2540" t="s">
        <v>154</v>
      </c>
      <c r="V2540" t="str">
        <f>IFERROR(INDEX(Products!$C:$C,MATCH(D2540,Products!$A:$A,0)),"Unknown")</f>
        <v>Belts</v>
      </c>
      <c r="W2540" t="str">
        <f>IFERROR(INDEX(Products!$E:$E,MATCH(D2540,Products!$A:$A,0)),"Unknown")</f>
        <v>Wrangler</v>
      </c>
      <c r="X2540" t="str">
        <f>IFERROR(INDEX(Stores!$B:$B,MATCH(E2540,Stores!$A:$A,0)),"Unknown")</f>
        <v>TrendMart Davanagere High Street</v>
      </c>
      <c r="Y2540" t="str">
        <f>IFERROR(INDEX(Stores!$E:$E,MATCH(E2540,Stores!$A:$A,0)),"Unknown")</f>
        <v>South Zone 2</v>
      </c>
      <c r="Z2540" t="str">
        <f>IFERROR(INDEX(Customers!$J:$J,MATCH(C2540,Customers!$A:$A,0)),"Unknown")</f>
        <v>Regular</v>
      </c>
      <c r="AA2540" t="str">
        <f t="shared" si="39"/>
        <v>2025-03</v>
      </c>
      <c r="AB2540" t="str">
        <f>IFERROR(INDEX(Products!$I:$I,MATCH(D2540,Products!$A:$A,0)),"Unknown")</f>
        <v>SUP004</v>
      </c>
    </row>
    <row r="2541" spans="1:28" x14ac:dyDescent="0.25">
      <c r="A2541" t="s">
        <v>4590</v>
      </c>
      <c r="B2541" s="20">
        <v>45616</v>
      </c>
      <c r="C2541" t="s">
        <v>156</v>
      </c>
      <c r="D2541" t="s">
        <v>2699</v>
      </c>
      <c r="E2541" t="s">
        <v>88</v>
      </c>
      <c r="F2541" t="s">
        <v>403</v>
      </c>
      <c r="G2541">
        <v>1</v>
      </c>
      <c r="H2541" s="21">
        <v>1217.6300000000001</v>
      </c>
      <c r="I2541">
        <v>10</v>
      </c>
      <c r="J2541" s="21">
        <v>121.76</v>
      </c>
      <c r="K2541">
        <v>12</v>
      </c>
      <c r="L2541" s="21">
        <v>131.5</v>
      </c>
      <c r="M2541" s="21">
        <v>1227.3699999999999</v>
      </c>
      <c r="N2541" s="21">
        <v>859.94</v>
      </c>
      <c r="O2541" s="21">
        <v>235.93</v>
      </c>
      <c r="P2541" t="s">
        <v>126</v>
      </c>
      <c r="Q2541" t="s">
        <v>120</v>
      </c>
      <c r="R2541" t="s">
        <v>151</v>
      </c>
      <c r="S2541" t="s">
        <v>614</v>
      </c>
      <c r="T2541" t="s">
        <v>153</v>
      </c>
      <c r="U2541" t="s">
        <v>154</v>
      </c>
      <c r="V2541" t="str">
        <f>IFERROR(INDEX(Products!$C:$C,MATCH(D2541,Products!$A:$A,0)),"Unknown")</f>
        <v>Women Kurtis</v>
      </c>
      <c r="W2541" t="str">
        <f>IFERROR(INDEX(Products!$E:$E,MATCH(D2541,Products!$A:$A,0)),"Unknown")</f>
        <v>Liberty</v>
      </c>
      <c r="X2541" t="str">
        <f>IFERROR(INDEX(Stores!$B:$B,MATCH(E2541,Stores!$A:$A,0)),"Unknown")</f>
        <v>TrendMart Kozhikode Mall Kiosk</v>
      </c>
      <c r="Y2541" t="str">
        <f>IFERROR(INDEX(Stores!$E:$E,MATCH(E2541,Stores!$A:$A,0)),"Unknown")</f>
        <v>South Zone 1</v>
      </c>
      <c r="Z2541" t="str">
        <f>IFERROR(INDEX(Customers!$J:$J,MATCH(C2541,Customers!$A:$A,0)),"Unknown")</f>
        <v>Regular</v>
      </c>
      <c r="AA2541" t="str">
        <f t="shared" si="39"/>
        <v>2024-11</v>
      </c>
      <c r="AB2541" t="str">
        <f>IFERROR(INDEX(Products!$I:$I,MATCH(D2541,Products!$A:$A,0)),"Unknown")</f>
        <v>SUP003</v>
      </c>
    </row>
    <row r="2542" spans="1:28" x14ac:dyDescent="0.25">
      <c r="A2542" t="s">
        <v>4591</v>
      </c>
      <c r="B2542" s="20">
        <v>45454</v>
      </c>
      <c r="C2542" t="s">
        <v>1793</v>
      </c>
      <c r="D2542" t="s">
        <v>169</v>
      </c>
      <c r="E2542" t="s">
        <v>82</v>
      </c>
      <c r="F2542" t="s">
        <v>275</v>
      </c>
      <c r="G2542">
        <v>3</v>
      </c>
      <c r="H2542" s="21">
        <v>4729.41</v>
      </c>
      <c r="I2542">
        <v>10</v>
      </c>
      <c r="J2542" s="21">
        <v>1418.82</v>
      </c>
      <c r="K2542">
        <v>12</v>
      </c>
      <c r="L2542" s="21">
        <v>1532.33</v>
      </c>
      <c r="M2542" s="21">
        <v>14301.74</v>
      </c>
      <c r="N2542" s="21">
        <v>10112.4</v>
      </c>
      <c r="O2542" s="21">
        <v>2657.01</v>
      </c>
      <c r="P2542" t="s">
        <v>121</v>
      </c>
      <c r="Q2542" t="s">
        <v>120</v>
      </c>
      <c r="R2542" t="s">
        <v>151</v>
      </c>
      <c r="S2542" t="s">
        <v>1662</v>
      </c>
      <c r="T2542" t="s">
        <v>153</v>
      </c>
      <c r="U2542" t="s">
        <v>154</v>
      </c>
      <c r="V2542" t="str">
        <f>IFERROR(INDEX(Products!$C:$C,MATCH(D2542,Products!$A:$A,0)),"Unknown")</f>
        <v>Women Sarees</v>
      </c>
      <c r="W2542" t="str">
        <f>IFERROR(INDEX(Products!$E:$E,MATCH(D2542,Products!$A:$A,0)),"Unknown")</f>
        <v>Max Fashion</v>
      </c>
      <c r="X2542" t="str">
        <f>IFERROR(INDEX(Stores!$B:$B,MATCH(E2542,Stores!$A:$A,0)),"Unknown")</f>
        <v>TrendMart Kochi High Street</v>
      </c>
      <c r="Y2542" t="str">
        <f>IFERROR(INDEX(Stores!$E:$E,MATCH(E2542,Stores!$A:$A,0)),"Unknown")</f>
        <v>South Zone 1</v>
      </c>
      <c r="Z2542" t="str">
        <f>IFERROR(INDEX(Customers!$J:$J,MATCH(C2542,Customers!$A:$A,0)),"Unknown")</f>
        <v>Gold</v>
      </c>
      <c r="AA2542" t="str">
        <f t="shared" si="39"/>
        <v>2024-06</v>
      </c>
      <c r="AB2542" t="str">
        <f>IFERROR(INDEX(Products!$I:$I,MATCH(D2542,Products!$A:$A,0)),"Unknown")</f>
        <v>SUP084</v>
      </c>
    </row>
    <row r="2543" spans="1:28" x14ac:dyDescent="0.25">
      <c r="A2543" t="s">
        <v>4592</v>
      </c>
      <c r="B2543" s="20">
        <v>45585</v>
      </c>
      <c r="C2543" t="s">
        <v>1207</v>
      </c>
      <c r="D2543" t="s">
        <v>1016</v>
      </c>
      <c r="E2543" t="s">
        <v>806</v>
      </c>
      <c r="F2543" t="s">
        <v>189</v>
      </c>
      <c r="G2543">
        <v>2</v>
      </c>
      <c r="H2543" s="21">
        <v>5793.61</v>
      </c>
      <c r="I2543">
        <v>0</v>
      </c>
      <c r="J2543" s="21">
        <v>0</v>
      </c>
      <c r="K2543">
        <v>12</v>
      </c>
      <c r="L2543" s="21">
        <v>1390.47</v>
      </c>
      <c r="M2543" s="21">
        <v>12977.69</v>
      </c>
      <c r="N2543" s="21">
        <v>7324.74</v>
      </c>
      <c r="O2543" s="21">
        <v>4262.4799999999996</v>
      </c>
      <c r="P2543" t="s">
        <v>123</v>
      </c>
      <c r="Q2543" t="s">
        <v>120</v>
      </c>
      <c r="R2543" t="s">
        <v>151</v>
      </c>
      <c r="S2543" t="s">
        <v>2097</v>
      </c>
      <c r="T2543" t="s">
        <v>161</v>
      </c>
      <c r="U2543" t="s">
        <v>154</v>
      </c>
      <c r="V2543" t="str">
        <f>IFERROR(INDEX(Products!$C:$C,MATCH(D2543,Products!$A:$A,0)),"Unknown")</f>
        <v>Watches</v>
      </c>
      <c r="W2543" t="str">
        <f>IFERROR(INDEX(Products!$E:$E,MATCH(D2543,Products!$A:$A,0)),"Unknown")</f>
        <v>Pantaloons</v>
      </c>
      <c r="X2543" t="str">
        <f>IFERROR(INDEX(Stores!$B:$B,MATCH(E2543,Stores!$A:$A,0)),"Unknown")</f>
        <v>TrendMart Tirunelveli Flagship</v>
      </c>
      <c r="Y2543" t="str">
        <f>IFERROR(INDEX(Stores!$E:$E,MATCH(E2543,Stores!$A:$A,0)),"Unknown")</f>
        <v>South Zone 1</v>
      </c>
      <c r="Z2543" t="str">
        <f>IFERROR(INDEX(Customers!$J:$J,MATCH(C2543,Customers!$A:$A,0)),"Unknown")</f>
        <v>Silver</v>
      </c>
      <c r="AA2543" t="str">
        <f t="shared" si="39"/>
        <v>2024-10</v>
      </c>
      <c r="AB2543" t="str">
        <f>IFERROR(INDEX(Products!$I:$I,MATCH(D2543,Products!$A:$A,0)),"Unknown")</f>
        <v>SUP007</v>
      </c>
    </row>
    <row r="2544" spans="1:28" x14ac:dyDescent="0.25">
      <c r="A2544" t="s">
        <v>4593</v>
      </c>
      <c r="B2544" s="20">
        <v>45735</v>
      </c>
      <c r="C2544" t="s">
        <v>1291</v>
      </c>
      <c r="D2544" t="s">
        <v>536</v>
      </c>
      <c r="E2544" t="s">
        <v>1171</v>
      </c>
      <c r="F2544" t="s">
        <v>237</v>
      </c>
      <c r="G2544">
        <v>2</v>
      </c>
      <c r="H2544" s="21">
        <v>539.08000000000004</v>
      </c>
      <c r="I2544">
        <v>25</v>
      </c>
      <c r="J2544" s="21">
        <v>269.54000000000002</v>
      </c>
      <c r="K2544">
        <v>5</v>
      </c>
      <c r="L2544" s="21">
        <v>40.43</v>
      </c>
      <c r="M2544" s="21">
        <v>849.05</v>
      </c>
      <c r="N2544" s="21">
        <v>714.9</v>
      </c>
      <c r="O2544" s="21">
        <v>93.72</v>
      </c>
      <c r="P2544" t="s">
        <v>123</v>
      </c>
      <c r="Q2544" t="s">
        <v>120</v>
      </c>
      <c r="R2544" t="s">
        <v>151</v>
      </c>
      <c r="S2544" t="s">
        <v>4448</v>
      </c>
      <c r="T2544" t="s">
        <v>153</v>
      </c>
      <c r="U2544" t="s">
        <v>154</v>
      </c>
      <c r="V2544" t="str">
        <f>IFERROR(INDEX(Products!$C:$C,MATCH(D2544,Products!$A:$A,0)),"Unknown")</f>
        <v>Wallets</v>
      </c>
      <c r="W2544" t="str">
        <f>IFERROR(INDEX(Products!$E:$E,MATCH(D2544,Products!$A:$A,0)),"Unknown")</f>
        <v>Aurelia</v>
      </c>
      <c r="X2544" t="str">
        <f>IFERROR(INDEX(Stores!$B:$B,MATCH(E2544,Stores!$A:$A,0)),"Unknown")</f>
        <v>TrendMart Chennai Standard</v>
      </c>
      <c r="Y2544" t="str">
        <f>IFERROR(INDEX(Stores!$E:$E,MATCH(E2544,Stores!$A:$A,0)),"Unknown")</f>
        <v>South Zone 1</v>
      </c>
      <c r="Z2544" t="str">
        <f>IFERROR(INDEX(Customers!$J:$J,MATCH(C2544,Customers!$A:$A,0)),"Unknown")</f>
        <v>Gold</v>
      </c>
      <c r="AA2544" t="str">
        <f t="shared" si="39"/>
        <v>2025-03</v>
      </c>
      <c r="AB2544" t="str">
        <f>IFERROR(INDEX(Products!$I:$I,MATCH(D2544,Products!$A:$A,0)),"Unknown")</f>
        <v>SUP084</v>
      </c>
    </row>
    <row r="2545" spans="1:28" x14ac:dyDescent="0.25">
      <c r="A2545" t="s">
        <v>4594</v>
      </c>
      <c r="B2545" s="20">
        <v>45500</v>
      </c>
      <c r="C2545" t="s">
        <v>4595</v>
      </c>
      <c r="D2545" t="s">
        <v>433</v>
      </c>
      <c r="E2545" t="s">
        <v>85</v>
      </c>
      <c r="F2545" t="s">
        <v>462</v>
      </c>
      <c r="G2545">
        <v>1</v>
      </c>
      <c r="H2545" s="21">
        <v>954.26</v>
      </c>
      <c r="I2545">
        <v>10</v>
      </c>
      <c r="J2545" s="21">
        <v>95.43</v>
      </c>
      <c r="K2545">
        <v>5</v>
      </c>
      <c r="L2545" s="21">
        <v>42.94</v>
      </c>
      <c r="M2545" s="21">
        <v>901.77</v>
      </c>
      <c r="N2545" s="21">
        <v>573.09</v>
      </c>
      <c r="O2545" s="21">
        <v>285.74</v>
      </c>
      <c r="P2545" t="s">
        <v>124</v>
      </c>
      <c r="Q2545" t="s">
        <v>120</v>
      </c>
      <c r="R2545" t="s">
        <v>151</v>
      </c>
      <c r="S2545" t="s">
        <v>2238</v>
      </c>
      <c r="T2545" t="s">
        <v>161</v>
      </c>
      <c r="U2545" t="s">
        <v>154</v>
      </c>
      <c r="V2545" t="str">
        <f>IFERROR(INDEX(Products!$C:$C,MATCH(D2545,Products!$A:$A,0)),"Unknown")</f>
        <v>Women Kurtis</v>
      </c>
      <c r="W2545" t="str">
        <f>IFERROR(INDEX(Products!$E:$E,MATCH(D2545,Products!$A:$A,0)),"Unknown")</f>
        <v>Nike</v>
      </c>
      <c r="X2545" t="str">
        <f>IFERROR(INDEX(Stores!$B:$B,MATCH(E2545,Stores!$A:$A,0)),"Unknown")</f>
        <v>TrendMart Kalaburagi Mall Kiosk</v>
      </c>
      <c r="Y2545" t="str">
        <f>IFERROR(INDEX(Stores!$E:$E,MATCH(E2545,Stores!$A:$A,0)),"Unknown")</f>
        <v>South Zone 2</v>
      </c>
      <c r="Z2545" t="str">
        <f>IFERROR(INDEX(Customers!$J:$J,MATCH(C2545,Customers!$A:$A,0)),"Unknown")</f>
        <v>Platinum</v>
      </c>
      <c r="AA2545" t="str">
        <f t="shared" si="39"/>
        <v>2024-07</v>
      </c>
      <c r="AB2545" t="str">
        <f>IFERROR(INDEX(Products!$I:$I,MATCH(D2545,Products!$A:$A,0)),"Unknown")</f>
        <v>SUP012</v>
      </c>
    </row>
    <row r="2546" spans="1:28" x14ac:dyDescent="0.25">
      <c r="A2546" t="s">
        <v>4596</v>
      </c>
      <c r="B2546" s="20">
        <v>45508</v>
      </c>
      <c r="C2546" t="s">
        <v>990</v>
      </c>
      <c r="D2546" t="s">
        <v>193</v>
      </c>
      <c r="E2546" t="s">
        <v>806</v>
      </c>
      <c r="F2546" t="s">
        <v>269</v>
      </c>
      <c r="G2546">
        <v>1</v>
      </c>
      <c r="H2546" s="21">
        <v>1492.14</v>
      </c>
      <c r="I2546">
        <v>30</v>
      </c>
      <c r="J2546" s="21">
        <v>447.64</v>
      </c>
      <c r="K2546">
        <v>12</v>
      </c>
      <c r="L2546" s="21">
        <v>125.34</v>
      </c>
      <c r="M2546" s="21">
        <v>1169.8399999999999</v>
      </c>
      <c r="N2546" s="21">
        <v>1067.72</v>
      </c>
      <c r="O2546" s="21">
        <v>-23.22</v>
      </c>
      <c r="P2546" t="s">
        <v>121</v>
      </c>
      <c r="Q2546" t="s">
        <v>120</v>
      </c>
      <c r="R2546" t="s">
        <v>151</v>
      </c>
      <c r="S2546" t="s">
        <v>1075</v>
      </c>
      <c r="T2546" t="s">
        <v>161</v>
      </c>
      <c r="U2546" t="s">
        <v>184</v>
      </c>
      <c r="V2546" t="str">
        <f>IFERROR(INDEX(Products!$C:$C,MATCH(D2546,Products!$A:$A,0)),"Unknown")</f>
        <v>Men Jeans</v>
      </c>
      <c r="W2546" t="str">
        <f>IFERROR(INDEX(Products!$E:$E,MATCH(D2546,Products!$A:$A,0)),"Unknown")</f>
        <v>Metro Shoes</v>
      </c>
      <c r="X2546" t="str">
        <f>IFERROR(INDEX(Stores!$B:$B,MATCH(E2546,Stores!$A:$A,0)),"Unknown")</f>
        <v>TrendMart Tirunelveli Flagship</v>
      </c>
      <c r="Y2546" t="str">
        <f>IFERROR(INDEX(Stores!$E:$E,MATCH(E2546,Stores!$A:$A,0)),"Unknown")</f>
        <v>South Zone 1</v>
      </c>
      <c r="Z2546" t="str">
        <f>IFERROR(INDEX(Customers!$J:$J,MATCH(C2546,Customers!$A:$A,0)),"Unknown")</f>
        <v>Silver</v>
      </c>
      <c r="AA2546" t="str">
        <f t="shared" si="39"/>
        <v>2024-08</v>
      </c>
      <c r="AB2546" t="str">
        <f>IFERROR(INDEX(Products!$I:$I,MATCH(D2546,Products!$A:$A,0)),"Unknown")</f>
        <v>SUP059</v>
      </c>
    </row>
    <row r="2547" spans="1:28" x14ac:dyDescent="0.25">
      <c r="A2547" t="s">
        <v>4597</v>
      </c>
      <c r="B2547" s="20">
        <v>45593</v>
      </c>
      <c r="C2547" t="s">
        <v>4530</v>
      </c>
      <c r="D2547" t="s">
        <v>658</v>
      </c>
      <c r="E2547" t="s">
        <v>416</v>
      </c>
      <c r="F2547" t="s">
        <v>281</v>
      </c>
      <c r="G2547">
        <v>4</v>
      </c>
      <c r="H2547" s="21">
        <v>281.12</v>
      </c>
      <c r="I2547">
        <v>20</v>
      </c>
      <c r="J2547" s="21">
        <v>224.9</v>
      </c>
      <c r="K2547">
        <v>5</v>
      </c>
      <c r="L2547" s="21">
        <v>44.98</v>
      </c>
      <c r="M2547" s="21">
        <v>944.56</v>
      </c>
      <c r="N2547" s="21">
        <v>687.6</v>
      </c>
      <c r="O2547" s="21">
        <v>211.98</v>
      </c>
      <c r="P2547" t="s">
        <v>124</v>
      </c>
      <c r="Q2547" t="s">
        <v>120</v>
      </c>
      <c r="R2547" t="s">
        <v>151</v>
      </c>
      <c r="S2547" t="s">
        <v>1408</v>
      </c>
      <c r="T2547" t="s">
        <v>153</v>
      </c>
      <c r="U2547" t="s">
        <v>154</v>
      </c>
      <c r="V2547" t="str">
        <f>IFERROR(INDEX(Products!$C:$C,MATCH(D2547,Products!$A:$A,0)),"Unknown")</f>
        <v>Accessories</v>
      </c>
      <c r="W2547" t="str">
        <f>IFERROR(INDEX(Products!$E:$E,MATCH(D2547,Products!$A:$A,0)),"Unknown")</f>
        <v>Flying Machine</v>
      </c>
      <c r="X2547" t="str">
        <f>IFERROR(INDEX(Stores!$B:$B,MATCH(E2547,Stores!$A:$A,0)),"Unknown")</f>
        <v>TrendMart Dindigul Standard</v>
      </c>
      <c r="Y2547" t="str">
        <f>IFERROR(INDEX(Stores!$E:$E,MATCH(E2547,Stores!$A:$A,0)),"Unknown")</f>
        <v>South Zone 1</v>
      </c>
      <c r="Z2547" t="str">
        <f>IFERROR(INDEX(Customers!$J:$J,MATCH(C2547,Customers!$A:$A,0)),"Unknown")</f>
        <v>Gold</v>
      </c>
      <c r="AA2547" t="str">
        <f t="shared" si="39"/>
        <v>2024-10</v>
      </c>
      <c r="AB2547" t="str">
        <f>IFERROR(INDEX(Products!$I:$I,MATCH(D2547,Products!$A:$A,0)),"Unknown")</f>
        <v>SUP002</v>
      </c>
    </row>
    <row r="2548" spans="1:28" x14ac:dyDescent="0.25">
      <c r="A2548" t="s">
        <v>4598</v>
      </c>
      <c r="B2548" s="20">
        <v>45591</v>
      </c>
      <c r="C2548" t="s">
        <v>4599</v>
      </c>
      <c r="D2548" t="s">
        <v>854</v>
      </c>
      <c r="E2548" t="s">
        <v>927</v>
      </c>
      <c r="F2548" t="s">
        <v>308</v>
      </c>
      <c r="G2548">
        <v>1</v>
      </c>
      <c r="H2548" s="21">
        <v>1213.28</v>
      </c>
      <c r="I2548">
        <v>5</v>
      </c>
      <c r="J2548" s="21">
        <v>60.66</v>
      </c>
      <c r="K2548">
        <v>3</v>
      </c>
      <c r="L2548" s="21">
        <v>34.58</v>
      </c>
      <c r="M2548" s="21">
        <v>1187.2</v>
      </c>
      <c r="N2548" s="21">
        <v>954.04</v>
      </c>
      <c r="O2548" s="21">
        <v>198.58</v>
      </c>
      <c r="P2548" t="s">
        <v>126</v>
      </c>
      <c r="Q2548" t="s">
        <v>122</v>
      </c>
      <c r="R2548" t="s">
        <v>151</v>
      </c>
      <c r="S2548" t="s">
        <v>4092</v>
      </c>
      <c r="T2548" t="s">
        <v>161</v>
      </c>
      <c r="U2548" t="s">
        <v>154</v>
      </c>
      <c r="V2548" t="str">
        <f>IFERROR(INDEX(Products!$C:$C,MATCH(D2548,Products!$A:$A,0)),"Unknown")</f>
        <v>Jewellery</v>
      </c>
      <c r="W2548" t="str">
        <f>IFERROR(INDEX(Products!$E:$E,MATCH(D2548,Products!$A:$A,0)),"Unknown")</f>
        <v>W for Woman</v>
      </c>
      <c r="X2548" t="str">
        <f>IFERROR(INDEX(Stores!$B:$B,MATCH(E2548,Stores!$A:$A,0)),"Unknown")</f>
        <v>TrendMart Kochi Mall Kiosk</v>
      </c>
      <c r="Y2548" t="str">
        <f>IFERROR(INDEX(Stores!$E:$E,MATCH(E2548,Stores!$A:$A,0)),"Unknown")</f>
        <v>South Zone 1</v>
      </c>
      <c r="Z2548" t="str">
        <f>IFERROR(INDEX(Customers!$J:$J,MATCH(C2548,Customers!$A:$A,0)),"Unknown")</f>
        <v>Silver</v>
      </c>
      <c r="AA2548" t="str">
        <f t="shared" si="39"/>
        <v>2024-10</v>
      </c>
      <c r="AB2548" t="str">
        <f>IFERROR(INDEX(Products!$I:$I,MATCH(D2548,Products!$A:$A,0)),"Unknown")</f>
        <v>SUP006</v>
      </c>
    </row>
    <row r="2549" spans="1:28" x14ac:dyDescent="0.25">
      <c r="A2549" t="s">
        <v>4600</v>
      </c>
      <c r="B2549" s="20">
        <v>45577</v>
      </c>
      <c r="C2549" t="s">
        <v>4367</v>
      </c>
      <c r="D2549" t="s">
        <v>2264</v>
      </c>
      <c r="E2549" t="s">
        <v>999</v>
      </c>
      <c r="F2549" t="s">
        <v>242</v>
      </c>
      <c r="G2549">
        <v>1</v>
      </c>
      <c r="H2549" s="21">
        <v>1271.6600000000001</v>
      </c>
      <c r="I2549">
        <v>10</v>
      </c>
      <c r="J2549" s="21">
        <v>127.17</v>
      </c>
      <c r="K2549">
        <v>12</v>
      </c>
      <c r="L2549" s="21">
        <v>137.34</v>
      </c>
      <c r="M2549" s="21">
        <v>1281.83</v>
      </c>
      <c r="N2549" s="21">
        <v>753.73</v>
      </c>
      <c r="O2549" s="21">
        <v>390.76</v>
      </c>
      <c r="P2549" t="s">
        <v>123</v>
      </c>
      <c r="Q2549" t="s">
        <v>120</v>
      </c>
      <c r="R2549" t="s">
        <v>151</v>
      </c>
      <c r="S2549" t="s">
        <v>1416</v>
      </c>
      <c r="T2549" t="s">
        <v>161</v>
      </c>
      <c r="U2549" t="s">
        <v>154</v>
      </c>
      <c r="V2549" t="str">
        <f>IFERROR(INDEX(Products!$C:$C,MATCH(D2549,Products!$A:$A,0)),"Unknown")</f>
        <v>Belts</v>
      </c>
      <c r="W2549" t="str">
        <f>IFERROR(INDEX(Products!$E:$E,MATCH(D2549,Products!$A:$A,0)),"Unknown")</f>
        <v>Liberty</v>
      </c>
      <c r="X2549" t="str">
        <f>IFERROR(INDEX(Stores!$B:$B,MATCH(E2549,Stores!$A:$A,0)),"Unknown")</f>
        <v>TrendMart Tumakuru Standard</v>
      </c>
      <c r="Y2549" t="str">
        <f>IFERROR(INDEX(Stores!$E:$E,MATCH(E2549,Stores!$A:$A,0)),"Unknown")</f>
        <v>South Zone 2</v>
      </c>
      <c r="Z2549" t="str">
        <f>IFERROR(INDEX(Customers!$J:$J,MATCH(C2549,Customers!$A:$A,0)),"Unknown")</f>
        <v>Regular</v>
      </c>
      <c r="AA2549" t="str">
        <f t="shared" si="39"/>
        <v>2024-10</v>
      </c>
      <c r="AB2549" t="str">
        <f>IFERROR(INDEX(Products!$I:$I,MATCH(D2549,Products!$A:$A,0)),"Unknown")</f>
        <v>SUP063</v>
      </c>
    </row>
    <row r="2550" spans="1:28" x14ac:dyDescent="0.25">
      <c r="A2550" t="s">
        <v>4601</v>
      </c>
      <c r="B2550" s="20">
        <v>45620</v>
      </c>
      <c r="C2550" t="s">
        <v>2043</v>
      </c>
      <c r="D2550" t="s">
        <v>386</v>
      </c>
      <c r="E2550" t="s">
        <v>94</v>
      </c>
      <c r="F2550" t="s">
        <v>308</v>
      </c>
      <c r="G2550">
        <v>2</v>
      </c>
      <c r="H2550" s="21">
        <v>1468.65</v>
      </c>
      <c r="I2550">
        <v>25</v>
      </c>
      <c r="J2550" s="21">
        <v>734.33</v>
      </c>
      <c r="K2550">
        <v>12</v>
      </c>
      <c r="L2550" s="21">
        <v>264.36</v>
      </c>
      <c r="M2550" s="21">
        <v>2467.33</v>
      </c>
      <c r="N2550" s="21">
        <v>2026.52</v>
      </c>
      <c r="O2550" s="21">
        <v>176.45</v>
      </c>
      <c r="P2550" t="s">
        <v>126</v>
      </c>
      <c r="Q2550" t="s">
        <v>122</v>
      </c>
      <c r="R2550" t="s">
        <v>151</v>
      </c>
      <c r="S2550" t="s">
        <v>1826</v>
      </c>
      <c r="T2550" t="s">
        <v>161</v>
      </c>
      <c r="U2550" t="s">
        <v>154</v>
      </c>
      <c r="V2550" t="str">
        <f>IFERROR(INDEX(Products!$C:$C,MATCH(D2550,Products!$A:$A,0)),"Unknown")</f>
        <v>Winter Wear</v>
      </c>
      <c r="W2550" t="str">
        <f>IFERROR(INDEX(Products!$E:$E,MATCH(D2550,Products!$A:$A,0)),"Unknown")</f>
        <v>Blackberrys</v>
      </c>
      <c r="X2550" t="str">
        <f>IFERROR(INDEX(Stores!$B:$B,MATCH(E2550,Stores!$A:$A,0)),"Unknown")</f>
        <v>TrendMart Bengaluru Mall Kiosk</v>
      </c>
      <c r="Y2550" t="str">
        <f>IFERROR(INDEX(Stores!$E:$E,MATCH(E2550,Stores!$A:$A,0)),"Unknown")</f>
        <v>South Zone 2</v>
      </c>
      <c r="Z2550" t="str">
        <f>IFERROR(INDEX(Customers!$J:$J,MATCH(C2550,Customers!$A:$A,0)),"Unknown")</f>
        <v>Regular</v>
      </c>
      <c r="AA2550" t="str">
        <f t="shared" si="39"/>
        <v>2024-11</v>
      </c>
      <c r="AB2550" t="str">
        <f>IFERROR(INDEX(Products!$I:$I,MATCH(D2550,Products!$A:$A,0)),"Unknown")</f>
        <v>SUP051</v>
      </c>
    </row>
    <row r="2551" spans="1:28" x14ac:dyDescent="0.25">
      <c r="A2551" t="s">
        <v>4602</v>
      </c>
      <c r="B2551" s="20">
        <v>45563</v>
      </c>
      <c r="C2551" t="s">
        <v>446</v>
      </c>
      <c r="D2551" t="s">
        <v>937</v>
      </c>
      <c r="E2551" t="s">
        <v>343</v>
      </c>
      <c r="F2551" t="s">
        <v>344</v>
      </c>
      <c r="G2551">
        <v>4</v>
      </c>
      <c r="H2551" s="21">
        <v>1364.28</v>
      </c>
      <c r="I2551">
        <v>30</v>
      </c>
      <c r="J2551" s="21">
        <v>1637.14</v>
      </c>
      <c r="K2551">
        <v>12</v>
      </c>
      <c r="L2551" s="21">
        <v>458.4</v>
      </c>
      <c r="M2551" s="21">
        <v>4278.38</v>
      </c>
      <c r="N2551" s="21">
        <v>3447.2</v>
      </c>
      <c r="O2551" s="21">
        <v>372.78</v>
      </c>
      <c r="P2551" t="s">
        <v>124</v>
      </c>
      <c r="Q2551" t="s">
        <v>120</v>
      </c>
      <c r="R2551" t="s">
        <v>151</v>
      </c>
      <c r="S2551" t="s">
        <v>1217</v>
      </c>
      <c r="T2551" t="s">
        <v>161</v>
      </c>
      <c r="U2551" t="s">
        <v>154</v>
      </c>
      <c r="V2551" t="str">
        <f>IFERROR(INDEX(Products!$C:$C,MATCH(D2551,Products!$A:$A,0)),"Unknown")</f>
        <v>Men Shirts</v>
      </c>
      <c r="W2551" t="str">
        <f>IFERROR(INDEX(Products!$E:$E,MATCH(D2551,Products!$A:$A,0)),"Unknown")</f>
        <v>Skechers</v>
      </c>
      <c r="X2551" t="str">
        <f>IFERROR(INDEX(Stores!$B:$B,MATCH(E2551,Stores!$A:$A,0)),"Unknown")</f>
        <v>TrendMart Tumakuru Outlet</v>
      </c>
      <c r="Y2551" t="str">
        <f>IFERROR(INDEX(Stores!$E:$E,MATCH(E2551,Stores!$A:$A,0)),"Unknown")</f>
        <v>South Zone 2</v>
      </c>
      <c r="Z2551" t="str">
        <f>IFERROR(INDEX(Customers!$J:$J,MATCH(C2551,Customers!$A:$A,0)),"Unknown")</f>
        <v>Platinum</v>
      </c>
      <c r="AA2551" t="str">
        <f t="shared" si="39"/>
        <v>2024-09</v>
      </c>
      <c r="AB2551" t="str">
        <f>IFERROR(INDEX(Products!$I:$I,MATCH(D2551,Products!$A:$A,0)),"Unknown")</f>
        <v>SUP042</v>
      </c>
    </row>
    <row r="2552" spans="1:28" x14ac:dyDescent="0.25">
      <c r="A2552" t="s">
        <v>4603</v>
      </c>
      <c r="B2552" s="20">
        <v>45566</v>
      </c>
      <c r="C2552" t="s">
        <v>1786</v>
      </c>
      <c r="D2552" t="s">
        <v>2853</v>
      </c>
      <c r="E2552" t="s">
        <v>175</v>
      </c>
      <c r="F2552" t="s">
        <v>550</v>
      </c>
      <c r="G2552">
        <v>2</v>
      </c>
      <c r="H2552" s="21">
        <v>1238.22</v>
      </c>
      <c r="I2552">
        <v>5</v>
      </c>
      <c r="J2552" s="21">
        <v>123.82</v>
      </c>
      <c r="K2552">
        <v>12</v>
      </c>
      <c r="L2552" s="21">
        <v>282.31</v>
      </c>
      <c r="M2552" s="21">
        <v>2634.93</v>
      </c>
      <c r="N2552" s="21">
        <v>1596.92</v>
      </c>
      <c r="O2552" s="21">
        <v>755.7</v>
      </c>
      <c r="P2552" t="s">
        <v>127</v>
      </c>
      <c r="Q2552" t="s">
        <v>122</v>
      </c>
      <c r="R2552" t="s">
        <v>151</v>
      </c>
      <c r="S2552" t="s">
        <v>1636</v>
      </c>
      <c r="T2552" t="s">
        <v>153</v>
      </c>
      <c r="U2552" t="s">
        <v>154</v>
      </c>
      <c r="V2552" t="str">
        <f>IFERROR(INDEX(Products!$C:$C,MATCH(D2552,Products!$A:$A,0)),"Unknown")</f>
        <v>Men Trousers</v>
      </c>
      <c r="W2552" t="str">
        <f>IFERROR(INDEX(Products!$E:$E,MATCH(D2552,Products!$A:$A,0)),"Unknown")</f>
        <v>Arrow</v>
      </c>
      <c r="X2552" t="str">
        <f>IFERROR(INDEX(Stores!$B:$B,MATCH(E2552,Stores!$A:$A,0)),"Unknown")</f>
        <v>TrendMart Thoothukudi Flagship</v>
      </c>
      <c r="Y2552" t="str">
        <f>IFERROR(INDEX(Stores!$E:$E,MATCH(E2552,Stores!$A:$A,0)),"Unknown")</f>
        <v>South Zone 1</v>
      </c>
      <c r="Z2552" t="str">
        <f>IFERROR(INDEX(Customers!$J:$J,MATCH(C2552,Customers!$A:$A,0)),"Unknown")</f>
        <v>Gold</v>
      </c>
      <c r="AA2552" t="str">
        <f t="shared" si="39"/>
        <v>2024-10</v>
      </c>
      <c r="AB2552" t="str">
        <f>IFERROR(INDEX(Products!$I:$I,MATCH(D2552,Products!$A:$A,0)),"Unknown")</f>
        <v>SUP050</v>
      </c>
    </row>
    <row r="2553" spans="1:28" x14ac:dyDescent="0.25">
      <c r="A2553" t="s">
        <v>4604</v>
      </c>
      <c r="B2553" s="20">
        <v>45550</v>
      </c>
      <c r="C2553" t="s">
        <v>186</v>
      </c>
      <c r="D2553" t="s">
        <v>1590</v>
      </c>
      <c r="E2553" t="s">
        <v>334</v>
      </c>
      <c r="F2553" t="s">
        <v>579</v>
      </c>
      <c r="G2553">
        <v>1</v>
      </c>
      <c r="H2553" s="21">
        <v>473.85</v>
      </c>
      <c r="I2553">
        <v>30</v>
      </c>
      <c r="J2553" s="21">
        <v>142.16</v>
      </c>
      <c r="K2553">
        <v>5</v>
      </c>
      <c r="L2553" s="21">
        <v>16.579999999999998</v>
      </c>
      <c r="M2553" s="21">
        <v>348.27</v>
      </c>
      <c r="N2553" s="21">
        <v>337.09</v>
      </c>
      <c r="O2553" s="21">
        <v>-5.4</v>
      </c>
      <c r="P2553" t="s">
        <v>121</v>
      </c>
      <c r="Q2553" t="s">
        <v>120</v>
      </c>
      <c r="R2553" t="s">
        <v>151</v>
      </c>
      <c r="S2553" t="s">
        <v>1310</v>
      </c>
      <c r="T2553" t="s">
        <v>161</v>
      </c>
      <c r="U2553" t="s">
        <v>184</v>
      </c>
      <c r="V2553" t="str">
        <f>IFERROR(INDEX(Products!$C:$C,MATCH(D2553,Products!$A:$A,0)),"Unknown")</f>
        <v>Kids Wear</v>
      </c>
      <c r="W2553" t="str">
        <f>IFERROR(INDEX(Products!$E:$E,MATCH(D2553,Products!$A:$A,0)),"Unknown")</f>
        <v>Peter England</v>
      </c>
      <c r="X2553" t="str">
        <f>IFERROR(INDEX(Stores!$B:$B,MATCH(E2553,Stores!$A:$A,0)),"Unknown")</f>
        <v>TrendMart Madurai High Street</v>
      </c>
      <c r="Y2553" t="str">
        <f>IFERROR(INDEX(Stores!$E:$E,MATCH(E2553,Stores!$A:$A,0)),"Unknown")</f>
        <v>South Zone 1</v>
      </c>
      <c r="Z2553" t="str">
        <f>IFERROR(INDEX(Customers!$J:$J,MATCH(C2553,Customers!$A:$A,0)),"Unknown")</f>
        <v>Silver</v>
      </c>
      <c r="AA2553" t="str">
        <f t="shared" si="39"/>
        <v>2024-09</v>
      </c>
      <c r="AB2553" t="str">
        <f>IFERROR(INDEX(Products!$I:$I,MATCH(D2553,Products!$A:$A,0)),"Unknown")</f>
        <v>SUP065</v>
      </c>
    </row>
    <row r="2554" spans="1:28" x14ac:dyDescent="0.25">
      <c r="A2554" t="s">
        <v>4605</v>
      </c>
      <c r="B2554" s="20">
        <v>45486</v>
      </c>
      <c r="C2554" t="s">
        <v>1618</v>
      </c>
      <c r="D2554" t="s">
        <v>654</v>
      </c>
      <c r="E2554" t="s">
        <v>158</v>
      </c>
      <c r="F2554" t="s">
        <v>408</v>
      </c>
      <c r="G2554">
        <v>1</v>
      </c>
      <c r="H2554" s="21">
        <v>1224.48</v>
      </c>
      <c r="I2554">
        <v>15</v>
      </c>
      <c r="J2554" s="21">
        <v>183.67</v>
      </c>
      <c r="K2554">
        <v>12</v>
      </c>
      <c r="L2554" s="21">
        <v>124.9</v>
      </c>
      <c r="M2554" s="21">
        <v>1165.71</v>
      </c>
      <c r="N2554" s="21">
        <v>865.42</v>
      </c>
      <c r="O2554" s="21">
        <v>175.39</v>
      </c>
      <c r="P2554" t="s">
        <v>123</v>
      </c>
      <c r="Q2554" t="s">
        <v>122</v>
      </c>
      <c r="R2554" t="s">
        <v>151</v>
      </c>
      <c r="S2554" t="s">
        <v>3022</v>
      </c>
      <c r="T2554" t="s">
        <v>161</v>
      </c>
      <c r="U2554" t="s">
        <v>154</v>
      </c>
      <c r="V2554" t="str">
        <f>IFERROR(INDEX(Products!$C:$C,MATCH(D2554,Products!$A:$A,0)),"Unknown")</f>
        <v>Women Dresses</v>
      </c>
      <c r="W2554" t="str">
        <f>IFERROR(INDEX(Products!$E:$E,MATCH(D2554,Products!$A:$A,0)),"Unknown")</f>
        <v>Indian Terrain</v>
      </c>
      <c r="X2554" t="str">
        <f>IFERROR(INDEX(Stores!$B:$B,MATCH(E2554,Stores!$A:$A,0)),"Unknown")</f>
        <v>TrendMart Tirunelveli High Street</v>
      </c>
      <c r="Y2554" t="str">
        <f>IFERROR(INDEX(Stores!$E:$E,MATCH(E2554,Stores!$A:$A,0)),"Unknown")</f>
        <v>South Zone 1</v>
      </c>
      <c r="Z2554" t="str">
        <f>IFERROR(INDEX(Customers!$J:$J,MATCH(C2554,Customers!$A:$A,0)),"Unknown")</f>
        <v>Regular</v>
      </c>
      <c r="AA2554" t="str">
        <f t="shared" si="39"/>
        <v>2024-07</v>
      </c>
      <c r="AB2554" t="str">
        <f>IFERROR(INDEX(Products!$I:$I,MATCH(D2554,Products!$A:$A,0)),"Unknown")</f>
        <v>SUP049</v>
      </c>
    </row>
    <row r="2555" spans="1:28" x14ac:dyDescent="0.25">
      <c r="A2555" t="s">
        <v>4606</v>
      </c>
      <c r="B2555" s="20">
        <v>45401</v>
      </c>
      <c r="C2555" t="s">
        <v>3407</v>
      </c>
      <c r="D2555" t="s">
        <v>2699</v>
      </c>
      <c r="E2555" t="s">
        <v>1023</v>
      </c>
      <c r="F2555" t="s">
        <v>269</v>
      </c>
      <c r="G2555">
        <v>2</v>
      </c>
      <c r="H2555" s="21">
        <v>1151.21</v>
      </c>
      <c r="I2555">
        <v>15</v>
      </c>
      <c r="J2555" s="21">
        <v>345.36</v>
      </c>
      <c r="K2555">
        <v>12</v>
      </c>
      <c r="L2555" s="21">
        <v>234.85</v>
      </c>
      <c r="M2555" s="21">
        <v>2191.91</v>
      </c>
      <c r="N2555" s="21">
        <v>1719.88</v>
      </c>
      <c r="O2555" s="21">
        <v>237.18</v>
      </c>
      <c r="P2555" t="s">
        <v>121</v>
      </c>
      <c r="Q2555" t="s">
        <v>120</v>
      </c>
      <c r="R2555" t="s">
        <v>151</v>
      </c>
      <c r="S2555" t="s">
        <v>3328</v>
      </c>
      <c r="T2555" t="s">
        <v>153</v>
      </c>
      <c r="U2555" t="s">
        <v>154</v>
      </c>
      <c r="V2555" t="str">
        <f>IFERROR(INDEX(Products!$C:$C,MATCH(D2555,Products!$A:$A,0)),"Unknown")</f>
        <v>Women Kurtis</v>
      </c>
      <c r="W2555" t="str">
        <f>IFERROR(INDEX(Products!$E:$E,MATCH(D2555,Products!$A:$A,0)),"Unknown")</f>
        <v>Liberty</v>
      </c>
      <c r="X2555" t="str">
        <f>IFERROR(INDEX(Stores!$B:$B,MATCH(E2555,Stores!$A:$A,0)),"Unknown")</f>
        <v>TrendMart Kochi High Street</v>
      </c>
      <c r="Y2555" t="str">
        <f>IFERROR(INDEX(Stores!$E:$E,MATCH(E2555,Stores!$A:$A,0)),"Unknown")</f>
        <v>South Zone 1</v>
      </c>
      <c r="Z2555" t="str">
        <f>IFERROR(INDEX(Customers!$J:$J,MATCH(C2555,Customers!$A:$A,0)),"Unknown")</f>
        <v>Silver</v>
      </c>
      <c r="AA2555" t="str">
        <f t="shared" si="39"/>
        <v>2024-04</v>
      </c>
      <c r="AB2555" t="str">
        <f>IFERROR(INDEX(Products!$I:$I,MATCH(D2555,Products!$A:$A,0)),"Unknown")</f>
        <v>SUP003</v>
      </c>
    </row>
    <row r="2556" spans="1:28" x14ac:dyDescent="0.25">
      <c r="A2556" t="s">
        <v>4607</v>
      </c>
      <c r="B2556" s="20">
        <v>45507</v>
      </c>
      <c r="C2556" t="s">
        <v>3556</v>
      </c>
      <c r="D2556" t="s">
        <v>606</v>
      </c>
      <c r="E2556" t="s">
        <v>1281</v>
      </c>
      <c r="F2556" t="s">
        <v>242</v>
      </c>
      <c r="G2556">
        <v>1</v>
      </c>
      <c r="H2556" s="21">
        <v>1837.43</v>
      </c>
      <c r="I2556">
        <v>10</v>
      </c>
      <c r="J2556" s="21">
        <v>183.74</v>
      </c>
      <c r="K2556">
        <v>12</v>
      </c>
      <c r="L2556" s="21">
        <v>198.44</v>
      </c>
      <c r="M2556" s="21">
        <v>1852.13</v>
      </c>
      <c r="N2556" s="21">
        <v>1004.94</v>
      </c>
      <c r="O2556" s="21">
        <v>648.75</v>
      </c>
      <c r="P2556" t="s">
        <v>126</v>
      </c>
      <c r="Q2556" t="s">
        <v>120</v>
      </c>
      <c r="R2556" t="s">
        <v>151</v>
      </c>
      <c r="S2556" t="s">
        <v>2624</v>
      </c>
      <c r="T2556" t="s">
        <v>161</v>
      </c>
      <c r="U2556" t="s">
        <v>154</v>
      </c>
      <c r="V2556" t="str">
        <f>IFERROR(INDEX(Products!$C:$C,MATCH(D2556,Products!$A:$A,0)),"Unknown")</f>
        <v>Sportswear</v>
      </c>
      <c r="W2556" t="str">
        <f>IFERROR(INDEX(Products!$E:$E,MATCH(D2556,Products!$A:$A,0)),"Unknown")</f>
        <v>Fossil</v>
      </c>
      <c r="X2556" t="str">
        <f>IFERROR(INDEX(Stores!$B:$B,MATCH(E2556,Stores!$A:$A,0)),"Unknown")</f>
        <v>TrendMart Visakhapatnam Standard</v>
      </c>
      <c r="Y2556" t="str">
        <f>IFERROR(INDEX(Stores!$E:$E,MATCH(E2556,Stores!$A:$A,0)),"Unknown")</f>
        <v>South Zone 3</v>
      </c>
      <c r="Z2556" t="str">
        <f>IFERROR(INDEX(Customers!$J:$J,MATCH(C2556,Customers!$A:$A,0)),"Unknown")</f>
        <v>Silver</v>
      </c>
      <c r="AA2556" t="str">
        <f t="shared" si="39"/>
        <v>2024-08</v>
      </c>
      <c r="AB2556" t="str">
        <f>IFERROR(INDEX(Products!$I:$I,MATCH(D2556,Products!$A:$A,0)),"Unknown")</f>
        <v>SUP049</v>
      </c>
    </row>
    <row r="2557" spans="1:28" x14ac:dyDescent="0.25">
      <c r="A2557" t="s">
        <v>4608</v>
      </c>
      <c r="B2557" s="20">
        <v>45587</v>
      </c>
      <c r="C2557" t="s">
        <v>987</v>
      </c>
      <c r="D2557" t="s">
        <v>1415</v>
      </c>
      <c r="E2557" t="s">
        <v>363</v>
      </c>
      <c r="F2557" t="s">
        <v>201</v>
      </c>
      <c r="G2557">
        <v>3</v>
      </c>
      <c r="H2557" s="21">
        <v>1429.42</v>
      </c>
      <c r="I2557">
        <v>0</v>
      </c>
      <c r="J2557" s="21">
        <v>0</v>
      </c>
      <c r="K2557">
        <v>12</v>
      </c>
      <c r="L2557" s="21">
        <v>514.59</v>
      </c>
      <c r="M2557" s="21">
        <v>4802.8500000000004</v>
      </c>
      <c r="N2557" s="21">
        <v>2838.9</v>
      </c>
      <c r="O2557" s="21">
        <v>1449.36</v>
      </c>
      <c r="P2557" t="s">
        <v>126</v>
      </c>
      <c r="Q2557" t="s">
        <v>120</v>
      </c>
      <c r="R2557" t="s">
        <v>151</v>
      </c>
      <c r="S2557" t="s">
        <v>417</v>
      </c>
      <c r="T2557" t="s">
        <v>153</v>
      </c>
      <c r="U2557" t="s">
        <v>154</v>
      </c>
      <c r="V2557" t="str">
        <f>IFERROR(INDEX(Products!$C:$C,MATCH(D2557,Products!$A:$A,0)),"Unknown")</f>
        <v>Unknown</v>
      </c>
      <c r="W2557" t="str">
        <f>IFERROR(INDEX(Products!$E:$E,MATCH(D2557,Products!$A:$A,0)),"Unknown")</f>
        <v>Unknown</v>
      </c>
      <c r="X2557" t="str">
        <f>IFERROR(INDEX(Stores!$B:$B,MATCH(E2557,Stores!$A:$A,0)),"Unknown")</f>
        <v>TrendMart Thiruvananthapuram High Street</v>
      </c>
      <c r="Y2557" t="str">
        <f>IFERROR(INDEX(Stores!$E:$E,MATCH(E2557,Stores!$A:$A,0)),"Unknown")</f>
        <v>South Zone 1</v>
      </c>
      <c r="Z2557" t="str">
        <f>IFERROR(INDEX(Customers!$J:$J,MATCH(C2557,Customers!$A:$A,0)),"Unknown")</f>
        <v>Regular</v>
      </c>
      <c r="AA2557" t="str">
        <f t="shared" si="39"/>
        <v>2024-10</v>
      </c>
      <c r="AB2557" t="str">
        <f>IFERROR(INDEX(Products!$I:$I,MATCH(D2557,Products!$A:$A,0)),"Unknown")</f>
        <v>Unknown</v>
      </c>
    </row>
    <row r="2558" spans="1:28" x14ac:dyDescent="0.25">
      <c r="A2558" t="s">
        <v>4609</v>
      </c>
      <c r="B2558" s="20">
        <v>45412</v>
      </c>
      <c r="C2558" t="s">
        <v>4610</v>
      </c>
      <c r="D2558" t="s">
        <v>612</v>
      </c>
      <c r="E2558" t="s">
        <v>541</v>
      </c>
      <c r="F2558" t="s">
        <v>618</v>
      </c>
      <c r="G2558">
        <v>4</v>
      </c>
      <c r="H2558" s="21">
        <v>623.44000000000005</v>
      </c>
      <c r="I2558">
        <v>0</v>
      </c>
      <c r="J2558" s="21">
        <v>0</v>
      </c>
      <c r="K2558">
        <v>5</v>
      </c>
      <c r="L2558" s="21">
        <v>124.69</v>
      </c>
      <c r="M2558" s="21">
        <v>2618.4499999999998</v>
      </c>
      <c r="N2558" s="21">
        <v>1476</v>
      </c>
      <c r="O2558" s="21">
        <v>1017.76</v>
      </c>
      <c r="P2558" t="s">
        <v>125</v>
      </c>
      <c r="Q2558" t="s">
        <v>120</v>
      </c>
      <c r="R2558" t="s">
        <v>151</v>
      </c>
      <c r="S2558" t="s">
        <v>2251</v>
      </c>
      <c r="T2558" t="s">
        <v>153</v>
      </c>
      <c r="U2558" t="s">
        <v>154</v>
      </c>
      <c r="V2558" t="str">
        <f>IFERROR(INDEX(Products!$C:$C,MATCH(D2558,Products!$A:$A,0)),"Unknown")</f>
        <v>Men T-Shirts</v>
      </c>
      <c r="W2558" t="str">
        <f>IFERROR(INDEX(Products!$E:$E,MATCH(D2558,Products!$A:$A,0)),"Unknown")</f>
        <v>Killer Jeans</v>
      </c>
      <c r="X2558" t="str">
        <f>IFERROR(INDEX(Stores!$B:$B,MATCH(E2558,Stores!$A:$A,0)),"Unknown")</f>
        <v>TrendMart Kochi Standard</v>
      </c>
      <c r="Y2558" t="str">
        <f>IFERROR(INDEX(Stores!$E:$E,MATCH(E2558,Stores!$A:$A,0)),"Unknown")</f>
        <v>South Zone 1</v>
      </c>
      <c r="Z2558" t="str">
        <f>IFERROR(INDEX(Customers!$J:$J,MATCH(C2558,Customers!$A:$A,0)),"Unknown")</f>
        <v>Silver</v>
      </c>
      <c r="AA2558" t="str">
        <f t="shared" si="39"/>
        <v>2024-04</v>
      </c>
      <c r="AB2558" t="str">
        <f>IFERROR(INDEX(Products!$I:$I,MATCH(D2558,Products!$A:$A,0)),"Unknown")</f>
        <v>SUP056</v>
      </c>
    </row>
    <row r="2559" spans="1:28" x14ac:dyDescent="0.25">
      <c r="A2559" t="s">
        <v>4611</v>
      </c>
      <c r="B2559" s="20">
        <v>45583</v>
      </c>
      <c r="C2559" t="s">
        <v>2830</v>
      </c>
      <c r="D2559" t="s">
        <v>359</v>
      </c>
      <c r="E2559" t="s">
        <v>470</v>
      </c>
      <c r="F2559" t="s">
        <v>242</v>
      </c>
      <c r="G2559">
        <v>2</v>
      </c>
      <c r="H2559" s="21">
        <v>2431.17</v>
      </c>
      <c r="I2559">
        <v>30</v>
      </c>
      <c r="J2559" s="21">
        <v>1458.7</v>
      </c>
      <c r="K2559">
        <v>12</v>
      </c>
      <c r="L2559" s="21">
        <v>408.44</v>
      </c>
      <c r="M2559" s="21">
        <v>3812.08</v>
      </c>
      <c r="N2559" s="21">
        <v>3608.74</v>
      </c>
      <c r="O2559" s="21">
        <v>-205.1</v>
      </c>
      <c r="P2559" t="s">
        <v>125</v>
      </c>
      <c r="Q2559" t="s">
        <v>120</v>
      </c>
      <c r="R2559" t="s">
        <v>151</v>
      </c>
      <c r="S2559" t="s">
        <v>3278</v>
      </c>
      <c r="T2559" t="s">
        <v>153</v>
      </c>
      <c r="U2559" t="s">
        <v>184</v>
      </c>
      <c r="V2559" t="str">
        <f>IFERROR(INDEX(Products!$C:$C,MATCH(D2559,Products!$A:$A,0)),"Unknown")</f>
        <v>Men Ethnic</v>
      </c>
      <c r="W2559" t="str">
        <f>IFERROR(INDEX(Products!$E:$E,MATCH(D2559,Products!$A:$A,0)),"Unknown")</f>
        <v>US Polo Assn</v>
      </c>
      <c r="X2559" t="str">
        <f>IFERROR(INDEX(Stores!$B:$B,MATCH(E2559,Stores!$A:$A,0)),"Unknown")</f>
        <v>TrendMart Thiruvananthapuram High Street</v>
      </c>
      <c r="Y2559" t="str">
        <f>IFERROR(INDEX(Stores!$E:$E,MATCH(E2559,Stores!$A:$A,0)),"Unknown")</f>
        <v>South Zone 1</v>
      </c>
      <c r="Z2559" t="str">
        <f>IFERROR(INDEX(Customers!$J:$J,MATCH(C2559,Customers!$A:$A,0)),"Unknown")</f>
        <v>Silver</v>
      </c>
      <c r="AA2559" t="str">
        <f t="shared" si="39"/>
        <v>2024-10</v>
      </c>
      <c r="AB2559" t="str">
        <f>IFERROR(INDEX(Products!$I:$I,MATCH(D2559,Products!$A:$A,0)),"Unknown")</f>
        <v>SUP036</v>
      </c>
    </row>
    <row r="2560" spans="1:28" x14ac:dyDescent="0.25">
      <c r="A2560" t="s">
        <v>4612</v>
      </c>
      <c r="B2560" s="20">
        <v>45527</v>
      </c>
      <c r="C2560" t="s">
        <v>3232</v>
      </c>
      <c r="D2560" t="s">
        <v>1071</v>
      </c>
      <c r="E2560" t="s">
        <v>613</v>
      </c>
      <c r="F2560" t="s">
        <v>170</v>
      </c>
      <c r="G2560">
        <v>4</v>
      </c>
      <c r="H2560" s="21">
        <v>2167.2800000000002</v>
      </c>
      <c r="I2560">
        <v>30</v>
      </c>
      <c r="J2560" s="21">
        <v>2600.7399999999998</v>
      </c>
      <c r="K2560">
        <v>12</v>
      </c>
      <c r="L2560" s="21">
        <v>728.21</v>
      </c>
      <c r="M2560" s="21">
        <v>6796.59</v>
      </c>
      <c r="N2560" s="21">
        <v>6168.92</v>
      </c>
      <c r="O2560" s="21">
        <v>-100.54</v>
      </c>
      <c r="P2560" t="s">
        <v>121</v>
      </c>
      <c r="Q2560" t="s">
        <v>120</v>
      </c>
      <c r="R2560" t="s">
        <v>151</v>
      </c>
      <c r="S2560" t="s">
        <v>421</v>
      </c>
      <c r="T2560" t="s">
        <v>153</v>
      </c>
      <c r="U2560" t="s">
        <v>184</v>
      </c>
      <c r="V2560" t="str">
        <f>IFERROR(INDEX(Products!$C:$C,MATCH(D2560,Products!$A:$A,0)),"Unknown")</f>
        <v>Footwear</v>
      </c>
      <c r="W2560" t="str">
        <f>IFERROR(INDEX(Products!$E:$E,MATCH(D2560,Products!$A:$A,0)),"Unknown")</f>
        <v>Max Fashion</v>
      </c>
      <c r="X2560" t="str">
        <f>IFERROR(INDEX(Stores!$B:$B,MATCH(E2560,Stores!$A:$A,0)),"Unknown")</f>
        <v>TrendMart Kochi Mall Kiosk</v>
      </c>
      <c r="Y2560" t="str">
        <f>IFERROR(INDEX(Stores!$E:$E,MATCH(E2560,Stores!$A:$A,0)),"Unknown")</f>
        <v>South Zone 1</v>
      </c>
      <c r="Z2560" t="str">
        <f>IFERROR(INDEX(Customers!$J:$J,MATCH(C2560,Customers!$A:$A,0)),"Unknown")</f>
        <v>Regular</v>
      </c>
      <c r="AA2560" t="str">
        <f t="shared" si="39"/>
        <v>2024-08</v>
      </c>
      <c r="AB2560" t="str">
        <f>IFERROR(INDEX(Products!$I:$I,MATCH(D2560,Products!$A:$A,0)),"Unknown")</f>
        <v>SUP039</v>
      </c>
    </row>
    <row r="2561" spans="1:28" x14ac:dyDescent="0.25">
      <c r="A2561" t="s">
        <v>4613</v>
      </c>
      <c r="B2561" s="20">
        <v>45632</v>
      </c>
      <c r="C2561" t="s">
        <v>2433</v>
      </c>
      <c r="D2561" t="s">
        <v>2759</v>
      </c>
      <c r="E2561" t="s">
        <v>280</v>
      </c>
      <c r="F2561" t="s">
        <v>176</v>
      </c>
      <c r="G2561">
        <v>2</v>
      </c>
      <c r="H2561" s="21">
        <v>682.66</v>
      </c>
      <c r="I2561">
        <v>20</v>
      </c>
      <c r="J2561" s="21">
        <v>273.06</v>
      </c>
      <c r="K2561">
        <v>5</v>
      </c>
      <c r="L2561" s="21">
        <v>54.61</v>
      </c>
      <c r="M2561" s="21">
        <v>1146.8699999999999</v>
      </c>
      <c r="N2561" s="21">
        <v>807.8</v>
      </c>
      <c r="O2561" s="21">
        <v>284.45999999999998</v>
      </c>
      <c r="P2561" t="s">
        <v>126</v>
      </c>
      <c r="Q2561" t="s">
        <v>122</v>
      </c>
      <c r="R2561" t="s">
        <v>151</v>
      </c>
      <c r="S2561" t="s">
        <v>1798</v>
      </c>
      <c r="T2561" t="s">
        <v>153</v>
      </c>
      <c r="U2561" t="s">
        <v>154</v>
      </c>
      <c r="V2561" t="str">
        <f>IFERROR(INDEX(Products!$C:$C,MATCH(D2561,Products!$A:$A,0)),"Unknown")</f>
        <v>Men T-Shirts</v>
      </c>
      <c r="W2561" t="str">
        <f>IFERROR(INDEX(Products!$E:$E,MATCH(D2561,Products!$A:$A,0)),"Unknown")</f>
        <v>Libas</v>
      </c>
      <c r="X2561" t="str">
        <f>IFERROR(INDEX(Stores!$B:$B,MATCH(E2561,Stores!$A:$A,0)),"Unknown")</f>
        <v>TrendMart Chennai Standard</v>
      </c>
      <c r="Y2561" t="str">
        <f>IFERROR(INDEX(Stores!$E:$E,MATCH(E2561,Stores!$A:$A,0)),"Unknown")</f>
        <v>South Zone 1</v>
      </c>
      <c r="Z2561" t="str">
        <f>IFERROR(INDEX(Customers!$J:$J,MATCH(C2561,Customers!$A:$A,0)),"Unknown")</f>
        <v>Gold</v>
      </c>
      <c r="AA2561" t="str">
        <f t="shared" si="39"/>
        <v>2024-12</v>
      </c>
      <c r="AB2561" t="str">
        <f>IFERROR(INDEX(Products!$I:$I,MATCH(D2561,Products!$A:$A,0)),"Unknown")</f>
        <v>SUP041</v>
      </c>
    </row>
    <row r="2562" spans="1:28" x14ac:dyDescent="0.25">
      <c r="A2562" t="s">
        <v>4614</v>
      </c>
      <c r="B2562" s="20">
        <v>45580</v>
      </c>
      <c r="C2562" t="s">
        <v>3620</v>
      </c>
      <c r="D2562" t="s">
        <v>367</v>
      </c>
      <c r="E2562" t="s">
        <v>848</v>
      </c>
      <c r="F2562" t="s">
        <v>443</v>
      </c>
      <c r="G2562">
        <v>4</v>
      </c>
      <c r="H2562" s="21">
        <v>709.64</v>
      </c>
      <c r="I2562">
        <v>10</v>
      </c>
      <c r="J2562" s="21">
        <v>283.86</v>
      </c>
      <c r="K2562">
        <v>3</v>
      </c>
      <c r="L2562" s="21">
        <v>76.64</v>
      </c>
      <c r="M2562" s="21">
        <v>2631.34</v>
      </c>
      <c r="N2562" s="21">
        <v>2227.96</v>
      </c>
      <c r="O2562" s="21">
        <v>326.74</v>
      </c>
      <c r="P2562" t="s">
        <v>123</v>
      </c>
      <c r="Q2562" t="s">
        <v>120</v>
      </c>
      <c r="R2562" t="s">
        <v>313</v>
      </c>
      <c r="S2562" t="s">
        <v>2208</v>
      </c>
      <c r="T2562" t="s">
        <v>153</v>
      </c>
      <c r="U2562" t="s">
        <v>154</v>
      </c>
      <c r="V2562" t="str">
        <f>IFERROR(INDEX(Products!$C:$C,MATCH(D2562,Products!$A:$A,0)),"Unknown")</f>
        <v>Jewellery</v>
      </c>
      <c r="W2562" t="str">
        <f>IFERROR(INDEX(Products!$E:$E,MATCH(D2562,Products!$A:$A,0)),"Unknown")</f>
        <v>Aurelia</v>
      </c>
      <c r="X2562" t="str">
        <f>IFERROR(INDEX(Stores!$B:$B,MATCH(E2562,Stores!$A:$A,0)),"Unknown")</f>
        <v>TrendMart Shivamogga Standard</v>
      </c>
      <c r="Y2562" t="str">
        <f>IFERROR(INDEX(Stores!$E:$E,MATCH(E2562,Stores!$A:$A,0)),"Unknown")</f>
        <v>South Zone 2</v>
      </c>
      <c r="Z2562" t="str">
        <f>IFERROR(INDEX(Customers!$J:$J,MATCH(C2562,Customers!$A:$A,0)),"Unknown")</f>
        <v>Silver</v>
      </c>
      <c r="AA2562" t="str">
        <f t="shared" ref="AA2562:AA2625" si="40">TEXT(B2562,"YYYY-MM")</f>
        <v>2024-10</v>
      </c>
      <c r="AB2562" t="str">
        <f>IFERROR(INDEX(Products!$I:$I,MATCH(D2562,Products!$A:$A,0)),"Unknown")</f>
        <v>SUP067</v>
      </c>
    </row>
    <row r="2563" spans="1:28" x14ac:dyDescent="0.25">
      <c r="A2563" t="s">
        <v>4615</v>
      </c>
      <c r="B2563" s="20">
        <v>45428</v>
      </c>
      <c r="C2563" t="s">
        <v>4499</v>
      </c>
      <c r="D2563" t="s">
        <v>968</v>
      </c>
      <c r="E2563" t="s">
        <v>639</v>
      </c>
      <c r="F2563" t="s">
        <v>170</v>
      </c>
      <c r="G2563">
        <v>1</v>
      </c>
      <c r="H2563" s="21">
        <v>535.72</v>
      </c>
      <c r="I2563">
        <v>10</v>
      </c>
      <c r="J2563" s="21">
        <v>53.57</v>
      </c>
      <c r="K2563">
        <v>5</v>
      </c>
      <c r="L2563" s="21">
        <v>24.11</v>
      </c>
      <c r="M2563" s="21">
        <v>506.26</v>
      </c>
      <c r="N2563" s="21">
        <v>303.61</v>
      </c>
      <c r="O2563" s="21">
        <v>178.54</v>
      </c>
      <c r="P2563" t="s">
        <v>125</v>
      </c>
      <c r="Q2563" t="s">
        <v>120</v>
      </c>
      <c r="R2563" t="s">
        <v>151</v>
      </c>
      <c r="S2563" t="s">
        <v>4515</v>
      </c>
      <c r="T2563" t="s">
        <v>153</v>
      </c>
      <c r="U2563" t="s">
        <v>154</v>
      </c>
      <c r="V2563" t="str">
        <f>IFERROR(INDEX(Products!$C:$C,MATCH(D2563,Products!$A:$A,0)),"Unknown")</f>
        <v>Accessories</v>
      </c>
      <c r="W2563" t="str">
        <f>IFERROR(INDEX(Products!$E:$E,MATCH(D2563,Products!$A:$A,0)),"Unknown")</f>
        <v>Blackberrys</v>
      </c>
      <c r="X2563" t="str">
        <f>IFERROR(INDEX(Stores!$B:$B,MATCH(E2563,Stores!$A:$A,0)),"Unknown")</f>
        <v>TrendMart Kurnool Outlet</v>
      </c>
      <c r="Y2563" t="str">
        <f>IFERROR(INDEX(Stores!$E:$E,MATCH(E2563,Stores!$A:$A,0)),"Unknown")</f>
        <v>South Zone 3</v>
      </c>
      <c r="Z2563" t="str">
        <f>IFERROR(INDEX(Customers!$J:$J,MATCH(C2563,Customers!$A:$A,0)),"Unknown")</f>
        <v>Gold</v>
      </c>
      <c r="AA2563" t="str">
        <f t="shared" si="40"/>
        <v>2024-05</v>
      </c>
      <c r="AB2563" t="str">
        <f>IFERROR(INDEX(Products!$I:$I,MATCH(D2563,Products!$A:$A,0)),"Unknown")</f>
        <v>SUP048</v>
      </c>
    </row>
    <row r="2564" spans="1:28" x14ac:dyDescent="0.25">
      <c r="A2564" t="s">
        <v>4616</v>
      </c>
      <c r="B2564" s="20">
        <v>45740</v>
      </c>
      <c r="C2564" t="s">
        <v>1107</v>
      </c>
      <c r="D2564" t="s">
        <v>2853</v>
      </c>
      <c r="E2564" t="s">
        <v>667</v>
      </c>
      <c r="F2564" t="s">
        <v>286</v>
      </c>
      <c r="G2564">
        <v>3</v>
      </c>
      <c r="H2564" s="21">
        <v>1210.46</v>
      </c>
      <c r="I2564">
        <v>5</v>
      </c>
      <c r="J2564" s="21">
        <v>181.57</v>
      </c>
      <c r="K2564">
        <v>12</v>
      </c>
      <c r="L2564" s="21">
        <v>413.98</v>
      </c>
      <c r="M2564" s="21">
        <v>3863.79</v>
      </c>
      <c r="N2564" s="21">
        <v>2395.38</v>
      </c>
      <c r="O2564" s="21">
        <v>1054.43</v>
      </c>
      <c r="P2564" t="s">
        <v>121</v>
      </c>
      <c r="Q2564" t="s">
        <v>120</v>
      </c>
      <c r="R2564" t="s">
        <v>151</v>
      </c>
      <c r="S2564" t="s">
        <v>1540</v>
      </c>
      <c r="T2564" t="s">
        <v>153</v>
      </c>
      <c r="U2564" t="s">
        <v>154</v>
      </c>
      <c r="V2564" t="str">
        <f>IFERROR(INDEX(Products!$C:$C,MATCH(D2564,Products!$A:$A,0)),"Unknown")</f>
        <v>Men Trousers</v>
      </c>
      <c r="W2564" t="str">
        <f>IFERROR(INDEX(Products!$E:$E,MATCH(D2564,Products!$A:$A,0)),"Unknown")</f>
        <v>Arrow</v>
      </c>
      <c r="X2564" t="str">
        <f>IFERROR(INDEX(Stores!$B:$B,MATCH(E2564,Stores!$A:$A,0)),"Unknown")</f>
        <v>TrendMart Hyderabad High Street</v>
      </c>
      <c r="Y2564" t="str">
        <f>IFERROR(INDEX(Stores!$E:$E,MATCH(E2564,Stores!$A:$A,0)),"Unknown")</f>
        <v>South Zone 2</v>
      </c>
      <c r="Z2564" t="str">
        <f>IFERROR(INDEX(Customers!$J:$J,MATCH(C2564,Customers!$A:$A,0)),"Unknown")</f>
        <v>Silver</v>
      </c>
      <c r="AA2564" t="str">
        <f t="shared" si="40"/>
        <v>2025-03</v>
      </c>
      <c r="AB2564" t="str">
        <f>IFERROR(INDEX(Products!$I:$I,MATCH(D2564,Products!$A:$A,0)),"Unknown")</f>
        <v>SUP050</v>
      </c>
    </row>
    <row r="2565" spans="1:28" x14ac:dyDescent="0.25">
      <c r="A2565" t="s">
        <v>4617</v>
      </c>
      <c r="B2565" s="20">
        <v>45486</v>
      </c>
      <c r="C2565" t="s">
        <v>3052</v>
      </c>
      <c r="D2565" t="s">
        <v>362</v>
      </c>
      <c r="E2565" t="s">
        <v>470</v>
      </c>
      <c r="F2565" t="s">
        <v>397</v>
      </c>
      <c r="G2565">
        <v>2</v>
      </c>
      <c r="H2565" s="21">
        <v>1196.81</v>
      </c>
      <c r="I2565">
        <v>15</v>
      </c>
      <c r="J2565" s="21">
        <v>359.04</v>
      </c>
      <c r="K2565">
        <v>12</v>
      </c>
      <c r="L2565" s="21">
        <v>244.15</v>
      </c>
      <c r="M2565" s="21">
        <v>2278.73</v>
      </c>
      <c r="N2565" s="21">
        <v>1774.04</v>
      </c>
      <c r="O2565" s="21">
        <v>260.54000000000002</v>
      </c>
      <c r="P2565" t="s">
        <v>121</v>
      </c>
      <c r="Q2565" t="s">
        <v>120</v>
      </c>
      <c r="R2565" t="s">
        <v>151</v>
      </c>
      <c r="S2565" t="s">
        <v>282</v>
      </c>
      <c r="T2565" t="s">
        <v>161</v>
      </c>
      <c r="U2565" t="s">
        <v>154</v>
      </c>
      <c r="V2565" t="str">
        <f>IFERROR(INDEX(Products!$C:$C,MATCH(D2565,Products!$A:$A,0)),"Unknown")</f>
        <v>Men Trousers</v>
      </c>
      <c r="W2565" t="str">
        <f>IFERROR(INDEX(Products!$E:$E,MATCH(D2565,Products!$A:$A,0)),"Unknown")</f>
        <v>Pepe Jeans</v>
      </c>
      <c r="X2565" t="str">
        <f>IFERROR(INDEX(Stores!$B:$B,MATCH(E2565,Stores!$A:$A,0)),"Unknown")</f>
        <v>TrendMart Thiruvananthapuram High Street</v>
      </c>
      <c r="Y2565" t="str">
        <f>IFERROR(INDEX(Stores!$E:$E,MATCH(E2565,Stores!$A:$A,0)),"Unknown")</f>
        <v>South Zone 1</v>
      </c>
      <c r="Z2565" t="str">
        <f>IFERROR(INDEX(Customers!$J:$J,MATCH(C2565,Customers!$A:$A,0)),"Unknown")</f>
        <v>Gold</v>
      </c>
      <c r="AA2565" t="str">
        <f t="shared" si="40"/>
        <v>2024-07</v>
      </c>
      <c r="AB2565" t="str">
        <f>IFERROR(INDEX(Products!$I:$I,MATCH(D2565,Products!$A:$A,0)),"Unknown")</f>
        <v>SUP028</v>
      </c>
    </row>
    <row r="2566" spans="1:28" x14ac:dyDescent="0.25">
      <c r="A2566" t="s">
        <v>4618</v>
      </c>
      <c r="B2566" s="20">
        <v>45434</v>
      </c>
      <c r="C2566" t="s">
        <v>2212</v>
      </c>
      <c r="D2566" t="s">
        <v>469</v>
      </c>
      <c r="E2566" t="s">
        <v>194</v>
      </c>
      <c r="F2566" t="s">
        <v>574</v>
      </c>
      <c r="G2566">
        <v>2</v>
      </c>
      <c r="H2566" s="21">
        <v>854.46</v>
      </c>
      <c r="I2566">
        <v>0</v>
      </c>
      <c r="J2566" s="21">
        <v>0</v>
      </c>
      <c r="K2566">
        <v>5</v>
      </c>
      <c r="L2566" s="21">
        <v>85.45</v>
      </c>
      <c r="M2566" s="21">
        <v>1794.37</v>
      </c>
      <c r="N2566" s="21">
        <v>1136.1199999999999</v>
      </c>
      <c r="O2566" s="21">
        <v>572.79999999999995</v>
      </c>
      <c r="P2566" t="s">
        <v>125</v>
      </c>
      <c r="Q2566" t="s">
        <v>120</v>
      </c>
      <c r="R2566" t="s">
        <v>151</v>
      </c>
      <c r="S2566" t="s">
        <v>882</v>
      </c>
      <c r="T2566" t="s">
        <v>153</v>
      </c>
      <c r="U2566" t="s">
        <v>154</v>
      </c>
      <c r="V2566" t="str">
        <f>IFERROR(INDEX(Products!$C:$C,MATCH(D2566,Products!$A:$A,0)),"Unknown")</f>
        <v>Women Kurtis</v>
      </c>
      <c r="W2566" t="str">
        <f>IFERROR(INDEX(Products!$E:$E,MATCH(D2566,Products!$A:$A,0)),"Unknown")</f>
        <v>Libas</v>
      </c>
      <c r="X2566" t="str">
        <f>IFERROR(INDEX(Stores!$B:$B,MATCH(E2566,Stores!$A:$A,0)),"Unknown")</f>
        <v>TrendMart Tirupati High Street</v>
      </c>
      <c r="Y2566" t="str">
        <f>IFERROR(INDEX(Stores!$E:$E,MATCH(E2566,Stores!$A:$A,0)),"Unknown")</f>
        <v>South Zone 3</v>
      </c>
      <c r="Z2566" t="str">
        <f>IFERROR(INDEX(Customers!$J:$J,MATCH(C2566,Customers!$A:$A,0)),"Unknown")</f>
        <v>Silver</v>
      </c>
      <c r="AA2566" t="str">
        <f t="shared" si="40"/>
        <v>2024-05</v>
      </c>
      <c r="AB2566" t="str">
        <f>IFERROR(INDEX(Products!$I:$I,MATCH(D2566,Products!$A:$A,0)),"Unknown")</f>
        <v>SUP079</v>
      </c>
    </row>
    <row r="2567" spans="1:28" x14ac:dyDescent="0.25">
      <c r="A2567" t="s">
        <v>4619</v>
      </c>
      <c r="B2567" s="20">
        <v>45556</v>
      </c>
      <c r="C2567" t="s">
        <v>3028</v>
      </c>
      <c r="D2567" t="s">
        <v>2553</v>
      </c>
      <c r="E2567" t="s">
        <v>247</v>
      </c>
      <c r="F2567" t="s">
        <v>211</v>
      </c>
      <c r="G2567">
        <v>2</v>
      </c>
      <c r="H2567" s="21">
        <v>3956.61</v>
      </c>
      <c r="I2567">
        <v>0</v>
      </c>
      <c r="J2567" s="21">
        <v>0</v>
      </c>
      <c r="K2567">
        <v>12</v>
      </c>
      <c r="L2567" s="21">
        <v>949.59</v>
      </c>
      <c r="M2567" s="21">
        <v>8862.81</v>
      </c>
      <c r="N2567" s="21">
        <v>5261.68</v>
      </c>
      <c r="O2567" s="21">
        <v>2651.54</v>
      </c>
      <c r="P2567" t="s">
        <v>121</v>
      </c>
      <c r="Q2567" t="s">
        <v>120</v>
      </c>
      <c r="R2567" t="s">
        <v>151</v>
      </c>
      <c r="S2567" t="s">
        <v>439</v>
      </c>
      <c r="T2567" t="s">
        <v>161</v>
      </c>
      <c r="U2567" t="s">
        <v>154</v>
      </c>
      <c r="V2567" t="str">
        <f>IFERROR(INDEX(Products!$C:$C,MATCH(D2567,Products!$A:$A,0)),"Unknown")</f>
        <v>Watches</v>
      </c>
      <c r="W2567" t="str">
        <f>IFERROR(INDEX(Products!$E:$E,MATCH(D2567,Products!$A:$A,0)),"Unknown")</f>
        <v>Reebok</v>
      </c>
      <c r="X2567" t="str">
        <f>IFERROR(INDEX(Stores!$B:$B,MATCH(E2567,Stores!$A:$A,0)),"Unknown")</f>
        <v>TrendMart Tirupati Outlet</v>
      </c>
      <c r="Y2567" t="str">
        <f>IFERROR(INDEX(Stores!$E:$E,MATCH(E2567,Stores!$A:$A,0)),"Unknown")</f>
        <v>South Zone 3</v>
      </c>
      <c r="Z2567" t="str">
        <f>IFERROR(INDEX(Customers!$J:$J,MATCH(C2567,Customers!$A:$A,0)),"Unknown")</f>
        <v>Gold</v>
      </c>
      <c r="AA2567" t="str">
        <f t="shared" si="40"/>
        <v>2024-09</v>
      </c>
      <c r="AB2567" t="str">
        <f>IFERROR(INDEX(Products!$I:$I,MATCH(D2567,Products!$A:$A,0)),"Unknown")</f>
        <v>SUP039</v>
      </c>
    </row>
    <row r="2568" spans="1:28" x14ac:dyDescent="0.25">
      <c r="A2568" t="s">
        <v>4620</v>
      </c>
      <c r="B2568" s="20">
        <v>45403</v>
      </c>
      <c r="C2568" t="s">
        <v>1091</v>
      </c>
      <c r="D2568" t="s">
        <v>1321</v>
      </c>
      <c r="E2568" t="s">
        <v>363</v>
      </c>
      <c r="F2568" t="s">
        <v>292</v>
      </c>
      <c r="G2568">
        <v>4</v>
      </c>
      <c r="H2568" s="21">
        <v>2583.9699999999998</v>
      </c>
      <c r="I2568">
        <v>0</v>
      </c>
      <c r="J2568" s="21">
        <v>0</v>
      </c>
      <c r="K2568">
        <v>12</v>
      </c>
      <c r="L2568" s="21">
        <v>1240.31</v>
      </c>
      <c r="M2568" s="21">
        <v>11576.19</v>
      </c>
      <c r="N2568" s="21">
        <v>6918.88</v>
      </c>
      <c r="O2568" s="21">
        <v>3417</v>
      </c>
      <c r="P2568" t="s">
        <v>124</v>
      </c>
      <c r="Q2568" t="s">
        <v>122</v>
      </c>
      <c r="R2568" t="s">
        <v>151</v>
      </c>
      <c r="S2568" t="s">
        <v>1232</v>
      </c>
      <c r="T2568" t="s">
        <v>161</v>
      </c>
      <c r="U2568" t="s">
        <v>154</v>
      </c>
      <c r="V2568" t="str">
        <f>IFERROR(INDEX(Products!$C:$C,MATCH(D2568,Products!$A:$A,0)),"Unknown")</f>
        <v>Men Ethnic</v>
      </c>
      <c r="W2568" t="str">
        <f>IFERROR(INDEX(Products!$E:$E,MATCH(D2568,Products!$A:$A,0)),"Unknown")</f>
        <v>Nalli Silks</v>
      </c>
      <c r="X2568" t="str">
        <f>IFERROR(INDEX(Stores!$B:$B,MATCH(E2568,Stores!$A:$A,0)),"Unknown")</f>
        <v>TrendMart Thiruvananthapuram High Street</v>
      </c>
      <c r="Y2568" t="str">
        <f>IFERROR(INDEX(Stores!$E:$E,MATCH(E2568,Stores!$A:$A,0)),"Unknown")</f>
        <v>South Zone 1</v>
      </c>
      <c r="Z2568" t="str">
        <f>IFERROR(INDEX(Customers!$J:$J,MATCH(C2568,Customers!$A:$A,0)),"Unknown")</f>
        <v>Platinum</v>
      </c>
      <c r="AA2568" t="str">
        <f t="shared" si="40"/>
        <v>2024-04</v>
      </c>
      <c r="AB2568" t="str">
        <f>IFERROR(INDEX(Products!$I:$I,MATCH(D2568,Products!$A:$A,0)),"Unknown")</f>
        <v>SUP018</v>
      </c>
    </row>
    <row r="2569" spans="1:28" x14ac:dyDescent="0.25">
      <c r="A2569" t="s">
        <v>4621</v>
      </c>
      <c r="B2569" s="20">
        <v>45565</v>
      </c>
      <c r="C2569" t="s">
        <v>1742</v>
      </c>
      <c r="D2569" t="s">
        <v>1350</v>
      </c>
      <c r="E2569" t="s">
        <v>815</v>
      </c>
      <c r="F2569" t="s">
        <v>344</v>
      </c>
      <c r="G2569">
        <v>2</v>
      </c>
      <c r="H2569" s="21">
        <v>669.89</v>
      </c>
      <c r="I2569">
        <v>30</v>
      </c>
      <c r="J2569" s="21">
        <v>401.93</v>
      </c>
      <c r="K2569">
        <v>5</v>
      </c>
      <c r="L2569" s="21">
        <v>46.89</v>
      </c>
      <c r="M2569" s="21">
        <v>984.74</v>
      </c>
      <c r="N2569" s="21">
        <v>838.8</v>
      </c>
      <c r="O2569" s="21">
        <v>99.05</v>
      </c>
      <c r="P2569" t="s">
        <v>126</v>
      </c>
      <c r="Q2569" t="s">
        <v>120</v>
      </c>
      <c r="R2569" t="s">
        <v>151</v>
      </c>
      <c r="S2569" t="s">
        <v>439</v>
      </c>
      <c r="T2569" t="s">
        <v>153</v>
      </c>
      <c r="U2569" t="s">
        <v>154</v>
      </c>
      <c r="V2569" t="str">
        <f>IFERROR(INDEX(Products!$C:$C,MATCH(D2569,Products!$A:$A,0)),"Unknown")</f>
        <v>Women Tops</v>
      </c>
      <c r="W2569" t="str">
        <f>IFERROR(INDEX(Products!$E:$E,MATCH(D2569,Products!$A:$A,0)),"Unknown")</f>
        <v>Jack &amp; Jones</v>
      </c>
      <c r="X2569" t="str">
        <f>IFERROR(INDEX(Stores!$B:$B,MATCH(E2569,Stores!$A:$A,0)),"Unknown")</f>
        <v>TrendMart Madurai Mall Kiosk</v>
      </c>
      <c r="Y2569" t="str">
        <f>IFERROR(INDEX(Stores!$E:$E,MATCH(E2569,Stores!$A:$A,0)),"Unknown")</f>
        <v>South Zone 1</v>
      </c>
      <c r="Z2569" t="str">
        <f>IFERROR(INDEX(Customers!$J:$J,MATCH(C2569,Customers!$A:$A,0)),"Unknown")</f>
        <v>Silver</v>
      </c>
      <c r="AA2569" t="str">
        <f t="shared" si="40"/>
        <v>2024-09</v>
      </c>
      <c r="AB2569" t="str">
        <f>IFERROR(INDEX(Products!$I:$I,MATCH(D2569,Products!$A:$A,0)),"Unknown")</f>
        <v>SUP089</v>
      </c>
    </row>
    <row r="2570" spans="1:28" x14ac:dyDescent="0.25">
      <c r="A2570" t="s">
        <v>4622</v>
      </c>
      <c r="B2570" s="20">
        <v>45583</v>
      </c>
      <c r="C2570" t="s">
        <v>4623</v>
      </c>
      <c r="D2570" t="s">
        <v>531</v>
      </c>
      <c r="E2570" t="s">
        <v>681</v>
      </c>
      <c r="F2570" t="s">
        <v>462</v>
      </c>
      <c r="G2570">
        <v>3</v>
      </c>
      <c r="H2570" s="21">
        <v>3124.19</v>
      </c>
      <c r="I2570">
        <v>20</v>
      </c>
      <c r="J2570" s="21">
        <v>1874.51</v>
      </c>
      <c r="K2570">
        <v>12</v>
      </c>
      <c r="L2570" s="21">
        <v>899.77</v>
      </c>
      <c r="M2570" s="21">
        <v>8397.83</v>
      </c>
      <c r="N2570" s="21">
        <v>6102.03</v>
      </c>
      <c r="O2570" s="21">
        <v>1396.03</v>
      </c>
      <c r="P2570" t="s">
        <v>124</v>
      </c>
      <c r="Q2570" t="s">
        <v>120</v>
      </c>
      <c r="R2570" t="s">
        <v>313</v>
      </c>
      <c r="S2570" t="s">
        <v>1460</v>
      </c>
      <c r="T2570" t="s">
        <v>153</v>
      </c>
      <c r="U2570" t="s">
        <v>154</v>
      </c>
      <c r="V2570" t="str">
        <f>IFERROR(INDEX(Products!$C:$C,MATCH(D2570,Products!$A:$A,0)),"Unknown")</f>
        <v>Handbags</v>
      </c>
      <c r="W2570" t="str">
        <f>IFERROR(INDEX(Products!$E:$E,MATCH(D2570,Products!$A:$A,0)),"Unknown")</f>
        <v>GRT Jewellers</v>
      </c>
      <c r="X2570" t="str">
        <f>IFERROR(INDEX(Stores!$B:$B,MATCH(E2570,Stores!$A:$A,0)),"Unknown")</f>
        <v>TrendMart Shivamogga Mall Kiosk</v>
      </c>
      <c r="Y2570" t="str">
        <f>IFERROR(INDEX(Stores!$E:$E,MATCH(E2570,Stores!$A:$A,0)),"Unknown")</f>
        <v>South Zone 2</v>
      </c>
      <c r="Z2570" t="str">
        <f>IFERROR(INDEX(Customers!$J:$J,MATCH(C2570,Customers!$A:$A,0)),"Unknown")</f>
        <v>Silver</v>
      </c>
      <c r="AA2570" t="str">
        <f t="shared" si="40"/>
        <v>2024-10</v>
      </c>
      <c r="AB2570" t="str">
        <f>IFERROR(INDEX(Products!$I:$I,MATCH(D2570,Products!$A:$A,0)),"Unknown")</f>
        <v>SUP047</v>
      </c>
    </row>
    <row r="2571" spans="1:28" x14ac:dyDescent="0.25">
      <c r="A2571" t="s">
        <v>4624</v>
      </c>
      <c r="B2571" s="20">
        <v>45453</v>
      </c>
      <c r="C2571" t="s">
        <v>4625</v>
      </c>
      <c r="D2571" t="s">
        <v>1312</v>
      </c>
      <c r="E2571" t="s">
        <v>1325</v>
      </c>
      <c r="F2571" t="s">
        <v>150</v>
      </c>
      <c r="G2571">
        <v>1</v>
      </c>
      <c r="H2571" s="21">
        <v>1013.47</v>
      </c>
      <c r="I2571">
        <v>10</v>
      </c>
      <c r="J2571" s="21">
        <v>101.35</v>
      </c>
      <c r="K2571">
        <v>12</v>
      </c>
      <c r="L2571" s="21">
        <v>109.45</v>
      </c>
      <c r="M2571" s="21">
        <v>1021.57</v>
      </c>
      <c r="N2571" s="21">
        <v>767.11</v>
      </c>
      <c r="O2571" s="21">
        <v>145.01</v>
      </c>
      <c r="P2571" t="s">
        <v>124</v>
      </c>
      <c r="Q2571" t="s">
        <v>122</v>
      </c>
      <c r="R2571" t="s">
        <v>151</v>
      </c>
      <c r="S2571" t="s">
        <v>1014</v>
      </c>
      <c r="T2571" t="s">
        <v>153</v>
      </c>
      <c r="U2571" t="s">
        <v>154</v>
      </c>
      <c r="V2571" t="str">
        <f>IFERROR(INDEX(Products!$C:$C,MATCH(D2571,Products!$A:$A,0)),"Unknown")</f>
        <v>Women Kurtis</v>
      </c>
      <c r="W2571" t="str">
        <f>IFERROR(INDEX(Products!$E:$E,MATCH(D2571,Products!$A:$A,0)),"Unknown")</f>
        <v>Louis Philippe</v>
      </c>
      <c r="X2571" t="str">
        <f>IFERROR(INDEX(Stores!$B:$B,MATCH(E2571,Stores!$A:$A,0)),"Unknown")</f>
        <v>TrendMart Thrissur Standard</v>
      </c>
      <c r="Y2571" t="str">
        <f>IFERROR(INDEX(Stores!$E:$E,MATCH(E2571,Stores!$A:$A,0)),"Unknown")</f>
        <v>South Zone 1</v>
      </c>
      <c r="Z2571" t="str">
        <f>IFERROR(INDEX(Customers!$J:$J,MATCH(C2571,Customers!$A:$A,0)),"Unknown")</f>
        <v>Regular</v>
      </c>
      <c r="AA2571" t="str">
        <f t="shared" si="40"/>
        <v>2024-06</v>
      </c>
      <c r="AB2571" t="str">
        <f>IFERROR(INDEX(Products!$I:$I,MATCH(D2571,Products!$A:$A,0)),"Unknown")</f>
        <v>SUP010</v>
      </c>
    </row>
    <row r="2572" spans="1:28" x14ac:dyDescent="0.25">
      <c r="A2572" t="s">
        <v>4626</v>
      </c>
      <c r="B2572" s="20">
        <v>45594</v>
      </c>
      <c r="C2572" t="s">
        <v>295</v>
      </c>
      <c r="D2572" t="s">
        <v>662</v>
      </c>
      <c r="E2572" t="s">
        <v>89</v>
      </c>
      <c r="F2572" t="s">
        <v>258</v>
      </c>
      <c r="G2572">
        <v>4</v>
      </c>
      <c r="H2572" s="21">
        <v>539.92999999999995</v>
      </c>
      <c r="I2572">
        <v>30</v>
      </c>
      <c r="J2572" s="21">
        <v>647.91999999999996</v>
      </c>
      <c r="K2572">
        <v>5</v>
      </c>
      <c r="L2572" s="21">
        <v>75.59</v>
      </c>
      <c r="M2572" s="21">
        <v>1587.39</v>
      </c>
      <c r="N2572" s="21">
        <v>1199.44</v>
      </c>
      <c r="O2572" s="21">
        <v>312.36</v>
      </c>
      <c r="P2572" t="s">
        <v>123</v>
      </c>
      <c r="Q2572" t="s">
        <v>120</v>
      </c>
      <c r="R2572" t="s">
        <v>151</v>
      </c>
      <c r="S2572" t="s">
        <v>1832</v>
      </c>
      <c r="T2572" t="s">
        <v>153</v>
      </c>
      <c r="U2572" t="s">
        <v>154</v>
      </c>
      <c r="V2572" t="str">
        <f>IFERROR(INDEX(Products!$C:$C,MATCH(D2572,Products!$A:$A,0)),"Unknown")</f>
        <v>Men T-Shirts</v>
      </c>
      <c r="W2572" t="str">
        <f>IFERROR(INDEX(Products!$E:$E,MATCH(D2572,Products!$A:$A,0)),"Unknown")</f>
        <v>Global Desi</v>
      </c>
      <c r="X2572" t="str">
        <f>IFERROR(INDEX(Stores!$B:$B,MATCH(E2572,Stores!$A:$A,0)),"Unknown")</f>
        <v>TrendMart Kochi Standard</v>
      </c>
      <c r="Y2572" t="str">
        <f>IFERROR(INDEX(Stores!$E:$E,MATCH(E2572,Stores!$A:$A,0)),"Unknown")</f>
        <v>South Zone 1</v>
      </c>
      <c r="Z2572" t="str">
        <f>IFERROR(INDEX(Customers!$J:$J,MATCH(C2572,Customers!$A:$A,0)),"Unknown")</f>
        <v>Regular</v>
      </c>
      <c r="AA2572" t="str">
        <f t="shared" si="40"/>
        <v>2024-10</v>
      </c>
      <c r="AB2572" t="str">
        <f>IFERROR(INDEX(Products!$I:$I,MATCH(D2572,Products!$A:$A,0)),"Unknown")</f>
        <v>SUP049</v>
      </c>
    </row>
    <row r="2573" spans="1:28" x14ac:dyDescent="0.25">
      <c r="A2573" t="s">
        <v>4627</v>
      </c>
      <c r="B2573" s="20">
        <v>45590</v>
      </c>
      <c r="C2573" t="s">
        <v>3982</v>
      </c>
      <c r="D2573" t="s">
        <v>359</v>
      </c>
      <c r="E2573" t="s">
        <v>83</v>
      </c>
      <c r="F2573" t="s">
        <v>434</v>
      </c>
      <c r="G2573">
        <v>2</v>
      </c>
      <c r="H2573" s="21">
        <v>2351.27</v>
      </c>
      <c r="I2573">
        <v>15</v>
      </c>
      <c r="J2573" s="21">
        <v>705.38</v>
      </c>
      <c r="K2573">
        <v>12</v>
      </c>
      <c r="L2573" s="21">
        <v>479.66</v>
      </c>
      <c r="M2573" s="21">
        <v>4476.82</v>
      </c>
      <c r="N2573" s="21">
        <v>3608.74</v>
      </c>
      <c r="O2573" s="21">
        <v>388.42</v>
      </c>
      <c r="P2573" t="s">
        <v>125</v>
      </c>
      <c r="Q2573" t="s">
        <v>120</v>
      </c>
      <c r="R2573" t="s">
        <v>151</v>
      </c>
      <c r="S2573" t="s">
        <v>559</v>
      </c>
      <c r="T2573" t="s">
        <v>153</v>
      </c>
      <c r="U2573" t="s">
        <v>154</v>
      </c>
      <c r="V2573" t="str">
        <f>IFERROR(INDEX(Products!$C:$C,MATCH(D2573,Products!$A:$A,0)),"Unknown")</f>
        <v>Men Ethnic</v>
      </c>
      <c r="W2573" t="str">
        <f>IFERROR(INDEX(Products!$E:$E,MATCH(D2573,Products!$A:$A,0)),"Unknown")</f>
        <v>US Polo Assn</v>
      </c>
      <c r="X2573" t="str">
        <f>IFERROR(INDEX(Stores!$B:$B,MATCH(E2573,Stores!$A:$A,0)),"Unknown")</f>
        <v>TrendMart Vellore Standard</v>
      </c>
      <c r="Y2573" t="str">
        <f>IFERROR(INDEX(Stores!$E:$E,MATCH(E2573,Stores!$A:$A,0)),"Unknown")</f>
        <v>South Zone 1</v>
      </c>
      <c r="Z2573" t="str">
        <f>IFERROR(INDEX(Customers!$J:$J,MATCH(C2573,Customers!$A:$A,0)),"Unknown")</f>
        <v>Platinum</v>
      </c>
      <c r="AA2573" t="str">
        <f t="shared" si="40"/>
        <v>2024-10</v>
      </c>
      <c r="AB2573" t="str">
        <f>IFERROR(INDEX(Products!$I:$I,MATCH(D2573,Products!$A:$A,0)),"Unknown")</f>
        <v>SUP036</v>
      </c>
    </row>
    <row r="2574" spans="1:28" x14ac:dyDescent="0.25">
      <c r="A2574" t="s">
        <v>4628</v>
      </c>
      <c r="B2574" s="20">
        <v>45414</v>
      </c>
      <c r="C2574" t="s">
        <v>2522</v>
      </c>
      <c r="D2574" t="s">
        <v>502</v>
      </c>
      <c r="E2574" t="s">
        <v>1023</v>
      </c>
      <c r="F2574" t="s">
        <v>344</v>
      </c>
      <c r="G2574">
        <v>1</v>
      </c>
      <c r="H2574" s="21">
        <v>2866.76</v>
      </c>
      <c r="I2574">
        <v>10</v>
      </c>
      <c r="J2574" s="21">
        <v>286.68</v>
      </c>
      <c r="K2574">
        <v>12</v>
      </c>
      <c r="L2574" s="21">
        <v>309.61</v>
      </c>
      <c r="M2574" s="21">
        <v>2889.69</v>
      </c>
      <c r="N2574" s="21">
        <v>2151.34</v>
      </c>
      <c r="O2574" s="21">
        <v>428.74</v>
      </c>
      <c r="P2574" t="s">
        <v>121</v>
      </c>
      <c r="Q2574" t="s">
        <v>120</v>
      </c>
      <c r="R2574" t="s">
        <v>151</v>
      </c>
      <c r="S2574" t="s">
        <v>774</v>
      </c>
      <c r="T2574" t="s">
        <v>153</v>
      </c>
      <c r="U2574" t="s">
        <v>154</v>
      </c>
      <c r="V2574" t="str">
        <f>IFERROR(INDEX(Products!$C:$C,MATCH(D2574,Products!$A:$A,0)),"Unknown")</f>
        <v>Handbags</v>
      </c>
      <c r="W2574" t="str">
        <f>IFERROR(INDEX(Products!$E:$E,MATCH(D2574,Products!$A:$A,0)),"Unknown")</f>
        <v>Libas</v>
      </c>
      <c r="X2574" t="str">
        <f>IFERROR(INDEX(Stores!$B:$B,MATCH(E2574,Stores!$A:$A,0)),"Unknown")</f>
        <v>TrendMart Kochi High Street</v>
      </c>
      <c r="Y2574" t="str">
        <f>IFERROR(INDEX(Stores!$E:$E,MATCH(E2574,Stores!$A:$A,0)),"Unknown")</f>
        <v>South Zone 1</v>
      </c>
      <c r="Z2574" t="str">
        <f>IFERROR(INDEX(Customers!$J:$J,MATCH(C2574,Customers!$A:$A,0)),"Unknown")</f>
        <v>Platinum</v>
      </c>
      <c r="AA2574" t="str">
        <f t="shared" si="40"/>
        <v>2024-05</v>
      </c>
      <c r="AB2574" t="str">
        <f>IFERROR(INDEX(Products!$I:$I,MATCH(D2574,Products!$A:$A,0)),"Unknown")</f>
        <v>SUP070</v>
      </c>
    </row>
    <row r="2575" spans="1:28" x14ac:dyDescent="0.25">
      <c r="A2575" t="s">
        <v>4629</v>
      </c>
      <c r="B2575" s="20">
        <v>45519</v>
      </c>
      <c r="C2575" t="s">
        <v>3214</v>
      </c>
      <c r="D2575" t="s">
        <v>1092</v>
      </c>
      <c r="E2575" t="s">
        <v>391</v>
      </c>
      <c r="F2575" t="s">
        <v>211</v>
      </c>
      <c r="G2575">
        <v>3</v>
      </c>
      <c r="H2575" s="21">
        <v>3541.66</v>
      </c>
      <c r="I2575">
        <v>10</v>
      </c>
      <c r="J2575" s="21">
        <v>1062.5</v>
      </c>
      <c r="K2575">
        <v>12</v>
      </c>
      <c r="L2575" s="21">
        <v>1147.5</v>
      </c>
      <c r="M2575" s="21">
        <v>10709.98</v>
      </c>
      <c r="N2575" s="21">
        <v>7401.66</v>
      </c>
      <c r="O2575" s="21">
        <v>2160.8200000000002</v>
      </c>
      <c r="P2575" t="s">
        <v>124</v>
      </c>
      <c r="Q2575" t="s">
        <v>122</v>
      </c>
      <c r="R2575" t="s">
        <v>151</v>
      </c>
      <c r="S2575" t="s">
        <v>1544</v>
      </c>
      <c r="T2575" t="s">
        <v>153</v>
      </c>
      <c r="U2575" t="s">
        <v>154</v>
      </c>
      <c r="V2575" t="str">
        <f>IFERROR(INDEX(Products!$C:$C,MATCH(D2575,Products!$A:$A,0)),"Unknown")</f>
        <v>Footwear</v>
      </c>
      <c r="W2575" t="str">
        <f>IFERROR(INDEX(Products!$E:$E,MATCH(D2575,Products!$A:$A,0)),"Unknown")</f>
        <v>Reebok</v>
      </c>
      <c r="X2575" t="str">
        <f>IFERROR(INDEX(Stores!$B:$B,MATCH(E2575,Stores!$A:$A,0)),"Unknown")</f>
        <v>TrendMart Warangal High Street</v>
      </c>
      <c r="Y2575" t="str">
        <f>IFERROR(INDEX(Stores!$E:$E,MATCH(E2575,Stores!$A:$A,0)),"Unknown")</f>
        <v>South Zone 2</v>
      </c>
      <c r="Z2575" t="str">
        <f>IFERROR(INDEX(Customers!$J:$J,MATCH(C2575,Customers!$A:$A,0)),"Unknown")</f>
        <v>Regular</v>
      </c>
      <c r="AA2575" t="str">
        <f t="shared" si="40"/>
        <v>2024-08</v>
      </c>
      <c r="AB2575" t="str">
        <f>IFERROR(INDEX(Products!$I:$I,MATCH(D2575,Products!$A:$A,0)),"Unknown")</f>
        <v>SUP056</v>
      </c>
    </row>
    <row r="2576" spans="1:28" x14ac:dyDescent="0.25">
      <c r="A2576" t="s">
        <v>4630</v>
      </c>
      <c r="B2576" s="20">
        <v>45718</v>
      </c>
      <c r="C2576" t="s">
        <v>1484</v>
      </c>
      <c r="D2576" t="s">
        <v>1101</v>
      </c>
      <c r="E2576" t="s">
        <v>815</v>
      </c>
      <c r="F2576" t="s">
        <v>170</v>
      </c>
      <c r="G2576">
        <v>1</v>
      </c>
      <c r="H2576" s="21">
        <v>794.32</v>
      </c>
      <c r="I2576">
        <v>5</v>
      </c>
      <c r="J2576" s="21">
        <v>39.72</v>
      </c>
      <c r="K2576">
        <v>5</v>
      </c>
      <c r="L2576" s="21">
        <v>37.729999999999997</v>
      </c>
      <c r="M2576" s="21">
        <v>792.33</v>
      </c>
      <c r="N2576" s="21">
        <v>565.45000000000005</v>
      </c>
      <c r="O2576" s="21">
        <v>189.15</v>
      </c>
      <c r="P2576" t="s">
        <v>125</v>
      </c>
      <c r="Q2576" t="s">
        <v>122</v>
      </c>
      <c r="R2576" t="s">
        <v>151</v>
      </c>
      <c r="S2576" t="s">
        <v>4631</v>
      </c>
      <c r="T2576" t="s">
        <v>161</v>
      </c>
      <c r="U2576" t="s">
        <v>154</v>
      </c>
      <c r="V2576" t="str">
        <f>IFERROR(INDEX(Products!$C:$C,MATCH(D2576,Products!$A:$A,0)),"Unknown")</f>
        <v>Kids Wear</v>
      </c>
      <c r="W2576" t="str">
        <f>IFERROR(INDEX(Products!$E:$E,MATCH(D2576,Products!$A:$A,0)),"Unknown")</f>
        <v>Woodland</v>
      </c>
      <c r="X2576" t="str">
        <f>IFERROR(INDEX(Stores!$B:$B,MATCH(E2576,Stores!$A:$A,0)),"Unknown")</f>
        <v>TrendMart Madurai Mall Kiosk</v>
      </c>
      <c r="Y2576" t="str">
        <f>IFERROR(INDEX(Stores!$E:$E,MATCH(E2576,Stores!$A:$A,0)),"Unknown")</f>
        <v>South Zone 1</v>
      </c>
      <c r="Z2576" t="str">
        <f>IFERROR(INDEX(Customers!$J:$J,MATCH(C2576,Customers!$A:$A,0)),"Unknown")</f>
        <v>Silver</v>
      </c>
      <c r="AA2576" t="str">
        <f t="shared" si="40"/>
        <v>2025-03</v>
      </c>
      <c r="AB2576" t="str">
        <f>IFERROR(INDEX(Products!$I:$I,MATCH(D2576,Products!$A:$A,0)),"Unknown")</f>
        <v>SUP010</v>
      </c>
    </row>
    <row r="2577" spans="1:28" x14ac:dyDescent="0.25">
      <c r="A2577" t="s">
        <v>4632</v>
      </c>
      <c r="B2577" s="20">
        <v>45702</v>
      </c>
      <c r="C2577" t="s">
        <v>3706</v>
      </c>
      <c r="D2577" t="s">
        <v>531</v>
      </c>
      <c r="E2577" t="s">
        <v>681</v>
      </c>
      <c r="F2577" t="s">
        <v>377</v>
      </c>
      <c r="G2577">
        <v>3</v>
      </c>
      <c r="H2577" s="21">
        <v>2976.2</v>
      </c>
      <c r="I2577">
        <v>0</v>
      </c>
      <c r="J2577" s="21">
        <v>0</v>
      </c>
      <c r="K2577">
        <v>12</v>
      </c>
      <c r="L2577" s="21">
        <v>1071.43</v>
      </c>
      <c r="M2577" s="21">
        <v>10000.030000000001</v>
      </c>
      <c r="N2577" s="21">
        <v>6102.03</v>
      </c>
      <c r="O2577" s="21">
        <v>2826.57</v>
      </c>
      <c r="P2577" t="s">
        <v>121</v>
      </c>
      <c r="Q2577" t="s">
        <v>120</v>
      </c>
      <c r="R2577" t="s">
        <v>313</v>
      </c>
      <c r="S2577" t="s">
        <v>1863</v>
      </c>
      <c r="T2577" t="s">
        <v>153</v>
      </c>
      <c r="U2577" t="s">
        <v>154</v>
      </c>
      <c r="V2577" t="str">
        <f>IFERROR(INDEX(Products!$C:$C,MATCH(D2577,Products!$A:$A,0)),"Unknown")</f>
        <v>Handbags</v>
      </c>
      <c r="W2577" t="str">
        <f>IFERROR(INDEX(Products!$E:$E,MATCH(D2577,Products!$A:$A,0)),"Unknown")</f>
        <v>GRT Jewellers</v>
      </c>
      <c r="X2577" t="str">
        <f>IFERROR(INDEX(Stores!$B:$B,MATCH(E2577,Stores!$A:$A,0)),"Unknown")</f>
        <v>TrendMart Shivamogga Mall Kiosk</v>
      </c>
      <c r="Y2577" t="str">
        <f>IFERROR(INDEX(Stores!$E:$E,MATCH(E2577,Stores!$A:$A,0)),"Unknown")</f>
        <v>South Zone 2</v>
      </c>
      <c r="Z2577" t="str">
        <f>IFERROR(INDEX(Customers!$J:$J,MATCH(C2577,Customers!$A:$A,0)),"Unknown")</f>
        <v>Gold</v>
      </c>
      <c r="AA2577" t="str">
        <f t="shared" si="40"/>
        <v>2025-02</v>
      </c>
      <c r="AB2577" t="str">
        <f>IFERROR(INDEX(Products!$I:$I,MATCH(D2577,Products!$A:$A,0)),"Unknown")</f>
        <v>SUP047</v>
      </c>
    </row>
    <row r="2578" spans="1:28" x14ac:dyDescent="0.25">
      <c r="A2578" t="s">
        <v>4633</v>
      </c>
      <c r="B2578" s="20">
        <v>45644</v>
      </c>
      <c r="C2578" t="s">
        <v>289</v>
      </c>
      <c r="D2578" t="s">
        <v>290</v>
      </c>
      <c r="E2578" t="s">
        <v>206</v>
      </c>
      <c r="F2578" t="s">
        <v>618</v>
      </c>
      <c r="G2578">
        <v>2</v>
      </c>
      <c r="H2578" s="21">
        <v>6113</v>
      </c>
      <c r="I2578">
        <v>15</v>
      </c>
      <c r="J2578" s="21">
        <v>1833.9</v>
      </c>
      <c r="K2578">
        <v>3</v>
      </c>
      <c r="L2578" s="21">
        <v>311.76</v>
      </c>
      <c r="M2578" s="21">
        <v>10703.86</v>
      </c>
      <c r="N2578" s="21">
        <v>9430.2000000000007</v>
      </c>
      <c r="O2578" s="21">
        <v>961.9</v>
      </c>
      <c r="P2578" t="s">
        <v>126</v>
      </c>
      <c r="Q2578" t="s">
        <v>120</v>
      </c>
      <c r="R2578" t="s">
        <v>151</v>
      </c>
      <c r="S2578" t="s">
        <v>507</v>
      </c>
      <c r="T2578" t="s">
        <v>153</v>
      </c>
      <c r="U2578" t="s">
        <v>154</v>
      </c>
      <c r="V2578" t="str">
        <f>IFERROR(INDEX(Products!$C:$C,MATCH(D2578,Products!$A:$A,0)),"Unknown")</f>
        <v>Jewellery</v>
      </c>
      <c r="W2578" t="str">
        <f>IFERROR(INDEX(Products!$E:$E,MATCH(D2578,Products!$A:$A,0)),"Unknown")</f>
        <v>Nike</v>
      </c>
      <c r="X2578" t="str">
        <f>IFERROR(INDEX(Stores!$B:$B,MATCH(E2578,Stores!$A:$A,0)),"Unknown")</f>
        <v>TrendMart Nizamabad Outlet</v>
      </c>
      <c r="Y2578" t="str">
        <f>IFERROR(INDEX(Stores!$E:$E,MATCH(E2578,Stores!$A:$A,0)),"Unknown")</f>
        <v>South Zone 2</v>
      </c>
      <c r="Z2578" t="str">
        <f>IFERROR(INDEX(Customers!$J:$J,MATCH(C2578,Customers!$A:$A,0)),"Unknown")</f>
        <v>Silver</v>
      </c>
      <c r="AA2578" t="str">
        <f t="shared" si="40"/>
        <v>2024-12</v>
      </c>
      <c r="AB2578" t="str">
        <f>IFERROR(INDEX(Products!$I:$I,MATCH(D2578,Products!$A:$A,0)),"Unknown")</f>
        <v>SUP041</v>
      </c>
    </row>
    <row r="2579" spans="1:28" x14ac:dyDescent="0.25">
      <c r="A2579" t="s">
        <v>4634</v>
      </c>
      <c r="B2579" s="20">
        <v>45542</v>
      </c>
      <c r="C2579" t="s">
        <v>4635</v>
      </c>
      <c r="D2579" t="s">
        <v>689</v>
      </c>
      <c r="E2579" t="s">
        <v>268</v>
      </c>
      <c r="F2579" t="s">
        <v>532</v>
      </c>
      <c r="G2579">
        <v>4</v>
      </c>
      <c r="H2579" s="21">
        <v>873.63</v>
      </c>
      <c r="I2579">
        <v>0</v>
      </c>
      <c r="J2579" s="21">
        <v>0</v>
      </c>
      <c r="K2579">
        <v>5</v>
      </c>
      <c r="L2579" s="21">
        <v>174.73</v>
      </c>
      <c r="M2579" s="21">
        <v>3669.25</v>
      </c>
      <c r="N2579" s="21">
        <v>2365.52</v>
      </c>
      <c r="O2579" s="21">
        <v>1129</v>
      </c>
      <c r="P2579" t="s">
        <v>125</v>
      </c>
      <c r="Q2579" t="s">
        <v>122</v>
      </c>
      <c r="R2579" t="s">
        <v>151</v>
      </c>
      <c r="S2579" t="s">
        <v>486</v>
      </c>
      <c r="T2579" t="s">
        <v>161</v>
      </c>
      <c r="U2579" t="s">
        <v>154</v>
      </c>
      <c r="V2579" t="str">
        <f>IFERROR(INDEX(Products!$C:$C,MATCH(D2579,Products!$A:$A,0)),"Unknown")</f>
        <v>Kids Wear</v>
      </c>
      <c r="W2579" t="str">
        <f>IFERROR(INDEX(Products!$E:$E,MATCH(D2579,Products!$A:$A,0)),"Unknown")</f>
        <v>Libas</v>
      </c>
      <c r="X2579" t="str">
        <f>IFERROR(INDEX(Stores!$B:$B,MATCH(E2579,Stores!$A:$A,0)),"Unknown")</f>
        <v>TrendMart Kochi High Street</v>
      </c>
      <c r="Y2579" t="str">
        <f>IFERROR(INDEX(Stores!$E:$E,MATCH(E2579,Stores!$A:$A,0)),"Unknown")</f>
        <v>South Zone 1</v>
      </c>
      <c r="Z2579" t="str">
        <f>IFERROR(INDEX(Customers!$J:$J,MATCH(C2579,Customers!$A:$A,0)),"Unknown")</f>
        <v>Silver</v>
      </c>
      <c r="AA2579" t="str">
        <f t="shared" si="40"/>
        <v>2024-09</v>
      </c>
      <c r="AB2579" t="str">
        <f>IFERROR(INDEX(Products!$I:$I,MATCH(D2579,Products!$A:$A,0)),"Unknown")</f>
        <v>SUP031</v>
      </c>
    </row>
    <row r="2580" spans="1:28" x14ac:dyDescent="0.25">
      <c r="A2580" t="s">
        <v>4636</v>
      </c>
      <c r="B2580" s="20">
        <v>45397</v>
      </c>
      <c r="C2580" t="s">
        <v>2487</v>
      </c>
      <c r="D2580" t="s">
        <v>210</v>
      </c>
      <c r="E2580" t="s">
        <v>252</v>
      </c>
      <c r="F2580" t="s">
        <v>275</v>
      </c>
      <c r="G2580">
        <v>2</v>
      </c>
      <c r="H2580" s="21">
        <v>1791.18</v>
      </c>
      <c r="I2580">
        <v>15</v>
      </c>
      <c r="J2580" s="21">
        <v>537.35</v>
      </c>
      <c r="K2580">
        <v>12</v>
      </c>
      <c r="L2580" s="21">
        <v>365.4</v>
      </c>
      <c r="M2580" s="21">
        <v>3410.41</v>
      </c>
      <c r="N2580" s="21">
        <v>2799.7</v>
      </c>
      <c r="O2580" s="21">
        <v>245.31</v>
      </c>
      <c r="P2580" t="s">
        <v>125</v>
      </c>
      <c r="Q2580" t="s">
        <v>122</v>
      </c>
      <c r="R2580" t="s">
        <v>313</v>
      </c>
      <c r="S2580" t="s">
        <v>222</v>
      </c>
      <c r="T2580" t="s">
        <v>153</v>
      </c>
      <c r="U2580" t="s">
        <v>154</v>
      </c>
      <c r="V2580" t="str">
        <f>IFERROR(INDEX(Products!$C:$C,MATCH(D2580,Products!$A:$A,0)),"Unknown")</f>
        <v>Women Dresses</v>
      </c>
      <c r="W2580" t="str">
        <f>IFERROR(INDEX(Products!$E:$E,MATCH(D2580,Products!$A:$A,0)),"Unknown")</f>
        <v>Nike</v>
      </c>
      <c r="X2580" t="str">
        <f>IFERROR(INDEX(Stores!$B:$B,MATCH(E2580,Stores!$A:$A,0)),"Unknown")</f>
        <v>TrendMart Nellore Standard</v>
      </c>
      <c r="Y2580" t="str">
        <f>IFERROR(INDEX(Stores!$E:$E,MATCH(E2580,Stores!$A:$A,0)),"Unknown")</f>
        <v>South Zone 3</v>
      </c>
      <c r="Z2580" t="str">
        <f>IFERROR(INDEX(Customers!$J:$J,MATCH(C2580,Customers!$A:$A,0)),"Unknown")</f>
        <v>Gold</v>
      </c>
      <c r="AA2580" t="str">
        <f t="shared" si="40"/>
        <v>2024-04</v>
      </c>
      <c r="AB2580" t="str">
        <f>IFERROR(INDEX(Products!$I:$I,MATCH(D2580,Products!$A:$A,0)),"Unknown")</f>
        <v>SUP073</v>
      </c>
    </row>
    <row r="2581" spans="1:28" x14ac:dyDescent="0.25">
      <c r="A2581" t="s">
        <v>4637</v>
      </c>
      <c r="B2581" s="20">
        <v>45470</v>
      </c>
      <c r="C2581" t="s">
        <v>957</v>
      </c>
      <c r="D2581" t="s">
        <v>805</v>
      </c>
      <c r="E2581" t="s">
        <v>84</v>
      </c>
      <c r="F2581" t="s">
        <v>303</v>
      </c>
      <c r="G2581">
        <v>2</v>
      </c>
      <c r="H2581" s="21">
        <v>1112.28</v>
      </c>
      <c r="I2581">
        <v>10</v>
      </c>
      <c r="J2581" s="21">
        <v>222.46</v>
      </c>
      <c r="K2581">
        <v>12</v>
      </c>
      <c r="L2581" s="21">
        <v>240.25</v>
      </c>
      <c r="M2581" s="21">
        <v>2242.35</v>
      </c>
      <c r="N2581" s="21">
        <v>1167.72</v>
      </c>
      <c r="O2581" s="21">
        <v>834.38</v>
      </c>
      <c r="P2581" t="s">
        <v>124</v>
      </c>
      <c r="Q2581" t="s">
        <v>120</v>
      </c>
      <c r="R2581" t="s">
        <v>151</v>
      </c>
      <c r="S2581" t="s">
        <v>1220</v>
      </c>
      <c r="T2581" t="s">
        <v>153</v>
      </c>
      <c r="U2581" t="s">
        <v>154</v>
      </c>
      <c r="V2581" t="str">
        <f>IFERROR(INDEX(Products!$C:$C,MATCH(D2581,Products!$A:$A,0)),"Unknown")</f>
        <v>Accessories</v>
      </c>
      <c r="W2581" t="str">
        <f>IFERROR(INDEX(Products!$E:$E,MATCH(D2581,Products!$A:$A,0)),"Unknown")</f>
        <v>Being Human</v>
      </c>
      <c r="X2581" t="str">
        <f>IFERROR(INDEX(Stores!$B:$B,MATCH(E2581,Stores!$A:$A,0)),"Unknown")</f>
        <v>TrendMart Tirupati Standard</v>
      </c>
      <c r="Y2581" t="str">
        <f>IFERROR(INDEX(Stores!$E:$E,MATCH(E2581,Stores!$A:$A,0)),"Unknown")</f>
        <v>South Zone 3</v>
      </c>
      <c r="Z2581" t="str">
        <f>IFERROR(INDEX(Customers!$J:$J,MATCH(C2581,Customers!$A:$A,0)),"Unknown")</f>
        <v>Regular</v>
      </c>
      <c r="AA2581" t="str">
        <f t="shared" si="40"/>
        <v>2024-06</v>
      </c>
      <c r="AB2581" t="str">
        <f>IFERROR(INDEX(Products!$I:$I,MATCH(D2581,Products!$A:$A,0)),"Unknown")</f>
        <v>SUP069</v>
      </c>
    </row>
    <row r="2582" spans="1:28" x14ac:dyDescent="0.25">
      <c r="A2582" t="s">
        <v>4638</v>
      </c>
      <c r="B2582" s="20">
        <v>45573</v>
      </c>
      <c r="C2582" t="s">
        <v>3345</v>
      </c>
      <c r="D2582" t="s">
        <v>257</v>
      </c>
      <c r="E2582" t="s">
        <v>351</v>
      </c>
      <c r="F2582" t="s">
        <v>579</v>
      </c>
      <c r="G2582">
        <v>2</v>
      </c>
      <c r="H2582" s="21">
        <v>945.64</v>
      </c>
      <c r="I2582">
        <v>15</v>
      </c>
      <c r="J2582" s="21">
        <v>283.69</v>
      </c>
      <c r="K2582">
        <v>5</v>
      </c>
      <c r="L2582" s="21">
        <v>80.38</v>
      </c>
      <c r="M2582" s="21">
        <v>1687.97</v>
      </c>
      <c r="N2582" s="21">
        <v>1442.44</v>
      </c>
      <c r="O2582" s="21">
        <v>165.15</v>
      </c>
      <c r="P2582" t="s">
        <v>121</v>
      </c>
      <c r="Q2582" t="s">
        <v>120</v>
      </c>
      <c r="R2582" t="s">
        <v>151</v>
      </c>
      <c r="S2582" t="s">
        <v>2367</v>
      </c>
      <c r="T2582" t="s">
        <v>153</v>
      </c>
      <c r="U2582" t="s">
        <v>154</v>
      </c>
      <c r="V2582" t="str">
        <f>IFERROR(INDEX(Products!$C:$C,MATCH(D2582,Products!$A:$A,0)),"Unknown")</f>
        <v>Men Shirts</v>
      </c>
      <c r="W2582" t="str">
        <f>IFERROR(INDEX(Products!$E:$E,MATCH(D2582,Products!$A:$A,0)),"Unknown")</f>
        <v>Indian Terrain</v>
      </c>
      <c r="X2582" t="str">
        <f>IFERROR(INDEX(Stores!$B:$B,MATCH(E2582,Stores!$A:$A,0)),"Unknown")</f>
        <v>TrendMart Kozhikode High Street</v>
      </c>
      <c r="Y2582" t="str">
        <f>IFERROR(INDEX(Stores!$E:$E,MATCH(E2582,Stores!$A:$A,0)),"Unknown")</f>
        <v>South Zone 1</v>
      </c>
      <c r="Z2582" t="str">
        <f>IFERROR(INDEX(Customers!$J:$J,MATCH(C2582,Customers!$A:$A,0)),"Unknown")</f>
        <v>Silver</v>
      </c>
      <c r="AA2582" t="str">
        <f t="shared" si="40"/>
        <v>2024-10</v>
      </c>
      <c r="AB2582" t="str">
        <f>IFERROR(INDEX(Products!$I:$I,MATCH(D2582,Products!$A:$A,0)),"Unknown")</f>
        <v>SUP080</v>
      </c>
    </row>
    <row r="2583" spans="1:28" x14ac:dyDescent="0.25">
      <c r="A2583" t="s">
        <v>4639</v>
      </c>
      <c r="B2583" s="20">
        <v>45690</v>
      </c>
      <c r="C2583" t="s">
        <v>4640</v>
      </c>
      <c r="D2583" t="s">
        <v>1016</v>
      </c>
      <c r="E2583" t="s">
        <v>1171</v>
      </c>
      <c r="F2583" t="s">
        <v>532</v>
      </c>
      <c r="G2583">
        <v>3</v>
      </c>
      <c r="H2583" s="21">
        <v>5523.02</v>
      </c>
      <c r="I2583">
        <v>0</v>
      </c>
      <c r="J2583" s="21">
        <v>0</v>
      </c>
      <c r="K2583">
        <v>12</v>
      </c>
      <c r="L2583" s="21">
        <v>1988.29</v>
      </c>
      <c r="M2583" s="21">
        <v>18557.349999999999</v>
      </c>
      <c r="N2583" s="21">
        <v>10987.11</v>
      </c>
      <c r="O2583" s="21">
        <v>5581.95</v>
      </c>
      <c r="P2583" t="s">
        <v>124</v>
      </c>
      <c r="Q2583" t="s">
        <v>120</v>
      </c>
      <c r="R2583" t="s">
        <v>151</v>
      </c>
      <c r="S2583" t="s">
        <v>1528</v>
      </c>
      <c r="T2583" t="s">
        <v>161</v>
      </c>
      <c r="U2583" t="s">
        <v>154</v>
      </c>
      <c r="V2583" t="str">
        <f>IFERROR(INDEX(Products!$C:$C,MATCH(D2583,Products!$A:$A,0)),"Unknown")</f>
        <v>Watches</v>
      </c>
      <c r="W2583" t="str">
        <f>IFERROR(INDEX(Products!$E:$E,MATCH(D2583,Products!$A:$A,0)),"Unknown")</f>
        <v>Pantaloons</v>
      </c>
      <c r="X2583" t="str">
        <f>IFERROR(INDEX(Stores!$B:$B,MATCH(E2583,Stores!$A:$A,0)),"Unknown")</f>
        <v>TrendMart Chennai Standard</v>
      </c>
      <c r="Y2583" t="str">
        <f>IFERROR(INDEX(Stores!$E:$E,MATCH(E2583,Stores!$A:$A,0)),"Unknown")</f>
        <v>South Zone 1</v>
      </c>
      <c r="Z2583" t="str">
        <f>IFERROR(INDEX(Customers!$J:$J,MATCH(C2583,Customers!$A:$A,0)),"Unknown")</f>
        <v>Gold</v>
      </c>
      <c r="AA2583" t="str">
        <f t="shared" si="40"/>
        <v>2025-02</v>
      </c>
      <c r="AB2583" t="str">
        <f>IFERROR(INDEX(Products!$I:$I,MATCH(D2583,Products!$A:$A,0)),"Unknown")</f>
        <v>SUP007</v>
      </c>
    </row>
    <row r="2584" spans="1:28" x14ac:dyDescent="0.25">
      <c r="A2584" t="s">
        <v>4641</v>
      </c>
      <c r="B2584" s="20">
        <v>45426</v>
      </c>
      <c r="C2584" t="s">
        <v>4050</v>
      </c>
      <c r="D2584" t="s">
        <v>583</v>
      </c>
      <c r="E2584" t="s">
        <v>98</v>
      </c>
      <c r="F2584" t="s">
        <v>237</v>
      </c>
      <c r="G2584">
        <v>2</v>
      </c>
      <c r="H2584" s="21">
        <v>825.93</v>
      </c>
      <c r="I2584">
        <v>0</v>
      </c>
      <c r="J2584" s="21">
        <v>0</v>
      </c>
      <c r="K2584">
        <v>5</v>
      </c>
      <c r="L2584" s="21">
        <v>82.59</v>
      </c>
      <c r="M2584" s="21">
        <v>1734.45</v>
      </c>
      <c r="N2584" s="21">
        <v>1259.44</v>
      </c>
      <c r="O2584" s="21">
        <v>392.42</v>
      </c>
      <c r="P2584" t="s">
        <v>125</v>
      </c>
      <c r="Q2584" t="s">
        <v>122</v>
      </c>
      <c r="R2584" t="s">
        <v>151</v>
      </c>
      <c r="S2584" t="s">
        <v>196</v>
      </c>
      <c r="T2584" t="s">
        <v>153</v>
      </c>
      <c r="U2584" t="s">
        <v>154</v>
      </c>
      <c r="V2584" t="str">
        <f>IFERROR(INDEX(Products!$C:$C,MATCH(D2584,Products!$A:$A,0)),"Unknown")</f>
        <v>Women Tops</v>
      </c>
      <c r="W2584" t="str">
        <f>IFERROR(INDEX(Products!$E:$E,MATCH(D2584,Products!$A:$A,0)),"Unknown")</f>
        <v>Ramraj Cotton</v>
      </c>
      <c r="X2584" t="str">
        <f>IFERROR(INDEX(Stores!$B:$B,MATCH(E2584,Stores!$A:$A,0)),"Unknown")</f>
        <v>TrendMart Bengaluru Flagship</v>
      </c>
      <c r="Y2584" t="str">
        <f>IFERROR(INDEX(Stores!$E:$E,MATCH(E2584,Stores!$A:$A,0)),"Unknown")</f>
        <v>South Zone 2</v>
      </c>
      <c r="Z2584" t="str">
        <f>IFERROR(INDEX(Customers!$J:$J,MATCH(C2584,Customers!$A:$A,0)),"Unknown")</f>
        <v>Regular</v>
      </c>
      <c r="AA2584" t="str">
        <f t="shared" si="40"/>
        <v>2024-05</v>
      </c>
      <c r="AB2584" t="str">
        <f>IFERROR(INDEX(Products!$I:$I,MATCH(D2584,Products!$A:$A,0)),"Unknown")</f>
        <v>SUP048</v>
      </c>
    </row>
    <row r="2585" spans="1:28" x14ac:dyDescent="0.25">
      <c r="A2585" t="s">
        <v>4642</v>
      </c>
      <c r="B2585" s="20">
        <v>45442</v>
      </c>
      <c r="C2585" t="s">
        <v>2236</v>
      </c>
      <c r="D2585" t="s">
        <v>251</v>
      </c>
      <c r="E2585" t="s">
        <v>927</v>
      </c>
      <c r="F2585" t="s">
        <v>434</v>
      </c>
      <c r="G2585">
        <v>3</v>
      </c>
      <c r="H2585" s="21">
        <v>810.88</v>
      </c>
      <c r="I2585">
        <v>10</v>
      </c>
      <c r="J2585" s="21">
        <v>243.26</v>
      </c>
      <c r="K2585">
        <v>5</v>
      </c>
      <c r="L2585" s="21">
        <v>109.47</v>
      </c>
      <c r="M2585" s="21">
        <v>2298.85</v>
      </c>
      <c r="N2585" s="21">
        <v>1604.43</v>
      </c>
      <c r="O2585" s="21">
        <v>584.95000000000005</v>
      </c>
      <c r="P2585" t="s">
        <v>121</v>
      </c>
      <c r="Q2585" t="s">
        <v>120</v>
      </c>
      <c r="R2585" t="s">
        <v>151</v>
      </c>
      <c r="S2585" t="s">
        <v>1914</v>
      </c>
      <c r="T2585" t="s">
        <v>153</v>
      </c>
      <c r="U2585" t="s">
        <v>154</v>
      </c>
      <c r="V2585" t="str">
        <f>IFERROR(INDEX(Products!$C:$C,MATCH(D2585,Products!$A:$A,0)),"Unknown")</f>
        <v>Women Tops</v>
      </c>
      <c r="W2585" t="str">
        <f>IFERROR(INDEX(Products!$E:$E,MATCH(D2585,Products!$A:$A,0)),"Unknown")</f>
        <v>US Polo Assn</v>
      </c>
      <c r="X2585" t="str">
        <f>IFERROR(INDEX(Stores!$B:$B,MATCH(E2585,Stores!$A:$A,0)),"Unknown")</f>
        <v>TrendMart Kochi Mall Kiosk</v>
      </c>
      <c r="Y2585" t="str">
        <f>IFERROR(INDEX(Stores!$E:$E,MATCH(E2585,Stores!$A:$A,0)),"Unknown")</f>
        <v>South Zone 1</v>
      </c>
      <c r="Z2585" t="str">
        <f>IFERROR(INDEX(Customers!$J:$J,MATCH(C2585,Customers!$A:$A,0)),"Unknown")</f>
        <v>Gold</v>
      </c>
      <c r="AA2585" t="str">
        <f t="shared" si="40"/>
        <v>2024-05</v>
      </c>
      <c r="AB2585" t="str">
        <f>IFERROR(INDEX(Products!$I:$I,MATCH(D2585,Products!$A:$A,0)),"Unknown")</f>
        <v>SUP039</v>
      </c>
    </row>
    <row r="2586" spans="1:28" x14ac:dyDescent="0.25">
      <c r="A2586" t="s">
        <v>4643</v>
      </c>
      <c r="B2586" s="20">
        <v>45543</v>
      </c>
      <c r="C2586" t="s">
        <v>2078</v>
      </c>
      <c r="D2586" t="s">
        <v>1063</v>
      </c>
      <c r="E2586" t="s">
        <v>396</v>
      </c>
      <c r="F2586" t="s">
        <v>434</v>
      </c>
      <c r="G2586">
        <v>3</v>
      </c>
      <c r="H2586" s="21">
        <v>1032.9100000000001</v>
      </c>
      <c r="I2586">
        <v>30</v>
      </c>
      <c r="J2586" s="21">
        <v>929.62</v>
      </c>
      <c r="K2586">
        <v>12</v>
      </c>
      <c r="L2586" s="21">
        <v>260.29000000000002</v>
      </c>
      <c r="M2586" s="21">
        <v>2429.4</v>
      </c>
      <c r="N2586" s="21">
        <v>1730.91</v>
      </c>
      <c r="O2586" s="21">
        <v>438.2</v>
      </c>
      <c r="P2586" t="s">
        <v>126</v>
      </c>
      <c r="Q2586" t="s">
        <v>120</v>
      </c>
      <c r="R2586" t="s">
        <v>151</v>
      </c>
      <c r="S2586" t="s">
        <v>1773</v>
      </c>
      <c r="T2586" t="s">
        <v>161</v>
      </c>
      <c r="U2586" t="s">
        <v>154</v>
      </c>
      <c r="V2586" t="str">
        <f>IFERROR(INDEX(Products!$C:$C,MATCH(D2586,Products!$A:$A,0)),"Unknown")</f>
        <v>Accessories</v>
      </c>
      <c r="W2586" t="str">
        <f>IFERROR(INDEX(Products!$E:$E,MATCH(D2586,Products!$A:$A,0)),"Unknown")</f>
        <v>Pepe Jeans</v>
      </c>
      <c r="X2586" t="str">
        <f>IFERROR(INDEX(Stores!$B:$B,MATCH(E2586,Stores!$A:$A,0)),"Unknown")</f>
        <v>TrendMart Davanagere High Street</v>
      </c>
      <c r="Y2586" t="str">
        <f>IFERROR(INDEX(Stores!$E:$E,MATCH(E2586,Stores!$A:$A,0)),"Unknown")</f>
        <v>South Zone 2</v>
      </c>
      <c r="Z2586" t="str">
        <f>IFERROR(INDEX(Customers!$J:$J,MATCH(C2586,Customers!$A:$A,0)),"Unknown")</f>
        <v>Gold</v>
      </c>
      <c r="AA2586" t="str">
        <f t="shared" si="40"/>
        <v>2024-09</v>
      </c>
      <c r="AB2586" t="str">
        <f>IFERROR(INDEX(Products!$I:$I,MATCH(D2586,Products!$A:$A,0)),"Unknown")</f>
        <v>SUP056</v>
      </c>
    </row>
    <row r="2587" spans="1:28" x14ac:dyDescent="0.25">
      <c r="A2587" t="s">
        <v>4644</v>
      </c>
      <c r="B2587" s="20">
        <v>45667</v>
      </c>
      <c r="C2587" t="s">
        <v>2702</v>
      </c>
      <c r="D2587" t="s">
        <v>193</v>
      </c>
      <c r="E2587" t="s">
        <v>741</v>
      </c>
      <c r="F2587" t="s">
        <v>182</v>
      </c>
      <c r="G2587">
        <v>2</v>
      </c>
      <c r="H2587" s="21">
        <v>1326.64</v>
      </c>
      <c r="I2587">
        <v>25</v>
      </c>
      <c r="J2587" s="21">
        <v>663.32</v>
      </c>
      <c r="K2587">
        <v>12</v>
      </c>
      <c r="L2587" s="21">
        <v>238.8</v>
      </c>
      <c r="M2587" s="21">
        <v>2228.7600000000002</v>
      </c>
      <c r="N2587" s="21">
        <v>2135.44</v>
      </c>
      <c r="O2587" s="21">
        <v>-145.47999999999999</v>
      </c>
      <c r="P2587" t="s">
        <v>125</v>
      </c>
      <c r="Q2587" t="s">
        <v>120</v>
      </c>
      <c r="R2587" t="s">
        <v>151</v>
      </c>
      <c r="S2587" t="s">
        <v>2898</v>
      </c>
      <c r="T2587" t="s">
        <v>153</v>
      </c>
      <c r="U2587" t="s">
        <v>184</v>
      </c>
      <c r="V2587" t="str">
        <f>IFERROR(INDEX(Products!$C:$C,MATCH(D2587,Products!$A:$A,0)),"Unknown")</f>
        <v>Men Jeans</v>
      </c>
      <c r="W2587" t="str">
        <f>IFERROR(INDEX(Products!$E:$E,MATCH(D2587,Products!$A:$A,0)),"Unknown")</f>
        <v>Metro Shoes</v>
      </c>
      <c r="X2587" t="str">
        <f>IFERROR(INDEX(Stores!$B:$B,MATCH(E2587,Stores!$A:$A,0)),"Unknown")</f>
        <v>TrendMart Nellore Mall Kiosk</v>
      </c>
      <c r="Y2587" t="str">
        <f>IFERROR(INDEX(Stores!$E:$E,MATCH(E2587,Stores!$A:$A,0)),"Unknown")</f>
        <v>South Zone 3</v>
      </c>
      <c r="Z2587" t="str">
        <f>IFERROR(INDEX(Customers!$J:$J,MATCH(C2587,Customers!$A:$A,0)),"Unknown")</f>
        <v>Platinum</v>
      </c>
      <c r="AA2587" t="str">
        <f t="shared" si="40"/>
        <v>2025-01</v>
      </c>
      <c r="AB2587" t="str">
        <f>IFERROR(INDEX(Products!$I:$I,MATCH(D2587,Products!$A:$A,0)),"Unknown")</f>
        <v>SUP059</v>
      </c>
    </row>
    <row r="2588" spans="1:28" x14ac:dyDescent="0.25">
      <c r="A2588" t="s">
        <v>4645</v>
      </c>
      <c r="B2588" s="20">
        <v>45580</v>
      </c>
      <c r="C2588" t="s">
        <v>591</v>
      </c>
      <c r="D2588" t="s">
        <v>149</v>
      </c>
      <c r="E2588" t="s">
        <v>188</v>
      </c>
      <c r="F2588" t="s">
        <v>434</v>
      </c>
      <c r="G2588">
        <v>1</v>
      </c>
      <c r="H2588" s="21">
        <v>743.87</v>
      </c>
      <c r="I2588">
        <v>10</v>
      </c>
      <c r="J2588" s="21">
        <v>74.39</v>
      </c>
      <c r="K2588">
        <v>5</v>
      </c>
      <c r="L2588" s="21">
        <v>33.47</v>
      </c>
      <c r="M2588" s="21">
        <v>702.95</v>
      </c>
      <c r="N2588" s="21">
        <v>496.67</v>
      </c>
      <c r="O2588" s="21">
        <v>172.81</v>
      </c>
      <c r="P2588" t="s">
        <v>123</v>
      </c>
      <c r="Q2588" t="s">
        <v>120</v>
      </c>
      <c r="R2588" t="s">
        <v>151</v>
      </c>
      <c r="S2588" t="s">
        <v>3425</v>
      </c>
      <c r="T2588" t="s">
        <v>153</v>
      </c>
      <c r="U2588" t="s">
        <v>154</v>
      </c>
      <c r="V2588" t="str">
        <f>IFERROR(INDEX(Products!$C:$C,MATCH(D2588,Products!$A:$A,0)),"Unknown")</f>
        <v>Women Kurtis</v>
      </c>
      <c r="W2588" t="str">
        <f>IFERROR(INDEX(Products!$E:$E,MATCH(D2588,Products!$A:$A,0)),"Unknown")</f>
        <v>Pepe Jeans</v>
      </c>
      <c r="X2588" t="str">
        <f>IFERROR(INDEX(Stores!$B:$B,MATCH(E2588,Stores!$A:$A,0)),"Unknown")</f>
        <v>TrendMart Vijayawada Standard</v>
      </c>
      <c r="Y2588" t="str">
        <f>IFERROR(INDEX(Stores!$E:$E,MATCH(E2588,Stores!$A:$A,0)),"Unknown")</f>
        <v>South Zone 3</v>
      </c>
      <c r="Z2588" t="str">
        <f>IFERROR(INDEX(Customers!$J:$J,MATCH(C2588,Customers!$A:$A,0)),"Unknown")</f>
        <v>Gold</v>
      </c>
      <c r="AA2588" t="str">
        <f t="shared" si="40"/>
        <v>2024-10</v>
      </c>
      <c r="AB2588" t="str">
        <f>IFERROR(INDEX(Products!$I:$I,MATCH(D2588,Products!$A:$A,0)),"Unknown")</f>
        <v>SUP049</v>
      </c>
    </row>
    <row r="2589" spans="1:28" x14ac:dyDescent="0.25">
      <c r="A2589" t="s">
        <v>4646</v>
      </c>
      <c r="B2589" s="20">
        <v>45597</v>
      </c>
      <c r="C2589" t="s">
        <v>1428</v>
      </c>
      <c r="D2589" t="s">
        <v>193</v>
      </c>
      <c r="E2589" t="s">
        <v>607</v>
      </c>
      <c r="F2589" t="s">
        <v>596</v>
      </c>
      <c r="G2589">
        <v>2</v>
      </c>
      <c r="H2589" s="21">
        <v>1413.52</v>
      </c>
      <c r="I2589">
        <v>10</v>
      </c>
      <c r="J2589" s="21">
        <v>282.7</v>
      </c>
      <c r="K2589">
        <v>12</v>
      </c>
      <c r="L2589" s="21">
        <v>305.32</v>
      </c>
      <c r="M2589" s="21">
        <v>2849.66</v>
      </c>
      <c r="N2589" s="21">
        <v>2135.44</v>
      </c>
      <c r="O2589" s="21">
        <v>408.9</v>
      </c>
      <c r="P2589" t="s">
        <v>125</v>
      </c>
      <c r="Q2589" t="s">
        <v>122</v>
      </c>
      <c r="R2589" t="s">
        <v>151</v>
      </c>
      <c r="S2589" t="s">
        <v>2009</v>
      </c>
      <c r="T2589" t="s">
        <v>153</v>
      </c>
      <c r="U2589" t="s">
        <v>154</v>
      </c>
      <c r="V2589" t="str">
        <f>IFERROR(INDEX(Products!$C:$C,MATCH(D2589,Products!$A:$A,0)),"Unknown")</f>
        <v>Men Jeans</v>
      </c>
      <c r="W2589" t="str">
        <f>IFERROR(INDEX(Products!$E:$E,MATCH(D2589,Products!$A:$A,0)),"Unknown")</f>
        <v>Metro Shoes</v>
      </c>
      <c r="X2589" t="str">
        <f>IFERROR(INDEX(Stores!$B:$B,MATCH(E2589,Stores!$A:$A,0)),"Unknown")</f>
        <v>TrendMart Thiruvananthapuram Standard</v>
      </c>
      <c r="Y2589" t="str">
        <f>IFERROR(INDEX(Stores!$E:$E,MATCH(E2589,Stores!$A:$A,0)),"Unknown")</f>
        <v>South Zone 1</v>
      </c>
      <c r="Z2589" t="str">
        <f>IFERROR(INDEX(Customers!$J:$J,MATCH(C2589,Customers!$A:$A,0)),"Unknown")</f>
        <v>Gold</v>
      </c>
      <c r="AA2589" t="str">
        <f t="shared" si="40"/>
        <v>2024-11</v>
      </c>
      <c r="AB2589" t="str">
        <f>IFERROR(INDEX(Products!$I:$I,MATCH(D2589,Products!$A:$A,0)),"Unknown")</f>
        <v>SUP059</v>
      </c>
    </row>
    <row r="2590" spans="1:28" x14ac:dyDescent="0.25">
      <c r="A2590" t="s">
        <v>4647</v>
      </c>
      <c r="B2590" s="20">
        <v>45729</v>
      </c>
      <c r="C2590" t="s">
        <v>156</v>
      </c>
      <c r="D2590" t="s">
        <v>905</v>
      </c>
      <c r="E2590" t="s">
        <v>934</v>
      </c>
      <c r="F2590" t="s">
        <v>253</v>
      </c>
      <c r="G2590">
        <v>2</v>
      </c>
      <c r="H2590" s="21">
        <v>578.87</v>
      </c>
      <c r="I2590">
        <v>0</v>
      </c>
      <c r="J2590" s="21">
        <v>0</v>
      </c>
      <c r="K2590">
        <v>5</v>
      </c>
      <c r="L2590" s="21">
        <v>57.89</v>
      </c>
      <c r="M2590" s="21">
        <v>1215.6300000000001</v>
      </c>
      <c r="N2590" s="21">
        <v>742.24</v>
      </c>
      <c r="O2590" s="21">
        <v>415.5</v>
      </c>
      <c r="P2590" t="s">
        <v>121</v>
      </c>
      <c r="Q2590" t="s">
        <v>120</v>
      </c>
      <c r="R2590" t="s">
        <v>151</v>
      </c>
      <c r="S2590" t="s">
        <v>872</v>
      </c>
      <c r="T2590" t="s">
        <v>153</v>
      </c>
      <c r="U2590" t="s">
        <v>154</v>
      </c>
      <c r="V2590" t="str">
        <f>IFERROR(INDEX(Products!$C:$C,MATCH(D2590,Products!$A:$A,0)),"Unknown")</f>
        <v>Wallets</v>
      </c>
      <c r="W2590" t="str">
        <f>IFERROR(INDEX(Products!$E:$E,MATCH(D2590,Products!$A:$A,0)),"Unknown")</f>
        <v>Global Desi</v>
      </c>
      <c r="X2590" t="str">
        <f>IFERROR(INDEX(Stores!$B:$B,MATCH(E2590,Stores!$A:$A,0)),"Unknown")</f>
        <v>TrendMart Bengaluru High Street</v>
      </c>
      <c r="Y2590" t="str">
        <f>IFERROR(INDEX(Stores!$E:$E,MATCH(E2590,Stores!$A:$A,0)),"Unknown")</f>
        <v>South Zone 2</v>
      </c>
      <c r="Z2590" t="str">
        <f>IFERROR(INDEX(Customers!$J:$J,MATCH(C2590,Customers!$A:$A,0)),"Unknown")</f>
        <v>Regular</v>
      </c>
      <c r="AA2590" t="str">
        <f t="shared" si="40"/>
        <v>2025-03</v>
      </c>
      <c r="AB2590" t="str">
        <f>IFERROR(INDEX(Products!$I:$I,MATCH(D2590,Products!$A:$A,0)),"Unknown")</f>
        <v>SUP051</v>
      </c>
    </row>
    <row r="2591" spans="1:28" x14ac:dyDescent="0.25">
      <c r="A2591" t="s">
        <v>4648</v>
      </c>
      <c r="B2591" s="20">
        <v>45738</v>
      </c>
      <c r="C2591" t="s">
        <v>3334</v>
      </c>
      <c r="D2591" t="s">
        <v>697</v>
      </c>
      <c r="E2591" t="s">
        <v>537</v>
      </c>
      <c r="F2591" t="s">
        <v>532</v>
      </c>
      <c r="G2591">
        <v>1</v>
      </c>
      <c r="H2591" s="21">
        <v>1167.44</v>
      </c>
      <c r="I2591">
        <v>20</v>
      </c>
      <c r="J2591" s="21">
        <v>233.49</v>
      </c>
      <c r="K2591">
        <v>12</v>
      </c>
      <c r="L2591" s="21">
        <v>112.07</v>
      </c>
      <c r="M2591" s="21">
        <v>1046.02</v>
      </c>
      <c r="N2591" s="21">
        <v>699.84</v>
      </c>
      <c r="O2591" s="21">
        <v>234.11</v>
      </c>
      <c r="P2591" t="s">
        <v>125</v>
      </c>
      <c r="Q2591" t="s">
        <v>120</v>
      </c>
      <c r="R2591" t="s">
        <v>151</v>
      </c>
      <c r="S2591" t="s">
        <v>2308</v>
      </c>
      <c r="T2591" t="s">
        <v>161</v>
      </c>
      <c r="U2591" t="s">
        <v>154</v>
      </c>
      <c r="V2591" t="str">
        <f>IFERROR(INDEX(Products!$C:$C,MATCH(D2591,Products!$A:$A,0)),"Unknown")</f>
        <v>Women Tops</v>
      </c>
      <c r="W2591" t="str">
        <f>IFERROR(INDEX(Products!$E:$E,MATCH(D2591,Products!$A:$A,0)),"Unknown")</f>
        <v>Nalli Silks</v>
      </c>
      <c r="X2591" t="str">
        <f>IFERROR(INDEX(Stores!$B:$B,MATCH(E2591,Stores!$A:$A,0)),"Unknown")</f>
        <v>TrendMart Thrissur High Street</v>
      </c>
      <c r="Y2591" t="str">
        <f>IFERROR(INDEX(Stores!$E:$E,MATCH(E2591,Stores!$A:$A,0)),"Unknown")</f>
        <v>South Zone 1</v>
      </c>
      <c r="Z2591" t="str">
        <f>IFERROR(INDEX(Customers!$J:$J,MATCH(C2591,Customers!$A:$A,0)),"Unknown")</f>
        <v>Regular</v>
      </c>
      <c r="AA2591" t="str">
        <f t="shared" si="40"/>
        <v>2025-03</v>
      </c>
      <c r="AB2591" t="str">
        <f>IFERROR(INDEX(Products!$I:$I,MATCH(D2591,Products!$A:$A,0)),"Unknown")</f>
        <v>SUP008</v>
      </c>
    </row>
    <row r="2592" spans="1:28" x14ac:dyDescent="0.25">
      <c r="A2592" t="s">
        <v>4649</v>
      </c>
      <c r="B2592" s="20">
        <v>45583</v>
      </c>
      <c r="C2592" t="s">
        <v>1967</v>
      </c>
      <c r="D2592" t="s">
        <v>569</v>
      </c>
      <c r="E2592" t="s">
        <v>85</v>
      </c>
      <c r="F2592" t="s">
        <v>462</v>
      </c>
      <c r="G2592">
        <v>3</v>
      </c>
      <c r="H2592" s="21">
        <v>2328.14</v>
      </c>
      <c r="I2592">
        <v>25</v>
      </c>
      <c r="J2592" s="21">
        <v>1746.11</v>
      </c>
      <c r="K2592">
        <v>12</v>
      </c>
      <c r="L2592" s="21">
        <v>628.6</v>
      </c>
      <c r="M2592" s="21">
        <v>5866.91</v>
      </c>
      <c r="N2592" s="21">
        <v>4782</v>
      </c>
      <c r="O2592" s="21">
        <v>456.31</v>
      </c>
      <c r="P2592" t="s">
        <v>121</v>
      </c>
      <c r="Q2592" t="s">
        <v>120</v>
      </c>
      <c r="R2592" t="s">
        <v>151</v>
      </c>
      <c r="S2592" t="s">
        <v>731</v>
      </c>
      <c r="T2592" t="s">
        <v>153</v>
      </c>
      <c r="U2592" t="s">
        <v>154</v>
      </c>
      <c r="V2592" t="str">
        <f>IFERROR(INDEX(Products!$C:$C,MATCH(D2592,Products!$A:$A,0)),"Unknown")</f>
        <v>Men Ethnic</v>
      </c>
      <c r="W2592" t="str">
        <f>IFERROR(INDEX(Products!$E:$E,MATCH(D2592,Products!$A:$A,0)),"Unknown")</f>
        <v>Fastrack</v>
      </c>
      <c r="X2592" t="str">
        <f>IFERROR(INDEX(Stores!$B:$B,MATCH(E2592,Stores!$A:$A,0)),"Unknown")</f>
        <v>TrendMart Kalaburagi Mall Kiosk</v>
      </c>
      <c r="Y2592" t="str">
        <f>IFERROR(INDEX(Stores!$E:$E,MATCH(E2592,Stores!$A:$A,0)),"Unknown")</f>
        <v>South Zone 2</v>
      </c>
      <c r="Z2592" t="str">
        <f>IFERROR(INDEX(Customers!$J:$J,MATCH(C2592,Customers!$A:$A,0)),"Unknown")</f>
        <v>Gold</v>
      </c>
      <c r="AA2592" t="str">
        <f t="shared" si="40"/>
        <v>2024-10</v>
      </c>
      <c r="AB2592" t="str">
        <f>IFERROR(INDEX(Products!$I:$I,MATCH(D2592,Products!$A:$A,0)),"Unknown")</f>
        <v>SUP014</v>
      </c>
    </row>
    <row r="2593" spans="1:28" x14ac:dyDescent="0.25">
      <c r="A2593" t="s">
        <v>4650</v>
      </c>
      <c r="B2593" s="20">
        <v>45404</v>
      </c>
      <c r="C2593" t="s">
        <v>4106</v>
      </c>
      <c r="D2593" t="s">
        <v>1691</v>
      </c>
      <c r="E2593" t="s">
        <v>1141</v>
      </c>
      <c r="F2593" t="s">
        <v>201</v>
      </c>
      <c r="G2593">
        <v>2</v>
      </c>
      <c r="H2593" s="21">
        <v>934.23</v>
      </c>
      <c r="I2593">
        <v>20</v>
      </c>
      <c r="J2593" s="21">
        <v>373.69</v>
      </c>
      <c r="K2593">
        <v>5</v>
      </c>
      <c r="L2593" s="21">
        <v>74.739999999999995</v>
      </c>
      <c r="M2593" s="21">
        <v>1569.51</v>
      </c>
      <c r="N2593" s="21">
        <v>1401.86</v>
      </c>
      <c r="O2593" s="21">
        <v>92.91</v>
      </c>
      <c r="P2593" t="s">
        <v>121</v>
      </c>
      <c r="Q2593" t="s">
        <v>120</v>
      </c>
      <c r="R2593" t="s">
        <v>151</v>
      </c>
      <c r="S2593" t="s">
        <v>2108</v>
      </c>
      <c r="T2593" t="s">
        <v>153</v>
      </c>
      <c r="U2593" t="s">
        <v>154</v>
      </c>
      <c r="V2593" t="str">
        <f>IFERROR(INDEX(Products!$C:$C,MATCH(D2593,Products!$A:$A,0)),"Unknown")</f>
        <v>Women Jeans</v>
      </c>
      <c r="W2593" t="str">
        <f>IFERROR(INDEX(Products!$E:$E,MATCH(D2593,Products!$A:$A,0)),"Unknown")</f>
        <v>Global Desi</v>
      </c>
      <c r="X2593" t="str">
        <f>IFERROR(INDEX(Stores!$B:$B,MATCH(E2593,Stores!$A:$A,0)),"Unknown")</f>
        <v>TrendMart Kochi Standard</v>
      </c>
      <c r="Y2593" t="str">
        <f>IFERROR(INDEX(Stores!$E:$E,MATCH(E2593,Stores!$A:$A,0)),"Unknown")</f>
        <v>South Zone 1</v>
      </c>
      <c r="Z2593" t="str">
        <f>IFERROR(INDEX(Customers!$J:$J,MATCH(C2593,Customers!$A:$A,0)),"Unknown")</f>
        <v>Regular</v>
      </c>
      <c r="AA2593" t="str">
        <f t="shared" si="40"/>
        <v>2024-04</v>
      </c>
      <c r="AB2593" t="str">
        <f>IFERROR(INDEX(Products!$I:$I,MATCH(D2593,Products!$A:$A,0)),"Unknown")</f>
        <v>SUP015</v>
      </c>
    </row>
    <row r="2594" spans="1:28" x14ac:dyDescent="0.25">
      <c r="A2594" t="s">
        <v>4651</v>
      </c>
      <c r="B2594" s="20">
        <v>45591</v>
      </c>
      <c r="C2594" t="s">
        <v>4652</v>
      </c>
      <c r="D2594" t="s">
        <v>2353</v>
      </c>
      <c r="E2594" t="s">
        <v>89</v>
      </c>
      <c r="F2594" t="s">
        <v>281</v>
      </c>
      <c r="G2594">
        <v>4</v>
      </c>
      <c r="H2594" s="21">
        <v>791.27</v>
      </c>
      <c r="I2594">
        <v>10</v>
      </c>
      <c r="J2594" s="21">
        <v>316.51</v>
      </c>
      <c r="K2594">
        <v>5</v>
      </c>
      <c r="L2594" s="21">
        <v>142.43</v>
      </c>
      <c r="M2594" s="21">
        <v>2991</v>
      </c>
      <c r="N2594" s="21">
        <v>2016.2</v>
      </c>
      <c r="O2594" s="21">
        <v>832.37</v>
      </c>
      <c r="P2594" t="s">
        <v>124</v>
      </c>
      <c r="Q2594" t="s">
        <v>120</v>
      </c>
      <c r="R2594" t="s">
        <v>151</v>
      </c>
      <c r="S2594" t="s">
        <v>845</v>
      </c>
      <c r="T2594" t="s">
        <v>161</v>
      </c>
      <c r="U2594" t="s">
        <v>154</v>
      </c>
      <c r="V2594" t="str">
        <f>IFERROR(INDEX(Products!$C:$C,MATCH(D2594,Products!$A:$A,0)),"Unknown")</f>
        <v>Sportswear</v>
      </c>
      <c r="W2594" t="str">
        <f>IFERROR(INDEX(Products!$E:$E,MATCH(D2594,Products!$A:$A,0)),"Unknown")</f>
        <v>Mufti</v>
      </c>
      <c r="X2594" t="str">
        <f>IFERROR(INDEX(Stores!$B:$B,MATCH(E2594,Stores!$A:$A,0)),"Unknown")</f>
        <v>TrendMart Kochi Standard</v>
      </c>
      <c r="Y2594" t="str">
        <f>IFERROR(INDEX(Stores!$E:$E,MATCH(E2594,Stores!$A:$A,0)),"Unknown")</f>
        <v>South Zone 1</v>
      </c>
      <c r="Z2594" t="str">
        <f>IFERROR(INDEX(Customers!$J:$J,MATCH(C2594,Customers!$A:$A,0)),"Unknown")</f>
        <v>Regular</v>
      </c>
      <c r="AA2594" t="str">
        <f t="shared" si="40"/>
        <v>2024-10</v>
      </c>
      <c r="AB2594" t="str">
        <f>IFERROR(INDEX(Products!$I:$I,MATCH(D2594,Products!$A:$A,0)),"Unknown")</f>
        <v>SUP020</v>
      </c>
    </row>
    <row r="2595" spans="1:28" x14ac:dyDescent="0.25">
      <c r="A2595" t="s">
        <v>4653</v>
      </c>
      <c r="B2595" s="20">
        <v>45627</v>
      </c>
      <c r="C2595" t="s">
        <v>2996</v>
      </c>
      <c r="D2595" t="s">
        <v>2019</v>
      </c>
      <c r="E2595" t="s">
        <v>681</v>
      </c>
      <c r="F2595" t="s">
        <v>281</v>
      </c>
      <c r="G2595">
        <v>2</v>
      </c>
      <c r="H2595" s="21">
        <v>2314.69</v>
      </c>
      <c r="I2595">
        <v>0</v>
      </c>
      <c r="J2595" s="21">
        <v>0</v>
      </c>
      <c r="K2595">
        <v>12</v>
      </c>
      <c r="L2595" s="21">
        <v>555.53</v>
      </c>
      <c r="M2595" s="21">
        <v>5184.91</v>
      </c>
      <c r="N2595" s="21">
        <v>3009.58</v>
      </c>
      <c r="O2595" s="21">
        <v>1619.8</v>
      </c>
      <c r="P2595" t="s">
        <v>121</v>
      </c>
      <c r="Q2595" t="s">
        <v>120</v>
      </c>
      <c r="R2595" t="s">
        <v>151</v>
      </c>
      <c r="S2595" t="s">
        <v>1712</v>
      </c>
      <c r="T2595" t="s">
        <v>161</v>
      </c>
      <c r="U2595" t="s">
        <v>154</v>
      </c>
      <c r="V2595" t="str">
        <f>IFERROR(INDEX(Products!$C:$C,MATCH(D2595,Products!$A:$A,0)),"Unknown")</f>
        <v>Footwear</v>
      </c>
      <c r="W2595" t="str">
        <f>IFERROR(INDEX(Products!$E:$E,MATCH(D2595,Products!$A:$A,0)),"Unknown")</f>
        <v>Bata</v>
      </c>
      <c r="X2595" t="str">
        <f>IFERROR(INDEX(Stores!$B:$B,MATCH(E2595,Stores!$A:$A,0)),"Unknown")</f>
        <v>TrendMart Shivamogga Mall Kiosk</v>
      </c>
      <c r="Y2595" t="str">
        <f>IFERROR(INDEX(Stores!$E:$E,MATCH(E2595,Stores!$A:$A,0)),"Unknown")</f>
        <v>South Zone 2</v>
      </c>
      <c r="Z2595" t="str">
        <f>IFERROR(INDEX(Customers!$J:$J,MATCH(C2595,Customers!$A:$A,0)),"Unknown")</f>
        <v>Regular</v>
      </c>
      <c r="AA2595" t="str">
        <f t="shared" si="40"/>
        <v>2024-12</v>
      </c>
      <c r="AB2595" t="str">
        <f>IFERROR(INDEX(Products!$I:$I,MATCH(D2595,Products!$A:$A,0)),"Unknown")</f>
        <v>SUP004</v>
      </c>
    </row>
    <row r="2596" spans="1:28" x14ac:dyDescent="0.25">
      <c r="A2596" t="s">
        <v>4654</v>
      </c>
      <c r="B2596" s="20">
        <v>45474</v>
      </c>
      <c r="C2596" t="s">
        <v>454</v>
      </c>
      <c r="D2596" t="s">
        <v>205</v>
      </c>
      <c r="E2596" t="s">
        <v>81</v>
      </c>
      <c r="F2596" t="s">
        <v>182</v>
      </c>
      <c r="G2596">
        <v>1</v>
      </c>
      <c r="H2596" s="21">
        <v>1050.57</v>
      </c>
      <c r="I2596">
        <v>10</v>
      </c>
      <c r="J2596" s="21">
        <v>105.06</v>
      </c>
      <c r="K2596">
        <v>12</v>
      </c>
      <c r="L2596" s="21">
        <v>113.46</v>
      </c>
      <c r="M2596" s="21">
        <v>1058.97</v>
      </c>
      <c r="N2596" s="21">
        <v>692.53</v>
      </c>
      <c r="O2596" s="21">
        <v>252.98</v>
      </c>
      <c r="P2596" t="s">
        <v>124</v>
      </c>
      <c r="Q2596" t="s">
        <v>120</v>
      </c>
      <c r="R2596" t="s">
        <v>151</v>
      </c>
      <c r="S2596" t="s">
        <v>1485</v>
      </c>
      <c r="T2596" t="s">
        <v>153</v>
      </c>
      <c r="U2596" t="s">
        <v>154</v>
      </c>
      <c r="V2596" t="str">
        <f>IFERROR(INDEX(Products!$C:$C,MATCH(D2596,Products!$A:$A,0)),"Unknown")</f>
        <v>Women Jeans</v>
      </c>
      <c r="W2596" t="str">
        <f>IFERROR(INDEX(Products!$E:$E,MATCH(D2596,Products!$A:$A,0)),"Unknown")</f>
        <v>Sonata</v>
      </c>
      <c r="X2596" t="str">
        <f>IFERROR(INDEX(Stores!$B:$B,MATCH(E2596,Stores!$A:$A,0)),"Unknown")</f>
        <v>TrendMart Vijayawada High Street</v>
      </c>
      <c r="Y2596" t="str">
        <f>IFERROR(INDEX(Stores!$E:$E,MATCH(E2596,Stores!$A:$A,0)),"Unknown")</f>
        <v>South Zone 3</v>
      </c>
      <c r="Z2596" t="str">
        <f>IFERROR(INDEX(Customers!$J:$J,MATCH(C2596,Customers!$A:$A,0)),"Unknown")</f>
        <v>Silver</v>
      </c>
      <c r="AA2596" t="str">
        <f t="shared" si="40"/>
        <v>2024-07</v>
      </c>
      <c r="AB2596" t="str">
        <f>IFERROR(INDEX(Products!$I:$I,MATCH(D2596,Products!$A:$A,0)),"Unknown")</f>
        <v>SUP014</v>
      </c>
    </row>
    <row r="2597" spans="1:28" x14ac:dyDescent="0.25">
      <c r="A2597" t="s">
        <v>4655</v>
      </c>
      <c r="B2597" s="20">
        <v>45598</v>
      </c>
      <c r="C2597" t="s">
        <v>3366</v>
      </c>
      <c r="D2597" t="s">
        <v>2696</v>
      </c>
      <c r="E2597" t="s">
        <v>752</v>
      </c>
      <c r="F2597" t="s">
        <v>596</v>
      </c>
      <c r="G2597">
        <v>1</v>
      </c>
      <c r="H2597" s="21">
        <v>1011.75</v>
      </c>
      <c r="I2597">
        <v>20</v>
      </c>
      <c r="J2597" s="21">
        <v>202.35</v>
      </c>
      <c r="K2597">
        <v>12</v>
      </c>
      <c r="L2597" s="21">
        <v>97.13</v>
      </c>
      <c r="M2597" s="21">
        <v>906.53</v>
      </c>
      <c r="N2597" s="21">
        <v>703.03</v>
      </c>
      <c r="O2597" s="21">
        <v>106.37</v>
      </c>
      <c r="P2597" t="s">
        <v>124</v>
      </c>
      <c r="Q2597" t="s">
        <v>120</v>
      </c>
      <c r="R2597" t="s">
        <v>151</v>
      </c>
      <c r="S2597" t="s">
        <v>1075</v>
      </c>
      <c r="T2597" t="s">
        <v>161</v>
      </c>
      <c r="U2597" t="s">
        <v>154</v>
      </c>
      <c r="V2597" t="str">
        <f>IFERROR(INDEX(Products!$C:$C,MATCH(D2597,Products!$A:$A,0)),"Unknown")</f>
        <v>Women Kurtis</v>
      </c>
      <c r="W2597" t="str">
        <f>IFERROR(INDEX(Products!$E:$E,MATCH(D2597,Products!$A:$A,0)),"Unknown")</f>
        <v>Sonata</v>
      </c>
      <c r="X2597" t="str">
        <f>IFERROR(INDEX(Stores!$B:$B,MATCH(E2597,Stores!$A:$A,0)),"Unknown")</f>
        <v>TrendMart Dindigul High Street</v>
      </c>
      <c r="Y2597" t="str">
        <f>IFERROR(INDEX(Stores!$E:$E,MATCH(E2597,Stores!$A:$A,0)),"Unknown")</f>
        <v>South Zone 1</v>
      </c>
      <c r="Z2597" t="str">
        <f>IFERROR(INDEX(Customers!$J:$J,MATCH(C2597,Customers!$A:$A,0)),"Unknown")</f>
        <v>Silver</v>
      </c>
      <c r="AA2597" t="str">
        <f t="shared" si="40"/>
        <v>2024-11</v>
      </c>
      <c r="AB2597" t="str">
        <f>IFERROR(INDEX(Products!$I:$I,MATCH(D2597,Products!$A:$A,0)),"Unknown")</f>
        <v>SUP069</v>
      </c>
    </row>
    <row r="2598" spans="1:28" x14ac:dyDescent="0.25">
      <c r="A2598" t="s">
        <v>4656</v>
      </c>
      <c r="B2598" s="20">
        <v>45696</v>
      </c>
      <c r="C2598" t="s">
        <v>4424</v>
      </c>
      <c r="D2598" t="s">
        <v>1073</v>
      </c>
      <c r="E2598" t="s">
        <v>617</v>
      </c>
      <c r="F2598" t="s">
        <v>532</v>
      </c>
      <c r="G2598">
        <v>3</v>
      </c>
      <c r="H2598" s="21">
        <v>3215.28</v>
      </c>
      <c r="I2598">
        <v>30</v>
      </c>
      <c r="J2598" s="21">
        <v>2893.75</v>
      </c>
      <c r="K2598">
        <v>12</v>
      </c>
      <c r="L2598" s="21">
        <v>810.25</v>
      </c>
      <c r="M2598" s="21">
        <v>7562.34</v>
      </c>
      <c r="N2598" s="21">
        <v>7021.38</v>
      </c>
      <c r="O2598" s="21">
        <v>-269.29000000000002</v>
      </c>
      <c r="P2598" t="s">
        <v>121</v>
      </c>
      <c r="Q2598" t="s">
        <v>120</v>
      </c>
      <c r="R2598" t="s">
        <v>151</v>
      </c>
      <c r="S2598" t="s">
        <v>1839</v>
      </c>
      <c r="T2598" t="s">
        <v>161</v>
      </c>
      <c r="U2598" t="s">
        <v>184</v>
      </c>
      <c r="V2598" t="str">
        <f>IFERROR(INDEX(Products!$C:$C,MATCH(D2598,Products!$A:$A,0)),"Unknown")</f>
        <v>Women Sarees</v>
      </c>
      <c r="W2598" t="str">
        <f>IFERROR(INDEX(Products!$E:$E,MATCH(D2598,Products!$A:$A,0)),"Unknown")</f>
        <v>W for Woman</v>
      </c>
      <c r="X2598" t="str">
        <f>IFERROR(INDEX(Stores!$B:$B,MATCH(E2598,Stores!$A:$A,0)),"Unknown")</f>
        <v>TrendMart Mangaluru High Street</v>
      </c>
      <c r="Y2598" t="str">
        <f>IFERROR(INDEX(Stores!$E:$E,MATCH(E2598,Stores!$A:$A,0)),"Unknown")</f>
        <v>South Zone 2</v>
      </c>
      <c r="Z2598" t="str">
        <f>IFERROR(INDEX(Customers!$J:$J,MATCH(C2598,Customers!$A:$A,0)),"Unknown")</f>
        <v>Silver</v>
      </c>
      <c r="AA2598" t="str">
        <f t="shared" si="40"/>
        <v>2025-02</v>
      </c>
      <c r="AB2598" t="str">
        <f>IFERROR(INDEX(Products!$I:$I,MATCH(D2598,Products!$A:$A,0)),"Unknown")</f>
        <v>SUP012</v>
      </c>
    </row>
    <row r="2599" spans="1:28" x14ac:dyDescent="0.25">
      <c r="A2599" t="s">
        <v>4657</v>
      </c>
      <c r="B2599" s="20">
        <v>45452</v>
      </c>
      <c r="C2599" t="s">
        <v>2888</v>
      </c>
      <c r="D2599" t="s">
        <v>257</v>
      </c>
      <c r="E2599" t="s">
        <v>296</v>
      </c>
      <c r="F2599" t="s">
        <v>397</v>
      </c>
      <c r="G2599">
        <v>2</v>
      </c>
      <c r="H2599" s="21">
        <v>1039.3499999999999</v>
      </c>
      <c r="I2599">
        <v>30</v>
      </c>
      <c r="J2599" s="21">
        <v>623.61</v>
      </c>
      <c r="K2599">
        <v>12</v>
      </c>
      <c r="L2599" s="21">
        <v>174.61</v>
      </c>
      <c r="M2599" s="21">
        <v>1629.7</v>
      </c>
      <c r="N2599" s="21">
        <v>1442.44</v>
      </c>
      <c r="O2599" s="21">
        <v>12.65</v>
      </c>
      <c r="P2599" t="s">
        <v>123</v>
      </c>
      <c r="Q2599" t="s">
        <v>120</v>
      </c>
      <c r="R2599" t="s">
        <v>313</v>
      </c>
      <c r="S2599" t="s">
        <v>1344</v>
      </c>
      <c r="T2599" t="s">
        <v>161</v>
      </c>
      <c r="U2599" t="s">
        <v>154</v>
      </c>
      <c r="V2599" t="str">
        <f>IFERROR(INDEX(Products!$C:$C,MATCH(D2599,Products!$A:$A,0)),"Unknown")</f>
        <v>Men Shirts</v>
      </c>
      <c r="W2599" t="str">
        <f>IFERROR(INDEX(Products!$E:$E,MATCH(D2599,Products!$A:$A,0)),"Unknown")</f>
        <v>Indian Terrain</v>
      </c>
      <c r="X2599" t="str">
        <f>IFERROR(INDEX(Stores!$B:$B,MATCH(E2599,Stores!$A:$A,0)),"Unknown")</f>
        <v>TrendMart Kurnool Outlet</v>
      </c>
      <c r="Y2599" t="str">
        <f>IFERROR(INDEX(Stores!$E:$E,MATCH(E2599,Stores!$A:$A,0)),"Unknown")</f>
        <v>South Zone 3</v>
      </c>
      <c r="Z2599" t="str">
        <f>IFERROR(INDEX(Customers!$J:$J,MATCH(C2599,Customers!$A:$A,0)),"Unknown")</f>
        <v>Regular</v>
      </c>
      <c r="AA2599" t="str">
        <f t="shared" si="40"/>
        <v>2024-06</v>
      </c>
      <c r="AB2599" t="str">
        <f>IFERROR(INDEX(Products!$I:$I,MATCH(D2599,Products!$A:$A,0)),"Unknown")</f>
        <v>SUP080</v>
      </c>
    </row>
    <row r="2600" spans="1:28" x14ac:dyDescent="0.25">
      <c r="A2600" t="s">
        <v>4658</v>
      </c>
      <c r="B2600" s="20">
        <v>45579</v>
      </c>
      <c r="C2600" t="s">
        <v>4659</v>
      </c>
      <c r="D2600" t="s">
        <v>290</v>
      </c>
      <c r="E2600" t="s">
        <v>396</v>
      </c>
      <c r="F2600" t="s">
        <v>382</v>
      </c>
      <c r="G2600">
        <v>2</v>
      </c>
      <c r="H2600" s="21">
        <v>5987.18</v>
      </c>
      <c r="I2600">
        <v>10</v>
      </c>
      <c r="J2600" s="21">
        <v>1197.44</v>
      </c>
      <c r="K2600">
        <v>3</v>
      </c>
      <c r="L2600" s="21">
        <v>323.31</v>
      </c>
      <c r="M2600" s="21">
        <v>11100.23</v>
      </c>
      <c r="N2600" s="21">
        <v>9430.2000000000007</v>
      </c>
      <c r="O2600" s="21">
        <v>1346.72</v>
      </c>
      <c r="P2600" t="s">
        <v>124</v>
      </c>
      <c r="Q2600" t="s">
        <v>122</v>
      </c>
      <c r="R2600" t="s">
        <v>151</v>
      </c>
      <c r="S2600" t="s">
        <v>4061</v>
      </c>
      <c r="T2600" t="s">
        <v>153</v>
      </c>
      <c r="U2600" t="s">
        <v>154</v>
      </c>
      <c r="V2600" t="str">
        <f>IFERROR(INDEX(Products!$C:$C,MATCH(D2600,Products!$A:$A,0)),"Unknown")</f>
        <v>Jewellery</v>
      </c>
      <c r="W2600" t="str">
        <f>IFERROR(INDEX(Products!$E:$E,MATCH(D2600,Products!$A:$A,0)),"Unknown")</f>
        <v>Nike</v>
      </c>
      <c r="X2600" t="str">
        <f>IFERROR(INDEX(Stores!$B:$B,MATCH(E2600,Stores!$A:$A,0)),"Unknown")</f>
        <v>TrendMart Davanagere High Street</v>
      </c>
      <c r="Y2600" t="str">
        <f>IFERROR(INDEX(Stores!$E:$E,MATCH(E2600,Stores!$A:$A,0)),"Unknown")</f>
        <v>South Zone 2</v>
      </c>
      <c r="Z2600" t="str">
        <f>IFERROR(INDEX(Customers!$J:$J,MATCH(C2600,Customers!$A:$A,0)),"Unknown")</f>
        <v>Gold</v>
      </c>
      <c r="AA2600" t="str">
        <f t="shared" si="40"/>
        <v>2024-10</v>
      </c>
      <c r="AB2600" t="str">
        <f>IFERROR(INDEX(Products!$I:$I,MATCH(D2600,Products!$A:$A,0)),"Unknown")</f>
        <v>SUP041</v>
      </c>
    </row>
    <row r="2601" spans="1:28" x14ac:dyDescent="0.25">
      <c r="A2601" t="s">
        <v>4660</v>
      </c>
      <c r="B2601" s="20">
        <v>45601</v>
      </c>
      <c r="C2601" t="s">
        <v>1935</v>
      </c>
      <c r="D2601" t="s">
        <v>1063</v>
      </c>
      <c r="E2601" t="s">
        <v>521</v>
      </c>
      <c r="F2601" t="s">
        <v>408</v>
      </c>
      <c r="G2601">
        <v>2</v>
      </c>
      <c r="H2601" s="21">
        <v>943.87</v>
      </c>
      <c r="I2601">
        <v>0</v>
      </c>
      <c r="J2601" s="21">
        <v>0</v>
      </c>
      <c r="K2601">
        <v>5</v>
      </c>
      <c r="L2601" s="21">
        <v>94.39</v>
      </c>
      <c r="M2601" s="21">
        <v>1982.13</v>
      </c>
      <c r="N2601" s="21">
        <v>1153.94</v>
      </c>
      <c r="O2601" s="21">
        <v>733.8</v>
      </c>
      <c r="P2601" t="s">
        <v>121</v>
      </c>
      <c r="Q2601" t="s">
        <v>120</v>
      </c>
      <c r="R2601" t="s">
        <v>151</v>
      </c>
      <c r="S2601" t="s">
        <v>1217</v>
      </c>
      <c r="T2601" t="s">
        <v>153</v>
      </c>
      <c r="U2601" t="s">
        <v>154</v>
      </c>
      <c r="V2601" t="str">
        <f>IFERROR(INDEX(Products!$C:$C,MATCH(D2601,Products!$A:$A,0)),"Unknown")</f>
        <v>Accessories</v>
      </c>
      <c r="W2601" t="str">
        <f>IFERROR(INDEX(Products!$E:$E,MATCH(D2601,Products!$A:$A,0)),"Unknown")</f>
        <v>Pepe Jeans</v>
      </c>
      <c r="X2601" t="str">
        <f>IFERROR(INDEX(Stores!$B:$B,MATCH(E2601,Stores!$A:$A,0)),"Unknown")</f>
        <v>TrendMart Tirupati Standard</v>
      </c>
      <c r="Y2601" t="str">
        <f>IFERROR(INDEX(Stores!$E:$E,MATCH(E2601,Stores!$A:$A,0)),"Unknown")</f>
        <v>South Zone 3</v>
      </c>
      <c r="Z2601" t="str">
        <f>IFERROR(INDEX(Customers!$J:$J,MATCH(C2601,Customers!$A:$A,0)),"Unknown")</f>
        <v>Gold</v>
      </c>
      <c r="AA2601" t="str">
        <f t="shared" si="40"/>
        <v>2024-11</v>
      </c>
      <c r="AB2601" t="str">
        <f>IFERROR(INDEX(Products!$I:$I,MATCH(D2601,Products!$A:$A,0)),"Unknown")</f>
        <v>SUP056</v>
      </c>
    </row>
    <row r="2602" spans="1:28" x14ac:dyDescent="0.25">
      <c r="A2602" t="s">
        <v>4661</v>
      </c>
      <c r="B2602" s="20">
        <v>45579</v>
      </c>
      <c r="C2602" t="s">
        <v>1189</v>
      </c>
      <c r="D2602" t="s">
        <v>949</v>
      </c>
      <c r="E2602" t="s">
        <v>741</v>
      </c>
      <c r="F2602" t="s">
        <v>434</v>
      </c>
      <c r="G2602">
        <v>1</v>
      </c>
      <c r="H2602" s="21">
        <v>1577.69</v>
      </c>
      <c r="I2602">
        <v>5</v>
      </c>
      <c r="J2602" s="21">
        <v>78.88</v>
      </c>
      <c r="K2602">
        <v>12</v>
      </c>
      <c r="L2602" s="21">
        <v>179.86</v>
      </c>
      <c r="M2602" s="21">
        <v>1678.67</v>
      </c>
      <c r="N2602" s="21">
        <v>988.57</v>
      </c>
      <c r="O2602" s="21">
        <v>510.24</v>
      </c>
      <c r="P2602" t="s">
        <v>125</v>
      </c>
      <c r="Q2602" t="s">
        <v>122</v>
      </c>
      <c r="R2602" t="s">
        <v>151</v>
      </c>
      <c r="S2602" t="s">
        <v>1024</v>
      </c>
      <c r="T2602" t="s">
        <v>153</v>
      </c>
      <c r="U2602" t="s">
        <v>154</v>
      </c>
      <c r="V2602" t="str">
        <f>IFERROR(INDEX(Products!$C:$C,MATCH(D2602,Products!$A:$A,0)),"Unknown")</f>
        <v>Handbags</v>
      </c>
      <c r="W2602" t="str">
        <f>IFERROR(INDEX(Products!$E:$E,MATCH(D2602,Products!$A:$A,0)),"Unknown")</f>
        <v>Fastrack</v>
      </c>
      <c r="X2602" t="str">
        <f>IFERROR(INDEX(Stores!$B:$B,MATCH(E2602,Stores!$A:$A,0)),"Unknown")</f>
        <v>TrendMart Nellore Mall Kiosk</v>
      </c>
      <c r="Y2602" t="str">
        <f>IFERROR(INDEX(Stores!$E:$E,MATCH(E2602,Stores!$A:$A,0)),"Unknown")</f>
        <v>South Zone 3</v>
      </c>
      <c r="Z2602" t="str">
        <f>IFERROR(INDEX(Customers!$J:$J,MATCH(C2602,Customers!$A:$A,0)),"Unknown")</f>
        <v>Gold</v>
      </c>
      <c r="AA2602" t="str">
        <f t="shared" si="40"/>
        <v>2024-10</v>
      </c>
      <c r="AB2602" t="str">
        <f>IFERROR(INDEX(Products!$I:$I,MATCH(D2602,Products!$A:$A,0)),"Unknown")</f>
        <v>SUP069</v>
      </c>
    </row>
    <row r="2603" spans="1:28" x14ac:dyDescent="0.25">
      <c r="A2603" t="s">
        <v>4662</v>
      </c>
      <c r="B2603" s="20">
        <v>45645</v>
      </c>
      <c r="C2603" t="s">
        <v>2300</v>
      </c>
      <c r="D2603" t="s">
        <v>1044</v>
      </c>
      <c r="E2603" t="s">
        <v>96</v>
      </c>
      <c r="F2603" t="s">
        <v>403</v>
      </c>
      <c r="G2603">
        <v>4</v>
      </c>
      <c r="H2603" s="21">
        <v>583.66</v>
      </c>
      <c r="I2603">
        <v>0</v>
      </c>
      <c r="J2603" s="21">
        <v>0</v>
      </c>
      <c r="K2603">
        <v>5</v>
      </c>
      <c r="L2603" s="21">
        <v>116.73</v>
      </c>
      <c r="M2603" s="21">
        <v>2451.37</v>
      </c>
      <c r="N2603" s="21">
        <v>1340.6</v>
      </c>
      <c r="O2603" s="21">
        <v>994.04</v>
      </c>
      <c r="P2603" t="s">
        <v>126</v>
      </c>
      <c r="Q2603" t="s">
        <v>122</v>
      </c>
      <c r="R2603" t="s">
        <v>151</v>
      </c>
      <c r="S2603" t="s">
        <v>2621</v>
      </c>
      <c r="T2603" t="s">
        <v>153</v>
      </c>
      <c r="U2603" t="s">
        <v>154</v>
      </c>
      <c r="V2603" t="str">
        <f>IFERROR(INDEX(Products!$C:$C,MATCH(D2603,Products!$A:$A,0)),"Unknown")</f>
        <v>Men T-Shirts</v>
      </c>
      <c r="W2603" t="str">
        <f>IFERROR(INDEX(Products!$E:$E,MATCH(D2603,Products!$A:$A,0)),"Unknown")</f>
        <v>Mufti</v>
      </c>
      <c r="X2603" t="str">
        <f>IFERROR(INDEX(Stores!$B:$B,MATCH(E2603,Stores!$A:$A,0)),"Unknown")</f>
        <v>TrendMart Shivamogga Outlet</v>
      </c>
      <c r="Y2603" t="str">
        <f>IFERROR(INDEX(Stores!$E:$E,MATCH(E2603,Stores!$A:$A,0)),"Unknown")</f>
        <v>South Zone 2</v>
      </c>
      <c r="Z2603" t="str">
        <f>IFERROR(INDEX(Customers!$J:$J,MATCH(C2603,Customers!$A:$A,0)),"Unknown")</f>
        <v>Regular</v>
      </c>
      <c r="AA2603" t="str">
        <f t="shared" si="40"/>
        <v>2024-12</v>
      </c>
      <c r="AB2603" t="str">
        <f>IFERROR(INDEX(Products!$I:$I,MATCH(D2603,Products!$A:$A,0)),"Unknown")</f>
        <v>SUP042</v>
      </c>
    </row>
    <row r="2604" spans="1:28" x14ac:dyDescent="0.25">
      <c r="A2604" t="s">
        <v>4663</v>
      </c>
      <c r="B2604" s="20">
        <v>45595</v>
      </c>
      <c r="C2604" t="s">
        <v>2011</v>
      </c>
      <c r="D2604" t="s">
        <v>415</v>
      </c>
      <c r="E2604" t="s">
        <v>741</v>
      </c>
      <c r="F2604" t="s">
        <v>344</v>
      </c>
      <c r="G2604">
        <v>2</v>
      </c>
      <c r="H2604" s="21">
        <v>1421.93</v>
      </c>
      <c r="I2604">
        <v>10</v>
      </c>
      <c r="J2604" s="21">
        <v>284.39</v>
      </c>
      <c r="K2604">
        <v>12</v>
      </c>
      <c r="L2604" s="21">
        <v>307.14</v>
      </c>
      <c r="M2604" s="21">
        <v>2866.61</v>
      </c>
      <c r="N2604" s="21">
        <v>2094.96</v>
      </c>
      <c r="O2604" s="21">
        <v>464.51</v>
      </c>
      <c r="P2604" t="s">
        <v>125</v>
      </c>
      <c r="Q2604" t="s">
        <v>120</v>
      </c>
      <c r="R2604" t="s">
        <v>151</v>
      </c>
      <c r="S2604" t="s">
        <v>972</v>
      </c>
      <c r="T2604" t="s">
        <v>153</v>
      </c>
      <c r="U2604" t="s">
        <v>154</v>
      </c>
      <c r="V2604" t="str">
        <f>IFERROR(INDEX(Products!$C:$C,MATCH(D2604,Products!$A:$A,0)),"Unknown")</f>
        <v>Women Jeans</v>
      </c>
      <c r="W2604" t="str">
        <f>IFERROR(INDEX(Products!$E:$E,MATCH(D2604,Products!$A:$A,0)),"Unknown")</f>
        <v>Killer Jeans</v>
      </c>
      <c r="X2604" t="str">
        <f>IFERROR(INDEX(Stores!$B:$B,MATCH(E2604,Stores!$A:$A,0)),"Unknown")</f>
        <v>TrendMart Nellore Mall Kiosk</v>
      </c>
      <c r="Y2604" t="str">
        <f>IFERROR(INDEX(Stores!$E:$E,MATCH(E2604,Stores!$A:$A,0)),"Unknown")</f>
        <v>South Zone 3</v>
      </c>
      <c r="Z2604" t="str">
        <f>IFERROR(INDEX(Customers!$J:$J,MATCH(C2604,Customers!$A:$A,0)),"Unknown")</f>
        <v>Gold</v>
      </c>
      <c r="AA2604" t="str">
        <f t="shared" si="40"/>
        <v>2024-10</v>
      </c>
      <c r="AB2604" t="str">
        <f>IFERROR(INDEX(Products!$I:$I,MATCH(D2604,Products!$A:$A,0)),"Unknown")</f>
        <v>SUP070</v>
      </c>
    </row>
    <row r="2605" spans="1:28" x14ac:dyDescent="0.25">
      <c r="A2605" t="s">
        <v>4664</v>
      </c>
      <c r="B2605" s="20">
        <v>45407</v>
      </c>
      <c r="C2605" t="s">
        <v>3232</v>
      </c>
      <c r="D2605" t="s">
        <v>279</v>
      </c>
      <c r="E2605" t="s">
        <v>848</v>
      </c>
      <c r="F2605" t="s">
        <v>232</v>
      </c>
      <c r="G2605">
        <v>2</v>
      </c>
      <c r="H2605" s="21">
        <v>2984.75</v>
      </c>
      <c r="I2605">
        <v>30</v>
      </c>
      <c r="J2605" s="21">
        <v>1790.85</v>
      </c>
      <c r="K2605">
        <v>12</v>
      </c>
      <c r="L2605" s="21">
        <v>501.44</v>
      </c>
      <c r="M2605" s="21">
        <v>4680.09</v>
      </c>
      <c r="N2605" s="21">
        <v>4138.66</v>
      </c>
      <c r="O2605" s="21">
        <v>39.99</v>
      </c>
      <c r="P2605" t="s">
        <v>125</v>
      </c>
      <c r="Q2605" t="s">
        <v>120</v>
      </c>
      <c r="R2605" t="s">
        <v>151</v>
      </c>
      <c r="S2605" t="s">
        <v>1798</v>
      </c>
      <c r="T2605" t="s">
        <v>153</v>
      </c>
      <c r="U2605" t="s">
        <v>154</v>
      </c>
      <c r="V2605" t="str">
        <f>IFERROR(INDEX(Products!$C:$C,MATCH(D2605,Products!$A:$A,0)),"Unknown")</f>
        <v>Handbags</v>
      </c>
      <c r="W2605" t="str">
        <f>IFERROR(INDEX(Products!$E:$E,MATCH(D2605,Products!$A:$A,0)),"Unknown")</f>
        <v>Westside</v>
      </c>
      <c r="X2605" t="str">
        <f>IFERROR(INDEX(Stores!$B:$B,MATCH(E2605,Stores!$A:$A,0)),"Unknown")</f>
        <v>TrendMart Shivamogga Standard</v>
      </c>
      <c r="Y2605" t="str">
        <f>IFERROR(INDEX(Stores!$E:$E,MATCH(E2605,Stores!$A:$A,0)),"Unknown")</f>
        <v>South Zone 2</v>
      </c>
      <c r="Z2605" t="str">
        <f>IFERROR(INDEX(Customers!$J:$J,MATCH(C2605,Customers!$A:$A,0)),"Unknown")</f>
        <v>Regular</v>
      </c>
      <c r="AA2605" t="str">
        <f t="shared" si="40"/>
        <v>2024-04</v>
      </c>
      <c r="AB2605" t="str">
        <f>IFERROR(INDEX(Products!$I:$I,MATCH(D2605,Products!$A:$A,0)),"Unknown")</f>
        <v>SUP066</v>
      </c>
    </row>
    <row r="2606" spans="1:28" x14ac:dyDescent="0.25">
      <c r="A2606" t="s">
        <v>4665</v>
      </c>
      <c r="B2606" s="20">
        <v>45734</v>
      </c>
      <c r="C2606" t="s">
        <v>1315</v>
      </c>
      <c r="D2606" t="s">
        <v>947</v>
      </c>
      <c r="E2606" t="s">
        <v>241</v>
      </c>
      <c r="F2606" t="s">
        <v>195</v>
      </c>
      <c r="G2606">
        <v>1</v>
      </c>
      <c r="H2606" s="21">
        <v>763.29</v>
      </c>
      <c r="I2606">
        <v>0</v>
      </c>
      <c r="J2606" s="21">
        <v>0</v>
      </c>
      <c r="K2606">
        <v>5</v>
      </c>
      <c r="L2606" s="21">
        <v>38.159999999999997</v>
      </c>
      <c r="M2606" s="21">
        <v>801.45</v>
      </c>
      <c r="N2606" s="21">
        <v>569.35</v>
      </c>
      <c r="O2606" s="21">
        <v>193.94</v>
      </c>
      <c r="P2606" t="s">
        <v>124</v>
      </c>
      <c r="Q2606" t="s">
        <v>120</v>
      </c>
      <c r="R2606" t="s">
        <v>151</v>
      </c>
      <c r="S2606" t="s">
        <v>1356</v>
      </c>
      <c r="T2606" t="s">
        <v>153</v>
      </c>
      <c r="U2606" t="s">
        <v>154</v>
      </c>
      <c r="V2606" t="str">
        <f>IFERROR(INDEX(Products!$C:$C,MATCH(D2606,Products!$A:$A,0)),"Unknown")</f>
        <v>Women Kurtis</v>
      </c>
      <c r="W2606" t="str">
        <f>IFERROR(INDEX(Products!$E:$E,MATCH(D2606,Products!$A:$A,0)),"Unknown")</f>
        <v>Sonata</v>
      </c>
      <c r="X2606" t="str">
        <f>IFERROR(INDEX(Stores!$B:$B,MATCH(E2606,Stores!$A:$A,0)),"Unknown")</f>
        <v>TrendMart Nizamabad Mall Kiosk</v>
      </c>
      <c r="Y2606" t="str">
        <f>IFERROR(INDEX(Stores!$E:$E,MATCH(E2606,Stores!$A:$A,0)),"Unknown")</f>
        <v>South Zone 2</v>
      </c>
      <c r="Z2606" t="str">
        <f>IFERROR(INDEX(Customers!$J:$J,MATCH(C2606,Customers!$A:$A,0)),"Unknown")</f>
        <v>Platinum</v>
      </c>
      <c r="AA2606" t="str">
        <f t="shared" si="40"/>
        <v>2025-03</v>
      </c>
      <c r="AB2606" t="str">
        <f>IFERROR(INDEX(Products!$I:$I,MATCH(D2606,Products!$A:$A,0)),"Unknown")</f>
        <v>SUP001</v>
      </c>
    </row>
    <row r="2607" spans="1:28" x14ac:dyDescent="0.25">
      <c r="A2607" t="s">
        <v>4666</v>
      </c>
      <c r="B2607" s="20">
        <v>45426</v>
      </c>
      <c r="C2607" t="s">
        <v>1305</v>
      </c>
      <c r="D2607" t="s">
        <v>1550</v>
      </c>
      <c r="E2607" t="s">
        <v>752</v>
      </c>
      <c r="F2607" t="s">
        <v>434</v>
      </c>
      <c r="G2607">
        <v>1</v>
      </c>
      <c r="H2607" s="21">
        <v>2366.56</v>
      </c>
      <c r="I2607">
        <v>0</v>
      </c>
      <c r="J2607" s="21">
        <v>0</v>
      </c>
      <c r="K2607">
        <v>12</v>
      </c>
      <c r="L2607" s="21">
        <v>283.99</v>
      </c>
      <c r="M2607" s="21">
        <v>2650.55</v>
      </c>
      <c r="N2607" s="21">
        <v>1862.35</v>
      </c>
      <c r="O2607" s="21">
        <v>504.21</v>
      </c>
      <c r="P2607" t="s">
        <v>124</v>
      </c>
      <c r="Q2607" t="s">
        <v>120</v>
      </c>
      <c r="R2607" t="s">
        <v>151</v>
      </c>
      <c r="S2607" t="s">
        <v>979</v>
      </c>
      <c r="T2607" t="s">
        <v>153</v>
      </c>
      <c r="U2607" t="s">
        <v>154</v>
      </c>
      <c r="V2607" t="str">
        <f>IFERROR(INDEX(Products!$C:$C,MATCH(D2607,Products!$A:$A,0)),"Unknown")</f>
        <v>Footwear</v>
      </c>
      <c r="W2607" t="str">
        <f>IFERROR(INDEX(Products!$E:$E,MATCH(D2607,Products!$A:$A,0)),"Unknown")</f>
        <v>Pothys</v>
      </c>
      <c r="X2607" t="str">
        <f>IFERROR(INDEX(Stores!$B:$B,MATCH(E2607,Stores!$A:$A,0)),"Unknown")</f>
        <v>TrendMart Dindigul High Street</v>
      </c>
      <c r="Y2607" t="str">
        <f>IFERROR(INDEX(Stores!$E:$E,MATCH(E2607,Stores!$A:$A,0)),"Unknown")</f>
        <v>South Zone 1</v>
      </c>
      <c r="Z2607" t="str">
        <f>IFERROR(INDEX(Customers!$J:$J,MATCH(C2607,Customers!$A:$A,0)),"Unknown")</f>
        <v>Gold</v>
      </c>
      <c r="AA2607" t="str">
        <f t="shared" si="40"/>
        <v>2024-05</v>
      </c>
      <c r="AB2607" t="str">
        <f>IFERROR(INDEX(Products!$I:$I,MATCH(D2607,Products!$A:$A,0)),"Unknown")</f>
        <v>SUP061</v>
      </c>
    </row>
    <row r="2608" spans="1:28" x14ac:dyDescent="0.25">
      <c r="A2608" t="s">
        <v>4667</v>
      </c>
      <c r="B2608" s="20">
        <v>45442</v>
      </c>
      <c r="C2608" t="s">
        <v>776</v>
      </c>
      <c r="D2608" t="s">
        <v>531</v>
      </c>
      <c r="E2608" t="s">
        <v>1163</v>
      </c>
      <c r="F2608" t="s">
        <v>550</v>
      </c>
      <c r="G2608">
        <v>3</v>
      </c>
      <c r="H2608" s="21">
        <v>3082.01</v>
      </c>
      <c r="I2608">
        <v>20</v>
      </c>
      <c r="J2608" s="21">
        <v>1849.21</v>
      </c>
      <c r="K2608">
        <v>12</v>
      </c>
      <c r="L2608" s="21">
        <v>887.62</v>
      </c>
      <c r="M2608" s="21">
        <v>8284.44</v>
      </c>
      <c r="N2608" s="21">
        <v>6102.03</v>
      </c>
      <c r="O2608" s="21">
        <v>1294.79</v>
      </c>
      <c r="P2608" t="s">
        <v>124</v>
      </c>
      <c r="Q2608" t="s">
        <v>122</v>
      </c>
      <c r="R2608" t="s">
        <v>313</v>
      </c>
      <c r="S2608" t="s">
        <v>2950</v>
      </c>
      <c r="T2608" t="s">
        <v>153</v>
      </c>
      <c r="U2608" t="s">
        <v>154</v>
      </c>
      <c r="V2608" t="str">
        <f>IFERROR(INDEX(Products!$C:$C,MATCH(D2608,Products!$A:$A,0)),"Unknown")</f>
        <v>Handbags</v>
      </c>
      <c r="W2608" t="str">
        <f>IFERROR(INDEX(Products!$E:$E,MATCH(D2608,Products!$A:$A,0)),"Unknown")</f>
        <v>GRT Jewellers</v>
      </c>
      <c r="X2608" t="str">
        <f>IFERROR(INDEX(Stores!$B:$B,MATCH(E2608,Stores!$A:$A,0)),"Unknown")</f>
        <v>TrendMart Alappuzha Outlet</v>
      </c>
      <c r="Y2608" t="str">
        <f>IFERROR(INDEX(Stores!$E:$E,MATCH(E2608,Stores!$A:$A,0)),"Unknown")</f>
        <v>South Zone 1</v>
      </c>
      <c r="Z2608" t="str">
        <f>IFERROR(INDEX(Customers!$J:$J,MATCH(C2608,Customers!$A:$A,0)),"Unknown")</f>
        <v>Silver</v>
      </c>
      <c r="AA2608" t="str">
        <f t="shared" si="40"/>
        <v>2024-05</v>
      </c>
      <c r="AB2608" t="str">
        <f>IFERROR(INDEX(Products!$I:$I,MATCH(D2608,Products!$A:$A,0)),"Unknown")</f>
        <v>SUP047</v>
      </c>
    </row>
    <row r="2609" spans="1:28" x14ac:dyDescent="0.25">
      <c r="A2609" t="s">
        <v>4668</v>
      </c>
      <c r="B2609" s="20">
        <v>45616</v>
      </c>
      <c r="C2609" t="s">
        <v>605</v>
      </c>
      <c r="D2609" t="s">
        <v>858</v>
      </c>
      <c r="E2609" t="s">
        <v>541</v>
      </c>
      <c r="F2609" t="s">
        <v>195</v>
      </c>
      <c r="G2609">
        <v>2</v>
      </c>
      <c r="H2609" s="21">
        <v>705.12</v>
      </c>
      <c r="I2609">
        <v>10</v>
      </c>
      <c r="J2609" s="21">
        <v>141.02000000000001</v>
      </c>
      <c r="K2609">
        <v>5</v>
      </c>
      <c r="L2609" s="21">
        <v>63.46</v>
      </c>
      <c r="M2609" s="21">
        <v>1332.68</v>
      </c>
      <c r="N2609" s="21">
        <v>1050.9000000000001</v>
      </c>
      <c r="O2609" s="21">
        <v>218.32</v>
      </c>
      <c r="P2609" t="s">
        <v>125</v>
      </c>
      <c r="Q2609" t="s">
        <v>120</v>
      </c>
      <c r="R2609" t="s">
        <v>151</v>
      </c>
      <c r="S2609" t="s">
        <v>911</v>
      </c>
      <c r="T2609" t="s">
        <v>153</v>
      </c>
      <c r="U2609" t="s">
        <v>154</v>
      </c>
      <c r="V2609" t="str">
        <f>IFERROR(INDEX(Products!$C:$C,MATCH(D2609,Products!$A:$A,0)),"Unknown")</f>
        <v>Kids Wear</v>
      </c>
      <c r="W2609" t="str">
        <f>IFERROR(INDEX(Products!$E:$E,MATCH(D2609,Products!$A:$A,0)),"Unknown")</f>
        <v>Sonata</v>
      </c>
      <c r="X2609" t="str">
        <f>IFERROR(INDEX(Stores!$B:$B,MATCH(E2609,Stores!$A:$A,0)),"Unknown")</f>
        <v>TrendMart Kochi Standard</v>
      </c>
      <c r="Y2609" t="str">
        <f>IFERROR(INDEX(Stores!$E:$E,MATCH(E2609,Stores!$A:$A,0)),"Unknown")</f>
        <v>South Zone 1</v>
      </c>
      <c r="Z2609" t="str">
        <f>IFERROR(INDEX(Customers!$J:$J,MATCH(C2609,Customers!$A:$A,0)),"Unknown")</f>
        <v>Regular</v>
      </c>
      <c r="AA2609" t="str">
        <f t="shared" si="40"/>
        <v>2024-11</v>
      </c>
      <c r="AB2609" t="str">
        <f>IFERROR(INDEX(Products!$I:$I,MATCH(D2609,Products!$A:$A,0)),"Unknown")</f>
        <v>SUP089</v>
      </c>
    </row>
    <row r="2610" spans="1:28" x14ac:dyDescent="0.25">
      <c r="A2610" t="s">
        <v>4669</v>
      </c>
      <c r="B2610" s="20">
        <v>45403</v>
      </c>
      <c r="C2610" t="s">
        <v>1462</v>
      </c>
      <c r="D2610" t="s">
        <v>169</v>
      </c>
      <c r="E2610" t="s">
        <v>588</v>
      </c>
      <c r="F2610" t="s">
        <v>269</v>
      </c>
      <c r="G2610">
        <v>3</v>
      </c>
      <c r="H2610" s="21">
        <v>5456.92</v>
      </c>
      <c r="I2610">
        <v>5</v>
      </c>
      <c r="J2610" s="21">
        <v>818.54</v>
      </c>
      <c r="K2610">
        <v>12</v>
      </c>
      <c r="L2610" s="21">
        <v>1866.27</v>
      </c>
      <c r="M2610" s="21">
        <v>17418.490000000002</v>
      </c>
      <c r="N2610" s="21">
        <v>10112.4</v>
      </c>
      <c r="O2610" s="21">
        <v>5439.82</v>
      </c>
      <c r="P2610" t="s">
        <v>125</v>
      </c>
      <c r="Q2610" t="s">
        <v>120</v>
      </c>
      <c r="R2610" t="s">
        <v>151</v>
      </c>
      <c r="S2610" t="s">
        <v>2326</v>
      </c>
      <c r="T2610" t="s">
        <v>161</v>
      </c>
      <c r="U2610" t="s">
        <v>154</v>
      </c>
      <c r="V2610" t="str">
        <f>IFERROR(INDEX(Products!$C:$C,MATCH(D2610,Products!$A:$A,0)),"Unknown")</f>
        <v>Women Sarees</v>
      </c>
      <c r="W2610" t="str">
        <f>IFERROR(INDEX(Products!$E:$E,MATCH(D2610,Products!$A:$A,0)),"Unknown")</f>
        <v>Max Fashion</v>
      </c>
      <c r="X2610" t="str">
        <f>IFERROR(INDEX(Stores!$B:$B,MATCH(E2610,Stores!$A:$A,0)),"Unknown")</f>
        <v>TrendMart Nizamabad Standard</v>
      </c>
      <c r="Y2610" t="str">
        <f>IFERROR(INDEX(Stores!$E:$E,MATCH(E2610,Stores!$A:$A,0)),"Unknown")</f>
        <v>South Zone 2</v>
      </c>
      <c r="Z2610" t="str">
        <f>IFERROR(INDEX(Customers!$J:$J,MATCH(C2610,Customers!$A:$A,0)),"Unknown")</f>
        <v>Silver</v>
      </c>
      <c r="AA2610" t="str">
        <f t="shared" si="40"/>
        <v>2024-04</v>
      </c>
      <c r="AB2610" t="str">
        <f>IFERROR(INDEX(Products!$I:$I,MATCH(D2610,Products!$A:$A,0)),"Unknown")</f>
        <v>SUP084</v>
      </c>
    </row>
    <row r="2611" spans="1:28" x14ac:dyDescent="0.25">
      <c r="A2611" t="s">
        <v>4670</v>
      </c>
      <c r="B2611" s="20">
        <v>45600</v>
      </c>
      <c r="C2611" t="s">
        <v>2215</v>
      </c>
      <c r="D2611" t="s">
        <v>1616</v>
      </c>
      <c r="E2611" t="s">
        <v>495</v>
      </c>
      <c r="F2611" t="s">
        <v>397</v>
      </c>
      <c r="G2611">
        <v>2</v>
      </c>
      <c r="H2611" s="21">
        <v>4612.2</v>
      </c>
      <c r="I2611">
        <v>25</v>
      </c>
      <c r="J2611" s="21">
        <v>2306.1</v>
      </c>
      <c r="K2611">
        <v>12</v>
      </c>
      <c r="L2611" s="21">
        <v>830.2</v>
      </c>
      <c r="M2611" s="21">
        <v>7748.5</v>
      </c>
      <c r="N2611" s="21">
        <v>6046.26</v>
      </c>
      <c r="O2611" s="21">
        <v>872.04</v>
      </c>
      <c r="P2611" t="s">
        <v>123</v>
      </c>
      <c r="Q2611" t="s">
        <v>120</v>
      </c>
      <c r="R2611" t="s">
        <v>151</v>
      </c>
      <c r="S2611" t="s">
        <v>735</v>
      </c>
      <c r="T2611" t="s">
        <v>153</v>
      </c>
      <c r="U2611" t="s">
        <v>154</v>
      </c>
      <c r="V2611" t="str">
        <f>IFERROR(INDEX(Products!$C:$C,MATCH(D2611,Products!$A:$A,0)),"Unknown")</f>
        <v>Women Sarees</v>
      </c>
      <c r="W2611" t="str">
        <f>IFERROR(INDEX(Products!$E:$E,MATCH(D2611,Products!$A:$A,0)),"Unknown")</f>
        <v>Max Fashion</v>
      </c>
      <c r="X2611" t="str">
        <f>IFERROR(INDEX(Stores!$B:$B,MATCH(E2611,Stores!$A:$A,0)),"Unknown")</f>
        <v>TrendMart Visakhapatnam Flagship</v>
      </c>
      <c r="Y2611" t="str">
        <f>IFERROR(INDEX(Stores!$E:$E,MATCH(E2611,Stores!$A:$A,0)),"Unknown")</f>
        <v>South Zone 3</v>
      </c>
      <c r="Z2611" t="str">
        <f>IFERROR(INDEX(Customers!$J:$J,MATCH(C2611,Customers!$A:$A,0)),"Unknown")</f>
        <v>Gold</v>
      </c>
      <c r="AA2611" t="str">
        <f t="shared" si="40"/>
        <v>2024-11</v>
      </c>
      <c r="AB2611" t="str">
        <f>IFERROR(INDEX(Products!$I:$I,MATCH(D2611,Products!$A:$A,0)),"Unknown")</f>
        <v>SUP047</v>
      </c>
    </row>
    <row r="2612" spans="1:28" x14ac:dyDescent="0.25">
      <c r="A2612" t="s">
        <v>4671</v>
      </c>
      <c r="B2612" s="20">
        <v>45553</v>
      </c>
      <c r="C2612" t="s">
        <v>3236</v>
      </c>
      <c r="D2612" t="s">
        <v>629</v>
      </c>
      <c r="E2612" t="s">
        <v>477</v>
      </c>
      <c r="F2612" t="s">
        <v>579</v>
      </c>
      <c r="G2612">
        <v>4</v>
      </c>
      <c r="H2612" s="21">
        <v>6888</v>
      </c>
      <c r="I2612">
        <v>5</v>
      </c>
      <c r="J2612" s="21">
        <v>1377.6</v>
      </c>
      <c r="K2612">
        <v>3</v>
      </c>
      <c r="L2612" s="21">
        <v>785.23</v>
      </c>
      <c r="M2612" s="21">
        <v>26959.63</v>
      </c>
      <c r="N2612" s="21">
        <v>19468.84</v>
      </c>
      <c r="O2612" s="21">
        <v>6705.56</v>
      </c>
      <c r="P2612" t="s">
        <v>121</v>
      </c>
      <c r="Q2612" t="s">
        <v>120</v>
      </c>
      <c r="R2612" t="s">
        <v>151</v>
      </c>
      <c r="S2612" t="s">
        <v>1898</v>
      </c>
      <c r="T2612" t="s">
        <v>153</v>
      </c>
      <c r="U2612" t="s">
        <v>154</v>
      </c>
      <c r="V2612" t="str">
        <f>IFERROR(INDEX(Products!$C:$C,MATCH(D2612,Products!$A:$A,0)),"Unknown")</f>
        <v>Jewellery</v>
      </c>
      <c r="W2612" t="str">
        <f>IFERROR(INDEX(Products!$E:$E,MATCH(D2612,Products!$A:$A,0)),"Unknown")</f>
        <v>Global Desi</v>
      </c>
      <c r="X2612" t="str">
        <f>IFERROR(INDEX(Stores!$B:$B,MATCH(E2612,Stores!$A:$A,0)),"Unknown")</f>
        <v>TrendMart Hubballi Standard</v>
      </c>
      <c r="Y2612" t="str">
        <f>IFERROR(INDEX(Stores!$E:$E,MATCH(E2612,Stores!$A:$A,0)),"Unknown")</f>
        <v>South Zone 2</v>
      </c>
      <c r="Z2612" t="str">
        <f>IFERROR(INDEX(Customers!$J:$J,MATCH(C2612,Customers!$A:$A,0)),"Unknown")</f>
        <v>Regular</v>
      </c>
      <c r="AA2612" t="str">
        <f t="shared" si="40"/>
        <v>2024-09</v>
      </c>
      <c r="AB2612" t="str">
        <f>IFERROR(INDEX(Products!$I:$I,MATCH(D2612,Products!$A:$A,0)),"Unknown")</f>
        <v>SUP066</v>
      </c>
    </row>
    <row r="2613" spans="1:28" x14ac:dyDescent="0.25">
      <c r="A2613" t="s">
        <v>4672</v>
      </c>
      <c r="B2613" s="20">
        <v>45478</v>
      </c>
      <c r="C2613" t="s">
        <v>3098</v>
      </c>
      <c r="D2613" t="s">
        <v>1292</v>
      </c>
      <c r="E2613" t="s">
        <v>741</v>
      </c>
      <c r="F2613" t="s">
        <v>344</v>
      </c>
      <c r="G2613">
        <v>3</v>
      </c>
      <c r="H2613" s="21">
        <v>552.71</v>
      </c>
      <c r="I2613">
        <v>5</v>
      </c>
      <c r="J2613" s="21">
        <v>82.91</v>
      </c>
      <c r="K2613">
        <v>5</v>
      </c>
      <c r="L2613" s="21">
        <v>78.760000000000005</v>
      </c>
      <c r="M2613" s="21">
        <v>1653.98</v>
      </c>
      <c r="N2613" s="21">
        <v>1046.25</v>
      </c>
      <c r="O2613" s="21">
        <v>528.97</v>
      </c>
      <c r="P2613" t="s">
        <v>121</v>
      </c>
      <c r="Q2613" t="s">
        <v>122</v>
      </c>
      <c r="R2613" t="s">
        <v>151</v>
      </c>
      <c r="S2613" t="s">
        <v>1622</v>
      </c>
      <c r="T2613" t="s">
        <v>153</v>
      </c>
      <c r="U2613" t="s">
        <v>154</v>
      </c>
      <c r="V2613" t="str">
        <f>IFERROR(INDEX(Products!$C:$C,MATCH(D2613,Products!$A:$A,0)),"Unknown")</f>
        <v>Men T-Shirts</v>
      </c>
      <c r="W2613" t="str">
        <f>IFERROR(INDEX(Products!$E:$E,MATCH(D2613,Products!$A:$A,0)),"Unknown")</f>
        <v>Metro Shoes</v>
      </c>
      <c r="X2613" t="str">
        <f>IFERROR(INDEX(Stores!$B:$B,MATCH(E2613,Stores!$A:$A,0)),"Unknown")</f>
        <v>TrendMart Nellore Mall Kiosk</v>
      </c>
      <c r="Y2613" t="str">
        <f>IFERROR(INDEX(Stores!$E:$E,MATCH(E2613,Stores!$A:$A,0)),"Unknown")</f>
        <v>South Zone 3</v>
      </c>
      <c r="Z2613" t="str">
        <f>IFERROR(INDEX(Customers!$J:$J,MATCH(C2613,Customers!$A:$A,0)),"Unknown")</f>
        <v>Gold</v>
      </c>
      <c r="AA2613" t="str">
        <f t="shared" si="40"/>
        <v>2024-07</v>
      </c>
      <c r="AB2613" t="str">
        <f>IFERROR(INDEX(Products!$I:$I,MATCH(D2613,Products!$A:$A,0)),"Unknown")</f>
        <v>SUP024</v>
      </c>
    </row>
    <row r="2614" spans="1:28" x14ac:dyDescent="0.25">
      <c r="A2614" t="s">
        <v>4673</v>
      </c>
      <c r="B2614" s="20">
        <v>45640</v>
      </c>
      <c r="C2614" t="s">
        <v>943</v>
      </c>
      <c r="D2614" t="s">
        <v>531</v>
      </c>
      <c r="E2614" t="s">
        <v>477</v>
      </c>
      <c r="F2614" t="s">
        <v>596</v>
      </c>
      <c r="G2614">
        <v>3</v>
      </c>
      <c r="H2614" s="21">
        <v>3007.71</v>
      </c>
      <c r="I2614">
        <v>25</v>
      </c>
      <c r="J2614" s="21">
        <v>2255.7800000000002</v>
      </c>
      <c r="K2614">
        <v>12</v>
      </c>
      <c r="L2614" s="21">
        <v>812.08</v>
      </c>
      <c r="M2614" s="21">
        <v>7579.43</v>
      </c>
      <c r="N2614" s="21">
        <v>6102.03</v>
      </c>
      <c r="O2614" s="21">
        <v>665.32</v>
      </c>
      <c r="P2614" t="s">
        <v>123</v>
      </c>
      <c r="Q2614" t="s">
        <v>120</v>
      </c>
      <c r="R2614" t="s">
        <v>313</v>
      </c>
      <c r="S2614" t="s">
        <v>2725</v>
      </c>
      <c r="T2614" t="s">
        <v>161</v>
      </c>
      <c r="U2614" t="s">
        <v>154</v>
      </c>
      <c r="V2614" t="str">
        <f>IFERROR(INDEX(Products!$C:$C,MATCH(D2614,Products!$A:$A,0)),"Unknown")</f>
        <v>Handbags</v>
      </c>
      <c r="W2614" t="str">
        <f>IFERROR(INDEX(Products!$E:$E,MATCH(D2614,Products!$A:$A,0)),"Unknown")</f>
        <v>GRT Jewellers</v>
      </c>
      <c r="X2614" t="str">
        <f>IFERROR(INDEX(Stores!$B:$B,MATCH(E2614,Stores!$A:$A,0)),"Unknown")</f>
        <v>TrendMart Hubballi Standard</v>
      </c>
      <c r="Y2614" t="str">
        <f>IFERROR(INDEX(Stores!$E:$E,MATCH(E2614,Stores!$A:$A,0)),"Unknown")</f>
        <v>South Zone 2</v>
      </c>
      <c r="Z2614" t="str">
        <f>IFERROR(INDEX(Customers!$J:$J,MATCH(C2614,Customers!$A:$A,0)),"Unknown")</f>
        <v>Silver</v>
      </c>
      <c r="AA2614" t="str">
        <f t="shared" si="40"/>
        <v>2024-12</v>
      </c>
      <c r="AB2614" t="str">
        <f>IFERROR(INDEX(Products!$I:$I,MATCH(D2614,Products!$A:$A,0)),"Unknown")</f>
        <v>SUP047</v>
      </c>
    </row>
    <row r="2615" spans="1:28" x14ac:dyDescent="0.25">
      <c r="A2615" t="s">
        <v>4674</v>
      </c>
      <c r="B2615" s="20">
        <v>45648</v>
      </c>
      <c r="C2615" t="s">
        <v>1331</v>
      </c>
      <c r="D2615" t="s">
        <v>1350</v>
      </c>
      <c r="E2615" t="s">
        <v>98</v>
      </c>
      <c r="F2615" t="s">
        <v>344</v>
      </c>
      <c r="G2615">
        <v>1</v>
      </c>
      <c r="H2615" s="21">
        <v>758.5</v>
      </c>
      <c r="I2615">
        <v>15</v>
      </c>
      <c r="J2615" s="21">
        <v>113.78</v>
      </c>
      <c r="K2615">
        <v>5</v>
      </c>
      <c r="L2615" s="21">
        <v>32.24</v>
      </c>
      <c r="M2615" s="21">
        <v>676.96</v>
      </c>
      <c r="N2615" s="21">
        <v>419.4</v>
      </c>
      <c r="O2615" s="21">
        <v>225.32</v>
      </c>
      <c r="P2615" t="s">
        <v>124</v>
      </c>
      <c r="Q2615" t="s">
        <v>122</v>
      </c>
      <c r="R2615" t="s">
        <v>151</v>
      </c>
      <c r="S2615" t="s">
        <v>735</v>
      </c>
      <c r="T2615" t="s">
        <v>161</v>
      </c>
      <c r="U2615" t="s">
        <v>154</v>
      </c>
      <c r="V2615" t="str">
        <f>IFERROR(INDEX(Products!$C:$C,MATCH(D2615,Products!$A:$A,0)),"Unknown")</f>
        <v>Women Tops</v>
      </c>
      <c r="W2615" t="str">
        <f>IFERROR(INDEX(Products!$E:$E,MATCH(D2615,Products!$A:$A,0)),"Unknown")</f>
        <v>Jack &amp; Jones</v>
      </c>
      <c r="X2615" t="str">
        <f>IFERROR(INDEX(Stores!$B:$B,MATCH(E2615,Stores!$A:$A,0)),"Unknown")</f>
        <v>TrendMart Bengaluru Flagship</v>
      </c>
      <c r="Y2615" t="str">
        <f>IFERROR(INDEX(Stores!$E:$E,MATCH(E2615,Stores!$A:$A,0)),"Unknown")</f>
        <v>South Zone 2</v>
      </c>
      <c r="Z2615" t="str">
        <f>IFERROR(INDEX(Customers!$J:$J,MATCH(C2615,Customers!$A:$A,0)),"Unknown")</f>
        <v>Regular</v>
      </c>
      <c r="AA2615" t="str">
        <f t="shared" si="40"/>
        <v>2024-12</v>
      </c>
      <c r="AB2615" t="str">
        <f>IFERROR(INDEX(Products!$I:$I,MATCH(D2615,Products!$A:$A,0)),"Unknown")</f>
        <v>SUP089</v>
      </c>
    </row>
    <row r="2616" spans="1:28" x14ac:dyDescent="0.25">
      <c r="A2616" t="s">
        <v>4675</v>
      </c>
      <c r="B2616" s="20">
        <v>45432</v>
      </c>
      <c r="C2616" t="s">
        <v>1800</v>
      </c>
      <c r="D2616" t="s">
        <v>756</v>
      </c>
      <c r="E2616" t="s">
        <v>247</v>
      </c>
      <c r="F2616" t="s">
        <v>377</v>
      </c>
      <c r="G2616">
        <v>4</v>
      </c>
      <c r="H2616" s="21">
        <v>769.47</v>
      </c>
      <c r="I2616">
        <v>30</v>
      </c>
      <c r="J2616" s="21">
        <v>923.36</v>
      </c>
      <c r="K2616">
        <v>5</v>
      </c>
      <c r="L2616" s="21">
        <v>107.73</v>
      </c>
      <c r="M2616" s="21">
        <v>2262.25</v>
      </c>
      <c r="N2616" s="21">
        <v>2089.52</v>
      </c>
      <c r="O2616" s="21">
        <v>65</v>
      </c>
      <c r="P2616" t="s">
        <v>123</v>
      </c>
      <c r="Q2616" t="s">
        <v>122</v>
      </c>
      <c r="R2616" t="s">
        <v>151</v>
      </c>
      <c r="S2616" t="s">
        <v>902</v>
      </c>
      <c r="T2616" t="s">
        <v>153</v>
      </c>
      <c r="U2616" t="s">
        <v>154</v>
      </c>
      <c r="V2616" t="str">
        <f>IFERROR(INDEX(Products!$C:$C,MATCH(D2616,Products!$A:$A,0)),"Unknown")</f>
        <v>Women Tops</v>
      </c>
      <c r="W2616" t="str">
        <f>IFERROR(INDEX(Products!$E:$E,MATCH(D2616,Products!$A:$A,0)),"Unknown")</f>
        <v>Peter England</v>
      </c>
      <c r="X2616" t="str">
        <f>IFERROR(INDEX(Stores!$B:$B,MATCH(E2616,Stores!$A:$A,0)),"Unknown")</f>
        <v>TrendMart Tirupati Outlet</v>
      </c>
      <c r="Y2616" t="str">
        <f>IFERROR(INDEX(Stores!$E:$E,MATCH(E2616,Stores!$A:$A,0)),"Unknown")</f>
        <v>South Zone 3</v>
      </c>
      <c r="Z2616" t="str">
        <f>IFERROR(INDEX(Customers!$J:$J,MATCH(C2616,Customers!$A:$A,0)),"Unknown")</f>
        <v>Platinum</v>
      </c>
      <c r="AA2616" t="str">
        <f t="shared" si="40"/>
        <v>2024-05</v>
      </c>
      <c r="AB2616" t="str">
        <f>IFERROR(INDEX(Products!$I:$I,MATCH(D2616,Products!$A:$A,0)),"Unknown")</f>
        <v>SUP018</v>
      </c>
    </row>
    <row r="2617" spans="1:28" x14ac:dyDescent="0.25">
      <c r="A2617" t="s">
        <v>4676</v>
      </c>
      <c r="B2617" s="20">
        <v>45521</v>
      </c>
      <c r="C2617" t="s">
        <v>1834</v>
      </c>
      <c r="D2617" t="s">
        <v>531</v>
      </c>
      <c r="E2617" t="s">
        <v>89</v>
      </c>
      <c r="F2617" t="s">
        <v>596</v>
      </c>
      <c r="G2617">
        <v>1</v>
      </c>
      <c r="H2617" s="21">
        <v>3519.04</v>
      </c>
      <c r="I2617">
        <v>15</v>
      </c>
      <c r="J2617" s="21">
        <v>527.86</v>
      </c>
      <c r="K2617">
        <v>12</v>
      </c>
      <c r="L2617" s="21">
        <v>358.94</v>
      </c>
      <c r="M2617" s="21">
        <v>3350.12</v>
      </c>
      <c r="N2617" s="21">
        <v>2034.01</v>
      </c>
      <c r="O2617" s="21">
        <v>957.17</v>
      </c>
      <c r="P2617" t="s">
        <v>124</v>
      </c>
      <c r="Q2617" t="s">
        <v>122</v>
      </c>
      <c r="R2617" t="s">
        <v>151</v>
      </c>
      <c r="S2617" t="s">
        <v>753</v>
      </c>
      <c r="T2617" t="s">
        <v>161</v>
      </c>
      <c r="U2617" t="s">
        <v>154</v>
      </c>
      <c r="V2617" t="str">
        <f>IFERROR(INDEX(Products!$C:$C,MATCH(D2617,Products!$A:$A,0)),"Unknown")</f>
        <v>Handbags</v>
      </c>
      <c r="W2617" t="str">
        <f>IFERROR(INDEX(Products!$E:$E,MATCH(D2617,Products!$A:$A,0)),"Unknown")</f>
        <v>GRT Jewellers</v>
      </c>
      <c r="X2617" t="str">
        <f>IFERROR(INDEX(Stores!$B:$B,MATCH(E2617,Stores!$A:$A,0)),"Unknown")</f>
        <v>TrendMart Kochi Standard</v>
      </c>
      <c r="Y2617" t="str">
        <f>IFERROR(INDEX(Stores!$E:$E,MATCH(E2617,Stores!$A:$A,0)),"Unknown")</f>
        <v>South Zone 1</v>
      </c>
      <c r="Z2617" t="str">
        <f>IFERROR(INDEX(Customers!$J:$J,MATCH(C2617,Customers!$A:$A,0)),"Unknown")</f>
        <v>Silver</v>
      </c>
      <c r="AA2617" t="str">
        <f t="shared" si="40"/>
        <v>2024-08</v>
      </c>
      <c r="AB2617" t="str">
        <f>IFERROR(INDEX(Products!$I:$I,MATCH(D2617,Products!$A:$A,0)),"Unknown")</f>
        <v>SUP047</v>
      </c>
    </row>
    <row r="2618" spans="1:28" x14ac:dyDescent="0.25">
      <c r="A2618" t="s">
        <v>4677</v>
      </c>
      <c r="B2618" s="20">
        <v>45651</v>
      </c>
      <c r="C2618" t="s">
        <v>2355</v>
      </c>
      <c r="D2618" t="s">
        <v>595</v>
      </c>
      <c r="E2618" t="s">
        <v>206</v>
      </c>
      <c r="F2618" t="s">
        <v>297</v>
      </c>
      <c r="G2618">
        <v>3</v>
      </c>
      <c r="H2618" s="21">
        <v>890.05</v>
      </c>
      <c r="I2618">
        <v>5</v>
      </c>
      <c r="J2618" s="21">
        <v>133.51</v>
      </c>
      <c r="K2618">
        <v>5</v>
      </c>
      <c r="L2618" s="21">
        <v>126.83</v>
      </c>
      <c r="M2618" s="21">
        <v>2663.47</v>
      </c>
      <c r="N2618" s="21">
        <v>1771.44</v>
      </c>
      <c r="O2618" s="21">
        <v>765.2</v>
      </c>
      <c r="P2618" t="s">
        <v>123</v>
      </c>
      <c r="Q2618" t="s">
        <v>120</v>
      </c>
      <c r="R2618" t="s">
        <v>313</v>
      </c>
      <c r="S2618" t="s">
        <v>2070</v>
      </c>
      <c r="T2618" t="s">
        <v>153</v>
      </c>
      <c r="U2618" t="s">
        <v>154</v>
      </c>
      <c r="V2618" t="str">
        <f>IFERROR(INDEX(Products!$C:$C,MATCH(D2618,Products!$A:$A,0)),"Unknown")</f>
        <v>Men Shirts</v>
      </c>
      <c r="W2618" t="str">
        <f>IFERROR(INDEX(Products!$E:$E,MATCH(D2618,Products!$A:$A,0)),"Unknown")</f>
        <v>Nalli Silks</v>
      </c>
      <c r="X2618" t="str">
        <f>IFERROR(INDEX(Stores!$B:$B,MATCH(E2618,Stores!$A:$A,0)),"Unknown")</f>
        <v>TrendMart Nizamabad Outlet</v>
      </c>
      <c r="Y2618" t="str">
        <f>IFERROR(INDEX(Stores!$E:$E,MATCH(E2618,Stores!$A:$A,0)),"Unknown")</f>
        <v>South Zone 2</v>
      </c>
      <c r="Z2618" t="str">
        <f>IFERROR(INDEX(Customers!$J:$J,MATCH(C2618,Customers!$A:$A,0)),"Unknown")</f>
        <v>Gold</v>
      </c>
      <c r="AA2618" t="str">
        <f t="shared" si="40"/>
        <v>2024-12</v>
      </c>
      <c r="AB2618" t="str">
        <f>IFERROR(INDEX(Products!$I:$I,MATCH(D2618,Products!$A:$A,0)),"Unknown")</f>
        <v>SUP055</v>
      </c>
    </row>
    <row r="2619" spans="1:28" x14ac:dyDescent="0.25">
      <c r="A2619" t="s">
        <v>4678</v>
      </c>
      <c r="B2619" s="20">
        <v>45493</v>
      </c>
      <c r="C2619" t="s">
        <v>2644</v>
      </c>
      <c r="D2619" t="s">
        <v>868</v>
      </c>
      <c r="E2619" t="s">
        <v>87</v>
      </c>
      <c r="F2619" t="s">
        <v>275</v>
      </c>
      <c r="G2619">
        <v>4</v>
      </c>
      <c r="H2619" s="21">
        <v>1499.37</v>
      </c>
      <c r="I2619">
        <v>10</v>
      </c>
      <c r="J2619" s="21">
        <v>599.75</v>
      </c>
      <c r="K2619">
        <v>12</v>
      </c>
      <c r="L2619" s="21">
        <v>647.73</v>
      </c>
      <c r="M2619" s="21">
        <v>6045.46</v>
      </c>
      <c r="N2619" s="21">
        <v>4062.88</v>
      </c>
      <c r="O2619" s="21">
        <v>1334.85</v>
      </c>
      <c r="P2619" t="s">
        <v>121</v>
      </c>
      <c r="Q2619" t="s">
        <v>120</v>
      </c>
      <c r="R2619" t="s">
        <v>151</v>
      </c>
      <c r="S2619" t="s">
        <v>1482</v>
      </c>
      <c r="T2619" t="s">
        <v>161</v>
      </c>
      <c r="U2619" t="s">
        <v>154</v>
      </c>
      <c r="V2619" t="str">
        <f>IFERROR(INDEX(Products!$C:$C,MATCH(D2619,Products!$A:$A,0)),"Unknown")</f>
        <v>Winter Wear</v>
      </c>
      <c r="W2619" t="str">
        <f>IFERROR(INDEX(Products!$E:$E,MATCH(D2619,Products!$A:$A,0)),"Unknown")</f>
        <v>Liberty</v>
      </c>
      <c r="X2619" t="str">
        <f>IFERROR(INDEX(Stores!$B:$B,MATCH(E2619,Stores!$A:$A,0)),"Unknown")</f>
        <v>TrendMart Thiruvananthapuram Standard</v>
      </c>
      <c r="Y2619" t="str">
        <f>IFERROR(INDEX(Stores!$E:$E,MATCH(E2619,Stores!$A:$A,0)),"Unknown")</f>
        <v>South Zone 1</v>
      </c>
      <c r="Z2619" t="str">
        <f>IFERROR(INDEX(Customers!$J:$J,MATCH(C2619,Customers!$A:$A,0)),"Unknown")</f>
        <v>Silver</v>
      </c>
      <c r="AA2619" t="str">
        <f t="shared" si="40"/>
        <v>2024-07</v>
      </c>
      <c r="AB2619" t="str">
        <f>IFERROR(INDEX(Products!$I:$I,MATCH(D2619,Products!$A:$A,0)),"Unknown")</f>
        <v>SUP012</v>
      </c>
    </row>
    <row r="2620" spans="1:28" x14ac:dyDescent="0.25">
      <c r="A2620" t="s">
        <v>4679</v>
      </c>
      <c r="B2620" s="20">
        <v>45607</v>
      </c>
      <c r="C2620" t="s">
        <v>2325</v>
      </c>
      <c r="D2620" t="s">
        <v>1186</v>
      </c>
      <c r="E2620" t="s">
        <v>798</v>
      </c>
      <c r="F2620" t="s">
        <v>292</v>
      </c>
      <c r="G2620">
        <v>1</v>
      </c>
      <c r="H2620" s="21">
        <v>1152.07</v>
      </c>
      <c r="I2620">
        <v>10</v>
      </c>
      <c r="J2620" s="21">
        <v>115.21</v>
      </c>
      <c r="K2620">
        <v>12</v>
      </c>
      <c r="L2620" s="21">
        <v>124.42</v>
      </c>
      <c r="M2620" s="21">
        <v>1161.28</v>
      </c>
      <c r="N2620" s="21">
        <v>815.45</v>
      </c>
      <c r="O2620" s="21">
        <v>221.41</v>
      </c>
      <c r="P2620" t="s">
        <v>124</v>
      </c>
      <c r="Q2620" t="s">
        <v>122</v>
      </c>
      <c r="R2620" t="s">
        <v>151</v>
      </c>
      <c r="S2620" t="s">
        <v>1671</v>
      </c>
      <c r="T2620" t="s">
        <v>153</v>
      </c>
      <c r="U2620" t="s">
        <v>154</v>
      </c>
      <c r="V2620" t="str">
        <f>IFERROR(INDEX(Products!$C:$C,MATCH(D2620,Products!$A:$A,0)),"Unknown")</f>
        <v>Wallets</v>
      </c>
      <c r="W2620" t="str">
        <f>IFERROR(INDEX(Products!$E:$E,MATCH(D2620,Products!$A:$A,0)),"Unknown")</f>
        <v>Levi's</v>
      </c>
      <c r="X2620" t="str">
        <f>IFERROR(INDEX(Stores!$B:$B,MATCH(E2620,Stores!$A:$A,0)),"Unknown")</f>
        <v>TrendMart Guntur Standard</v>
      </c>
      <c r="Y2620" t="str">
        <f>IFERROR(INDEX(Stores!$E:$E,MATCH(E2620,Stores!$A:$A,0)),"Unknown")</f>
        <v>South Zone 3</v>
      </c>
      <c r="Z2620" t="str">
        <f>IFERROR(INDEX(Customers!$J:$J,MATCH(C2620,Customers!$A:$A,0)),"Unknown")</f>
        <v>Platinum</v>
      </c>
      <c r="AA2620" t="str">
        <f t="shared" si="40"/>
        <v>2024-11</v>
      </c>
      <c r="AB2620" t="str">
        <f>IFERROR(INDEX(Products!$I:$I,MATCH(D2620,Products!$A:$A,0)),"Unknown")</f>
        <v>SUP045</v>
      </c>
    </row>
    <row r="2621" spans="1:28" x14ac:dyDescent="0.25">
      <c r="A2621" t="s">
        <v>4680</v>
      </c>
      <c r="B2621" s="20">
        <v>45408</v>
      </c>
      <c r="C2621" t="s">
        <v>3269</v>
      </c>
      <c r="D2621" t="s">
        <v>290</v>
      </c>
      <c r="E2621" t="s">
        <v>1163</v>
      </c>
      <c r="F2621" t="s">
        <v>618</v>
      </c>
      <c r="G2621">
        <v>1</v>
      </c>
      <c r="H2621" s="21">
        <v>6325.32</v>
      </c>
      <c r="I2621">
        <v>30</v>
      </c>
      <c r="J2621" s="21">
        <v>1897.6</v>
      </c>
      <c r="K2621">
        <v>3</v>
      </c>
      <c r="L2621" s="21">
        <v>132.83000000000001</v>
      </c>
      <c r="M2621" s="21">
        <v>4560.55</v>
      </c>
      <c r="N2621" s="21">
        <v>4715.1000000000004</v>
      </c>
      <c r="O2621" s="21">
        <v>-287.38</v>
      </c>
      <c r="P2621" t="s">
        <v>127</v>
      </c>
      <c r="Q2621" t="s">
        <v>120</v>
      </c>
      <c r="R2621" t="s">
        <v>151</v>
      </c>
      <c r="S2621" t="s">
        <v>2162</v>
      </c>
      <c r="T2621" t="s">
        <v>153</v>
      </c>
      <c r="U2621" t="s">
        <v>184</v>
      </c>
      <c r="V2621" t="str">
        <f>IFERROR(INDEX(Products!$C:$C,MATCH(D2621,Products!$A:$A,0)),"Unknown")</f>
        <v>Jewellery</v>
      </c>
      <c r="W2621" t="str">
        <f>IFERROR(INDEX(Products!$E:$E,MATCH(D2621,Products!$A:$A,0)),"Unknown")</f>
        <v>Nike</v>
      </c>
      <c r="X2621" t="str">
        <f>IFERROR(INDEX(Stores!$B:$B,MATCH(E2621,Stores!$A:$A,0)),"Unknown")</f>
        <v>TrendMart Alappuzha Outlet</v>
      </c>
      <c r="Y2621" t="str">
        <f>IFERROR(INDEX(Stores!$E:$E,MATCH(E2621,Stores!$A:$A,0)),"Unknown")</f>
        <v>South Zone 1</v>
      </c>
      <c r="Z2621" t="str">
        <f>IFERROR(INDEX(Customers!$J:$J,MATCH(C2621,Customers!$A:$A,0)),"Unknown")</f>
        <v>Regular</v>
      </c>
      <c r="AA2621" t="str">
        <f t="shared" si="40"/>
        <v>2024-04</v>
      </c>
      <c r="AB2621" t="str">
        <f>IFERROR(INDEX(Products!$I:$I,MATCH(D2621,Products!$A:$A,0)),"Unknown")</f>
        <v>SUP041</v>
      </c>
    </row>
    <row r="2622" spans="1:28" x14ac:dyDescent="0.25">
      <c r="A2622" t="s">
        <v>4681</v>
      </c>
      <c r="B2622" s="20">
        <v>45740</v>
      </c>
      <c r="C2622" t="s">
        <v>2910</v>
      </c>
      <c r="D2622" t="s">
        <v>1190</v>
      </c>
      <c r="E2622" t="s">
        <v>200</v>
      </c>
      <c r="F2622" t="s">
        <v>189</v>
      </c>
      <c r="G2622">
        <v>3</v>
      </c>
      <c r="H2622" s="21">
        <v>338.83</v>
      </c>
      <c r="I2622">
        <v>20</v>
      </c>
      <c r="J2622" s="21">
        <v>203.3</v>
      </c>
      <c r="K2622">
        <v>5</v>
      </c>
      <c r="L2622" s="21">
        <v>40.659999999999997</v>
      </c>
      <c r="M2622" s="21">
        <v>853.85</v>
      </c>
      <c r="N2622" s="21">
        <v>591.15</v>
      </c>
      <c r="O2622" s="21">
        <v>222.04</v>
      </c>
      <c r="P2622" t="s">
        <v>127</v>
      </c>
      <c r="Q2622" t="s">
        <v>122</v>
      </c>
      <c r="R2622" t="s">
        <v>151</v>
      </c>
      <c r="S2622" t="s">
        <v>1664</v>
      </c>
      <c r="T2622" t="s">
        <v>153</v>
      </c>
      <c r="U2622" t="s">
        <v>154</v>
      </c>
      <c r="V2622" t="str">
        <f>IFERROR(INDEX(Products!$C:$C,MATCH(D2622,Products!$A:$A,0)),"Unknown")</f>
        <v>Accessories</v>
      </c>
      <c r="W2622" t="str">
        <f>IFERROR(INDEX(Products!$E:$E,MATCH(D2622,Products!$A:$A,0)),"Unknown")</f>
        <v>Pantaloons</v>
      </c>
      <c r="X2622" t="str">
        <f>IFERROR(INDEX(Stores!$B:$B,MATCH(E2622,Stores!$A:$A,0)),"Unknown")</f>
        <v>TrendMart Kozhikode Standard</v>
      </c>
      <c r="Y2622" t="str">
        <f>IFERROR(INDEX(Stores!$E:$E,MATCH(E2622,Stores!$A:$A,0)),"Unknown")</f>
        <v>South Zone 1</v>
      </c>
      <c r="Z2622" t="str">
        <f>IFERROR(INDEX(Customers!$J:$J,MATCH(C2622,Customers!$A:$A,0)),"Unknown")</f>
        <v>Regular</v>
      </c>
      <c r="AA2622" t="str">
        <f t="shared" si="40"/>
        <v>2025-03</v>
      </c>
      <c r="AB2622" t="str">
        <f>IFERROR(INDEX(Products!$I:$I,MATCH(D2622,Products!$A:$A,0)),"Unknown")</f>
        <v>SUP019</v>
      </c>
    </row>
    <row r="2623" spans="1:28" x14ac:dyDescent="0.25">
      <c r="A2623" t="s">
        <v>4682</v>
      </c>
      <c r="B2623" s="20">
        <v>45562</v>
      </c>
      <c r="C2623" t="s">
        <v>1383</v>
      </c>
      <c r="D2623" t="s">
        <v>2039</v>
      </c>
      <c r="E2623" t="s">
        <v>1522</v>
      </c>
      <c r="F2623" t="s">
        <v>579</v>
      </c>
      <c r="G2623">
        <v>1</v>
      </c>
      <c r="H2623" s="21">
        <v>3045.67</v>
      </c>
      <c r="I2623">
        <v>10</v>
      </c>
      <c r="J2623" s="21">
        <v>304.57</v>
      </c>
      <c r="K2623">
        <v>12</v>
      </c>
      <c r="L2623" s="21">
        <v>328.93</v>
      </c>
      <c r="M2623" s="21">
        <v>3070.03</v>
      </c>
      <c r="N2623" s="21">
        <v>2078.92</v>
      </c>
      <c r="O2623" s="21">
        <v>662.18</v>
      </c>
      <c r="P2623" t="s">
        <v>123</v>
      </c>
      <c r="Q2623" t="s">
        <v>122</v>
      </c>
      <c r="R2623" t="s">
        <v>151</v>
      </c>
      <c r="S2623" t="s">
        <v>979</v>
      </c>
      <c r="T2623" t="s">
        <v>153</v>
      </c>
      <c r="U2623" t="s">
        <v>154</v>
      </c>
      <c r="V2623" t="str">
        <f>IFERROR(INDEX(Products!$C:$C,MATCH(D2623,Products!$A:$A,0)),"Unknown")</f>
        <v>Women Sarees</v>
      </c>
      <c r="W2623" t="str">
        <f>IFERROR(INDEX(Products!$E:$E,MATCH(D2623,Products!$A:$A,0)),"Unknown")</f>
        <v>Arrow</v>
      </c>
      <c r="X2623" t="str">
        <f>IFERROR(INDEX(Stores!$B:$B,MATCH(E2623,Stores!$A:$A,0)),"Unknown")</f>
        <v>TrendMart Guntur High Street</v>
      </c>
      <c r="Y2623" t="str">
        <f>IFERROR(INDEX(Stores!$E:$E,MATCH(E2623,Stores!$A:$A,0)),"Unknown")</f>
        <v>South Zone 3</v>
      </c>
      <c r="Z2623" t="str">
        <f>IFERROR(INDEX(Customers!$J:$J,MATCH(C2623,Customers!$A:$A,0)),"Unknown")</f>
        <v>Silver</v>
      </c>
      <c r="AA2623" t="str">
        <f t="shared" si="40"/>
        <v>2024-09</v>
      </c>
      <c r="AB2623" t="str">
        <f>IFERROR(INDEX(Products!$I:$I,MATCH(D2623,Products!$A:$A,0)),"Unknown")</f>
        <v>SUP087</v>
      </c>
    </row>
    <row r="2624" spans="1:28" x14ac:dyDescent="0.25">
      <c r="A2624" t="s">
        <v>4683</v>
      </c>
      <c r="B2624" s="20">
        <v>45627</v>
      </c>
      <c r="C2624" t="s">
        <v>4244</v>
      </c>
      <c r="D2624" t="s">
        <v>1431</v>
      </c>
      <c r="E2624" t="s">
        <v>241</v>
      </c>
      <c r="F2624" t="s">
        <v>281</v>
      </c>
      <c r="G2624">
        <v>1</v>
      </c>
      <c r="H2624" s="21">
        <v>1468.07</v>
      </c>
      <c r="I2624">
        <v>25</v>
      </c>
      <c r="J2624" s="21">
        <v>367.02</v>
      </c>
      <c r="K2624">
        <v>12</v>
      </c>
      <c r="L2624" s="21">
        <v>132.13</v>
      </c>
      <c r="M2624" s="21">
        <v>1233.18</v>
      </c>
      <c r="N2624" s="21">
        <v>949.97</v>
      </c>
      <c r="O2624" s="21">
        <v>151.08000000000001</v>
      </c>
      <c r="P2624" t="s">
        <v>124</v>
      </c>
      <c r="Q2624" t="s">
        <v>120</v>
      </c>
      <c r="R2624" t="s">
        <v>151</v>
      </c>
      <c r="S2624" t="s">
        <v>1733</v>
      </c>
      <c r="T2624" t="s">
        <v>161</v>
      </c>
      <c r="U2624" t="s">
        <v>154</v>
      </c>
      <c r="V2624" t="str">
        <f>IFERROR(INDEX(Products!$C:$C,MATCH(D2624,Products!$A:$A,0)),"Unknown")</f>
        <v>Wallets</v>
      </c>
      <c r="W2624" t="str">
        <f>IFERROR(INDEX(Products!$E:$E,MATCH(D2624,Products!$A:$A,0)),"Unknown")</f>
        <v>Van Heusen</v>
      </c>
      <c r="X2624" t="str">
        <f>IFERROR(INDEX(Stores!$B:$B,MATCH(E2624,Stores!$A:$A,0)),"Unknown")</f>
        <v>TrendMart Nizamabad Mall Kiosk</v>
      </c>
      <c r="Y2624" t="str">
        <f>IFERROR(INDEX(Stores!$E:$E,MATCH(E2624,Stores!$A:$A,0)),"Unknown")</f>
        <v>South Zone 2</v>
      </c>
      <c r="Z2624" t="str">
        <f>IFERROR(INDEX(Customers!$J:$J,MATCH(C2624,Customers!$A:$A,0)),"Unknown")</f>
        <v>Platinum</v>
      </c>
      <c r="AA2624" t="str">
        <f t="shared" si="40"/>
        <v>2024-12</v>
      </c>
      <c r="AB2624" t="str">
        <f>IFERROR(INDEX(Products!$I:$I,MATCH(D2624,Products!$A:$A,0)),"Unknown")</f>
        <v>SUP087</v>
      </c>
    </row>
    <row r="2625" spans="1:28" x14ac:dyDescent="0.25">
      <c r="A2625" t="s">
        <v>4684</v>
      </c>
      <c r="B2625" s="20">
        <v>45623</v>
      </c>
      <c r="C2625" t="s">
        <v>3908</v>
      </c>
      <c r="D2625" t="s">
        <v>531</v>
      </c>
      <c r="E2625" t="s">
        <v>578</v>
      </c>
      <c r="F2625" t="s">
        <v>434</v>
      </c>
      <c r="G2625">
        <v>1</v>
      </c>
      <c r="H2625" s="21">
        <v>3123.5</v>
      </c>
      <c r="I2625">
        <v>20</v>
      </c>
      <c r="J2625" s="21">
        <v>624.70000000000005</v>
      </c>
      <c r="K2625">
        <v>12</v>
      </c>
      <c r="L2625" s="21">
        <v>299.86</v>
      </c>
      <c r="M2625" s="21">
        <v>2798.66</v>
      </c>
      <c r="N2625" s="21">
        <v>2034.01</v>
      </c>
      <c r="O2625" s="21">
        <v>464.79</v>
      </c>
      <c r="P2625" t="s">
        <v>125</v>
      </c>
      <c r="Q2625" t="s">
        <v>120</v>
      </c>
      <c r="R2625" t="s">
        <v>313</v>
      </c>
      <c r="S2625" t="s">
        <v>893</v>
      </c>
      <c r="T2625" t="s">
        <v>153</v>
      </c>
      <c r="U2625" t="s">
        <v>154</v>
      </c>
      <c r="V2625" t="str">
        <f>IFERROR(INDEX(Products!$C:$C,MATCH(D2625,Products!$A:$A,0)),"Unknown")</f>
        <v>Handbags</v>
      </c>
      <c r="W2625" t="str">
        <f>IFERROR(INDEX(Products!$E:$E,MATCH(D2625,Products!$A:$A,0)),"Unknown")</f>
        <v>GRT Jewellers</v>
      </c>
      <c r="X2625" t="str">
        <f>IFERROR(INDEX(Stores!$B:$B,MATCH(E2625,Stores!$A:$A,0)),"Unknown")</f>
        <v>TrendMart Vellore Standard</v>
      </c>
      <c r="Y2625" t="str">
        <f>IFERROR(INDEX(Stores!$E:$E,MATCH(E2625,Stores!$A:$A,0)),"Unknown")</f>
        <v>South Zone 1</v>
      </c>
      <c r="Z2625" t="str">
        <f>IFERROR(INDEX(Customers!$J:$J,MATCH(C2625,Customers!$A:$A,0)),"Unknown")</f>
        <v>Silver</v>
      </c>
      <c r="AA2625" t="str">
        <f t="shared" si="40"/>
        <v>2024-11</v>
      </c>
      <c r="AB2625" t="str">
        <f>IFERROR(INDEX(Products!$I:$I,MATCH(D2625,Products!$A:$A,0)),"Unknown")</f>
        <v>SUP047</v>
      </c>
    </row>
    <row r="2626" spans="1:28" x14ac:dyDescent="0.25">
      <c r="A2626" t="s">
        <v>4685</v>
      </c>
      <c r="B2626" s="20">
        <v>45701</v>
      </c>
      <c r="C2626" t="s">
        <v>2708</v>
      </c>
      <c r="D2626" t="s">
        <v>494</v>
      </c>
      <c r="E2626" t="s">
        <v>391</v>
      </c>
      <c r="F2626" t="s">
        <v>408</v>
      </c>
      <c r="G2626">
        <v>1</v>
      </c>
      <c r="H2626" s="21">
        <v>1664.2</v>
      </c>
      <c r="I2626">
        <v>20</v>
      </c>
      <c r="J2626" s="21">
        <v>332.84</v>
      </c>
      <c r="K2626">
        <v>12</v>
      </c>
      <c r="L2626" s="21">
        <v>159.76</v>
      </c>
      <c r="M2626" s="21">
        <v>1491.12</v>
      </c>
      <c r="N2626" s="21">
        <v>1140.9000000000001</v>
      </c>
      <c r="O2626" s="21">
        <v>190.46</v>
      </c>
      <c r="P2626" t="s">
        <v>124</v>
      </c>
      <c r="Q2626" t="s">
        <v>120</v>
      </c>
      <c r="R2626" t="s">
        <v>151</v>
      </c>
      <c r="S2626" t="s">
        <v>3115</v>
      </c>
      <c r="T2626" t="s">
        <v>153</v>
      </c>
      <c r="U2626" t="s">
        <v>154</v>
      </c>
      <c r="V2626" t="str">
        <f>IFERROR(INDEX(Products!$C:$C,MATCH(D2626,Products!$A:$A,0)),"Unknown")</f>
        <v>Women Dresses</v>
      </c>
      <c r="W2626" t="str">
        <f>IFERROR(INDEX(Products!$E:$E,MATCH(D2626,Products!$A:$A,0)),"Unknown")</f>
        <v>Reebok</v>
      </c>
      <c r="X2626" t="str">
        <f>IFERROR(INDEX(Stores!$B:$B,MATCH(E2626,Stores!$A:$A,0)),"Unknown")</f>
        <v>TrendMart Warangal High Street</v>
      </c>
      <c r="Y2626" t="str">
        <f>IFERROR(INDEX(Stores!$E:$E,MATCH(E2626,Stores!$A:$A,0)),"Unknown")</f>
        <v>South Zone 2</v>
      </c>
      <c r="Z2626" t="str">
        <f>IFERROR(INDEX(Customers!$J:$J,MATCH(C2626,Customers!$A:$A,0)),"Unknown")</f>
        <v>Silver</v>
      </c>
      <c r="AA2626" t="str">
        <f t="shared" ref="AA2626:AA2689" si="41">TEXT(B2626,"YYYY-MM")</f>
        <v>2025-02</v>
      </c>
      <c r="AB2626" t="str">
        <f>IFERROR(INDEX(Products!$I:$I,MATCH(D2626,Products!$A:$A,0)),"Unknown")</f>
        <v>SUP085</v>
      </c>
    </row>
    <row r="2627" spans="1:28" x14ac:dyDescent="0.25">
      <c r="A2627" t="s">
        <v>4686</v>
      </c>
      <c r="B2627" s="20">
        <v>45571</v>
      </c>
      <c r="C2627" t="s">
        <v>2328</v>
      </c>
      <c r="D2627" t="s">
        <v>285</v>
      </c>
      <c r="E2627" t="s">
        <v>848</v>
      </c>
      <c r="F2627" t="s">
        <v>269</v>
      </c>
      <c r="G2627">
        <v>1</v>
      </c>
      <c r="H2627" s="21">
        <v>815.47</v>
      </c>
      <c r="I2627">
        <v>0</v>
      </c>
      <c r="J2627" s="21">
        <v>0</v>
      </c>
      <c r="K2627">
        <v>5</v>
      </c>
      <c r="L2627" s="21">
        <v>40.770000000000003</v>
      </c>
      <c r="M2627" s="21">
        <v>856.24</v>
      </c>
      <c r="N2627" s="21">
        <v>499.31</v>
      </c>
      <c r="O2627" s="21">
        <v>316.16000000000003</v>
      </c>
      <c r="P2627" t="s">
        <v>127</v>
      </c>
      <c r="Q2627" t="s">
        <v>122</v>
      </c>
      <c r="R2627" t="s">
        <v>151</v>
      </c>
      <c r="S2627" t="s">
        <v>917</v>
      </c>
      <c r="T2627" t="s">
        <v>161</v>
      </c>
      <c r="U2627" t="s">
        <v>154</v>
      </c>
      <c r="V2627" t="str">
        <f>IFERROR(INDEX(Products!$C:$C,MATCH(D2627,Products!$A:$A,0)),"Unknown")</f>
        <v>Kids Wear</v>
      </c>
      <c r="W2627" t="str">
        <f>IFERROR(INDEX(Products!$E:$E,MATCH(D2627,Products!$A:$A,0)),"Unknown")</f>
        <v>Global Desi</v>
      </c>
      <c r="X2627" t="str">
        <f>IFERROR(INDEX(Stores!$B:$B,MATCH(E2627,Stores!$A:$A,0)),"Unknown")</f>
        <v>TrendMart Shivamogga Standard</v>
      </c>
      <c r="Y2627" t="str">
        <f>IFERROR(INDEX(Stores!$E:$E,MATCH(E2627,Stores!$A:$A,0)),"Unknown")</f>
        <v>South Zone 2</v>
      </c>
      <c r="Z2627" t="str">
        <f>IFERROR(INDEX(Customers!$J:$J,MATCH(C2627,Customers!$A:$A,0)),"Unknown")</f>
        <v>Silver</v>
      </c>
      <c r="AA2627" t="str">
        <f t="shared" si="41"/>
        <v>2024-10</v>
      </c>
      <c r="AB2627" t="str">
        <f>IFERROR(INDEX(Products!$I:$I,MATCH(D2627,Products!$A:$A,0)),"Unknown")</f>
        <v>SUP008</v>
      </c>
    </row>
    <row r="2628" spans="1:28" x14ac:dyDescent="0.25">
      <c r="A2628" t="s">
        <v>4687</v>
      </c>
      <c r="B2628" s="20">
        <v>45575</v>
      </c>
      <c r="C2628" t="s">
        <v>4688</v>
      </c>
      <c r="D2628" t="s">
        <v>372</v>
      </c>
      <c r="E2628" t="s">
        <v>639</v>
      </c>
      <c r="F2628" t="s">
        <v>397</v>
      </c>
      <c r="G2628">
        <v>4</v>
      </c>
      <c r="H2628" s="21">
        <v>620.41999999999996</v>
      </c>
      <c r="I2628">
        <v>0</v>
      </c>
      <c r="J2628" s="21">
        <v>0</v>
      </c>
      <c r="K2628">
        <v>5</v>
      </c>
      <c r="L2628" s="21">
        <v>124.08</v>
      </c>
      <c r="M2628" s="21">
        <v>2605.7600000000002</v>
      </c>
      <c r="N2628" s="21">
        <v>1653.56</v>
      </c>
      <c r="O2628" s="21">
        <v>828.12</v>
      </c>
      <c r="P2628" t="s">
        <v>123</v>
      </c>
      <c r="Q2628" t="s">
        <v>120</v>
      </c>
      <c r="R2628" t="s">
        <v>151</v>
      </c>
      <c r="S2628" t="s">
        <v>478</v>
      </c>
      <c r="T2628" t="s">
        <v>153</v>
      </c>
      <c r="U2628" t="s">
        <v>154</v>
      </c>
      <c r="V2628" t="str">
        <f>IFERROR(INDEX(Products!$C:$C,MATCH(D2628,Products!$A:$A,0)),"Unknown")</f>
        <v>Kids Wear</v>
      </c>
      <c r="W2628" t="str">
        <f>IFERROR(INDEX(Products!$E:$E,MATCH(D2628,Products!$A:$A,0)),"Unknown")</f>
        <v>Jack &amp; Jones</v>
      </c>
      <c r="X2628" t="str">
        <f>IFERROR(INDEX(Stores!$B:$B,MATCH(E2628,Stores!$A:$A,0)),"Unknown")</f>
        <v>TrendMart Kurnool Outlet</v>
      </c>
      <c r="Y2628" t="str">
        <f>IFERROR(INDEX(Stores!$E:$E,MATCH(E2628,Stores!$A:$A,0)),"Unknown")</f>
        <v>South Zone 3</v>
      </c>
      <c r="Z2628" t="str">
        <f>IFERROR(INDEX(Customers!$J:$J,MATCH(C2628,Customers!$A:$A,0)),"Unknown")</f>
        <v>Gold</v>
      </c>
      <c r="AA2628" t="str">
        <f t="shared" si="41"/>
        <v>2024-10</v>
      </c>
      <c r="AB2628" t="str">
        <f>IFERROR(INDEX(Products!$I:$I,MATCH(D2628,Products!$A:$A,0)),"Unknown")</f>
        <v>SUP065</v>
      </c>
    </row>
    <row r="2629" spans="1:28" x14ac:dyDescent="0.25">
      <c r="A2629" t="s">
        <v>4689</v>
      </c>
      <c r="B2629" s="20">
        <v>45608</v>
      </c>
      <c r="C2629" t="s">
        <v>995</v>
      </c>
      <c r="D2629" t="s">
        <v>565</v>
      </c>
      <c r="E2629" t="s">
        <v>630</v>
      </c>
      <c r="F2629" t="s">
        <v>434</v>
      </c>
      <c r="G2629">
        <v>2</v>
      </c>
      <c r="H2629" s="21">
        <v>1780.22</v>
      </c>
      <c r="I2629">
        <v>15</v>
      </c>
      <c r="J2629" s="21">
        <v>534.07000000000005</v>
      </c>
      <c r="K2629">
        <v>12</v>
      </c>
      <c r="L2629" s="21">
        <v>363.16</v>
      </c>
      <c r="M2629" s="21">
        <v>3389.53</v>
      </c>
      <c r="N2629" s="21">
        <v>2338.92</v>
      </c>
      <c r="O2629" s="21">
        <v>687.45</v>
      </c>
      <c r="P2629" t="s">
        <v>126</v>
      </c>
      <c r="Q2629" t="s">
        <v>120</v>
      </c>
      <c r="R2629" t="s">
        <v>151</v>
      </c>
      <c r="S2629" t="s">
        <v>3905</v>
      </c>
      <c r="T2629" t="s">
        <v>153</v>
      </c>
      <c r="U2629" t="s">
        <v>154</v>
      </c>
      <c r="V2629" t="str">
        <f>IFERROR(INDEX(Products!$C:$C,MATCH(D2629,Products!$A:$A,0)),"Unknown")</f>
        <v>Winter Wear</v>
      </c>
      <c r="W2629" t="str">
        <f>IFERROR(INDEX(Products!$E:$E,MATCH(D2629,Products!$A:$A,0)),"Unknown")</f>
        <v>Numero Uno</v>
      </c>
      <c r="X2629" t="str">
        <f>IFERROR(INDEX(Stores!$B:$B,MATCH(E2629,Stores!$A:$A,0)),"Unknown")</f>
        <v>TrendMart Guntur Standard</v>
      </c>
      <c r="Y2629" t="str">
        <f>IFERROR(INDEX(Stores!$E:$E,MATCH(E2629,Stores!$A:$A,0)),"Unknown")</f>
        <v>South Zone 3</v>
      </c>
      <c r="Z2629" t="str">
        <f>IFERROR(INDEX(Customers!$J:$J,MATCH(C2629,Customers!$A:$A,0)),"Unknown")</f>
        <v>Silver</v>
      </c>
      <c r="AA2629" t="str">
        <f t="shared" si="41"/>
        <v>2024-11</v>
      </c>
      <c r="AB2629" t="str">
        <f>IFERROR(INDEX(Products!$I:$I,MATCH(D2629,Products!$A:$A,0)),"Unknown")</f>
        <v>SUP026</v>
      </c>
    </row>
    <row r="2630" spans="1:28" x14ac:dyDescent="0.25">
      <c r="A2630" t="s">
        <v>4690</v>
      </c>
      <c r="B2630" s="20">
        <v>45404</v>
      </c>
      <c r="C2630" t="s">
        <v>4595</v>
      </c>
      <c r="D2630" t="s">
        <v>524</v>
      </c>
      <c r="E2630" t="s">
        <v>81</v>
      </c>
      <c r="F2630" t="s">
        <v>462</v>
      </c>
      <c r="G2630">
        <v>4</v>
      </c>
      <c r="H2630" s="21">
        <v>716.01</v>
      </c>
      <c r="I2630">
        <v>15</v>
      </c>
      <c r="J2630" s="21">
        <v>429.61</v>
      </c>
      <c r="K2630">
        <v>5</v>
      </c>
      <c r="L2630" s="21">
        <v>121.72</v>
      </c>
      <c r="M2630" s="21">
        <v>2556.15</v>
      </c>
      <c r="N2630" s="21">
        <v>2190.6799999999998</v>
      </c>
      <c r="O2630" s="21">
        <v>243.75</v>
      </c>
      <c r="P2630" t="s">
        <v>125</v>
      </c>
      <c r="Q2630" t="s">
        <v>120</v>
      </c>
      <c r="R2630" t="s">
        <v>151</v>
      </c>
      <c r="S2630" t="s">
        <v>3529</v>
      </c>
      <c r="T2630" t="s">
        <v>153</v>
      </c>
      <c r="U2630" t="s">
        <v>154</v>
      </c>
      <c r="V2630" t="str">
        <f>IFERROR(INDEX(Products!$C:$C,MATCH(D2630,Products!$A:$A,0)),"Unknown")</f>
        <v>Women Tops</v>
      </c>
      <c r="W2630" t="str">
        <f>IFERROR(INDEX(Products!$E:$E,MATCH(D2630,Products!$A:$A,0)),"Unknown")</f>
        <v>Indian Terrain</v>
      </c>
      <c r="X2630" t="str">
        <f>IFERROR(INDEX(Stores!$B:$B,MATCH(E2630,Stores!$A:$A,0)),"Unknown")</f>
        <v>TrendMart Vijayawada High Street</v>
      </c>
      <c r="Y2630" t="str">
        <f>IFERROR(INDEX(Stores!$E:$E,MATCH(E2630,Stores!$A:$A,0)),"Unknown")</f>
        <v>South Zone 3</v>
      </c>
      <c r="Z2630" t="str">
        <f>IFERROR(INDEX(Customers!$J:$J,MATCH(C2630,Customers!$A:$A,0)),"Unknown")</f>
        <v>Platinum</v>
      </c>
      <c r="AA2630" t="str">
        <f t="shared" si="41"/>
        <v>2024-04</v>
      </c>
      <c r="AB2630" t="str">
        <f>IFERROR(INDEX(Products!$I:$I,MATCH(D2630,Products!$A:$A,0)),"Unknown")</f>
        <v>SUP062</v>
      </c>
    </row>
    <row r="2631" spans="1:28" x14ac:dyDescent="0.25">
      <c r="A2631" t="s">
        <v>4691</v>
      </c>
      <c r="B2631" s="20">
        <v>45410</v>
      </c>
      <c r="C2631" t="s">
        <v>1006</v>
      </c>
      <c r="D2631" t="s">
        <v>381</v>
      </c>
      <c r="E2631" t="s">
        <v>1825</v>
      </c>
      <c r="F2631" t="s">
        <v>269</v>
      </c>
      <c r="G2631">
        <v>1</v>
      </c>
      <c r="H2631" s="21">
        <v>767.1</v>
      </c>
      <c r="I2631">
        <v>5</v>
      </c>
      <c r="J2631" s="21">
        <v>38.35</v>
      </c>
      <c r="K2631">
        <v>5</v>
      </c>
      <c r="L2631" s="21">
        <v>36.44</v>
      </c>
      <c r="M2631" s="21">
        <v>765.19</v>
      </c>
      <c r="N2631" s="21">
        <v>513.84</v>
      </c>
      <c r="O2631" s="21">
        <v>214.91</v>
      </c>
      <c r="P2631" t="s">
        <v>126</v>
      </c>
      <c r="Q2631" t="s">
        <v>122</v>
      </c>
      <c r="R2631" t="s">
        <v>151</v>
      </c>
      <c r="S2631" t="s">
        <v>1762</v>
      </c>
      <c r="T2631" t="s">
        <v>161</v>
      </c>
      <c r="U2631" t="s">
        <v>154</v>
      </c>
      <c r="V2631" t="str">
        <f>IFERROR(INDEX(Products!$C:$C,MATCH(D2631,Products!$A:$A,0)),"Unknown")</f>
        <v>Wallets</v>
      </c>
      <c r="W2631" t="str">
        <f>IFERROR(INDEX(Products!$E:$E,MATCH(D2631,Products!$A:$A,0)),"Unknown")</f>
        <v>Tanishq</v>
      </c>
      <c r="X2631" t="str">
        <f>IFERROR(INDEX(Stores!$B:$B,MATCH(E2631,Stores!$A:$A,0)),"Unknown")</f>
        <v>TrendMart Vijayawada Outlet</v>
      </c>
      <c r="Y2631" t="str">
        <f>IFERROR(INDEX(Stores!$E:$E,MATCH(E2631,Stores!$A:$A,0)),"Unknown")</f>
        <v>South Zone 3</v>
      </c>
      <c r="Z2631" t="str">
        <f>IFERROR(INDEX(Customers!$J:$J,MATCH(C2631,Customers!$A:$A,0)),"Unknown")</f>
        <v>Regular</v>
      </c>
      <c r="AA2631" t="str">
        <f t="shared" si="41"/>
        <v>2024-04</v>
      </c>
      <c r="AB2631" t="str">
        <f>IFERROR(INDEX(Products!$I:$I,MATCH(D2631,Products!$A:$A,0)),"Unknown")</f>
        <v>SUP007</v>
      </c>
    </row>
    <row r="2632" spans="1:28" x14ac:dyDescent="0.25">
      <c r="A2632" t="s">
        <v>4692</v>
      </c>
      <c r="B2632" s="20">
        <v>45730</v>
      </c>
      <c r="C2632" t="s">
        <v>3299</v>
      </c>
      <c r="D2632" t="s">
        <v>854</v>
      </c>
      <c r="E2632" t="s">
        <v>262</v>
      </c>
      <c r="F2632" t="s">
        <v>237</v>
      </c>
      <c r="G2632">
        <v>3</v>
      </c>
      <c r="H2632" s="21">
        <v>1254.03</v>
      </c>
      <c r="I2632">
        <v>25</v>
      </c>
      <c r="J2632" s="21">
        <v>940.52</v>
      </c>
      <c r="K2632">
        <v>3</v>
      </c>
      <c r="L2632" s="21">
        <v>84.65</v>
      </c>
      <c r="M2632" s="21">
        <v>2906.22</v>
      </c>
      <c r="N2632" s="21">
        <v>2862.12</v>
      </c>
      <c r="O2632" s="21">
        <v>-40.549999999999997</v>
      </c>
      <c r="P2632" t="s">
        <v>123</v>
      </c>
      <c r="Q2632" t="s">
        <v>120</v>
      </c>
      <c r="R2632" t="s">
        <v>151</v>
      </c>
      <c r="S2632" t="s">
        <v>982</v>
      </c>
      <c r="T2632" t="s">
        <v>153</v>
      </c>
      <c r="U2632" t="s">
        <v>184</v>
      </c>
      <c r="V2632" t="str">
        <f>IFERROR(INDEX(Products!$C:$C,MATCH(D2632,Products!$A:$A,0)),"Unknown")</f>
        <v>Jewellery</v>
      </c>
      <c r="W2632" t="str">
        <f>IFERROR(INDEX(Products!$E:$E,MATCH(D2632,Products!$A:$A,0)),"Unknown")</f>
        <v>W for Woman</v>
      </c>
      <c r="X2632" t="str">
        <f>IFERROR(INDEX(Stores!$B:$B,MATCH(E2632,Stores!$A:$A,0)),"Unknown")</f>
        <v>TrendMart Thoothukudi Outlet</v>
      </c>
      <c r="Y2632" t="str">
        <f>IFERROR(INDEX(Stores!$E:$E,MATCH(E2632,Stores!$A:$A,0)),"Unknown")</f>
        <v>South Zone 1</v>
      </c>
      <c r="Z2632" t="str">
        <f>IFERROR(INDEX(Customers!$J:$J,MATCH(C2632,Customers!$A:$A,0)),"Unknown")</f>
        <v>Platinum</v>
      </c>
      <c r="AA2632" t="str">
        <f t="shared" si="41"/>
        <v>2025-03</v>
      </c>
      <c r="AB2632" t="str">
        <f>IFERROR(INDEX(Products!$I:$I,MATCH(D2632,Products!$A:$A,0)),"Unknown")</f>
        <v>SUP006</v>
      </c>
    </row>
    <row r="2633" spans="1:28" x14ac:dyDescent="0.25">
      <c r="A2633" t="s">
        <v>4693</v>
      </c>
      <c r="B2633" s="20">
        <v>45610</v>
      </c>
      <c r="C2633" t="s">
        <v>485</v>
      </c>
      <c r="D2633" t="s">
        <v>149</v>
      </c>
      <c r="E2633" t="s">
        <v>1017</v>
      </c>
      <c r="F2633" t="s">
        <v>532</v>
      </c>
      <c r="G2633">
        <v>1</v>
      </c>
      <c r="H2633" s="21">
        <v>766.35</v>
      </c>
      <c r="I2633">
        <v>0</v>
      </c>
      <c r="J2633" s="21">
        <v>0</v>
      </c>
      <c r="K2633">
        <v>5</v>
      </c>
      <c r="L2633" s="21">
        <v>38.32</v>
      </c>
      <c r="M2633" s="21">
        <v>804.67</v>
      </c>
      <c r="N2633" s="21">
        <v>496.67</v>
      </c>
      <c r="O2633" s="21">
        <v>269.68</v>
      </c>
      <c r="P2633" t="s">
        <v>124</v>
      </c>
      <c r="Q2633" t="s">
        <v>120</v>
      </c>
      <c r="R2633" t="s">
        <v>151</v>
      </c>
      <c r="S2633" t="s">
        <v>1743</v>
      </c>
      <c r="T2633" t="s">
        <v>153</v>
      </c>
      <c r="U2633" t="s">
        <v>154</v>
      </c>
      <c r="V2633" t="str">
        <f>IFERROR(INDEX(Products!$C:$C,MATCH(D2633,Products!$A:$A,0)),"Unknown")</f>
        <v>Women Kurtis</v>
      </c>
      <c r="W2633" t="str">
        <f>IFERROR(INDEX(Products!$E:$E,MATCH(D2633,Products!$A:$A,0)),"Unknown")</f>
        <v>Pepe Jeans</v>
      </c>
      <c r="X2633" t="str">
        <f>IFERROR(INDEX(Stores!$B:$B,MATCH(E2633,Stores!$A:$A,0)),"Unknown")</f>
        <v>TrendMart Mangaluru Standard</v>
      </c>
      <c r="Y2633" t="str">
        <f>IFERROR(INDEX(Stores!$E:$E,MATCH(E2633,Stores!$A:$A,0)),"Unknown")</f>
        <v>South Zone 2</v>
      </c>
      <c r="Z2633" t="str">
        <f>IFERROR(INDEX(Customers!$J:$J,MATCH(C2633,Customers!$A:$A,0)),"Unknown")</f>
        <v>Silver</v>
      </c>
      <c r="AA2633" t="str">
        <f t="shared" si="41"/>
        <v>2024-11</v>
      </c>
      <c r="AB2633" t="str">
        <f>IFERROR(INDEX(Products!$I:$I,MATCH(D2633,Products!$A:$A,0)),"Unknown")</f>
        <v>SUP049</v>
      </c>
    </row>
    <row r="2634" spans="1:28" x14ac:dyDescent="0.25">
      <c r="A2634" t="s">
        <v>4694</v>
      </c>
      <c r="B2634" s="20">
        <v>45743</v>
      </c>
      <c r="C2634" t="s">
        <v>1305</v>
      </c>
      <c r="D2634" t="s">
        <v>792</v>
      </c>
      <c r="E2634" t="s">
        <v>318</v>
      </c>
      <c r="F2634" t="s">
        <v>377</v>
      </c>
      <c r="G2634">
        <v>1</v>
      </c>
      <c r="H2634" s="21">
        <v>1088.8900000000001</v>
      </c>
      <c r="I2634">
        <v>25</v>
      </c>
      <c r="J2634" s="21">
        <v>272.22000000000003</v>
      </c>
      <c r="K2634">
        <v>12</v>
      </c>
      <c r="L2634" s="21">
        <v>98</v>
      </c>
      <c r="M2634" s="21">
        <v>914.67</v>
      </c>
      <c r="N2634" s="21">
        <v>737.35</v>
      </c>
      <c r="O2634" s="21">
        <v>79.319999999999993</v>
      </c>
      <c r="P2634" t="s">
        <v>121</v>
      </c>
      <c r="Q2634" t="s">
        <v>120</v>
      </c>
      <c r="R2634" t="s">
        <v>151</v>
      </c>
      <c r="S2634" t="s">
        <v>4695</v>
      </c>
      <c r="T2634" t="s">
        <v>153</v>
      </c>
      <c r="U2634" t="s">
        <v>154</v>
      </c>
      <c r="V2634" t="str">
        <f>IFERROR(INDEX(Products!$C:$C,MATCH(D2634,Products!$A:$A,0)),"Unknown")</f>
        <v>Belts</v>
      </c>
      <c r="W2634" t="str">
        <f>IFERROR(INDEX(Products!$E:$E,MATCH(D2634,Products!$A:$A,0)),"Unknown")</f>
        <v>Wrangler</v>
      </c>
      <c r="X2634" t="str">
        <f>IFERROR(INDEX(Stores!$B:$B,MATCH(E2634,Stores!$A:$A,0)),"Unknown")</f>
        <v>TrendMart Guntur Outlet</v>
      </c>
      <c r="Y2634" t="str">
        <f>IFERROR(INDEX(Stores!$E:$E,MATCH(E2634,Stores!$A:$A,0)),"Unknown")</f>
        <v>South Zone 3</v>
      </c>
      <c r="Z2634" t="str">
        <f>IFERROR(INDEX(Customers!$J:$J,MATCH(C2634,Customers!$A:$A,0)),"Unknown")</f>
        <v>Gold</v>
      </c>
      <c r="AA2634" t="str">
        <f t="shared" si="41"/>
        <v>2025-03</v>
      </c>
      <c r="AB2634" t="str">
        <f>IFERROR(INDEX(Products!$I:$I,MATCH(D2634,Products!$A:$A,0)),"Unknown")</f>
        <v>SUP004</v>
      </c>
    </row>
    <row r="2635" spans="1:28" x14ac:dyDescent="0.25">
      <c r="A2635" t="s">
        <v>4696</v>
      </c>
      <c r="B2635" s="20">
        <v>45647</v>
      </c>
      <c r="C2635" t="s">
        <v>2386</v>
      </c>
      <c r="D2635" t="s">
        <v>325</v>
      </c>
      <c r="E2635" t="s">
        <v>175</v>
      </c>
      <c r="F2635" t="s">
        <v>550</v>
      </c>
      <c r="G2635">
        <v>2</v>
      </c>
      <c r="H2635" s="21">
        <v>1188.7</v>
      </c>
      <c r="I2635">
        <v>25</v>
      </c>
      <c r="J2635" s="21">
        <v>594.35</v>
      </c>
      <c r="K2635">
        <v>12</v>
      </c>
      <c r="L2635" s="21">
        <v>213.97</v>
      </c>
      <c r="M2635" s="21">
        <v>1997.02</v>
      </c>
      <c r="N2635" s="21">
        <v>1518</v>
      </c>
      <c r="O2635" s="21">
        <v>265.05</v>
      </c>
      <c r="P2635" t="s">
        <v>121</v>
      </c>
      <c r="Q2635" t="s">
        <v>120</v>
      </c>
      <c r="R2635" t="s">
        <v>151</v>
      </c>
      <c r="S2635" t="s">
        <v>2502</v>
      </c>
      <c r="T2635" t="s">
        <v>161</v>
      </c>
      <c r="U2635" t="s">
        <v>154</v>
      </c>
      <c r="V2635" t="str">
        <f>IFERROR(INDEX(Products!$C:$C,MATCH(D2635,Products!$A:$A,0)),"Unknown")</f>
        <v>Women Jeans</v>
      </c>
      <c r="W2635" t="str">
        <f>IFERROR(INDEX(Products!$E:$E,MATCH(D2635,Products!$A:$A,0)),"Unknown")</f>
        <v>Nalli Silks</v>
      </c>
      <c r="X2635" t="str">
        <f>IFERROR(INDEX(Stores!$B:$B,MATCH(E2635,Stores!$A:$A,0)),"Unknown")</f>
        <v>TrendMart Thoothukudi Flagship</v>
      </c>
      <c r="Y2635" t="str">
        <f>IFERROR(INDEX(Stores!$E:$E,MATCH(E2635,Stores!$A:$A,0)),"Unknown")</f>
        <v>South Zone 1</v>
      </c>
      <c r="Z2635" t="str">
        <f>IFERROR(INDEX(Customers!$J:$J,MATCH(C2635,Customers!$A:$A,0)),"Unknown")</f>
        <v>Regular</v>
      </c>
      <c r="AA2635" t="str">
        <f t="shared" si="41"/>
        <v>2024-12</v>
      </c>
      <c r="AB2635" t="str">
        <f>IFERROR(INDEX(Products!$I:$I,MATCH(D2635,Products!$A:$A,0)),"Unknown")</f>
        <v>SUP048</v>
      </c>
    </row>
    <row r="2636" spans="1:28" x14ac:dyDescent="0.25">
      <c r="A2636" t="s">
        <v>4697</v>
      </c>
      <c r="B2636" s="20">
        <v>45549</v>
      </c>
      <c r="C2636" t="s">
        <v>2902</v>
      </c>
      <c r="D2636" t="s">
        <v>257</v>
      </c>
      <c r="E2636" t="s">
        <v>88</v>
      </c>
      <c r="F2636" t="s">
        <v>237</v>
      </c>
      <c r="G2636">
        <v>1</v>
      </c>
      <c r="H2636" s="21">
        <v>1074.6199999999999</v>
      </c>
      <c r="I2636">
        <v>10</v>
      </c>
      <c r="J2636" s="21">
        <v>107.46</v>
      </c>
      <c r="K2636">
        <v>12</v>
      </c>
      <c r="L2636" s="21">
        <v>116.06</v>
      </c>
      <c r="M2636" s="21">
        <v>1083.22</v>
      </c>
      <c r="N2636" s="21">
        <v>721.22</v>
      </c>
      <c r="O2636" s="21">
        <v>245.94</v>
      </c>
      <c r="P2636" t="s">
        <v>123</v>
      </c>
      <c r="Q2636" t="s">
        <v>120</v>
      </c>
      <c r="R2636" t="s">
        <v>151</v>
      </c>
      <c r="S2636" t="s">
        <v>1201</v>
      </c>
      <c r="T2636" t="s">
        <v>161</v>
      </c>
      <c r="U2636" t="s">
        <v>154</v>
      </c>
      <c r="V2636" t="str">
        <f>IFERROR(INDEX(Products!$C:$C,MATCH(D2636,Products!$A:$A,0)),"Unknown")</f>
        <v>Men Shirts</v>
      </c>
      <c r="W2636" t="str">
        <f>IFERROR(INDEX(Products!$E:$E,MATCH(D2636,Products!$A:$A,0)),"Unknown")</f>
        <v>Indian Terrain</v>
      </c>
      <c r="X2636" t="str">
        <f>IFERROR(INDEX(Stores!$B:$B,MATCH(E2636,Stores!$A:$A,0)),"Unknown")</f>
        <v>TrendMart Kozhikode Mall Kiosk</v>
      </c>
      <c r="Y2636" t="str">
        <f>IFERROR(INDEX(Stores!$E:$E,MATCH(E2636,Stores!$A:$A,0)),"Unknown")</f>
        <v>South Zone 1</v>
      </c>
      <c r="Z2636" t="str">
        <f>IFERROR(INDEX(Customers!$J:$J,MATCH(C2636,Customers!$A:$A,0)),"Unknown")</f>
        <v>Regular</v>
      </c>
      <c r="AA2636" t="str">
        <f t="shared" si="41"/>
        <v>2024-09</v>
      </c>
      <c r="AB2636" t="str">
        <f>IFERROR(INDEX(Products!$I:$I,MATCH(D2636,Products!$A:$A,0)),"Unknown")</f>
        <v>SUP080</v>
      </c>
    </row>
    <row r="2637" spans="1:28" x14ac:dyDescent="0.25">
      <c r="A2637" t="s">
        <v>4698</v>
      </c>
      <c r="B2637" s="20">
        <v>45463</v>
      </c>
      <c r="C2637" t="s">
        <v>3134</v>
      </c>
      <c r="D2637" t="s">
        <v>285</v>
      </c>
      <c r="E2637" t="s">
        <v>1512</v>
      </c>
      <c r="F2637" t="s">
        <v>516</v>
      </c>
      <c r="G2637">
        <v>2</v>
      </c>
      <c r="H2637" s="21">
        <v>675.95</v>
      </c>
      <c r="I2637">
        <v>25</v>
      </c>
      <c r="J2637" s="21">
        <v>337.98</v>
      </c>
      <c r="K2637">
        <v>5</v>
      </c>
      <c r="L2637" s="21">
        <v>50.7</v>
      </c>
      <c r="M2637" s="21">
        <v>1064.6199999999999</v>
      </c>
      <c r="N2637" s="21">
        <v>998.62</v>
      </c>
      <c r="O2637" s="21">
        <v>15.3</v>
      </c>
      <c r="P2637" t="s">
        <v>124</v>
      </c>
      <c r="Q2637" t="s">
        <v>120</v>
      </c>
      <c r="R2637" t="s">
        <v>151</v>
      </c>
      <c r="S2637" t="s">
        <v>955</v>
      </c>
      <c r="T2637" t="s">
        <v>153</v>
      </c>
      <c r="U2637" t="s">
        <v>154</v>
      </c>
      <c r="V2637" t="str">
        <f>IFERROR(INDEX(Products!$C:$C,MATCH(D2637,Products!$A:$A,0)),"Unknown")</f>
        <v>Kids Wear</v>
      </c>
      <c r="W2637" t="str">
        <f>IFERROR(INDEX(Products!$E:$E,MATCH(D2637,Products!$A:$A,0)),"Unknown")</f>
        <v>Global Desi</v>
      </c>
      <c r="X2637" t="str">
        <f>IFERROR(INDEX(Stores!$B:$B,MATCH(E2637,Stores!$A:$A,0)),"Unknown")</f>
        <v>TrendMart Erode Mall Kiosk</v>
      </c>
      <c r="Y2637" t="str">
        <f>IFERROR(INDEX(Stores!$E:$E,MATCH(E2637,Stores!$A:$A,0)),"Unknown")</f>
        <v>South Zone 1</v>
      </c>
      <c r="Z2637" t="str">
        <f>IFERROR(INDEX(Customers!$J:$J,MATCH(C2637,Customers!$A:$A,0)),"Unknown")</f>
        <v>Silver</v>
      </c>
      <c r="AA2637" t="str">
        <f t="shared" si="41"/>
        <v>2024-06</v>
      </c>
      <c r="AB2637" t="str">
        <f>IFERROR(INDEX(Products!$I:$I,MATCH(D2637,Products!$A:$A,0)),"Unknown")</f>
        <v>SUP008</v>
      </c>
    </row>
    <row r="2638" spans="1:28" x14ac:dyDescent="0.25">
      <c r="A2638" t="s">
        <v>4699</v>
      </c>
      <c r="B2638" s="20">
        <v>45656</v>
      </c>
      <c r="C2638" t="s">
        <v>2451</v>
      </c>
      <c r="D2638" t="s">
        <v>1564</v>
      </c>
      <c r="E2638" t="s">
        <v>701</v>
      </c>
      <c r="F2638" t="s">
        <v>263</v>
      </c>
      <c r="G2638">
        <v>2</v>
      </c>
      <c r="H2638" s="21">
        <v>907.44</v>
      </c>
      <c r="I2638">
        <v>0</v>
      </c>
      <c r="J2638" s="21">
        <v>0</v>
      </c>
      <c r="K2638">
        <v>5</v>
      </c>
      <c r="L2638" s="21">
        <v>90.74</v>
      </c>
      <c r="M2638" s="21">
        <v>1905.62</v>
      </c>
      <c r="N2638" s="21">
        <v>1391.34</v>
      </c>
      <c r="O2638" s="21">
        <v>423.54</v>
      </c>
      <c r="P2638" t="s">
        <v>121</v>
      </c>
      <c r="Q2638" t="s">
        <v>122</v>
      </c>
      <c r="R2638" t="s">
        <v>313</v>
      </c>
      <c r="S2638" t="s">
        <v>212</v>
      </c>
      <c r="T2638" t="s">
        <v>153</v>
      </c>
      <c r="U2638" t="s">
        <v>154</v>
      </c>
      <c r="V2638" t="str">
        <f>IFERROR(INDEX(Products!$C:$C,MATCH(D2638,Products!$A:$A,0)),"Unknown")</f>
        <v>Handbags</v>
      </c>
      <c r="W2638" t="str">
        <f>IFERROR(INDEX(Products!$E:$E,MATCH(D2638,Products!$A:$A,0)),"Unknown")</f>
        <v>W for Woman</v>
      </c>
      <c r="X2638" t="str">
        <f>IFERROR(INDEX(Stores!$B:$B,MATCH(E2638,Stores!$A:$A,0)),"Unknown")</f>
        <v>TrendMart Vijayawada Mall Kiosk</v>
      </c>
      <c r="Y2638" t="str">
        <f>IFERROR(INDEX(Stores!$E:$E,MATCH(E2638,Stores!$A:$A,0)),"Unknown")</f>
        <v>South Zone 3</v>
      </c>
      <c r="Z2638" t="str">
        <f>IFERROR(INDEX(Customers!$J:$J,MATCH(C2638,Customers!$A:$A,0)),"Unknown")</f>
        <v>Silver</v>
      </c>
      <c r="AA2638" t="str">
        <f t="shared" si="41"/>
        <v>2024-12</v>
      </c>
      <c r="AB2638" t="str">
        <f>IFERROR(INDEX(Products!$I:$I,MATCH(D2638,Products!$A:$A,0)),"Unknown")</f>
        <v>SUP011</v>
      </c>
    </row>
    <row r="2639" spans="1:28" x14ac:dyDescent="0.25">
      <c r="A2639" t="s">
        <v>4700</v>
      </c>
      <c r="B2639" s="20">
        <v>45523</v>
      </c>
      <c r="C2639" t="s">
        <v>2355</v>
      </c>
      <c r="D2639" t="s">
        <v>157</v>
      </c>
      <c r="E2639" t="s">
        <v>721</v>
      </c>
      <c r="F2639" t="s">
        <v>281</v>
      </c>
      <c r="G2639">
        <v>5</v>
      </c>
      <c r="H2639" s="21">
        <v>848.65</v>
      </c>
      <c r="I2639">
        <v>30</v>
      </c>
      <c r="J2639" s="21">
        <v>1272.97</v>
      </c>
      <c r="K2639">
        <v>5</v>
      </c>
      <c r="L2639" s="21">
        <v>148.51</v>
      </c>
      <c r="M2639" s="21">
        <v>3118.79</v>
      </c>
      <c r="N2639" s="21">
        <v>2460.5500000000002</v>
      </c>
      <c r="O2639" s="21">
        <v>509.73</v>
      </c>
      <c r="P2639" t="s">
        <v>125</v>
      </c>
      <c r="Q2639" t="s">
        <v>120</v>
      </c>
      <c r="R2639" t="s">
        <v>151</v>
      </c>
      <c r="S2639" t="s">
        <v>463</v>
      </c>
      <c r="T2639" t="s">
        <v>153</v>
      </c>
      <c r="U2639" t="s">
        <v>154</v>
      </c>
      <c r="V2639" t="str">
        <f>IFERROR(INDEX(Products!$C:$C,MATCH(D2639,Products!$A:$A,0)),"Unknown")</f>
        <v>Men T-Shirts</v>
      </c>
      <c r="W2639" t="str">
        <f>IFERROR(INDEX(Products!$E:$E,MATCH(D2639,Products!$A:$A,0)),"Unknown")</f>
        <v>Reebok</v>
      </c>
      <c r="X2639" t="str">
        <f>IFERROR(INDEX(Stores!$B:$B,MATCH(E2639,Stores!$A:$A,0)),"Unknown")</f>
        <v>TrendMart Kollam Flagship</v>
      </c>
      <c r="Y2639" t="str">
        <f>IFERROR(INDEX(Stores!$E:$E,MATCH(E2639,Stores!$A:$A,0)),"Unknown")</f>
        <v>South Zone 1</v>
      </c>
      <c r="Z2639" t="str">
        <f>IFERROR(INDEX(Customers!$J:$J,MATCH(C2639,Customers!$A:$A,0)),"Unknown")</f>
        <v>Gold</v>
      </c>
      <c r="AA2639" t="str">
        <f t="shared" si="41"/>
        <v>2024-08</v>
      </c>
      <c r="AB2639" t="str">
        <f>IFERROR(INDEX(Products!$I:$I,MATCH(D2639,Products!$A:$A,0)),"Unknown")</f>
        <v>SUP073</v>
      </c>
    </row>
    <row r="2640" spans="1:28" x14ac:dyDescent="0.25">
      <c r="A2640" t="s">
        <v>4701</v>
      </c>
      <c r="B2640" s="20">
        <v>45738</v>
      </c>
      <c r="C2640" t="s">
        <v>2838</v>
      </c>
      <c r="D2640" t="s">
        <v>1041</v>
      </c>
      <c r="E2640" t="s">
        <v>910</v>
      </c>
      <c r="F2640" t="s">
        <v>579</v>
      </c>
      <c r="G2640">
        <v>2</v>
      </c>
      <c r="H2640" s="21">
        <v>1134.5899999999999</v>
      </c>
      <c r="I2640">
        <v>25</v>
      </c>
      <c r="J2640" s="21">
        <v>567.29</v>
      </c>
      <c r="K2640">
        <v>12</v>
      </c>
      <c r="L2640" s="21">
        <v>204.23</v>
      </c>
      <c r="M2640" s="21">
        <v>1906.12</v>
      </c>
      <c r="N2640" s="21">
        <v>1471.7</v>
      </c>
      <c r="O2640" s="21">
        <v>230.19</v>
      </c>
      <c r="P2640" t="s">
        <v>125</v>
      </c>
      <c r="Q2640" t="s">
        <v>122</v>
      </c>
      <c r="R2640" t="s">
        <v>151</v>
      </c>
      <c r="S2640" t="s">
        <v>1692</v>
      </c>
      <c r="T2640" t="s">
        <v>161</v>
      </c>
      <c r="U2640" t="s">
        <v>154</v>
      </c>
      <c r="V2640" t="str">
        <f>IFERROR(INDEX(Products!$C:$C,MATCH(D2640,Products!$A:$A,0)),"Unknown")</f>
        <v>Sportswear</v>
      </c>
      <c r="W2640" t="str">
        <f>IFERROR(INDEX(Products!$E:$E,MATCH(D2640,Products!$A:$A,0)),"Unknown")</f>
        <v>Blackberrys</v>
      </c>
      <c r="X2640" t="str">
        <f>IFERROR(INDEX(Stores!$B:$B,MATCH(E2640,Stores!$A:$A,0)),"Unknown")</f>
        <v>TrendMart Karimnagar Standard</v>
      </c>
      <c r="Y2640" t="str">
        <f>IFERROR(INDEX(Stores!$E:$E,MATCH(E2640,Stores!$A:$A,0)),"Unknown")</f>
        <v>South Zone 2</v>
      </c>
      <c r="Z2640" t="str">
        <f>IFERROR(INDEX(Customers!$J:$J,MATCH(C2640,Customers!$A:$A,0)),"Unknown")</f>
        <v>Regular</v>
      </c>
      <c r="AA2640" t="str">
        <f t="shared" si="41"/>
        <v>2025-03</v>
      </c>
      <c r="AB2640" t="str">
        <f>IFERROR(INDEX(Products!$I:$I,MATCH(D2640,Products!$A:$A,0)),"Unknown")</f>
        <v>SUP012</v>
      </c>
    </row>
    <row r="2641" spans="1:28" x14ac:dyDescent="0.25">
      <c r="A2641" t="s">
        <v>4702</v>
      </c>
      <c r="B2641" s="20">
        <v>45588</v>
      </c>
      <c r="C2641" t="s">
        <v>354</v>
      </c>
      <c r="D2641" t="s">
        <v>180</v>
      </c>
      <c r="E2641" t="s">
        <v>89</v>
      </c>
      <c r="F2641" t="s">
        <v>596</v>
      </c>
      <c r="G2641">
        <v>3</v>
      </c>
      <c r="H2641" s="21">
        <v>3359.41</v>
      </c>
      <c r="I2641">
        <v>0</v>
      </c>
      <c r="J2641" s="21">
        <v>0</v>
      </c>
      <c r="K2641">
        <v>12</v>
      </c>
      <c r="L2641" s="21">
        <v>1209.3900000000001</v>
      </c>
      <c r="M2641" s="21">
        <v>11287.62</v>
      </c>
      <c r="N2641" s="21">
        <v>7273.86</v>
      </c>
      <c r="O2641" s="21">
        <v>2804.37</v>
      </c>
      <c r="P2641" t="s">
        <v>121</v>
      </c>
      <c r="Q2641" t="s">
        <v>122</v>
      </c>
      <c r="R2641" t="s">
        <v>151</v>
      </c>
      <c r="S2641" t="s">
        <v>562</v>
      </c>
      <c r="T2641" t="s">
        <v>153</v>
      </c>
      <c r="U2641" t="s">
        <v>154</v>
      </c>
      <c r="V2641" t="str">
        <f>IFERROR(INDEX(Products!$C:$C,MATCH(D2641,Products!$A:$A,0)),"Unknown")</f>
        <v>Footwear</v>
      </c>
      <c r="W2641" t="str">
        <f>IFERROR(INDEX(Products!$E:$E,MATCH(D2641,Products!$A:$A,0)),"Unknown")</f>
        <v>US Polo Assn</v>
      </c>
      <c r="X2641" t="str">
        <f>IFERROR(INDEX(Stores!$B:$B,MATCH(E2641,Stores!$A:$A,0)),"Unknown")</f>
        <v>TrendMart Kochi Standard</v>
      </c>
      <c r="Y2641" t="str">
        <f>IFERROR(INDEX(Stores!$E:$E,MATCH(E2641,Stores!$A:$A,0)),"Unknown")</f>
        <v>South Zone 1</v>
      </c>
      <c r="Z2641" t="str">
        <f>IFERROR(INDEX(Customers!$J:$J,MATCH(C2641,Customers!$A:$A,0)),"Unknown")</f>
        <v>Platinum</v>
      </c>
      <c r="AA2641" t="str">
        <f t="shared" si="41"/>
        <v>2024-10</v>
      </c>
      <c r="AB2641" t="str">
        <f>IFERROR(INDEX(Products!$I:$I,MATCH(D2641,Products!$A:$A,0)),"Unknown")</f>
        <v>SUP084</v>
      </c>
    </row>
    <row r="2642" spans="1:28" x14ac:dyDescent="0.25">
      <c r="A2642" t="s">
        <v>4703</v>
      </c>
      <c r="B2642" s="20">
        <v>45436</v>
      </c>
      <c r="C2642" t="s">
        <v>1715</v>
      </c>
      <c r="D2642" t="s">
        <v>841</v>
      </c>
      <c r="E2642" t="s">
        <v>1681</v>
      </c>
      <c r="F2642" t="s">
        <v>182</v>
      </c>
      <c r="G2642">
        <v>1</v>
      </c>
      <c r="H2642" s="21">
        <v>1611.33</v>
      </c>
      <c r="I2642">
        <v>10</v>
      </c>
      <c r="J2642" s="21">
        <v>161.13</v>
      </c>
      <c r="K2642">
        <v>12</v>
      </c>
      <c r="L2642" s="21">
        <v>174.02</v>
      </c>
      <c r="M2642" s="21">
        <v>1624.22</v>
      </c>
      <c r="N2642" s="21">
        <v>1061.5</v>
      </c>
      <c r="O2642" s="21">
        <v>388.7</v>
      </c>
      <c r="P2642" t="s">
        <v>123</v>
      </c>
      <c r="Q2642" t="s">
        <v>120</v>
      </c>
      <c r="R2642" t="s">
        <v>151</v>
      </c>
      <c r="S2642" t="s">
        <v>1089</v>
      </c>
      <c r="T2642" t="s">
        <v>153</v>
      </c>
      <c r="U2642" t="s">
        <v>154</v>
      </c>
      <c r="V2642" t="str">
        <f>IFERROR(INDEX(Products!$C:$C,MATCH(D2642,Products!$A:$A,0)),"Unknown")</f>
        <v>Men Jeans</v>
      </c>
      <c r="W2642" t="str">
        <f>IFERROR(INDEX(Products!$E:$E,MATCH(D2642,Products!$A:$A,0)),"Unknown")</f>
        <v>Killer Jeans</v>
      </c>
      <c r="X2642" t="str">
        <f>IFERROR(INDEX(Stores!$B:$B,MATCH(E2642,Stores!$A:$A,0)),"Unknown")</f>
        <v>TrendMart Warangal Standard</v>
      </c>
      <c r="Y2642" t="str">
        <f>IFERROR(INDEX(Stores!$E:$E,MATCH(E2642,Stores!$A:$A,0)),"Unknown")</f>
        <v>South Zone 2</v>
      </c>
      <c r="Z2642" t="str">
        <f>IFERROR(INDEX(Customers!$J:$J,MATCH(C2642,Customers!$A:$A,0)),"Unknown")</f>
        <v>Regular</v>
      </c>
      <c r="AA2642" t="str">
        <f t="shared" si="41"/>
        <v>2024-05</v>
      </c>
      <c r="AB2642" t="str">
        <f>IFERROR(INDEX(Products!$I:$I,MATCH(D2642,Products!$A:$A,0)),"Unknown")</f>
        <v>SUP058</v>
      </c>
    </row>
    <row r="2643" spans="1:28" x14ac:dyDescent="0.25">
      <c r="A2643" t="s">
        <v>4704</v>
      </c>
      <c r="B2643" s="20">
        <v>45386</v>
      </c>
      <c r="C2643" t="s">
        <v>3181</v>
      </c>
      <c r="D2643" t="s">
        <v>751</v>
      </c>
      <c r="E2643" t="s">
        <v>477</v>
      </c>
      <c r="F2643" t="s">
        <v>269</v>
      </c>
      <c r="G2643">
        <v>1</v>
      </c>
      <c r="H2643" s="21">
        <v>1263.7</v>
      </c>
      <c r="I2643">
        <v>25</v>
      </c>
      <c r="J2643" s="21">
        <v>315.93</v>
      </c>
      <c r="K2643">
        <v>12</v>
      </c>
      <c r="L2643" s="21">
        <v>113.73</v>
      </c>
      <c r="M2643" s="21">
        <v>1061.5</v>
      </c>
      <c r="N2643" s="21">
        <v>939.13</v>
      </c>
      <c r="O2643" s="21">
        <v>8.64</v>
      </c>
      <c r="P2643" t="s">
        <v>124</v>
      </c>
      <c r="Q2643" t="s">
        <v>122</v>
      </c>
      <c r="R2643" t="s">
        <v>151</v>
      </c>
      <c r="S2643" t="s">
        <v>718</v>
      </c>
      <c r="T2643" t="s">
        <v>153</v>
      </c>
      <c r="U2643" t="s">
        <v>154</v>
      </c>
      <c r="V2643" t="str">
        <f>IFERROR(INDEX(Products!$C:$C,MATCH(D2643,Products!$A:$A,0)),"Unknown")</f>
        <v>Wallets</v>
      </c>
      <c r="W2643" t="str">
        <f>IFERROR(INDEX(Products!$E:$E,MATCH(D2643,Products!$A:$A,0)),"Unknown")</f>
        <v>Numero Uno</v>
      </c>
      <c r="X2643" t="str">
        <f>IFERROR(INDEX(Stores!$B:$B,MATCH(E2643,Stores!$A:$A,0)),"Unknown")</f>
        <v>TrendMart Hubballi Standard</v>
      </c>
      <c r="Y2643" t="str">
        <f>IFERROR(INDEX(Stores!$E:$E,MATCH(E2643,Stores!$A:$A,0)),"Unknown")</f>
        <v>South Zone 2</v>
      </c>
      <c r="Z2643" t="str">
        <f>IFERROR(INDEX(Customers!$J:$J,MATCH(C2643,Customers!$A:$A,0)),"Unknown")</f>
        <v>Silver</v>
      </c>
      <c r="AA2643" t="str">
        <f t="shared" si="41"/>
        <v>2024-04</v>
      </c>
      <c r="AB2643" t="str">
        <f>IFERROR(INDEX(Products!$I:$I,MATCH(D2643,Products!$A:$A,0)),"Unknown")</f>
        <v>SUP029</v>
      </c>
    </row>
    <row r="2644" spans="1:28" x14ac:dyDescent="0.25">
      <c r="A2644" t="s">
        <v>4705</v>
      </c>
      <c r="B2644" s="20">
        <v>45522</v>
      </c>
      <c r="C2644" t="s">
        <v>4337</v>
      </c>
      <c r="D2644" t="s">
        <v>926</v>
      </c>
      <c r="E2644" t="s">
        <v>823</v>
      </c>
      <c r="F2644" t="s">
        <v>150</v>
      </c>
      <c r="G2644">
        <v>3</v>
      </c>
      <c r="H2644" s="21">
        <v>1283.28</v>
      </c>
      <c r="I2644">
        <v>0</v>
      </c>
      <c r="J2644" s="21">
        <v>0</v>
      </c>
      <c r="K2644">
        <v>12</v>
      </c>
      <c r="L2644" s="21">
        <v>461.98</v>
      </c>
      <c r="M2644" s="21">
        <v>4311.82</v>
      </c>
      <c r="N2644" s="21">
        <v>2431.86</v>
      </c>
      <c r="O2644" s="21">
        <v>1417.98</v>
      </c>
      <c r="P2644" t="s">
        <v>127</v>
      </c>
      <c r="Q2644" t="s">
        <v>120</v>
      </c>
      <c r="R2644" t="s">
        <v>151</v>
      </c>
      <c r="S2644" t="s">
        <v>2867</v>
      </c>
      <c r="T2644" t="s">
        <v>161</v>
      </c>
      <c r="U2644" t="s">
        <v>154</v>
      </c>
      <c r="V2644" t="str">
        <f>IFERROR(INDEX(Products!$C:$C,MATCH(D2644,Products!$A:$A,0)),"Unknown")</f>
        <v>Women Dresses</v>
      </c>
      <c r="W2644" t="str">
        <f>IFERROR(INDEX(Products!$E:$E,MATCH(D2644,Products!$A:$A,0)),"Unknown")</f>
        <v>Fabindia</v>
      </c>
      <c r="X2644" t="str">
        <f>IFERROR(INDEX(Stores!$B:$B,MATCH(E2644,Stores!$A:$A,0)),"Unknown")</f>
        <v>TrendMart Thoothukudi Mall Kiosk</v>
      </c>
      <c r="Y2644" t="str">
        <f>IFERROR(INDEX(Stores!$E:$E,MATCH(E2644,Stores!$A:$A,0)),"Unknown")</f>
        <v>South Zone 1</v>
      </c>
      <c r="Z2644" t="str">
        <f>IFERROR(INDEX(Customers!$J:$J,MATCH(C2644,Customers!$A:$A,0)),"Unknown")</f>
        <v>Silver</v>
      </c>
      <c r="AA2644" t="str">
        <f t="shared" si="41"/>
        <v>2024-08</v>
      </c>
      <c r="AB2644" t="str">
        <f>IFERROR(INDEX(Products!$I:$I,MATCH(D2644,Products!$A:$A,0)),"Unknown")</f>
        <v>SUP059</v>
      </c>
    </row>
    <row r="2645" spans="1:28" x14ac:dyDescent="0.25">
      <c r="A2645" t="s">
        <v>4706</v>
      </c>
      <c r="B2645" s="20">
        <v>45555</v>
      </c>
      <c r="C2645" t="s">
        <v>284</v>
      </c>
      <c r="D2645" t="s">
        <v>1328</v>
      </c>
      <c r="E2645" t="s">
        <v>815</v>
      </c>
      <c r="F2645" t="s">
        <v>516</v>
      </c>
      <c r="G2645">
        <v>4</v>
      </c>
      <c r="H2645" s="21">
        <v>1609.04</v>
      </c>
      <c r="I2645">
        <v>0</v>
      </c>
      <c r="J2645" s="21">
        <v>0</v>
      </c>
      <c r="K2645">
        <v>12</v>
      </c>
      <c r="L2645" s="21">
        <v>772.34</v>
      </c>
      <c r="M2645" s="21">
        <v>7208.5</v>
      </c>
      <c r="N2645" s="21">
        <v>4369.72</v>
      </c>
      <c r="O2645" s="21">
        <v>2066.44</v>
      </c>
      <c r="P2645" t="s">
        <v>123</v>
      </c>
      <c r="Q2645" t="s">
        <v>120</v>
      </c>
      <c r="R2645" t="s">
        <v>151</v>
      </c>
      <c r="S2645" t="s">
        <v>1105</v>
      </c>
      <c r="T2645" t="s">
        <v>153</v>
      </c>
      <c r="U2645" t="s">
        <v>154</v>
      </c>
      <c r="V2645" t="str">
        <f>IFERROR(INDEX(Products!$C:$C,MATCH(D2645,Products!$A:$A,0)),"Unknown")</f>
        <v>Winter Wear</v>
      </c>
      <c r="W2645" t="str">
        <f>IFERROR(INDEX(Products!$E:$E,MATCH(D2645,Products!$A:$A,0)),"Unknown")</f>
        <v>Fastrack</v>
      </c>
      <c r="X2645" t="str">
        <f>IFERROR(INDEX(Stores!$B:$B,MATCH(E2645,Stores!$A:$A,0)),"Unknown")</f>
        <v>TrendMart Madurai Mall Kiosk</v>
      </c>
      <c r="Y2645" t="str">
        <f>IFERROR(INDEX(Stores!$E:$E,MATCH(E2645,Stores!$A:$A,0)),"Unknown")</f>
        <v>South Zone 1</v>
      </c>
      <c r="Z2645" t="str">
        <f>IFERROR(INDEX(Customers!$J:$J,MATCH(C2645,Customers!$A:$A,0)),"Unknown")</f>
        <v>Regular</v>
      </c>
      <c r="AA2645" t="str">
        <f t="shared" si="41"/>
        <v>2024-09</v>
      </c>
      <c r="AB2645" t="str">
        <f>IFERROR(INDEX(Products!$I:$I,MATCH(D2645,Products!$A:$A,0)),"Unknown")</f>
        <v>SUP033</v>
      </c>
    </row>
    <row r="2646" spans="1:28" x14ac:dyDescent="0.25">
      <c r="A2646" t="s">
        <v>4707</v>
      </c>
      <c r="B2646" s="20">
        <v>45415</v>
      </c>
      <c r="C2646" t="s">
        <v>884</v>
      </c>
      <c r="D2646" t="s">
        <v>401</v>
      </c>
      <c r="E2646" t="s">
        <v>99</v>
      </c>
      <c r="F2646" t="s">
        <v>182</v>
      </c>
      <c r="G2646">
        <v>3</v>
      </c>
      <c r="H2646" s="21">
        <v>1219.27</v>
      </c>
      <c r="I2646">
        <v>30</v>
      </c>
      <c r="J2646" s="21">
        <v>1097.3399999999999</v>
      </c>
      <c r="K2646">
        <v>12</v>
      </c>
      <c r="L2646" s="21">
        <v>307.26</v>
      </c>
      <c r="M2646" s="21">
        <v>2867.73</v>
      </c>
      <c r="N2646" s="21">
        <v>2303.4899999999998</v>
      </c>
      <c r="O2646" s="21">
        <v>256.98</v>
      </c>
      <c r="P2646" t="s">
        <v>123</v>
      </c>
      <c r="Q2646" t="s">
        <v>120</v>
      </c>
      <c r="R2646" t="s">
        <v>151</v>
      </c>
      <c r="S2646" t="s">
        <v>1098</v>
      </c>
      <c r="T2646" t="s">
        <v>153</v>
      </c>
      <c r="U2646" t="s">
        <v>154</v>
      </c>
      <c r="V2646" t="str">
        <f>IFERROR(INDEX(Products!$C:$C,MATCH(D2646,Products!$A:$A,0)),"Unknown")</f>
        <v>Women Jeans</v>
      </c>
      <c r="W2646" t="str">
        <f>IFERROR(INDEX(Products!$E:$E,MATCH(D2646,Products!$A:$A,0)),"Unknown")</f>
        <v>Being Human</v>
      </c>
      <c r="X2646" t="str">
        <f>IFERROR(INDEX(Stores!$B:$B,MATCH(E2646,Stores!$A:$A,0)),"Unknown")</f>
        <v>TrendMart Hubballi Standard</v>
      </c>
      <c r="Y2646" t="str">
        <f>IFERROR(INDEX(Stores!$E:$E,MATCH(E2646,Stores!$A:$A,0)),"Unknown")</f>
        <v>South Zone 2</v>
      </c>
      <c r="Z2646" t="str">
        <f>IFERROR(INDEX(Customers!$J:$J,MATCH(C2646,Customers!$A:$A,0)),"Unknown")</f>
        <v>Regular</v>
      </c>
      <c r="AA2646" t="str">
        <f t="shared" si="41"/>
        <v>2024-05</v>
      </c>
      <c r="AB2646" t="str">
        <f>IFERROR(INDEX(Products!$I:$I,MATCH(D2646,Products!$A:$A,0)),"Unknown")</f>
        <v>SUP013</v>
      </c>
    </row>
    <row r="2647" spans="1:28" x14ac:dyDescent="0.25">
      <c r="A2647" t="s">
        <v>4708</v>
      </c>
      <c r="B2647" s="20">
        <v>45637</v>
      </c>
      <c r="C2647" t="s">
        <v>1646</v>
      </c>
      <c r="D2647" t="s">
        <v>1569</v>
      </c>
      <c r="E2647" t="s">
        <v>158</v>
      </c>
      <c r="F2647" t="s">
        <v>150</v>
      </c>
      <c r="G2647">
        <v>1</v>
      </c>
      <c r="H2647" s="21">
        <v>1173.92</v>
      </c>
      <c r="I2647">
        <v>0</v>
      </c>
      <c r="J2647" s="21">
        <v>0</v>
      </c>
      <c r="K2647">
        <v>12</v>
      </c>
      <c r="L2647" s="21">
        <v>140.87</v>
      </c>
      <c r="M2647" s="21">
        <v>1314.79</v>
      </c>
      <c r="N2647" s="21">
        <v>808.99</v>
      </c>
      <c r="O2647" s="21">
        <v>364.93</v>
      </c>
      <c r="P2647" t="s">
        <v>121</v>
      </c>
      <c r="Q2647" t="s">
        <v>122</v>
      </c>
      <c r="R2647" t="s">
        <v>151</v>
      </c>
      <c r="S2647" t="s">
        <v>3115</v>
      </c>
      <c r="T2647" t="s">
        <v>153</v>
      </c>
      <c r="U2647" t="s">
        <v>154</v>
      </c>
      <c r="V2647" t="str">
        <f>IFERROR(INDEX(Products!$C:$C,MATCH(D2647,Products!$A:$A,0)),"Unknown")</f>
        <v>Women Kurtis</v>
      </c>
      <c r="W2647" t="str">
        <f>IFERROR(INDEX(Products!$E:$E,MATCH(D2647,Products!$A:$A,0)),"Unknown")</f>
        <v>Liberty</v>
      </c>
      <c r="X2647" t="str">
        <f>IFERROR(INDEX(Stores!$B:$B,MATCH(E2647,Stores!$A:$A,0)),"Unknown")</f>
        <v>TrendMart Tirunelveli High Street</v>
      </c>
      <c r="Y2647" t="str">
        <f>IFERROR(INDEX(Stores!$E:$E,MATCH(E2647,Stores!$A:$A,0)),"Unknown")</f>
        <v>South Zone 1</v>
      </c>
      <c r="Z2647" t="str">
        <f>IFERROR(INDEX(Customers!$J:$J,MATCH(C2647,Customers!$A:$A,0)),"Unknown")</f>
        <v>Regular</v>
      </c>
      <c r="AA2647" t="str">
        <f t="shared" si="41"/>
        <v>2024-12</v>
      </c>
      <c r="AB2647" t="str">
        <f>IFERROR(INDEX(Products!$I:$I,MATCH(D2647,Products!$A:$A,0)),"Unknown")</f>
        <v>SUP079</v>
      </c>
    </row>
    <row r="2648" spans="1:28" x14ac:dyDescent="0.25">
      <c r="A2648" t="s">
        <v>4709</v>
      </c>
      <c r="B2648" s="20">
        <v>45580</v>
      </c>
      <c r="C2648" t="s">
        <v>665</v>
      </c>
      <c r="D2648" t="s">
        <v>466</v>
      </c>
      <c r="E2648" t="s">
        <v>402</v>
      </c>
      <c r="F2648" t="s">
        <v>382</v>
      </c>
      <c r="G2648">
        <v>4</v>
      </c>
      <c r="H2648" s="21">
        <v>819.54</v>
      </c>
      <c r="I2648">
        <v>20</v>
      </c>
      <c r="J2648" s="21">
        <v>655.63</v>
      </c>
      <c r="K2648">
        <v>5</v>
      </c>
      <c r="L2648" s="21">
        <v>131.13</v>
      </c>
      <c r="M2648" s="21">
        <v>2753.66</v>
      </c>
      <c r="N2648" s="21">
        <v>2284.36</v>
      </c>
      <c r="O2648" s="21">
        <v>338.17</v>
      </c>
      <c r="P2648" t="s">
        <v>124</v>
      </c>
      <c r="Q2648" t="s">
        <v>120</v>
      </c>
      <c r="R2648" t="s">
        <v>151</v>
      </c>
      <c r="S2648" t="s">
        <v>522</v>
      </c>
      <c r="T2648" t="s">
        <v>153</v>
      </c>
      <c r="U2648" t="s">
        <v>154</v>
      </c>
      <c r="V2648" t="str">
        <f>IFERROR(INDEX(Products!$C:$C,MATCH(D2648,Products!$A:$A,0)),"Unknown")</f>
        <v>Women Kurtis</v>
      </c>
      <c r="W2648" t="str">
        <f>IFERROR(INDEX(Products!$E:$E,MATCH(D2648,Products!$A:$A,0)),"Unknown")</f>
        <v>Fabindia</v>
      </c>
      <c r="X2648" t="str">
        <f>IFERROR(INDEX(Stores!$B:$B,MATCH(E2648,Stores!$A:$A,0)),"Unknown")</f>
        <v>TrendMart Kannur Standard</v>
      </c>
      <c r="Y2648" t="str">
        <f>IFERROR(INDEX(Stores!$E:$E,MATCH(E2648,Stores!$A:$A,0)),"Unknown")</f>
        <v>South Zone 1</v>
      </c>
      <c r="Z2648" t="str">
        <f>IFERROR(INDEX(Customers!$J:$J,MATCH(C2648,Customers!$A:$A,0)),"Unknown")</f>
        <v>Gold</v>
      </c>
      <c r="AA2648" t="str">
        <f t="shared" si="41"/>
        <v>2024-10</v>
      </c>
      <c r="AB2648" t="str">
        <f>IFERROR(INDEX(Products!$I:$I,MATCH(D2648,Products!$A:$A,0)),"Unknown")</f>
        <v>SUP017</v>
      </c>
    </row>
    <row r="2649" spans="1:28" x14ac:dyDescent="0.25">
      <c r="A2649" t="s">
        <v>4710</v>
      </c>
      <c r="B2649" s="20">
        <v>45664</v>
      </c>
      <c r="C2649" t="s">
        <v>3464</v>
      </c>
      <c r="D2649" t="s">
        <v>830</v>
      </c>
      <c r="E2649" t="s">
        <v>387</v>
      </c>
      <c r="F2649" t="s">
        <v>397</v>
      </c>
      <c r="G2649">
        <v>1</v>
      </c>
      <c r="H2649" s="21">
        <v>875.11</v>
      </c>
      <c r="I2649">
        <v>10</v>
      </c>
      <c r="J2649" s="21">
        <v>87.51</v>
      </c>
      <c r="K2649">
        <v>5</v>
      </c>
      <c r="L2649" s="21">
        <v>39.380000000000003</v>
      </c>
      <c r="M2649" s="21">
        <v>826.98</v>
      </c>
      <c r="N2649" s="21">
        <v>570.20000000000005</v>
      </c>
      <c r="O2649" s="21">
        <v>217.4</v>
      </c>
      <c r="P2649" t="s">
        <v>123</v>
      </c>
      <c r="Q2649" t="s">
        <v>122</v>
      </c>
      <c r="R2649" t="s">
        <v>151</v>
      </c>
      <c r="S2649" t="s">
        <v>2879</v>
      </c>
      <c r="T2649" t="s">
        <v>153</v>
      </c>
      <c r="U2649" t="s">
        <v>154</v>
      </c>
      <c r="V2649" t="str">
        <f>IFERROR(INDEX(Products!$C:$C,MATCH(D2649,Products!$A:$A,0)),"Unknown")</f>
        <v>Men Shirts</v>
      </c>
      <c r="W2649" t="str">
        <f>IFERROR(INDEX(Products!$E:$E,MATCH(D2649,Products!$A:$A,0)),"Unknown")</f>
        <v>AND</v>
      </c>
      <c r="X2649" t="str">
        <f>IFERROR(INDEX(Stores!$B:$B,MATCH(E2649,Stores!$A:$A,0)),"Unknown")</f>
        <v>TrendMart Kannur Outlet</v>
      </c>
      <c r="Y2649" t="str">
        <f>IFERROR(INDEX(Stores!$E:$E,MATCH(E2649,Stores!$A:$A,0)),"Unknown")</f>
        <v>South Zone 1</v>
      </c>
      <c r="Z2649" t="str">
        <f>IFERROR(INDEX(Customers!$J:$J,MATCH(C2649,Customers!$A:$A,0)),"Unknown")</f>
        <v>Gold</v>
      </c>
      <c r="AA2649" t="str">
        <f t="shared" si="41"/>
        <v>2025-01</v>
      </c>
      <c r="AB2649" t="str">
        <f>IFERROR(INDEX(Products!$I:$I,MATCH(D2649,Products!$A:$A,0)),"Unknown")</f>
        <v>SUP012</v>
      </c>
    </row>
    <row r="2650" spans="1:28" x14ac:dyDescent="0.25">
      <c r="A2650" t="s">
        <v>4711</v>
      </c>
      <c r="B2650" s="20">
        <v>45481</v>
      </c>
      <c r="C2650" t="s">
        <v>2780</v>
      </c>
      <c r="D2650" t="s">
        <v>830</v>
      </c>
      <c r="E2650" t="s">
        <v>302</v>
      </c>
      <c r="F2650" t="s">
        <v>532</v>
      </c>
      <c r="G2650">
        <v>1</v>
      </c>
      <c r="H2650" s="21">
        <v>845.68</v>
      </c>
      <c r="I2650">
        <v>10</v>
      </c>
      <c r="J2650" s="21">
        <v>84.57</v>
      </c>
      <c r="K2650">
        <v>5</v>
      </c>
      <c r="L2650" s="21">
        <v>38.06</v>
      </c>
      <c r="M2650" s="21">
        <v>799.17</v>
      </c>
      <c r="N2650" s="21">
        <v>570.20000000000005</v>
      </c>
      <c r="O2650" s="21">
        <v>190.91</v>
      </c>
      <c r="P2650" t="s">
        <v>125</v>
      </c>
      <c r="Q2650" t="s">
        <v>120</v>
      </c>
      <c r="R2650" t="s">
        <v>151</v>
      </c>
      <c r="S2650" t="s">
        <v>3195</v>
      </c>
      <c r="T2650" t="s">
        <v>153</v>
      </c>
      <c r="U2650" t="s">
        <v>154</v>
      </c>
      <c r="V2650" t="str">
        <f>IFERROR(INDEX(Products!$C:$C,MATCH(D2650,Products!$A:$A,0)),"Unknown")</f>
        <v>Men Shirts</v>
      </c>
      <c r="W2650" t="str">
        <f>IFERROR(INDEX(Products!$E:$E,MATCH(D2650,Products!$A:$A,0)),"Unknown")</f>
        <v>AND</v>
      </c>
      <c r="X2650" t="str">
        <f>IFERROR(INDEX(Stores!$B:$B,MATCH(E2650,Stores!$A:$A,0)),"Unknown")</f>
        <v>TrendMart Visakhapatnam Standard</v>
      </c>
      <c r="Y2650" t="str">
        <f>IFERROR(INDEX(Stores!$E:$E,MATCH(E2650,Stores!$A:$A,0)),"Unknown")</f>
        <v>South Zone 3</v>
      </c>
      <c r="Z2650" t="str">
        <f>IFERROR(INDEX(Customers!$J:$J,MATCH(C2650,Customers!$A:$A,0)),"Unknown")</f>
        <v>Regular</v>
      </c>
      <c r="AA2650" t="str">
        <f t="shared" si="41"/>
        <v>2024-07</v>
      </c>
      <c r="AB2650" t="str">
        <f>IFERROR(INDEX(Products!$I:$I,MATCH(D2650,Products!$A:$A,0)),"Unknown")</f>
        <v>SUP012</v>
      </c>
    </row>
    <row r="2651" spans="1:28" x14ac:dyDescent="0.25">
      <c r="A2651" t="s">
        <v>4712</v>
      </c>
      <c r="B2651" s="20">
        <v>45521</v>
      </c>
      <c r="C2651" t="s">
        <v>1708</v>
      </c>
      <c r="D2651" t="s">
        <v>339</v>
      </c>
      <c r="E2651" t="s">
        <v>241</v>
      </c>
      <c r="F2651" t="s">
        <v>434</v>
      </c>
      <c r="G2651">
        <v>3</v>
      </c>
      <c r="H2651" s="21">
        <v>957.7</v>
      </c>
      <c r="I2651">
        <v>10</v>
      </c>
      <c r="J2651" s="21">
        <v>287.31</v>
      </c>
      <c r="K2651">
        <v>5</v>
      </c>
      <c r="L2651" s="21">
        <v>129.29</v>
      </c>
      <c r="M2651" s="21">
        <v>2715.08</v>
      </c>
      <c r="N2651" s="21">
        <v>1705.59</v>
      </c>
      <c r="O2651" s="21">
        <v>880.2</v>
      </c>
      <c r="P2651" t="s">
        <v>123</v>
      </c>
      <c r="Q2651" t="s">
        <v>120</v>
      </c>
      <c r="R2651" t="s">
        <v>151</v>
      </c>
      <c r="S2651" t="s">
        <v>760</v>
      </c>
      <c r="T2651" t="s">
        <v>161</v>
      </c>
      <c r="U2651" t="s">
        <v>154</v>
      </c>
      <c r="V2651" t="str">
        <f>IFERROR(INDEX(Products!$C:$C,MATCH(D2651,Products!$A:$A,0)),"Unknown")</f>
        <v>Women Kurtis</v>
      </c>
      <c r="W2651" t="str">
        <f>IFERROR(INDEX(Products!$E:$E,MATCH(D2651,Products!$A:$A,0)),"Unknown")</f>
        <v>Allen Solly</v>
      </c>
      <c r="X2651" t="str">
        <f>IFERROR(INDEX(Stores!$B:$B,MATCH(E2651,Stores!$A:$A,0)),"Unknown")</f>
        <v>TrendMart Nizamabad Mall Kiosk</v>
      </c>
      <c r="Y2651" t="str">
        <f>IFERROR(INDEX(Stores!$E:$E,MATCH(E2651,Stores!$A:$A,0)),"Unknown")</f>
        <v>South Zone 2</v>
      </c>
      <c r="Z2651" t="str">
        <f>IFERROR(INDEX(Customers!$J:$J,MATCH(C2651,Customers!$A:$A,0)),"Unknown")</f>
        <v>Gold</v>
      </c>
      <c r="AA2651" t="str">
        <f t="shared" si="41"/>
        <v>2024-08</v>
      </c>
      <c r="AB2651" t="str">
        <f>IFERROR(INDEX(Products!$I:$I,MATCH(D2651,Products!$A:$A,0)),"Unknown")</f>
        <v>SUP086</v>
      </c>
    </row>
    <row r="2652" spans="1:28" x14ac:dyDescent="0.25">
      <c r="A2652" t="s">
        <v>4713</v>
      </c>
      <c r="B2652" s="20">
        <v>45486</v>
      </c>
      <c r="C2652" t="s">
        <v>3554</v>
      </c>
      <c r="D2652" t="s">
        <v>1026</v>
      </c>
      <c r="E2652" t="s">
        <v>252</v>
      </c>
      <c r="F2652" t="s">
        <v>253</v>
      </c>
      <c r="G2652">
        <v>5</v>
      </c>
      <c r="H2652" s="21">
        <v>1429.99</v>
      </c>
      <c r="I2652">
        <v>20</v>
      </c>
      <c r="J2652" s="21">
        <v>1429.99</v>
      </c>
      <c r="K2652">
        <v>12</v>
      </c>
      <c r="L2652" s="21">
        <v>686.4</v>
      </c>
      <c r="M2652" s="21">
        <v>6406.36</v>
      </c>
      <c r="N2652" s="21">
        <v>4810.8500000000004</v>
      </c>
      <c r="O2652" s="21">
        <v>909.11</v>
      </c>
      <c r="P2652" t="s">
        <v>125</v>
      </c>
      <c r="Q2652" t="s">
        <v>120</v>
      </c>
      <c r="R2652" t="s">
        <v>151</v>
      </c>
      <c r="S2652" t="s">
        <v>2119</v>
      </c>
      <c r="T2652" t="s">
        <v>161</v>
      </c>
      <c r="U2652" t="s">
        <v>154</v>
      </c>
      <c r="V2652" t="str">
        <f>IFERROR(INDEX(Products!$C:$C,MATCH(D2652,Products!$A:$A,0)),"Unknown")</f>
        <v>Women Sarees</v>
      </c>
      <c r="W2652" t="str">
        <f>IFERROR(INDEX(Products!$E:$E,MATCH(D2652,Products!$A:$A,0)),"Unknown")</f>
        <v>Spykar</v>
      </c>
      <c r="X2652" t="str">
        <f>IFERROR(INDEX(Stores!$B:$B,MATCH(E2652,Stores!$A:$A,0)),"Unknown")</f>
        <v>TrendMart Nellore Standard</v>
      </c>
      <c r="Y2652" t="str">
        <f>IFERROR(INDEX(Stores!$E:$E,MATCH(E2652,Stores!$A:$A,0)),"Unknown")</f>
        <v>South Zone 3</v>
      </c>
      <c r="Z2652" t="str">
        <f>IFERROR(INDEX(Customers!$J:$J,MATCH(C2652,Customers!$A:$A,0)),"Unknown")</f>
        <v>Gold</v>
      </c>
      <c r="AA2652" t="str">
        <f t="shared" si="41"/>
        <v>2024-07</v>
      </c>
      <c r="AB2652" t="str">
        <f>IFERROR(INDEX(Products!$I:$I,MATCH(D2652,Products!$A:$A,0)),"Unknown")</f>
        <v>SUP001</v>
      </c>
    </row>
    <row r="2653" spans="1:28" x14ac:dyDescent="0.25">
      <c r="A2653" t="s">
        <v>4714</v>
      </c>
      <c r="B2653" s="20">
        <v>45444</v>
      </c>
      <c r="C2653" t="s">
        <v>1400</v>
      </c>
      <c r="D2653" t="s">
        <v>583</v>
      </c>
      <c r="E2653" t="s">
        <v>429</v>
      </c>
      <c r="F2653" t="s">
        <v>221</v>
      </c>
      <c r="G2653">
        <v>2</v>
      </c>
      <c r="H2653" s="21">
        <v>841.21</v>
      </c>
      <c r="I2653">
        <v>30</v>
      </c>
      <c r="J2653" s="21">
        <v>504.73</v>
      </c>
      <c r="K2653">
        <v>5</v>
      </c>
      <c r="L2653" s="21">
        <v>58.88</v>
      </c>
      <c r="M2653" s="21">
        <v>1236.57</v>
      </c>
      <c r="N2653" s="21">
        <v>1259.44</v>
      </c>
      <c r="O2653" s="21">
        <v>-81.75</v>
      </c>
      <c r="P2653" t="s">
        <v>121</v>
      </c>
      <c r="Q2653" t="s">
        <v>120</v>
      </c>
      <c r="R2653" t="s">
        <v>151</v>
      </c>
      <c r="S2653" t="s">
        <v>969</v>
      </c>
      <c r="T2653" t="s">
        <v>161</v>
      </c>
      <c r="U2653" t="s">
        <v>184</v>
      </c>
      <c r="V2653" t="str">
        <f>IFERROR(INDEX(Products!$C:$C,MATCH(D2653,Products!$A:$A,0)),"Unknown")</f>
        <v>Women Tops</v>
      </c>
      <c r="W2653" t="str">
        <f>IFERROR(INDEX(Products!$E:$E,MATCH(D2653,Products!$A:$A,0)),"Unknown")</f>
        <v>Ramraj Cotton</v>
      </c>
      <c r="X2653" t="str">
        <f>IFERROR(INDEX(Stores!$B:$B,MATCH(E2653,Stores!$A:$A,0)),"Unknown")</f>
        <v>TrendMart Tirunelveli Flagship</v>
      </c>
      <c r="Y2653" t="str">
        <f>IFERROR(INDEX(Stores!$E:$E,MATCH(E2653,Stores!$A:$A,0)),"Unknown")</f>
        <v>South Zone 1</v>
      </c>
      <c r="Z2653" t="str">
        <f>IFERROR(INDEX(Customers!$J:$J,MATCH(C2653,Customers!$A:$A,0)),"Unknown")</f>
        <v>Regular</v>
      </c>
      <c r="AA2653" t="str">
        <f t="shared" si="41"/>
        <v>2024-06</v>
      </c>
      <c r="AB2653" t="str">
        <f>IFERROR(INDEX(Products!$I:$I,MATCH(D2653,Products!$A:$A,0)),"Unknown")</f>
        <v>SUP048</v>
      </c>
    </row>
    <row r="2654" spans="1:28" x14ac:dyDescent="0.25">
      <c r="A2654" t="s">
        <v>4715</v>
      </c>
      <c r="B2654" s="20">
        <v>45713</v>
      </c>
      <c r="C2654" t="s">
        <v>1927</v>
      </c>
      <c r="D2654" t="s">
        <v>773</v>
      </c>
      <c r="E2654" t="s">
        <v>1141</v>
      </c>
      <c r="F2654" t="s">
        <v>596</v>
      </c>
      <c r="G2654">
        <v>2</v>
      </c>
      <c r="H2654" s="21">
        <v>3656.72</v>
      </c>
      <c r="I2654">
        <v>5</v>
      </c>
      <c r="J2654" s="21">
        <v>365.67</v>
      </c>
      <c r="K2654">
        <v>12</v>
      </c>
      <c r="L2654" s="21">
        <v>833.73</v>
      </c>
      <c r="M2654" s="21">
        <v>7781.5</v>
      </c>
      <c r="N2654" s="21">
        <v>5420.1</v>
      </c>
      <c r="O2654" s="21">
        <v>1527.67</v>
      </c>
      <c r="P2654" t="s">
        <v>124</v>
      </c>
      <c r="Q2654" t="s">
        <v>122</v>
      </c>
      <c r="R2654" t="s">
        <v>151</v>
      </c>
      <c r="S2654" t="s">
        <v>1020</v>
      </c>
      <c r="T2654" t="s">
        <v>153</v>
      </c>
      <c r="U2654" t="s">
        <v>154</v>
      </c>
      <c r="V2654" t="str">
        <f>IFERROR(INDEX(Products!$C:$C,MATCH(D2654,Products!$A:$A,0)),"Unknown")</f>
        <v>Women Sarees</v>
      </c>
      <c r="W2654" t="str">
        <f>IFERROR(INDEX(Products!$E:$E,MATCH(D2654,Products!$A:$A,0)),"Unknown")</f>
        <v>Bata</v>
      </c>
      <c r="X2654" t="str">
        <f>IFERROR(INDEX(Stores!$B:$B,MATCH(E2654,Stores!$A:$A,0)),"Unknown")</f>
        <v>TrendMart Kochi Standard</v>
      </c>
      <c r="Y2654" t="str">
        <f>IFERROR(INDEX(Stores!$E:$E,MATCH(E2654,Stores!$A:$A,0)),"Unknown")</f>
        <v>South Zone 1</v>
      </c>
      <c r="Z2654" t="str">
        <f>IFERROR(INDEX(Customers!$J:$J,MATCH(C2654,Customers!$A:$A,0)),"Unknown")</f>
        <v>Silver</v>
      </c>
      <c r="AA2654" t="str">
        <f t="shared" si="41"/>
        <v>2025-02</v>
      </c>
      <c r="AB2654" t="str">
        <f>IFERROR(INDEX(Products!$I:$I,MATCH(D2654,Products!$A:$A,0)),"Unknown")</f>
        <v>SUP086</v>
      </c>
    </row>
    <row r="2655" spans="1:28" x14ac:dyDescent="0.25">
      <c r="A2655" t="s">
        <v>4716</v>
      </c>
      <c r="B2655" s="20">
        <v>45514</v>
      </c>
      <c r="C2655" t="s">
        <v>1177</v>
      </c>
      <c r="D2655" t="s">
        <v>524</v>
      </c>
      <c r="E2655" t="s">
        <v>188</v>
      </c>
      <c r="F2655" t="s">
        <v>201</v>
      </c>
      <c r="G2655">
        <v>2</v>
      </c>
      <c r="H2655" s="21">
        <v>845.97</v>
      </c>
      <c r="I2655">
        <v>0</v>
      </c>
      <c r="J2655" s="21">
        <v>0</v>
      </c>
      <c r="K2655">
        <v>5</v>
      </c>
      <c r="L2655" s="21">
        <v>84.6</v>
      </c>
      <c r="M2655" s="21">
        <v>1776.54</v>
      </c>
      <c r="N2655" s="21">
        <v>1095.3399999999999</v>
      </c>
      <c r="O2655" s="21">
        <v>596.6</v>
      </c>
      <c r="P2655" t="s">
        <v>123</v>
      </c>
      <c r="Q2655" t="s">
        <v>120</v>
      </c>
      <c r="R2655" t="s">
        <v>313</v>
      </c>
      <c r="S2655" t="s">
        <v>3540</v>
      </c>
      <c r="T2655" t="s">
        <v>161</v>
      </c>
      <c r="U2655" t="s">
        <v>154</v>
      </c>
      <c r="V2655" t="str">
        <f>IFERROR(INDEX(Products!$C:$C,MATCH(D2655,Products!$A:$A,0)),"Unknown")</f>
        <v>Women Tops</v>
      </c>
      <c r="W2655" t="str">
        <f>IFERROR(INDEX(Products!$E:$E,MATCH(D2655,Products!$A:$A,0)),"Unknown")</f>
        <v>Indian Terrain</v>
      </c>
      <c r="X2655" t="str">
        <f>IFERROR(INDEX(Stores!$B:$B,MATCH(E2655,Stores!$A:$A,0)),"Unknown")</f>
        <v>TrendMart Vijayawada Standard</v>
      </c>
      <c r="Y2655" t="str">
        <f>IFERROR(INDEX(Stores!$E:$E,MATCH(E2655,Stores!$A:$A,0)),"Unknown")</f>
        <v>South Zone 3</v>
      </c>
      <c r="Z2655" t="str">
        <f>IFERROR(INDEX(Customers!$J:$J,MATCH(C2655,Customers!$A:$A,0)),"Unknown")</f>
        <v>Silver</v>
      </c>
      <c r="AA2655" t="str">
        <f t="shared" si="41"/>
        <v>2024-08</v>
      </c>
      <c r="AB2655" t="str">
        <f>IFERROR(INDEX(Products!$I:$I,MATCH(D2655,Products!$A:$A,0)),"Unknown")</f>
        <v>SUP062</v>
      </c>
    </row>
    <row r="2656" spans="1:28" x14ac:dyDescent="0.25">
      <c r="A2656" t="s">
        <v>4717</v>
      </c>
      <c r="B2656" s="20">
        <v>45604</v>
      </c>
      <c r="C2656" t="s">
        <v>4718</v>
      </c>
      <c r="D2656" t="s">
        <v>2392</v>
      </c>
      <c r="E2656" t="s">
        <v>360</v>
      </c>
      <c r="F2656" t="s">
        <v>269</v>
      </c>
      <c r="G2656">
        <v>4</v>
      </c>
      <c r="H2656" s="21">
        <v>1148.1300000000001</v>
      </c>
      <c r="I2656">
        <v>10</v>
      </c>
      <c r="J2656" s="21">
        <v>459.25</v>
      </c>
      <c r="K2656">
        <v>12</v>
      </c>
      <c r="L2656" s="21">
        <v>495.99</v>
      </c>
      <c r="M2656" s="21">
        <v>4629.26</v>
      </c>
      <c r="N2656" s="21">
        <v>2976</v>
      </c>
      <c r="O2656" s="21">
        <v>1157.27</v>
      </c>
      <c r="P2656" t="s">
        <v>124</v>
      </c>
      <c r="Q2656" t="s">
        <v>122</v>
      </c>
      <c r="R2656" t="s">
        <v>151</v>
      </c>
      <c r="S2656" t="s">
        <v>1482</v>
      </c>
      <c r="T2656" t="s">
        <v>153</v>
      </c>
      <c r="U2656" t="s">
        <v>154</v>
      </c>
      <c r="V2656" t="str">
        <f>IFERROR(INDEX(Products!$C:$C,MATCH(D2656,Products!$A:$A,0)),"Unknown")</f>
        <v>Women Kurtis</v>
      </c>
      <c r="W2656" t="str">
        <f>IFERROR(INDEX(Products!$E:$E,MATCH(D2656,Products!$A:$A,0)),"Unknown")</f>
        <v>Reebok</v>
      </c>
      <c r="X2656" t="str">
        <f>IFERROR(INDEX(Stores!$B:$B,MATCH(E2656,Stores!$A:$A,0)),"Unknown")</f>
        <v>TrendMart Kochi Standard</v>
      </c>
      <c r="Y2656" t="str">
        <f>IFERROR(INDEX(Stores!$E:$E,MATCH(E2656,Stores!$A:$A,0)),"Unknown")</f>
        <v>South Zone 1</v>
      </c>
      <c r="Z2656" t="str">
        <f>IFERROR(INDEX(Customers!$J:$J,MATCH(C2656,Customers!$A:$A,0)),"Unknown")</f>
        <v>Silver</v>
      </c>
      <c r="AA2656" t="str">
        <f t="shared" si="41"/>
        <v>2024-11</v>
      </c>
      <c r="AB2656" t="str">
        <f>IFERROR(INDEX(Products!$I:$I,MATCH(D2656,Products!$A:$A,0)),"Unknown")</f>
        <v>SUP029</v>
      </c>
    </row>
    <row r="2657" spans="1:28" x14ac:dyDescent="0.25">
      <c r="A2657" t="s">
        <v>4719</v>
      </c>
      <c r="B2657" s="20">
        <v>45546</v>
      </c>
      <c r="C2657" t="s">
        <v>2089</v>
      </c>
      <c r="D2657" t="s">
        <v>502</v>
      </c>
      <c r="E2657" t="s">
        <v>402</v>
      </c>
      <c r="F2657" t="s">
        <v>150</v>
      </c>
      <c r="G2657">
        <v>2</v>
      </c>
      <c r="H2657" s="21">
        <v>2853.64</v>
      </c>
      <c r="I2657">
        <v>30</v>
      </c>
      <c r="J2657" s="21">
        <v>1712.18</v>
      </c>
      <c r="K2657">
        <v>12</v>
      </c>
      <c r="L2657" s="21">
        <v>479.41</v>
      </c>
      <c r="M2657" s="21">
        <v>4474.51</v>
      </c>
      <c r="N2657" s="21">
        <v>4302.68</v>
      </c>
      <c r="O2657" s="21">
        <v>-307.58</v>
      </c>
      <c r="P2657" t="s">
        <v>121</v>
      </c>
      <c r="Q2657" t="s">
        <v>120</v>
      </c>
      <c r="R2657" t="s">
        <v>313</v>
      </c>
      <c r="S2657" t="s">
        <v>3384</v>
      </c>
      <c r="T2657" t="s">
        <v>153</v>
      </c>
      <c r="U2657" t="s">
        <v>184</v>
      </c>
      <c r="V2657" t="str">
        <f>IFERROR(INDEX(Products!$C:$C,MATCH(D2657,Products!$A:$A,0)),"Unknown")</f>
        <v>Handbags</v>
      </c>
      <c r="W2657" t="str">
        <f>IFERROR(INDEX(Products!$E:$E,MATCH(D2657,Products!$A:$A,0)),"Unknown")</f>
        <v>Libas</v>
      </c>
      <c r="X2657" t="str">
        <f>IFERROR(INDEX(Stores!$B:$B,MATCH(E2657,Stores!$A:$A,0)),"Unknown")</f>
        <v>TrendMart Kannur Standard</v>
      </c>
      <c r="Y2657" t="str">
        <f>IFERROR(INDEX(Stores!$E:$E,MATCH(E2657,Stores!$A:$A,0)),"Unknown")</f>
        <v>South Zone 1</v>
      </c>
      <c r="Z2657" t="str">
        <f>IFERROR(INDEX(Customers!$J:$J,MATCH(C2657,Customers!$A:$A,0)),"Unknown")</f>
        <v>Silver</v>
      </c>
      <c r="AA2657" t="str">
        <f t="shared" si="41"/>
        <v>2024-09</v>
      </c>
      <c r="AB2657" t="str">
        <f>IFERROR(INDEX(Products!$I:$I,MATCH(D2657,Products!$A:$A,0)),"Unknown")</f>
        <v>SUP070</v>
      </c>
    </row>
    <row r="2658" spans="1:28" x14ac:dyDescent="0.25">
      <c r="A2658" t="s">
        <v>4720</v>
      </c>
      <c r="B2658" s="20">
        <v>45696</v>
      </c>
      <c r="C2658" t="s">
        <v>2605</v>
      </c>
      <c r="D2658" t="s">
        <v>1687</v>
      </c>
      <c r="E2658" t="s">
        <v>617</v>
      </c>
      <c r="F2658" t="s">
        <v>462</v>
      </c>
      <c r="G2658">
        <v>2</v>
      </c>
      <c r="H2658" s="21">
        <v>918.72</v>
      </c>
      <c r="I2658">
        <v>30</v>
      </c>
      <c r="J2658" s="21">
        <v>551.23</v>
      </c>
      <c r="K2658">
        <v>5</v>
      </c>
      <c r="L2658" s="21">
        <v>64.31</v>
      </c>
      <c r="M2658" s="21">
        <v>1350.52</v>
      </c>
      <c r="N2658" s="21">
        <v>962.6</v>
      </c>
      <c r="O2658" s="21">
        <v>323.61</v>
      </c>
      <c r="P2658" t="s">
        <v>121</v>
      </c>
      <c r="Q2658" t="s">
        <v>122</v>
      </c>
      <c r="R2658" t="s">
        <v>151</v>
      </c>
      <c r="S2658" t="s">
        <v>2612</v>
      </c>
      <c r="T2658" t="s">
        <v>161</v>
      </c>
      <c r="U2658" t="s">
        <v>154</v>
      </c>
      <c r="V2658" t="str">
        <f>IFERROR(INDEX(Products!$C:$C,MATCH(D2658,Products!$A:$A,0)),"Unknown")</f>
        <v>Accessories</v>
      </c>
      <c r="W2658" t="str">
        <f>IFERROR(INDEX(Products!$E:$E,MATCH(D2658,Products!$A:$A,0)),"Unknown")</f>
        <v>Unknown</v>
      </c>
      <c r="X2658" t="str">
        <f>IFERROR(INDEX(Stores!$B:$B,MATCH(E2658,Stores!$A:$A,0)),"Unknown")</f>
        <v>TrendMart Mangaluru High Street</v>
      </c>
      <c r="Y2658" t="str">
        <f>IFERROR(INDEX(Stores!$E:$E,MATCH(E2658,Stores!$A:$A,0)),"Unknown")</f>
        <v>South Zone 2</v>
      </c>
      <c r="Z2658" t="str">
        <f>IFERROR(INDEX(Customers!$J:$J,MATCH(C2658,Customers!$A:$A,0)),"Unknown")</f>
        <v>Gold</v>
      </c>
      <c r="AA2658" t="str">
        <f t="shared" si="41"/>
        <v>2025-02</v>
      </c>
      <c r="AB2658" t="str">
        <f>IFERROR(INDEX(Products!$I:$I,MATCH(D2658,Products!$A:$A,0)),"Unknown")</f>
        <v>SUP023</v>
      </c>
    </row>
    <row r="2659" spans="1:28" x14ac:dyDescent="0.25">
      <c r="A2659" t="s">
        <v>4721</v>
      </c>
      <c r="B2659" s="20">
        <v>45645</v>
      </c>
      <c r="C2659" t="s">
        <v>582</v>
      </c>
      <c r="D2659" t="s">
        <v>524</v>
      </c>
      <c r="E2659" t="s">
        <v>727</v>
      </c>
      <c r="F2659" t="s">
        <v>550</v>
      </c>
      <c r="G2659">
        <v>1</v>
      </c>
      <c r="H2659" s="21">
        <v>721.21</v>
      </c>
      <c r="I2659">
        <v>5</v>
      </c>
      <c r="J2659" s="21">
        <v>36.06</v>
      </c>
      <c r="K2659">
        <v>5</v>
      </c>
      <c r="L2659" s="21">
        <v>34.26</v>
      </c>
      <c r="M2659" s="21">
        <v>719.41</v>
      </c>
      <c r="N2659" s="21">
        <v>547.66999999999996</v>
      </c>
      <c r="O2659" s="21">
        <v>137.47999999999999</v>
      </c>
      <c r="P2659" t="s">
        <v>125</v>
      </c>
      <c r="Q2659" t="s">
        <v>122</v>
      </c>
      <c r="R2659" t="s">
        <v>151</v>
      </c>
      <c r="S2659" t="s">
        <v>1220</v>
      </c>
      <c r="T2659" t="s">
        <v>153</v>
      </c>
      <c r="U2659" t="s">
        <v>154</v>
      </c>
      <c r="V2659" t="str">
        <f>IFERROR(INDEX(Products!$C:$C,MATCH(D2659,Products!$A:$A,0)),"Unknown")</f>
        <v>Women Tops</v>
      </c>
      <c r="W2659" t="str">
        <f>IFERROR(INDEX(Products!$E:$E,MATCH(D2659,Products!$A:$A,0)),"Unknown")</f>
        <v>Indian Terrain</v>
      </c>
      <c r="X2659" t="str">
        <f>IFERROR(INDEX(Stores!$B:$B,MATCH(E2659,Stores!$A:$A,0)),"Unknown")</f>
        <v>TrendMart Nizamabad Standard</v>
      </c>
      <c r="Y2659" t="str">
        <f>IFERROR(INDEX(Stores!$E:$E,MATCH(E2659,Stores!$A:$A,0)),"Unknown")</f>
        <v>South Zone 2</v>
      </c>
      <c r="Z2659" t="str">
        <f>IFERROR(INDEX(Customers!$J:$J,MATCH(C2659,Customers!$A:$A,0)),"Unknown")</f>
        <v>Silver</v>
      </c>
      <c r="AA2659" t="str">
        <f t="shared" si="41"/>
        <v>2024-12</v>
      </c>
      <c r="AB2659" t="str">
        <f>IFERROR(INDEX(Products!$I:$I,MATCH(D2659,Products!$A:$A,0)),"Unknown")</f>
        <v>SUP062</v>
      </c>
    </row>
    <row r="2660" spans="1:28" x14ac:dyDescent="0.25">
      <c r="A2660" t="s">
        <v>4722</v>
      </c>
      <c r="B2660" s="20">
        <v>45399</v>
      </c>
      <c r="C2660" t="s">
        <v>1534</v>
      </c>
      <c r="D2660" t="s">
        <v>225</v>
      </c>
      <c r="E2660" t="s">
        <v>92</v>
      </c>
      <c r="F2660" t="s">
        <v>170</v>
      </c>
      <c r="G2660">
        <v>4</v>
      </c>
      <c r="H2660" s="21">
        <v>1690.9</v>
      </c>
      <c r="I2660">
        <v>0</v>
      </c>
      <c r="J2660" s="21">
        <v>0</v>
      </c>
      <c r="K2660">
        <v>12</v>
      </c>
      <c r="L2660" s="21">
        <v>811.63</v>
      </c>
      <c r="M2660" s="21">
        <v>7575.23</v>
      </c>
      <c r="N2660" s="21">
        <v>5629.32</v>
      </c>
      <c r="O2660" s="21">
        <v>1134.28</v>
      </c>
      <c r="P2660" t="s">
        <v>121</v>
      </c>
      <c r="Q2660" t="s">
        <v>120</v>
      </c>
      <c r="R2660" t="s">
        <v>151</v>
      </c>
      <c r="S2660" t="s">
        <v>1540</v>
      </c>
      <c r="T2660" t="s">
        <v>153</v>
      </c>
      <c r="U2660" t="s">
        <v>154</v>
      </c>
      <c r="V2660" t="str">
        <f>IFERROR(INDEX(Products!$C:$C,MATCH(D2660,Products!$A:$A,0)),"Unknown")</f>
        <v>Women Dresses</v>
      </c>
      <c r="W2660" t="str">
        <f>IFERROR(INDEX(Products!$E:$E,MATCH(D2660,Products!$A:$A,0)),"Unknown")</f>
        <v>Tanishq</v>
      </c>
      <c r="X2660" t="str">
        <f>IFERROR(INDEX(Stores!$B:$B,MATCH(E2660,Stores!$A:$A,0)),"Unknown")</f>
        <v>TrendMart Guntur High Street</v>
      </c>
      <c r="Y2660" t="str">
        <f>IFERROR(INDEX(Stores!$E:$E,MATCH(E2660,Stores!$A:$A,0)),"Unknown")</f>
        <v>South Zone 3</v>
      </c>
      <c r="Z2660" t="str">
        <f>IFERROR(INDEX(Customers!$J:$J,MATCH(C2660,Customers!$A:$A,0)),"Unknown")</f>
        <v>Regular</v>
      </c>
      <c r="AA2660" t="str">
        <f t="shared" si="41"/>
        <v>2024-04</v>
      </c>
      <c r="AB2660" t="str">
        <f>IFERROR(INDEX(Products!$I:$I,MATCH(D2660,Products!$A:$A,0)),"Unknown")</f>
        <v>SUP063</v>
      </c>
    </row>
    <row r="2661" spans="1:28" x14ac:dyDescent="0.25">
      <c r="A2661" t="s">
        <v>4723</v>
      </c>
      <c r="B2661" s="20">
        <v>45583</v>
      </c>
      <c r="C2661" t="s">
        <v>3798</v>
      </c>
      <c r="D2661" t="s">
        <v>333</v>
      </c>
      <c r="E2661" t="s">
        <v>815</v>
      </c>
      <c r="F2661" t="s">
        <v>574</v>
      </c>
      <c r="G2661">
        <v>1</v>
      </c>
      <c r="H2661" s="21">
        <v>2406.39</v>
      </c>
      <c r="I2661">
        <v>5</v>
      </c>
      <c r="J2661" s="21">
        <v>120.32</v>
      </c>
      <c r="K2661">
        <v>12</v>
      </c>
      <c r="L2661" s="21">
        <v>274.33</v>
      </c>
      <c r="M2661" s="21">
        <v>2560.4</v>
      </c>
      <c r="N2661" s="21">
        <v>1767.32</v>
      </c>
      <c r="O2661" s="21">
        <v>518.75</v>
      </c>
      <c r="P2661" t="s">
        <v>126</v>
      </c>
      <c r="Q2661" t="s">
        <v>120</v>
      </c>
      <c r="R2661" t="s">
        <v>151</v>
      </c>
      <c r="S2661" t="s">
        <v>1643</v>
      </c>
      <c r="T2661" t="s">
        <v>153</v>
      </c>
      <c r="U2661" t="s">
        <v>154</v>
      </c>
      <c r="V2661" t="str">
        <f>IFERROR(INDEX(Products!$C:$C,MATCH(D2661,Products!$A:$A,0)),"Unknown")</f>
        <v>Winter Wear</v>
      </c>
      <c r="W2661" t="str">
        <f>IFERROR(INDEX(Products!$E:$E,MATCH(D2661,Products!$A:$A,0)),"Unknown")</f>
        <v>GRT Jewellers</v>
      </c>
      <c r="X2661" t="str">
        <f>IFERROR(INDEX(Stores!$B:$B,MATCH(E2661,Stores!$A:$A,0)),"Unknown")</f>
        <v>TrendMart Madurai Mall Kiosk</v>
      </c>
      <c r="Y2661" t="str">
        <f>IFERROR(INDEX(Stores!$E:$E,MATCH(E2661,Stores!$A:$A,0)),"Unknown")</f>
        <v>South Zone 1</v>
      </c>
      <c r="Z2661" t="str">
        <f>IFERROR(INDEX(Customers!$J:$J,MATCH(C2661,Customers!$A:$A,0)),"Unknown")</f>
        <v>Regular</v>
      </c>
      <c r="AA2661" t="str">
        <f t="shared" si="41"/>
        <v>2024-10</v>
      </c>
      <c r="AB2661" t="str">
        <f>IFERROR(INDEX(Products!$I:$I,MATCH(D2661,Products!$A:$A,0)),"Unknown")</f>
        <v>SUP052</v>
      </c>
    </row>
    <row r="2662" spans="1:28" x14ac:dyDescent="0.25">
      <c r="A2662" t="s">
        <v>4724</v>
      </c>
      <c r="B2662" s="20">
        <v>45529</v>
      </c>
      <c r="C2662" t="s">
        <v>4623</v>
      </c>
      <c r="D2662" t="s">
        <v>2019</v>
      </c>
      <c r="E2662" t="s">
        <v>639</v>
      </c>
      <c r="F2662" t="s">
        <v>308</v>
      </c>
      <c r="G2662">
        <v>2</v>
      </c>
      <c r="H2662" s="21">
        <v>2149.58</v>
      </c>
      <c r="I2662">
        <v>25</v>
      </c>
      <c r="J2662" s="21">
        <v>1074.79</v>
      </c>
      <c r="K2662">
        <v>12</v>
      </c>
      <c r="L2662" s="21">
        <v>386.92</v>
      </c>
      <c r="M2662" s="21">
        <v>3611.29</v>
      </c>
      <c r="N2662" s="21">
        <v>3009.58</v>
      </c>
      <c r="O2662" s="21">
        <v>214.79</v>
      </c>
      <c r="P2662" t="s">
        <v>126</v>
      </c>
      <c r="Q2662" t="s">
        <v>120</v>
      </c>
      <c r="R2662" t="s">
        <v>151</v>
      </c>
      <c r="S2662" t="s">
        <v>3278</v>
      </c>
      <c r="T2662" t="s">
        <v>161</v>
      </c>
      <c r="U2662" t="s">
        <v>154</v>
      </c>
      <c r="V2662" t="str">
        <f>IFERROR(INDEX(Products!$C:$C,MATCH(D2662,Products!$A:$A,0)),"Unknown")</f>
        <v>Footwear</v>
      </c>
      <c r="W2662" t="str">
        <f>IFERROR(INDEX(Products!$E:$E,MATCH(D2662,Products!$A:$A,0)),"Unknown")</f>
        <v>Bata</v>
      </c>
      <c r="X2662" t="str">
        <f>IFERROR(INDEX(Stores!$B:$B,MATCH(E2662,Stores!$A:$A,0)),"Unknown")</f>
        <v>TrendMart Kurnool Outlet</v>
      </c>
      <c r="Y2662" t="str">
        <f>IFERROR(INDEX(Stores!$E:$E,MATCH(E2662,Stores!$A:$A,0)),"Unknown")</f>
        <v>South Zone 3</v>
      </c>
      <c r="Z2662" t="str">
        <f>IFERROR(INDEX(Customers!$J:$J,MATCH(C2662,Customers!$A:$A,0)),"Unknown")</f>
        <v>Silver</v>
      </c>
      <c r="AA2662" t="str">
        <f t="shared" si="41"/>
        <v>2024-08</v>
      </c>
      <c r="AB2662" t="str">
        <f>IFERROR(INDEX(Products!$I:$I,MATCH(D2662,Products!$A:$A,0)),"Unknown")</f>
        <v>SUP004</v>
      </c>
    </row>
    <row r="2663" spans="1:28" x14ac:dyDescent="0.25">
      <c r="A2663" t="s">
        <v>4725</v>
      </c>
      <c r="B2663" s="20">
        <v>45692</v>
      </c>
      <c r="C2663" t="s">
        <v>2797</v>
      </c>
      <c r="D2663" t="s">
        <v>646</v>
      </c>
      <c r="E2663" t="s">
        <v>216</v>
      </c>
      <c r="F2663" t="s">
        <v>221</v>
      </c>
      <c r="G2663">
        <v>2</v>
      </c>
      <c r="H2663" s="21">
        <v>791.38</v>
      </c>
      <c r="I2663">
        <v>30</v>
      </c>
      <c r="J2663" s="21">
        <v>474.83</v>
      </c>
      <c r="K2663">
        <v>5</v>
      </c>
      <c r="L2663" s="21">
        <v>55.4</v>
      </c>
      <c r="M2663" s="21">
        <v>1163.33</v>
      </c>
      <c r="N2663" s="21">
        <v>1024.22</v>
      </c>
      <c r="O2663" s="21">
        <v>83.71</v>
      </c>
      <c r="P2663" t="s">
        <v>125</v>
      </c>
      <c r="Q2663" t="s">
        <v>120</v>
      </c>
      <c r="R2663" t="s">
        <v>151</v>
      </c>
      <c r="S2663" t="s">
        <v>412</v>
      </c>
      <c r="T2663" t="s">
        <v>153</v>
      </c>
      <c r="U2663" t="s">
        <v>154</v>
      </c>
      <c r="V2663" t="str">
        <f>IFERROR(INDEX(Products!$C:$C,MATCH(D2663,Products!$A:$A,0)),"Unknown")</f>
        <v>Sportswear</v>
      </c>
      <c r="W2663" t="str">
        <f>IFERROR(INDEX(Products!$E:$E,MATCH(D2663,Products!$A:$A,0)),"Unknown")</f>
        <v>Fabindia</v>
      </c>
      <c r="X2663" t="str">
        <f>IFERROR(INDEX(Stores!$B:$B,MATCH(E2663,Stores!$A:$A,0)),"Unknown")</f>
        <v>TrendMart Madurai Mall Kiosk</v>
      </c>
      <c r="Y2663" t="str">
        <f>IFERROR(INDEX(Stores!$E:$E,MATCH(E2663,Stores!$A:$A,0)),"Unknown")</f>
        <v>South Zone 1</v>
      </c>
      <c r="Z2663" t="str">
        <f>IFERROR(INDEX(Customers!$J:$J,MATCH(C2663,Customers!$A:$A,0)),"Unknown")</f>
        <v>Regular</v>
      </c>
      <c r="AA2663" t="str">
        <f t="shared" si="41"/>
        <v>2025-02</v>
      </c>
      <c r="AB2663" t="str">
        <f>IFERROR(INDEX(Products!$I:$I,MATCH(D2663,Products!$A:$A,0)),"Unknown")</f>
        <v>SUP087</v>
      </c>
    </row>
    <row r="2664" spans="1:28" x14ac:dyDescent="0.25">
      <c r="A2664" t="s">
        <v>4726</v>
      </c>
      <c r="B2664" s="20">
        <v>45577</v>
      </c>
      <c r="C2664" t="s">
        <v>235</v>
      </c>
      <c r="D2664" t="s">
        <v>1590</v>
      </c>
      <c r="E2664" t="s">
        <v>343</v>
      </c>
      <c r="F2664" t="s">
        <v>574</v>
      </c>
      <c r="G2664">
        <v>4</v>
      </c>
      <c r="H2664" s="21">
        <v>558.52</v>
      </c>
      <c r="I2664">
        <v>0</v>
      </c>
      <c r="J2664" s="21">
        <v>0</v>
      </c>
      <c r="K2664">
        <v>5</v>
      </c>
      <c r="L2664" s="21">
        <v>111.7</v>
      </c>
      <c r="M2664" s="21">
        <v>2345.7800000000002</v>
      </c>
      <c r="N2664" s="21">
        <v>1348.36</v>
      </c>
      <c r="O2664" s="21">
        <v>885.72</v>
      </c>
      <c r="P2664" t="s">
        <v>121</v>
      </c>
      <c r="Q2664" t="s">
        <v>120</v>
      </c>
      <c r="R2664" t="s">
        <v>151</v>
      </c>
      <c r="S2664" t="s">
        <v>435</v>
      </c>
      <c r="T2664" t="s">
        <v>161</v>
      </c>
      <c r="U2664" t="s">
        <v>154</v>
      </c>
      <c r="V2664" t="str">
        <f>IFERROR(INDEX(Products!$C:$C,MATCH(D2664,Products!$A:$A,0)),"Unknown")</f>
        <v>Kids Wear</v>
      </c>
      <c r="W2664" t="str">
        <f>IFERROR(INDEX(Products!$E:$E,MATCH(D2664,Products!$A:$A,0)),"Unknown")</f>
        <v>Peter England</v>
      </c>
      <c r="X2664" t="str">
        <f>IFERROR(INDEX(Stores!$B:$B,MATCH(E2664,Stores!$A:$A,0)),"Unknown")</f>
        <v>TrendMart Tumakuru Outlet</v>
      </c>
      <c r="Y2664" t="str">
        <f>IFERROR(INDEX(Stores!$E:$E,MATCH(E2664,Stores!$A:$A,0)),"Unknown")</f>
        <v>South Zone 2</v>
      </c>
      <c r="Z2664" t="str">
        <f>IFERROR(INDEX(Customers!$J:$J,MATCH(C2664,Customers!$A:$A,0)),"Unknown")</f>
        <v>Gold</v>
      </c>
      <c r="AA2664" t="str">
        <f t="shared" si="41"/>
        <v>2024-10</v>
      </c>
      <c r="AB2664" t="str">
        <f>IFERROR(INDEX(Products!$I:$I,MATCH(D2664,Products!$A:$A,0)),"Unknown")</f>
        <v>SUP065</v>
      </c>
    </row>
    <row r="2665" spans="1:28" x14ac:dyDescent="0.25">
      <c r="A2665" t="s">
        <v>4727</v>
      </c>
      <c r="B2665" s="20">
        <v>45566</v>
      </c>
      <c r="C2665" t="s">
        <v>2050</v>
      </c>
      <c r="D2665" t="s">
        <v>1052</v>
      </c>
      <c r="E2665" t="s">
        <v>188</v>
      </c>
      <c r="F2665" t="s">
        <v>397</v>
      </c>
      <c r="G2665">
        <v>2</v>
      </c>
      <c r="H2665" s="21">
        <v>2441.48</v>
      </c>
      <c r="I2665">
        <v>5</v>
      </c>
      <c r="J2665" s="21">
        <v>244.15</v>
      </c>
      <c r="K2665">
        <v>12</v>
      </c>
      <c r="L2665" s="21">
        <v>556.66</v>
      </c>
      <c r="M2665" s="21">
        <v>5195.47</v>
      </c>
      <c r="N2665" s="21">
        <v>3760.28</v>
      </c>
      <c r="O2665" s="21">
        <v>878.53</v>
      </c>
      <c r="P2665" t="s">
        <v>123</v>
      </c>
      <c r="Q2665" t="s">
        <v>122</v>
      </c>
      <c r="R2665" t="s">
        <v>151</v>
      </c>
      <c r="S2665" t="s">
        <v>1801</v>
      </c>
      <c r="T2665" t="s">
        <v>153</v>
      </c>
      <c r="U2665" t="s">
        <v>154</v>
      </c>
      <c r="V2665" t="str">
        <f>IFERROR(INDEX(Products!$C:$C,MATCH(D2665,Products!$A:$A,0)),"Unknown")</f>
        <v>Men Ethnic</v>
      </c>
      <c r="W2665" t="str">
        <f>IFERROR(INDEX(Products!$E:$E,MATCH(D2665,Products!$A:$A,0)),"Unknown")</f>
        <v>Blackberrys</v>
      </c>
      <c r="X2665" t="str">
        <f>IFERROR(INDEX(Stores!$B:$B,MATCH(E2665,Stores!$A:$A,0)),"Unknown")</f>
        <v>TrendMart Vijayawada Standard</v>
      </c>
      <c r="Y2665" t="str">
        <f>IFERROR(INDEX(Stores!$E:$E,MATCH(E2665,Stores!$A:$A,0)),"Unknown")</f>
        <v>South Zone 3</v>
      </c>
      <c r="Z2665" t="str">
        <f>IFERROR(INDEX(Customers!$J:$J,MATCH(C2665,Customers!$A:$A,0)),"Unknown")</f>
        <v>Gold</v>
      </c>
      <c r="AA2665" t="str">
        <f t="shared" si="41"/>
        <v>2024-10</v>
      </c>
      <c r="AB2665" t="str">
        <f>IFERROR(INDEX(Products!$I:$I,MATCH(D2665,Products!$A:$A,0)),"Unknown")</f>
        <v>SUP020</v>
      </c>
    </row>
    <row r="2666" spans="1:28" x14ac:dyDescent="0.25">
      <c r="A2666" t="s">
        <v>4728</v>
      </c>
      <c r="B2666" s="20">
        <v>45588</v>
      </c>
      <c r="C2666" t="s">
        <v>743</v>
      </c>
      <c r="D2666" t="s">
        <v>993</v>
      </c>
      <c r="E2666" t="s">
        <v>1512</v>
      </c>
      <c r="F2666" t="s">
        <v>286</v>
      </c>
      <c r="G2666">
        <v>3</v>
      </c>
      <c r="H2666" s="21">
        <v>1052.29</v>
      </c>
      <c r="I2666">
        <v>25</v>
      </c>
      <c r="J2666" s="21">
        <v>789.22</v>
      </c>
      <c r="K2666">
        <v>12</v>
      </c>
      <c r="L2666" s="21">
        <v>284.12</v>
      </c>
      <c r="M2666" s="21">
        <v>2651.77</v>
      </c>
      <c r="N2666" s="21">
        <v>2163.87</v>
      </c>
      <c r="O2666" s="21">
        <v>203.78</v>
      </c>
      <c r="P2666" t="s">
        <v>121</v>
      </c>
      <c r="Q2666" t="s">
        <v>120</v>
      </c>
      <c r="R2666" t="s">
        <v>151</v>
      </c>
      <c r="S2666" t="s">
        <v>1165</v>
      </c>
      <c r="T2666" t="s">
        <v>153</v>
      </c>
      <c r="U2666" t="s">
        <v>154</v>
      </c>
      <c r="V2666" t="str">
        <f>IFERROR(INDEX(Products!$C:$C,MATCH(D2666,Products!$A:$A,0)),"Unknown")</f>
        <v>Men Jeans</v>
      </c>
      <c r="W2666" t="str">
        <f>IFERROR(INDEX(Products!$E:$E,MATCH(D2666,Products!$A:$A,0)),"Unknown")</f>
        <v>Louis Philippe</v>
      </c>
      <c r="X2666" t="str">
        <f>IFERROR(INDEX(Stores!$B:$B,MATCH(E2666,Stores!$A:$A,0)),"Unknown")</f>
        <v>TrendMart Erode Mall Kiosk</v>
      </c>
      <c r="Y2666" t="str">
        <f>IFERROR(INDEX(Stores!$E:$E,MATCH(E2666,Stores!$A:$A,0)),"Unknown")</f>
        <v>South Zone 1</v>
      </c>
      <c r="Z2666" t="str">
        <f>IFERROR(INDEX(Customers!$J:$J,MATCH(C2666,Customers!$A:$A,0)),"Unknown")</f>
        <v>Silver</v>
      </c>
      <c r="AA2666" t="str">
        <f t="shared" si="41"/>
        <v>2024-10</v>
      </c>
      <c r="AB2666" t="str">
        <f>IFERROR(INDEX(Products!$I:$I,MATCH(D2666,Products!$A:$A,0)),"Unknown")</f>
        <v>SUP088</v>
      </c>
    </row>
    <row r="2667" spans="1:28" x14ac:dyDescent="0.25">
      <c r="A2667" t="s">
        <v>4729</v>
      </c>
      <c r="B2667" s="20">
        <v>45703</v>
      </c>
      <c r="C2667" t="s">
        <v>2013</v>
      </c>
      <c r="D2667" t="s">
        <v>949</v>
      </c>
      <c r="E2667" t="s">
        <v>247</v>
      </c>
      <c r="F2667" t="s">
        <v>516</v>
      </c>
      <c r="G2667">
        <v>3</v>
      </c>
      <c r="H2667" s="21">
        <v>1542.92</v>
      </c>
      <c r="I2667">
        <v>25</v>
      </c>
      <c r="J2667" s="21">
        <v>1157.19</v>
      </c>
      <c r="K2667">
        <v>12</v>
      </c>
      <c r="L2667" s="21">
        <v>416.59</v>
      </c>
      <c r="M2667" s="21">
        <v>3888.16</v>
      </c>
      <c r="N2667" s="21">
        <v>2965.71</v>
      </c>
      <c r="O2667" s="21">
        <v>505.86</v>
      </c>
      <c r="P2667" t="s">
        <v>124</v>
      </c>
      <c r="Q2667" t="s">
        <v>120</v>
      </c>
      <c r="R2667" t="s">
        <v>151</v>
      </c>
      <c r="S2667" t="s">
        <v>1131</v>
      </c>
      <c r="T2667" t="s">
        <v>161</v>
      </c>
      <c r="U2667" t="s">
        <v>154</v>
      </c>
      <c r="V2667" t="str">
        <f>IFERROR(INDEX(Products!$C:$C,MATCH(D2667,Products!$A:$A,0)),"Unknown")</f>
        <v>Handbags</v>
      </c>
      <c r="W2667" t="str">
        <f>IFERROR(INDEX(Products!$E:$E,MATCH(D2667,Products!$A:$A,0)),"Unknown")</f>
        <v>Fastrack</v>
      </c>
      <c r="X2667" t="str">
        <f>IFERROR(INDEX(Stores!$B:$B,MATCH(E2667,Stores!$A:$A,0)),"Unknown")</f>
        <v>TrendMart Tirupati Outlet</v>
      </c>
      <c r="Y2667" t="str">
        <f>IFERROR(INDEX(Stores!$E:$E,MATCH(E2667,Stores!$A:$A,0)),"Unknown")</f>
        <v>South Zone 3</v>
      </c>
      <c r="Z2667" t="str">
        <f>IFERROR(INDEX(Customers!$J:$J,MATCH(C2667,Customers!$A:$A,0)),"Unknown")</f>
        <v>Gold</v>
      </c>
      <c r="AA2667" t="str">
        <f t="shared" si="41"/>
        <v>2025-02</v>
      </c>
      <c r="AB2667" t="str">
        <f>IFERROR(INDEX(Products!$I:$I,MATCH(D2667,Products!$A:$A,0)),"Unknown")</f>
        <v>SUP069</v>
      </c>
    </row>
    <row r="2668" spans="1:28" x14ac:dyDescent="0.25">
      <c r="A2668" t="s">
        <v>4730</v>
      </c>
      <c r="B2668" s="20">
        <v>45584</v>
      </c>
      <c r="C2668" t="s">
        <v>1413</v>
      </c>
      <c r="D2668" t="s">
        <v>1668</v>
      </c>
      <c r="E2668" t="s">
        <v>470</v>
      </c>
      <c r="F2668" t="s">
        <v>221</v>
      </c>
      <c r="G2668">
        <v>2</v>
      </c>
      <c r="H2668" s="21">
        <v>1431.69</v>
      </c>
      <c r="I2668">
        <v>0</v>
      </c>
      <c r="J2668" s="21">
        <v>0</v>
      </c>
      <c r="K2668">
        <v>12</v>
      </c>
      <c r="L2668" s="21">
        <v>343.61</v>
      </c>
      <c r="M2668" s="21">
        <v>3206.99</v>
      </c>
      <c r="N2668" s="21">
        <v>1786.74</v>
      </c>
      <c r="O2668" s="21">
        <v>1076.6400000000001</v>
      </c>
      <c r="P2668" t="s">
        <v>124</v>
      </c>
      <c r="Q2668" t="s">
        <v>120</v>
      </c>
      <c r="R2668" t="s">
        <v>151</v>
      </c>
      <c r="S2668" t="s">
        <v>1505</v>
      </c>
      <c r="T2668" t="s">
        <v>161</v>
      </c>
      <c r="U2668" t="s">
        <v>154</v>
      </c>
      <c r="V2668" t="str">
        <f>IFERROR(INDEX(Products!$C:$C,MATCH(D2668,Products!$A:$A,0)),"Unknown")</f>
        <v>Women Kurtis</v>
      </c>
      <c r="W2668" t="str">
        <f>IFERROR(INDEX(Products!$E:$E,MATCH(D2668,Products!$A:$A,0)),"Unknown")</f>
        <v>Liberty</v>
      </c>
      <c r="X2668" t="str">
        <f>IFERROR(INDEX(Stores!$B:$B,MATCH(E2668,Stores!$A:$A,0)),"Unknown")</f>
        <v>TrendMart Thiruvananthapuram High Street</v>
      </c>
      <c r="Y2668" t="str">
        <f>IFERROR(INDEX(Stores!$E:$E,MATCH(E2668,Stores!$A:$A,0)),"Unknown")</f>
        <v>South Zone 1</v>
      </c>
      <c r="Z2668" t="str">
        <f>IFERROR(INDEX(Customers!$J:$J,MATCH(C2668,Customers!$A:$A,0)),"Unknown")</f>
        <v>Gold</v>
      </c>
      <c r="AA2668" t="str">
        <f t="shared" si="41"/>
        <v>2024-10</v>
      </c>
      <c r="AB2668" t="str">
        <f>IFERROR(INDEX(Products!$I:$I,MATCH(D2668,Products!$A:$A,0)),"Unknown")</f>
        <v>SUP022</v>
      </c>
    </row>
    <row r="2669" spans="1:28" x14ac:dyDescent="0.25">
      <c r="A2669" t="s">
        <v>4731</v>
      </c>
      <c r="B2669" s="20">
        <v>45706</v>
      </c>
      <c r="C2669" t="s">
        <v>2463</v>
      </c>
      <c r="D2669" t="s">
        <v>756</v>
      </c>
      <c r="E2669" t="s">
        <v>83</v>
      </c>
      <c r="F2669" t="s">
        <v>189</v>
      </c>
      <c r="G2669">
        <v>3</v>
      </c>
      <c r="H2669" s="21">
        <v>760.94</v>
      </c>
      <c r="I2669">
        <v>30</v>
      </c>
      <c r="J2669" s="21">
        <v>684.85</v>
      </c>
      <c r="K2669">
        <v>5</v>
      </c>
      <c r="L2669" s="21">
        <v>79.900000000000006</v>
      </c>
      <c r="M2669" s="21">
        <v>1677.87</v>
      </c>
      <c r="N2669" s="21">
        <v>1567.14</v>
      </c>
      <c r="O2669" s="21">
        <v>30.83</v>
      </c>
      <c r="P2669" t="s">
        <v>125</v>
      </c>
      <c r="Q2669" t="s">
        <v>122</v>
      </c>
      <c r="R2669" t="s">
        <v>151</v>
      </c>
      <c r="S2669" t="s">
        <v>923</v>
      </c>
      <c r="T2669" t="s">
        <v>153</v>
      </c>
      <c r="U2669" t="s">
        <v>154</v>
      </c>
      <c r="V2669" t="str">
        <f>IFERROR(INDEX(Products!$C:$C,MATCH(D2669,Products!$A:$A,0)),"Unknown")</f>
        <v>Women Tops</v>
      </c>
      <c r="W2669" t="str">
        <f>IFERROR(INDEX(Products!$E:$E,MATCH(D2669,Products!$A:$A,0)),"Unknown")</f>
        <v>Peter England</v>
      </c>
      <c r="X2669" t="str">
        <f>IFERROR(INDEX(Stores!$B:$B,MATCH(E2669,Stores!$A:$A,0)),"Unknown")</f>
        <v>TrendMart Vellore Standard</v>
      </c>
      <c r="Y2669" t="str">
        <f>IFERROR(INDEX(Stores!$E:$E,MATCH(E2669,Stores!$A:$A,0)),"Unknown")</f>
        <v>South Zone 1</v>
      </c>
      <c r="Z2669" t="str">
        <f>IFERROR(INDEX(Customers!$J:$J,MATCH(C2669,Customers!$A:$A,0)),"Unknown")</f>
        <v>Regular</v>
      </c>
      <c r="AA2669" t="str">
        <f t="shared" si="41"/>
        <v>2025-02</v>
      </c>
      <c r="AB2669" t="str">
        <f>IFERROR(INDEX(Products!$I:$I,MATCH(D2669,Products!$A:$A,0)),"Unknown")</f>
        <v>SUP018</v>
      </c>
    </row>
    <row r="2670" spans="1:28" x14ac:dyDescent="0.25">
      <c r="A2670" t="s">
        <v>4732</v>
      </c>
      <c r="B2670" s="20">
        <v>45626</v>
      </c>
      <c r="C2670" t="s">
        <v>406</v>
      </c>
      <c r="D2670" t="s">
        <v>438</v>
      </c>
      <c r="E2670" t="s">
        <v>1163</v>
      </c>
      <c r="F2670" t="s">
        <v>344</v>
      </c>
      <c r="G2670">
        <v>2</v>
      </c>
      <c r="H2670" s="21">
        <v>1748</v>
      </c>
      <c r="I2670">
        <v>30</v>
      </c>
      <c r="J2670" s="21">
        <v>1048.8</v>
      </c>
      <c r="K2670">
        <v>12</v>
      </c>
      <c r="L2670" s="21">
        <v>293.66000000000003</v>
      </c>
      <c r="M2670" s="21">
        <v>2740.86</v>
      </c>
      <c r="N2670" s="21">
        <v>2248.96</v>
      </c>
      <c r="O2670" s="21">
        <v>198.24</v>
      </c>
      <c r="P2670" t="s">
        <v>125</v>
      </c>
      <c r="Q2670" t="s">
        <v>122</v>
      </c>
      <c r="R2670" t="s">
        <v>151</v>
      </c>
      <c r="S2670" t="s">
        <v>2126</v>
      </c>
      <c r="T2670" t="s">
        <v>161</v>
      </c>
      <c r="U2670" t="s">
        <v>154</v>
      </c>
      <c r="V2670" t="str">
        <f>IFERROR(INDEX(Products!$C:$C,MATCH(D2670,Products!$A:$A,0)),"Unknown")</f>
        <v>Women Jeans</v>
      </c>
      <c r="W2670" t="str">
        <f>IFERROR(INDEX(Products!$E:$E,MATCH(D2670,Products!$A:$A,0)),"Unknown")</f>
        <v>Ramraj Cotton</v>
      </c>
      <c r="X2670" t="str">
        <f>IFERROR(INDEX(Stores!$B:$B,MATCH(E2670,Stores!$A:$A,0)),"Unknown")</f>
        <v>TrendMart Alappuzha Outlet</v>
      </c>
      <c r="Y2670" t="str">
        <f>IFERROR(INDEX(Stores!$E:$E,MATCH(E2670,Stores!$A:$A,0)),"Unknown")</f>
        <v>South Zone 1</v>
      </c>
      <c r="Z2670" t="str">
        <f>IFERROR(INDEX(Customers!$J:$J,MATCH(C2670,Customers!$A:$A,0)),"Unknown")</f>
        <v>Regular</v>
      </c>
      <c r="AA2670" t="str">
        <f t="shared" si="41"/>
        <v>2024-11</v>
      </c>
      <c r="AB2670" t="str">
        <f>IFERROR(INDEX(Products!$I:$I,MATCH(D2670,Products!$A:$A,0)),"Unknown")</f>
        <v>SUP015</v>
      </c>
    </row>
    <row r="2671" spans="1:28" x14ac:dyDescent="0.25">
      <c r="A2671" t="s">
        <v>4733</v>
      </c>
      <c r="B2671" s="20">
        <v>45679</v>
      </c>
      <c r="C2671" t="s">
        <v>3012</v>
      </c>
      <c r="D2671" t="s">
        <v>157</v>
      </c>
      <c r="E2671" t="s">
        <v>639</v>
      </c>
      <c r="F2671" t="s">
        <v>176</v>
      </c>
      <c r="G2671">
        <v>3</v>
      </c>
      <c r="H2671" s="21">
        <v>799.39</v>
      </c>
      <c r="I2671">
        <v>10</v>
      </c>
      <c r="J2671" s="21">
        <v>239.82</v>
      </c>
      <c r="K2671">
        <v>5</v>
      </c>
      <c r="L2671" s="21">
        <v>107.92</v>
      </c>
      <c r="M2671" s="21">
        <v>2266.27</v>
      </c>
      <c r="N2671" s="21">
        <v>1476.33</v>
      </c>
      <c r="O2671" s="21">
        <v>682.02</v>
      </c>
      <c r="P2671" t="s">
        <v>121</v>
      </c>
      <c r="Q2671" t="s">
        <v>120</v>
      </c>
      <c r="R2671" t="s">
        <v>151</v>
      </c>
      <c r="S2671" t="s">
        <v>731</v>
      </c>
      <c r="T2671" t="s">
        <v>153</v>
      </c>
      <c r="U2671" t="s">
        <v>154</v>
      </c>
      <c r="V2671" t="str">
        <f>IFERROR(INDEX(Products!$C:$C,MATCH(D2671,Products!$A:$A,0)),"Unknown")</f>
        <v>Men T-Shirts</v>
      </c>
      <c r="W2671" t="str">
        <f>IFERROR(INDEX(Products!$E:$E,MATCH(D2671,Products!$A:$A,0)),"Unknown")</f>
        <v>Reebok</v>
      </c>
      <c r="X2671" t="str">
        <f>IFERROR(INDEX(Stores!$B:$B,MATCH(E2671,Stores!$A:$A,0)),"Unknown")</f>
        <v>TrendMart Kurnool Outlet</v>
      </c>
      <c r="Y2671" t="str">
        <f>IFERROR(INDEX(Stores!$E:$E,MATCH(E2671,Stores!$A:$A,0)),"Unknown")</f>
        <v>South Zone 3</v>
      </c>
      <c r="Z2671" t="str">
        <f>IFERROR(INDEX(Customers!$J:$J,MATCH(C2671,Customers!$A:$A,0)),"Unknown")</f>
        <v>Gold</v>
      </c>
      <c r="AA2671" t="str">
        <f t="shared" si="41"/>
        <v>2025-01</v>
      </c>
      <c r="AB2671" t="str">
        <f>IFERROR(INDEX(Products!$I:$I,MATCH(D2671,Products!$A:$A,0)),"Unknown")</f>
        <v>SUP073</v>
      </c>
    </row>
    <row r="2672" spans="1:28" x14ac:dyDescent="0.25">
      <c r="A2672" t="s">
        <v>4734</v>
      </c>
      <c r="B2672" s="20">
        <v>45492</v>
      </c>
      <c r="C2672" t="s">
        <v>922</v>
      </c>
      <c r="D2672" t="s">
        <v>658</v>
      </c>
      <c r="E2672" t="s">
        <v>681</v>
      </c>
      <c r="F2672" t="s">
        <v>443</v>
      </c>
      <c r="G2672">
        <v>2</v>
      </c>
      <c r="H2672" s="21">
        <v>279.48</v>
      </c>
      <c r="I2672">
        <v>0</v>
      </c>
      <c r="J2672" s="21">
        <v>0</v>
      </c>
      <c r="K2672">
        <v>5</v>
      </c>
      <c r="L2672" s="21">
        <v>27.95</v>
      </c>
      <c r="M2672" s="21">
        <v>586.91</v>
      </c>
      <c r="N2672" s="21">
        <v>343.8</v>
      </c>
      <c r="O2672" s="21">
        <v>215.16</v>
      </c>
      <c r="P2672" t="s">
        <v>127</v>
      </c>
      <c r="Q2672" t="s">
        <v>120</v>
      </c>
      <c r="R2672" t="s">
        <v>151</v>
      </c>
      <c r="S2672" t="s">
        <v>1578</v>
      </c>
      <c r="T2672" t="s">
        <v>153</v>
      </c>
      <c r="U2672" t="s">
        <v>154</v>
      </c>
      <c r="V2672" t="str">
        <f>IFERROR(INDEX(Products!$C:$C,MATCH(D2672,Products!$A:$A,0)),"Unknown")</f>
        <v>Accessories</v>
      </c>
      <c r="W2672" t="str">
        <f>IFERROR(INDEX(Products!$E:$E,MATCH(D2672,Products!$A:$A,0)),"Unknown")</f>
        <v>Flying Machine</v>
      </c>
      <c r="X2672" t="str">
        <f>IFERROR(INDEX(Stores!$B:$B,MATCH(E2672,Stores!$A:$A,0)),"Unknown")</f>
        <v>TrendMart Shivamogga Mall Kiosk</v>
      </c>
      <c r="Y2672" t="str">
        <f>IFERROR(INDEX(Stores!$E:$E,MATCH(E2672,Stores!$A:$A,0)),"Unknown")</f>
        <v>South Zone 2</v>
      </c>
      <c r="Z2672" t="str">
        <f>IFERROR(INDEX(Customers!$J:$J,MATCH(C2672,Customers!$A:$A,0)),"Unknown")</f>
        <v>Regular</v>
      </c>
      <c r="AA2672" t="str">
        <f t="shared" si="41"/>
        <v>2024-07</v>
      </c>
      <c r="AB2672" t="str">
        <f>IFERROR(INDEX(Products!$I:$I,MATCH(D2672,Products!$A:$A,0)),"Unknown")</f>
        <v>SUP002</v>
      </c>
    </row>
    <row r="2673" spans="1:28" x14ac:dyDescent="0.25">
      <c r="A2673" t="s">
        <v>4735</v>
      </c>
      <c r="B2673" s="20">
        <v>45592</v>
      </c>
      <c r="C2673" t="s">
        <v>4736</v>
      </c>
      <c r="D2673" t="s">
        <v>2353</v>
      </c>
      <c r="E2673" t="s">
        <v>477</v>
      </c>
      <c r="F2673" t="s">
        <v>269</v>
      </c>
      <c r="G2673">
        <v>2</v>
      </c>
      <c r="H2673" s="21">
        <v>703.45</v>
      </c>
      <c r="I2673">
        <v>30</v>
      </c>
      <c r="J2673" s="21">
        <v>422.07</v>
      </c>
      <c r="K2673">
        <v>5</v>
      </c>
      <c r="L2673" s="21">
        <v>49.24</v>
      </c>
      <c r="M2673" s="21">
        <v>1034.07</v>
      </c>
      <c r="N2673" s="21">
        <v>1008.1</v>
      </c>
      <c r="O2673" s="21">
        <v>-23.27</v>
      </c>
      <c r="P2673" t="s">
        <v>123</v>
      </c>
      <c r="Q2673" t="s">
        <v>120</v>
      </c>
      <c r="R2673" t="s">
        <v>151</v>
      </c>
      <c r="S2673" t="s">
        <v>855</v>
      </c>
      <c r="T2673" t="s">
        <v>161</v>
      </c>
      <c r="U2673" t="s">
        <v>184</v>
      </c>
      <c r="V2673" t="str">
        <f>IFERROR(INDEX(Products!$C:$C,MATCH(D2673,Products!$A:$A,0)),"Unknown")</f>
        <v>Sportswear</v>
      </c>
      <c r="W2673" t="str">
        <f>IFERROR(INDEX(Products!$E:$E,MATCH(D2673,Products!$A:$A,0)),"Unknown")</f>
        <v>Mufti</v>
      </c>
      <c r="X2673" t="str">
        <f>IFERROR(INDEX(Stores!$B:$B,MATCH(E2673,Stores!$A:$A,0)),"Unknown")</f>
        <v>TrendMart Hubballi Standard</v>
      </c>
      <c r="Y2673" t="str">
        <f>IFERROR(INDEX(Stores!$E:$E,MATCH(E2673,Stores!$A:$A,0)),"Unknown")</f>
        <v>South Zone 2</v>
      </c>
      <c r="Z2673" t="str">
        <f>IFERROR(INDEX(Customers!$J:$J,MATCH(C2673,Customers!$A:$A,0)),"Unknown")</f>
        <v>Gold</v>
      </c>
      <c r="AA2673" t="str">
        <f t="shared" si="41"/>
        <v>2024-10</v>
      </c>
      <c r="AB2673" t="str">
        <f>IFERROR(INDEX(Products!$I:$I,MATCH(D2673,Products!$A:$A,0)),"Unknown")</f>
        <v>SUP020</v>
      </c>
    </row>
    <row r="2674" spans="1:28" x14ac:dyDescent="0.25">
      <c r="A2674" t="s">
        <v>4737</v>
      </c>
      <c r="B2674" s="20">
        <v>45730</v>
      </c>
      <c r="C2674" t="s">
        <v>2089</v>
      </c>
      <c r="D2674" t="s">
        <v>1095</v>
      </c>
      <c r="E2674" t="s">
        <v>82</v>
      </c>
      <c r="F2674" t="s">
        <v>258</v>
      </c>
      <c r="G2674">
        <v>1</v>
      </c>
      <c r="H2674" s="21">
        <v>1146.97</v>
      </c>
      <c r="I2674">
        <v>10</v>
      </c>
      <c r="J2674" s="21">
        <v>114.7</v>
      </c>
      <c r="K2674">
        <v>12</v>
      </c>
      <c r="L2674" s="21">
        <v>123.87</v>
      </c>
      <c r="M2674" s="21">
        <v>1156.1400000000001</v>
      </c>
      <c r="N2674" s="21">
        <v>769.63</v>
      </c>
      <c r="O2674" s="21">
        <v>262.64</v>
      </c>
      <c r="P2674" t="s">
        <v>124</v>
      </c>
      <c r="Q2674" t="s">
        <v>122</v>
      </c>
      <c r="R2674" t="s">
        <v>151</v>
      </c>
      <c r="S2674" t="s">
        <v>859</v>
      </c>
      <c r="T2674" t="s">
        <v>153</v>
      </c>
      <c r="U2674" t="s">
        <v>154</v>
      </c>
      <c r="V2674" t="str">
        <f>IFERROR(INDEX(Products!$C:$C,MATCH(D2674,Products!$A:$A,0)),"Unknown")</f>
        <v>Women Dresses</v>
      </c>
      <c r="W2674" t="str">
        <f>IFERROR(INDEX(Products!$E:$E,MATCH(D2674,Products!$A:$A,0)),"Unknown")</f>
        <v>Ramraj Cotton</v>
      </c>
      <c r="X2674" t="str">
        <f>IFERROR(INDEX(Stores!$B:$B,MATCH(E2674,Stores!$A:$A,0)),"Unknown")</f>
        <v>TrendMart Kochi High Street</v>
      </c>
      <c r="Y2674" t="str">
        <f>IFERROR(INDEX(Stores!$E:$E,MATCH(E2674,Stores!$A:$A,0)),"Unknown")</f>
        <v>South Zone 1</v>
      </c>
      <c r="Z2674" t="str">
        <f>IFERROR(INDEX(Customers!$J:$J,MATCH(C2674,Customers!$A:$A,0)),"Unknown")</f>
        <v>Silver</v>
      </c>
      <c r="AA2674" t="str">
        <f t="shared" si="41"/>
        <v>2025-03</v>
      </c>
      <c r="AB2674" t="str">
        <f>IFERROR(INDEX(Products!$I:$I,MATCH(D2674,Products!$A:$A,0)),"Unknown")</f>
        <v>SUP054</v>
      </c>
    </row>
    <row r="2675" spans="1:28" x14ac:dyDescent="0.25">
      <c r="A2675" t="s">
        <v>4738</v>
      </c>
      <c r="B2675" s="20">
        <v>45473</v>
      </c>
      <c r="C2675" t="s">
        <v>2501</v>
      </c>
      <c r="D2675" t="s">
        <v>481</v>
      </c>
      <c r="E2675" t="s">
        <v>511</v>
      </c>
      <c r="F2675" t="s">
        <v>195</v>
      </c>
      <c r="G2675">
        <v>1</v>
      </c>
      <c r="H2675" s="21">
        <v>1002.54</v>
      </c>
      <c r="I2675">
        <v>10</v>
      </c>
      <c r="J2675" s="21">
        <v>100.25</v>
      </c>
      <c r="K2675">
        <v>12</v>
      </c>
      <c r="L2675" s="21">
        <v>108.27</v>
      </c>
      <c r="M2675" s="21">
        <v>1010.56</v>
      </c>
      <c r="N2675" s="21">
        <v>698.08</v>
      </c>
      <c r="O2675" s="21">
        <v>204.21</v>
      </c>
      <c r="P2675" t="s">
        <v>125</v>
      </c>
      <c r="Q2675" t="s">
        <v>120</v>
      </c>
      <c r="R2675" t="s">
        <v>151</v>
      </c>
      <c r="S2675" t="s">
        <v>1391</v>
      </c>
      <c r="T2675" t="s">
        <v>161</v>
      </c>
      <c r="U2675" t="s">
        <v>154</v>
      </c>
      <c r="V2675" t="str">
        <f>IFERROR(INDEX(Products!$C:$C,MATCH(D2675,Products!$A:$A,0)),"Unknown")</f>
        <v>Women Dresses</v>
      </c>
      <c r="W2675" t="str">
        <f>IFERROR(INDEX(Products!$E:$E,MATCH(D2675,Products!$A:$A,0)),"Unknown")</f>
        <v>Jack &amp; Jones</v>
      </c>
      <c r="X2675" t="str">
        <f>IFERROR(INDEX(Stores!$B:$B,MATCH(E2675,Stores!$A:$A,0)),"Unknown")</f>
        <v>TrendMart Khammam Standard</v>
      </c>
      <c r="Y2675" t="str">
        <f>IFERROR(INDEX(Stores!$E:$E,MATCH(E2675,Stores!$A:$A,0)),"Unknown")</f>
        <v>South Zone 2</v>
      </c>
      <c r="Z2675" t="str">
        <f>IFERROR(INDEX(Customers!$J:$J,MATCH(C2675,Customers!$A:$A,0)),"Unknown")</f>
        <v>Silver</v>
      </c>
      <c r="AA2675" t="str">
        <f t="shared" si="41"/>
        <v>2024-06</v>
      </c>
      <c r="AB2675" t="str">
        <f>IFERROR(INDEX(Products!$I:$I,MATCH(D2675,Products!$A:$A,0)),"Unknown")</f>
        <v>SUP069</v>
      </c>
    </row>
    <row r="2676" spans="1:28" x14ac:dyDescent="0.25">
      <c r="A2676" t="s">
        <v>4739</v>
      </c>
      <c r="B2676" s="20">
        <v>45595</v>
      </c>
      <c r="C2676" t="s">
        <v>1473</v>
      </c>
      <c r="D2676" t="s">
        <v>520</v>
      </c>
      <c r="E2676" t="s">
        <v>94</v>
      </c>
      <c r="F2676" t="s">
        <v>308</v>
      </c>
      <c r="G2676">
        <v>3</v>
      </c>
      <c r="H2676" s="21">
        <v>1393.45</v>
      </c>
      <c r="I2676">
        <v>5</v>
      </c>
      <c r="J2676" s="21">
        <v>209.02</v>
      </c>
      <c r="K2676">
        <v>12</v>
      </c>
      <c r="L2676" s="21">
        <v>476.56</v>
      </c>
      <c r="M2676" s="21">
        <v>4447.8900000000003</v>
      </c>
      <c r="N2676" s="21">
        <v>2709.9</v>
      </c>
      <c r="O2676" s="21">
        <v>1261.43</v>
      </c>
      <c r="P2676" t="s">
        <v>121</v>
      </c>
      <c r="Q2676" t="s">
        <v>120</v>
      </c>
      <c r="R2676" t="s">
        <v>151</v>
      </c>
      <c r="S2676" t="s">
        <v>1737</v>
      </c>
      <c r="T2676" t="s">
        <v>153</v>
      </c>
      <c r="U2676" t="s">
        <v>154</v>
      </c>
      <c r="V2676" t="str">
        <f>IFERROR(INDEX(Products!$C:$C,MATCH(D2676,Products!$A:$A,0)),"Unknown")</f>
        <v>Wallets</v>
      </c>
      <c r="W2676" t="str">
        <f>IFERROR(INDEX(Products!$E:$E,MATCH(D2676,Products!$A:$A,0)),"Unknown")</f>
        <v>Nike</v>
      </c>
      <c r="X2676" t="str">
        <f>IFERROR(INDEX(Stores!$B:$B,MATCH(E2676,Stores!$A:$A,0)),"Unknown")</f>
        <v>TrendMart Bengaluru Mall Kiosk</v>
      </c>
      <c r="Y2676" t="str">
        <f>IFERROR(INDEX(Stores!$E:$E,MATCH(E2676,Stores!$A:$A,0)),"Unknown")</f>
        <v>South Zone 2</v>
      </c>
      <c r="Z2676" t="str">
        <f>IFERROR(INDEX(Customers!$J:$J,MATCH(C2676,Customers!$A:$A,0)),"Unknown")</f>
        <v>Regular</v>
      </c>
      <c r="AA2676" t="str">
        <f t="shared" si="41"/>
        <v>2024-10</v>
      </c>
      <c r="AB2676" t="str">
        <f>IFERROR(INDEX(Products!$I:$I,MATCH(D2676,Products!$A:$A,0)),"Unknown")</f>
        <v>SUP027</v>
      </c>
    </row>
    <row r="2677" spans="1:28" x14ac:dyDescent="0.25">
      <c r="A2677" t="s">
        <v>4740</v>
      </c>
      <c r="B2677" s="20">
        <v>45446</v>
      </c>
      <c r="C2677" t="s">
        <v>3472</v>
      </c>
      <c r="D2677" t="s">
        <v>1350</v>
      </c>
      <c r="E2677" t="s">
        <v>343</v>
      </c>
      <c r="F2677" t="s">
        <v>159</v>
      </c>
      <c r="G2677">
        <v>2</v>
      </c>
      <c r="H2677" s="21">
        <v>665.44</v>
      </c>
      <c r="I2677">
        <v>20</v>
      </c>
      <c r="J2677" s="21">
        <v>266.18</v>
      </c>
      <c r="K2677">
        <v>5</v>
      </c>
      <c r="L2677" s="21">
        <v>53.23</v>
      </c>
      <c r="M2677" s="21">
        <v>1117.93</v>
      </c>
      <c r="N2677" s="21">
        <v>838.8</v>
      </c>
      <c r="O2677" s="21">
        <v>225.9</v>
      </c>
      <c r="P2677" t="s">
        <v>123</v>
      </c>
      <c r="Q2677" t="s">
        <v>120</v>
      </c>
      <c r="R2677" t="s">
        <v>151</v>
      </c>
      <c r="S2677" t="s">
        <v>4741</v>
      </c>
      <c r="T2677" t="s">
        <v>153</v>
      </c>
      <c r="U2677" t="s">
        <v>154</v>
      </c>
      <c r="V2677" t="str">
        <f>IFERROR(INDEX(Products!$C:$C,MATCH(D2677,Products!$A:$A,0)),"Unknown")</f>
        <v>Women Tops</v>
      </c>
      <c r="W2677" t="str">
        <f>IFERROR(INDEX(Products!$E:$E,MATCH(D2677,Products!$A:$A,0)),"Unknown")</f>
        <v>Jack &amp; Jones</v>
      </c>
      <c r="X2677" t="str">
        <f>IFERROR(INDEX(Stores!$B:$B,MATCH(E2677,Stores!$A:$A,0)),"Unknown")</f>
        <v>TrendMart Tumakuru Outlet</v>
      </c>
      <c r="Y2677" t="str">
        <f>IFERROR(INDEX(Stores!$E:$E,MATCH(E2677,Stores!$A:$A,0)),"Unknown")</f>
        <v>South Zone 2</v>
      </c>
      <c r="Z2677" t="str">
        <f>IFERROR(INDEX(Customers!$J:$J,MATCH(C2677,Customers!$A:$A,0)),"Unknown")</f>
        <v>Silver</v>
      </c>
      <c r="AA2677" t="str">
        <f t="shared" si="41"/>
        <v>2024-06</v>
      </c>
      <c r="AB2677" t="str">
        <f>IFERROR(INDEX(Products!$I:$I,MATCH(D2677,Products!$A:$A,0)),"Unknown")</f>
        <v>SUP089</v>
      </c>
    </row>
    <row r="2678" spans="1:28" x14ac:dyDescent="0.25">
      <c r="A2678" t="s">
        <v>4742</v>
      </c>
      <c r="B2678" s="20">
        <v>45629</v>
      </c>
      <c r="C2678" t="s">
        <v>3123</v>
      </c>
      <c r="D2678" t="s">
        <v>697</v>
      </c>
      <c r="E2678" t="s">
        <v>99</v>
      </c>
      <c r="F2678" t="s">
        <v>550</v>
      </c>
      <c r="G2678">
        <v>1</v>
      </c>
      <c r="H2678" s="21">
        <v>1088.96</v>
      </c>
      <c r="I2678">
        <v>20</v>
      </c>
      <c r="J2678" s="21">
        <v>217.79</v>
      </c>
      <c r="K2678">
        <v>12</v>
      </c>
      <c r="L2678" s="21">
        <v>104.54</v>
      </c>
      <c r="M2678" s="21">
        <v>975.71</v>
      </c>
      <c r="N2678" s="21">
        <v>699.84</v>
      </c>
      <c r="O2678" s="21">
        <v>171.33</v>
      </c>
      <c r="P2678" t="s">
        <v>121</v>
      </c>
      <c r="Q2678" t="s">
        <v>122</v>
      </c>
      <c r="R2678" t="s">
        <v>151</v>
      </c>
      <c r="S2678" t="s">
        <v>2090</v>
      </c>
      <c r="T2678" t="s">
        <v>153</v>
      </c>
      <c r="U2678" t="s">
        <v>154</v>
      </c>
      <c r="V2678" t="str">
        <f>IFERROR(INDEX(Products!$C:$C,MATCH(D2678,Products!$A:$A,0)),"Unknown")</f>
        <v>Women Tops</v>
      </c>
      <c r="W2678" t="str">
        <f>IFERROR(INDEX(Products!$E:$E,MATCH(D2678,Products!$A:$A,0)),"Unknown")</f>
        <v>Nalli Silks</v>
      </c>
      <c r="X2678" t="str">
        <f>IFERROR(INDEX(Stores!$B:$B,MATCH(E2678,Stores!$A:$A,0)),"Unknown")</f>
        <v>TrendMart Hubballi Standard</v>
      </c>
      <c r="Y2678" t="str">
        <f>IFERROR(INDEX(Stores!$E:$E,MATCH(E2678,Stores!$A:$A,0)),"Unknown")</f>
        <v>South Zone 2</v>
      </c>
      <c r="Z2678" t="str">
        <f>IFERROR(INDEX(Customers!$J:$J,MATCH(C2678,Customers!$A:$A,0)),"Unknown")</f>
        <v>Silver</v>
      </c>
      <c r="AA2678" t="str">
        <f t="shared" si="41"/>
        <v>2024-12</v>
      </c>
      <c r="AB2678" t="str">
        <f>IFERROR(INDEX(Products!$I:$I,MATCH(D2678,Products!$A:$A,0)),"Unknown")</f>
        <v>SUP008</v>
      </c>
    </row>
    <row r="2679" spans="1:28" x14ac:dyDescent="0.25">
      <c r="A2679" t="s">
        <v>4743</v>
      </c>
      <c r="B2679" s="20">
        <v>45580</v>
      </c>
      <c r="C2679" t="s">
        <v>743</v>
      </c>
      <c r="D2679" t="s">
        <v>1095</v>
      </c>
      <c r="E2679" t="s">
        <v>515</v>
      </c>
      <c r="F2679" t="s">
        <v>377</v>
      </c>
      <c r="G2679">
        <v>0</v>
      </c>
      <c r="H2679" s="21">
        <v>1194.56</v>
      </c>
      <c r="I2679">
        <v>0</v>
      </c>
      <c r="J2679" s="21">
        <v>0</v>
      </c>
      <c r="K2679">
        <v>12</v>
      </c>
      <c r="L2679" s="21">
        <v>0</v>
      </c>
      <c r="M2679" s="21">
        <v>0</v>
      </c>
      <c r="N2679" s="21">
        <v>0</v>
      </c>
      <c r="O2679" s="21">
        <v>0</v>
      </c>
      <c r="P2679" t="s">
        <v>125</v>
      </c>
      <c r="Q2679" t="s">
        <v>120</v>
      </c>
      <c r="R2679" t="s">
        <v>482</v>
      </c>
      <c r="S2679" t="s">
        <v>3128</v>
      </c>
      <c r="T2679" t="s">
        <v>153</v>
      </c>
      <c r="U2679" t="s">
        <v>154</v>
      </c>
      <c r="V2679" t="str">
        <f>IFERROR(INDEX(Products!$C:$C,MATCH(D2679,Products!$A:$A,0)),"Unknown")</f>
        <v>Women Dresses</v>
      </c>
      <c r="W2679" t="str">
        <f>IFERROR(INDEX(Products!$E:$E,MATCH(D2679,Products!$A:$A,0)),"Unknown")</f>
        <v>Ramraj Cotton</v>
      </c>
      <c r="X2679" t="str">
        <f>IFERROR(INDEX(Stores!$B:$B,MATCH(E2679,Stores!$A:$A,0)),"Unknown")</f>
        <v>TrendMart Kochi High Street</v>
      </c>
      <c r="Y2679" t="str">
        <f>IFERROR(INDEX(Stores!$E:$E,MATCH(E2679,Stores!$A:$A,0)),"Unknown")</f>
        <v>South Zone 1</v>
      </c>
      <c r="Z2679" t="str">
        <f>IFERROR(INDEX(Customers!$J:$J,MATCH(C2679,Customers!$A:$A,0)),"Unknown")</f>
        <v>Silver</v>
      </c>
      <c r="AA2679" t="str">
        <f t="shared" si="41"/>
        <v>2024-10</v>
      </c>
      <c r="AB2679" t="str">
        <f>IFERROR(INDEX(Products!$I:$I,MATCH(D2679,Products!$A:$A,0)),"Unknown")</f>
        <v>SUP054</v>
      </c>
    </row>
    <row r="2680" spans="1:28" x14ac:dyDescent="0.25">
      <c r="A2680" t="s">
        <v>4744</v>
      </c>
      <c r="B2680" s="20">
        <v>45651</v>
      </c>
      <c r="C2680" t="s">
        <v>2733</v>
      </c>
      <c r="D2680" t="s">
        <v>481</v>
      </c>
      <c r="E2680" t="s">
        <v>188</v>
      </c>
      <c r="F2680" t="s">
        <v>237</v>
      </c>
      <c r="G2680">
        <v>1</v>
      </c>
      <c r="H2680" s="21">
        <v>922.46</v>
      </c>
      <c r="I2680">
        <v>25</v>
      </c>
      <c r="J2680" s="21">
        <v>230.62</v>
      </c>
      <c r="K2680">
        <v>5</v>
      </c>
      <c r="L2680" s="21">
        <v>34.590000000000003</v>
      </c>
      <c r="M2680" s="21">
        <v>726.43</v>
      </c>
      <c r="N2680" s="21">
        <v>698.08</v>
      </c>
      <c r="O2680" s="21">
        <v>-6.24</v>
      </c>
      <c r="P2680" t="s">
        <v>121</v>
      </c>
      <c r="Q2680" t="s">
        <v>120</v>
      </c>
      <c r="R2680" t="s">
        <v>151</v>
      </c>
      <c r="S2680" t="s">
        <v>1995</v>
      </c>
      <c r="T2680" t="s">
        <v>153</v>
      </c>
      <c r="U2680" t="s">
        <v>184</v>
      </c>
      <c r="V2680" t="str">
        <f>IFERROR(INDEX(Products!$C:$C,MATCH(D2680,Products!$A:$A,0)),"Unknown")</f>
        <v>Women Dresses</v>
      </c>
      <c r="W2680" t="str">
        <f>IFERROR(INDEX(Products!$E:$E,MATCH(D2680,Products!$A:$A,0)),"Unknown")</f>
        <v>Jack &amp; Jones</v>
      </c>
      <c r="X2680" t="str">
        <f>IFERROR(INDEX(Stores!$B:$B,MATCH(E2680,Stores!$A:$A,0)),"Unknown")</f>
        <v>TrendMart Vijayawada Standard</v>
      </c>
      <c r="Y2680" t="str">
        <f>IFERROR(INDEX(Stores!$E:$E,MATCH(E2680,Stores!$A:$A,0)),"Unknown")</f>
        <v>South Zone 3</v>
      </c>
      <c r="Z2680" t="str">
        <f>IFERROR(INDEX(Customers!$J:$J,MATCH(C2680,Customers!$A:$A,0)),"Unknown")</f>
        <v>Regular</v>
      </c>
      <c r="AA2680" t="str">
        <f t="shared" si="41"/>
        <v>2024-12</v>
      </c>
      <c r="AB2680" t="str">
        <f>IFERROR(INDEX(Products!$I:$I,MATCH(D2680,Products!$A:$A,0)),"Unknown")</f>
        <v>SUP069</v>
      </c>
    </row>
    <row r="2681" spans="1:28" x14ac:dyDescent="0.25">
      <c r="A2681" t="s">
        <v>4745</v>
      </c>
      <c r="B2681" s="20">
        <v>45730</v>
      </c>
      <c r="C2681" t="s">
        <v>229</v>
      </c>
      <c r="D2681" t="s">
        <v>689</v>
      </c>
      <c r="E2681" t="s">
        <v>490</v>
      </c>
      <c r="F2681" t="s">
        <v>281</v>
      </c>
      <c r="G2681">
        <v>2</v>
      </c>
      <c r="H2681" s="21">
        <v>737.51</v>
      </c>
      <c r="I2681">
        <v>30</v>
      </c>
      <c r="J2681" s="21">
        <v>442.51</v>
      </c>
      <c r="K2681">
        <v>5</v>
      </c>
      <c r="L2681" s="21">
        <v>51.63</v>
      </c>
      <c r="M2681" s="21">
        <v>1084.1400000000001</v>
      </c>
      <c r="N2681" s="21">
        <v>1182.76</v>
      </c>
      <c r="O2681" s="21">
        <v>-150.25</v>
      </c>
      <c r="P2681" t="s">
        <v>126</v>
      </c>
      <c r="Q2681" t="s">
        <v>122</v>
      </c>
      <c r="R2681" t="s">
        <v>151</v>
      </c>
      <c r="S2681" t="s">
        <v>1992</v>
      </c>
      <c r="T2681" t="s">
        <v>153</v>
      </c>
      <c r="U2681" t="s">
        <v>184</v>
      </c>
      <c r="V2681" t="str">
        <f>IFERROR(INDEX(Products!$C:$C,MATCH(D2681,Products!$A:$A,0)),"Unknown")</f>
        <v>Kids Wear</v>
      </c>
      <c r="W2681" t="str">
        <f>IFERROR(INDEX(Products!$E:$E,MATCH(D2681,Products!$A:$A,0)),"Unknown")</f>
        <v>Libas</v>
      </c>
      <c r="X2681" t="str">
        <f>IFERROR(INDEX(Stores!$B:$B,MATCH(E2681,Stores!$A:$A,0)),"Unknown")</f>
        <v>TrendMart Mangaluru Mall Kiosk</v>
      </c>
      <c r="Y2681" t="str">
        <f>IFERROR(INDEX(Stores!$E:$E,MATCH(E2681,Stores!$A:$A,0)),"Unknown")</f>
        <v>South Zone 2</v>
      </c>
      <c r="Z2681" t="str">
        <f>IFERROR(INDEX(Customers!$J:$J,MATCH(C2681,Customers!$A:$A,0)),"Unknown")</f>
        <v>Silver</v>
      </c>
      <c r="AA2681" t="str">
        <f t="shared" si="41"/>
        <v>2025-03</v>
      </c>
      <c r="AB2681" t="str">
        <f>IFERROR(INDEX(Products!$I:$I,MATCH(D2681,Products!$A:$A,0)),"Unknown")</f>
        <v>SUP031</v>
      </c>
    </row>
    <row r="2682" spans="1:28" x14ac:dyDescent="0.25">
      <c r="A2682" t="s">
        <v>4746</v>
      </c>
      <c r="B2682" s="20">
        <v>45440</v>
      </c>
      <c r="C2682" t="s">
        <v>2883</v>
      </c>
      <c r="D2682" t="s">
        <v>1350</v>
      </c>
      <c r="E2682" t="s">
        <v>1962</v>
      </c>
      <c r="F2682" t="s">
        <v>532</v>
      </c>
      <c r="G2682">
        <v>2</v>
      </c>
      <c r="H2682" s="21">
        <v>634.37</v>
      </c>
      <c r="I2682">
        <v>5</v>
      </c>
      <c r="J2682" s="21">
        <v>63.44</v>
      </c>
      <c r="K2682">
        <v>5</v>
      </c>
      <c r="L2682" s="21">
        <v>60.27</v>
      </c>
      <c r="M2682" s="21">
        <v>1265.57</v>
      </c>
      <c r="N2682" s="21">
        <v>838.8</v>
      </c>
      <c r="O2682" s="21">
        <v>366.5</v>
      </c>
      <c r="P2682" t="s">
        <v>121</v>
      </c>
      <c r="Q2682" t="s">
        <v>120</v>
      </c>
      <c r="R2682" t="s">
        <v>151</v>
      </c>
      <c r="S2682" t="s">
        <v>2202</v>
      </c>
      <c r="T2682" t="s">
        <v>153</v>
      </c>
      <c r="U2682" t="s">
        <v>154</v>
      </c>
      <c r="V2682" t="str">
        <f>IFERROR(INDEX(Products!$C:$C,MATCH(D2682,Products!$A:$A,0)),"Unknown")</f>
        <v>Women Tops</v>
      </c>
      <c r="W2682" t="str">
        <f>IFERROR(INDEX(Products!$E:$E,MATCH(D2682,Products!$A:$A,0)),"Unknown")</f>
        <v>Jack &amp; Jones</v>
      </c>
      <c r="X2682" t="str">
        <f>IFERROR(INDEX(Stores!$B:$B,MATCH(E2682,Stores!$A:$A,0)),"Unknown")</f>
        <v>TrendMart Guntur High Street</v>
      </c>
      <c r="Y2682" t="str">
        <f>IFERROR(INDEX(Stores!$E:$E,MATCH(E2682,Stores!$A:$A,0)),"Unknown")</f>
        <v>South Zone 3</v>
      </c>
      <c r="Z2682" t="str">
        <f>IFERROR(INDEX(Customers!$J:$J,MATCH(C2682,Customers!$A:$A,0)),"Unknown")</f>
        <v>Gold</v>
      </c>
      <c r="AA2682" t="str">
        <f t="shared" si="41"/>
        <v>2024-05</v>
      </c>
      <c r="AB2682" t="str">
        <f>IFERROR(INDEX(Products!$I:$I,MATCH(D2682,Products!$A:$A,0)),"Unknown")</f>
        <v>SUP089</v>
      </c>
    </row>
    <row r="2683" spans="1:28" x14ac:dyDescent="0.25">
      <c r="A2683" t="s">
        <v>4747</v>
      </c>
      <c r="B2683" s="20">
        <v>45478</v>
      </c>
      <c r="C2683" t="s">
        <v>2240</v>
      </c>
      <c r="D2683" t="s">
        <v>329</v>
      </c>
      <c r="E2683" t="s">
        <v>461</v>
      </c>
      <c r="F2683" t="s">
        <v>189</v>
      </c>
      <c r="G2683">
        <v>3</v>
      </c>
      <c r="H2683" s="21">
        <v>684.85</v>
      </c>
      <c r="I2683">
        <v>0</v>
      </c>
      <c r="J2683" s="21">
        <v>0</v>
      </c>
      <c r="K2683">
        <v>5</v>
      </c>
      <c r="L2683" s="21">
        <v>102.73</v>
      </c>
      <c r="M2683" s="21">
        <v>2157.2800000000002</v>
      </c>
      <c r="N2683" s="21">
        <v>1257.8399999999999</v>
      </c>
      <c r="O2683" s="21">
        <v>796.71</v>
      </c>
      <c r="P2683" t="s">
        <v>127</v>
      </c>
      <c r="Q2683" t="s">
        <v>122</v>
      </c>
      <c r="R2683" t="s">
        <v>151</v>
      </c>
      <c r="S2683" t="s">
        <v>1992</v>
      </c>
      <c r="T2683" t="s">
        <v>153</v>
      </c>
      <c r="U2683" t="s">
        <v>154</v>
      </c>
      <c r="V2683" t="str">
        <f>IFERROR(INDEX(Products!$C:$C,MATCH(D2683,Products!$A:$A,0)),"Unknown")</f>
        <v>Men T-Shirts</v>
      </c>
      <c r="W2683" t="str">
        <f>IFERROR(INDEX(Products!$E:$E,MATCH(D2683,Products!$A:$A,0)),"Unknown")</f>
        <v>Peter England</v>
      </c>
      <c r="X2683" t="str">
        <f>IFERROR(INDEX(Stores!$B:$B,MATCH(E2683,Stores!$A:$A,0)),"Unknown")</f>
        <v>TrendMart Visakhapatnam High Street</v>
      </c>
      <c r="Y2683" t="str">
        <f>IFERROR(INDEX(Stores!$E:$E,MATCH(E2683,Stores!$A:$A,0)),"Unknown")</f>
        <v>South Zone 3</v>
      </c>
      <c r="Z2683" t="str">
        <f>IFERROR(INDEX(Customers!$J:$J,MATCH(C2683,Customers!$A:$A,0)),"Unknown")</f>
        <v>Platinum</v>
      </c>
      <c r="AA2683" t="str">
        <f t="shared" si="41"/>
        <v>2024-07</v>
      </c>
      <c r="AB2683" t="str">
        <f>IFERROR(INDEX(Products!$I:$I,MATCH(D2683,Products!$A:$A,0)),"Unknown")</f>
        <v>SUP071</v>
      </c>
    </row>
    <row r="2684" spans="1:28" x14ac:dyDescent="0.25">
      <c r="A2684" t="s">
        <v>4748</v>
      </c>
      <c r="B2684" s="20">
        <v>45430</v>
      </c>
      <c r="C2684" t="s">
        <v>4749</v>
      </c>
      <c r="D2684" t="s">
        <v>531</v>
      </c>
      <c r="E2684" t="s">
        <v>402</v>
      </c>
      <c r="F2684" t="s">
        <v>596</v>
      </c>
      <c r="G2684">
        <v>3</v>
      </c>
      <c r="H2684" s="21">
        <v>3054.25</v>
      </c>
      <c r="I2684">
        <v>15</v>
      </c>
      <c r="J2684" s="21">
        <v>1374.41</v>
      </c>
      <c r="K2684">
        <v>12</v>
      </c>
      <c r="L2684" s="21">
        <v>934.6</v>
      </c>
      <c r="M2684" s="21">
        <v>8722.94</v>
      </c>
      <c r="N2684" s="21">
        <v>6102.03</v>
      </c>
      <c r="O2684" s="21">
        <v>1686.31</v>
      </c>
      <c r="P2684" t="s">
        <v>123</v>
      </c>
      <c r="Q2684" t="s">
        <v>120</v>
      </c>
      <c r="R2684" t="s">
        <v>313</v>
      </c>
      <c r="S2684" t="s">
        <v>2603</v>
      </c>
      <c r="T2684" t="s">
        <v>161</v>
      </c>
      <c r="U2684" t="s">
        <v>154</v>
      </c>
      <c r="V2684" t="str">
        <f>IFERROR(INDEX(Products!$C:$C,MATCH(D2684,Products!$A:$A,0)),"Unknown")</f>
        <v>Handbags</v>
      </c>
      <c r="W2684" t="str">
        <f>IFERROR(INDEX(Products!$E:$E,MATCH(D2684,Products!$A:$A,0)),"Unknown")</f>
        <v>GRT Jewellers</v>
      </c>
      <c r="X2684" t="str">
        <f>IFERROR(INDEX(Stores!$B:$B,MATCH(E2684,Stores!$A:$A,0)),"Unknown")</f>
        <v>TrendMart Kannur Standard</v>
      </c>
      <c r="Y2684" t="str">
        <f>IFERROR(INDEX(Stores!$E:$E,MATCH(E2684,Stores!$A:$A,0)),"Unknown")</f>
        <v>South Zone 1</v>
      </c>
      <c r="Z2684" t="str">
        <f>IFERROR(INDEX(Customers!$J:$J,MATCH(C2684,Customers!$A:$A,0)),"Unknown")</f>
        <v>Silver</v>
      </c>
      <c r="AA2684" t="str">
        <f t="shared" si="41"/>
        <v>2024-05</v>
      </c>
      <c r="AB2684" t="str">
        <f>IFERROR(INDEX(Products!$I:$I,MATCH(D2684,Products!$A:$A,0)),"Unknown")</f>
        <v>SUP047</v>
      </c>
    </row>
    <row r="2685" spans="1:28" x14ac:dyDescent="0.25">
      <c r="A2685" t="s">
        <v>4750</v>
      </c>
      <c r="B2685" s="20">
        <v>45698</v>
      </c>
      <c r="C2685" t="s">
        <v>4106</v>
      </c>
      <c r="D2685" t="s">
        <v>1186</v>
      </c>
      <c r="E2685" t="s">
        <v>910</v>
      </c>
      <c r="F2685" t="s">
        <v>335</v>
      </c>
      <c r="G2685">
        <v>3</v>
      </c>
      <c r="H2685" s="21">
        <v>1136.42</v>
      </c>
      <c r="I2685">
        <v>30</v>
      </c>
      <c r="J2685" s="21">
        <v>1022.78</v>
      </c>
      <c r="K2685">
        <v>12</v>
      </c>
      <c r="L2685" s="21">
        <v>286.38</v>
      </c>
      <c r="M2685" s="21">
        <v>2672.86</v>
      </c>
      <c r="N2685" s="21">
        <v>2446.35</v>
      </c>
      <c r="O2685" s="21">
        <v>-59.87</v>
      </c>
      <c r="P2685" t="s">
        <v>124</v>
      </c>
      <c r="Q2685" t="s">
        <v>120</v>
      </c>
      <c r="R2685" t="s">
        <v>151</v>
      </c>
      <c r="S2685" t="s">
        <v>336</v>
      </c>
      <c r="T2685" t="s">
        <v>153</v>
      </c>
      <c r="U2685" t="s">
        <v>184</v>
      </c>
      <c r="V2685" t="str">
        <f>IFERROR(INDEX(Products!$C:$C,MATCH(D2685,Products!$A:$A,0)),"Unknown")</f>
        <v>Wallets</v>
      </c>
      <c r="W2685" t="str">
        <f>IFERROR(INDEX(Products!$E:$E,MATCH(D2685,Products!$A:$A,0)),"Unknown")</f>
        <v>Levi's</v>
      </c>
      <c r="X2685" t="str">
        <f>IFERROR(INDEX(Stores!$B:$B,MATCH(E2685,Stores!$A:$A,0)),"Unknown")</f>
        <v>TrendMart Karimnagar Standard</v>
      </c>
      <c r="Y2685" t="str">
        <f>IFERROR(INDEX(Stores!$E:$E,MATCH(E2685,Stores!$A:$A,0)),"Unknown")</f>
        <v>South Zone 2</v>
      </c>
      <c r="Z2685" t="str">
        <f>IFERROR(INDEX(Customers!$J:$J,MATCH(C2685,Customers!$A:$A,0)),"Unknown")</f>
        <v>Regular</v>
      </c>
      <c r="AA2685" t="str">
        <f t="shared" si="41"/>
        <v>2025-02</v>
      </c>
      <c r="AB2685" t="str">
        <f>IFERROR(INDEX(Products!$I:$I,MATCH(D2685,Products!$A:$A,0)),"Unknown")</f>
        <v>SUP045</v>
      </c>
    </row>
    <row r="2686" spans="1:28" x14ac:dyDescent="0.25">
      <c r="A2686" t="s">
        <v>4751</v>
      </c>
      <c r="B2686" s="20">
        <v>45631</v>
      </c>
      <c r="C2686" t="s">
        <v>209</v>
      </c>
      <c r="D2686" t="s">
        <v>1809</v>
      </c>
      <c r="E2686" t="s">
        <v>671</v>
      </c>
      <c r="F2686" t="s">
        <v>377</v>
      </c>
      <c r="G2686">
        <v>3</v>
      </c>
      <c r="H2686" s="21">
        <v>1037.95</v>
      </c>
      <c r="I2686">
        <v>15</v>
      </c>
      <c r="J2686" s="21">
        <v>467.08</v>
      </c>
      <c r="K2686">
        <v>12</v>
      </c>
      <c r="L2686" s="21">
        <v>317.61</v>
      </c>
      <c r="M2686" s="21">
        <v>2964.38</v>
      </c>
      <c r="N2686" s="21">
        <v>2269.77</v>
      </c>
      <c r="O2686" s="21">
        <v>377</v>
      </c>
      <c r="P2686" t="s">
        <v>121</v>
      </c>
      <c r="Q2686" t="s">
        <v>122</v>
      </c>
      <c r="R2686" t="s">
        <v>151</v>
      </c>
      <c r="S2686" t="s">
        <v>2084</v>
      </c>
      <c r="T2686" t="s">
        <v>153</v>
      </c>
      <c r="U2686" t="s">
        <v>154</v>
      </c>
      <c r="V2686" t="str">
        <f>IFERROR(INDEX(Products!$C:$C,MATCH(D2686,Products!$A:$A,0)),"Unknown")</f>
        <v>Men Jeans</v>
      </c>
      <c r="W2686" t="str">
        <f>IFERROR(INDEX(Products!$E:$E,MATCH(D2686,Products!$A:$A,0)),"Unknown")</f>
        <v>Mufti</v>
      </c>
      <c r="X2686" t="str">
        <f>IFERROR(INDEX(Stores!$B:$B,MATCH(E2686,Stores!$A:$A,0)),"Unknown")</f>
        <v>TrendMart Hyderabad Mall Kiosk</v>
      </c>
      <c r="Y2686" t="str">
        <f>IFERROR(INDEX(Stores!$E:$E,MATCH(E2686,Stores!$A:$A,0)),"Unknown")</f>
        <v>South Zone 2</v>
      </c>
      <c r="Z2686" t="str">
        <f>IFERROR(INDEX(Customers!$J:$J,MATCH(C2686,Customers!$A:$A,0)),"Unknown")</f>
        <v>Silver</v>
      </c>
      <c r="AA2686" t="str">
        <f t="shared" si="41"/>
        <v>2024-12</v>
      </c>
      <c r="AB2686" t="str">
        <f>IFERROR(INDEX(Products!$I:$I,MATCH(D2686,Products!$A:$A,0)),"Unknown")</f>
        <v>SUP035</v>
      </c>
    </row>
    <row r="2687" spans="1:28" x14ac:dyDescent="0.25">
      <c r="A2687" t="s">
        <v>4752</v>
      </c>
      <c r="B2687" s="20">
        <v>45726</v>
      </c>
      <c r="C2687" t="s">
        <v>1660</v>
      </c>
      <c r="D2687" t="s">
        <v>595</v>
      </c>
      <c r="E2687" t="s">
        <v>745</v>
      </c>
      <c r="F2687" t="s">
        <v>516</v>
      </c>
      <c r="G2687">
        <v>4</v>
      </c>
      <c r="H2687" s="21">
        <v>831.32</v>
      </c>
      <c r="I2687">
        <v>10</v>
      </c>
      <c r="J2687" s="21">
        <v>332.53</v>
      </c>
      <c r="K2687">
        <v>5</v>
      </c>
      <c r="L2687" s="21">
        <v>149.63999999999999</v>
      </c>
      <c r="M2687" s="21">
        <v>3142.39</v>
      </c>
      <c r="N2687" s="21">
        <v>2361.92</v>
      </c>
      <c r="O2687" s="21">
        <v>630.83000000000004</v>
      </c>
      <c r="P2687" t="s">
        <v>123</v>
      </c>
      <c r="Q2687" t="s">
        <v>120</v>
      </c>
      <c r="R2687" t="s">
        <v>151</v>
      </c>
      <c r="S2687" t="s">
        <v>1576</v>
      </c>
      <c r="T2687" t="s">
        <v>153</v>
      </c>
      <c r="U2687" t="s">
        <v>154</v>
      </c>
      <c r="V2687" t="str">
        <f>IFERROR(INDEX(Products!$C:$C,MATCH(D2687,Products!$A:$A,0)),"Unknown")</f>
        <v>Men Shirts</v>
      </c>
      <c r="W2687" t="str">
        <f>IFERROR(INDEX(Products!$E:$E,MATCH(D2687,Products!$A:$A,0)),"Unknown")</f>
        <v>Nalli Silks</v>
      </c>
      <c r="X2687" t="str">
        <f>IFERROR(INDEX(Stores!$B:$B,MATCH(E2687,Stores!$A:$A,0)),"Unknown")</f>
        <v>TrendMart Thiruvananthapuram Outlet</v>
      </c>
      <c r="Y2687" t="str">
        <f>IFERROR(INDEX(Stores!$E:$E,MATCH(E2687,Stores!$A:$A,0)),"Unknown")</f>
        <v>South Zone 1</v>
      </c>
      <c r="Z2687" t="str">
        <f>IFERROR(INDEX(Customers!$J:$J,MATCH(C2687,Customers!$A:$A,0)),"Unknown")</f>
        <v>Regular</v>
      </c>
      <c r="AA2687" t="str">
        <f t="shared" si="41"/>
        <v>2025-03</v>
      </c>
      <c r="AB2687" t="str">
        <f>IFERROR(INDEX(Products!$I:$I,MATCH(D2687,Products!$A:$A,0)),"Unknown")</f>
        <v>SUP055</v>
      </c>
    </row>
    <row r="2688" spans="1:28" x14ac:dyDescent="0.25">
      <c r="A2688" t="s">
        <v>4753</v>
      </c>
      <c r="B2688" s="20">
        <v>45632</v>
      </c>
      <c r="C2688" t="s">
        <v>192</v>
      </c>
      <c r="D2688" t="s">
        <v>1616</v>
      </c>
      <c r="E2688" t="s">
        <v>1681</v>
      </c>
      <c r="F2688" t="s">
        <v>532</v>
      </c>
      <c r="G2688">
        <v>2</v>
      </c>
      <c r="H2688" s="21">
        <v>4710.5200000000004</v>
      </c>
      <c r="I2688">
        <v>30</v>
      </c>
      <c r="J2688" s="21">
        <v>2826.31</v>
      </c>
      <c r="K2688">
        <v>12</v>
      </c>
      <c r="L2688" s="21">
        <v>791.37</v>
      </c>
      <c r="M2688" s="21">
        <v>7386.1</v>
      </c>
      <c r="N2688" s="21">
        <v>6046.26</v>
      </c>
      <c r="O2688" s="21">
        <v>548.47</v>
      </c>
      <c r="P2688" t="s">
        <v>123</v>
      </c>
      <c r="Q2688" t="s">
        <v>120</v>
      </c>
      <c r="R2688" t="s">
        <v>151</v>
      </c>
      <c r="S2688" t="s">
        <v>2714</v>
      </c>
      <c r="T2688" t="s">
        <v>153</v>
      </c>
      <c r="U2688" t="s">
        <v>154</v>
      </c>
      <c r="V2688" t="str">
        <f>IFERROR(INDEX(Products!$C:$C,MATCH(D2688,Products!$A:$A,0)),"Unknown")</f>
        <v>Women Sarees</v>
      </c>
      <c r="W2688" t="str">
        <f>IFERROR(INDEX(Products!$E:$E,MATCH(D2688,Products!$A:$A,0)),"Unknown")</f>
        <v>Max Fashion</v>
      </c>
      <c r="X2688" t="str">
        <f>IFERROR(INDEX(Stores!$B:$B,MATCH(E2688,Stores!$A:$A,0)),"Unknown")</f>
        <v>TrendMart Warangal Standard</v>
      </c>
      <c r="Y2688" t="str">
        <f>IFERROR(INDEX(Stores!$E:$E,MATCH(E2688,Stores!$A:$A,0)),"Unknown")</f>
        <v>South Zone 2</v>
      </c>
      <c r="Z2688" t="str">
        <f>IFERROR(INDEX(Customers!$J:$J,MATCH(C2688,Customers!$A:$A,0)),"Unknown")</f>
        <v>Silver</v>
      </c>
      <c r="AA2688" t="str">
        <f t="shared" si="41"/>
        <v>2024-12</v>
      </c>
      <c r="AB2688" t="str">
        <f>IFERROR(INDEX(Products!$I:$I,MATCH(D2688,Products!$A:$A,0)),"Unknown")</f>
        <v>SUP047</v>
      </c>
    </row>
    <row r="2689" spans="1:28" x14ac:dyDescent="0.25">
      <c r="A2689" t="s">
        <v>4754</v>
      </c>
      <c r="B2689" s="20">
        <v>45456</v>
      </c>
      <c r="C2689" t="s">
        <v>3887</v>
      </c>
      <c r="D2689" t="s">
        <v>595</v>
      </c>
      <c r="E2689" t="s">
        <v>906</v>
      </c>
      <c r="F2689" t="s">
        <v>292</v>
      </c>
      <c r="G2689">
        <v>2</v>
      </c>
      <c r="H2689" s="21">
        <v>839.83</v>
      </c>
      <c r="I2689">
        <v>15</v>
      </c>
      <c r="J2689" s="21">
        <v>251.95</v>
      </c>
      <c r="K2689">
        <v>5</v>
      </c>
      <c r="L2689" s="21">
        <v>71.39</v>
      </c>
      <c r="M2689" s="21">
        <v>1499.1</v>
      </c>
      <c r="N2689" s="21">
        <v>1180.96</v>
      </c>
      <c r="O2689" s="21">
        <v>246.75</v>
      </c>
      <c r="P2689" t="s">
        <v>126</v>
      </c>
      <c r="Q2689" t="s">
        <v>122</v>
      </c>
      <c r="R2689" t="s">
        <v>151</v>
      </c>
      <c r="S2689" t="s">
        <v>2151</v>
      </c>
      <c r="T2689" t="s">
        <v>153</v>
      </c>
      <c r="U2689" t="s">
        <v>154</v>
      </c>
      <c r="V2689" t="str">
        <f>IFERROR(INDEX(Products!$C:$C,MATCH(D2689,Products!$A:$A,0)),"Unknown")</f>
        <v>Men Shirts</v>
      </c>
      <c r="W2689" t="str">
        <f>IFERROR(INDEX(Products!$E:$E,MATCH(D2689,Products!$A:$A,0)),"Unknown")</f>
        <v>Nalli Silks</v>
      </c>
      <c r="X2689" t="str">
        <f>IFERROR(INDEX(Stores!$B:$B,MATCH(E2689,Stores!$A:$A,0)),"Unknown")</f>
        <v>TrendMart Vijayawada Standard</v>
      </c>
      <c r="Y2689" t="str">
        <f>IFERROR(INDEX(Stores!$E:$E,MATCH(E2689,Stores!$A:$A,0)),"Unknown")</f>
        <v>South Zone 3</v>
      </c>
      <c r="Z2689" t="str">
        <f>IFERROR(INDEX(Customers!$J:$J,MATCH(C2689,Customers!$A:$A,0)),"Unknown")</f>
        <v>Regular</v>
      </c>
      <c r="AA2689" t="str">
        <f t="shared" si="41"/>
        <v>2024-06</v>
      </c>
      <c r="AB2689" t="str">
        <f>IFERROR(INDEX(Products!$I:$I,MATCH(D2689,Products!$A:$A,0)),"Unknown")</f>
        <v>SUP055</v>
      </c>
    </row>
    <row r="2690" spans="1:28" x14ac:dyDescent="0.25">
      <c r="A2690" t="s">
        <v>4755</v>
      </c>
      <c r="B2690" s="20">
        <v>45680</v>
      </c>
      <c r="C2690" t="s">
        <v>4756</v>
      </c>
      <c r="D2690" t="s">
        <v>1026</v>
      </c>
      <c r="E2690" t="s">
        <v>89</v>
      </c>
      <c r="F2690" t="s">
        <v>532</v>
      </c>
      <c r="G2690">
        <v>1</v>
      </c>
      <c r="H2690" s="21">
        <v>1389.42</v>
      </c>
      <c r="I2690">
        <v>5</v>
      </c>
      <c r="J2690" s="21">
        <v>69.47</v>
      </c>
      <c r="K2690">
        <v>12</v>
      </c>
      <c r="L2690" s="21">
        <v>158.38999999999999</v>
      </c>
      <c r="M2690" s="21">
        <v>1478.34</v>
      </c>
      <c r="N2690" s="21">
        <v>962.17</v>
      </c>
      <c r="O2690" s="21">
        <v>357.78</v>
      </c>
      <c r="P2690" t="s">
        <v>124</v>
      </c>
      <c r="Q2690" t="s">
        <v>120</v>
      </c>
      <c r="R2690" t="s">
        <v>151</v>
      </c>
      <c r="S2690" t="s">
        <v>2418</v>
      </c>
      <c r="T2690" t="s">
        <v>153</v>
      </c>
      <c r="U2690" t="s">
        <v>154</v>
      </c>
      <c r="V2690" t="str">
        <f>IFERROR(INDEX(Products!$C:$C,MATCH(D2690,Products!$A:$A,0)),"Unknown")</f>
        <v>Women Sarees</v>
      </c>
      <c r="W2690" t="str">
        <f>IFERROR(INDEX(Products!$E:$E,MATCH(D2690,Products!$A:$A,0)),"Unknown")</f>
        <v>Spykar</v>
      </c>
      <c r="X2690" t="str">
        <f>IFERROR(INDEX(Stores!$B:$B,MATCH(E2690,Stores!$A:$A,0)),"Unknown")</f>
        <v>TrendMart Kochi Standard</v>
      </c>
      <c r="Y2690" t="str">
        <f>IFERROR(INDEX(Stores!$E:$E,MATCH(E2690,Stores!$A:$A,0)),"Unknown")</f>
        <v>South Zone 1</v>
      </c>
      <c r="Z2690" t="str">
        <f>IFERROR(INDEX(Customers!$J:$J,MATCH(C2690,Customers!$A:$A,0)),"Unknown")</f>
        <v>Silver</v>
      </c>
      <c r="AA2690" t="str">
        <f t="shared" ref="AA2690:AA2753" si="42">TEXT(B2690,"YYYY-MM")</f>
        <v>2025-01</v>
      </c>
      <c r="AB2690" t="str">
        <f>IFERROR(INDEX(Products!$I:$I,MATCH(D2690,Products!$A:$A,0)),"Unknown")</f>
        <v>SUP001</v>
      </c>
    </row>
    <row r="2691" spans="1:28" x14ac:dyDescent="0.25">
      <c r="A2691" t="s">
        <v>4757</v>
      </c>
      <c r="B2691" s="20">
        <v>45604</v>
      </c>
      <c r="C2691" t="s">
        <v>1855</v>
      </c>
      <c r="D2691" t="s">
        <v>961</v>
      </c>
      <c r="E2691" t="s">
        <v>1426</v>
      </c>
      <c r="F2691" t="s">
        <v>159</v>
      </c>
      <c r="G2691">
        <v>2</v>
      </c>
      <c r="H2691" s="21">
        <v>1225.43</v>
      </c>
      <c r="I2691">
        <v>10</v>
      </c>
      <c r="J2691" s="21">
        <v>245.09</v>
      </c>
      <c r="K2691">
        <v>12</v>
      </c>
      <c r="L2691" s="21">
        <v>264.69</v>
      </c>
      <c r="M2691" s="21">
        <v>2470.46</v>
      </c>
      <c r="N2691" s="21">
        <v>1763.86</v>
      </c>
      <c r="O2691" s="21">
        <v>441.91</v>
      </c>
      <c r="P2691" t="s">
        <v>124</v>
      </c>
      <c r="Q2691" t="s">
        <v>120</v>
      </c>
      <c r="R2691" t="s">
        <v>151</v>
      </c>
      <c r="S2691" t="s">
        <v>1513</v>
      </c>
      <c r="T2691" t="s">
        <v>153</v>
      </c>
      <c r="U2691" t="s">
        <v>154</v>
      </c>
      <c r="V2691" t="str">
        <f>IFERROR(INDEX(Products!$C:$C,MATCH(D2691,Products!$A:$A,0)),"Unknown")</f>
        <v>Men Trousers</v>
      </c>
      <c r="W2691" t="str">
        <f>IFERROR(INDEX(Products!$E:$E,MATCH(D2691,Products!$A:$A,0)),"Unknown")</f>
        <v>Pepe Jeans</v>
      </c>
      <c r="X2691" t="str">
        <f>IFERROR(INDEX(Stores!$B:$B,MATCH(E2691,Stores!$A:$A,0)),"Unknown")</f>
        <v>TrendMart Alappuzha Mall Kiosk</v>
      </c>
      <c r="Y2691" t="str">
        <f>IFERROR(INDEX(Stores!$E:$E,MATCH(E2691,Stores!$A:$A,0)),"Unknown")</f>
        <v>South Zone 1</v>
      </c>
      <c r="Z2691" t="str">
        <f>IFERROR(INDEX(Customers!$J:$J,MATCH(C2691,Customers!$A:$A,0)),"Unknown")</f>
        <v>Platinum</v>
      </c>
      <c r="AA2691" t="str">
        <f t="shared" si="42"/>
        <v>2024-11</v>
      </c>
      <c r="AB2691" t="str">
        <f>IFERROR(INDEX(Products!$I:$I,MATCH(D2691,Products!$A:$A,0)),"Unknown")</f>
        <v>SUP071</v>
      </c>
    </row>
    <row r="2692" spans="1:28" x14ac:dyDescent="0.25">
      <c r="A2692" t="s">
        <v>4758</v>
      </c>
      <c r="B2692" s="20">
        <v>45705</v>
      </c>
      <c r="C2692" t="s">
        <v>2818</v>
      </c>
      <c r="D2692" t="s">
        <v>622</v>
      </c>
      <c r="E2692" t="s">
        <v>206</v>
      </c>
      <c r="F2692" t="s">
        <v>269</v>
      </c>
      <c r="G2692">
        <v>1</v>
      </c>
      <c r="H2692" s="21">
        <v>2721.88</v>
      </c>
      <c r="I2692">
        <v>25</v>
      </c>
      <c r="J2692" s="21">
        <v>680.47</v>
      </c>
      <c r="K2692">
        <v>12</v>
      </c>
      <c r="L2692" s="21">
        <v>244.97</v>
      </c>
      <c r="M2692" s="21">
        <v>2286.38</v>
      </c>
      <c r="N2692" s="21">
        <v>1853.14</v>
      </c>
      <c r="O2692" s="21">
        <v>188.27</v>
      </c>
      <c r="P2692" t="s">
        <v>125</v>
      </c>
      <c r="Q2692" t="s">
        <v>122</v>
      </c>
      <c r="R2692" t="s">
        <v>151</v>
      </c>
      <c r="S2692" t="s">
        <v>1737</v>
      </c>
      <c r="T2692" t="s">
        <v>153</v>
      </c>
      <c r="U2692" t="s">
        <v>154</v>
      </c>
      <c r="V2692" t="str">
        <f>IFERROR(INDEX(Products!$C:$C,MATCH(D2692,Products!$A:$A,0)),"Unknown")</f>
        <v>Women Sarees</v>
      </c>
      <c r="W2692" t="str">
        <f>IFERROR(INDEX(Products!$E:$E,MATCH(D2692,Products!$A:$A,0)),"Unknown")</f>
        <v>Sparx</v>
      </c>
      <c r="X2692" t="str">
        <f>IFERROR(INDEX(Stores!$B:$B,MATCH(E2692,Stores!$A:$A,0)),"Unknown")</f>
        <v>TrendMart Nizamabad Outlet</v>
      </c>
      <c r="Y2692" t="str">
        <f>IFERROR(INDEX(Stores!$E:$E,MATCH(E2692,Stores!$A:$A,0)),"Unknown")</f>
        <v>South Zone 2</v>
      </c>
      <c r="Z2692" t="str">
        <f>IFERROR(INDEX(Customers!$J:$J,MATCH(C2692,Customers!$A:$A,0)),"Unknown")</f>
        <v>Gold</v>
      </c>
      <c r="AA2692" t="str">
        <f t="shared" si="42"/>
        <v>2025-02</v>
      </c>
      <c r="AB2692" t="str">
        <f>IFERROR(INDEX(Products!$I:$I,MATCH(D2692,Products!$A:$A,0)),"Unknown")</f>
        <v>SUP080</v>
      </c>
    </row>
    <row r="2693" spans="1:28" x14ac:dyDescent="0.25">
      <c r="A2693" t="s">
        <v>4759</v>
      </c>
      <c r="B2693" s="20">
        <v>45543</v>
      </c>
      <c r="C2693" t="s">
        <v>366</v>
      </c>
      <c r="D2693" t="s">
        <v>748</v>
      </c>
      <c r="E2693" t="s">
        <v>1962</v>
      </c>
      <c r="F2693" t="s">
        <v>532</v>
      </c>
      <c r="G2693">
        <v>3</v>
      </c>
      <c r="H2693" s="21">
        <v>1297.05</v>
      </c>
      <c r="I2693">
        <v>0</v>
      </c>
      <c r="J2693" s="21">
        <v>0</v>
      </c>
      <c r="K2693">
        <v>12</v>
      </c>
      <c r="L2693" s="21">
        <v>466.94</v>
      </c>
      <c r="M2693" s="21">
        <v>4358.09</v>
      </c>
      <c r="N2693" s="21">
        <v>2525.5500000000002</v>
      </c>
      <c r="O2693" s="21">
        <v>1365.6</v>
      </c>
      <c r="P2693" t="s">
        <v>125</v>
      </c>
      <c r="Q2693" t="s">
        <v>120</v>
      </c>
      <c r="R2693" t="s">
        <v>313</v>
      </c>
      <c r="S2693" t="s">
        <v>1666</v>
      </c>
      <c r="T2693" t="s">
        <v>161</v>
      </c>
      <c r="U2693" t="s">
        <v>154</v>
      </c>
      <c r="V2693" t="str">
        <f>IFERROR(INDEX(Products!$C:$C,MATCH(D2693,Products!$A:$A,0)),"Unknown")</f>
        <v>Women Dresses</v>
      </c>
      <c r="W2693" t="str">
        <f>IFERROR(INDEX(Products!$E:$E,MATCH(D2693,Products!$A:$A,0)),"Unknown")</f>
        <v>Kalyan Silks</v>
      </c>
      <c r="X2693" t="str">
        <f>IFERROR(INDEX(Stores!$B:$B,MATCH(E2693,Stores!$A:$A,0)),"Unknown")</f>
        <v>TrendMart Guntur High Street</v>
      </c>
      <c r="Y2693" t="str">
        <f>IFERROR(INDEX(Stores!$E:$E,MATCH(E2693,Stores!$A:$A,0)),"Unknown")</f>
        <v>South Zone 3</v>
      </c>
      <c r="Z2693" t="str">
        <f>IFERROR(INDEX(Customers!$J:$J,MATCH(C2693,Customers!$A:$A,0)),"Unknown")</f>
        <v>Gold</v>
      </c>
      <c r="AA2693" t="str">
        <f t="shared" si="42"/>
        <v>2024-09</v>
      </c>
      <c r="AB2693" t="str">
        <f>IFERROR(INDEX(Products!$I:$I,MATCH(D2693,Products!$A:$A,0)),"Unknown")</f>
        <v>SUP036</v>
      </c>
    </row>
    <row r="2694" spans="1:28" x14ac:dyDescent="0.25">
      <c r="A2694" t="s">
        <v>4760</v>
      </c>
      <c r="B2694" s="20">
        <v>45566</v>
      </c>
      <c r="C2694" t="s">
        <v>3018</v>
      </c>
      <c r="D2694" t="s">
        <v>267</v>
      </c>
      <c r="E2694" t="s">
        <v>721</v>
      </c>
      <c r="F2694" t="s">
        <v>221</v>
      </c>
      <c r="G2694">
        <v>1</v>
      </c>
      <c r="H2694" s="21">
        <v>752.41</v>
      </c>
      <c r="I2694">
        <v>0</v>
      </c>
      <c r="J2694" s="21">
        <v>0</v>
      </c>
      <c r="K2694">
        <v>5</v>
      </c>
      <c r="L2694" s="21">
        <v>37.619999999999997</v>
      </c>
      <c r="M2694" s="21">
        <v>790.03</v>
      </c>
      <c r="N2694" s="21">
        <v>443.19</v>
      </c>
      <c r="O2694" s="21">
        <v>309.22000000000003</v>
      </c>
      <c r="P2694" t="s">
        <v>127</v>
      </c>
      <c r="Q2694" t="s">
        <v>122</v>
      </c>
      <c r="R2694" t="s">
        <v>151</v>
      </c>
      <c r="S2694" t="s">
        <v>597</v>
      </c>
      <c r="T2694" t="s">
        <v>153</v>
      </c>
      <c r="U2694" t="s">
        <v>154</v>
      </c>
      <c r="V2694" t="str">
        <f>IFERROR(INDEX(Products!$C:$C,MATCH(D2694,Products!$A:$A,0)),"Unknown")</f>
        <v>Accessories</v>
      </c>
      <c r="W2694" t="str">
        <f>IFERROR(INDEX(Products!$E:$E,MATCH(D2694,Products!$A:$A,0)),"Unknown")</f>
        <v>Allen Solly</v>
      </c>
      <c r="X2694" t="str">
        <f>IFERROR(INDEX(Stores!$B:$B,MATCH(E2694,Stores!$A:$A,0)),"Unknown")</f>
        <v>TrendMart Kollam Flagship</v>
      </c>
      <c r="Y2694" t="str">
        <f>IFERROR(INDEX(Stores!$E:$E,MATCH(E2694,Stores!$A:$A,0)),"Unknown")</f>
        <v>South Zone 1</v>
      </c>
      <c r="Z2694" t="str">
        <f>IFERROR(INDEX(Customers!$J:$J,MATCH(C2694,Customers!$A:$A,0)),"Unknown")</f>
        <v>Silver</v>
      </c>
      <c r="AA2694" t="str">
        <f t="shared" si="42"/>
        <v>2024-10</v>
      </c>
      <c r="AB2694" t="str">
        <f>IFERROR(INDEX(Products!$I:$I,MATCH(D2694,Products!$A:$A,0)),"Unknown")</f>
        <v>SUP069</v>
      </c>
    </row>
    <row r="2695" spans="1:28" x14ac:dyDescent="0.25">
      <c r="A2695" t="s">
        <v>4761</v>
      </c>
      <c r="B2695" s="20">
        <v>45566</v>
      </c>
      <c r="C2695" t="s">
        <v>3576</v>
      </c>
      <c r="D2695" t="s">
        <v>2759</v>
      </c>
      <c r="E2695" t="s">
        <v>268</v>
      </c>
      <c r="F2695" t="s">
        <v>292</v>
      </c>
      <c r="G2695">
        <v>5</v>
      </c>
      <c r="H2695" s="21">
        <v>652.27</v>
      </c>
      <c r="I2695">
        <v>15</v>
      </c>
      <c r="J2695" s="21">
        <v>489.2</v>
      </c>
      <c r="K2695">
        <v>5</v>
      </c>
      <c r="L2695" s="21">
        <v>138.61000000000001</v>
      </c>
      <c r="M2695" s="21">
        <v>2910.76</v>
      </c>
      <c r="N2695" s="21">
        <v>2019.5</v>
      </c>
      <c r="O2695" s="21">
        <v>752.65</v>
      </c>
      <c r="P2695" t="s">
        <v>123</v>
      </c>
      <c r="Q2695" t="s">
        <v>122</v>
      </c>
      <c r="R2695" t="s">
        <v>151</v>
      </c>
      <c r="S2695" t="s">
        <v>2972</v>
      </c>
      <c r="T2695" t="s">
        <v>153</v>
      </c>
      <c r="U2695" t="s">
        <v>154</v>
      </c>
      <c r="V2695" t="str">
        <f>IFERROR(INDEX(Products!$C:$C,MATCH(D2695,Products!$A:$A,0)),"Unknown")</f>
        <v>Men T-Shirts</v>
      </c>
      <c r="W2695" t="str">
        <f>IFERROR(INDEX(Products!$E:$E,MATCH(D2695,Products!$A:$A,0)),"Unknown")</f>
        <v>Libas</v>
      </c>
      <c r="X2695" t="str">
        <f>IFERROR(INDEX(Stores!$B:$B,MATCH(E2695,Stores!$A:$A,0)),"Unknown")</f>
        <v>TrendMart Kochi High Street</v>
      </c>
      <c r="Y2695" t="str">
        <f>IFERROR(INDEX(Stores!$E:$E,MATCH(E2695,Stores!$A:$A,0)),"Unknown")</f>
        <v>South Zone 1</v>
      </c>
      <c r="Z2695" t="str">
        <f>IFERROR(INDEX(Customers!$J:$J,MATCH(C2695,Customers!$A:$A,0)),"Unknown")</f>
        <v>Gold</v>
      </c>
      <c r="AA2695" t="str">
        <f t="shared" si="42"/>
        <v>2024-10</v>
      </c>
      <c r="AB2695" t="str">
        <f>IFERROR(INDEX(Products!$I:$I,MATCH(D2695,Products!$A:$A,0)),"Unknown")</f>
        <v>SUP041</v>
      </c>
    </row>
    <row r="2696" spans="1:28" x14ac:dyDescent="0.25">
      <c r="A2696" t="s">
        <v>4762</v>
      </c>
      <c r="B2696" s="20">
        <v>45627</v>
      </c>
      <c r="C2696" t="s">
        <v>720</v>
      </c>
      <c r="D2696" t="s">
        <v>545</v>
      </c>
      <c r="E2696" t="s">
        <v>1426</v>
      </c>
      <c r="F2696" t="s">
        <v>176</v>
      </c>
      <c r="G2696">
        <v>2</v>
      </c>
      <c r="H2696" s="21">
        <v>1259.6199999999999</v>
      </c>
      <c r="I2696">
        <v>10</v>
      </c>
      <c r="J2696" s="21">
        <v>251.92</v>
      </c>
      <c r="K2696">
        <v>12</v>
      </c>
      <c r="L2696" s="21">
        <v>272.08</v>
      </c>
      <c r="M2696" s="21">
        <v>2539.4</v>
      </c>
      <c r="N2696" s="21">
        <v>1669.92</v>
      </c>
      <c r="O2696" s="21">
        <v>597.4</v>
      </c>
      <c r="P2696" t="s">
        <v>121</v>
      </c>
      <c r="Q2696" t="s">
        <v>122</v>
      </c>
      <c r="R2696" t="s">
        <v>151</v>
      </c>
      <c r="S2696" t="s">
        <v>471</v>
      </c>
      <c r="T2696" t="s">
        <v>161</v>
      </c>
      <c r="U2696" t="s">
        <v>154</v>
      </c>
      <c r="V2696" t="str">
        <f>IFERROR(INDEX(Products!$C:$C,MATCH(D2696,Products!$A:$A,0)),"Unknown")</f>
        <v>Women Jeans</v>
      </c>
      <c r="W2696" t="str">
        <f>IFERROR(INDEX(Products!$E:$E,MATCH(D2696,Products!$A:$A,0)),"Unknown")</f>
        <v>US Polo Assn</v>
      </c>
      <c r="X2696" t="str">
        <f>IFERROR(INDEX(Stores!$B:$B,MATCH(E2696,Stores!$A:$A,0)),"Unknown")</f>
        <v>TrendMart Alappuzha Mall Kiosk</v>
      </c>
      <c r="Y2696" t="str">
        <f>IFERROR(INDEX(Stores!$E:$E,MATCH(E2696,Stores!$A:$A,0)),"Unknown")</f>
        <v>South Zone 1</v>
      </c>
      <c r="Z2696" t="str">
        <f>IFERROR(INDEX(Customers!$J:$J,MATCH(C2696,Customers!$A:$A,0)),"Unknown")</f>
        <v>Regular</v>
      </c>
      <c r="AA2696" t="str">
        <f t="shared" si="42"/>
        <v>2024-12</v>
      </c>
      <c r="AB2696" t="str">
        <f>IFERROR(INDEX(Products!$I:$I,MATCH(D2696,Products!$A:$A,0)),"Unknown")</f>
        <v>SUP041</v>
      </c>
    </row>
    <row r="2697" spans="1:28" x14ac:dyDescent="0.25">
      <c r="A2697" t="s">
        <v>4763</v>
      </c>
      <c r="B2697" s="20">
        <v>45649</v>
      </c>
      <c r="C2697" t="s">
        <v>3513</v>
      </c>
      <c r="D2697" t="s">
        <v>1691</v>
      </c>
      <c r="E2697" t="s">
        <v>158</v>
      </c>
      <c r="F2697" t="s">
        <v>201</v>
      </c>
      <c r="G2697">
        <v>1</v>
      </c>
      <c r="H2697" s="21">
        <v>927.65</v>
      </c>
      <c r="I2697">
        <v>0</v>
      </c>
      <c r="J2697" s="21">
        <v>0</v>
      </c>
      <c r="K2697">
        <v>5</v>
      </c>
      <c r="L2697" s="21">
        <v>46.38</v>
      </c>
      <c r="M2697" s="21">
        <v>974.03</v>
      </c>
      <c r="N2697" s="21">
        <v>700.93</v>
      </c>
      <c r="O2697" s="21">
        <v>226.72</v>
      </c>
      <c r="P2697" t="s">
        <v>125</v>
      </c>
      <c r="Q2697" t="s">
        <v>120</v>
      </c>
      <c r="R2697" t="s">
        <v>151</v>
      </c>
      <c r="S2697" t="s">
        <v>2149</v>
      </c>
      <c r="T2697" t="s">
        <v>153</v>
      </c>
      <c r="U2697" t="s">
        <v>154</v>
      </c>
      <c r="V2697" t="str">
        <f>IFERROR(INDEX(Products!$C:$C,MATCH(D2697,Products!$A:$A,0)),"Unknown")</f>
        <v>Women Jeans</v>
      </c>
      <c r="W2697" t="str">
        <f>IFERROR(INDEX(Products!$E:$E,MATCH(D2697,Products!$A:$A,0)),"Unknown")</f>
        <v>Global Desi</v>
      </c>
      <c r="X2697" t="str">
        <f>IFERROR(INDEX(Stores!$B:$B,MATCH(E2697,Stores!$A:$A,0)),"Unknown")</f>
        <v>TrendMart Tirunelveli High Street</v>
      </c>
      <c r="Y2697" t="str">
        <f>IFERROR(INDEX(Stores!$E:$E,MATCH(E2697,Stores!$A:$A,0)),"Unknown")</f>
        <v>South Zone 1</v>
      </c>
      <c r="Z2697" t="str">
        <f>IFERROR(INDEX(Customers!$J:$J,MATCH(C2697,Customers!$A:$A,0)),"Unknown")</f>
        <v>Regular</v>
      </c>
      <c r="AA2697" t="str">
        <f t="shared" si="42"/>
        <v>2024-12</v>
      </c>
      <c r="AB2697" t="str">
        <f>IFERROR(INDEX(Products!$I:$I,MATCH(D2697,Products!$A:$A,0)),"Unknown")</f>
        <v>SUP015</v>
      </c>
    </row>
    <row r="2698" spans="1:28" x14ac:dyDescent="0.25">
      <c r="A2698" t="s">
        <v>4764</v>
      </c>
      <c r="B2698" s="20">
        <v>45648</v>
      </c>
      <c r="C2698" t="s">
        <v>473</v>
      </c>
      <c r="D2698" t="s">
        <v>1780</v>
      </c>
      <c r="E2698" t="s">
        <v>1017</v>
      </c>
      <c r="F2698" t="s">
        <v>211</v>
      </c>
      <c r="G2698">
        <v>2</v>
      </c>
      <c r="H2698" s="21">
        <v>1311.48</v>
      </c>
      <c r="I2698">
        <v>5</v>
      </c>
      <c r="J2698" s="21">
        <v>131.15</v>
      </c>
      <c r="K2698">
        <v>3</v>
      </c>
      <c r="L2698" s="21">
        <v>74.75</v>
      </c>
      <c r="M2698" s="21">
        <v>2566.56</v>
      </c>
      <c r="N2698" s="21">
        <v>1820.92</v>
      </c>
      <c r="O2698" s="21">
        <v>670.89</v>
      </c>
      <c r="P2698" t="s">
        <v>123</v>
      </c>
      <c r="Q2698" t="s">
        <v>120</v>
      </c>
      <c r="R2698" t="s">
        <v>151</v>
      </c>
      <c r="S2698" t="s">
        <v>2182</v>
      </c>
      <c r="T2698" t="s">
        <v>161</v>
      </c>
      <c r="U2698" t="s">
        <v>154</v>
      </c>
      <c r="V2698" t="str">
        <f>IFERROR(INDEX(Products!$C:$C,MATCH(D2698,Products!$A:$A,0)),"Unknown")</f>
        <v>Jewellery</v>
      </c>
      <c r="W2698" t="str">
        <f>IFERROR(INDEX(Products!$E:$E,MATCH(D2698,Products!$A:$A,0)),"Unknown")</f>
        <v>Flying Machine</v>
      </c>
      <c r="X2698" t="str">
        <f>IFERROR(INDEX(Stores!$B:$B,MATCH(E2698,Stores!$A:$A,0)),"Unknown")</f>
        <v>TrendMart Mangaluru Standard</v>
      </c>
      <c r="Y2698" t="str">
        <f>IFERROR(INDEX(Stores!$E:$E,MATCH(E2698,Stores!$A:$A,0)),"Unknown")</f>
        <v>South Zone 2</v>
      </c>
      <c r="Z2698" t="str">
        <f>IFERROR(INDEX(Customers!$J:$J,MATCH(C2698,Customers!$A:$A,0)),"Unknown")</f>
        <v>Regular</v>
      </c>
      <c r="AA2698" t="str">
        <f t="shared" si="42"/>
        <v>2024-12</v>
      </c>
      <c r="AB2698" t="str">
        <f>IFERROR(INDEX(Products!$I:$I,MATCH(D2698,Products!$A:$A,0)),"Unknown")</f>
        <v>SUP039</v>
      </c>
    </row>
    <row r="2699" spans="1:28" x14ac:dyDescent="0.25">
      <c r="A2699" t="s">
        <v>4765</v>
      </c>
      <c r="B2699" s="20">
        <v>45608</v>
      </c>
      <c r="C2699" t="s">
        <v>1684</v>
      </c>
      <c r="D2699" t="s">
        <v>949</v>
      </c>
      <c r="E2699" t="s">
        <v>83</v>
      </c>
      <c r="F2699" t="s">
        <v>550</v>
      </c>
      <c r="G2699">
        <v>2</v>
      </c>
      <c r="H2699" s="21">
        <v>1469.76</v>
      </c>
      <c r="I2699">
        <v>10</v>
      </c>
      <c r="J2699" s="21">
        <v>293.95</v>
      </c>
      <c r="K2699">
        <v>12</v>
      </c>
      <c r="L2699" s="21">
        <v>317.47000000000003</v>
      </c>
      <c r="M2699" s="21">
        <v>2963.04</v>
      </c>
      <c r="N2699" s="21">
        <v>1977.14</v>
      </c>
      <c r="O2699" s="21">
        <v>668.43</v>
      </c>
      <c r="P2699" t="s">
        <v>126</v>
      </c>
      <c r="Q2699" t="s">
        <v>120</v>
      </c>
      <c r="R2699" t="s">
        <v>151</v>
      </c>
      <c r="S2699" t="s">
        <v>2915</v>
      </c>
      <c r="T2699" t="s">
        <v>153</v>
      </c>
      <c r="U2699" t="s">
        <v>154</v>
      </c>
      <c r="V2699" t="str">
        <f>IFERROR(INDEX(Products!$C:$C,MATCH(D2699,Products!$A:$A,0)),"Unknown")</f>
        <v>Handbags</v>
      </c>
      <c r="W2699" t="str">
        <f>IFERROR(INDEX(Products!$E:$E,MATCH(D2699,Products!$A:$A,0)),"Unknown")</f>
        <v>Fastrack</v>
      </c>
      <c r="X2699" t="str">
        <f>IFERROR(INDEX(Stores!$B:$B,MATCH(E2699,Stores!$A:$A,0)),"Unknown")</f>
        <v>TrendMart Vellore Standard</v>
      </c>
      <c r="Y2699" t="str">
        <f>IFERROR(INDEX(Stores!$E:$E,MATCH(E2699,Stores!$A:$A,0)),"Unknown")</f>
        <v>South Zone 1</v>
      </c>
      <c r="Z2699" t="str">
        <f>IFERROR(INDEX(Customers!$J:$J,MATCH(C2699,Customers!$A:$A,0)),"Unknown")</f>
        <v>Silver</v>
      </c>
      <c r="AA2699" t="str">
        <f t="shared" si="42"/>
        <v>2024-11</v>
      </c>
      <c r="AB2699" t="str">
        <f>IFERROR(INDEX(Products!$I:$I,MATCH(D2699,Products!$A:$A,0)),"Unknown")</f>
        <v>SUP069</v>
      </c>
    </row>
    <row r="2700" spans="1:28" x14ac:dyDescent="0.25">
      <c r="A2700" t="s">
        <v>4766</v>
      </c>
      <c r="B2700" s="20">
        <v>45457</v>
      </c>
      <c r="C2700" t="s">
        <v>3319</v>
      </c>
      <c r="D2700" t="s">
        <v>3165</v>
      </c>
      <c r="E2700" t="s">
        <v>1522</v>
      </c>
      <c r="F2700" t="s">
        <v>189</v>
      </c>
      <c r="G2700">
        <v>3</v>
      </c>
      <c r="H2700" s="21">
        <v>1164.98</v>
      </c>
      <c r="I2700">
        <v>10</v>
      </c>
      <c r="J2700" s="21">
        <v>349.49</v>
      </c>
      <c r="K2700">
        <v>12</v>
      </c>
      <c r="L2700" s="21">
        <v>377.45</v>
      </c>
      <c r="M2700" s="21">
        <v>3522.9</v>
      </c>
      <c r="N2700" s="21">
        <v>2613.7800000000002</v>
      </c>
      <c r="O2700" s="21">
        <v>531.66999999999996</v>
      </c>
      <c r="P2700" t="s">
        <v>125</v>
      </c>
      <c r="Q2700" t="s">
        <v>120</v>
      </c>
      <c r="R2700" t="s">
        <v>151</v>
      </c>
      <c r="S2700" t="s">
        <v>1643</v>
      </c>
      <c r="T2700" t="s">
        <v>153</v>
      </c>
      <c r="U2700" t="s">
        <v>154</v>
      </c>
      <c r="V2700" t="str">
        <f>IFERROR(INDEX(Products!$C:$C,MATCH(D2700,Products!$A:$A,0)),"Unknown")</f>
        <v>Men Trousers</v>
      </c>
      <c r="W2700" t="str">
        <f>IFERROR(INDEX(Products!$E:$E,MATCH(D2700,Products!$A:$A,0)),"Unknown")</f>
        <v>Wrangler</v>
      </c>
      <c r="X2700" t="str">
        <f>IFERROR(INDEX(Stores!$B:$B,MATCH(E2700,Stores!$A:$A,0)),"Unknown")</f>
        <v>TrendMart Guntur High Street</v>
      </c>
      <c r="Y2700" t="str">
        <f>IFERROR(INDEX(Stores!$E:$E,MATCH(E2700,Stores!$A:$A,0)),"Unknown")</f>
        <v>South Zone 3</v>
      </c>
      <c r="Z2700" t="str">
        <f>IFERROR(INDEX(Customers!$J:$J,MATCH(C2700,Customers!$A:$A,0)),"Unknown")</f>
        <v>Platinum</v>
      </c>
      <c r="AA2700" t="str">
        <f t="shared" si="42"/>
        <v>2024-06</v>
      </c>
      <c r="AB2700" t="str">
        <f>IFERROR(INDEX(Products!$I:$I,MATCH(D2700,Products!$A:$A,0)),"Unknown")</f>
        <v>SUP051</v>
      </c>
    </row>
    <row r="2701" spans="1:28" x14ac:dyDescent="0.25">
      <c r="A2701" t="s">
        <v>4767</v>
      </c>
      <c r="B2701" s="20">
        <v>45619</v>
      </c>
      <c r="C2701" t="s">
        <v>564</v>
      </c>
      <c r="D2701" t="s">
        <v>1156</v>
      </c>
      <c r="E2701" t="s">
        <v>387</v>
      </c>
      <c r="F2701" t="s">
        <v>377</v>
      </c>
      <c r="G2701">
        <v>2</v>
      </c>
      <c r="H2701" s="21">
        <v>718.25</v>
      </c>
      <c r="I2701">
        <v>5</v>
      </c>
      <c r="J2701" s="21">
        <v>71.83</v>
      </c>
      <c r="K2701">
        <v>5</v>
      </c>
      <c r="L2701" s="21">
        <v>68.23</v>
      </c>
      <c r="M2701" s="21">
        <v>1432.9</v>
      </c>
      <c r="N2701" s="21">
        <v>1018.88</v>
      </c>
      <c r="O2701" s="21">
        <v>345.79</v>
      </c>
      <c r="P2701" t="s">
        <v>121</v>
      </c>
      <c r="Q2701" t="s">
        <v>120</v>
      </c>
      <c r="R2701" t="s">
        <v>151</v>
      </c>
      <c r="S2701" t="s">
        <v>3278</v>
      </c>
      <c r="T2701" t="s">
        <v>161</v>
      </c>
      <c r="U2701" t="s">
        <v>154</v>
      </c>
      <c r="V2701" t="str">
        <f>IFERROR(INDEX(Products!$C:$C,MATCH(D2701,Products!$A:$A,0)),"Unknown")</f>
        <v>Kids Wear</v>
      </c>
      <c r="W2701" t="str">
        <f>IFERROR(INDEX(Products!$E:$E,MATCH(D2701,Products!$A:$A,0)),"Unknown")</f>
        <v>Allen Solly</v>
      </c>
      <c r="X2701" t="str">
        <f>IFERROR(INDEX(Stores!$B:$B,MATCH(E2701,Stores!$A:$A,0)),"Unknown")</f>
        <v>TrendMart Kannur Outlet</v>
      </c>
      <c r="Y2701" t="str">
        <f>IFERROR(INDEX(Stores!$E:$E,MATCH(E2701,Stores!$A:$A,0)),"Unknown")</f>
        <v>South Zone 1</v>
      </c>
      <c r="Z2701" t="str">
        <f>IFERROR(INDEX(Customers!$J:$J,MATCH(C2701,Customers!$A:$A,0)),"Unknown")</f>
        <v>Regular</v>
      </c>
      <c r="AA2701" t="str">
        <f t="shared" si="42"/>
        <v>2024-11</v>
      </c>
      <c r="AB2701" t="str">
        <f>IFERROR(INDEX(Products!$I:$I,MATCH(D2701,Products!$A:$A,0)),"Unknown")</f>
        <v>SUP026</v>
      </c>
    </row>
    <row r="2702" spans="1:28" x14ac:dyDescent="0.25">
      <c r="A2702" t="s">
        <v>4768</v>
      </c>
      <c r="B2702" s="20">
        <v>45441</v>
      </c>
      <c r="C2702" t="s">
        <v>509</v>
      </c>
      <c r="D2702" t="s">
        <v>565</v>
      </c>
      <c r="E2702" t="s">
        <v>721</v>
      </c>
      <c r="F2702" t="s">
        <v>182</v>
      </c>
      <c r="G2702">
        <v>3</v>
      </c>
      <c r="H2702" s="21">
        <v>1786.41</v>
      </c>
      <c r="I2702">
        <v>5</v>
      </c>
      <c r="J2702" s="21">
        <v>267.95999999999998</v>
      </c>
      <c r="K2702">
        <v>12</v>
      </c>
      <c r="L2702" s="21">
        <v>610.95000000000005</v>
      </c>
      <c r="M2702" s="21">
        <v>5702.22</v>
      </c>
      <c r="N2702" s="21">
        <v>3508.38</v>
      </c>
      <c r="O2702" s="21">
        <v>1582.89</v>
      </c>
      <c r="P2702" t="s">
        <v>127</v>
      </c>
      <c r="Q2702" t="s">
        <v>122</v>
      </c>
      <c r="R2702" t="s">
        <v>151</v>
      </c>
      <c r="S2702" t="s">
        <v>1089</v>
      </c>
      <c r="T2702" t="s">
        <v>153</v>
      </c>
      <c r="U2702" t="s">
        <v>154</v>
      </c>
      <c r="V2702" t="str">
        <f>IFERROR(INDEX(Products!$C:$C,MATCH(D2702,Products!$A:$A,0)),"Unknown")</f>
        <v>Winter Wear</v>
      </c>
      <c r="W2702" t="str">
        <f>IFERROR(INDEX(Products!$E:$E,MATCH(D2702,Products!$A:$A,0)),"Unknown")</f>
        <v>Numero Uno</v>
      </c>
      <c r="X2702" t="str">
        <f>IFERROR(INDEX(Stores!$B:$B,MATCH(E2702,Stores!$A:$A,0)),"Unknown")</f>
        <v>TrendMart Kollam Flagship</v>
      </c>
      <c r="Y2702" t="str">
        <f>IFERROR(INDEX(Stores!$E:$E,MATCH(E2702,Stores!$A:$A,0)),"Unknown")</f>
        <v>South Zone 1</v>
      </c>
      <c r="Z2702" t="str">
        <f>IFERROR(INDEX(Customers!$J:$J,MATCH(C2702,Customers!$A:$A,0)),"Unknown")</f>
        <v>Gold</v>
      </c>
      <c r="AA2702" t="str">
        <f t="shared" si="42"/>
        <v>2024-05</v>
      </c>
      <c r="AB2702" t="str">
        <f>IFERROR(INDEX(Products!$I:$I,MATCH(D2702,Products!$A:$A,0)),"Unknown")</f>
        <v>SUP026</v>
      </c>
    </row>
    <row r="2703" spans="1:28" x14ac:dyDescent="0.25">
      <c r="A2703" t="s">
        <v>4769</v>
      </c>
      <c r="B2703" s="20">
        <v>45570</v>
      </c>
      <c r="C2703" t="s">
        <v>1655</v>
      </c>
      <c r="D2703" t="s">
        <v>2039</v>
      </c>
      <c r="E2703" t="s">
        <v>158</v>
      </c>
      <c r="F2703" t="s">
        <v>579</v>
      </c>
      <c r="G2703">
        <v>2</v>
      </c>
      <c r="H2703" s="21">
        <v>3010.04</v>
      </c>
      <c r="I2703">
        <v>0</v>
      </c>
      <c r="J2703" s="21">
        <v>0</v>
      </c>
      <c r="K2703">
        <v>12</v>
      </c>
      <c r="L2703" s="21">
        <v>722.41</v>
      </c>
      <c r="M2703" s="21">
        <v>6742.49</v>
      </c>
      <c r="N2703" s="21">
        <v>4157.84</v>
      </c>
      <c r="O2703" s="21">
        <v>1862.24</v>
      </c>
      <c r="P2703" t="s">
        <v>121</v>
      </c>
      <c r="Q2703" t="s">
        <v>120</v>
      </c>
      <c r="R2703" t="s">
        <v>151</v>
      </c>
      <c r="S2703" t="s">
        <v>4472</v>
      </c>
      <c r="T2703" t="s">
        <v>161</v>
      </c>
      <c r="U2703" t="s">
        <v>154</v>
      </c>
      <c r="V2703" t="str">
        <f>IFERROR(INDEX(Products!$C:$C,MATCH(D2703,Products!$A:$A,0)),"Unknown")</f>
        <v>Women Sarees</v>
      </c>
      <c r="W2703" t="str">
        <f>IFERROR(INDEX(Products!$E:$E,MATCH(D2703,Products!$A:$A,0)),"Unknown")</f>
        <v>Arrow</v>
      </c>
      <c r="X2703" t="str">
        <f>IFERROR(INDEX(Stores!$B:$B,MATCH(E2703,Stores!$A:$A,0)),"Unknown")</f>
        <v>TrendMart Tirunelveli High Street</v>
      </c>
      <c r="Y2703" t="str">
        <f>IFERROR(INDEX(Stores!$E:$E,MATCH(E2703,Stores!$A:$A,0)),"Unknown")</f>
        <v>South Zone 1</v>
      </c>
      <c r="Z2703" t="str">
        <f>IFERROR(INDEX(Customers!$J:$J,MATCH(C2703,Customers!$A:$A,0)),"Unknown")</f>
        <v>Regular</v>
      </c>
      <c r="AA2703" t="str">
        <f t="shared" si="42"/>
        <v>2024-10</v>
      </c>
      <c r="AB2703" t="str">
        <f>IFERROR(INDEX(Products!$I:$I,MATCH(D2703,Products!$A:$A,0)),"Unknown")</f>
        <v>SUP087</v>
      </c>
    </row>
    <row r="2704" spans="1:28" x14ac:dyDescent="0.25">
      <c r="A2704" t="s">
        <v>4770</v>
      </c>
      <c r="B2704" s="20">
        <v>45460</v>
      </c>
      <c r="C2704" t="s">
        <v>1318</v>
      </c>
      <c r="D2704" t="s">
        <v>230</v>
      </c>
      <c r="E2704" t="s">
        <v>617</v>
      </c>
      <c r="F2704" t="s">
        <v>258</v>
      </c>
      <c r="G2704">
        <v>1</v>
      </c>
      <c r="H2704" s="21">
        <v>1403.7</v>
      </c>
      <c r="I2704">
        <v>10</v>
      </c>
      <c r="J2704" s="21">
        <v>140.37</v>
      </c>
      <c r="K2704">
        <v>12</v>
      </c>
      <c r="L2704" s="21">
        <v>151.6</v>
      </c>
      <c r="M2704" s="21">
        <v>1414.93</v>
      </c>
      <c r="N2704" s="21">
        <v>946.3</v>
      </c>
      <c r="O2704" s="21">
        <v>317.02999999999997</v>
      </c>
      <c r="P2704" t="s">
        <v>126</v>
      </c>
      <c r="Q2704" t="s">
        <v>120</v>
      </c>
      <c r="R2704" t="s">
        <v>151</v>
      </c>
      <c r="S2704" t="s">
        <v>3062</v>
      </c>
      <c r="T2704" t="s">
        <v>153</v>
      </c>
      <c r="U2704" t="s">
        <v>154</v>
      </c>
      <c r="V2704" t="str">
        <f>IFERROR(INDEX(Products!$C:$C,MATCH(D2704,Products!$A:$A,0)),"Unknown")</f>
        <v>Watches</v>
      </c>
      <c r="W2704" t="str">
        <f>IFERROR(INDEX(Products!$E:$E,MATCH(D2704,Products!$A:$A,0)),"Unknown")</f>
        <v>Wrangler</v>
      </c>
      <c r="X2704" t="str">
        <f>IFERROR(INDEX(Stores!$B:$B,MATCH(E2704,Stores!$A:$A,0)),"Unknown")</f>
        <v>TrendMart Mangaluru High Street</v>
      </c>
      <c r="Y2704" t="str">
        <f>IFERROR(INDEX(Stores!$E:$E,MATCH(E2704,Stores!$A:$A,0)),"Unknown")</f>
        <v>South Zone 2</v>
      </c>
      <c r="Z2704" t="str">
        <f>IFERROR(INDEX(Customers!$J:$J,MATCH(C2704,Customers!$A:$A,0)),"Unknown")</f>
        <v>Regular</v>
      </c>
      <c r="AA2704" t="str">
        <f t="shared" si="42"/>
        <v>2024-06</v>
      </c>
      <c r="AB2704" t="str">
        <f>IFERROR(INDEX(Products!$I:$I,MATCH(D2704,Products!$A:$A,0)),"Unknown")</f>
        <v>SUP044</v>
      </c>
    </row>
    <row r="2705" spans="1:28" x14ac:dyDescent="0.25">
      <c r="A2705" t="s">
        <v>4771</v>
      </c>
      <c r="B2705" s="20">
        <v>45720</v>
      </c>
      <c r="C2705" t="s">
        <v>943</v>
      </c>
      <c r="D2705" t="s">
        <v>595</v>
      </c>
      <c r="E2705" t="s">
        <v>96</v>
      </c>
      <c r="F2705" t="s">
        <v>159</v>
      </c>
      <c r="G2705">
        <v>1</v>
      </c>
      <c r="H2705" s="21">
        <v>876.05</v>
      </c>
      <c r="I2705">
        <v>0</v>
      </c>
      <c r="J2705" s="21">
        <v>0</v>
      </c>
      <c r="K2705">
        <v>5</v>
      </c>
      <c r="L2705" s="21">
        <v>43.8</v>
      </c>
      <c r="M2705" s="21">
        <v>919.85</v>
      </c>
      <c r="N2705" s="21">
        <v>590.48</v>
      </c>
      <c r="O2705" s="21">
        <v>285.57</v>
      </c>
      <c r="P2705" t="s">
        <v>123</v>
      </c>
      <c r="Q2705" t="s">
        <v>122</v>
      </c>
      <c r="R2705" t="s">
        <v>151</v>
      </c>
      <c r="S2705" t="s">
        <v>435</v>
      </c>
      <c r="T2705" t="s">
        <v>153</v>
      </c>
      <c r="U2705" t="s">
        <v>154</v>
      </c>
      <c r="V2705" t="str">
        <f>IFERROR(INDEX(Products!$C:$C,MATCH(D2705,Products!$A:$A,0)),"Unknown")</f>
        <v>Men Shirts</v>
      </c>
      <c r="W2705" t="str">
        <f>IFERROR(INDEX(Products!$E:$E,MATCH(D2705,Products!$A:$A,0)),"Unknown")</f>
        <v>Nalli Silks</v>
      </c>
      <c r="X2705" t="str">
        <f>IFERROR(INDEX(Stores!$B:$B,MATCH(E2705,Stores!$A:$A,0)),"Unknown")</f>
        <v>TrendMart Shivamogga Outlet</v>
      </c>
      <c r="Y2705" t="str">
        <f>IFERROR(INDEX(Stores!$E:$E,MATCH(E2705,Stores!$A:$A,0)),"Unknown")</f>
        <v>South Zone 2</v>
      </c>
      <c r="Z2705" t="str">
        <f>IFERROR(INDEX(Customers!$J:$J,MATCH(C2705,Customers!$A:$A,0)),"Unknown")</f>
        <v>Silver</v>
      </c>
      <c r="AA2705" t="str">
        <f t="shared" si="42"/>
        <v>2025-03</v>
      </c>
      <c r="AB2705" t="str">
        <f>IFERROR(INDEX(Products!$I:$I,MATCH(D2705,Products!$A:$A,0)),"Unknown")</f>
        <v>SUP055</v>
      </c>
    </row>
    <row r="2706" spans="1:28" x14ac:dyDescent="0.25">
      <c r="A2706" t="s">
        <v>4772</v>
      </c>
      <c r="B2706" s="20">
        <v>45408</v>
      </c>
      <c r="C2706" t="s">
        <v>3764</v>
      </c>
      <c r="D2706" t="s">
        <v>1928</v>
      </c>
      <c r="E2706" t="s">
        <v>87</v>
      </c>
      <c r="F2706" t="s">
        <v>344</v>
      </c>
      <c r="G2706">
        <v>2</v>
      </c>
      <c r="H2706" s="21">
        <v>822.43</v>
      </c>
      <c r="I2706">
        <v>5</v>
      </c>
      <c r="J2706" s="21">
        <v>82.24</v>
      </c>
      <c r="K2706">
        <v>5</v>
      </c>
      <c r="L2706" s="21">
        <v>78.13</v>
      </c>
      <c r="M2706" s="21">
        <v>1640.75</v>
      </c>
      <c r="N2706" s="21">
        <v>1316.38</v>
      </c>
      <c r="O2706" s="21">
        <v>246.24</v>
      </c>
      <c r="P2706" t="s">
        <v>125</v>
      </c>
      <c r="Q2706" t="s">
        <v>120</v>
      </c>
      <c r="R2706" t="s">
        <v>151</v>
      </c>
      <c r="S2706" t="s">
        <v>869</v>
      </c>
      <c r="T2706" t="s">
        <v>153</v>
      </c>
      <c r="U2706" t="s">
        <v>154</v>
      </c>
      <c r="V2706" t="str">
        <f>IFERROR(INDEX(Products!$C:$C,MATCH(D2706,Products!$A:$A,0)),"Unknown")</f>
        <v>Men Jeans</v>
      </c>
      <c r="W2706" t="str">
        <f>IFERROR(INDEX(Products!$E:$E,MATCH(D2706,Products!$A:$A,0)),"Unknown")</f>
        <v>Skechers</v>
      </c>
      <c r="X2706" t="str">
        <f>IFERROR(INDEX(Stores!$B:$B,MATCH(E2706,Stores!$A:$A,0)),"Unknown")</f>
        <v>TrendMart Thiruvananthapuram Standard</v>
      </c>
      <c r="Y2706" t="str">
        <f>IFERROR(INDEX(Stores!$E:$E,MATCH(E2706,Stores!$A:$A,0)),"Unknown")</f>
        <v>South Zone 1</v>
      </c>
      <c r="Z2706" t="str">
        <f>IFERROR(INDEX(Customers!$J:$J,MATCH(C2706,Customers!$A:$A,0)),"Unknown")</f>
        <v>Gold</v>
      </c>
      <c r="AA2706" t="str">
        <f t="shared" si="42"/>
        <v>2024-04</v>
      </c>
      <c r="AB2706" t="str">
        <f>IFERROR(INDEX(Products!$I:$I,MATCH(D2706,Products!$A:$A,0)),"Unknown")</f>
        <v>SUP015</v>
      </c>
    </row>
    <row r="2707" spans="1:28" x14ac:dyDescent="0.25">
      <c r="A2707" t="s">
        <v>4773</v>
      </c>
      <c r="B2707" s="20">
        <v>45418</v>
      </c>
      <c r="C2707" t="s">
        <v>1855</v>
      </c>
      <c r="D2707" t="s">
        <v>697</v>
      </c>
      <c r="E2707" t="s">
        <v>906</v>
      </c>
      <c r="F2707" t="s">
        <v>443</v>
      </c>
      <c r="G2707">
        <v>1</v>
      </c>
      <c r="H2707" s="21">
        <v>1111.8900000000001</v>
      </c>
      <c r="I2707">
        <v>0</v>
      </c>
      <c r="J2707" s="21">
        <v>0</v>
      </c>
      <c r="K2707">
        <v>12</v>
      </c>
      <c r="L2707" s="21">
        <v>133.43</v>
      </c>
      <c r="M2707" s="21">
        <v>1245.32</v>
      </c>
      <c r="N2707" s="21">
        <v>699.84</v>
      </c>
      <c r="O2707" s="21">
        <v>412.05</v>
      </c>
      <c r="P2707" t="s">
        <v>124</v>
      </c>
      <c r="Q2707" t="s">
        <v>120</v>
      </c>
      <c r="R2707" t="s">
        <v>151</v>
      </c>
      <c r="S2707" t="s">
        <v>1335</v>
      </c>
      <c r="T2707" t="s">
        <v>153</v>
      </c>
      <c r="U2707" t="s">
        <v>154</v>
      </c>
      <c r="V2707" t="str">
        <f>IFERROR(INDEX(Products!$C:$C,MATCH(D2707,Products!$A:$A,0)),"Unknown")</f>
        <v>Women Tops</v>
      </c>
      <c r="W2707" t="str">
        <f>IFERROR(INDEX(Products!$E:$E,MATCH(D2707,Products!$A:$A,0)),"Unknown")</f>
        <v>Nalli Silks</v>
      </c>
      <c r="X2707" t="str">
        <f>IFERROR(INDEX(Stores!$B:$B,MATCH(E2707,Stores!$A:$A,0)),"Unknown")</f>
        <v>TrendMart Vijayawada Standard</v>
      </c>
      <c r="Y2707" t="str">
        <f>IFERROR(INDEX(Stores!$E:$E,MATCH(E2707,Stores!$A:$A,0)),"Unknown")</f>
        <v>South Zone 3</v>
      </c>
      <c r="Z2707" t="str">
        <f>IFERROR(INDEX(Customers!$J:$J,MATCH(C2707,Customers!$A:$A,0)),"Unknown")</f>
        <v>Platinum</v>
      </c>
      <c r="AA2707" t="str">
        <f t="shared" si="42"/>
        <v>2024-05</v>
      </c>
      <c r="AB2707" t="str">
        <f>IFERROR(INDEX(Products!$I:$I,MATCH(D2707,Products!$A:$A,0)),"Unknown")</f>
        <v>SUP008</v>
      </c>
    </row>
    <row r="2708" spans="1:28" x14ac:dyDescent="0.25">
      <c r="A2708" t="s">
        <v>4774</v>
      </c>
      <c r="B2708" s="20">
        <v>45432</v>
      </c>
      <c r="C2708" t="s">
        <v>1861</v>
      </c>
      <c r="D2708" t="s">
        <v>1350</v>
      </c>
      <c r="E2708" t="s">
        <v>701</v>
      </c>
      <c r="F2708" t="s">
        <v>408</v>
      </c>
      <c r="G2708">
        <v>1</v>
      </c>
      <c r="H2708" s="21">
        <v>630.04999999999995</v>
      </c>
      <c r="I2708">
        <v>30</v>
      </c>
      <c r="J2708" s="21">
        <v>189.01</v>
      </c>
      <c r="K2708">
        <v>5</v>
      </c>
      <c r="L2708" s="21">
        <v>22.05</v>
      </c>
      <c r="M2708" s="21">
        <v>463.09</v>
      </c>
      <c r="N2708" s="21">
        <v>419.4</v>
      </c>
      <c r="O2708" s="21">
        <v>21.64</v>
      </c>
      <c r="P2708" t="s">
        <v>125</v>
      </c>
      <c r="Q2708" t="s">
        <v>120</v>
      </c>
      <c r="R2708" t="s">
        <v>151</v>
      </c>
      <c r="S2708" t="s">
        <v>603</v>
      </c>
      <c r="T2708" t="s">
        <v>153</v>
      </c>
      <c r="U2708" t="s">
        <v>154</v>
      </c>
      <c r="V2708" t="str">
        <f>IFERROR(INDEX(Products!$C:$C,MATCH(D2708,Products!$A:$A,0)),"Unknown")</f>
        <v>Women Tops</v>
      </c>
      <c r="W2708" t="str">
        <f>IFERROR(INDEX(Products!$E:$E,MATCH(D2708,Products!$A:$A,0)),"Unknown")</f>
        <v>Jack &amp; Jones</v>
      </c>
      <c r="X2708" t="str">
        <f>IFERROR(INDEX(Stores!$B:$B,MATCH(E2708,Stores!$A:$A,0)),"Unknown")</f>
        <v>TrendMart Vijayawada Mall Kiosk</v>
      </c>
      <c r="Y2708" t="str">
        <f>IFERROR(INDEX(Stores!$E:$E,MATCH(E2708,Stores!$A:$A,0)),"Unknown")</f>
        <v>South Zone 3</v>
      </c>
      <c r="Z2708" t="str">
        <f>IFERROR(INDEX(Customers!$J:$J,MATCH(C2708,Customers!$A:$A,0)),"Unknown")</f>
        <v>Platinum</v>
      </c>
      <c r="AA2708" t="str">
        <f t="shared" si="42"/>
        <v>2024-05</v>
      </c>
      <c r="AB2708" t="str">
        <f>IFERROR(INDEX(Products!$I:$I,MATCH(D2708,Products!$A:$A,0)),"Unknown")</f>
        <v>SUP089</v>
      </c>
    </row>
    <row r="2709" spans="1:28" x14ac:dyDescent="0.25">
      <c r="A2709" t="s">
        <v>4775</v>
      </c>
      <c r="B2709" s="20">
        <v>45401</v>
      </c>
      <c r="C2709" t="s">
        <v>2366</v>
      </c>
      <c r="D2709" t="s">
        <v>339</v>
      </c>
      <c r="E2709" t="s">
        <v>456</v>
      </c>
      <c r="F2709" t="s">
        <v>292</v>
      </c>
      <c r="G2709">
        <v>2</v>
      </c>
      <c r="H2709" s="21">
        <v>816.34</v>
      </c>
      <c r="I2709">
        <v>10</v>
      </c>
      <c r="J2709" s="21">
        <v>163.27000000000001</v>
      </c>
      <c r="K2709">
        <v>5</v>
      </c>
      <c r="L2709" s="21">
        <v>73.47</v>
      </c>
      <c r="M2709" s="21">
        <v>1542.88</v>
      </c>
      <c r="N2709" s="21">
        <v>1137.06</v>
      </c>
      <c r="O2709" s="21">
        <v>332.35</v>
      </c>
      <c r="P2709" t="s">
        <v>125</v>
      </c>
      <c r="Q2709" t="s">
        <v>120</v>
      </c>
      <c r="R2709" t="s">
        <v>151</v>
      </c>
      <c r="S2709" t="s">
        <v>722</v>
      </c>
      <c r="T2709" t="s">
        <v>153</v>
      </c>
      <c r="U2709" t="s">
        <v>154</v>
      </c>
      <c r="V2709" t="str">
        <f>IFERROR(INDEX(Products!$C:$C,MATCH(D2709,Products!$A:$A,0)),"Unknown")</f>
        <v>Women Kurtis</v>
      </c>
      <c r="W2709" t="str">
        <f>IFERROR(INDEX(Products!$E:$E,MATCH(D2709,Products!$A:$A,0)),"Unknown")</f>
        <v>Allen Solly</v>
      </c>
      <c r="X2709" t="str">
        <f>IFERROR(INDEX(Stores!$B:$B,MATCH(E2709,Stores!$A:$A,0)),"Unknown")</f>
        <v>TrendMart Salem Outlet</v>
      </c>
      <c r="Y2709" t="str">
        <f>IFERROR(INDEX(Stores!$E:$E,MATCH(E2709,Stores!$A:$A,0)),"Unknown")</f>
        <v>South Zone 1</v>
      </c>
      <c r="Z2709" t="str">
        <f>IFERROR(INDEX(Customers!$J:$J,MATCH(C2709,Customers!$A:$A,0)),"Unknown")</f>
        <v>Gold</v>
      </c>
      <c r="AA2709" t="str">
        <f t="shared" si="42"/>
        <v>2024-04</v>
      </c>
      <c r="AB2709" t="str">
        <f>IFERROR(INDEX(Products!$I:$I,MATCH(D2709,Products!$A:$A,0)),"Unknown")</f>
        <v>SUP086</v>
      </c>
    </row>
    <row r="2710" spans="1:28" x14ac:dyDescent="0.25">
      <c r="A2710" t="s">
        <v>4776</v>
      </c>
      <c r="B2710" s="20">
        <v>45585</v>
      </c>
      <c r="C2710" t="s">
        <v>2102</v>
      </c>
      <c r="D2710" t="s">
        <v>494</v>
      </c>
      <c r="E2710" t="s">
        <v>252</v>
      </c>
      <c r="F2710" t="s">
        <v>297</v>
      </c>
      <c r="G2710">
        <v>0</v>
      </c>
      <c r="H2710" s="21">
        <v>1862.68</v>
      </c>
      <c r="I2710">
        <v>0</v>
      </c>
      <c r="J2710" s="21">
        <v>0</v>
      </c>
      <c r="K2710">
        <v>12</v>
      </c>
      <c r="L2710" s="21">
        <v>0</v>
      </c>
      <c r="M2710" s="21">
        <v>0</v>
      </c>
      <c r="N2710" s="21">
        <v>0</v>
      </c>
      <c r="O2710" s="21">
        <v>0</v>
      </c>
      <c r="P2710" t="s">
        <v>123</v>
      </c>
      <c r="Q2710" t="s">
        <v>120</v>
      </c>
      <c r="R2710" t="s">
        <v>482</v>
      </c>
      <c r="S2710" t="s">
        <v>364</v>
      </c>
      <c r="T2710" t="s">
        <v>161</v>
      </c>
      <c r="U2710" t="s">
        <v>154</v>
      </c>
      <c r="V2710" t="str">
        <f>IFERROR(INDEX(Products!$C:$C,MATCH(D2710,Products!$A:$A,0)),"Unknown")</f>
        <v>Women Dresses</v>
      </c>
      <c r="W2710" t="str">
        <f>IFERROR(INDEX(Products!$E:$E,MATCH(D2710,Products!$A:$A,0)),"Unknown")</f>
        <v>Reebok</v>
      </c>
      <c r="X2710" t="str">
        <f>IFERROR(INDEX(Stores!$B:$B,MATCH(E2710,Stores!$A:$A,0)),"Unknown")</f>
        <v>TrendMart Nellore Standard</v>
      </c>
      <c r="Y2710" t="str">
        <f>IFERROR(INDEX(Stores!$E:$E,MATCH(E2710,Stores!$A:$A,0)),"Unknown")</f>
        <v>South Zone 3</v>
      </c>
      <c r="Z2710" t="str">
        <f>IFERROR(INDEX(Customers!$J:$J,MATCH(C2710,Customers!$A:$A,0)),"Unknown")</f>
        <v>Gold</v>
      </c>
      <c r="AA2710" t="str">
        <f t="shared" si="42"/>
        <v>2024-10</v>
      </c>
      <c r="AB2710" t="str">
        <f>IFERROR(INDEX(Products!$I:$I,MATCH(D2710,Products!$A:$A,0)),"Unknown")</f>
        <v>SUP085</v>
      </c>
    </row>
    <row r="2711" spans="1:28" x14ac:dyDescent="0.25">
      <c r="A2711" t="s">
        <v>4777</v>
      </c>
      <c r="B2711" s="20">
        <v>45701</v>
      </c>
      <c r="C2711" t="s">
        <v>3190</v>
      </c>
      <c r="D2711" t="s">
        <v>1088</v>
      </c>
      <c r="E2711" t="s">
        <v>617</v>
      </c>
      <c r="F2711" t="s">
        <v>165</v>
      </c>
      <c r="G2711">
        <v>2</v>
      </c>
      <c r="H2711" s="21">
        <v>923.86</v>
      </c>
      <c r="I2711">
        <v>0</v>
      </c>
      <c r="J2711" s="21">
        <v>0</v>
      </c>
      <c r="K2711">
        <v>5</v>
      </c>
      <c r="L2711" s="21">
        <v>92.39</v>
      </c>
      <c r="M2711" s="21">
        <v>1940.11</v>
      </c>
      <c r="N2711" s="21">
        <v>1198.56</v>
      </c>
      <c r="O2711" s="21">
        <v>649.16</v>
      </c>
      <c r="P2711" t="s">
        <v>121</v>
      </c>
      <c r="Q2711" t="s">
        <v>122</v>
      </c>
      <c r="R2711" t="s">
        <v>151</v>
      </c>
      <c r="S2711" t="s">
        <v>2046</v>
      </c>
      <c r="T2711" t="s">
        <v>153</v>
      </c>
      <c r="U2711" t="s">
        <v>154</v>
      </c>
      <c r="V2711" t="str">
        <f>IFERROR(INDEX(Products!$C:$C,MATCH(D2711,Products!$A:$A,0)),"Unknown")</f>
        <v>Women Kurtis</v>
      </c>
      <c r="W2711" t="str">
        <f>IFERROR(INDEX(Products!$E:$E,MATCH(D2711,Products!$A:$A,0)),"Unknown")</f>
        <v>Metro Shoes</v>
      </c>
      <c r="X2711" t="str">
        <f>IFERROR(INDEX(Stores!$B:$B,MATCH(E2711,Stores!$A:$A,0)),"Unknown")</f>
        <v>TrendMart Mangaluru High Street</v>
      </c>
      <c r="Y2711" t="str">
        <f>IFERROR(INDEX(Stores!$E:$E,MATCH(E2711,Stores!$A:$A,0)),"Unknown")</f>
        <v>South Zone 2</v>
      </c>
      <c r="Z2711" t="str">
        <f>IFERROR(INDEX(Customers!$J:$J,MATCH(C2711,Customers!$A:$A,0)),"Unknown")</f>
        <v>Regular</v>
      </c>
      <c r="AA2711" t="str">
        <f t="shared" si="42"/>
        <v>2025-02</v>
      </c>
      <c r="AB2711" t="str">
        <f>IFERROR(INDEX(Products!$I:$I,MATCH(D2711,Products!$A:$A,0)),"Unknown")</f>
        <v>SUP045</v>
      </c>
    </row>
    <row r="2712" spans="1:28" x14ac:dyDescent="0.25">
      <c r="A2712" t="s">
        <v>4778</v>
      </c>
      <c r="B2712" s="20">
        <v>45731</v>
      </c>
      <c r="C2712" t="s">
        <v>2733</v>
      </c>
      <c r="D2712" t="s">
        <v>1877</v>
      </c>
      <c r="E2712" t="s">
        <v>262</v>
      </c>
      <c r="F2712" t="s">
        <v>443</v>
      </c>
      <c r="G2712">
        <v>3</v>
      </c>
      <c r="H2712" s="21">
        <v>1821.58</v>
      </c>
      <c r="I2712">
        <v>0</v>
      </c>
      <c r="J2712" s="21">
        <v>0</v>
      </c>
      <c r="K2712">
        <v>12</v>
      </c>
      <c r="L2712" s="21">
        <v>655.77</v>
      </c>
      <c r="M2712" s="21">
        <v>6120.51</v>
      </c>
      <c r="N2712" s="21">
        <v>3994.65</v>
      </c>
      <c r="O2712" s="21">
        <v>1470.09</v>
      </c>
      <c r="P2712" t="s">
        <v>121</v>
      </c>
      <c r="Q2712" t="s">
        <v>120</v>
      </c>
      <c r="R2712" t="s">
        <v>151</v>
      </c>
      <c r="S2712" t="s">
        <v>3779</v>
      </c>
      <c r="T2712" t="s">
        <v>161</v>
      </c>
      <c r="U2712" t="s">
        <v>154</v>
      </c>
      <c r="V2712" t="str">
        <f>IFERROR(INDEX(Products!$C:$C,MATCH(D2712,Products!$A:$A,0)),"Unknown")</f>
        <v>Women Sarees</v>
      </c>
      <c r="W2712" t="str">
        <f>IFERROR(INDEX(Products!$E:$E,MATCH(D2712,Products!$A:$A,0)),"Unknown")</f>
        <v>Sonata</v>
      </c>
      <c r="X2712" t="str">
        <f>IFERROR(INDEX(Stores!$B:$B,MATCH(E2712,Stores!$A:$A,0)),"Unknown")</f>
        <v>TrendMart Thoothukudi Outlet</v>
      </c>
      <c r="Y2712" t="str">
        <f>IFERROR(INDEX(Stores!$E:$E,MATCH(E2712,Stores!$A:$A,0)),"Unknown")</f>
        <v>South Zone 1</v>
      </c>
      <c r="Z2712" t="str">
        <f>IFERROR(INDEX(Customers!$J:$J,MATCH(C2712,Customers!$A:$A,0)),"Unknown")</f>
        <v>Regular</v>
      </c>
      <c r="AA2712" t="str">
        <f t="shared" si="42"/>
        <v>2025-03</v>
      </c>
      <c r="AB2712" t="str">
        <f>IFERROR(INDEX(Products!$I:$I,MATCH(D2712,Products!$A:$A,0)),"Unknown")</f>
        <v>SUP073</v>
      </c>
    </row>
    <row r="2713" spans="1:28" x14ac:dyDescent="0.25">
      <c r="A2713" t="s">
        <v>4779</v>
      </c>
      <c r="B2713" s="20">
        <v>45466</v>
      </c>
      <c r="C2713" t="s">
        <v>1434</v>
      </c>
      <c r="D2713" t="s">
        <v>433</v>
      </c>
      <c r="E2713" t="s">
        <v>461</v>
      </c>
      <c r="F2713" t="s">
        <v>344</v>
      </c>
      <c r="G2713">
        <v>5</v>
      </c>
      <c r="H2713" s="21">
        <v>860.34</v>
      </c>
      <c r="I2713">
        <v>25</v>
      </c>
      <c r="J2713" s="21">
        <v>1075.42</v>
      </c>
      <c r="K2713">
        <v>5</v>
      </c>
      <c r="L2713" s="21">
        <v>161.31</v>
      </c>
      <c r="M2713" s="21">
        <v>3387.59</v>
      </c>
      <c r="N2713" s="21">
        <v>2865.45</v>
      </c>
      <c r="O2713" s="21">
        <v>360.83</v>
      </c>
      <c r="P2713" t="s">
        <v>125</v>
      </c>
      <c r="Q2713" t="s">
        <v>120</v>
      </c>
      <c r="R2713" t="s">
        <v>151</v>
      </c>
      <c r="S2713" t="s">
        <v>2704</v>
      </c>
      <c r="T2713" t="s">
        <v>161</v>
      </c>
      <c r="U2713" t="s">
        <v>154</v>
      </c>
      <c r="V2713" t="str">
        <f>IFERROR(INDEX(Products!$C:$C,MATCH(D2713,Products!$A:$A,0)),"Unknown")</f>
        <v>Women Kurtis</v>
      </c>
      <c r="W2713" t="str">
        <f>IFERROR(INDEX(Products!$E:$E,MATCH(D2713,Products!$A:$A,0)),"Unknown")</f>
        <v>Nike</v>
      </c>
      <c r="X2713" t="str">
        <f>IFERROR(INDEX(Stores!$B:$B,MATCH(E2713,Stores!$A:$A,0)),"Unknown")</f>
        <v>TrendMart Visakhapatnam High Street</v>
      </c>
      <c r="Y2713" t="str">
        <f>IFERROR(INDEX(Stores!$E:$E,MATCH(E2713,Stores!$A:$A,0)),"Unknown")</f>
        <v>South Zone 3</v>
      </c>
      <c r="Z2713" t="str">
        <f>IFERROR(INDEX(Customers!$J:$J,MATCH(C2713,Customers!$A:$A,0)),"Unknown")</f>
        <v>Gold</v>
      </c>
      <c r="AA2713" t="str">
        <f t="shared" si="42"/>
        <v>2024-06</v>
      </c>
      <c r="AB2713" t="str">
        <f>IFERROR(INDEX(Products!$I:$I,MATCH(D2713,Products!$A:$A,0)),"Unknown")</f>
        <v>SUP012</v>
      </c>
    </row>
    <row r="2714" spans="1:28" x14ac:dyDescent="0.25">
      <c r="A2714" t="s">
        <v>4780</v>
      </c>
      <c r="B2714" s="20">
        <v>45702</v>
      </c>
      <c r="C2714" t="s">
        <v>544</v>
      </c>
      <c r="D2714" t="s">
        <v>2281</v>
      </c>
      <c r="E2714" t="s">
        <v>1141</v>
      </c>
      <c r="F2714" t="s">
        <v>344</v>
      </c>
      <c r="G2714">
        <v>4</v>
      </c>
      <c r="H2714" s="21">
        <v>595.59</v>
      </c>
      <c r="I2714">
        <v>10</v>
      </c>
      <c r="J2714" s="21">
        <v>238.24</v>
      </c>
      <c r="K2714">
        <v>5</v>
      </c>
      <c r="L2714" s="21">
        <v>107.21</v>
      </c>
      <c r="M2714" s="21">
        <v>2251.33</v>
      </c>
      <c r="N2714" s="21">
        <v>1493.08</v>
      </c>
      <c r="O2714" s="21">
        <v>651.04</v>
      </c>
      <c r="P2714" t="s">
        <v>123</v>
      </c>
      <c r="Q2714" t="s">
        <v>120</v>
      </c>
      <c r="R2714" t="s">
        <v>151</v>
      </c>
      <c r="S2714" t="s">
        <v>722</v>
      </c>
      <c r="T2714" t="s">
        <v>153</v>
      </c>
      <c r="U2714" t="s">
        <v>154</v>
      </c>
      <c r="V2714" t="str">
        <f>IFERROR(INDEX(Products!$C:$C,MATCH(D2714,Products!$A:$A,0)),"Unknown")</f>
        <v>Men T-Shirts</v>
      </c>
      <c r="W2714" t="str">
        <f>IFERROR(INDEX(Products!$E:$E,MATCH(D2714,Products!$A:$A,0)),"Unknown")</f>
        <v>Indian Terrain</v>
      </c>
      <c r="X2714" t="str">
        <f>IFERROR(INDEX(Stores!$B:$B,MATCH(E2714,Stores!$A:$A,0)),"Unknown")</f>
        <v>TrendMart Kochi Standard</v>
      </c>
      <c r="Y2714" t="str">
        <f>IFERROR(INDEX(Stores!$E:$E,MATCH(E2714,Stores!$A:$A,0)),"Unknown")</f>
        <v>South Zone 1</v>
      </c>
      <c r="Z2714" t="str">
        <f>IFERROR(INDEX(Customers!$J:$J,MATCH(C2714,Customers!$A:$A,0)),"Unknown")</f>
        <v>Platinum</v>
      </c>
      <c r="AA2714" t="str">
        <f t="shared" si="42"/>
        <v>2025-02</v>
      </c>
      <c r="AB2714" t="str">
        <f>IFERROR(INDEX(Products!$I:$I,MATCH(D2714,Products!$A:$A,0)),"Unknown")</f>
        <v>SUP074</v>
      </c>
    </row>
    <row r="2715" spans="1:28" x14ac:dyDescent="0.25">
      <c r="A2715" t="s">
        <v>4781</v>
      </c>
      <c r="B2715" s="20">
        <v>45635</v>
      </c>
      <c r="C2715" t="s">
        <v>1534</v>
      </c>
      <c r="D2715" t="s">
        <v>2006</v>
      </c>
      <c r="E2715" t="s">
        <v>98</v>
      </c>
      <c r="F2715" t="s">
        <v>176</v>
      </c>
      <c r="G2715">
        <v>1</v>
      </c>
      <c r="H2715" s="21">
        <v>1526.7</v>
      </c>
      <c r="I2715">
        <v>30</v>
      </c>
      <c r="J2715" s="21">
        <v>458.01</v>
      </c>
      <c r="K2715">
        <v>12</v>
      </c>
      <c r="L2715" s="21">
        <v>128.24</v>
      </c>
      <c r="M2715" s="21">
        <v>1196.93</v>
      </c>
      <c r="N2715" s="21">
        <v>1045.19</v>
      </c>
      <c r="O2715" s="21">
        <v>23.5</v>
      </c>
      <c r="P2715" t="s">
        <v>126</v>
      </c>
      <c r="Q2715" t="s">
        <v>122</v>
      </c>
      <c r="R2715" t="s">
        <v>151</v>
      </c>
      <c r="S2715" t="s">
        <v>3212</v>
      </c>
      <c r="T2715" t="s">
        <v>153</v>
      </c>
      <c r="U2715" t="s">
        <v>154</v>
      </c>
      <c r="V2715" t="str">
        <f>IFERROR(INDEX(Products!$C:$C,MATCH(D2715,Products!$A:$A,0)),"Unknown")</f>
        <v>Winter Wear</v>
      </c>
      <c r="W2715" t="str">
        <f>IFERROR(INDEX(Products!$E:$E,MATCH(D2715,Products!$A:$A,0)),"Unknown")</f>
        <v>Fossil</v>
      </c>
      <c r="X2715" t="str">
        <f>IFERROR(INDEX(Stores!$B:$B,MATCH(E2715,Stores!$A:$A,0)),"Unknown")</f>
        <v>TrendMart Bengaluru Flagship</v>
      </c>
      <c r="Y2715" t="str">
        <f>IFERROR(INDEX(Stores!$E:$E,MATCH(E2715,Stores!$A:$A,0)),"Unknown")</f>
        <v>South Zone 2</v>
      </c>
      <c r="Z2715" t="str">
        <f>IFERROR(INDEX(Customers!$J:$J,MATCH(C2715,Customers!$A:$A,0)),"Unknown")</f>
        <v>Regular</v>
      </c>
      <c r="AA2715" t="str">
        <f t="shared" si="42"/>
        <v>2024-12</v>
      </c>
      <c r="AB2715" t="str">
        <f>IFERROR(INDEX(Products!$I:$I,MATCH(D2715,Products!$A:$A,0)),"Unknown")</f>
        <v>SUP075</v>
      </c>
    </row>
    <row r="2716" spans="1:28" x14ac:dyDescent="0.25">
      <c r="A2716" t="s">
        <v>4782</v>
      </c>
      <c r="B2716" s="20">
        <v>45473</v>
      </c>
      <c r="C2716" t="s">
        <v>2605</v>
      </c>
      <c r="D2716" t="s">
        <v>801</v>
      </c>
      <c r="E2716" t="s">
        <v>934</v>
      </c>
      <c r="F2716" t="s">
        <v>377</v>
      </c>
      <c r="G2716">
        <v>4</v>
      </c>
      <c r="H2716" s="21">
        <v>633.69000000000005</v>
      </c>
      <c r="I2716">
        <v>25</v>
      </c>
      <c r="J2716" s="21">
        <v>633.69000000000005</v>
      </c>
      <c r="K2716">
        <v>5</v>
      </c>
      <c r="L2716" s="21">
        <v>95.05</v>
      </c>
      <c r="M2716" s="21">
        <v>1996.12</v>
      </c>
      <c r="N2716" s="21">
        <v>1699.04</v>
      </c>
      <c r="O2716" s="21">
        <v>202.03</v>
      </c>
      <c r="P2716" t="s">
        <v>123</v>
      </c>
      <c r="Q2716" t="s">
        <v>120</v>
      </c>
      <c r="R2716" t="s">
        <v>151</v>
      </c>
      <c r="S2716" t="s">
        <v>749</v>
      </c>
      <c r="T2716" t="s">
        <v>161</v>
      </c>
      <c r="U2716" t="s">
        <v>154</v>
      </c>
      <c r="V2716" t="str">
        <f>IFERROR(INDEX(Products!$C:$C,MATCH(D2716,Products!$A:$A,0)),"Unknown")</f>
        <v>Kids Wear</v>
      </c>
      <c r="W2716" t="str">
        <f>IFERROR(INDEX(Products!$E:$E,MATCH(D2716,Products!$A:$A,0)),"Unknown")</f>
        <v>Being Human</v>
      </c>
      <c r="X2716" t="str">
        <f>IFERROR(INDEX(Stores!$B:$B,MATCH(E2716,Stores!$A:$A,0)),"Unknown")</f>
        <v>TrendMart Bengaluru High Street</v>
      </c>
      <c r="Y2716" t="str">
        <f>IFERROR(INDEX(Stores!$E:$E,MATCH(E2716,Stores!$A:$A,0)),"Unknown")</f>
        <v>South Zone 2</v>
      </c>
      <c r="Z2716" t="str">
        <f>IFERROR(INDEX(Customers!$J:$J,MATCH(C2716,Customers!$A:$A,0)),"Unknown")</f>
        <v>Gold</v>
      </c>
      <c r="AA2716" t="str">
        <f t="shared" si="42"/>
        <v>2024-06</v>
      </c>
      <c r="AB2716" t="str">
        <f>IFERROR(INDEX(Products!$I:$I,MATCH(D2716,Products!$A:$A,0)),"Unknown")</f>
        <v>SUP063</v>
      </c>
    </row>
    <row r="2717" spans="1:28" x14ac:dyDescent="0.25">
      <c r="A2717" t="s">
        <v>4783</v>
      </c>
      <c r="B2717" s="20">
        <v>45596</v>
      </c>
      <c r="C2717" t="s">
        <v>919</v>
      </c>
      <c r="D2717" t="s">
        <v>717</v>
      </c>
      <c r="E2717" t="s">
        <v>90</v>
      </c>
      <c r="F2717" t="s">
        <v>408</v>
      </c>
      <c r="G2717">
        <v>4</v>
      </c>
      <c r="H2717" s="21">
        <v>1647.15</v>
      </c>
      <c r="I2717">
        <v>25</v>
      </c>
      <c r="J2717" s="21">
        <v>1647.15</v>
      </c>
      <c r="K2717">
        <v>12</v>
      </c>
      <c r="L2717" s="21">
        <v>592.97</v>
      </c>
      <c r="M2717" s="21">
        <v>5534.42</v>
      </c>
      <c r="N2717" s="21">
        <v>4533.08</v>
      </c>
      <c r="O2717" s="21">
        <v>408.37</v>
      </c>
      <c r="P2717" t="s">
        <v>124</v>
      </c>
      <c r="Q2717" t="s">
        <v>120</v>
      </c>
      <c r="R2717" t="s">
        <v>151</v>
      </c>
      <c r="S2717" t="s">
        <v>2084</v>
      </c>
      <c r="T2717" t="s">
        <v>153</v>
      </c>
      <c r="U2717" t="s">
        <v>154</v>
      </c>
      <c r="V2717" t="str">
        <f>IFERROR(INDEX(Products!$C:$C,MATCH(D2717,Products!$A:$A,0)),"Unknown")</f>
        <v>Women Dresses</v>
      </c>
      <c r="W2717" t="str">
        <f>IFERROR(INDEX(Products!$E:$E,MATCH(D2717,Products!$A:$A,0)),"Unknown")</f>
        <v>Pantaloons</v>
      </c>
      <c r="X2717" t="str">
        <f>IFERROR(INDEX(Stores!$B:$B,MATCH(E2717,Stores!$A:$A,0)),"Unknown")</f>
        <v>TrendMart Thoothukudi Mall Kiosk</v>
      </c>
      <c r="Y2717" t="str">
        <f>IFERROR(INDEX(Stores!$E:$E,MATCH(E2717,Stores!$A:$A,0)),"Unknown")</f>
        <v>South Zone 1</v>
      </c>
      <c r="Z2717" t="str">
        <f>IFERROR(INDEX(Customers!$J:$J,MATCH(C2717,Customers!$A:$A,0)),"Unknown")</f>
        <v>Regular</v>
      </c>
      <c r="AA2717" t="str">
        <f t="shared" si="42"/>
        <v>2024-10</v>
      </c>
      <c r="AB2717" t="str">
        <f>IFERROR(INDEX(Products!$I:$I,MATCH(D2717,Products!$A:$A,0)),"Unknown")</f>
        <v>SUP046</v>
      </c>
    </row>
    <row r="2718" spans="1:28" x14ac:dyDescent="0.25">
      <c r="A2718" t="s">
        <v>4784</v>
      </c>
      <c r="B2718" s="20">
        <v>45648</v>
      </c>
      <c r="C2718" t="s">
        <v>1556</v>
      </c>
      <c r="D2718" t="s">
        <v>1550</v>
      </c>
      <c r="E2718" t="s">
        <v>1512</v>
      </c>
      <c r="F2718" t="s">
        <v>275</v>
      </c>
      <c r="G2718">
        <v>3</v>
      </c>
      <c r="H2718" s="21">
        <v>2690.2</v>
      </c>
      <c r="I2718">
        <v>5</v>
      </c>
      <c r="J2718" s="21">
        <v>403.53</v>
      </c>
      <c r="K2718">
        <v>12</v>
      </c>
      <c r="L2718" s="21">
        <v>920.05</v>
      </c>
      <c r="M2718" s="21">
        <v>8587.1200000000008</v>
      </c>
      <c r="N2718" s="21">
        <v>5587.05</v>
      </c>
      <c r="O2718" s="21">
        <v>2080.02</v>
      </c>
      <c r="P2718" t="s">
        <v>125</v>
      </c>
      <c r="Q2718" t="s">
        <v>120</v>
      </c>
      <c r="R2718" t="s">
        <v>151</v>
      </c>
      <c r="S2718" t="s">
        <v>2302</v>
      </c>
      <c r="T2718" t="s">
        <v>161</v>
      </c>
      <c r="U2718" t="s">
        <v>154</v>
      </c>
      <c r="V2718" t="str">
        <f>IFERROR(INDEX(Products!$C:$C,MATCH(D2718,Products!$A:$A,0)),"Unknown")</f>
        <v>Footwear</v>
      </c>
      <c r="W2718" t="str">
        <f>IFERROR(INDEX(Products!$E:$E,MATCH(D2718,Products!$A:$A,0)),"Unknown")</f>
        <v>Pothys</v>
      </c>
      <c r="X2718" t="str">
        <f>IFERROR(INDEX(Stores!$B:$B,MATCH(E2718,Stores!$A:$A,0)),"Unknown")</f>
        <v>TrendMart Erode Mall Kiosk</v>
      </c>
      <c r="Y2718" t="str">
        <f>IFERROR(INDEX(Stores!$E:$E,MATCH(E2718,Stores!$A:$A,0)),"Unknown")</f>
        <v>South Zone 1</v>
      </c>
      <c r="Z2718" t="str">
        <f>IFERROR(INDEX(Customers!$J:$J,MATCH(C2718,Customers!$A:$A,0)),"Unknown")</f>
        <v>Silver</v>
      </c>
      <c r="AA2718" t="str">
        <f t="shared" si="42"/>
        <v>2024-12</v>
      </c>
      <c r="AB2718" t="str">
        <f>IFERROR(INDEX(Products!$I:$I,MATCH(D2718,Products!$A:$A,0)),"Unknown")</f>
        <v>SUP061</v>
      </c>
    </row>
    <row r="2719" spans="1:28" x14ac:dyDescent="0.25">
      <c r="A2719" t="s">
        <v>4785</v>
      </c>
      <c r="B2719" s="20">
        <v>45566</v>
      </c>
      <c r="C2719" t="s">
        <v>779</v>
      </c>
      <c r="D2719" t="s">
        <v>230</v>
      </c>
      <c r="E2719" t="s">
        <v>85</v>
      </c>
      <c r="F2719" t="s">
        <v>221</v>
      </c>
      <c r="G2719">
        <v>1</v>
      </c>
      <c r="H2719" s="21">
        <v>1438.81</v>
      </c>
      <c r="I2719">
        <v>20</v>
      </c>
      <c r="J2719" s="21">
        <v>287.76</v>
      </c>
      <c r="K2719">
        <v>12</v>
      </c>
      <c r="L2719" s="21">
        <v>138.13</v>
      </c>
      <c r="M2719" s="21">
        <v>1289.18</v>
      </c>
      <c r="N2719" s="21">
        <v>946.3</v>
      </c>
      <c r="O2719" s="21">
        <v>204.75</v>
      </c>
      <c r="P2719" t="s">
        <v>124</v>
      </c>
      <c r="Q2719" t="s">
        <v>122</v>
      </c>
      <c r="R2719" t="s">
        <v>151</v>
      </c>
      <c r="S2719" t="s">
        <v>2166</v>
      </c>
      <c r="T2719" t="s">
        <v>153</v>
      </c>
      <c r="U2719" t="s">
        <v>154</v>
      </c>
      <c r="V2719" t="str">
        <f>IFERROR(INDEX(Products!$C:$C,MATCH(D2719,Products!$A:$A,0)),"Unknown")</f>
        <v>Watches</v>
      </c>
      <c r="W2719" t="str">
        <f>IFERROR(INDEX(Products!$E:$E,MATCH(D2719,Products!$A:$A,0)),"Unknown")</f>
        <v>Wrangler</v>
      </c>
      <c r="X2719" t="str">
        <f>IFERROR(INDEX(Stores!$B:$B,MATCH(E2719,Stores!$A:$A,0)),"Unknown")</f>
        <v>TrendMart Kalaburagi Mall Kiosk</v>
      </c>
      <c r="Y2719" t="str">
        <f>IFERROR(INDEX(Stores!$E:$E,MATCH(E2719,Stores!$A:$A,0)),"Unknown")</f>
        <v>South Zone 2</v>
      </c>
      <c r="Z2719" t="str">
        <f>IFERROR(INDEX(Customers!$J:$J,MATCH(C2719,Customers!$A:$A,0)),"Unknown")</f>
        <v>Regular</v>
      </c>
      <c r="AA2719" t="str">
        <f t="shared" si="42"/>
        <v>2024-10</v>
      </c>
      <c r="AB2719" t="str">
        <f>IFERROR(INDEX(Products!$I:$I,MATCH(D2719,Products!$A:$A,0)),"Unknown")</f>
        <v>SUP044</v>
      </c>
    </row>
    <row r="2720" spans="1:28" x14ac:dyDescent="0.25">
      <c r="A2720" t="s">
        <v>4786</v>
      </c>
      <c r="B2720" s="20">
        <v>45408</v>
      </c>
      <c r="C2720" t="s">
        <v>3643</v>
      </c>
      <c r="D2720" t="s">
        <v>587</v>
      </c>
      <c r="E2720" t="s">
        <v>86</v>
      </c>
      <c r="F2720" t="s">
        <v>165</v>
      </c>
      <c r="G2720">
        <v>2</v>
      </c>
      <c r="H2720" s="21">
        <v>3243.41</v>
      </c>
      <c r="I2720">
        <v>10</v>
      </c>
      <c r="J2720" s="21">
        <v>648.67999999999995</v>
      </c>
      <c r="K2720">
        <v>12</v>
      </c>
      <c r="L2720" s="21">
        <v>700.58</v>
      </c>
      <c r="M2720" s="21">
        <v>6538.72</v>
      </c>
      <c r="N2720" s="21">
        <v>4271.7</v>
      </c>
      <c r="O2720" s="21">
        <v>1566.44</v>
      </c>
      <c r="P2720" t="s">
        <v>124</v>
      </c>
      <c r="Q2720" t="s">
        <v>120</v>
      </c>
      <c r="R2720" t="s">
        <v>151</v>
      </c>
      <c r="S2720" t="s">
        <v>1335</v>
      </c>
      <c r="T2720" t="s">
        <v>153</v>
      </c>
      <c r="U2720" t="s">
        <v>154</v>
      </c>
      <c r="V2720" t="str">
        <f>IFERROR(INDEX(Products!$C:$C,MATCH(D2720,Products!$A:$A,0)),"Unknown")</f>
        <v>Handbags</v>
      </c>
      <c r="W2720" t="str">
        <f>IFERROR(INDEX(Products!$E:$E,MATCH(D2720,Products!$A:$A,0)),"Unknown")</f>
        <v>Tanishq</v>
      </c>
      <c r="X2720" t="str">
        <f>IFERROR(INDEX(Stores!$B:$B,MATCH(E2720,Stores!$A:$A,0)),"Unknown")</f>
        <v>TrendMart Warangal High Street</v>
      </c>
      <c r="Y2720" t="str">
        <f>IFERROR(INDEX(Stores!$E:$E,MATCH(E2720,Stores!$A:$A,0)),"Unknown")</f>
        <v>South Zone 2</v>
      </c>
      <c r="Z2720" t="str">
        <f>IFERROR(INDEX(Customers!$J:$J,MATCH(C2720,Customers!$A:$A,0)),"Unknown")</f>
        <v>Regular</v>
      </c>
      <c r="AA2720" t="str">
        <f t="shared" si="42"/>
        <v>2024-04</v>
      </c>
      <c r="AB2720" t="str">
        <f>IFERROR(INDEX(Products!$I:$I,MATCH(D2720,Products!$A:$A,0)),"Unknown")</f>
        <v>SUP029</v>
      </c>
    </row>
    <row r="2721" spans="1:28" x14ac:dyDescent="0.25">
      <c r="A2721" t="s">
        <v>4787</v>
      </c>
      <c r="B2721" s="20">
        <v>45477</v>
      </c>
      <c r="C2721" t="s">
        <v>916</v>
      </c>
      <c r="D2721" t="s">
        <v>460</v>
      </c>
      <c r="E2721" t="s">
        <v>815</v>
      </c>
      <c r="F2721" t="s">
        <v>434</v>
      </c>
      <c r="G2721">
        <v>4</v>
      </c>
      <c r="H2721" s="21">
        <v>1241.1099999999999</v>
      </c>
      <c r="I2721">
        <v>10</v>
      </c>
      <c r="J2721" s="21">
        <v>496.44</v>
      </c>
      <c r="K2721">
        <v>12</v>
      </c>
      <c r="L2721" s="21">
        <v>536.16</v>
      </c>
      <c r="M2721" s="21">
        <v>5004.16</v>
      </c>
      <c r="N2721" s="21">
        <v>3647.36</v>
      </c>
      <c r="O2721" s="21">
        <v>820.64</v>
      </c>
      <c r="P2721" t="s">
        <v>121</v>
      </c>
      <c r="Q2721" t="s">
        <v>120</v>
      </c>
      <c r="R2721" t="s">
        <v>151</v>
      </c>
      <c r="S2721" t="s">
        <v>2714</v>
      </c>
      <c r="T2721" t="s">
        <v>153</v>
      </c>
      <c r="U2721" t="s">
        <v>154</v>
      </c>
      <c r="V2721" t="str">
        <f>IFERROR(INDEX(Products!$C:$C,MATCH(D2721,Products!$A:$A,0)),"Unknown")</f>
        <v>Men Trousers</v>
      </c>
      <c r="W2721" t="str">
        <f>IFERROR(INDEX(Products!$E:$E,MATCH(D2721,Products!$A:$A,0)),"Unknown")</f>
        <v>Louis Philippe</v>
      </c>
      <c r="X2721" t="str">
        <f>IFERROR(INDEX(Stores!$B:$B,MATCH(E2721,Stores!$A:$A,0)),"Unknown")</f>
        <v>TrendMart Madurai Mall Kiosk</v>
      </c>
      <c r="Y2721" t="str">
        <f>IFERROR(INDEX(Stores!$E:$E,MATCH(E2721,Stores!$A:$A,0)),"Unknown")</f>
        <v>South Zone 1</v>
      </c>
      <c r="Z2721" t="str">
        <f>IFERROR(INDEX(Customers!$J:$J,MATCH(C2721,Customers!$A:$A,0)),"Unknown")</f>
        <v>Silver</v>
      </c>
      <c r="AA2721" t="str">
        <f t="shared" si="42"/>
        <v>2024-07</v>
      </c>
      <c r="AB2721" t="str">
        <f>IFERROR(INDEX(Products!$I:$I,MATCH(D2721,Products!$A:$A,0)),"Unknown")</f>
        <v>SUP034</v>
      </c>
    </row>
    <row r="2722" spans="1:28" x14ac:dyDescent="0.25">
      <c r="A2722" t="s">
        <v>4788</v>
      </c>
      <c r="B2722" s="20">
        <v>45566</v>
      </c>
      <c r="C2722" t="s">
        <v>2988</v>
      </c>
      <c r="D2722" t="s">
        <v>1312</v>
      </c>
      <c r="E2722" t="s">
        <v>90</v>
      </c>
      <c r="F2722" t="s">
        <v>403</v>
      </c>
      <c r="G2722">
        <v>3</v>
      </c>
      <c r="H2722" s="21">
        <v>974.61</v>
      </c>
      <c r="I2722">
        <v>30</v>
      </c>
      <c r="J2722" s="21">
        <v>877.15</v>
      </c>
      <c r="K2722">
        <v>5</v>
      </c>
      <c r="L2722" s="21">
        <v>102.33</v>
      </c>
      <c r="M2722" s="21">
        <v>2149.0100000000002</v>
      </c>
      <c r="N2722" s="21">
        <v>2301.33</v>
      </c>
      <c r="O2722" s="21">
        <v>-254.65</v>
      </c>
      <c r="P2722" t="s">
        <v>124</v>
      </c>
      <c r="Q2722" t="s">
        <v>120</v>
      </c>
      <c r="R2722" t="s">
        <v>151</v>
      </c>
      <c r="S2722" t="s">
        <v>2296</v>
      </c>
      <c r="T2722" t="s">
        <v>153</v>
      </c>
      <c r="U2722" t="s">
        <v>184</v>
      </c>
      <c r="V2722" t="str">
        <f>IFERROR(INDEX(Products!$C:$C,MATCH(D2722,Products!$A:$A,0)),"Unknown")</f>
        <v>Women Kurtis</v>
      </c>
      <c r="W2722" t="str">
        <f>IFERROR(INDEX(Products!$E:$E,MATCH(D2722,Products!$A:$A,0)),"Unknown")</f>
        <v>Louis Philippe</v>
      </c>
      <c r="X2722" t="str">
        <f>IFERROR(INDEX(Stores!$B:$B,MATCH(E2722,Stores!$A:$A,0)),"Unknown")</f>
        <v>TrendMart Thoothukudi Mall Kiosk</v>
      </c>
      <c r="Y2722" t="str">
        <f>IFERROR(INDEX(Stores!$E:$E,MATCH(E2722,Stores!$A:$A,0)),"Unknown")</f>
        <v>South Zone 1</v>
      </c>
      <c r="Z2722" t="str">
        <f>IFERROR(INDEX(Customers!$J:$J,MATCH(C2722,Customers!$A:$A,0)),"Unknown")</f>
        <v>Silver</v>
      </c>
      <c r="AA2722" t="str">
        <f t="shared" si="42"/>
        <v>2024-10</v>
      </c>
      <c r="AB2722" t="str">
        <f>IFERROR(INDEX(Products!$I:$I,MATCH(D2722,Products!$A:$A,0)),"Unknown")</f>
        <v>SUP010</v>
      </c>
    </row>
    <row r="2723" spans="1:28" x14ac:dyDescent="0.25">
      <c r="A2723" t="s">
        <v>4789</v>
      </c>
      <c r="B2723" s="20">
        <v>45637</v>
      </c>
      <c r="C2723" t="s">
        <v>3119</v>
      </c>
      <c r="D2723" t="s">
        <v>1111</v>
      </c>
      <c r="E2723" t="s">
        <v>506</v>
      </c>
      <c r="F2723" t="s">
        <v>281</v>
      </c>
      <c r="G2723">
        <v>3</v>
      </c>
      <c r="H2723" s="21">
        <v>2192.65</v>
      </c>
      <c r="I2723">
        <v>0</v>
      </c>
      <c r="J2723" s="21">
        <v>0</v>
      </c>
      <c r="K2723">
        <v>12</v>
      </c>
      <c r="L2723" s="21">
        <v>789.35</v>
      </c>
      <c r="M2723" s="21">
        <v>7367.3</v>
      </c>
      <c r="N2723" s="21">
        <v>5030.76</v>
      </c>
      <c r="O2723" s="21">
        <v>1547.19</v>
      </c>
      <c r="P2723" t="s">
        <v>121</v>
      </c>
      <c r="Q2723" t="s">
        <v>120</v>
      </c>
      <c r="R2723" t="s">
        <v>151</v>
      </c>
      <c r="S2723" t="s">
        <v>869</v>
      </c>
      <c r="T2723" t="s">
        <v>153</v>
      </c>
      <c r="U2723" t="s">
        <v>154</v>
      </c>
      <c r="V2723" t="str">
        <f>IFERROR(INDEX(Products!$C:$C,MATCH(D2723,Products!$A:$A,0)),"Unknown")</f>
        <v>Men Ethnic</v>
      </c>
      <c r="W2723" t="str">
        <f>IFERROR(INDEX(Products!$E:$E,MATCH(D2723,Products!$A:$A,0)),"Unknown")</f>
        <v>Raymond</v>
      </c>
      <c r="X2723" t="str">
        <f>IFERROR(INDEX(Stores!$B:$B,MATCH(E2723,Stores!$A:$A,0)),"Unknown")</f>
        <v>TrendMart Nellore High Street</v>
      </c>
      <c r="Y2723" t="str">
        <f>IFERROR(INDEX(Stores!$E:$E,MATCH(E2723,Stores!$A:$A,0)),"Unknown")</f>
        <v>South Zone 3</v>
      </c>
      <c r="Z2723" t="str">
        <f>IFERROR(INDEX(Customers!$J:$J,MATCH(C2723,Customers!$A:$A,0)),"Unknown")</f>
        <v>Silver</v>
      </c>
      <c r="AA2723" t="str">
        <f t="shared" si="42"/>
        <v>2024-12</v>
      </c>
      <c r="AB2723" t="str">
        <f>IFERROR(INDEX(Products!$I:$I,MATCH(D2723,Products!$A:$A,0)),"Unknown")</f>
        <v>SUP018</v>
      </c>
    </row>
    <row r="2724" spans="1:28" x14ac:dyDescent="0.25">
      <c r="A2724" t="s">
        <v>4790</v>
      </c>
      <c r="B2724" s="20">
        <v>45576</v>
      </c>
      <c r="C2724" t="s">
        <v>2783</v>
      </c>
      <c r="D2724" t="s">
        <v>827</v>
      </c>
      <c r="E2724" t="s">
        <v>94</v>
      </c>
      <c r="F2724" t="s">
        <v>308</v>
      </c>
      <c r="G2724">
        <v>2</v>
      </c>
      <c r="H2724" s="21">
        <v>815.16</v>
      </c>
      <c r="I2724">
        <v>5</v>
      </c>
      <c r="J2724" s="21">
        <v>81.52</v>
      </c>
      <c r="K2724">
        <v>5</v>
      </c>
      <c r="L2724" s="21">
        <v>77.44</v>
      </c>
      <c r="M2724" s="21">
        <v>1626.24</v>
      </c>
      <c r="N2724" s="21">
        <v>1118.5</v>
      </c>
      <c r="O2724" s="21">
        <v>430.3</v>
      </c>
      <c r="P2724" t="s">
        <v>125</v>
      </c>
      <c r="Q2724" t="s">
        <v>120</v>
      </c>
      <c r="R2724" t="s">
        <v>151</v>
      </c>
      <c r="S2724" t="s">
        <v>1910</v>
      </c>
      <c r="T2724" t="s">
        <v>153</v>
      </c>
      <c r="U2724" t="s">
        <v>154</v>
      </c>
      <c r="V2724" t="str">
        <f>IFERROR(INDEX(Products!$C:$C,MATCH(D2724,Products!$A:$A,0)),"Unknown")</f>
        <v>Sportswear</v>
      </c>
      <c r="W2724" t="str">
        <f>IFERROR(INDEX(Products!$E:$E,MATCH(D2724,Products!$A:$A,0)),"Unknown")</f>
        <v>Max Fashion</v>
      </c>
      <c r="X2724" t="str">
        <f>IFERROR(INDEX(Stores!$B:$B,MATCH(E2724,Stores!$A:$A,0)),"Unknown")</f>
        <v>TrendMart Bengaluru Mall Kiosk</v>
      </c>
      <c r="Y2724" t="str">
        <f>IFERROR(INDEX(Stores!$E:$E,MATCH(E2724,Stores!$A:$A,0)),"Unknown")</f>
        <v>South Zone 2</v>
      </c>
      <c r="Z2724" t="str">
        <f>IFERROR(INDEX(Customers!$J:$J,MATCH(C2724,Customers!$A:$A,0)),"Unknown")</f>
        <v>Gold</v>
      </c>
      <c r="AA2724" t="str">
        <f t="shared" si="42"/>
        <v>2024-10</v>
      </c>
      <c r="AB2724" t="str">
        <f>IFERROR(INDEX(Products!$I:$I,MATCH(D2724,Products!$A:$A,0)),"Unknown")</f>
        <v>SUP043</v>
      </c>
    </row>
    <row r="2725" spans="1:28" x14ac:dyDescent="0.25">
      <c r="A2725" t="s">
        <v>4791</v>
      </c>
      <c r="B2725" s="20">
        <v>45630</v>
      </c>
      <c r="C2725" t="s">
        <v>1263</v>
      </c>
      <c r="D2725" t="s">
        <v>949</v>
      </c>
      <c r="E2725" t="s">
        <v>831</v>
      </c>
      <c r="F2725" t="s">
        <v>269</v>
      </c>
      <c r="G2725">
        <v>2</v>
      </c>
      <c r="H2725" s="21">
        <v>1535.03</v>
      </c>
      <c r="I2725">
        <v>25</v>
      </c>
      <c r="J2725" s="21">
        <v>767.51</v>
      </c>
      <c r="K2725">
        <v>12</v>
      </c>
      <c r="L2725" s="21">
        <v>276.31</v>
      </c>
      <c r="M2725" s="21">
        <v>2578.86</v>
      </c>
      <c r="N2725" s="21">
        <v>1977.14</v>
      </c>
      <c r="O2725" s="21">
        <v>325.41000000000003</v>
      </c>
      <c r="P2725" t="s">
        <v>124</v>
      </c>
      <c r="Q2725" t="s">
        <v>122</v>
      </c>
      <c r="R2725" t="s">
        <v>151</v>
      </c>
      <c r="S2725" t="s">
        <v>3280</v>
      </c>
      <c r="T2725" t="s">
        <v>153</v>
      </c>
      <c r="U2725" t="s">
        <v>154</v>
      </c>
      <c r="V2725" t="str">
        <f>IFERROR(INDEX(Products!$C:$C,MATCH(D2725,Products!$A:$A,0)),"Unknown")</f>
        <v>Handbags</v>
      </c>
      <c r="W2725" t="str">
        <f>IFERROR(INDEX(Products!$E:$E,MATCH(D2725,Products!$A:$A,0)),"Unknown")</f>
        <v>Fastrack</v>
      </c>
      <c r="X2725" t="str">
        <f>IFERROR(INDEX(Stores!$B:$B,MATCH(E2725,Stores!$A:$A,0)),"Unknown")</f>
        <v>TrendMart Vellore Standard</v>
      </c>
      <c r="Y2725" t="str">
        <f>IFERROR(INDEX(Stores!$E:$E,MATCH(E2725,Stores!$A:$A,0)),"Unknown")</f>
        <v>South Zone 1</v>
      </c>
      <c r="Z2725" t="str">
        <f>IFERROR(INDEX(Customers!$J:$J,MATCH(C2725,Customers!$A:$A,0)),"Unknown")</f>
        <v>Silver</v>
      </c>
      <c r="AA2725" t="str">
        <f t="shared" si="42"/>
        <v>2024-12</v>
      </c>
      <c r="AB2725" t="str">
        <f>IFERROR(INDEX(Products!$I:$I,MATCH(D2725,Products!$A:$A,0)),"Unknown")</f>
        <v>SUP069</v>
      </c>
    </row>
    <row r="2726" spans="1:28" x14ac:dyDescent="0.25">
      <c r="A2726" t="s">
        <v>4792</v>
      </c>
      <c r="B2726" s="20">
        <v>45714</v>
      </c>
      <c r="C2726" t="s">
        <v>2614</v>
      </c>
      <c r="D2726" t="s">
        <v>2294</v>
      </c>
      <c r="E2726" t="s">
        <v>85</v>
      </c>
      <c r="F2726" t="s">
        <v>443</v>
      </c>
      <c r="G2726">
        <v>1</v>
      </c>
      <c r="H2726" s="21">
        <v>1508.08</v>
      </c>
      <c r="I2726">
        <v>30</v>
      </c>
      <c r="J2726" s="21">
        <v>452.42</v>
      </c>
      <c r="K2726">
        <v>12</v>
      </c>
      <c r="L2726" s="21">
        <v>126.68</v>
      </c>
      <c r="M2726" s="21">
        <v>1182.3399999999999</v>
      </c>
      <c r="N2726" s="21">
        <v>1007.65</v>
      </c>
      <c r="O2726" s="21">
        <v>48.01</v>
      </c>
      <c r="P2726" t="s">
        <v>121</v>
      </c>
      <c r="Q2726" t="s">
        <v>120</v>
      </c>
      <c r="R2726" t="s">
        <v>151</v>
      </c>
      <c r="S2726" t="s">
        <v>2504</v>
      </c>
      <c r="T2726" t="s">
        <v>153</v>
      </c>
      <c r="U2726" t="s">
        <v>154</v>
      </c>
      <c r="V2726" t="str">
        <f>IFERROR(INDEX(Products!$C:$C,MATCH(D2726,Products!$A:$A,0)),"Unknown")</f>
        <v>Men Jeans</v>
      </c>
      <c r="W2726" t="str">
        <f>IFERROR(INDEX(Products!$E:$E,MATCH(D2726,Products!$A:$A,0)),"Unknown")</f>
        <v>Westside</v>
      </c>
      <c r="X2726" t="str">
        <f>IFERROR(INDEX(Stores!$B:$B,MATCH(E2726,Stores!$A:$A,0)),"Unknown")</f>
        <v>TrendMart Kalaburagi Mall Kiosk</v>
      </c>
      <c r="Y2726" t="str">
        <f>IFERROR(INDEX(Stores!$E:$E,MATCH(E2726,Stores!$A:$A,0)),"Unknown")</f>
        <v>South Zone 2</v>
      </c>
      <c r="Z2726" t="str">
        <f>IFERROR(INDEX(Customers!$J:$J,MATCH(C2726,Customers!$A:$A,0)),"Unknown")</f>
        <v>Silver</v>
      </c>
      <c r="AA2726" t="str">
        <f t="shared" si="42"/>
        <v>2025-02</v>
      </c>
      <c r="AB2726" t="str">
        <f>IFERROR(INDEX(Products!$I:$I,MATCH(D2726,Products!$A:$A,0)),"Unknown")</f>
        <v>SUP009</v>
      </c>
    </row>
    <row r="2727" spans="1:28" x14ac:dyDescent="0.25">
      <c r="A2727" t="s">
        <v>4793</v>
      </c>
      <c r="B2727" s="20">
        <v>45624</v>
      </c>
      <c r="C2727" t="s">
        <v>2846</v>
      </c>
      <c r="D2727" t="s">
        <v>569</v>
      </c>
      <c r="E2727" t="s">
        <v>727</v>
      </c>
      <c r="F2727" t="s">
        <v>532</v>
      </c>
      <c r="G2727">
        <v>2</v>
      </c>
      <c r="H2727" s="21">
        <v>2407.2600000000002</v>
      </c>
      <c r="I2727">
        <v>25</v>
      </c>
      <c r="J2727" s="21">
        <v>1203.6300000000001</v>
      </c>
      <c r="K2727">
        <v>12</v>
      </c>
      <c r="L2727" s="21">
        <v>433.31</v>
      </c>
      <c r="M2727" s="21">
        <v>4044.2</v>
      </c>
      <c r="N2727" s="21">
        <v>3188</v>
      </c>
      <c r="O2727" s="21">
        <v>422.89</v>
      </c>
      <c r="P2727" t="s">
        <v>125</v>
      </c>
      <c r="Q2727" t="s">
        <v>120</v>
      </c>
      <c r="R2727" t="s">
        <v>151</v>
      </c>
      <c r="S2727" t="s">
        <v>1505</v>
      </c>
      <c r="T2727" t="s">
        <v>153</v>
      </c>
      <c r="U2727" t="s">
        <v>154</v>
      </c>
      <c r="V2727" t="str">
        <f>IFERROR(INDEX(Products!$C:$C,MATCH(D2727,Products!$A:$A,0)),"Unknown")</f>
        <v>Men Ethnic</v>
      </c>
      <c r="W2727" t="str">
        <f>IFERROR(INDEX(Products!$E:$E,MATCH(D2727,Products!$A:$A,0)),"Unknown")</f>
        <v>Fastrack</v>
      </c>
      <c r="X2727" t="str">
        <f>IFERROR(INDEX(Stores!$B:$B,MATCH(E2727,Stores!$A:$A,0)),"Unknown")</f>
        <v>TrendMart Nizamabad Standard</v>
      </c>
      <c r="Y2727" t="str">
        <f>IFERROR(INDEX(Stores!$E:$E,MATCH(E2727,Stores!$A:$A,0)),"Unknown")</f>
        <v>South Zone 2</v>
      </c>
      <c r="Z2727" t="str">
        <f>IFERROR(INDEX(Customers!$J:$J,MATCH(C2727,Customers!$A:$A,0)),"Unknown")</f>
        <v>Gold</v>
      </c>
      <c r="AA2727" t="str">
        <f t="shared" si="42"/>
        <v>2024-11</v>
      </c>
      <c r="AB2727" t="str">
        <f>IFERROR(INDEX(Products!$I:$I,MATCH(D2727,Products!$A:$A,0)),"Unknown")</f>
        <v>SUP014</v>
      </c>
    </row>
    <row r="2728" spans="1:28" x14ac:dyDescent="0.25">
      <c r="A2728" t="s">
        <v>4794</v>
      </c>
      <c r="B2728" s="20">
        <v>45402</v>
      </c>
      <c r="C2728" t="s">
        <v>1035</v>
      </c>
      <c r="D2728" t="s">
        <v>2353</v>
      </c>
      <c r="E2728" t="s">
        <v>537</v>
      </c>
      <c r="F2728" t="s">
        <v>532</v>
      </c>
      <c r="G2728">
        <v>1</v>
      </c>
      <c r="H2728" s="21">
        <v>863.62</v>
      </c>
      <c r="I2728">
        <v>0</v>
      </c>
      <c r="J2728" s="21">
        <v>0</v>
      </c>
      <c r="K2728">
        <v>5</v>
      </c>
      <c r="L2728" s="21">
        <v>43.18</v>
      </c>
      <c r="M2728" s="21">
        <v>906.8</v>
      </c>
      <c r="N2728" s="21">
        <v>504.05</v>
      </c>
      <c r="O2728" s="21">
        <v>359.57</v>
      </c>
      <c r="P2728" t="s">
        <v>123</v>
      </c>
      <c r="Q2728" t="s">
        <v>120</v>
      </c>
      <c r="R2728" t="s">
        <v>151</v>
      </c>
      <c r="S2728" t="s">
        <v>885</v>
      </c>
      <c r="T2728" t="s">
        <v>161</v>
      </c>
      <c r="U2728" t="s">
        <v>154</v>
      </c>
      <c r="V2728" t="str">
        <f>IFERROR(INDEX(Products!$C:$C,MATCH(D2728,Products!$A:$A,0)),"Unknown")</f>
        <v>Sportswear</v>
      </c>
      <c r="W2728" t="str">
        <f>IFERROR(INDEX(Products!$E:$E,MATCH(D2728,Products!$A:$A,0)),"Unknown")</f>
        <v>Mufti</v>
      </c>
      <c r="X2728" t="str">
        <f>IFERROR(INDEX(Stores!$B:$B,MATCH(E2728,Stores!$A:$A,0)),"Unknown")</f>
        <v>TrendMart Thrissur High Street</v>
      </c>
      <c r="Y2728" t="str">
        <f>IFERROR(INDEX(Stores!$E:$E,MATCH(E2728,Stores!$A:$A,0)),"Unknown")</f>
        <v>South Zone 1</v>
      </c>
      <c r="Z2728" t="str">
        <f>IFERROR(INDEX(Customers!$J:$J,MATCH(C2728,Customers!$A:$A,0)),"Unknown")</f>
        <v>Regular</v>
      </c>
      <c r="AA2728" t="str">
        <f t="shared" si="42"/>
        <v>2024-04</v>
      </c>
      <c r="AB2728" t="str">
        <f>IFERROR(INDEX(Products!$I:$I,MATCH(D2728,Products!$A:$A,0)),"Unknown")</f>
        <v>SUP020</v>
      </c>
    </row>
    <row r="2729" spans="1:28" x14ac:dyDescent="0.25">
      <c r="A2729" t="s">
        <v>4795</v>
      </c>
      <c r="B2729" s="20">
        <v>45536</v>
      </c>
      <c r="C2729" t="s">
        <v>3973</v>
      </c>
      <c r="D2729" t="s">
        <v>2019</v>
      </c>
      <c r="E2729" t="s">
        <v>495</v>
      </c>
      <c r="F2729" t="s">
        <v>579</v>
      </c>
      <c r="G2729">
        <v>1</v>
      </c>
      <c r="H2729" s="21">
        <v>2222.08</v>
      </c>
      <c r="I2729">
        <v>10</v>
      </c>
      <c r="J2729" s="21">
        <v>222.21</v>
      </c>
      <c r="K2729">
        <v>12</v>
      </c>
      <c r="L2729" s="21">
        <v>239.98</v>
      </c>
      <c r="M2729" s="21">
        <v>2239.85</v>
      </c>
      <c r="N2729" s="21">
        <v>1504.79</v>
      </c>
      <c r="O2729" s="21">
        <v>495.08</v>
      </c>
      <c r="P2729" t="s">
        <v>121</v>
      </c>
      <c r="Q2729" t="s">
        <v>120</v>
      </c>
      <c r="R2729" t="s">
        <v>151</v>
      </c>
      <c r="S2729" t="s">
        <v>1791</v>
      </c>
      <c r="T2729" t="s">
        <v>161</v>
      </c>
      <c r="U2729" t="s">
        <v>154</v>
      </c>
      <c r="V2729" t="str">
        <f>IFERROR(INDEX(Products!$C:$C,MATCH(D2729,Products!$A:$A,0)),"Unknown")</f>
        <v>Footwear</v>
      </c>
      <c r="W2729" t="str">
        <f>IFERROR(INDEX(Products!$E:$E,MATCH(D2729,Products!$A:$A,0)),"Unknown")</f>
        <v>Bata</v>
      </c>
      <c r="X2729" t="str">
        <f>IFERROR(INDEX(Stores!$B:$B,MATCH(E2729,Stores!$A:$A,0)),"Unknown")</f>
        <v>TrendMart Visakhapatnam Flagship</v>
      </c>
      <c r="Y2729" t="str">
        <f>IFERROR(INDEX(Stores!$E:$E,MATCH(E2729,Stores!$A:$A,0)),"Unknown")</f>
        <v>South Zone 3</v>
      </c>
      <c r="Z2729" t="str">
        <f>IFERROR(INDEX(Customers!$J:$J,MATCH(C2729,Customers!$A:$A,0)),"Unknown")</f>
        <v>Silver</v>
      </c>
      <c r="AA2729" t="str">
        <f t="shared" si="42"/>
        <v>2024-09</v>
      </c>
      <c r="AB2729" t="str">
        <f>IFERROR(INDEX(Products!$I:$I,MATCH(D2729,Products!$A:$A,0)),"Unknown")</f>
        <v>SUP004</v>
      </c>
    </row>
    <row r="2730" spans="1:28" x14ac:dyDescent="0.25">
      <c r="A2730" t="s">
        <v>4796</v>
      </c>
      <c r="B2730" s="20">
        <v>45671</v>
      </c>
      <c r="C2730" t="s">
        <v>2373</v>
      </c>
      <c r="D2730" t="s">
        <v>2281</v>
      </c>
      <c r="E2730" t="s">
        <v>1591</v>
      </c>
      <c r="F2730" t="s">
        <v>297</v>
      </c>
      <c r="G2730">
        <v>1</v>
      </c>
      <c r="H2730" s="21">
        <v>589.07000000000005</v>
      </c>
      <c r="I2730">
        <v>30</v>
      </c>
      <c r="J2730" s="21">
        <v>176.72</v>
      </c>
      <c r="K2730">
        <v>5</v>
      </c>
      <c r="L2730" s="21">
        <v>20.62</v>
      </c>
      <c r="M2730" s="21">
        <v>432.97</v>
      </c>
      <c r="N2730" s="21">
        <v>373.27</v>
      </c>
      <c r="O2730" s="21">
        <v>39.08</v>
      </c>
      <c r="P2730" t="s">
        <v>124</v>
      </c>
      <c r="Q2730" t="s">
        <v>120</v>
      </c>
      <c r="R2730" t="s">
        <v>151</v>
      </c>
      <c r="S2730" t="s">
        <v>2512</v>
      </c>
      <c r="T2730" t="s">
        <v>153</v>
      </c>
      <c r="U2730" t="s">
        <v>154</v>
      </c>
      <c r="V2730" t="str">
        <f>IFERROR(INDEX(Products!$C:$C,MATCH(D2730,Products!$A:$A,0)),"Unknown")</f>
        <v>Men T-Shirts</v>
      </c>
      <c r="W2730" t="str">
        <f>IFERROR(INDEX(Products!$E:$E,MATCH(D2730,Products!$A:$A,0)),"Unknown")</f>
        <v>Indian Terrain</v>
      </c>
      <c r="X2730" t="str">
        <f>IFERROR(INDEX(Stores!$B:$B,MATCH(E2730,Stores!$A:$A,0)),"Unknown")</f>
        <v>TrendMart Guntur Standard</v>
      </c>
      <c r="Y2730" t="str">
        <f>IFERROR(INDEX(Stores!$E:$E,MATCH(E2730,Stores!$A:$A,0)),"Unknown")</f>
        <v>South Zone 3</v>
      </c>
      <c r="Z2730" t="str">
        <f>IFERROR(INDEX(Customers!$J:$J,MATCH(C2730,Customers!$A:$A,0)),"Unknown")</f>
        <v>Regular</v>
      </c>
      <c r="AA2730" t="str">
        <f t="shared" si="42"/>
        <v>2025-01</v>
      </c>
      <c r="AB2730" t="str">
        <f>IFERROR(INDEX(Products!$I:$I,MATCH(D2730,Products!$A:$A,0)),"Unknown")</f>
        <v>SUP074</v>
      </c>
    </row>
    <row r="2731" spans="1:28" x14ac:dyDescent="0.25">
      <c r="A2731" t="s">
        <v>4797</v>
      </c>
      <c r="B2731" s="20">
        <v>45429</v>
      </c>
      <c r="C2731" t="s">
        <v>2110</v>
      </c>
      <c r="D2731" t="s">
        <v>215</v>
      </c>
      <c r="E2731" t="s">
        <v>541</v>
      </c>
      <c r="F2731" t="s">
        <v>397</v>
      </c>
      <c r="G2731">
        <v>2</v>
      </c>
      <c r="H2731" s="21">
        <v>1050.0999999999999</v>
      </c>
      <c r="I2731">
        <v>10</v>
      </c>
      <c r="J2731" s="21">
        <v>210.02</v>
      </c>
      <c r="K2731">
        <v>12</v>
      </c>
      <c r="L2731" s="21">
        <v>226.82</v>
      </c>
      <c r="M2731" s="21">
        <v>2117</v>
      </c>
      <c r="N2731" s="21">
        <v>1656.88</v>
      </c>
      <c r="O2731" s="21">
        <v>233.3</v>
      </c>
      <c r="P2731" t="s">
        <v>125</v>
      </c>
      <c r="Q2731" t="s">
        <v>120</v>
      </c>
      <c r="R2731" t="s">
        <v>151</v>
      </c>
      <c r="S2731" t="s">
        <v>409</v>
      </c>
      <c r="T2731" t="s">
        <v>153</v>
      </c>
      <c r="U2731" t="s">
        <v>154</v>
      </c>
      <c r="V2731" t="str">
        <f>IFERROR(INDEX(Products!$C:$C,MATCH(D2731,Products!$A:$A,0)),"Unknown")</f>
        <v>Men Jeans</v>
      </c>
      <c r="W2731" t="str">
        <f>IFERROR(INDEX(Products!$E:$E,MATCH(D2731,Products!$A:$A,0)),"Unknown")</f>
        <v>Metro Shoes</v>
      </c>
      <c r="X2731" t="str">
        <f>IFERROR(INDEX(Stores!$B:$B,MATCH(E2731,Stores!$A:$A,0)),"Unknown")</f>
        <v>TrendMart Kochi Standard</v>
      </c>
      <c r="Y2731" t="str">
        <f>IFERROR(INDEX(Stores!$E:$E,MATCH(E2731,Stores!$A:$A,0)),"Unknown")</f>
        <v>South Zone 1</v>
      </c>
      <c r="Z2731" t="str">
        <f>IFERROR(INDEX(Customers!$J:$J,MATCH(C2731,Customers!$A:$A,0)),"Unknown")</f>
        <v>Regular</v>
      </c>
      <c r="AA2731" t="str">
        <f t="shared" si="42"/>
        <v>2024-05</v>
      </c>
      <c r="AB2731" t="str">
        <f>IFERROR(INDEX(Products!$I:$I,MATCH(D2731,Products!$A:$A,0)),"Unknown")</f>
        <v>SUP022</v>
      </c>
    </row>
    <row r="2732" spans="1:28" x14ac:dyDescent="0.25">
      <c r="A2732" t="s">
        <v>4798</v>
      </c>
      <c r="B2732" s="20">
        <v>45445</v>
      </c>
      <c r="C2732" t="s">
        <v>1462</v>
      </c>
      <c r="D2732" t="s">
        <v>531</v>
      </c>
      <c r="E2732" t="s">
        <v>1442</v>
      </c>
      <c r="F2732" t="s">
        <v>263</v>
      </c>
      <c r="G2732">
        <v>1</v>
      </c>
      <c r="H2732" s="21">
        <v>3224.42</v>
      </c>
      <c r="I2732">
        <v>0</v>
      </c>
      <c r="J2732" s="21">
        <v>0</v>
      </c>
      <c r="K2732">
        <v>12</v>
      </c>
      <c r="L2732" s="21">
        <v>386.93</v>
      </c>
      <c r="M2732" s="21">
        <v>3611.35</v>
      </c>
      <c r="N2732" s="21">
        <v>2034.01</v>
      </c>
      <c r="O2732" s="21">
        <v>1190.4100000000001</v>
      </c>
      <c r="P2732" t="s">
        <v>121</v>
      </c>
      <c r="Q2732" t="s">
        <v>122</v>
      </c>
      <c r="R2732" t="s">
        <v>151</v>
      </c>
      <c r="S2732" t="s">
        <v>287</v>
      </c>
      <c r="T2732" t="s">
        <v>161</v>
      </c>
      <c r="U2732" t="s">
        <v>154</v>
      </c>
      <c r="V2732" t="str">
        <f>IFERROR(INDEX(Products!$C:$C,MATCH(D2732,Products!$A:$A,0)),"Unknown")</f>
        <v>Handbags</v>
      </c>
      <c r="W2732" t="str">
        <f>IFERROR(INDEX(Products!$E:$E,MATCH(D2732,Products!$A:$A,0)),"Unknown")</f>
        <v>GRT Jewellers</v>
      </c>
      <c r="X2732" t="str">
        <f>IFERROR(INDEX(Stores!$B:$B,MATCH(E2732,Stores!$A:$A,0)),"Unknown")</f>
        <v>TrendMart Vellore High Street</v>
      </c>
      <c r="Y2732" t="str">
        <f>IFERROR(INDEX(Stores!$E:$E,MATCH(E2732,Stores!$A:$A,0)),"Unknown")</f>
        <v>South Zone 1</v>
      </c>
      <c r="Z2732" t="str">
        <f>IFERROR(INDEX(Customers!$J:$J,MATCH(C2732,Customers!$A:$A,0)),"Unknown")</f>
        <v>Silver</v>
      </c>
      <c r="AA2732" t="str">
        <f t="shared" si="42"/>
        <v>2024-06</v>
      </c>
      <c r="AB2732" t="str">
        <f>IFERROR(INDEX(Products!$I:$I,MATCH(D2732,Products!$A:$A,0)),"Unknown")</f>
        <v>SUP047</v>
      </c>
    </row>
    <row r="2733" spans="1:28" x14ac:dyDescent="0.25">
      <c r="A2733" t="s">
        <v>4799</v>
      </c>
      <c r="B2733" s="20">
        <v>45586</v>
      </c>
      <c r="C2733" t="s">
        <v>3925</v>
      </c>
      <c r="D2733" t="s">
        <v>2696</v>
      </c>
      <c r="E2733" t="s">
        <v>84</v>
      </c>
      <c r="F2733" t="s">
        <v>308</v>
      </c>
      <c r="G2733">
        <v>3</v>
      </c>
      <c r="H2733" s="21">
        <v>982.71</v>
      </c>
      <c r="I2733">
        <v>20</v>
      </c>
      <c r="J2733" s="21">
        <v>589.63</v>
      </c>
      <c r="K2733">
        <v>5</v>
      </c>
      <c r="L2733" s="21">
        <v>117.92</v>
      </c>
      <c r="M2733" s="21">
        <v>2476.42</v>
      </c>
      <c r="N2733" s="21">
        <v>2109.09</v>
      </c>
      <c r="O2733" s="21">
        <v>249.41</v>
      </c>
      <c r="P2733" t="s">
        <v>124</v>
      </c>
      <c r="Q2733" t="s">
        <v>122</v>
      </c>
      <c r="R2733" t="s">
        <v>151</v>
      </c>
      <c r="S2733" t="s">
        <v>3014</v>
      </c>
      <c r="T2733" t="s">
        <v>153</v>
      </c>
      <c r="U2733" t="s">
        <v>154</v>
      </c>
      <c r="V2733" t="str">
        <f>IFERROR(INDEX(Products!$C:$C,MATCH(D2733,Products!$A:$A,0)),"Unknown")</f>
        <v>Women Kurtis</v>
      </c>
      <c r="W2733" t="str">
        <f>IFERROR(INDEX(Products!$E:$E,MATCH(D2733,Products!$A:$A,0)),"Unknown")</f>
        <v>Sonata</v>
      </c>
      <c r="X2733" t="str">
        <f>IFERROR(INDEX(Stores!$B:$B,MATCH(E2733,Stores!$A:$A,0)),"Unknown")</f>
        <v>TrendMart Tirupati Standard</v>
      </c>
      <c r="Y2733" t="str">
        <f>IFERROR(INDEX(Stores!$E:$E,MATCH(E2733,Stores!$A:$A,0)),"Unknown")</f>
        <v>South Zone 3</v>
      </c>
      <c r="Z2733" t="str">
        <f>IFERROR(INDEX(Customers!$J:$J,MATCH(C2733,Customers!$A:$A,0)),"Unknown")</f>
        <v>Gold</v>
      </c>
      <c r="AA2733" t="str">
        <f t="shared" si="42"/>
        <v>2024-10</v>
      </c>
      <c r="AB2733" t="str">
        <f>IFERROR(INDEX(Products!$I:$I,MATCH(D2733,Products!$A:$A,0)),"Unknown")</f>
        <v>SUP069</v>
      </c>
    </row>
    <row r="2734" spans="1:28" x14ac:dyDescent="0.25">
      <c r="A2734" t="s">
        <v>4800</v>
      </c>
      <c r="B2734" s="20">
        <v>45721</v>
      </c>
      <c r="C2734" t="s">
        <v>1366</v>
      </c>
      <c r="D2734" t="s">
        <v>996</v>
      </c>
      <c r="E2734" t="s">
        <v>810</v>
      </c>
      <c r="F2734" t="s">
        <v>303</v>
      </c>
      <c r="G2734">
        <v>1</v>
      </c>
      <c r="H2734" s="21">
        <v>1975.18</v>
      </c>
      <c r="I2734">
        <v>25</v>
      </c>
      <c r="J2734" s="21">
        <v>493.8</v>
      </c>
      <c r="K2734">
        <v>12</v>
      </c>
      <c r="L2734" s="21">
        <v>177.77</v>
      </c>
      <c r="M2734" s="21">
        <v>1659.15</v>
      </c>
      <c r="N2734" s="21">
        <v>1430.57</v>
      </c>
      <c r="O2734" s="21">
        <v>50.81</v>
      </c>
      <c r="P2734" t="s">
        <v>123</v>
      </c>
      <c r="Q2734" t="s">
        <v>122</v>
      </c>
      <c r="R2734" t="s">
        <v>313</v>
      </c>
      <c r="S2734" t="s">
        <v>152</v>
      </c>
      <c r="T2734" t="s">
        <v>153</v>
      </c>
      <c r="U2734" t="s">
        <v>154</v>
      </c>
      <c r="V2734" t="str">
        <f>IFERROR(INDEX(Products!$C:$C,MATCH(D2734,Products!$A:$A,0)),"Unknown")</f>
        <v>Men Ethnic</v>
      </c>
      <c r="W2734" t="str">
        <f>IFERROR(INDEX(Products!$E:$E,MATCH(D2734,Products!$A:$A,0)),"Unknown")</f>
        <v>Liberty</v>
      </c>
      <c r="X2734" t="str">
        <f>IFERROR(INDEX(Stores!$B:$B,MATCH(E2734,Stores!$A:$A,0)),"Unknown")</f>
        <v>TrendMart Nizamabad Standard</v>
      </c>
      <c r="Y2734" t="str">
        <f>IFERROR(INDEX(Stores!$E:$E,MATCH(E2734,Stores!$A:$A,0)),"Unknown")</f>
        <v>South Zone 2</v>
      </c>
      <c r="Z2734" t="str">
        <f>IFERROR(INDEX(Customers!$J:$J,MATCH(C2734,Customers!$A:$A,0)),"Unknown")</f>
        <v>Gold</v>
      </c>
      <c r="AA2734" t="str">
        <f t="shared" si="42"/>
        <v>2025-03</v>
      </c>
      <c r="AB2734" t="str">
        <f>IFERROR(INDEX(Products!$I:$I,MATCH(D2734,Products!$A:$A,0)),"Unknown")</f>
        <v>SUP046</v>
      </c>
    </row>
    <row r="2735" spans="1:28" x14ac:dyDescent="0.25">
      <c r="A2735" t="s">
        <v>4801</v>
      </c>
      <c r="B2735" s="20">
        <v>45686</v>
      </c>
      <c r="C2735" t="s">
        <v>3006</v>
      </c>
      <c r="D2735" t="s">
        <v>2751</v>
      </c>
      <c r="E2735" t="s">
        <v>88</v>
      </c>
      <c r="F2735" t="s">
        <v>150</v>
      </c>
      <c r="G2735">
        <v>4</v>
      </c>
      <c r="H2735" s="21">
        <v>426.79</v>
      </c>
      <c r="I2735">
        <v>0</v>
      </c>
      <c r="J2735" s="21">
        <v>0</v>
      </c>
      <c r="K2735">
        <v>5</v>
      </c>
      <c r="L2735" s="21">
        <v>85.36</v>
      </c>
      <c r="M2735" s="21">
        <v>1792.52</v>
      </c>
      <c r="N2735" s="21">
        <v>1276.28</v>
      </c>
      <c r="O2735" s="21">
        <v>430.88</v>
      </c>
      <c r="P2735" t="s">
        <v>124</v>
      </c>
      <c r="Q2735" t="s">
        <v>120</v>
      </c>
      <c r="R2735" t="s">
        <v>151</v>
      </c>
      <c r="S2735" t="s">
        <v>1313</v>
      </c>
      <c r="T2735" t="s">
        <v>153</v>
      </c>
      <c r="U2735" t="s">
        <v>154</v>
      </c>
      <c r="V2735" t="str">
        <f>IFERROR(INDEX(Products!$C:$C,MATCH(D2735,Products!$A:$A,0)),"Unknown")</f>
        <v>Belts</v>
      </c>
      <c r="W2735" t="str">
        <f>IFERROR(INDEX(Products!$E:$E,MATCH(D2735,Products!$A:$A,0)),"Unknown")</f>
        <v>AND</v>
      </c>
      <c r="X2735" t="str">
        <f>IFERROR(INDEX(Stores!$B:$B,MATCH(E2735,Stores!$A:$A,0)),"Unknown")</f>
        <v>TrendMart Kozhikode Mall Kiosk</v>
      </c>
      <c r="Y2735" t="str">
        <f>IFERROR(INDEX(Stores!$E:$E,MATCH(E2735,Stores!$A:$A,0)),"Unknown")</f>
        <v>South Zone 1</v>
      </c>
      <c r="Z2735" t="str">
        <f>IFERROR(INDEX(Customers!$J:$J,MATCH(C2735,Customers!$A:$A,0)),"Unknown")</f>
        <v>Regular</v>
      </c>
      <c r="AA2735" t="str">
        <f t="shared" si="42"/>
        <v>2025-01</v>
      </c>
      <c r="AB2735" t="str">
        <f>IFERROR(INDEX(Products!$I:$I,MATCH(D2735,Products!$A:$A,0)),"Unknown")</f>
        <v>SUP026</v>
      </c>
    </row>
    <row r="2736" spans="1:28" x14ac:dyDescent="0.25">
      <c r="A2736" t="s">
        <v>4802</v>
      </c>
      <c r="B2736" s="20">
        <v>45549</v>
      </c>
      <c r="C2736" t="s">
        <v>2360</v>
      </c>
      <c r="D2736" t="s">
        <v>1095</v>
      </c>
      <c r="E2736" t="s">
        <v>477</v>
      </c>
      <c r="F2736" t="s">
        <v>297</v>
      </c>
      <c r="G2736">
        <v>2</v>
      </c>
      <c r="H2736" s="21">
        <v>1255.3800000000001</v>
      </c>
      <c r="I2736">
        <v>10</v>
      </c>
      <c r="J2736" s="21">
        <v>251.08</v>
      </c>
      <c r="K2736">
        <v>12</v>
      </c>
      <c r="L2736" s="21">
        <v>271.16000000000003</v>
      </c>
      <c r="M2736" s="21">
        <v>2530.84</v>
      </c>
      <c r="N2736" s="21">
        <v>1539.26</v>
      </c>
      <c r="O2736" s="21">
        <v>720.42</v>
      </c>
      <c r="P2736" t="s">
        <v>124</v>
      </c>
      <c r="Q2736" t="s">
        <v>122</v>
      </c>
      <c r="R2736" t="s">
        <v>151</v>
      </c>
      <c r="S2736" t="s">
        <v>3752</v>
      </c>
      <c r="T2736" t="s">
        <v>161</v>
      </c>
      <c r="U2736" t="s">
        <v>154</v>
      </c>
      <c r="V2736" t="str">
        <f>IFERROR(INDEX(Products!$C:$C,MATCH(D2736,Products!$A:$A,0)),"Unknown")</f>
        <v>Women Dresses</v>
      </c>
      <c r="W2736" t="str">
        <f>IFERROR(INDEX(Products!$E:$E,MATCH(D2736,Products!$A:$A,0)),"Unknown")</f>
        <v>Ramraj Cotton</v>
      </c>
      <c r="X2736" t="str">
        <f>IFERROR(INDEX(Stores!$B:$B,MATCH(E2736,Stores!$A:$A,0)),"Unknown")</f>
        <v>TrendMart Hubballi Standard</v>
      </c>
      <c r="Y2736" t="str">
        <f>IFERROR(INDEX(Stores!$E:$E,MATCH(E2736,Stores!$A:$A,0)),"Unknown")</f>
        <v>South Zone 2</v>
      </c>
      <c r="Z2736" t="str">
        <f>IFERROR(INDEX(Customers!$J:$J,MATCH(C2736,Customers!$A:$A,0)),"Unknown")</f>
        <v>Regular</v>
      </c>
      <c r="AA2736" t="str">
        <f t="shared" si="42"/>
        <v>2024-09</v>
      </c>
      <c r="AB2736" t="str">
        <f>IFERROR(INDEX(Products!$I:$I,MATCH(D2736,Products!$A:$A,0)),"Unknown")</f>
        <v>SUP054</v>
      </c>
    </row>
    <row r="2737" spans="1:28" x14ac:dyDescent="0.25">
      <c r="A2737" t="s">
        <v>4803</v>
      </c>
      <c r="B2737" s="20">
        <v>45420</v>
      </c>
      <c r="C2737" t="s">
        <v>2448</v>
      </c>
      <c r="D2737" t="s">
        <v>864</v>
      </c>
      <c r="E2737" t="s">
        <v>927</v>
      </c>
      <c r="F2737" t="s">
        <v>170</v>
      </c>
      <c r="G2737">
        <v>1</v>
      </c>
      <c r="H2737" s="21">
        <v>3076.93</v>
      </c>
      <c r="I2737">
        <v>0</v>
      </c>
      <c r="J2737" s="21">
        <v>0</v>
      </c>
      <c r="K2737">
        <v>3</v>
      </c>
      <c r="L2737" s="21">
        <v>92.31</v>
      </c>
      <c r="M2737" s="21">
        <v>3169.24</v>
      </c>
      <c r="N2737" s="21">
        <v>1989.93</v>
      </c>
      <c r="O2737" s="21">
        <v>1087</v>
      </c>
      <c r="P2737" t="s">
        <v>123</v>
      </c>
      <c r="Q2737" t="s">
        <v>122</v>
      </c>
      <c r="R2737" t="s">
        <v>151</v>
      </c>
      <c r="S2737" t="s">
        <v>2844</v>
      </c>
      <c r="T2737" t="s">
        <v>153</v>
      </c>
      <c r="U2737" t="s">
        <v>154</v>
      </c>
      <c r="V2737" t="str">
        <f>IFERROR(INDEX(Products!$C:$C,MATCH(D2737,Products!$A:$A,0)),"Unknown")</f>
        <v>Jewellery</v>
      </c>
      <c r="W2737" t="str">
        <f>IFERROR(INDEX(Products!$E:$E,MATCH(D2737,Products!$A:$A,0)),"Unknown")</f>
        <v>Wrangler</v>
      </c>
      <c r="X2737" t="str">
        <f>IFERROR(INDEX(Stores!$B:$B,MATCH(E2737,Stores!$A:$A,0)),"Unknown")</f>
        <v>TrendMart Kochi Mall Kiosk</v>
      </c>
      <c r="Y2737" t="str">
        <f>IFERROR(INDEX(Stores!$E:$E,MATCH(E2737,Stores!$A:$A,0)),"Unknown")</f>
        <v>South Zone 1</v>
      </c>
      <c r="Z2737" t="str">
        <f>IFERROR(INDEX(Customers!$J:$J,MATCH(C2737,Customers!$A:$A,0)),"Unknown")</f>
        <v>Silver</v>
      </c>
      <c r="AA2737" t="str">
        <f t="shared" si="42"/>
        <v>2024-05</v>
      </c>
      <c r="AB2737" t="str">
        <f>IFERROR(INDEX(Products!$I:$I,MATCH(D2737,Products!$A:$A,0)),"Unknown")</f>
        <v>SUP070</v>
      </c>
    </row>
    <row r="2738" spans="1:28" x14ac:dyDescent="0.25">
      <c r="A2738" t="s">
        <v>4804</v>
      </c>
      <c r="B2738" s="20">
        <v>45571</v>
      </c>
      <c r="C2738" t="s">
        <v>540</v>
      </c>
      <c r="D2738" t="s">
        <v>830</v>
      </c>
      <c r="E2738" t="s">
        <v>296</v>
      </c>
      <c r="F2738" t="s">
        <v>382</v>
      </c>
      <c r="G2738">
        <v>2</v>
      </c>
      <c r="H2738" s="21">
        <v>841.82</v>
      </c>
      <c r="I2738">
        <v>20</v>
      </c>
      <c r="J2738" s="21">
        <v>336.73</v>
      </c>
      <c r="K2738">
        <v>5</v>
      </c>
      <c r="L2738" s="21">
        <v>67.349999999999994</v>
      </c>
      <c r="M2738" s="21">
        <v>1414.26</v>
      </c>
      <c r="N2738" s="21">
        <v>1140.4000000000001</v>
      </c>
      <c r="O2738" s="21">
        <v>206.51</v>
      </c>
      <c r="P2738" t="s">
        <v>124</v>
      </c>
      <c r="Q2738" t="s">
        <v>120</v>
      </c>
      <c r="R2738" t="s">
        <v>151</v>
      </c>
      <c r="S2738" t="s">
        <v>623</v>
      </c>
      <c r="T2738" t="s">
        <v>161</v>
      </c>
      <c r="U2738" t="s">
        <v>154</v>
      </c>
      <c r="V2738" t="str">
        <f>IFERROR(INDEX(Products!$C:$C,MATCH(D2738,Products!$A:$A,0)),"Unknown")</f>
        <v>Men Shirts</v>
      </c>
      <c r="W2738" t="str">
        <f>IFERROR(INDEX(Products!$E:$E,MATCH(D2738,Products!$A:$A,0)),"Unknown")</f>
        <v>AND</v>
      </c>
      <c r="X2738" t="str">
        <f>IFERROR(INDEX(Stores!$B:$B,MATCH(E2738,Stores!$A:$A,0)),"Unknown")</f>
        <v>TrendMart Kurnool Outlet</v>
      </c>
      <c r="Y2738" t="str">
        <f>IFERROR(INDEX(Stores!$E:$E,MATCH(E2738,Stores!$A:$A,0)),"Unknown")</f>
        <v>South Zone 3</v>
      </c>
      <c r="Z2738" t="str">
        <f>IFERROR(INDEX(Customers!$J:$J,MATCH(C2738,Customers!$A:$A,0)),"Unknown")</f>
        <v>Gold</v>
      </c>
      <c r="AA2738" t="str">
        <f t="shared" si="42"/>
        <v>2024-10</v>
      </c>
      <c r="AB2738" t="str">
        <f>IFERROR(INDEX(Products!$I:$I,MATCH(D2738,Products!$A:$A,0)),"Unknown")</f>
        <v>SUP012</v>
      </c>
    </row>
    <row r="2739" spans="1:28" x14ac:dyDescent="0.25">
      <c r="A2739" t="s">
        <v>4805</v>
      </c>
      <c r="B2739" s="20">
        <v>45581</v>
      </c>
      <c r="C2739" t="s">
        <v>1778</v>
      </c>
      <c r="D2739" t="s">
        <v>583</v>
      </c>
      <c r="E2739" t="s">
        <v>745</v>
      </c>
      <c r="F2739" t="s">
        <v>281</v>
      </c>
      <c r="G2739">
        <v>1</v>
      </c>
      <c r="H2739" s="21">
        <v>847.67</v>
      </c>
      <c r="I2739">
        <v>15</v>
      </c>
      <c r="J2739" s="21">
        <v>127.15</v>
      </c>
      <c r="K2739">
        <v>5</v>
      </c>
      <c r="L2739" s="21">
        <v>36.03</v>
      </c>
      <c r="M2739" s="21">
        <v>756.55</v>
      </c>
      <c r="N2739" s="21">
        <v>629.72</v>
      </c>
      <c r="O2739" s="21">
        <v>90.8</v>
      </c>
      <c r="P2739" t="s">
        <v>126</v>
      </c>
      <c r="Q2739" t="s">
        <v>120</v>
      </c>
      <c r="R2739" t="s">
        <v>151</v>
      </c>
      <c r="S2739" t="s">
        <v>2009</v>
      </c>
      <c r="T2739" t="s">
        <v>153</v>
      </c>
      <c r="U2739" t="s">
        <v>154</v>
      </c>
      <c r="V2739" t="str">
        <f>IFERROR(INDEX(Products!$C:$C,MATCH(D2739,Products!$A:$A,0)),"Unknown")</f>
        <v>Women Tops</v>
      </c>
      <c r="W2739" t="str">
        <f>IFERROR(INDEX(Products!$E:$E,MATCH(D2739,Products!$A:$A,0)),"Unknown")</f>
        <v>Ramraj Cotton</v>
      </c>
      <c r="X2739" t="str">
        <f>IFERROR(INDEX(Stores!$B:$B,MATCH(E2739,Stores!$A:$A,0)),"Unknown")</f>
        <v>TrendMart Thiruvananthapuram Outlet</v>
      </c>
      <c r="Y2739" t="str">
        <f>IFERROR(INDEX(Stores!$E:$E,MATCH(E2739,Stores!$A:$A,0)),"Unknown")</f>
        <v>South Zone 1</v>
      </c>
      <c r="Z2739" t="str">
        <f>IFERROR(INDEX(Customers!$J:$J,MATCH(C2739,Customers!$A:$A,0)),"Unknown")</f>
        <v>Regular</v>
      </c>
      <c r="AA2739" t="str">
        <f t="shared" si="42"/>
        <v>2024-10</v>
      </c>
      <c r="AB2739" t="str">
        <f>IFERROR(INDEX(Products!$I:$I,MATCH(D2739,Products!$A:$A,0)),"Unknown")</f>
        <v>SUP048</v>
      </c>
    </row>
    <row r="2740" spans="1:28" x14ac:dyDescent="0.25">
      <c r="A2740" t="s">
        <v>4806</v>
      </c>
      <c r="B2740" s="20">
        <v>45581</v>
      </c>
      <c r="C2740" t="s">
        <v>1985</v>
      </c>
      <c r="D2740" t="s">
        <v>558</v>
      </c>
      <c r="E2740" t="s">
        <v>89</v>
      </c>
      <c r="F2740" t="s">
        <v>377</v>
      </c>
      <c r="G2740">
        <v>1</v>
      </c>
      <c r="H2740" s="21">
        <v>672.69</v>
      </c>
      <c r="I2740">
        <v>25</v>
      </c>
      <c r="J2740" s="21">
        <v>168.17</v>
      </c>
      <c r="K2740">
        <v>5</v>
      </c>
      <c r="L2740" s="21">
        <v>25.23</v>
      </c>
      <c r="M2740" s="21">
        <v>529.75</v>
      </c>
      <c r="N2740" s="21">
        <v>457.16</v>
      </c>
      <c r="O2740" s="21">
        <v>47.36</v>
      </c>
      <c r="P2740" t="s">
        <v>127</v>
      </c>
      <c r="Q2740" t="s">
        <v>122</v>
      </c>
      <c r="R2740" t="s">
        <v>151</v>
      </c>
      <c r="S2740" t="s">
        <v>287</v>
      </c>
      <c r="T2740" t="s">
        <v>153</v>
      </c>
      <c r="U2740" t="s">
        <v>154</v>
      </c>
      <c r="V2740" t="str">
        <f>IFERROR(INDEX(Products!$C:$C,MATCH(D2740,Products!$A:$A,0)),"Unknown")</f>
        <v>Women Tops</v>
      </c>
      <c r="W2740" t="str">
        <f>IFERROR(INDEX(Products!$E:$E,MATCH(D2740,Products!$A:$A,0)),"Unknown")</f>
        <v>Aurelia</v>
      </c>
      <c r="X2740" t="str">
        <f>IFERROR(INDEX(Stores!$B:$B,MATCH(E2740,Stores!$A:$A,0)),"Unknown")</f>
        <v>TrendMart Kochi Standard</v>
      </c>
      <c r="Y2740" t="str">
        <f>IFERROR(INDEX(Stores!$E:$E,MATCH(E2740,Stores!$A:$A,0)),"Unknown")</f>
        <v>South Zone 1</v>
      </c>
      <c r="Z2740" t="str">
        <f>IFERROR(INDEX(Customers!$J:$J,MATCH(C2740,Customers!$A:$A,0)),"Unknown")</f>
        <v>Platinum</v>
      </c>
      <c r="AA2740" t="str">
        <f t="shared" si="42"/>
        <v>2024-10</v>
      </c>
      <c r="AB2740" t="str">
        <f>IFERROR(INDEX(Products!$I:$I,MATCH(D2740,Products!$A:$A,0)),"Unknown")</f>
        <v>SUP055</v>
      </c>
    </row>
    <row r="2741" spans="1:28" x14ac:dyDescent="0.25">
      <c r="A2741" t="s">
        <v>4807</v>
      </c>
      <c r="B2741" s="20">
        <v>45666</v>
      </c>
      <c r="C2741" t="s">
        <v>2174</v>
      </c>
      <c r="D2741" t="s">
        <v>1178</v>
      </c>
      <c r="E2741" t="s">
        <v>1426</v>
      </c>
      <c r="F2741" t="s">
        <v>377</v>
      </c>
      <c r="G2741">
        <v>1</v>
      </c>
      <c r="H2741" s="21">
        <v>1726.51</v>
      </c>
      <c r="I2741">
        <v>10</v>
      </c>
      <c r="J2741" s="21">
        <v>172.65</v>
      </c>
      <c r="K2741">
        <v>12</v>
      </c>
      <c r="L2741" s="21">
        <v>186.46</v>
      </c>
      <c r="M2741" s="21">
        <v>1740.32</v>
      </c>
      <c r="N2741" s="21">
        <v>1145.21</v>
      </c>
      <c r="O2741" s="21">
        <v>408.65</v>
      </c>
      <c r="P2741" t="s">
        <v>126</v>
      </c>
      <c r="Q2741" t="s">
        <v>122</v>
      </c>
      <c r="R2741" t="s">
        <v>151</v>
      </c>
      <c r="S2741" t="s">
        <v>3491</v>
      </c>
      <c r="T2741" t="s">
        <v>153</v>
      </c>
      <c r="U2741" t="s">
        <v>154</v>
      </c>
      <c r="V2741" t="str">
        <f>IFERROR(INDEX(Products!$C:$C,MATCH(D2741,Products!$A:$A,0)),"Unknown")</f>
        <v>Footwear</v>
      </c>
      <c r="W2741" t="str">
        <f>IFERROR(INDEX(Products!$E:$E,MATCH(D2741,Products!$A:$A,0)),"Unknown")</f>
        <v>Sparx</v>
      </c>
      <c r="X2741" t="str">
        <f>IFERROR(INDEX(Stores!$B:$B,MATCH(E2741,Stores!$A:$A,0)),"Unknown")</f>
        <v>TrendMart Alappuzha Mall Kiosk</v>
      </c>
      <c r="Y2741" t="str">
        <f>IFERROR(INDEX(Stores!$E:$E,MATCH(E2741,Stores!$A:$A,0)),"Unknown")</f>
        <v>South Zone 1</v>
      </c>
      <c r="Z2741" t="str">
        <f>IFERROR(INDEX(Customers!$J:$J,MATCH(C2741,Customers!$A:$A,0)),"Unknown")</f>
        <v>Gold</v>
      </c>
      <c r="AA2741" t="str">
        <f t="shared" si="42"/>
        <v>2025-01</v>
      </c>
      <c r="AB2741" t="str">
        <f>IFERROR(INDEX(Products!$I:$I,MATCH(D2741,Products!$A:$A,0)),"Unknown")</f>
        <v>SUP063</v>
      </c>
    </row>
    <row r="2742" spans="1:28" x14ac:dyDescent="0.25">
      <c r="A2742" t="s">
        <v>4808</v>
      </c>
      <c r="B2742" s="20">
        <v>45605</v>
      </c>
      <c r="C2742" t="s">
        <v>1556</v>
      </c>
      <c r="D2742" t="s">
        <v>1350</v>
      </c>
      <c r="E2742" t="s">
        <v>831</v>
      </c>
      <c r="F2742" t="s">
        <v>232</v>
      </c>
      <c r="G2742">
        <v>1</v>
      </c>
      <c r="H2742" s="21">
        <v>639.34</v>
      </c>
      <c r="I2742">
        <v>30</v>
      </c>
      <c r="J2742" s="21">
        <v>191.8</v>
      </c>
      <c r="K2742">
        <v>5</v>
      </c>
      <c r="L2742" s="21">
        <v>22.38</v>
      </c>
      <c r="M2742" s="21">
        <v>469.92</v>
      </c>
      <c r="N2742" s="21">
        <v>419.4</v>
      </c>
      <c r="O2742" s="21">
        <v>28.14</v>
      </c>
      <c r="P2742" t="s">
        <v>124</v>
      </c>
      <c r="Q2742" t="s">
        <v>122</v>
      </c>
      <c r="R2742" t="s">
        <v>151</v>
      </c>
      <c r="S2742" t="s">
        <v>731</v>
      </c>
      <c r="T2742" t="s">
        <v>161</v>
      </c>
      <c r="U2742" t="s">
        <v>154</v>
      </c>
      <c r="V2742" t="str">
        <f>IFERROR(INDEX(Products!$C:$C,MATCH(D2742,Products!$A:$A,0)),"Unknown")</f>
        <v>Women Tops</v>
      </c>
      <c r="W2742" t="str">
        <f>IFERROR(INDEX(Products!$E:$E,MATCH(D2742,Products!$A:$A,0)),"Unknown")</f>
        <v>Jack &amp; Jones</v>
      </c>
      <c r="X2742" t="str">
        <f>IFERROR(INDEX(Stores!$B:$B,MATCH(E2742,Stores!$A:$A,0)),"Unknown")</f>
        <v>TrendMart Vellore Standard</v>
      </c>
      <c r="Y2742" t="str">
        <f>IFERROR(INDEX(Stores!$E:$E,MATCH(E2742,Stores!$A:$A,0)),"Unknown")</f>
        <v>South Zone 1</v>
      </c>
      <c r="Z2742" t="str">
        <f>IFERROR(INDEX(Customers!$J:$J,MATCH(C2742,Customers!$A:$A,0)),"Unknown")</f>
        <v>Silver</v>
      </c>
      <c r="AA2742" t="str">
        <f t="shared" si="42"/>
        <v>2024-11</v>
      </c>
      <c r="AB2742" t="str">
        <f>IFERROR(INDEX(Products!$I:$I,MATCH(D2742,Products!$A:$A,0)),"Unknown")</f>
        <v>SUP089</v>
      </c>
    </row>
    <row r="2743" spans="1:28" x14ac:dyDescent="0.25">
      <c r="A2743" t="s">
        <v>4809</v>
      </c>
      <c r="B2743" s="20">
        <v>45609</v>
      </c>
      <c r="C2743" t="s">
        <v>493</v>
      </c>
      <c r="D2743" t="s">
        <v>888</v>
      </c>
      <c r="E2743" t="s">
        <v>617</v>
      </c>
      <c r="F2743" t="s">
        <v>596</v>
      </c>
      <c r="G2743">
        <v>1</v>
      </c>
      <c r="H2743" s="21">
        <v>6066.96</v>
      </c>
      <c r="I2743">
        <v>25</v>
      </c>
      <c r="J2743" s="21">
        <v>1516.74</v>
      </c>
      <c r="K2743">
        <v>3</v>
      </c>
      <c r="L2743" s="21">
        <v>136.51</v>
      </c>
      <c r="M2743" s="21">
        <v>4686.7299999999996</v>
      </c>
      <c r="N2743" s="21">
        <v>4762.76</v>
      </c>
      <c r="O2743" s="21">
        <v>-212.54</v>
      </c>
      <c r="P2743" t="s">
        <v>123</v>
      </c>
      <c r="Q2743" t="s">
        <v>120</v>
      </c>
      <c r="R2743" t="s">
        <v>151</v>
      </c>
      <c r="S2743" t="s">
        <v>855</v>
      </c>
      <c r="T2743" t="s">
        <v>153</v>
      </c>
      <c r="U2743" t="s">
        <v>184</v>
      </c>
      <c r="V2743" t="str">
        <f>IFERROR(INDEX(Products!$C:$C,MATCH(D2743,Products!$A:$A,0)),"Unknown")</f>
        <v>Jewellery</v>
      </c>
      <c r="W2743" t="str">
        <f>IFERROR(INDEX(Products!$E:$E,MATCH(D2743,Products!$A:$A,0)),"Unknown")</f>
        <v>Aurelia</v>
      </c>
      <c r="X2743" t="str">
        <f>IFERROR(INDEX(Stores!$B:$B,MATCH(E2743,Stores!$A:$A,0)),"Unknown")</f>
        <v>TrendMart Mangaluru High Street</v>
      </c>
      <c r="Y2743" t="str">
        <f>IFERROR(INDEX(Stores!$E:$E,MATCH(E2743,Stores!$A:$A,0)),"Unknown")</f>
        <v>South Zone 2</v>
      </c>
      <c r="Z2743" t="str">
        <f>IFERROR(INDEX(Customers!$J:$J,MATCH(C2743,Customers!$A:$A,0)),"Unknown")</f>
        <v>Regular</v>
      </c>
      <c r="AA2743" t="str">
        <f t="shared" si="42"/>
        <v>2024-11</v>
      </c>
      <c r="AB2743" t="str">
        <f>IFERROR(INDEX(Products!$I:$I,MATCH(D2743,Products!$A:$A,0)),"Unknown")</f>
        <v>SUP038</v>
      </c>
    </row>
    <row r="2744" spans="1:28" x14ac:dyDescent="0.25">
      <c r="A2744" t="s">
        <v>4810</v>
      </c>
      <c r="B2744" s="20">
        <v>45596</v>
      </c>
      <c r="C2744" t="s">
        <v>1082</v>
      </c>
      <c r="D2744" t="s">
        <v>1080</v>
      </c>
      <c r="E2744" t="s">
        <v>188</v>
      </c>
      <c r="F2744" t="s">
        <v>281</v>
      </c>
      <c r="G2744">
        <v>3</v>
      </c>
      <c r="H2744" s="21">
        <v>1417.12</v>
      </c>
      <c r="I2744">
        <v>0</v>
      </c>
      <c r="J2744" s="21">
        <v>0</v>
      </c>
      <c r="K2744">
        <v>12</v>
      </c>
      <c r="L2744" s="21">
        <v>510.16</v>
      </c>
      <c r="M2744" s="21">
        <v>4761.5200000000004</v>
      </c>
      <c r="N2744" s="21">
        <v>2743.05</v>
      </c>
      <c r="O2744" s="21">
        <v>1508.31</v>
      </c>
      <c r="P2744" t="s">
        <v>121</v>
      </c>
      <c r="Q2744" t="s">
        <v>122</v>
      </c>
      <c r="R2744" t="s">
        <v>151</v>
      </c>
      <c r="S2744" t="s">
        <v>1716</v>
      </c>
      <c r="T2744" t="s">
        <v>153</v>
      </c>
      <c r="U2744" t="s">
        <v>154</v>
      </c>
      <c r="V2744" t="str">
        <f>IFERROR(INDEX(Products!$C:$C,MATCH(D2744,Products!$A:$A,0)),"Unknown")</f>
        <v>Winter Wear</v>
      </c>
      <c r="W2744" t="str">
        <f>IFERROR(INDEX(Products!$E:$E,MATCH(D2744,Products!$A:$A,0)),"Unknown")</f>
        <v>Max Fashion</v>
      </c>
      <c r="X2744" t="str">
        <f>IFERROR(INDEX(Stores!$B:$B,MATCH(E2744,Stores!$A:$A,0)),"Unknown")</f>
        <v>TrendMart Vijayawada Standard</v>
      </c>
      <c r="Y2744" t="str">
        <f>IFERROR(INDEX(Stores!$E:$E,MATCH(E2744,Stores!$A:$A,0)),"Unknown")</f>
        <v>South Zone 3</v>
      </c>
      <c r="Z2744" t="str">
        <f>IFERROR(INDEX(Customers!$J:$J,MATCH(C2744,Customers!$A:$A,0)),"Unknown")</f>
        <v>Regular</v>
      </c>
      <c r="AA2744" t="str">
        <f t="shared" si="42"/>
        <v>2024-10</v>
      </c>
      <c r="AB2744" t="str">
        <f>IFERROR(INDEX(Products!$I:$I,MATCH(D2744,Products!$A:$A,0)),"Unknown")</f>
        <v>SUP017</v>
      </c>
    </row>
    <row r="2745" spans="1:28" x14ac:dyDescent="0.25">
      <c r="A2745" t="s">
        <v>4811</v>
      </c>
      <c r="B2745" s="20">
        <v>45488</v>
      </c>
      <c r="C2745" t="s">
        <v>2458</v>
      </c>
      <c r="D2745" t="s">
        <v>830</v>
      </c>
      <c r="E2745" t="s">
        <v>425</v>
      </c>
      <c r="F2745" t="s">
        <v>253</v>
      </c>
      <c r="G2745">
        <v>2</v>
      </c>
      <c r="H2745" s="21">
        <v>858.38</v>
      </c>
      <c r="I2745">
        <v>0</v>
      </c>
      <c r="J2745" s="21">
        <v>0</v>
      </c>
      <c r="K2745">
        <v>5</v>
      </c>
      <c r="L2745" s="21">
        <v>85.84</v>
      </c>
      <c r="M2745" s="21">
        <v>1802.6</v>
      </c>
      <c r="N2745" s="21">
        <v>1140.4000000000001</v>
      </c>
      <c r="O2745" s="21">
        <v>576.36</v>
      </c>
      <c r="P2745" t="s">
        <v>121</v>
      </c>
      <c r="Q2745" t="s">
        <v>120</v>
      </c>
      <c r="R2745" t="s">
        <v>151</v>
      </c>
      <c r="S2745" t="s">
        <v>1557</v>
      </c>
      <c r="T2745" t="s">
        <v>153</v>
      </c>
      <c r="U2745" t="s">
        <v>154</v>
      </c>
      <c r="V2745" t="str">
        <f>IFERROR(INDEX(Products!$C:$C,MATCH(D2745,Products!$A:$A,0)),"Unknown")</f>
        <v>Men Shirts</v>
      </c>
      <c r="W2745" t="str">
        <f>IFERROR(INDEX(Products!$E:$E,MATCH(D2745,Products!$A:$A,0)),"Unknown")</f>
        <v>AND</v>
      </c>
      <c r="X2745" t="str">
        <f>IFERROR(INDEX(Stores!$B:$B,MATCH(E2745,Stores!$A:$A,0)),"Unknown")</f>
        <v>TrendMart Kozhikode Outlet</v>
      </c>
      <c r="Y2745" t="str">
        <f>IFERROR(INDEX(Stores!$E:$E,MATCH(E2745,Stores!$A:$A,0)),"Unknown")</f>
        <v>South Zone 1</v>
      </c>
      <c r="Z2745" t="str">
        <f>IFERROR(INDEX(Customers!$J:$J,MATCH(C2745,Customers!$A:$A,0)),"Unknown")</f>
        <v>Silver</v>
      </c>
      <c r="AA2745" t="str">
        <f t="shared" si="42"/>
        <v>2024-07</v>
      </c>
      <c r="AB2745" t="str">
        <f>IFERROR(INDEX(Products!$I:$I,MATCH(D2745,Products!$A:$A,0)),"Unknown")</f>
        <v>SUP012</v>
      </c>
    </row>
    <row r="2746" spans="1:28" x14ac:dyDescent="0.25">
      <c r="A2746" t="s">
        <v>4812</v>
      </c>
      <c r="B2746" s="20">
        <v>45602</v>
      </c>
      <c r="C2746" t="s">
        <v>493</v>
      </c>
      <c r="D2746" t="s">
        <v>225</v>
      </c>
      <c r="E2746" t="s">
        <v>101</v>
      </c>
      <c r="F2746" t="s">
        <v>397</v>
      </c>
      <c r="G2746">
        <v>1</v>
      </c>
      <c r="H2746" s="21">
        <v>1733.53</v>
      </c>
      <c r="I2746">
        <v>20</v>
      </c>
      <c r="J2746" s="21">
        <v>346.71</v>
      </c>
      <c r="K2746">
        <v>12</v>
      </c>
      <c r="L2746" s="21">
        <v>166.42</v>
      </c>
      <c r="M2746" s="21">
        <v>1553.24</v>
      </c>
      <c r="N2746" s="21">
        <v>1407.33</v>
      </c>
      <c r="O2746" s="21">
        <v>-20.51</v>
      </c>
      <c r="P2746" t="s">
        <v>121</v>
      </c>
      <c r="Q2746" t="s">
        <v>122</v>
      </c>
      <c r="R2746" t="s">
        <v>151</v>
      </c>
      <c r="S2746" t="s">
        <v>474</v>
      </c>
      <c r="T2746" t="s">
        <v>153</v>
      </c>
      <c r="U2746" t="s">
        <v>184</v>
      </c>
      <c r="V2746" t="str">
        <f>IFERROR(INDEX(Products!$C:$C,MATCH(D2746,Products!$A:$A,0)),"Unknown")</f>
        <v>Women Dresses</v>
      </c>
      <c r="W2746" t="str">
        <f>IFERROR(INDEX(Products!$E:$E,MATCH(D2746,Products!$A:$A,0)),"Unknown")</f>
        <v>Tanishq</v>
      </c>
      <c r="X2746" t="str">
        <f>IFERROR(INDEX(Stores!$B:$B,MATCH(E2746,Stores!$A:$A,0)),"Unknown")</f>
        <v>TrendMart Kurnool Standard</v>
      </c>
      <c r="Y2746" t="str">
        <f>IFERROR(INDEX(Stores!$E:$E,MATCH(E2746,Stores!$A:$A,0)),"Unknown")</f>
        <v>South Zone 3</v>
      </c>
      <c r="Z2746" t="str">
        <f>IFERROR(INDEX(Customers!$J:$J,MATCH(C2746,Customers!$A:$A,0)),"Unknown")</f>
        <v>Regular</v>
      </c>
      <c r="AA2746" t="str">
        <f t="shared" si="42"/>
        <v>2024-11</v>
      </c>
      <c r="AB2746" t="str">
        <f>IFERROR(INDEX(Products!$I:$I,MATCH(D2746,Products!$A:$A,0)),"Unknown")</f>
        <v>SUP063</v>
      </c>
    </row>
    <row r="2747" spans="1:28" x14ac:dyDescent="0.25">
      <c r="A2747" t="s">
        <v>4813</v>
      </c>
      <c r="B2747" s="20">
        <v>45424</v>
      </c>
      <c r="C2747" t="s">
        <v>1420</v>
      </c>
      <c r="D2747" t="s">
        <v>317</v>
      </c>
      <c r="E2747" t="s">
        <v>906</v>
      </c>
      <c r="F2747" t="s">
        <v>382</v>
      </c>
      <c r="G2747">
        <v>1</v>
      </c>
      <c r="H2747" s="21">
        <v>2309.31</v>
      </c>
      <c r="I2747">
        <v>15</v>
      </c>
      <c r="J2747" s="21">
        <v>346.4</v>
      </c>
      <c r="K2747">
        <v>12</v>
      </c>
      <c r="L2747" s="21">
        <v>235.55</v>
      </c>
      <c r="M2747" s="21">
        <v>2198.46</v>
      </c>
      <c r="N2747" s="21">
        <v>1461.73</v>
      </c>
      <c r="O2747" s="21">
        <v>501.18</v>
      </c>
      <c r="P2747" t="s">
        <v>126</v>
      </c>
      <c r="Q2747" t="s">
        <v>120</v>
      </c>
      <c r="R2747" t="s">
        <v>151</v>
      </c>
      <c r="S2747" t="s">
        <v>3085</v>
      </c>
      <c r="T2747" t="s">
        <v>161</v>
      </c>
      <c r="U2747" t="s">
        <v>154</v>
      </c>
      <c r="V2747" t="str">
        <f>IFERROR(INDEX(Products!$C:$C,MATCH(D2747,Products!$A:$A,0)),"Unknown")</f>
        <v>Handbags</v>
      </c>
      <c r="W2747" t="str">
        <f>IFERROR(INDEX(Products!$E:$E,MATCH(D2747,Products!$A:$A,0)),"Unknown")</f>
        <v>Titan</v>
      </c>
      <c r="X2747" t="str">
        <f>IFERROR(INDEX(Stores!$B:$B,MATCH(E2747,Stores!$A:$A,0)),"Unknown")</f>
        <v>TrendMart Vijayawada Standard</v>
      </c>
      <c r="Y2747" t="str">
        <f>IFERROR(INDEX(Stores!$E:$E,MATCH(E2747,Stores!$A:$A,0)),"Unknown")</f>
        <v>South Zone 3</v>
      </c>
      <c r="Z2747" t="str">
        <f>IFERROR(INDEX(Customers!$J:$J,MATCH(C2747,Customers!$A:$A,0)),"Unknown")</f>
        <v>Regular</v>
      </c>
      <c r="AA2747" t="str">
        <f t="shared" si="42"/>
        <v>2024-05</v>
      </c>
      <c r="AB2747" t="str">
        <f>IFERROR(INDEX(Products!$I:$I,MATCH(D2747,Products!$A:$A,0)),"Unknown")</f>
        <v>SUP027</v>
      </c>
    </row>
    <row r="2748" spans="1:28" x14ac:dyDescent="0.25">
      <c r="A2748" t="s">
        <v>4814</v>
      </c>
      <c r="B2748" s="20">
        <v>45717</v>
      </c>
      <c r="C2748" t="s">
        <v>1368</v>
      </c>
      <c r="D2748" t="s">
        <v>1190</v>
      </c>
      <c r="E2748" t="s">
        <v>252</v>
      </c>
      <c r="F2748" t="s">
        <v>462</v>
      </c>
      <c r="G2748">
        <v>1</v>
      </c>
      <c r="H2748" s="21">
        <v>366.44</v>
      </c>
      <c r="I2748">
        <v>5</v>
      </c>
      <c r="J2748" s="21">
        <v>18.32</v>
      </c>
      <c r="K2748">
        <v>5</v>
      </c>
      <c r="L2748" s="21">
        <v>17.41</v>
      </c>
      <c r="M2748" s="21">
        <v>365.53</v>
      </c>
      <c r="N2748" s="21">
        <v>197.05</v>
      </c>
      <c r="O2748" s="21">
        <v>151.07</v>
      </c>
      <c r="P2748" t="s">
        <v>124</v>
      </c>
      <c r="Q2748" t="s">
        <v>120</v>
      </c>
      <c r="R2748" t="s">
        <v>151</v>
      </c>
      <c r="S2748" t="s">
        <v>4815</v>
      </c>
      <c r="T2748" t="s">
        <v>161</v>
      </c>
      <c r="U2748" t="s">
        <v>154</v>
      </c>
      <c r="V2748" t="str">
        <f>IFERROR(INDEX(Products!$C:$C,MATCH(D2748,Products!$A:$A,0)),"Unknown")</f>
        <v>Accessories</v>
      </c>
      <c r="W2748" t="str">
        <f>IFERROR(INDEX(Products!$E:$E,MATCH(D2748,Products!$A:$A,0)),"Unknown")</f>
        <v>Pantaloons</v>
      </c>
      <c r="X2748" t="str">
        <f>IFERROR(INDEX(Stores!$B:$B,MATCH(E2748,Stores!$A:$A,0)),"Unknown")</f>
        <v>TrendMart Nellore Standard</v>
      </c>
      <c r="Y2748" t="str">
        <f>IFERROR(INDEX(Stores!$E:$E,MATCH(E2748,Stores!$A:$A,0)),"Unknown")</f>
        <v>South Zone 3</v>
      </c>
      <c r="Z2748" t="str">
        <f>IFERROR(INDEX(Customers!$J:$J,MATCH(C2748,Customers!$A:$A,0)),"Unknown")</f>
        <v>Regular</v>
      </c>
      <c r="AA2748" t="str">
        <f t="shared" si="42"/>
        <v>2025-03</v>
      </c>
      <c r="AB2748" t="str">
        <f>IFERROR(INDEX(Products!$I:$I,MATCH(D2748,Products!$A:$A,0)),"Unknown")</f>
        <v>SUP019</v>
      </c>
    </row>
    <row r="2749" spans="1:28" x14ac:dyDescent="0.25">
      <c r="A2749" t="s">
        <v>4816</v>
      </c>
      <c r="B2749" s="20">
        <v>45599</v>
      </c>
      <c r="C2749" t="s">
        <v>2320</v>
      </c>
      <c r="D2749" t="s">
        <v>220</v>
      </c>
      <c r="E2749" t="s">
        <v>490</v>
      </c>
      <c r="F2749" t="s">
        <v>462</v>
      </c>
      <c r="G2749">
        <v>2</v>
      </c>
      <c r="H2749" s="21">
        <v>5787.46</v>
      </c>
      <c r="I2749">
        <v>30</v>
      </c>
      <c r="J2749" s="21">
        <v>3472.48</v>
      </c>
      <c r="K2749">
        <v>12</v>
      </c>
      <c r="L2749" s="21">
        <v>972.29</v>
      </c>
      <c r="M2749" s="21">
        <v>9074.73</v>
      </c>
      <c r="N2749" s="21">
        <v>7941.72</v>
      </c>
      <c r="O2749" s="21">
        <v>160.72</v>
      </c>
      <c r="P2749" t="s">
        <v>126</v>
      </c>
      <c r="Q2749" t="s">
        <v>120</v>
      </c>
      <c r="R2749" t="s">
        <v>151</v>
      </c>
      <c r="S2749" t="s">
        <v>2151</v>
      </c>
      <c r="T2749" t="s">
        <v>161</v>
      </c>
      <c r="U2749" t="s">
        <v>154</v>
      </c>
      <c r="V2749" t="str">
        <f>IFERROR(INDEX(Products!$C:$C,MATCH(D2749,Products!$A:$A,0)),"Unknown")</f>
        <v>Watches</v>
      </c>
      <c r="W2749" t="str">
        <f>IFERROR(INDEX(Products!$E:$E,MATCH(D2749,Products!$A:$A,0)),"Unknown")</f>
        <v>Global Desi</v>
      </c>
      <c r="X2749" t="str">
        <f>IFERROR(INDEX(Stores!$B:$B,MATCH(E2749,Stores!$A:$A,0)),"Unknown")</f>
        <v>TrendMart Mangaluru Mall Kiosk</v>
      </c>
      <c r="Y2749" t="str">
        <f>IFERROR(INDEX(Stores!$E:$E,MATCH(E2749,Stores!$A:$A,0)),"Unknown")</f>
        <v>South Zone 2</v>
      </c>
      <c r="Z2749" t="str">
        <f>IFERROR(INDEX(Customers!$J:$J,MATCH(C2749,Customers!$A:$A,0)),"Unknown")</f>
        <v>Platinum</v>
      </c>
      <c r="AA2749" t="str">
        <f t="shared" si="42"/>
        <v>2024-11</v>
      </c>
      <c r="AB2749" t="str">
        <f>IFERROR(INDEX(Products!$I:$I,MATCH(D2749,Products!$A:$A,0)),"Unknown")</f>
        <v>SUP055</v>
      </c>
    </row>
    <row r="2750" spans="1:28" x14ac:dyDescent="0.25">
      <c r="A2750" t="s">
        <v>4817</v>
      </c>
      <c r="B2750" s="20">
        <v>45609</v>
      </c>
      <c r="C2750" t="s">
        <v>3178</v>
      </c>
      <c r="D2750" t="s">
        <v>1140</v>
      </c>
      <c r="E2750" t="s">
        <v>934</v>
      </c>
      <c r="F2750" t="s">
        <v>303</v>
      </c>
      <c r="G2750">
        <v>1</v>
      </c>
      <c r="H2750" s="21">
        <v>1333.51</v>
      </c>
      <c r="I2750">
        <v>5</v>
      </c>
      <c r="J2750" s="21">
        <v>66.680000000000007</v>
      </c>
      <c r="K2750">
        <v>12</v>
      </c>
      <c r="L2750" s="21">
        <v>152.02000000000001</v>
      </c>
      <c r="M2750" s="21">
        <v>1418.85</v>
      </c>
      <c r="N2750" s="21">
        <v>894.68</v>
      </c>
      <c r="O2750" s="21">
        <v>372.15</v>
      </c>
      <c r="P2750" t="s">
        <v>126</v>
      </c>
      <c r="Q2750" t="s">
        <v>122</v>
      </c>
      <c r="R2750" t="s">
        <v>151</v>
      </c>
      <c r="S2750" t="s">
        <v>1451</v>
      </c>
      <c r="T2750" t="s">
        <v>153</v>
      </c>
      <c r="U2750" t="s">
        <v>154</v>
      </c>
      <c r="V2750" t="str">
        <f>IFERROR(INDEX(Products!$C:$C,MATCH(D2750,Products!$A:$A,0)),"Unknown")</f>
        <v>Sportswear</v>
      </c>
      <c r="W2750" t="str">
        <f>IFERROR(INDEX(Products!$E:$E,MATCH(D2750,Products!$A:$A,0)),"Unknown")</f>
        <v>Bata</v>
      </c>
      <c r="X2750" t="str">
        <f>IFERROR(INDEX(Stores!$B:$B,MATCH(E2750,Stores!$A:$A,0)),"Unknown")</f>
        <v>TrendMart Bengaluru High Street</v>
      </c>
      <c r="Y2750" t="str">
        <f>IFERROR(INDEX(Stores!$E:$E,MATCH(E2750,Stores!$A:$A,0)),"Unknown")</f>
        <v>South Zone 2</v>
      </c>
      <c r="Z2750" t="str">
        <f>IFERROR(INDEX(Customers!$J:$J,MATCH(C2750,Customers!$A:$A,0)),"Unknown")</f>
        <v>Regular</v>
      </c>
      <c r="AA2750" t="str">
        <f t="shared" si="42"/>
        <v>2024-11</v>
      </c>
      <c r="AB2750" t="str">
        <f>IFERROR(INDEX(Products!$I:$I,MATCH(D2750,Products!$A:$A,0)),"Unknown")</f>
        <v>SUP065</v>
      </c>
    </row>
    <row r="2751" spans="1:28" x14ac:dyDescent="0.25">
      <c r="A2751" t="s">
        <v>4818</v>
      </c>
      <c r="B2751" s="20">
        <v>45489</v>
      </c>
      <c r="C2751" t="s">
        <v>2099</v>
      </c>
      <c r="D2751" t="s">
        <v>1649</v>
      </c>
      <c r="E2751" t="s">
        <v>81</v>
      </c>
      <c r="F2751" t="s">
        <v>150</v>
      </c>
      <c r="G2751">
        <v>4</v>
      </c>
      <c r="H2751" s="21">
        <v>1268.9000000000001</v>
      </c>
      <c r="I2751">
        <v>10</v>
      </c>
      <c r="J2751" s="21">
        <v>507.56</v>
      </c>
      <c r="K2751">
        <v>12</v>
      </c>
      <c r="L2751" s="21">
        <v>548.16</v>
      </c>
      <c r="M2751" s="21">
        <v>5116.2</v>
      </c>
      <c r="N2751" s="21">
        <v>3517.92</v>
      </c>
      <c r="O2751" s="21">
        <v>1050.1199999999999</v>
      </c>
      <c r="P2751" t="s">
        <v>123</v>
      </c>
      <c r="Q2751" t="s">
        <v>122</v>
      </c>
      <c r="R2751" t="s">
        <v>151</v>
      </c>
      <c r="S2751" t="s">
        <v>1479</v>
      </c>
      <c r="T2751" t="s">
        <v>153</v>
      </c>
      <c r="U2751" t="s">
        <v>154</v>
      </c>
      <c r="V2751" t="str">
        <f>IFERROR(INDEX(Products!$C:$C,MATCH(D2751,Products!$A:$A,0)),"Unknown")</f>
        <v>Belts</v>
      </c>
      <c r="W2751" t="str">
        <f>IFERROR(INDEX(Products!$E:$E,MATCH(D2751,Products!$A:$A,0)),"Unknown")</f>
        <v>Bata</v>
      </c>
      <c r="X2751" t="str">
        <f>IFERROR(INDEX(Stores!$B:$B,MATCH(E2751,Stores!$A:$A,0)),"Unknown")</f>
        <v>TrendMart Vijayawada High Street</v>
      </c>
      <c r="Y2751" t="str">
        <f>IFERROR(INDEX(Stores!$E:$E,MATCH(E2751,Stores!$A:$A,0)),"Unknown")</f>
        <v>South Zone 3</v>
      </c>
      <c r="Z2751" t="str">
        <f>IFERROR(INDEX(Customers!$J:$J,MATCH(C2751,Customers!$A:$A,0)),"Unknown")</f>
        <v>Gold</v>
      </c>
      <c r="AA2751" t="str">
        <f t="shared" si="42"/>
        <v>2024-07</v>
      </c>
      <c r="AB2751" t="str">
        <f>IFERROR(INDEX(Products!$I:$I,MATCH(D2751,Products!$A:$A,0)),"Unknown")</f>
        <v>SUP032</v>
      </c>
    </row>
    <row r="2752" spans="1:28" x14ac:dyDescent="0.25">
      <c r="A2752" t="s">
        <v>4819</v>
      </c>
      <c r="B2752" s="20">
        <v>45594</v>
      </c>
      <c r="C2752" t="s">
        <v>3634</v>
      </c>
      <c r="D2752" t="s">
        <v>1016</v>
      </c>
      <c r="E2752" t="s">
        <v>81</v>
      </c>
      <c r="F2752" t="s">
        <v>618</v>
      </c>
      <c r="G2752">
        <v>1</v>
      </c>
      <c r="H2752" s="21">
        <v>5573.61</v>
      </c>
      <c r="I2752">
        <v>30</v>
      </c>
      <c r="J2752" s="21">
        <v>1672.08</v>
      </c>
      <c r="K2752">
        <v>12</v>
      </c>
      <c r="L2752" s="21">
        <v>468.18</v>
      </c>
      <c r="M2752" s="21">
        <v>4369.71</v>
      </c>
      <c r="N2752" s="21">
        <v>3662.37</v>
      </c>
      <c r="O2752" s="21">
        <v>239.16</v>
      </c>
      <c r="P2752" t="s">
        <v>124</v>
      </c>
      <c r="Q2752" t="s">
        <v>120</v>
      </c>
      <c r="R2752" t="s">
        <v>151</v>
      </c>
      <c r="S2752" t="s">
        <v>2584</v>
      </c>
      <c r="T2752" t="s">
        <v>153</v>
      </c>
      <c r="U2752" t="s">
        <v>154</v>
      </c>
      <c r="V2752" t="str">
        <f>IFERROR(INDEX(Products!$C:$C,MATCH(D2752,Products!$A:$A,0)),"Unknown")</f>
        <v>Watches</v>
      </c>
      <c r="W2752" t="str">
        <f>IFERROR(INDEX(Products!$E:$E,MATCH(D2752,Products!$A:$A,0)),"Unknown")</f>
        <v>Pantaloons</v>
      </c>
      <c r="X2752" t="str">
        <f>IFERROR(INDEX(Stores!$B:$B,MATCH(E2752,Stores!$A:$A,0)),"Unknown")</f>
        <v>TrendMart Vijayawada High Street</v>
      </c>
      <c r="Y2752" t="str">
        <f>IFERROR(INDEX(Stores!$E:$E,MATCH(E2752,Stores!$A:$A,0)),"Unknown")</f>
        <v>South Zone 3</v>
      </c>
      <c r="Z2752" t="str">
        <f>IFERROR(INDEX(Customers!$J:$J,MATCH(C2752,Customers!$A:$A,0)),"Unknown")</f>
        <v>Silver</v>
      </c>
      <c r="AA2752" t="str">
        <f t="shared" si="42"/>
        <v>2024-10</v>
      </c>
      <c r="AB2752" t="str">
        <f>IFERROR(INDEX(Products!$I:$I,MATCH(D2752,Products!$A:$A,0)),"Unknown")</f>
        <v>SUP007</v>
      </c>
    </row>
    <row r="2753" spans="1:28" x14ac:dyDescent="0.25">
      <c r="A2753" t="s">
        <v>4820</v>
      </c>
      <c r="B2753" s="20">
        <v>45436</v>
      </c>
      <c r="C2753" t="s">
        <v>2115</v>
      </c>
      <c r="D2753" t="s">
        <v>888</v>
      </c>
      <c r="E2753" t="s">
        <v>86</v>
      </c>
      <c r="F2753" t="s">
        <v>258</v>
      </c>
      <c r="G2753">
        <v>3</v>
      </c>
      <c r="H2753" s="21">
        <v>6103.12</v>
      </c>
      <c r="I2753">
        <v>20</v>
      </c>
      <c r="J2753" s="21">
        <v>3661.87</v>
      </c>
      <c r="K2753">
        <v>3</v>
      </c>
      <c r="L2753" s="21">
        <v>439.42</v>
      </c>
      <c r="M2753" s="21">
        <v>15086.91</v>
      </c>
      <c r="N2753" s="21">
        <v>14288.28</v>
      </c>
      <c r="O2753" s="21">
        <v>359.21</v>
      </c>
      <c r="P2753" t="s">
        <v>123</v>
      </c>
      <c r="Q2753" t="s">
        <v>120</v>
      </c>
      <c r="R2753" t="s">
        <v>151</v>
      </c>
      <c r="S2753" t="s">
        <v>1858</v>
      </c>
      <c r="T2753" t="s">
        <v>153</v>
      </c>
      <c r="U2753" t="s">
        <v>154</v>
      </c>
      <c r="V2753" t="str">
        <f>IFERROR(INDEX(Products!$C:$C,MATCH(D2753,Products!$A:$A,0)),"Unknown")</f>
        <v>Jewellery</v>
      </c>
      <c r="W2753" t="str">
        <f>IFERROR(INDEX(Products!$E:$E,MATCH(D2753,Products!$A:$A,0)),"Unknown")</f>
        <v>Aurelia</v>
      </c>
      <c r="X2753" t="str">
        <f>IFERROR(INDEX(Stores!$B:$B,MATCH(E2753,Stores!$A:$A,0)),"Unknown")</f>
        <v>TrendMart Warangal High Street</v>
      </c>
      <c r="Y2753" t="str">
        <f>IFERROR(INDEX(Stores!$E:$E,MATCH(E2753,Stores!$A:$A,0)),"Unknown")</f>
        <v>South Zone 2</v>
      </c>
      <c r="Z2753" t="str">
        <f>IFERROR(INDEX(Customers!$J:$J,MATCH(C2753,Customers!$A:$A,0)),"Unknown")</f>
        <v>Gold</v>
      </c>
      <c r="AA2753" t="str">
        <f t="shared" si="42"/>
        <v>2024-05</v>
      </c>
      <c r="AB2753" t="str">
        <f>IFERROR(INDEX(Products!$I:$I,MATCH(D2753,Products!$A:$A,0)),"Unknown")</f>
        <v>SUP038</v>
      </c>
    </row>
    <row r="2754" spans="1:28" x14ac:dyDescent="0.25">
      <c r="A2754" t="s">
        <v>4821</v>
      </c>
      <c r="B2754" s="20">
        <v>45435</v>
      </c>
      <c r="C2754" t="s">
        <v>3045</v>
      </c>
      <c r="D2754" t="s">
        <v>2241</v>
      </c>
      <c r="E2754" t="s">
        <v>94</v>
      </c>
      <c r="F2754" t="s">
        <v>550</v>
      </c>
      <c r="G2754">
        <v>2</v>
      </c>
      <c r="H2754" s="21">
        <v>1434.65</v>
      </c>
      <c r="I2754">
        <v>5</v>
      </c>
      <c r="J2754" s="21">
        <v>143.47</v>
      </c>
      <c r="K2754">
        <v>12</v>
      </c>
      <c r="L2754" s="21">
        <v>327.10000000000002</v>
      </c>
      <c r="M2754" s="21">
        <v>3052.93</v>
      </c>
      <c r="N2754" s="21">
        <v>1992.48</v>
      </c>
      <c r="O2754" s="21">
        <v>733.35</v>
      </c>
      <c r="P2754" t="s">
        <v>123</v>
      </c>
      <c r="Q2754" t="s">
        <v>120</v>
      </c>
      <c r="R2754" t="s">
        <v>151</v>
      </c>
      <c r="S2754" t="s">
        <v>1791</v>
      </c>
      <c r="T2754" t="s">
        <v>153</v>
      </c>
      <c r="U2754" t="s">
        <v>154</v>
      </c>
      <c r="V2754" t="str">
        <f>IFERROR(INDEX(Products!$C:$C,MATCH(D2754,Products!$A:$A,0)),"Unknown")</f>
        <v>Men Trousers</v>
      </c>
      <c r="W2754" t="str">
        <f>IFERROR(INDEX(Products!$E:$E,MATCH(D2754,Products!$A:$A,0)),"Unknown")</f>
        <v>GRT Jewellers</v>
      </c>
      <c r="X2754" t="str">
        <f>IFERROR(INDEX(Stores!$B:$B,MATCH(E2754,Stores!$A:$A,0)),"Unknown")</f>
        <v>TrendMart Bengaluru Mall Kiosk</v>
      </c>
      <c r="Y2754" t="str">
        <f>IFERROR(INDEX(Stores!$E:$E,MATCH(E2754,Stores!$A:$A,0)),"Unknown")</f>
        <v>South Zone 2</v>
      </c>
      <c r="Z2754" t="str">
        <f>IFERROR(INDEX(Customers!$J:$J,MATCH(C2754,Customers!$A:$A,0)),"Unknown")</f>
        <v>Gold</v>
      </c>
      <c r="AA2754" t="str">
        <f t="shared" ref="AA2754:AA2817" si="43">TEXT(B2754,"YYYY-MM")</f>
        <v>2024-05</v>
      </c>
      <c r="AB2754" t="str">
        <f>IFERROR(INDEX(Products!$I:$I,MATCH(D2754,Products!$A:$A,0)),"Unknown")</f>
        <v>SUP042</v>
      </c>
    </row>
    <row r="2755" spans="1:28" x14ac:dyDescent="0.25">
      <c r="A2755" t="s">
        <v>4822</v>
      </c>
      <c r="B2755" s="20">
        <v>45443</v>
      </c>
      <c r="C2755" t="s">
        <v>4367</v>
      </c>
      <c r="D2755" t="s">
        <v>339</v>
      </c>
      <c r="E2755" t="s">
        <v>1681</v>
      </c>
      <c r="F2755" t="s">
        <v>292</v>
      </c>
      <c r="G2755">
        <v>1</v>
      </c>
      <c r="H2755" s="21">
        <v>887.89</v>
      </c>
      <c r="I2755">
        <v>10</v>
      </c>
      <c r="J2755" s="21">
        <v>88.79</v>
      </c>
      <c r="K2755">
        <v>5</v>
      </c>
      <c r="L2755" s="21">
        <v>39.950000000000003</v>
      </c>
      <c r="M2755" s="21">
        <v>839.05</v>
      </c>
      <c r="N2755" s="21">
        <v>568.53</v>
      </c>
      <c r="O2755" s="21">
        <v>230.57</v>
      </c>
      <c r="P2755" t="s">
        <v>125</v>
      </c>
      <c r="Q2755" t="s">
        <v>120</v>
      </c>
      <c r="R2755" t="s">
        <v>151</v>
      </c>
      <c r="S2755" t="s">
        <v>2151</v>
      </c>
      <c r="T2755" t="s">
        <v>153</v>
      </c>
      <c r="U2755" t="s">
        <v>154</v>
      </c>
      <c r="V2755" t="str">
        <f>IFERROR(INDEX(Products!$C:$C,MATCH(D2755,Products!$A:$A,0)),"Unknown")</f>
        <v>Women Kurtis</v>
      </c>
      <c r="W2755" t="str">
        <f>IFERROR(INDEX(Products!$E:$E,MATCH(D2755,Products!$A:$A,0)),"Unknown")</f>
        <v>Allen Solly</v>
      </c>
      <c r="X2755" t="str">
        <f>IFERROR(INDEX(Stores!$B:$B,MATCH(E2755,Stores!$A:$A,0)),"Unknown")</f>
        <v>TrendMart Warangal Standard</v>
      </c>
      <c r="Y2755" t="str">
        <f>IFERROR(INDEX(Stores!$E:$E,MATCH(E2755,Stores!$A:$A,0)),"Unknown")</f>
        <v>South Zone 2</v>
      </c>
      <c r="Z2755" t="str">
        <f>IFERROR(INDEX(Customers!$J:$J,MATCH(C2755,Customers!$A:$A,0)),"Unknown")</f>
        <v>Regular</v>
      </c>
      <c r="AA2755" t="str">
        <f t="shared" si="43"/>
        <v>2024-05</v>
      </c>
      <c r="AB2755" t="str">
        <f>IFERROR(INDEX(Products!$I:$I,MATCH(D2755,Products!$A:$A,0)),"Unknown")</f>
        <v>SUP086</v>
      </c>
    </row>
    <row r="2756" spans="1:28" x14ac:dyDescent="0.25">
      <c r="A2756" t="s">
        <v>4823</v>
      </c>
      <c r="B2756" s="20">
        <v>45469</v>
      </c>
      <c r="C2756" t="s">
        <v>2270</v>
      </c>
      <c r="D2756" t="s">
        <v>2129</v>
      </c>
      <c r="E2756" t="s">
        <v>1017</v>
      </c>
      <c r="F2756" t="s">
        <v>182</v>
      </c>
      <c r="G2756">
        <v>3</v>
      </c>
      <c r="H2756" s="21">
        <v>2625.27</v>
      </c>
      <c r="I2756">
        <v>10</v>
      </c>
      <c r="J2756" s="21">
        <v>787.58</v>
      </c>
      <c r="K2756">
        <v>12</v>
      </c>
      <c r="L2756" s="21">
        <v>850.59</v>
      </c>
      <c r="M2756" s="21">
        <v>7938.82</v>
      </c>
      <c r="N2756" s="21">
        <v>5664.87</v>
      </c>
      <c r="O2756" s="21">
        <v>1423.36</v>
      </c>
      <c r="P2756" t="s">
        <v>121</v>
      </c>
      <c r="Q2756" t="s">
        <v>120</v>
      </c>
      <c r="R2756" t="s">
        <v>151</v>
      </c>
      <c r="S2756" t="s">
        <v>997</v>
      </c>
      <c r="T2756" t="s">
        <v>153</v>
      </c>
      <c r="U2756" t="s">
        <v>154</v>
      </c>
      <c r="V2756" t="str">
        <f>IFERROR(INDEX(Products!$C:$C,MATCH(D2756,Products!$A:$A,0)),"Unknown")</f>
        <v>Men Ethnic</v>
      </c>
      <c r="W2756" t="str">
        <f>IFERROR(INDEX(Products!$E:$E,MATCH(D2756,Products!$A:$A,0)),"Unknown")</f>
        <v>Reebok</v>
      </c>
      <c r="X2756" t="str">
        <f>IFERROR(INDEX(Stores!$B:$B,MATCH(E2756,Stores!$A:$A,0)),"Unknown")</f>
        <v>TrendMart Mangaluru Standard</v>
      </c>
      <c r="Y2756" t="str">
        <f>IFERROR(INDEX(Stores!$E:$E,MATCH(E2756,Stores!$A:$A,0)),"Unknown")</f>
        <v>South Zone 2</v>
      </c>
      <c r="Z2756" t="str">
        <f>IFERROR(INDEX(Customers!$J:$J,MATCH(C2756,Customers!$A:$A,0)),"Unknown")</f>
        <v>Platinum</v>
      </c>
      <c r="AA2756" t="str">
        <f t="shared" si="43"/>
        <v>2024-06</v>
      </c>
      <c r="AB2756" t="str">
        <f>IFERROR(INDEX(Products!$I:$I,MATCH(D2756,Products!$A:$A,0)),"Unknown")</f>
        <v>SUP029</v>
      </c>
    </row>
    <row r="2757" spans="1:28" x14ac:dyDescent="0.25">
      <c r="A2757" t="s">
        <v>4824</v>
      </c>
      <c r="B2757" s="20">
        <v>45692</v>
      </c>
      <c r="C2757" t="s">
        <v>2487</v>
      </c>
      <c r="D2757" t="s">
        <v>367</v>
      </c>
      <c r="E2757" t="s">
        <v>247</v>
      </c>
      <c r="F2757" t="s">
        <v>574</v>
      </c>
      <c r="G2757">
        <v>5</v>
      </c>
      <c r="H2757" s="21">
        <v>701.35</v>
      </c>
      <c r="I2757">
        <v>20</v>
      </c>
      <c r="J2757" s="21">
        <v>701.35</v>
      </c>
      <c r="K2757">
        <v>3</v>
      </c>
      <c r="L2757" s="21">
        <v>84.16</v>
      </c>
      <c r="M2757" s="21">
        <v>2889.56</v>
      </c>
      <c r="N2757" s="21">
        <v>2784.95</v>
      </c>
      <c r="O2757" s="21">
        <v>20.45</v>
      </c>
      <c r="P2757" t="s">
        <v>123</v>
      </c>
      <c r="Q2757" t="s">
        <v>120</v>
      </c>
      <c r="R2757" t="s">
        <v>151</v>
      </c>
      <c r="S2757" t="s">
        <v>369</v>
      </c>
      <c r="T2757" t="s">
        <v>153</v>
      </c>
      <c r="U2757" t="s">
        <v>154</v>
      </c>
      <c r="V2757" t="str">
        <f>IFERROR(INDEX(Products!$C:$C,MATCH(D2757,Products!$A:$A,0)),"Unknown")</f>
        <v>Jewellery</v>
      </c>
      <c r="W2757" t="str">
        <f>IFERROR(INDEX(Products!$E:$E,MATCH(D2757,Products!$A:$A,0)),"Unknown")</f>
        <v>Aurelia</v>
      </c>
      <c r="X2757" t="str">
        <f>IFERROR(INDEX(Stores!$B:$B,MATCH(E2757,Stores!$A:$A,0)),"Unknown")</f>
        <v>TrendMart Tirupati Outlet</v>
      </c>
      <c r="Y2757" t="str">
        <f>IFERROR(INDEX(Stores!$E:$E,MATCH(E2757,Stores!$A:$A,0)),"Unknown")</f>
        <v>South Zone 3</v>
      </c>
      <c r="Z2757" t="str">
        <f>IFERROR(INDEX(Customers!$J:$J,MATCH(C2757,Customers!$A:$A,0)),"Unknown")</f>
        <v>Gold</v>
      </c>
      <c r="AA2757" t="str">
        <f t="shared" si="43"/>
        <v>2025-02</v>
      </c>
      <c r="AB2757" t="str">
        <f>IFERROR(INDEX(Products!$I:$I,MATCH(D2757,Products!$A:$A,0)),"Unknown")</f>
        <v>SUP067</v>
      </c>
    </row>
    <row r="2758" spans="1:28" x14ac:dyDescent="0.25">
      <c r="A2758" t="s">
        <v>4825</v>
      </c>
      <c r="B2758" s="20">
        <v>45440</v>
      </c>
      <c r="C2758" t="s">
        <v>981</v>
      </c>
      <c r="D2758" t="s">
        <v>931</v>
      </c>
      <c r="E2758" t="s">
        <v>752</v>
      </c>
      <c r="F2758" t="s">
        <v>308</v>
      </c>
      <c r="G2758">
        <v>1</v>
      </c>
      <c r="H2758" s="21">
        <v>1512.59</v>
      </c>
      <c r="I2758">
        <v>15</v>
      </c>
      <c r="J2758" s="21">
        <v>226.89</v>
      </c>
      <c r="K2758">
        <v>12</v>
      </c>
      <c r="L2758" s="21">
        <v>154.28</v>
      </c>
      <c r="M2758" s="21">
        <v>1439.98</v>
      </c>
      <c r="N2758" s="21">
        <v>1020.9</v>
      </c>
      <c r="O2758" s="21">
        <v>264.8</v>
      </c>
      <c r="P2758" t="s">
        <v>123</v>
      </c>
      <c r="Q2758" t="s">
        <v>120</v>
      </c>
      <c r="R2758" t="s">
        <v>151</v>
      </c>
      <c r="S2758" t="s">
        <v>1969</v>
      </c>
      <c r="T2758" t="s">
        <v>153</v>
      </c>
      <c r="U2758" t="s">
        <v>154</v>
      </c>
      <c r="V2758" t="str">
        <f>IFERROR(INDEX(Products!$C:$C,MATCH(D2758,Products!$A:$A,0)),"Unknown")</f>
        <v>Women Sarees</v>
      </c>
      <c r="W2758" t="str">
        <f>IFERROR(INDEX(Products!$E:$E,MATCH(D2758,Products!$A:$A,0)),"Unknown")</f>
        <v>Jack &amp; Jones</v>
      </c>
      <c r="X2758" t="str">
        <f>IFERROR(INDEX(Stores!$B:$B,MATCH(E2758,Stores!$A:$A,0)),"Unknown")</f>
        <v>TrendMart Dindigul High Street</v>
      </c>
      <c r="Y2758" t="str">
        <f>IFERROR(INDEX(Stores!$E:$E,MATCH(E2758,Stores!$A:$A,0)),"Unknown")</f>
        <v>South Zone 1</v>
      </c>
      <c r="Z2758" t="str">
        <f>IFERROR(INDEX(Customers!$J:$J,MATCH(C2758,Customers!$A:$A,0)),"Unknown")</f>
        <v>Regular</v>
      </c>
      <c r="AA2758" t="str">
        <f t="shared" si="43"/>
        <v>2024-05</v>
      </c>
      <c r="AB2758" t="str">
        <f>IFERROR(INDEX(Products!$I:$I,MATCH(D2758,Products!$A:$A,0)),"Unknown")</f>
        <v>SUP058</v>
      </c>
    </row>
    <row r="2759" spans="1:28" x14ac:dyDescent="0.25">
      <c r="A2759" t="s">
        <v>4826</v>
      </c>
      <c r="B2759" s="20">
        <v>45389</v>
      </c>
      <c r="C2759" t="s">
        <v>3813</v>
      </c>
      <c r="D2759" t="s">
        <v>415</v>
      </c>
      <c r="E2759" t="s">
        <v>470</v>
      </c>
      <c r="F2759" t="s">
        <v>397</v>
      </c>
      <c r="G2759">
        <v>1</v>
      </c>
      <c r="H2759" s="21">
        <v>1730.02</v>
      </c>
      <c r="I2759">
        <v>25</v>
      </c>
      <c r="J2759" s="21">
        <v>432.5</v>
      </c>
      <c r="K2759">
        <v>12</v>
      </c>
      <c r="L2759" s="21">
        <v>155.69999999999999</v>
      </c>
      <c r="M2759" s="21">
        <v>1453.22</v>
      </c>
      <c r="N2759" s="21">
        <v>1047.48</v>
      </c>
      <c r="O2759" s="21">
        <v>250.04</v>
      </c>
      <c r="P2759" t="s">
        <v>124</v>
      </c>
      <c r="Q2759" t="s">
        <v>122</v>
      </c>
      <c r="R2759" t="s">
        <v>151</v>
      </c>
      <c r="S2759" t="s">
        <v>233</v>
      </c>
      <c r="T2759" t="s">
        <v>161</v>
      </c>
      <c r="U2759" t="s">
        <v>154</v>
      </c>
      <c r="V2759" t="str">
        <f>IFERROR(INDEX(Products!$C:$C,MATCH(D2759,Products!$A:$A,0)),"Unknown")</f>
        <v>Women Jeans</v>
      </c>
      <c r="W2759" t="str">
        <f>IFERROR(INDEX(Products!$E:$E,MATCH(D2759,Products!$A:$A,0)),"Unknown")</f>
        <v>Killer Jeans</v>
      </c>
      <c r="X2759" t="str">
        <f>IFERROR(INDEX(Stores!$B:$B,MATCH(E2759,Stores!$A:$A,0)),"Unknown")</f>
        <v>TrendMart Thiruvananthapuram High Street</v>
      </c>
      <c r="Y2759" t="str">
        <f>IFERROR(INDEX(Stores!$E:$E,MATCH(E2759,Stores!$A:$A,0)),"Unknown")</f>
        <v>South Zone 1</v>
      </c>
      <c r="Z2759" t="str">
        <f>IFERROR(INDEX(Customers!$J:$J,MATCH(C2759,Customers!$A:$A,0)),"Unknown")</f>
        <v>Regular</v>
      </c>
      <c r="AA2759" t="str">
        <f t="shared" si="43"/>
        <v>2024-04</v>
      </c>
      <c r="AB2759" t="str">
        <f>IFERROR(INDEX(Products!$I:$I,MATCH(D2759,Products!$A:$A,0)),"Unknown")</f>
        <v>SUP070</v>
      </c>
    </row>
    <row r="2760" spans="1:28" x14ac:dyDescent="0.25">
      <c r="A2760" t="s">
        <v>4827</v>
      </c>
      <c r="B2760" s="20">
        <v>45601</v>
      </c>
      <c r="C2760" t="s">
        <v>576</v>
      </c>
      <c r="D2760" t="s">
        <v>1780</v>
      </c>
      <c r="E2760" t="s">
        <v>334</v>
      </c>
      <c r="F2760" t="s">
        <v>377</v>
      </c>
      <c r="G2760">
        <v>2</v>
      </c>
      <c r="H2760" s="21">
        <v>1248.08</v>
      </c>
      <c r="I2760">
        <v>20</v>
      </c>
      <c r="J2760" s="21">
        <v>499.23</v>
      </c>
      <c r="K2760">
        <v>3</v>
      </c>
      <c r="L2760" s="21">
        <v>59.91</v>
      </c>
      <c r="M2760" s="21">
        <v>2056.84</v>
      </c>
      <c r="N2760" s="21">
        <v>1820.92</v>
      </c>
      <c r="O2760" s="21">
        <v>176.01</v>
      </c>
      <c r="P2760" t="s">
        <v>125</v>
      </c>
      <c r="Q2760" t="s">
        <v>120</v>
      </c>
      <c r="R2760" t="s">
        <v>151</v>
      </c>
      <c r="S2760" t="s">
        <v>1719</v>
      </c>
      <c r="T2760" t="s">
        <v>153</v>
      </c>
      <c r="U2760" t="s">
        <v>154</v>
      </c>
      <c r="V2760" t="str">
        <f>IFERROR(INDEX(Products!$C:$C,MATCH(D2760,Products!$A:$A,0)),"Unknown")</f>
        <v>Jewellery</v>
      </c>
      <c r="W2760" t="str">
        <f>IFERROR(INDEX(Products!$E:$E,MATCH(D2760,Products!$A:$A,0)),"Unknown")</f>
        <v>Flying Machine</v>
      </c>
      <c r="X2760" t="str">
        <f>IFERROR(INDEX(Stores!$B:$B,MATCH(E2760,Stores!$A:$A,0)),"Unknown")</f>
        <v>TrendMart Madurai High Street</v>
      </c>
      <c r="Y2760" t="str">
        <f>IFERROR(INDEX(Stores!$E:$E,MATCH(E2760,Stores!$A:$A,0)),"Unknown")</f>
        <v>South Zone 1</v>
      </c>
      <c r="Z2760" t="str">
        <f>IFERROR(INDEX(Customers!$J:$J,MATCH(C2760,Customers!$A:$A,0)),"Unknown")</f>
        <v>Gold</v>
      </c>
      <c r="AA2760" t="str">
        <f t="shared" si="43"/>
        <v>2024-11</v>
      </c>
      <c r="AB2760" t="str">
        <f>IFERROR(INDEX(Products!$I:$I,MATCH(D2760,Products!$A:$A,0)),"Unknown")</f>
        <v>SUP039</v>
      </c>
    </row>
    <row r="2761" spans="1:28" x14ac:dyDescent="0.25">
      <c r="A2761" t="s">
        <v>4828</v>
      </c>
      <c r="B2761" s="20">
        <v>45543</v>
      </c>
      <c r="C2761" t="s">
        <v>3976</v>
      </c>
      <c r="D2761" t="s">
        <v>531</v>
      </c>
      <c r="E2761" t="s">
        <v>95</v>
      </c>
      <c r="F2761" t="s">
        <v>574</v>
      </c>
      <c r="G2761">
        <v>2</v>
      </c>
      <c r="H2761" s="21">
        <v>3426.29</v>
      </c>
      <c r="I2761">
        <v>10</v>
      </c>
      <c r="J2761" s="21">
        <v>685.26</v>
      </c>
      <c r="K2761">
        <v>3</v>
      </c>
      <c r="L2761" s="21">
        <v>185.02</v>
      </c>
      <c r="M2761" s="21">
        <v>6352.34</v>
      </c>
      <c r="N2761" s="21">
        <v>4068.02</v>
      </c>
      <c r="O2761" s="21">
        <v>2099.3000000000002</v>
      </c>
      <c r="P2761" t="s">
        <v>123</v>
      </c>
      <c r="Q2761" t="s">
        <v>120</v>
      </c>
      <c r="R2761" t="s">
        <v>151</v>
      </c>
      <c r="S2761" t="s">
        <v>2032</v>
      </c>
      <c r="T2761" t="s">
        <v>161</v>
      </c>
      <c r="U2761" t="s">
        <v>154</v>
      </c>
      <c r="V2761" t="str">
        <f>IFERROR(INDEX(Products!$C:$C,MATCH(D2761,Products!$A:$A,0)),"Unknown")</f>
        <v>Handbags</v>
      </c>
      <c r="W2761" t="str">
        <f>IFERROR(INDEX(Products!$E:$E,MATCH(D2761,Products!$A:$A,0)),"Unknown")</f>
        <v>GRT Jewellers</v>
      </c>
      <c r="X2761" t="str">
        <f>IFERROR(INDEX(Stores!$B:$B,MATCH(E2761,Stores!$A:$A,0)),"Unknown")</f>
        <v>TrendMart Thrissur Standard</v>
      </c>
      <c r="Y2761" t="str">
        <f>IFERROR(INDEX(Stores!$E:$E,MATCH(E2761,Stores!$A:$A,0)),"Unknown")</f>
        <v>South Zone 1</v>
      </c>
      <c r="Z2761" t="str">
        <f>IFERROR(INDEX(Customers!$J:$J,MATCH(C2761,Customers!$A:$A,0)),"Unknown")</f>
        <v>Regular</v>
      </c>
      <c r="AA2761" t="str">
        <f t="shared" si="43"/>
        <v>2024-09</v>
      </c>
      <c r="AB2761" t="str">
        <f>IFERROR(INDEX(Products!$I:$I,MATCH(D2761,Products!$A:$A,0)),"Unknown")</f>
        <v>SUP047</v>
      </c>
    </row>
    <row r="2762" spans="1:28" x14ac:dyDescent="0.25">
      <c r="A2762" t="s">
        <v>4829</v>
      </c>
      <c r="B2762" s="20">
        <v>45734</v>
      </c>
      <c r="C2762" t="s">
        <v>1406</v>
      </c>
      <c r="D2762" t="s">
        <v>325</v>
      </c>
      <c r="E2762" t="s">
        <v>721</v>
      </c>
      <c r="F2762" t="s">
        <v>242</v>
      </c>
      <c r="G2762">
        <v>4</v>
      </c>
      <c r="H2762" s="21">
        <v>1054.25</v>
      </c>
      <c r="I2762">
        <v>10</v>
      </c>
      <c r="J2762" s="21">
        <v>421.7</v>
      </c>
      <c r="K2762">
        <v>12</v>
      </c>
      <c r="L2762" s="21">
        <v>455.44</v>
      </c>
      <c r="M2762" s="21">
        <v>4250.74</v>
      </c>
      <c r="N2762" s="21">
        <v>3036</v>
      </c>
      <c r="O2762" s="21">
        <v>759.3</v>
      </c>
      <c r="P2762" t="s">
        <v>121</v>
      </c>
      <c r="Q2762" t="s">
        <v>120</v>
      </c>
      <c r="R2762" t="s">
        <v>151</v>
      </c>
      <c r="S2762" t="s">
        <v>212</v>
      </c>
      <c r="T2762" t="s">
        <v>153</v>
      </c>
      <c r="U2762" t="s">
        <v>154</v>
      </c>
      <c r="V2762" t="str">
        <f>IFERROR(INDEX(Products!$C:$C,MATCH(D2762,Products!$A:$A,0)),"Unknown")</f>
        <v>Women Jeans</v>
      </c>
      <c r="W2762" t="str">
        <f>IFERROR(INDEX(Products!$E:$E,MATCH(D2762,Products!$A:$A,0)),"Unknown")</f>
        <v>Nalli Silks</v>
      </c>
      <c r="X2762" t="str">
        <f>IFERROR(INDEX(Stores!$B:$B,MATCH(E2762,Stores!$A:$A,0)),"Unknown")</f>
        <v>TrendMart Kollam Flagship</v>
      </c>
      <c r="Y2762" t="str">
        <f>IFERROR(INDEX(Stores!$E:$E,MATCH(E2762,Stores!$A:$A,0)),"Unknown")</f>
        <v>South Zone 1</v>
      </c>
      <c r="Z2762" t="str">
        <f>IFERROR(INDEX(Customers!$J:$J,MATCH(C2762,Customers!$A:$A,0)),"Unknown")</f>
        <v>Silver</v>
      </c>
      <c r="AA2762" t="str">
        <f t="shared" si="43"/>
        <v>2025-03</v>
      </c>
      <c r="AB2762" t="str">
        <f>IFERROR(INDEX(Products!$I:$I,MATCH(D2762,Products!$A:$A,0)),"Unknown")</f>
        <v>SUP048</v>
      </c>
    </row>
    <row r="2763" spans="1:28" x14ac:dyDescent="0.25">
      <c r="A2763" t="s">
        <v>4830</v>
      </c>
      <c r="B2763" s="20">
        <v>45570</v>
      </c>
      <c r="C2763" t="s">
        <v>1602</v>
      </c>
      <c r="D2763" t="s">
        <v>748</v>
      </c>
      <c r="E2763" t="s">
        <v>914</v>
      </c>
      <c r="F2763" t="s">
        <v>189</v>
      </c>
      <c r="G2763">
        <v>1</v>
      </c>
      <c r="H2763" s="21">
        <v>1307.3699999999999</v>
      </c>
      <c r="I2763">
        <v>5</v>
      </c>
      <c r="J2763" s="21">
        <v>65.37</v>
      </c>
      <c r="K2763">
        <v>12</v>
      </c>
      <c r="L2763" s="21">
        <v>149.04</v>
      </c>
      <c r="M2763" s="21">
        <v>1391.04</v>
      </c>
      <c r="N2763" s="21">
        <v>841.85</v>
      </c>
      <c r="O2763" s="21">
        <v>400.15</v>
      </c>
      <c r="P2763" t="s">
        <v>126</v>
      </c>
      <c r="Q2763" t="s">
        <v>122</v>
      </c>
      <c r="R2763" t="s">
        <v>151</v>
      </c>
      <c r="S2763" t="s">
        <v>1600</v>
      </c>
      <c r="T2763" t="s">
        <v>161</v>
      </c>
      <c r="U2763" t="s">
        <v>154</v>
      </c>
      <c r="V2763" t="str">
        <f>IFERROR(INDEX(Products!$C:$C,MATCH(D2763,Products!$A:$A,0)),"Unknown")</f>
        <v>Women Dresses</v>
      </c>
      <c r="W2763" t="str">
        <f>IFERROR(INDEX(Products!$E:$E,MATCH(D2763,Products!$A:$A,0)),"Unknown")</f>
        <v>Kalyan Silks</v>
      </c>
      <c r="X2763" t="str">
        <f>IFERROR(INDEX(Stores!$B:$B,MATCH(E2763,Stores!$A:$A,0)),"Unknown")</f>
        <v>TrendMart Thiruvananthapuram Outlet</v>
      </c>
      <c r="Y2763" t="str">
        <f>IFERROR(INDEX(Stores!$E:$E,MATCH(E2763,Stores!$A:$A,0)),"Unknown")</f>
        <v>South Zone 1</v>
      </c>
      <c r="Z2763" t="str">
        <f>IFERROR(INDEX(Customers!$J:$J,MATCH(C2763,Customers!$A:$A,0)),"Unknown")</f>
        <v>Regular</v>
      </c>
      <c r="AA2763" t="str">
        <f t="shared" si="43"/>
        <v>2024-10</v>
      </c>
      <c r="AB2763" t="str">
        <f>IFERROR(INDEX(Products!$I:$I,MATCH(D2763,Products!$A:$A,0)),"Unknown")</f>
        <v>SUP036</v>
      </c>
    </row>
    <row r="2764" spans="1:28" x14ac:dyDescent="0.25">
      <c r="A2764" t="s">
        <v>4831</v>
      </c>
      <c r="B2764" s="20">
        <v>45395</v>
      </c>
      <c r="C2764" t="s">
        <v>3651</v>
      </c>
      <c r="D2764" t="s">
        <v>805</v>
      </c>
      <c r="E2764" t="s">
        <v>396</v>
      </c>
      <c r="F2764" t="s">
        <v>263</v>
      </c>
      <c r="G2764">
        <v>4</v>
      </c>
      <c r="H2764" s="21">
        <v>1117.48</v>
      </c>
      <c r="I2764">
        <v>0</v>
      </c>
      <c r="J2764" s="21">
        <v>0</v>
      </c>
      <c r="K2764">
        <v>12</v>
      </c>
      <c r="L2764" s="21">
        <v>536.39</v>
      </c>
      <c r="M2764" s="21">
        <v>5006.3100000000004</v>
      </c>
      <c r="N2764" s="21">
        <v>2335.44</v>
      </c>
      <c r="O2764" s="21">
        <v>2134.48</v>
      </c>
      <c r="P2764" t="s">
        <v>124</v>
      </c>
      <c r="Q2764" t="s">
        <v>120</v>
      </c>
      <c r="R2764" t="s">
        <v>151</v>
      </c>
      <c r="S2764" t="s">
        <v>674</v>
      </c>
      <c r="T2764" t="s">
        <v>161</v>
      </c>
      <c r="U2764" t="s">
        <v>154</v>
      </c>
      <c r="V2764" t="str">
        <f>IFERROR(INDEX(Products!$C:$C,MATCH(D2764,Products!$A:$A,0)),"Unknown")</f>
        <v>Accessories</v>
      </c>
      <c r="W2764" t="str">
        <f>IFERROR(INDEX(Products!$E:$E,MATCH(D2764,Products!$A:$A,0)),"Unknown")</f>
        <v>Being Human</v>
      </c>
      <c r="X2764" t="str">
        <f>IFERROR(INDEX(Stores!$B:$B,MATCH(E2764,Stores!$A:$A,0)),"Unknown")</f>
        <v>TrendMart Davanagere High Street</v>
      </c>
      <c r="Y2764" t="str">
        <f>IFERROR(INDEX(Stores!$E:$E,MATCH(E2764,Stores!$A:$A,0)),"Unknown")</f>
        <v>South Zone 2</v>
      </c>
      <c r="Z2764" t="str">
        <f>IFERROR(INDEX(Customers!$J:$J,MATCH(C2764,Customers!$A:$A,0)),"Unknown")</f>
        <v>Silver</v>
      </c>
      <c r="AA2764" t="str">
        <f t="shared" si="43"/>
        <v>2024-04</v>
      </c>
      <c r="AB2764" t="str">
        <f>IFERROR(INDEX(Products!$I:$I,MATCH(D2764,Products!$A:$A,0)),"Unknown")</f>
        <v>SUP069</v>
      </c>
    </row>
    <row r="2765" spans="1:28" x14ac:dyDescent="0.25">
      <c r="A2765" t="s">
        <v>4832</v>
      </c>
      <c r="B2765" s="20">
        <v>45415</v>
      </c>
      <c r="C2765" t="s">
        <v>459</v>
      </c>
      <c r="D2765" t="s">
        <v>1780</v>
      </c>
      <c r="E2765" t="s">
        <v>477</v>
      </c>
      <c r="F2765" t="s">
        <v>253</v>
      </c>
      <c r="G2765">
        <v>4</v>
      </c>
      <c r="H2765" s="21">
        <v>1257.04</v>
      </c>
      <c r="I2765">
        <v>5</v>
      </c>
      <c r="J2765" s="21">
        <v>251.41</v>
      </c>
      <c r="K2765">
        <v>3</v>
      </c>
      <c r="L2765" s="21">
        <v>143.30000000000001</v>
      </c>
      <c r="M2765" s="21">
        <v>4920.05</v>
      </c>
      <c r="N2765" s="21">
        <v>3641.84</v>
      </c>
      <c r="O2765" s="21">
        <v>1134.9100000000001</v>
      </c>
      <c r="P2765" t="s">
        <v>126</v>
      </c>
      <c r="Q2765" t="s">
        <v>122</v>
      </c>
      <c r="R2765" t="s">
        <v>151</v>
      </c>
      <c r="S2765" t="s">
        <v>1408</v>
      </c>
      <c r="T2765" t="s">
        <v>153</v>
      </c>
      <c r="U2765" t="s">
        <v>154</v>
      </c>
      <c r="V2765" t="str">
        <f>IFERROR(INDEX(Products!$C:$C,MATCH(D2765,Products!$A:$A,0)),"Unknown")</f>
        <v>Jewellery</v>
      </c>
      <c r="W2765" t="str">
        <f>IFERROR(INDEX(Products!$E:$E,MATCH(D2765,Products!$A:$A,0)),"Unknown")</f>
        <v>Flying Machine</v>
      </c>
      <c r="X2765" t="str">
        <f>IFERROR(INDEX(Stores!$B:$B,MATCH(E2765,Stores!$A:$A,0)),"Unknown")</f>
        <v>TrendMart Hubballi Standard</v>
      </c>
      <c r="Y2765" t="str">
        <f>IFERROR(INDEX(Stores!$E:$E,MATCH(E2765,Stores!$A:$A,0)),"Unknown")</f>
        <v>South Zone 2</v>
      </c>
      <c r="Z2765" t="str">
        <f>IFERROR(INDEX(Customers!$J:$J,MATCH(C2765,Customers!$A:$A,0)),"Unknown")</f>
        <v>Gold</v>
      </c>
      <c r="AA2765" t="str">
        <f t="shared" si="43"/>
        <v>2024-05</v>
      </c>
      <c r="AB2765" t="str">
        <f>IFERROR(INDEX(Products!$I:$I,MATCH(D2765,Products!$A:$A,0)),"Unknown")</f>
        <v>SUP039</v>
      </c>
    </row>
    <row r="2766" spans="1:28" x14ac:dyDescent="0.25">
      <c r="A2766" t="s">
        <v>4833</v>
      </c>
      <c r="B2766" s="20">
        <v>45570</v>
      </c>
      <c r="C2766" t="s">
        <v>2586</v>
      </c>
      <c r="D2766" t="s">
        <v>937</v>
      </c>
      <c r="E2766" t="s">
        <v>525</v>
      </c>
      <c r="F2766" t="s">
        <v>516</v>
      </c>
      <c r="G2766">
        <v>1</v>
      </c>
      <c r="H2766" s="21">
        <v>1330.69</v>
      </c>
      <c r="I2766">
        <v>30</v>
      </c>
      <c r="J2766" s="21">
        <v>399.21</v>
      </c>
      <c r="K2766">
        <v>12</v>
      </c>
      <c r="L2766" s="21">
        <v>111.78</v>
      </c>
      <c r="M2766" s="21">
        <v>1043.26</v>
      </c>
      <c r="N2766" s="21">
        <v>861.8</v>
      </c>
      <c r="O2766" s="21">
        <v>69.680000000000007</v>
      </c>
      <c r="P2766" t="s">
        <v>126</v>
      </c>
      <c r="Q2766" t="s">
        <v>120</v>
      </c>
      <c r="R2766" t="s">
        <v>151</v>
      </c>
      <c r="S2766" t="s">
        <v>879</v>
      </c>
      <c r="T2766" t="s">
        <v>161</v>
      </c>
      <c r="U2766" t="s">
        <v>154</v>
      </c>
      <c r="V2766" t="str">
        <f>IFERROR(INDEX(Products!$C:$C,MATCH(D2766,Products!$A:$A,0)),"Unknown")</f>
        <v>Men Shirts</v>
      </c>
      <c r="W2766" t="str">
        <f>IFERROR(INDEX(Products!$E:$E,MATCH(D2766,Products!$A:$A,0)),"Unknown")</f>
        <v>Skechers</v>
      </c>
      <c r="X2766" t="str">
        <f>IFERROR(INDEX(Stores!$B:$B,MATCH(E2766,Stores!$A:$A,0)),"Unknown")</f>
        <v>TrendMart Kollam Standard</v>
      </c>
      <c r="Y2766" t="str">
        <f>IFERROR(INDEX(Stores!$E:$E,MATCH(E2766,Stores!$A:$A,0)),"Unknown")</f>
        <v>South Zone 1</v>
      </c>
      <c r="Z2766" t="str">
        <f>IFERROR(INDEX(Customers!$J:$J,MATCH(C2766,Customers!$A:$A,0)),"Unknown")</f>
        <v>Regular</v>
      </c>
      <c r="AA2766" t="str">
        <f t="shared" si="43"/>
        <v>2024-10</v>
      </c>
      <c r="AB2766" t="str">
        <f>IFERROR(INDEX(Products!$I:$I,MATCH(D2766,Products!$A:$A,0)),"Unknown")</f>
        <v>SUP042</v>
      </c>
    </row>
    <row r="2767" spans="1:28" x14ac:dyDescent="0.25">
      <c r="A2767" t="s">
        <v>4834</v>
      </c>
      <c r="B2767" s="20">
        <v>45462</v>
      </c>
      <c r="C2767" t="s">
        <v>1127</v>
      </c>
      <c r="D2767" t="s">
        <v>646</v>
      </c>
      <c r="E2767" t="s">
        <v>588</v>
      </c>
      <c r="F2767" t="s">
        <v>242</v>
      </c>
      <c r="G2767">
        <v>1</v>
      </c>
      <c r="H2767" s="21">
        <v>829.79</v>
      </c>
      <c r="I2767">
        <v>30</v>
      </c>
      <c r="J2767" s="21">
        <v>248.94</v>
      </c>
      <c r="K2767">
        <v>5</v>
      </c>
      <c r="L2767" s="21">
        <v>29.04</v>
      </c>
      <c r="M2767" s="21">
        <v>609.89</v>
      </c>
      <c r="N2767" s="21">
        <v>512.11</v>
      </c>
      <c r="O2767" s="21">
        <v>68.739999999999995</v>
      </c>
      <c r="P2767" t="s">
        <v>125</v>
      </c>
      <c r="Q2767" t="s">
        <v>120</v>
      </c>
      <c r="R2767" t="s">
        <v>151</v>
      </c>
      <c r="S2767" t="s">
        <v>1220</v>
      </c>
      <c r="T2767" t="s">
        <v>153</v>
      </c>
      <c r="U2767" t="s">
        <v>154</v>
      </c>
      <c r="V2767" t="str">
        <f>IFERROR(INDEX(Products!$C:$C,MATCH(D2767,Products!$A:$A,0)),"Unknown")</f>
        <v>Sportswear</v>
      </c>
      <c r="W2767" t="str">
        <f>IFERROR(INDEX(Products!$E:$E,MATCH(D2767,Products!$A:$A,0)),"Unknown")</f>
        <v>Fabindia</v>
      </c>
      <c r="X2767" t="str">
        <f>IFERROR(INDEX(Stores!$B:$B,MATCH(E2767,Stores!$A:$A,0)),"Unknown")</f>
        <v>TrendMart Nizamabad Standard</v>
      </c>
      <c r="Y2767" t="str">
        <f>IFERROR(INDEX(Stores!$E:$E,MATCH(E2767,Stores!$A:$A,0)),"Unknown")</f>
        <v>South Zone 2</v>
      </c>
      <c r="Z2767" t="str">
        <f>IFERROR(INDEX(Customers!$J:$J,MATCH(C2767,Customers!$A:$A,0)),"Unknown")</f>
        <v>Regular</v>
      </c>
      <c r="AA2767" t="str">
        <f t="shared" si="43"/>
        <v>2024-06</v>
      </c>
      <c r="AB2767" t="str">
        <f>IFERROR(INDEX(Products!$I:$I,MATCH(D2767,Products!$A:$A,0)),"Unknown")</f>
        <v>SUP087</v>
      </c>
    </row>
    <row r="2768" spans="1:28" x14ac:dyDescent="0.25">
      <c r="A2768" t="s">
        <v>4835</v>
      </c>
      <c r="B2768" s="20">
        <v>45597</v>
      </c>
      <c r="C2768" t="s">
        <v>642</v>
      </c>
      <c r="D2768" t="s">
        <v>792</v>
      </c>
      <c r="E2768" t="s">
        <v>99</v>
      </c>
      <c r="F2768" t="s">
        <v>258</v>
      </c>
      <c r="G2768">
        <v>1</v>
      </c>
      <c r="H2768" s="21">
        <v>1085.71</v>
      </c>
      <c r="I2768">
        <v>20</v>
      </c>
      <c r="J2768" s="21">
        <v>217.14</v>
      </c>
      <c r="K2768">
        <v>12</v>
      </c>
      <c r="L2768" s="21">
        <v>104.23</v>
      </c>
      <c r="M2768" s="21">
        <v>972.8</v>
      </c>
      <c r="N2768" s="21">
        <v>737.35</v>
      </c>
      <c r="O2768" s="21">
        <v>131.22</v>
      </c>
      <c r="P2768" t="s">
        <v>126</v>
      </c>
      <c r="Q2768" t="s">
        <v>122</v>
      </c>
      <c r="R2768" t="s">
        <v>151</v>
      </c>
      <c r="S2768" t="s">
        <v>1728</v>
      </c>
      <c r="T2768" t="s">
        <v>153</v>
      </c>
      <c r="U2768" t="s">
        <v>154</v>
      </c>
      <c r="V2768" t="str">
        <f>IFERROR(INDEX(Products!$C:$C,MATCH(D2768,Products!$A:$A,0)),"Unknown")</f>
        <v>Belts</v>
      </c>
      <c r="W2768" t="str">
        <f>IFERROR(INDEX(Products!$E:$E,MATCH(D2768,Products!$A:$A,0)),"Unknown")</f>
        <v>Wrangler</v>
      </c>
      <c r="X2768" t="str">
        <f>IFERROR(INDEX(Stores!$B:$B,MATCH(E2768,Stores!$A:$A,0)),"Unknown")</f>
        <v>TrendMart Hubballi Standard</v>
      </c>
      <c r="Y2768" t="str">
        <f>IFERROR(INDEX(Stores!$E:$E,MATCH(E2768,Stores!$A:$A,0)),"Unknown")</f>
        <v>South Zone 2</v>
      </c>
      <c r="Z2768" t="str">
        <f>IFERROR(INDEX(Customers!$J:$J,MATCH(C2768,Customers!$A:$A,0)),"Unknown")</f>
        <v>Regular</v>
      </c>
      <c r="AA2768" t="str">
        <f t="shared" si="43"/>
        <v>2024-11</v>
      </c>
      <c r="AB2768" t="str">
        <f>IFERROR(INDEX(Products!$I:$I,MATCH(D2768,Products!$A:$A,0)),"Unknown")</f>
        <v>SUP004</v>
      </c>
    </row>
    <row r="2769" spans="1:28" x14ac:dyDescent="0.25">
      <c r="A2769" t="s">
        <v>4836</v>
      </c>
      <c r="B2769" s="20">
        <v>45439</v>
      </c>
      <c r="C2769" t="s">
        <v>1888</v>
      </c>
      <c r="D2769" t="s">
        <v>1156</v>
      </c>
      <c r="E2769" t="s">
        <v>910</v>
      </c>
      <c r="F2769" t="s">
        <v>150</v>
      </c>
      <c r="G2769">
        <v>1</v>
      </c>
      <c r="H2769" s="21">
        <v>613.36</v>
      </c>
      <c r="I2769">
        <v>15</v>
      </c>
      <c r="J2769" s="21">
        <v>92</v>
      </c>
      <c r="K2769">
        <v>5</v>
      </c>
      <c r="L2769" s="21">
        <v>26.07</v>
      </c>
      <c r="M2769" s="21">
        <v>547.42999999999995</v>
      </c>
      <c r="N2769" s="21">
        <v>509.44</v>
      </c>
      <c r="O2769" s="21">
        <v>11.92</v>
      </c>
      <c r="P2769" t="s">
        <v>125</v>
      </c>
      <c r="Q2769" t="s">
        <v>120</v>
      </c>
      <c r="R2769" t="s">
        <v>313</v>
      </c>
      <c r="S2769" t="s">
        <v>352</v>
      </c>
      <c r="T2769" t="s">
        <v>153</v>
      </c>
      <c r="U2769" t="s">
        <v>154</v>
      </c>
      <c r="V2769" t="str">
        <f>IFERROR(INDEX(Products!$C:$C,MATCH(D2769,Products!$A:$A,0)),"Unknown")</f>
        <v>Kids Wear</v>
      </c>
      <c r="W2769" t="str">
        <f>IFERROR(INDEX(Products!$E:$E,MATCH(D2769,Products!$A:$A,0)),"Unknown")</f>
        <v>Allen Solly</v>
      </c>
      <c r="X2769" t="str">
        <f>IFERROR(INDEX(Stores!$B:$B,MATCH(E2769,Stores!$A:$A,0)),"Unknown")</f>
        <v>TrendMart Karimnagar Standard</v>
      </c>
      <c r="Y2769" t="str">
        <f>IFERROR(INDEX(Stores!$E:$E,MATCH(E2769,Stores!$A:$A,0)),"Unknown")</f>
        <v>South Zone 2</v>
      </c>
      <c r="Z2769" t="str">
        <f>IFERROR(INDEX(Customers!$J:$J,MATCH(C2769,Customers!$A:$A,0)),"Unknown")</f>
        <v>Regular</v>
      </c>
      <c r="AA2769" t="str">
        <f t="shared" si="43"/>
        <v>2024-05</v>
      </c>
      <c r="AB2769" t="str">
        <f>IFERROR(INDEX(Products!$I:$I,MATCH(D2769,Products!$A:$A,0)),"Unknown")</f>
        <v>SUP026</v>
      </c>
    </row>
    <row r="2770" spans="1:28" x14ac:dyDescent="0.25">
      <c r="A2770" t="s">
        <v>4837</v>
      </c>
      <c r="B2770" s="20">
        <v>45591</v>
      </c>
      <c r="C2770" t="s">
        <v>1398</v>
      </c>
      <c r="D2770" t="s">
        <v>689</v>
      </c>
      <c r="E2770" t="s">
        <v>617</v>
      </c>
      <c r="F2770" t="s">
        <v>237</v>
      </c>
      <c r="G2770">
        <v>2</v>
      </c>
      <c r="H2770" s="21">
        <v>878.31</v>
      </c>
      <c r="I2770">
        <v>20</v>
      </c>
      <c r="J2770" s="21">
        <v>351.32</v>
      </c>
      <c r="K2770">
        <v>5</v>
      </c>
      <c r="L2770" s="21">
        <v>70.27</v>
      </c>
      <c r="M2770" s="21">
        <v>1475.57</v>
      </c>
      <c r="N2770" s="21">
        <v>1182.76</v>
      </c>
      <c r="O2770" s="21">
        <v>222.54</v>
      </c>
      <c r="P2770" t="s">
        <v>127</v>
      </c>
      <c r="Q2770" t="s">
        <v>120</v>
      </c>
      <c r="R2770" t="s">
        <v>151</v>
      </c>
      <c r="S2770" t="s">
        <v>1220</v>
      </c>
      <c r="T2770" t="s">
        <v>161</v>
      </c>
      <c r="U2770" t="s">
        <v>154</v>
      </c>
      <c r="V2770" t="str">
        <f>IFERROR(INDEX(Products!$C:$C,MATCH(D2770,Products!$A:$A,0)),"Unknown")</f>
        <v>Kids Wear</v>
      </c>
      <c r="W2770" t="str">
        <f>IFERROR(INDEX(Products!$E:$E,MATCH(D2770,Products!$A:$A,0)),"Unknown")</f>
        <v>Libas</v>
      </c>
      <c r="X2770" t="str">
        <f>IFERROR(INDEX(Stores!$B:$B,MATCH(E2770,Stores!$A:$A,0)),"Unknown")</f>
        <v>TrendMart Mangaluru High Street</v>
      </c>
      <c r="Y2770" t="str">
        <f>IFERROR(INDEX(Stores!$E:$E,MATCH(E2770,Stores!$A:$A,0)),"Unknown")</f>
        <v>South Zone 2</v>
      </c>
      <c r="Z2770" t="str">
        <f>IFERROR(INDEX(Customers!$J:$J,MATCH(C2770,Customers!$A:$A,0)),"Unknown")</f>
        <v>Silver</v>
      </c>
      <c r="AA2770" t="str">
        <f t="shared" si="43"/>
        <v>2024-10</v>
      </c>
      <c r="AB2770" t="str">
        <f>IFERROR(INDEX(Products!$I:$I,MATCH(D2770,Products!$A:$A,0)),"Unknown")</f>
        <v>SUP031</v>
      </c>
    </row>
    <row r="2771" spans="1:28" x14ac:dyDescent="0.25">
      <c r="A2771" t="s">
        <v>4838</v>
      </c>
      <c r="B2771" s="20">
        <v>45392</v>
      </c>
      <c r="C2771" t="s">
        <v>1496</v>
      </c>
      <c r="D2771" t="s">
        <v>633</v>
      </c>
      <c r="E2771" t="s">
        <v>231</v>
      </c>
      <c r="F2771" t="s">
        <v>303</v>
      </c>
      <c r="G2771">
        <v>3</v>
      </c>
      <c r="H2771" s="21">
        <v>644.29</v>
      </c>
      <c r="I2771">
        <v>10</v>
      </c>
      <c r="J2771" s="21">
        <v>193.29</v>
      </c>
      <c r="K2771">
        <v>5</v>
      </c>
      <c r="L2771" s="21">
        <v>86.98</v>
      </c>
      <c r="M2771" s="21">
        <v>1826.56</v>
      </c>
      <c r="N2771" s="21">
        <v>1253.76</v>
      </c>
      <c r="O2771" s="21">
        <v>485.82</v>
      </c>
      <c r="P2771" t="s">
        <v>124</v>
      </c>
      <c r="Q2771" t="s">
        <v>122</v>
      </c>
      <c r="R2771" t="s">
        <v>151</v>
      </c>
      <c r="S2771" t="s">
        <v>1225</v>
      </c>
      <c r="T2771" t="s">
        <v>153</v>
      </c>
      <c r="U2771" t="s">
        <v>154</v>
      </c>
      <c r="V2771" t="str">
        <f>IFERROR(INDEX(Products!$C:$C,MATCH(D2771,Products!$A:$A,0)),"Unknown")</f>
        <v>Men T-Shirts</v>
      </c>
      <c r="W2771" t="str">
        <f>IFERROR(INDEX(Products!$E:$E,MATCH(D2771,Products!$A:$A,0)),"Unknown")</f>
        <v>Reebok</v>
      </c>
      <c r="X2771" t="str">
        <f>IFERROR(INDEX(Stores!$B:$B,MATCH(E2771,Stores!$A:$A,0)),"Unknown")</f>
        <v>TrendMart Warangal Outlet</v>
      </c>
      <c r="Y2771" t="str">
        <f>IFERROR(INDEX(Stores!$E:$E,MATCH(E2771,Stores!$A:$A,0)),"Unknown")</f>
        <v>South Zone 2</v>
      </c>
      <c r="Z2771" t="str">
        <f>IFERROR(INDEX(Customers!$J:$J,MATCH(C2771,Customers!$A:$A,0)),"Unknown")</f>
        <v>Gold</v>
      </c>
      <c r="AA2771" t="str">
        <f t="shared" si="43"/>
        <v>2024-04</v>
      </c>
      <c r="AB2771" t="str">
        <f>IFERROR(INDEX(Products!$I:$I,MATCH(D2771,Products!$A:$A,0)),"Unknown")</f>
        <v>SUP046</v>
      </c>
    </row>
    <row r="2772" spans="1:28" x14ac:dyDescent="0.25">
      <c r="A2772" t="s">
        <v>4839</v>
      </c>
      <c r="B2772" s="20">
        <v>45608</v>
      </c>
      <c r="C2772" t="s">
        <v>4652</v>
      </c>
      <c r="D2772" t="s">
        <v>531</v>
      </c>
      <c r="E2772" t="s">
        <v>92</v>
      </c>
      <c r="F2772" t="s">
        <v>303</v>
      </c>
      <c r="G2772">
        <v>3</v>
      </c>
      <c r="H2772" s="21">
        <v>3221.66</v>
      </c>
      <c r="I2772">
        <v>15</v>
      </c>
      <c r="J2772" s="21">
        <v>1449.75</v>
      </c>
      <c r="K2772">
        <v>12</v>
      </c>
      <c r="L2772" s="21">
        <v>985.83</v>
      </c>
      <c r="M2772" s="21">
        <v>9201.06</v>
      </c>
      <c r="N2772" s="21">
        <v>6102.03</v>
      </c>
      <c r="O2772" s="21">
        <v>2113.1999999999998</v>
      </c>
      <c r="P2772" t="s">
        <v>125</v>
      </c>
      <c r="Q2772" t="s">
        <v>122</v>
      </c>
      <c r="R2772" t="s">
        <v>151</v>
      </c>
      <c r="S2772" t="s">
        <v>623</v>
      </c>
      <c r="T2772" t="s">
        <v>153</v>
      </c>
      <c r="U2772" t="s">
        <v>154</v>
      </c>
      <c r="V2772" t="str">
        <f>IFERROR(INDEX(Products!$C:$C,MATCH(D2772,Products!$A:$A,0)),"Unknown")</f>
        <v>Handbags</v>
      </c>
      <c r="W2772" t="str">
        <f>IFERROR(INDEX(Products!$E:$E,MATCH(D2772,Products!$A:$A,0)),"Unknown")</f>
        <v>GRT Jewellers</v>
      </c>
      <c r="X2772" t="str">
        <f>IFERROR(INDEX(Stores!$B:$B,MATCH(E2772,Stores!$A:$A,0)),"Unknown")</f>
        <v>TrendMart Guntur High Street</v>
      </c>
      <c r="Y2772" t="str">
        <f>IFERROR(INDEX(Stores!$E:$E,MATCH(E2772,Stores!$A:$A,0)),"Unknown")</f>
        <v>South Zone 3</v>
      </c>
      <c r="Z2772" t="str">
        <f>IFERROR(INDEX(Customers!$J:$J,MATCH(C2772,Customers!$A:$A,0)),"Unknown")</f>
        <v>Regular</v>
      </c>
      <c r="AA2772" t="str">
        <f t="shared" si="43"/>
        <v>2024-11</v>
      </c>
      <c r="AB2772" t="str">
        <f>IFERROR(INDEX(Products!$I:$I,MATCH(D2772,Products!$A:$A,0)),"Unknown")</f>
        <v>SUP047</v>
      </c>
    </row>
    <row r="2773" spans="1:28" x14ac:dyDescent="0.25">
      <c r="A2773" t="s">
        <v>4840</v>
      </c>
      <c r="B2773" s="20">
        <v>45481</v>
      </c>
      <c r="C2773" t="s">
        <v>1761</v>
      </c>
      <c r="D2773" t="s">
        <v>763</v>
      </c>
      <c r="E2773" t="s">
        <v>93</v>
      </c>
      <c r="F2773" t="s">
        <v>211</v>
      </c>
      <c r="G2773">
        <v>1</v>
      </c>
      <c r="H2773" s="21">
        <v>1120.25</v>
      </c>
      <c r="I2773">
        <v>20</v>
      </c>
      <c r="J2773" s="21">
        <v>224.05</v>
      </c>
      <c r="K2773">
        <v>12</v>
      </c>
      <c r="L2773" s="21">
        <v>107.54</v>
      </c>
      <c r="M2773" s="21">
        <v>1003.74</v>
      </c>
      <c r="N2773" s="21">
        <v>815.46</v>
      </c>
      <c r="O2773" s="21">
        <v>80.739999999999995</v>
      </c>
      <c r="P2773" t="s">
        <v>123</v>
      </c>
      <c r="Q2773" t="s">
        <v>122</v>
      </c>
      <c r="R2773" t="s">
        <v>151</v>
      </c>
      <c r="S2773" t="s">
        <v>1740</v>
      </c>
      <c r="T2773" t="s">
        <v>153</v>
      </c>
      <c r="U2773" t="s">
        <v>154</v>
      </c>
      <c r="V2773" t="str">
        <f>IFERROR(INDEX(Products!$C:$C,MATCH(D2773,Products!$A:$A,0)),"Unknown")</f>
        <v>Watches</v>
      </c>
      <c r="W2773" t="str">
        <f>IFERROR(INDEX(Products!$E:$E,MATCH(D2773,Products!$A:$A,0)),"Unknown")</f>
        <v>Libas</v>
      </c>
      <c r="X2773" t="str">
        <f>IFERROR(INDEX(Stores!$B:$B,MATCH(E2773,Stores!$A:$A,0)),"Unknown")</f>
        <v>TrendMart Thiruvananthapuram High Street</v>
      </c>
      <c r="Y2773" t="str">
        <f>IFERROR(INDEX(Stores!$E:$E,MATCH(E2773,Stores!$A:$A,0)),"Unknown")</f>
        <v>South Zone 1</v>
      </c>
      <c r="Z2773" t="str">
        <f>IFERROR(INDEX(Customers!$J:$J,MATCH(C2773,Customers!$A:$A,0)),"Unknown")</f>
        <v>Platinum</v>
      </c>
      <c r="AA2773" t="str">
        <f t="shared" si="43"/>
        <v>2024-07</v>
      </c>
      <c r="AB2773" t="str">
        <f>IFERROR(INDEX(Products!$I:$I,MATCH(D2773,Products!$A:$A,0)),"Unknown")</f>
        <v>SUP047</v>
      </c>
    </row>
    <row r="2774" spans="1:28" x14ac:dyDescent="0.25">
      <c r="A2774" t="s">
        <v>4841</v>
      </c>
      <c r="B2774" s="20">
        <v>45596</v>
      </c>
      <c r="C2774" t="s">
        <v>1652</v>
      </c>
      <c r="D2774" t="s">
        <v>949</v>
      </c>
      <c r="E2774" t="s">
        <v>86</v>
      </c>
      <c r="F2774" t="s">
        <v>516</v>
      </c>
      <c r="G2774">
        <v>1</v>
      </c>
      <c r="H2774" s="21">
        <v>1501.86</v>
      </c>
      <c r="I2774">
        <v>15</v>
      </c>
      <c r="J2774" s="21">
        <v>225.28</v>
      </c>
      <c r="K2774">
        <v>12</v>
      </c>
      <c r="L2774" s="21">
        <v>153.19</v>
      </c>
      <c r="M2774" s="21">
        <v>1429.77</v>
      </c>
      <c r="N2774" s="21">
        <v>988.57</v>
      </c>
      <c r="O2774" s="21">
        <v>288.01</v>
      </c>
      <c r="P2774" t="s">
        <v>123</v>
      </c>
      <c r="Q2774" t="s">
        <v>120</v>
      </c>
      <c r="R2774" t="s">
        <v>151</v>
      </c>
      <c r="S2774" t="s">
        <v>1482</v>
      </c>
      <c r="T2774" t="s">
        <v>153</v>
      </c>
      <c r="U2774" t="s">
        <v>154</v>
      </c>
      <c r="V2774" t="str">
        <f>IFERROR(INDEX(Products!$C:$C,MATCH(D2774,Products!$A:$A,0)),"Unknown")</f>
        <v>Handbags</v>
      </c>
      <c r="W2774" t="str">
        <f>IFERROR(INDEX(Products!$E:$E,MATCH(D2774,Products!$A:$A,0)),"Unknown")</f>
        <v>Fastrack</v>
      </c>
      <c r="X2774" t="str">
        <f>IFERROR(INDEX(Stores!$B:$B,MATCH(E2774,Stores!$A:$A,0)),"Unknown")</f>
        <v>TrendMart Warangal High Street</v>
      </c>
      <c r="Y2774" t="str">
        <f>IFERROR(INDEX(Stores!$E:$E,MATCH(E2774,Stores!$A:$A,0)),"Unknown")</f>
        <v>South Zone 2</v>
      </c>
      <c r="Z2774" t="str">
        <f>IFERROR(INDEX(Customers!$J:$J,MATCH(C2774,Customers!$A:$A,0)),"Unknown")</f>
        <v>Silver</v>
      </c>
      <c r="AA2774" t="str">
        <f t="shared" si="43"/>
        <v>2024-10</v>
      </c>
      <c r="AB2774" t="str">
        <f>IFERROR(INDEX(Products!$I:$I,MATCH(D2774,Products!$A:$A,0)),"Unknown")</f>
        <v>SUP069</v>
      </c>
    </row>
    <row r="2775" spans="1:28" x14ac:dyDescent="0.25">
      <c r="A2775" t="s">
        <v>4842</v>
      </c>
      <c r="B2775" s="20">
        <v>45580</v>
      </c>
      <c r="C2775" t="s">
        <v>1618</v>
      </c>
      <c r="D2775" t="s">
        <v>1224</v>
      </c>
      <c r="E2775" t="s">
        <v>188</v>
      </c>
      <c r="F2775" t="s">
        <v>434</v>
      </c>
      <c r="G2775">
        <v>2</v>
      </c>
      <c r="H2775" s="21">
        <v>1495.84</v>
      </c>
      <c r="I2775">
        <v>25</v>
      </c>
      <c r="J2775" s="21">
        <v>747.92</v>
      </c>
      <c r="K2775">
        <v>12</v>
      </c>
      <c r="L2775" s="21">
        <v>269.25</v>
      </c>
      <c r="M2775" s="21">
        <v>2513.0100000000002</v>
      </c>
      <c r="N2775" s="21">
        <v>2388.2800000000002</v>
      </c>
      <c r="O2775" s="21">
        <v>-144.52000000000001</v>
      </c>
      <c r="P2775" t="s">
        <v>126</v>
      </c>
      <c r="Q2775" t="s">
        <v>120</v>
      </c>
      <c r="R2775" t="s">
        <v>151</v>
      </c>
      <c r="S2775" t="s">
        <v>2126</v>
      </c>
      <c r="T2775" t="s">
        <v>153</v>
      </c>
      <c r="U2775" t="s">
        <v>184</v>
      </c>
      <c r="V2775" t="str">
        <f>IFERROR(INDEX(Products!$C:$C,MATCH(D2775,Products!$A:$A,0)),"Unknown")</f>
        <v>Men Jeans</v>
      </c>
      <c r="W2775" t="str">
        <f>IFERROR(INDEX(Products!$E:$E,MATCH(D2775,Products!$A:$A,0)),"Unknown")</f>
        <v>Killer Jeans</v>
      </c>
      <c r="X2775" t="str">
        <f>IFERROR(INDEX(Stores!$B:$B,MATCH(E2775,Stores!$A:$A,0)),"Unknown")</f>
        <v>TrendMart Vijayawada Standard</v>
      </c>
      <c r="Y2775" t="str">
        <f>IFERROR(INDEX(Stores!$E:$E,MATCH(E2775,Stores!$A:$A,0)),"Unknown")</f>
        <v>South Zone 3</v>
      </c>
      <c r="Z2775" t="str">
        <f>IFERROR(INDEX(Customers!$J:$J,MATCH(C2775,Customers!$A:$A,0)),"Unknown")</f>
        <v>Regular</v>
      </c>
      <c r="AA2775" t="str">
        <f t="shared" si="43"/>
        <v>2024-10</v>
      </c>
      <c r="AB2775" t="str">
        <f>IFERROR(INDEX(Products!$I:$I,MATCH(D2775,Products!$A:$A,0)),"Unknown")</f>
        <v>SUP084</v>
      </c>
    </row>
    <row r="2776" spans="1:28" x14ac:dyDescent="0.25">
      <c r="A2776" t="s">
        <v>4843</v>
      </c>
      <c r="B2776" s="20">
        <v>45501</v>
      </c>
      <c r="C2776" t="s">
        <v>3073</v>
      </c>
      <c r="D2776" t="s">
        <v>1278</v>
      </c>
      <c r="E2776" t="s">
        <v>1522</v>
      </c>
      <c r="F2776" t="s">
        <v>258</v>
      </c>
      <c r="G2776">
        <v>1</v>
      </c>
      <c r="H2776" s="21">
        <v>5395.29</v>
      </c>
      <c r="I2776">
        <v>5</v>
      </c>
      <c r="J2776" s="21">
        <v>269.76</v>
      </c>
      <c r="K2776">
        <v>12</v>
      </c>
      <c r="L2776" s="21">
        <v>615.05999999999995</v>
      </c>
      <c r="M2776" s="21">
        <v>5740.59</v>
      </c>
      <c r="N2776" s="21">
        <v>3850.97</v>
      </c>
      <c r="O2776" s="21">
        <v>1274.56</v>
      </c>
      <c r="P2776" t="s">
        <v>121</v>
      </c>
      <c r="Q2776" t="s">
        <v>122</v>
      </c>
      <c r="R2776" t="s">
        <v>151</v>
      </c>
      <c r="S2776" t="s">
        <v>3020</v>
      </c>
      <c r="T2776" t="s">
        <v>161</v>
      </c>
      <c r="U2776" t="s">
        <v>154</v>
      </c>
      <c r="V2776" t="str">
        <f>IFERROR(INDEX(Products!$C:$C,MATCH(D2776,Products!$A:$A,0)),"Unknown")</f>
        <v>Watches</v>
      </c>
      <c r="W2776" t="str">
        <f>IFERROR(INDEX(Products!$E:$E,MATCH(D2776,Products!$A:$A,0)),"Unknown")</f>
        <v>Aurelia</v>
      </c>
      <c r="X2776" t="str">
        <f>IFERROR(INDEX(Stores!$B:$B,MATCH(E2776,Stores!$A:$A,0)),"Unknown")</f>
        <v>TrendMart Guntur High Street</v>
      </c>
      <c r="Y2776" t="str">
        <f>IFERROR(INDEX(Stores!$E:$E,MATCH(E2776,Stores!$A:$A,0)),"Unknown")</f>
        <v>South Zone 3</v>
      </c>
      <c r="Z2776" t="str">
        <f>IFERROR(INDEX(Customers!$J:$J,MATCH(C2776,Customers!$A:$A,0)),"Unknown")</f>
        <v>Regular</v>
      </c>
      <c r="AA2776" t="str">
        <f t="shared" si="43"/>
        <v>2024-07</v>
      </c>
      <c r="AB2776" t="str">
        <f>IFERROR(INDEX(Products!$I:$I,MATCH(D2776,Products!$A:$A,0)),"Unknown")</f>
        <v>SUP079</v>
      </c>
    </row>
    <row r="2777" spans="1:28" x14ac:dyDescent="0.25">
      <c r="A2777" t="s">
        <v>4844</v>
      </c>
      <c r="B2777" s="20">
        <v>45499</v>
      </c>
      <c r="C2777" t="s">
        <v>3259</v>
      </c>
      <c r="D2777" t="s">
        <v>1431</v>
      </c>
      <c r="E2777" t="s">
        <v>291</v>
      </c>
      <c r="F2777" t="s">
        <v>182</v>
      </c>
      <c r="G2777">
        <v>0</v>
      </c>
      <c r="H2777" s="21">
        <v>1333.71</v>
      </c>
      <c r="I2777">
        <v>20</v>
      </c>
      <c r="J2777" s="21">
        <v>0</v>
      </c>
      <c r="K2777">
        <v>12</v>
      </c>
      <c r="L2777" s="21">
        <v>0</v>
      </c>
      <c r="M2777" s="21">
        <v>0</v>
      </c>
      <c r="N2777" s="21">
        <v>0</v>
      </c>
      <c r="O2777" s="21">
        <v>0</v>
      </c>
      <c r="P2777" t="s">
        <v>123</v>
      </c>
      <c r="Q2777" t="s">
        <v>122</v>
      </c>
      <c r="R2777" t="s">
        <v>482</v>
      </c>
      <c r="S2777" t="s">
        <v>1050</v>
      </c>
      <c r="T2777" t="s">
        <v>153</v>
      </c>
      <c r="U2777" t="s">
        <v>154</v>
      </c>
      <c r="V2777" t="str">
        <f>IFERROR(INDEX(Products!$C:$C,MATCH(D2777,Products!$A:$A,0)),"Unknown")</f>
        <v>Wallets</v>
      </c>
      <c r="W2777" t="str">
        <f>IFERROR(INDEX(Products!$E:$E,MATCH(D2777,Products!$A:$A,0)),"Unknown")</f>
        <v>Van Heusen</v>
      </c>
      <c r="X2777" t="str">
        <f>IFERROR(INDEX(Stores!$B:$B,MATCH(E2777,Stores!$A:$A,0)),"Unknown")</f>
        <v>TrendMart Khammam Standard</v>
      </c>
      <c r="Y2777" t="str">
        <f>IFERROR(INDEX(Stores!$E:$E,MATCH(E2777,Stores!$A:$A,0)),"Unknown")</f>
        <v>South Zone 2</v>
      </c>
      <c r="Z2777" t="str">
        <f>IFERROR(INDEX(Customers!$J:$J,MATCH(C2777,Customers!$A:$A,0)),"Unknown")</f>
        <v>Regular</v>
      </c>
      <c r="AA2777" t="str">
        <f t="shared" si="43"/>
        <v>2024-07</v>
      </c>
      <c r="AB2777" t="str">
        <f>IFERROR(INDEX(Products!$I:$I,MATCH(D2777,Products!$A:$A,0)),"Unknown")</f>
        <v>SUP087</v>
      </c>
    </row>
    <row r="2778" spans="1:28" x14ac:dyDescent="0.25">
      <c r="A2778" t="s">
        <v>4845</v>
      </c>
      <c r="B2778" s="20">
        <v>45479</v>
      </c>
      <c r="C2778" t="s">
        <v>3419</v>
      </c>
      <c r="D2778" t="s">
        <v>1691</v>
      </c>
      <c r="E2778" t="s">
        <v>97</v>
      </c>
      <c r="F2778" t="s">
        <v>275</v>
      </c>
      <c r="G2778">
        <v>2</v>
      </c>
      <c r="H2778" s="21">
        <v>1095.49</v>
      </c>
      <c r="I2778">
        <v>10</v>
      </c>
      <c r="J2778" s="21">
        <v>219.1</v>
      </c>
      <c r="K2778">
        <v>12</v>
      </c>
      <c r="L2778" s="21">
        <v>236.63</v>
      </c>
      <c r="M2778" s="21">
        <v>2208.5100000000002</v>
      </c>
      <c r="N2778" s="21">
        <v>1401.86</v>
      </c>
      <c r="O2778" s="21">
        <v>570.02</v>
      </c>
      <c r="P2778" t="s">
        <v>123</v>
      </c>
      <c r="Q2778" t="s">
        <v>120</v>
      </c>
      <c r="R2778" t="s">
        <v>151</v>
      </c>
      <c r="S2778" t="s">
        <v>1627</v>
      </c>
      <c r="T2778" t="s">
        <v>161</v>
      </c>
      <c r="U2778" t="s">
        <v>154</v>
      </c>
      <c r="V2778" t="str">
        <f>IFERROR(INDEX(Products!$C:$C,MATCH(D2778,Products!$A:$A,0)),"Unknown")</f>
        <v>Women Jeans</v>
      </c>
      <c r="W2778" t="str">
        <f>IFERROR(INDEX(Products!$E:$E,MATCH(D2778,Products!$A:$A,0)),"Unknown")</f>
        <v>Global Desi</v>
      </c>
      <c r="X2778" t="str">
        <f>IFERROR(INDEX(Stores!$B:$B,MATCH(E2778,Stores!$A:$A,0)),"Unknown")</f>
        <v>TrendMart Guntur Flagship</v>
      </c>
      <c r="Y2778" t="str">
        <f>IFERROR(INDEX(Stores!$E:$E,MATCH(E2778,Stores!$A:$A,0)),"Unknown")</f>
        <v>South Zone 3</v>
      </c>
      <c r="Z2778" t="str">
        <f>IFERROR(INDEX(Customers!$J:$J,MATCH(C2778,Customers!$A:$A,0)),"Unknown")</f>
        <v>Regular</v>
      </c>
      <c r="AA2778" t="str">
        <f t="shared" si="43"/>
        <v>2024-07</v>
      </c>
      <c r="AB2778" t="str">
        <f>IFERROR(INDEX(Products!$I:$I,MATCH(D2778,Products!$A:$A,0)),"Unknown")</f>
        <v>SUP015</v>
      </c>
    </row>
    <row r="2779" spans="1:28" x14ac:dyDescent="0.25">
      <c r="A2779" t="s">
        <v>4846</v>
      </c>
      <c r="B2779" s="20">
        <v>45717</v>
      </c>
      <c r="C2779" t="s">
        <v>704</v>
      </c>
      <c r="D2779" t="s">
        <v>2641</v>
      </c>
      <c r="E2779" t="s">
        <v>515</v>
      </c>
      <c r="F2779" t="s">
        <v>281</v>
      </c>
      <c r="G2779">
        <v>1</v>
      </c>
      <c r="H2779" s="21">
        <v>716.06</v>
      </c>
      <c r="I2779">
        <v>0</v>
      </c>
      <c r="J2779" s="21">
        <v>0</v>
      </c>
      <c r="K2779">
        <v>5</v>
      </c>
      <c r="L2779" s="21">
        <v>35.799999999999997</v>
      </c>
      <c r="M2779" s="21">
        <v>751.86</v>
      </c>
      <c r="N2779" s="21">
        <v>500.08</v>
      </c>
      <c r="O2779" s="21">
        <v>215.98</v>
      </c>
      <c r="P2779" t="s">
        <v>125</v>
      </c>
      <c r="Q2779" t="s">
        <v>120</v>
      </c>
      <c r="R2779" t="s">
        <v>151</v>
      </c>
      <c r="S2779" t="s">
        <v>1024</v>
      </c>
      <c r="T2779" t="s">
        <v>161</v>
      </c>
      <c r="U2779" t="s">
        <v>154</v>
      </c>
      <c r="V2779" t="str">
        <f>IFERROR(INDEX(Products!$C:$C,MATCH(D2779,Products!$A:$A,0)),"Unknown")</f>
        <v>Men Trousers</v>
      </c>
      <c r="W2779" t="str">
        <f>IFERROR(INDEX(Products!$E:$E,MATCH(D2779,Products!$A:$A,0)),"Unknown")</f>
        <v>Numero Uno</v>
      </c>
      <c r="X2779" t="str">
        <f>IFERROR(INDEX(Stores!$B:$B,MATCH(E2779,Stores!$A:$A,0)),"Unknown")</f>
        <v>TrendMart Kochi High Street</v>
      </c>
      <c r="Y2779" t="str">
        <f>IFERROR(INDEX(Stores!$E:$E,MATCH(E2779,Stores!$A:$A,0)),"Unknown")</f>
        <v>South Zone 1</v>
      </c>
      <c r="Z2779" t="str">
        <f>IFERROR(INDEX(Customers!$J:$J,MATCH(C2779,Customers!$A:$A,0)),"Unknown")</f>
        <v>Silver</v>
      </c>
      <c r="AA2779" t="str">
        <f t="shared" si="43"/>
        <v>2025-03</v>
      </c>
      <c r="AB2779" t="str">
        <f>IFERROR(INDEX(Products!$I:$I,MATCH(D2779,Products!$A:$A,0)),"Unknown")</f>
        <v>SUP072</v>
      </c>
    </row>
    <row r="2780" spans="1:28" x14ac:dyDescent="0.25">
      <c r="A2780" t="s">
        <v>4847</v>
      </c>
      <c r="B2780" s="20">
        <v>45421</v>
      </c>
      <c r="C2780" t="s">
        <v>3026</v>
      </c>
      <c r="D2780" t="s">
        <v>2402</v>
      </c>
      <c r="E2780" t="s">
        <v>296</v>
      </c>
      <c r="F2780" t="s">
        <v>344</v>
      </c>
      <c r="G2780">
        <v>2</v>
      </c>
      <c r="H2780" s="21">
        <v>2016.32</v>
      </c>
      <c r="I2780">
        <v>20</v>
      </c>
      <c r="J2780" s="21">
        <v>806.53</v>
      </c>
      <c r="K2780">
        <v>12</v>
      </c>
      <c r="L2780" s="21">
        <v>387.13</v>
      </c>
      <c r="M2780" s="21">
        <v>3613.24</v>
      </c>
      <c r="N2780" s="21">
        <v>2731.3</v>
      </c>
      <c r="O2780" s="21">
        <v>494.81</v>
      </c>
      <c r="P2780" t="s">
        <v>126</v>
      </c>
      <c r="Q2780" t="s">
        <v>120</v>
      </c>
      <c r="R2780" t="s">
        <v>151</v>
      </c>
      <c r="S2780" t="s">
        <v>3457</v>
      </c>
      <c r="T2780" t="s">
        <v>153</v>
      </c>
      <c r="U2780" t="s">
        <v>154</v>
      </c>
      <c r="V2780" t="str">
        <f>IFERROR(INDEX(Products!$C:$C,MATCH(D2780,Products!$A:$A,0)),"Unknown")</f>
        <v>Handbags</v>
      </c>
      <c r="W2780" t="str">
        <f>IFERROR(INDEX(Products!$E:$E,MATCH(D2780,Products!$A:$A,0)),"Unknown")</f>
        <v>Allen Solly</v>
      </c>
      <c r="X2780" t="str">
        <f>IFERROR(INDEX(Stores!$B:$B,MATCH(E2780,Stores!$A:$A,0)),"Unknown")</f>
        <v>TrendMart Kurnool Outlet</v>
      </c>
      <c r="Y2780" t="str">
        <f>IFERROR(INDEX(Stores!$E:$E,MATCH(E2780,Stores!$A:$A,0)),"Unknown")</f>
        <v>South Zone 3</v>
      </c>
      <c r="Z2780" t="str">
        <f>IFERROR(INDEX(Customers!$J:$J,MATCH(C2780,Customers!$A:$A,0)),"Unknown")</f>
        <v>Silver</v>
      </c>
      <c r="AA2780" t="str">
        <f t="shared" si="43"/>
        <v>2024-05</v>
      </c>
      <c r="AB2780" t="str">
        <f>IFERROR(INDEX(Products!$I:$I,MATCH(D2780,Products!$A:$A,0)),"Unknown")</f>
        <v>SUP043</v>
      </c>
    </row>
    <row r="2781" spans="1:28" x14ac:dyDescent="0.25">
      <c r="A2781" t="s">
        <v>4848</v>
      </c>
      <c r="B2781" s="20">
        <v>45557</v>
      </c>
      <c r="C2781" t="s">
        <v>904</v>
      </c>
      <c r="D2781" t="s">
        <v>888</v>
      </c>
      <c r="E2781" t="s">
        <v>442</v>
      </c>
      <c r="F2781" t="s">
        <v>443</v>
      </c>
      <c r="G2781">
        <v>2</v>
      </c>
      <c r="H2781" s="21">
        <v>7312.52</v>
      </c>
      <c r="I2781">
        <v>30</v>
      </c>
      <c r="J2781" s="21">
        <v>4387.51</v>
      </c>
      <c r="K2781">
        <v>3</v>
      </c>
      <c r="L2781" s="21">
        <v>307.13</v>
      </c>
      <c r="M2781" s="21">
        <v>10544.66</v>
      </c>
      <c r="N2781" s="21">
        <v>9525.52</v>
      </c>
      <c r="O2781" s="21">
        <v>712.01</v>
      </c>
      <c r="P2781" t="s">
        <v>123</v>
      </c>
      <c r="Q2781" t="s">
        <v>122</v>
      </c>
      <c r="R2781" t="s">
        <v>151</v>
      </c>
      <c r="S2781" t="s">
        <v>1222</v>
      </c>
      <c r="T2781" t="s">
        <v>161</v>
      </c>
      <c r="U2781" t="s">
        <v>154</v>
      </c>
      <c r="V2781" t="str">
        <f>IFERROR(INDEX(Products!$C:$C,MATCH(D2781,Products!$A:$A,0)),"Unknown")</f>
        <v>Jewellery</v>
      </c>
      <c r="W2781" t="str">
        <f>IFERROR(INDEX(Products!$E:$E,MATCH(D2781,Products!$A:$A,0)),"Unknown")</f>
        <v>Aurelia</v>
      </c>
      <c r="X2781" t="str">
        <f>IFERROR(INDEX(Stores!$B:$B,MATCH(E2781,Stores!$A:$A,0)),"Unknown")</f>
        <v>TrendMart Bengaluru Standard</v>
      </c>
      <c r="Y2781" t="str">
        <f>IFERROR(INDEX(Stores!$E:$E,MATCH(E2781,Stores!$A:$A,0)),"Unknown")</f>
        <v>South Zone 2</v>
      </c>
      <c r="Z2781" t="str">
        <f>IFERROR(INDEX(Customers!$J:$J,MATCH(C2781,Customers!$A:$A,0)),"Unknown")</f>
        <v>Gold</v>
      </c>
      <c r="AA2781" t="str">
        <f t="shared" si="43"/>
        <v>2024-09</v>
      </c>
      <c r="AB2781" t="str">
        <f>IFERROR(INDEX(Products!$I:$I,MATCH(D2781,Products!$A:$A,0)),"Unknown")</f>
        <v>SUP038</v>
      </c>
    </row>
    <row r="2782" spans="1:28" x14ac:dyDescent="0.25">
      <c r="A2782" t="s">
        <v>4849</v>
      </c>
      <c r="B2782" s="20">
        <v>45530</v>
      </c>
      <c r="C2782" t="s">
        <v>2158</v>
      </c>
      <c r="D2782" t="s">
        <v>447</v>
      </c>
      <c r="E2782" t="s">
        <v>831</v>
      </c>
      <c r="F2782" t="s">
        <v>170</v>
      </c>
      <c r="G2782">
        <v>1</v>
      </c>
      <c r="H2782" s="21">
        <v>1367.23</v>
      </c>
      <c r="I2782">
        <v>30</v>
      </c>
      <c r="J2782" s="21">
        <v>410.17</v>
      </c>
      <c r="K2782">
        <v>12</v>
      </c>
      <c r="L2782" s="21">
        <v>114.85</v>
      </c>
      <c r="M2782" s="21">
        <v>1071.9100000000001</v>
      </c>
      <c r="N2782" s="21">
        <v>1073.45</v>
      </c>
      <c r="O2782" s="21">
        <v>-116.39</v>
      </c>
      <c r="P2782" t="s">
        <v>121</v>
      </c>
      <c r="Q2782" t="s">
        <v>122</v>
      </c>
      <c r="R2782" t="s">
        <v>151</v>
      </c>
      <c r="S2782" t="s">
        <v>1698</v>
      </c>
      <c r="T2782" t="s">
        <v>153</v>
      </c>
      <c r="U2782" t="s">
        <v>184</v>
      </c>
      <c r="V2782" t="str">
        <f>IFERROR(INDEX(Products!$C:$C,MATCH(D2782,Products!$A:$A,0)),"Unknown")</f>
        <v>Women Jeans</v>
      </c>
      <c r="W2782" t="str">
        <f>IFERROR(INDEX(Products!$E:$E,MATCH(D2782,Products!$A:$A,0)),"Unknown")</f>
        <v>Biba</v>
      </c>
      <c r="X2782" t="str">
        <f>IFERROR(INDEX(Stores!$B:$B,MATCH(E2782,Stores!$A:$A,0)),"Unknown")</f>
        <v>TrendMart Vellore Standard</v>
      </c>
      <c r="Y2782" t="str">
        <f>IFERROR(INDEX(Stores!$E:$E,MATCH(E2782,Stores!$A:$A,0)),"Unknown")</f>
        <v>South Zone 1</v>
      </c>
      <c r="Z2782" t="str">
        <f>IFERROR(INDEX(Customers!$J:$J,MATCH(C2782,Customers!$A:$A,0)),"Unknown")</f>
        <v>Gold</v>
      </c>
      <c r="AA2782" t="str">
        <f t="shared" si="43"/>
        <v>2024-08</v>
      </c>
      <c r="AB2782" t="str">
        <f>IFERROR(INDEX(Products!$I:$I,MATCH(D2782,Products!$A:$A,0)),"Unknown")</f>
        <v>SUP069</v>
      </c>
    </row>
    <row r="2783" spans="1:28" x14ac:dyDescent="0.25">
      <c r="A2783" t="s">
        <v>4850</v>
      </c>
      <c r="B2783" s="20">
        <v>45657</v>
      </c>
      <c r="C2783" t="s">
        <v>1635</v>
      </c>
      <c r="D2783" t="s">
        <v>868</v>
      </c>
      <c r="E2783" t="s">
        <v>798</v>
      </c>
      <c r="F2783" t="s">
        <v>150</v>
      </c>
      <c r="G2783">
        <v>1</v>
      </c>
      <c r="H2783" s="21">
        <v>1273.26</v>
      </c>
      <c r="I2783">
        <v>25</v>
      </c>
      <c r="J2783" s="21">
        <v>318.31</v>
      </c>
      <c r="K2783">
        <v>12</v>
      </c>
      <c r="L2783" s="21">
        <v>114.59</v>
      </c>
      <c r="M2783" s="21">
        <v>1069.54</v>
      </c>
      <c r="N2783" s="21">
        <v>1015.72</v>
      </c>
      <c r="O2783" s="21">
        <v>-60.77</v>
      </c>
      <c r="P2783" t="s">
        <v>124</v>
      </c>
      <c r="Q2783" t="s">
        <v>122</v>
      </c>
      <c r="R2783" t="s">
        <v>151</v>
      </c>
      <c r="S2783" t="s">
        <v>2658</v>
      </c>
      <c r="T2783" t="s">
        <v>153</v>
      </c>
      <c r="U2783" t="s">
        <v>184</v>
      </c>
      <c r="V2783" t="str">
        <f>IFERROR(INDEX(Products!$C:$C,MATCH(D2783,Products!$A:$A,0)),"Unknown")</f>
        <v>Winter Wear</v>
      </c>
      <c r="W2783" t="str">
        <f>IFERROR(INDEX(Products!$E:$E,MATCH(D2783,Products!$A:$A,0)),"Unknown")</f>
        <v>Liberty</v>
      </c>
      <c r="X2783" t="str">
        <f>IFERROR(INDEX(Stores!$B:$B,MATCH(E2783,Stores!$A:$A,0)),"Unknown")</f>
        <v>TrendMart Guntur Standard</v>
      </c>
      <c r="Y2783" t="str">
        <f>IFERROR(INDEX(Stores!$E:$E,MATCH(E2783,Stores!$A:$A,0)),"Unknown")</f>
        <v>South Zone 3</v>
      </c>
      <c r="Z2783" t="str">
        <f>IFERROR(INDEX(Customers!$J:$J,MATCH(C2783,Customers!$A:$A,0)),"Unknown")</f>
        <v>Regular</v>
      </c>
      <c r="AA2783" t="str">
        <f t="shared" si="43"/>
        <v>2024-12</v>
      </c>
      <c r="AB2783" t="str">
        <f>IFERROR(INDEX(Products!$I:$I,MATCH(D2783,Products!$A:$A,0)),"Unknown")</f>
        <v>SUP012</v>
      </c>
    </row>
    <row r="2784" spans="1:28" x14ac:dyDescent="0.25">
      <c r="A2784" t="s">
        <v>4851</v>
      </c>
      <c r="B2784" s="20">
        <v>45714</v>
      </c>
      <c r="C2784" t="s">
        <v>2896</v>
      </c>
      <c r="D2784" t="s">
        <v>1928</v>
      </c>
      <c r="E2784" t="s">
        <v>252</v>
      </c>
      <c r="F2784" t="s">
        <v>516</v>
      </c>
      <c r="G2784">
        <v>3</v>
      </c>
      <c r="H2784" s="21">
        <v>824.63</v>
      </c>
      <c r="I2784">
        <v>25</v>
      </c>
      <c r="J2784" s="21">
        <v>618.47</v>
      </c>
      <c r="K2784">
        <v>5</v>
      </c>
      <c r="L2784" s="21">
        <v>92.77</v>
      </c>
      <c r="M2784" s="21">
        <v>1948.19</v>
      </c>
      <c r="N2784" s="21">
        <v>1974.57</v>
      </c>
      <c r="O2784" s="21">
        <v>-119.15</v>
      </c>
      <c r="P2784" t="s">
        <v>121</v>
      </c>
      <c r="Q2784" t="s">
        <v>120</v>
      </c>
      <c r="R2784" t="s">
        <v>313</v>
      </c>
      <c r="S2784" t="s">
        <v>1235</v>
      </c>
      <c r="T2784" t="s">
        <v>153</v>
      </c>
      <c r="U2784" t="s">
        <v>184</v>
      </c>
      <c r="V2784" t="str">
        <f>IFERROR(INDEX(Products!$C:$C,MATCH(D2784,Products!$A:$A,0)),"Unknown")</f>
        <v>Men Jeans</v>
      </c>
      <c r="W2784" t="str">
        <f>IFERROR(INDEX(Products!$E:$E,MATCH(D2784,Products!$A:$A,0)),"Unknown")</f>
        <v>Skechers</v>
      </c>
      <c r="X2784" t="str">
        <f>IFERROR(INDEX(Stores!$B:$B,MATCH(E2784,Stores!$A:$A,0)),"Unknown")</f>
        <v>TrendMart Nellore Standard</v>
      </c>
      <c r="Y2784" t="str">
        <f>IFERROR(INDEX(Stores!$E:$E,MATCH(E2784,Stores!$A:$A,0)),"Unknown")</f>
        <v>South Zone 3</v>
      </c>
      <c r="Z2784" t="str">
        <f>IFERROR(INDEX(Customers!$J:$J,MATCH(C2784,Customers!$A:$A,0)),"Unknown")</f>
        <v>Regular</v>
      </c>
      <c r="AA2784" t="str">
        <f t="shared" si="43"/>
        <v>2025-02</v>
      </c>
      <c r="AB2784" t="str">
        <f>IFERROR(INDEX(Products!$I:$I,MATCH(D2784,Products!$A:$A,0)),"Unknown")</f>
        <v>SUP015</v>
      </c>
    </row>
    <row r="2785" spans="1:28" x14ac:dyDescent="0.25">
      <c r="A2785" t="s">
        <v>4852</v>
      </c>
      <c r="B2785" s="20">
        <v>45715</v>
      </c>
      <c r="C2785" t="s">
        <v>1227</v>
      </c>
      <c r="D2785" t="s">
        <v>1111</v>
      </c>
      <c r="E2785" t="s">
        <v>416</v>
      </c>
      <c r="F2785" t="s">
        <v>275</v>
      </c>
      <c r="G2785">
        <v>1</v>
      </c>
      <c r="H2785" s="21">
        <v>2171.7199999999998</v>
      </c>
      <c r="I2785">
        <v>20</v>
      </c>
      <c r="J2785" s="21">
        <v>434.34</v>
      </c>
      <c r="K2785">
        <v>12</v>
      </c>
      <c r="L2785" s="21">
        <v>208.49</v>
      </c>
      <c r="M2785" s="21">
        <v>1945.87</v>
      </c>
      <c r="N2785" s="21">
        <v>1676.92</v>
      </c>
      <c r="O2785" s="21">
        <v>60.46</v>
      </c>
      <c r="P2785" t="s">
        <v>121</v>
      </c>
      <c r="Q2785" t="s">
        <v>120</v>
      </c>
      <c r="R2785" t="s">
        <v>151</v>
      </c>
      <c r="S2785" t="s">
        <v>2112</v>
      </c>
      <c r="T2785" t="s">
        <v>153</v>
      </c>
      <c r="U2785" t="s">
        <v>154</v>
      </c>
      <c r="V2785" t="str">
        <f>IFERROR(INDEX(Products!$C:$C,MATCH(D2785,Products!$A:$A,0)),"Unknown")</f>
        <v>Men Ethnic</v>
      </c>
      <c r="W2785" t="str">
        <f>IFERROR(INDEX(Products!$E:$E,MATCH(D2785,Products!$A:$A,0)),"Unknown")</f>
        <v>Raymond</v>
      </c>
      <c r="X2785" t="str">
        <f>IFERROR(INDEX(Stores!$B:$B,MATCH(E2785,Stores!$A:$A,0)),"Unknown")</f>
        <v>TrendMart Dindigul Standard</v>
      </c>
      <c r="Y2785" t="str">
        <f>IFERROR(INDEX(Stores!$E:$E,MATCH(E2785,Stores!$A:$A,0)),"Unknown")</f>
        <v>South Zone 1</v>
      </c>
      <c r="Z2785" t="str">
        <f>IFERROR(INDEX(Customers!$J:$J,MATCH(C2785,Customers!$A:$A,0)),"Unknown")</f>
        <v>Gold</v>
      </c>
      <c r="AA2785" t="str">
        <f t="shared" si="43"/>
        <v>2025-02</v>
      </c>
      <c r="AB2785" t="str">
        <f>IFERROR(INDEX(Products!$I:$I,MATCH(D2785,Products!$A:$A,0)),"Unknown")</f>
        <v>SUP018</v>
      </c>
    </row>
    <row r="2786" spans="1:28" x14ac:dyDescent="0.25">
      <c r="A2786" t="s">
        <v>4853</v>
      </c>
      <c r="B2786" s="20">
        <v>45463</v>
      </c>
      <c r="C2786" t="s">
        <v>2357</v>
      </c>
      <c r="D2786" t="s">
        <v>2392</v>
      </c>
      <c r="E2786" t="s">
        <v>1522</v>
      </c>
      <c r="F2786" t="s">
        <v>170</v>
      </c>
      <c r="G2786">
        <v>4</v>
      </c>
      <c r="H2786" s="21">
        <v>1090.9000000000001</v>
      </c>
      <c r="I2786">
        <v>5</v>
      </c>
      <c r="J2786" s="21">
        <v>218.18</v>
      </c>
      <c r="K2786">
        <v>12</v>
      </c>
      <c r="L2786" s="21">
        <v>497.45</v>
      </c>
      <c r="M2786" s="21">
        <v>4642.87</v>
      </c>
      <c r="N2786" s="21">
        <v>2976</v>
      </c>
      <c r="O2786" s="21">
        <v>1169.42</v>
      </c>
      <c r="P2786" t="s">
        <v>125</v>
      </c>
      <c r="Q2786" t="s">
        <v>120</v>
      </c>
      <c r="R2786" t="s">
        <v>151</v>
      </c>
      <c r="S2786" t="s">
        <v>2186</v>
      </c>
      <c r="T2786" t="s">
        <v>153</v>
      </c>
      <c r="U2786" t="s">
        <v>154</v>
      </c>
      <c r="V2786" t="str">
        <f>IFERROR(INDEX(Products!$C:$C,MATCH(D2786,Products!$A:$A,0)),"Unknown")</f>
        <v>Women Kurtis</v>
      </c>
      <c r="W2786" t="str">
        <f>IFERROR(INDEX(Products!$E:$E,MATCH(D2786,Products!$A:$A,0)),"Unknown")</f>
        <v>Reebok</v>
      </c>
      <c r="X2786" t="str">
        <f>IFERROR(INDEX(Stores!$B:$B,MATCH(E2786,Stores!$A:$A,0)),"Unknown")</f>
        <v>TrendMart Guntur High Street</v>
      </c>
      <c r="Y2786" t="str">
        <f>IFERROR(INDEX(Stores!$E:$E,MATCH(E2786,Stores!$A:$A,0)),"Unknown")</f>
        <v>South Zone 3</v>
      </c>
      <c r="Z2786" t="str">
        <f>IFERROR(INDEX(Customers!$J:$J,MATCH(C2786,Customers!$A:$A,0)),"Unknown")</f>
        <v>Silver</v>
      </c>
      <c r="AA2786" t="str">
        <f t="shared" si="43"/>
        <v>2024-06</v>
      </c>
      <c r="AB2786" t="str">
        <f>IFERROR(INDEX(Products!$I:$I,MATCH(D2786,Products!$A:$A,0)),"Unknown")</f>
        <v>SUP029</v>
      </c>
    </row>
    <row r="2787" spans="1:28" x14ac:dyDescent="0.25">
      <c r="A2787" t="s">
        <v>4854</v>
      </c>
      <c r="B2787" s="20">
        <v>45640</v>
      </c>
      <c r="C2787" t="s">
        <v>311</v>
      </c>
      <c r="D2787" t="s">
        <v>1095</v>
      </c>
      <c r="E2787" t="s">
        <v>1108</v>
      </c>
      <c r="F2787" t="s">
        <v>253</v>
      </c>
      <c r="G2787">
        <v>4</v>
      </c>
      <c r="H2787" s="21">
        <v>1219.0899999999999</v>
      </c>
      <c r="I2787">
        <v>5</v>
      </c>
      <c r="J2787" s="21">
        <v>243.82</v>
      </c>
      <c r="K2787">
        <v>12</v>
      </c>
      <c r="L2787" s="21">
        <v>555.9</v>
      </c>
      <c r="M2787" s="21">
        <v>5188.4399999999996</v>
      </c>
      <c r="N2787" s="21">
        <v>3078.52</v>
      </c>
      <c r="O2787" s="21">
        <v>1554.02</v>
      </c>
      <c r="P2787" t="s">
        <v>123</v>
      </c>
      <c r="Q2787" t="s">
        <v>120</v>
      </c>
      <c r="R2787" t="s">
        <v>151</v>
      </c>
      <c r="S2787" t="s">
        <v>4855</v>
      </c>
      <c r="T2787" t="s">
        <v>161</v>
      </c>
      <c r="U2787" t="s">
        <v>154</v>
      </c>
      <c r="V2787" t="str">
        <f>IFERROR(INDEX(Products!$C:$C,MATCH(D2787,Products!$A:$A,0)),"Unknown")</f>
        <v>Women Dresses</v>
      </c>
      <c r="W2787" t="str">
        <f>IFERROR(INDEX(Products!$E:$E,MATCH(D2787,Products!$A:$A,0)),"Unknown")</f>
        <v>Ramraj Cotton</v>
      </c>
      <c r="X2787" t="str">
        <f>IFERROR(INDEX(Stores!$B:$B,MATCH(E2787,Stores!$A:$A,0)),"Unknown")</f>
        <v>TrendMart Karimnagar Standard</v>
      </c>
      <c r="Y2787" t="str">
        <f>IFERROR(INDEX(Stores!$E:$E,MATCH(E2787,Stores!$A:$A,0)),"Unknown")</f>
        <v>South Zone 2</v>
      </c>
      <c r="Z2787" t="str">
        <f>IFERROR(INDEX(Customers!$J:$J,MATCH(C2787,Customers!$A:$A,0)),"Unknown")</f>
        <v>Gold</v>
      </c>
      <c r="AA2787" t="str">
        <f t="shared" si="43"/>
        <v>2024-12</v>
      </c>
      <c r="AB2787" t="str">
        <f>IFERROR(INDEX(Products!$I:$I,MATCH(D2787,Products!$A:$A,0)),"Unknown")</f>
        <v>SUP054</v>
      </c>
    </row>
    <row r="2788" spans="1:28" x14ac:dyDescent="0.25">
      <c r="A2788" t="s">
        <v>4856</v>
      </c>
      <c r="B2788" s="20">
        <v>45488</v>
      </c>
      <c r="C2788" t="s">
        <v>1277</v>
      </c>
      <c r="D2788" t="s">
        <v>502</v>
      </c>
      <c r="E2788" t="s">
        <v>490</v>
      </c>
      <c r="F2788" t="s">
        <v>201</v>
      </c>
      <c r="G2788">
        <v>1</v>
      </c>
      <c r="H2788" s="21">
        <v>2962.64</v>
      </c>
      <c r="I2788">
        <v>15</v>
      </c>
      <c r="J2788" s="21">
        <v>444.4</v>
      </c>
      <c r="K2788">
        <v>12</v>
      </c>
      <c r="L2788" s="21">
        <v>302.19</v>
      </c>
      <c r="M2788" s="21">
        <v>2820.43</v>
      </c>
      <c r="N2788" s="21">
        <v>2151.34</v>
      </c>
      <c r="O2788" s="21">
        <v>366.9</v>
      </c>
      <c r="P2788" t="s">
        <v>123</v>
      </c>
      <c r="Q2788" t="s">
        <v>122</v>
      </c>
      <c r="R2788" t="s">
        <v>151</v>
      </c>
      <c r="S2788" t="s">
        <v>885</v>
      </c>
      <c r="T2788" t="s">
        <v>153</v>
      </c>
      <c r="U2788" t="s">
        <v>154</v>
      </c>
      <c r="V2788" t="str">
        <f>IFERROR(INDEX(Products!$C:$C,MATCH(D2788,Products!$A:$A,0)),"Unknown")</f>
        <v>Handbags</v>
      </c>
      <c r="W2788" t="str">
        <f>IFERROR(INDEX(Products!$E:$E,MATCH(D2788,Products!$A:$A,0)),"Unknown")</f>
        <v>Libas</v>
      </c>
      <c r="X2788" t="str">
        <f>IFERROR(INDEX(Stores!$B:$B,MATCH(E2788,Stores!$A:$A,0)),"Unknown")</f>
        <v>TrendMart Mangaluru Mall Kiosk</v>
      </c>
      <c r="Y2788" t="str">
        <f>IFERROR(INDEX(Stores!$E:$E,MATCH(E2788,Stores!$A:$A,0)),"Unknown")</f>
        <v>South Zone 2</v>
      </c>
      <c r="Z2788" t="str">
        <f>IFERROR(INDEX(Customers!$J:$J,MATCH(C2788,Customers!$A:$A,0)),"Unknown")</f>
        <v>Regular</v>
      </c>
      <c r="AA2788" t="str">
        <f t="shared" si="43"/>
        <v>2024-07</v>
      </c>
      <c r="AB2788" t="str">
        <f>IFERROR(INDEX(Products!$I:$I,MATCH(D2788,Products!$A:$A,0)),"Unknown")</f>
        <v>SUP070</v>
      </c>
    </row>
    <row r="2789" spans="1:28" x14ac:dyDescent="0.25">
      <c r="A2789" t="s">
        <v>4857</v>
      </c>
      <c r="B2789" s="20">
        <v>45573</v>
      </c>
      <c r="C2789" t="s">
        <v>1933</v>
      </c>
      <c r="D2789" t="s">
        <v>415</v>
      </c>
      <c r="E2789" t="s">
        <v>252</v>
      </c>
      <c r="F2789" t="s">
        <v>297</v>
      </c>
      <c r="G2789">
        <v>5</v>
      </c>
      <c r="H2789" s="21">
        <v>1557.56</v>
      </c>
      <c r="I2789">
        <v>10</v>
      </c>
      <c r="J2789" s="21">
        <v>778.78</v>
      </c>
      <c r="K2789">
        <v>12</v>
      </c>
      <c r="L2789" s="21">
        <v>841.08</v>
      </c>
      <c r="M2789" s="21">
        <v>7850.1</v>
      </c>
      <c r="N2789" s="21">
        <v>5237.3999999999996</v>
      </c>
      <c r="O2789" s="21">
        <v>1771.62</v>
      </c>
      <c r="P2789" t="s">
        <v>121</v>
      </c>
      <c r="Q2789" t="s">
        <v>120</v>
      </c>
      <c r="R2789" t="s">
        <v>151</v>
      </c>
      <c r="S2789" t="s">
        <v>3182</v>
      </c>
      <c r="T2789" t="s">
        <v>153</v>
      </c>
      <c r="U2789" t="s">
        <v>154</v>
      </c>
      <c r="V2789" t="str">
        <f>IFERROR(INDEX(Products!$C:$C,MATCH(D2789,Products!$A:$A,0)),"Unknown")</f>
        <v>Women Jeans</v>
      </c>
      <c r="W2789" t="str">
        <f>IFERROR(INDEX(Products!$E:$E,MATCH(D2789,Products!$A:$A,0)),"Unknown")</f>
        <v>Killer Jeans</v>
      </c>
      <c r="X2789" t="str">
        <f>IFERROR(INDEX(Stores!$B:$B,MATCH(E2789,Stores!$A:$A,0)),"Unknown")</f>
        <v>TrendMart Nellore Standard</v>
      </c>
      <c r="Y2789" t="str">
        <f>IFERROR(INDEX(Stores!$E:$E,MATCH(E2789,Stores!$A:$A,0)),"Unknown")</f>
        <v>South Zone 3</v>
      </c>
      <c r="Z2789" t="str">
        <f>IFERROR(INDEX(Customers!$J:$J,MATCH(C2789,Customers!$A:$A,0)),"Unknown")</f>
        <v>Gold</v>
      </c>
      <c r="AA2789" t="str">
        <f t="shared" si="43"/>
        <v>2024-10</v>
      </c>
      <c r="AB2789" t="str">
        <f>IFERROR(INDEX(Products!$I:$I,MATCH(D2789,Products!$A:$A,0)),"Unknown")</f>
        <v>SUP070</v>
      </c>
    </row>
    <row r="2790" spans="1:28" x14ac:dyDescent="0.25">
      <c r="A2790" t="s">
        <v>4858</v>
      </c>
      <c r="B2790" s="20">
        <v>45718</v>
      </c>
      <c r="C2790" t="s">
        <v>837</v>
      </c>
      <c r="D2790" t="s">
        <v>2402</v>
      </c>
      <c r="E2790" t="s">
        <v>85</v>
      </c>
      <c r="F2790" t="s">
        <v>397</v>
      </c>
      <c r="G2790">
        <v>1</v>
      </c>
      <c r="H2790" s="21">
        <v>2203.09</v>
      </c>
      <c r="I2790">
        <v>10</v>
      </c>
      <c r="J2790" s="21">
        <v>220.31</v>
      </c>
      <c r="K2790">
        <v>12</v>
      </c>
      <c r="L2790" s="21">
        <v>237.93</v>
      </c>
      <c r="M2790" s="21">
        <v>2220.71</v>
      </c>
      <c r="N2790" s="21">
        <v>1365.65</v>
      </c>
      <c r="O2790" s="21">
        <v>617.13</v>
      </c>
      <c r="P2790" t="s">
        <v>123</v>
      </c>
      <c r="Q2790" t="s">
        <v>122</v>
      </c>
      <c r="R2790" t="s">
        <v>151</v>
      </c>
      <c r="S2790" t="s">
        <v>1653</v>
      </c>
      <c r="T2790" t="s">
        <v>161</v>
      </c>
      <c r="U2790" t="s">
        <v>154</v>
      </c>
      <c r="V2790" t="str">
        <f>IFERROR(INDEX(Products!$C:$C,MATCH(D2790,Products!$A:$A,0)),"Unknown")</f>
        <v>Handbags</v>
      </c>
      <c r="W2790" t="str">
        <f>IFERROR(INDEX(Products!$E:$E,MATCH(D2790,Products!$A:$A,0)),"Unknown")</f>
        <v>Allen Solly</v>
      </c>
      <c r="X2790" t="str">
        <f>IFERROR(INDEX(Stores!$B:$B,MATCH(E2790,Stores!$A:$A,0)),"Unknown")</f>
        <v>TrendMart Kalaburagi Mall Kiosk</v>
      </c>
      <c r="Y2790" t="str">
        <f>IFERROR(INDEX(Stores!$E:$E,MATCH(E2790,Stores!$A:$A,0)),"Unknown")</f>
        <v>South Zone 2</v>
      </c>
      <c r="Z2790" t="str">
        <f>IFERROR(INDEX(Customers!$J:$J,MATCH(C2790,Customers!$A:$A,0)),"Unknown")</f>
        <v>Regular</v>
      </c>
      <c r="AA2790" t="str">
        <f t="shared" si="43"/>
        <v>2025-03</v>
      </c>
      <c r="AB2790" t="str">
        <f>IFERROR(INDEX(Products!$I:$I,MATCH(D2790,Products!$A:$A,0)),"Unknown")</f>
        <v>SUP043</v>
      </c>
    </row>
    <row r="2791" spans="1:28" x14ac:dyDescent="0.25">
      <c r="A2791" t="s">
        <v>4859</v>
      </c>
      <c r="B2791" s="20">
        <v>45555</v>
      </c>
      <c r="C2791" t="s">
        <v>4249</v>
      </c>
      <c r="D2791" t="s">
        <v>531</v>
      </c>
      <c r="E2791" t="s">
        <v>83</v>
      </c>
      <c r="F2791" t="s">
        <v>532</v>
      </c>
      <c r="G2791">
        <v>2</v>
      </c>
      <c r="H2791" s="21">
        <v>3025.06</v>
      </c>
      <c r="I2791">
        <v>10</v>
      </c>
      <c r="J2791" s="21">
        <v>605.01</v>
      </c>
      <c r="K2791">
        <v>12</v>
      </c>
      <c r="L2791" s="21">
        <v>653.41</v>
      </c>
      <c r="M2791" s="21">
        <v>6098.52</v>
      </c>
      <c r="N2791" s="21">
        <v>4068.02</v>
      </c>
      <c r="O2791" s="21">
        <v>1377.09</v>
      </c>
      <c r="P2791" t="s">
        <v>127</v>
      </c>
      <c r="Q2791" t="s">
        <v>120</v>
      </c>
      <c r="R2791" t="s">
        <v>313</v>
      </c>
      <c r="S2791" t="s">
        <v>1310</v>
      </c>
      <c r="T2791" t="s">
        <v>153</v>
      </c>
      <c r="U2791" t="s">
        <v>154</v>
      </c>
      <c r="V2791" t="str">
        <f>IFERROR(INDEX(Products!$C:$C,MATCH(D2791,Products!$A:$A,0)),"Unknown")</f>
        <v>Handbags</v>
      </c>
      <c r="W2791" t="str">
        <f>IFERROR(INDEX(Products!$E:$E,MATCH(D2791,Products!$A:$A,0)),"Unknown")</f>
        <v>GRT Jewellers</v>
      </c>
      <c r="X2791" t="str">
        <f>IFERROR(INDEX(Stores!$B:$B,MATCH(E2791,Stores!$A:$A,0)),"Unknown")</f>
        <v>TrendMart Vellore Standard</v>
      </c>
      <c r="Y2791" t="str">
        <f>IFERROR(INDEX(Stores!$E:$E,MATCH(E2791,Stores!$A:$A,0)),"Unknown")</f>
        <v>South Zone 1</v>
      </c>
      <c r="Z2791" t="str">
        <f>IFERROR(INDEX(Customers!$J:$J,MATCH(C2791,Customers!$A:$A,0)),"Unknown")</f>
        <v>Silver</v>
      </c>
      <c r="AA2791" t="str">
        <f t="shared" si="43"/>
        <v>2024-09</v>
      </c>
      <c r="AB2791" t="str">
        <f>IFERROR(INDEX(Products!$I:$I,MATCH(D2791,Products!$A:$A,0)),"Unknown")</f>
        <v>SUP047</v>
      </c>
    </row>
    <row r="2792" spans="1:28" x14ac:dyDescent="0.25">
      <c r="A2792" t="s">
        <v>4860</v>
      </c>
      <c r="B2792" s="20">
        <v>45725</v>
      </c>
      <c r="C2792" t="s">
        <v>2957</v>
      </c>
      <c r="D2792" t="s">
        <v>285</v>
      </c>
      <c r="E2792" t="s">
        <v>391</v>
      </c>
      <c r="F2792" t="s">
        <v>532</v>
      </c>
      <c r="G2792">
        <v>1</v>
      </c>
      <c r="H2792" s="21">
        <v>807.78</v>
      </c>
      <c r="I2792">
        <v>5</v>
      </c>
      <c r="J2792" s="21">
        <v>40.39</v>
      </c>
      <c r="K2792">
        <v>5</v>
      </c>
      <c r="L2792" s="21">
        <v>38.369999999999997</v>
      </c>
      <c r="M2792" s="21">
        <v>805.76</v>
      </c>
      <c r="N2792" s="21">
        <v>499.31</v>
      </c>
      <c r="O2792" s="21">
        <v>268.08</v>
      </c>
      <c r="P2792" t="s">
        <v>126</v>
      </c>
      <c r="Q2792" t="s">
        <v>120</v>
      </c>
      <c r="R2792" t="s">
        <v>151</v>
      </c>
      <c r="S2792" t="s">
        <v>781</v>
      </c>
      <c r="T2792" t="s">
        <v>161</v>
      </c>
      <c r="U2792" t="s">
        <v>154</v>
      </c>
      <c r="V2792" t="str">
        <f>IFERROR(INDEX(Products!$C:$C,MATCH(D2792,Products!$A:$A,0)),"Unknown")</f>
        <v>Kids Wear</v>
      </c>
      <c r="W2792" t="str">
        <f>IFERROR(INDEX(Products!$E:$E,MATCH(D2792,Products!$A:$A,0)),"Unknown")</f>
        <v>Global Desi</v>
      </c>
      <c r="X2792" t="str">
        <f>IFERROR(INDEX(Stores!$B:$B,MATCH(E2792,Stores!$A:$A,0)),"Unknown")</f>
        <v>TrendMart Warangal High Street</v>
      </c>
      <c r="Y2792" t="str">
        <f>IFERROR(INDEX(Stores!$E:$E,MATCH(E2792,Stores!$A:$A,0)),"Unknown")</f>
        <v>South Zone 2</v>
      </c>
      <c r="Z2792" t="str">
        <f>IFERROR(INDEX(Customers!$J:$J,MATCH(C2792,Customers!$A:$A,0)),"Unknown")</f>
        <v>Silver</v>
      </c>
      <c r="AA2792" t="str">
        <f t="shared" si="43"/>
        <v>2025-03</v>
      </c>
      <c r="AB2792" t="str">
        <f>IFERROR(INDEX(Products!$I:$I,MATCH(D2792,Products!$A:$A,0)),"Unknown")</f>
        <v>SUP008</v>
      </c>
    </row>
    <row r="2793" spans="1:28" x14ac:dyDescent="0.25">
      <c r="A2793" t="s">
        <v>4861</v>
      </c>
      <c r="B2793" s="20">
        <v>45545</v>
      </c>
      <c r="C2793" t="s">
        <v>2041</v>
      </c>
      <c r="D2793" t="s">
        <v>1421</v>
      </c>
      <c r="E2793" t="s">
        <v>914</v>
      </c>
      <c r="F2793" t="s">
        <v>237</v>
      </c>
      <c r="G2793">
        <v>4</v>
      </c>
      <c r="H2793" s="21">
        <v>1200.0999999999999</v>
      </c>
      <c r="I2793">
        <v>0</v>
      </c>
      <c r="J2793" s="21">
        <v>0</v>
      </c>
      <c r="K2793">
        <v>12</v>
      </c>
      <c r="L2793" s="21">
        <v>576.04999999999995</v>
      </c>
      <c r="M2793" s="21">
        <v>5376.45</v>
      </c>
      <c r="N2793" s="21">
        <v>3269.32</v>
      </c>
      <c r="O2793" s="21">
        <v>1531.08</v>
      </c>
      <c r="P2793" t="s">
        <v>121</v>
      </c>
      <c r="Q2793" t="s">
        <v>120</v>
      </c>
      <c r="R2793" t="s">
        <v>313</v>
      </c>
      <c r="S2793" t="s">
        <v>1089</v>
      </c>
      <c r="T2793" t="s">
        <v>153</v>
      </c>
      <c r="U2793" t="s">
        <v>154</v>
      </c>
      <c r="V2793" t="str">
        <f>IFERROR(INDEX(Products!$C:$C,MATCH(D2793,Products!$A:$A,0)),"Unknown")</f>
        <v>Men Jeans</v>
      </c>
      <c r="W2793" t="str">
        <f>IFERROR(INDEX(Products!$E:$E,MATCH(D2793,Products!$A:$A,0)),"Unknown")</f>
        <v>Flying Machine</v>
      </c>
      <c r="X2793" t="str">
        <f>IFERROR(INDEX(Stores!$B:$B,MATCH(E2793,Stores!$A:$A,0)),"Unknown")</f>
        <v>TrendMart Thiruvananthapuram Outlet</v>
      </c>
      <c r="Y2793" t="str">
        <f>IFERROR(INDEX(Stores!$E:$E,MATCH(E2793,Stores!$A:$A,0)),"Unknown")</f>
        <v>South Zone 1</v>
      </c>
      <c r="Z2793" t="str">
        <f>IFERROR(INDEX(Customers!$J:$J,MATCH(C2793,Customers!$A:$A,0)),"Unknown")</f>
        <v>Regular</v>
      </c>
      <c r="AA2793" t="str">
        <f t="shared" si="43"/>
        <v>2024-09</v>
      </c>
      <c r="AB2793" t="str">
        <f>IFERROR(INDEX(Products!$I:$I,MATCH(D2793,Products!$A:$A,0)),"Unknown")</f>
        <v>SUP043</v>
      </c>
    </row>
    <row r="2794" spans="1:28" x14ac:dyDescent="0.25">
      <c r="A2794" t="s">
        <v>4862</v>
      </c>
      <c r="B2794" s="20">
        <v>45568</v>
      </c>
      <c r="C2794" t="s">
        <v>2444</v>
      </c>
      <c r="D2794" t="s">
        <v>1095</v>
      </c>
      <c r="E2794" t="s">
        <v>216</v>
      </c>
      <c r="F2794" t="s">
        <v>516</v>
      </c>
      <c r="G2794">
        <v>1</v>
      </c>
      <c r="H2794" s="21">
        <v>1134.82</v>
      </c>
      <c r="I2794">
        <v>15</v>
      </c>
      <c r="J2794" s="21">
        <v>170.22</v>
      </c>
      <c r="K2794">
        <v>12</v>
      </c>
      <c r="L2794" s="21">
        <v>115.75</v>
      </c>
      <c r="M2794" s="21">
        <v>1080.3499999999999</v>
      </c>
      <c r="N2794" s="21">
        <v>769.63</v>
      </c>
      <c r="O2794" s="21">
        <v>194.97</v>
      </c>
      <c r="P2794" t="s">
        <v>124</v>
      </c>
      <c r="Q2794" t="s">
        <v>120</v>
      </c>
      <c r="R2794" t="s">
        <v>151</v>
      </c>
      <c r="S2794" t="s">
        <v>2274</v>
      </c>
      <c r="T2794" t="s">
        <v>153</v>
      </c>
      <c r="U2794" t="s">
        <v>154</v>
      </c>
      <c r="V2794" t="str">
        <f>IFERROR(INDEX(Products!$C:$C,MATCH(D2794,Products!$A:$A,0)),"Unknown")</f>
        <v>Women Dresses</v>
      </c>
      <c r="W2794" t="str">
        <f>IFERROR(INDEX(Products!$E:$E,MATCH(D2794,Products!$A:$A,0)),"Unknown")</f>
        <v>Ramraj Cotton</v>
      </c>
      <c r="X2794" t="str">
        <f>IFERROR(INDEX(Stores!$B:$B,MATCH(E2794,Stores!$A:$A,0)),"Unknown")</f>
        <v>TrendMart Madurai Mall Kiosk</v>
      </c>
      <c r="Y2794" t="str">
        <f>IFERROR(INDEX(Stores!$E:$E,MATCH(E2794,Stores!$A:$A,0)),"Unknown")</f>
        <v>South Zone 1</v>
      </c>
      <c r="Z2794" t="str">
        <f>IFERROR(INDEX(Customers!$J:$J,MATCH(C2794,Customers!$A:$A,0)),"Unknown")</f>
        <v>Regular</v>
      </c>
      <c r="AA2794" t="str">
        <f t="shared" si="43"/>
        <v>2024-10</v>
      </c>
      <c r="AB2794" t="str">
        <f>IFERROR(INDEX(Products!$I:$I,MATCH(D2794,Products!$A:$A,0)),"Unknown")</f>
        <v>SUP054</v>
      </c>
    </row>
    <row r="2795" spans="1:28" x14ac:dyDescent="0.25">
      <c r="A2795" t="s">
        <v>4863</v>
      </c>
      <c r="B2795" s="20">
        <v>45467</v>
      </c>
      <c r="C2795" t="s">
        <v>1305</v>
      </c>
      <c r="D2795" t="s">
        <v>1668</v>
      </c>
      <c r="E2795" t="s">
        <v>667</v>
      </c>
      <c r="F2795" t="s">
        <v>263</v>
      </c>
      <c r="G2795">
        <v>5</v>
      </c>
      <c r="H2795" s="21">
        <v>1329.26</v>
      </c>
      <c r="I2795">
        <v>0</v>
      </c>
      <c r="J2795" s="21">
        <v>0</v>
      </c>
      <c r="K2795">
        <v>12</v>
      </c>
      <c r="L2795" s="21">
        <v>797.56</v>
      </c>
      <c r="M2795" s="21">
        <v>7443.86</v>
      </c>
      <c r="N2795" s="21">
        <v>4466.8500000000004</v>
      </c>
      <c r="O2795" s="21">
        <v>2179.4499999999998</v>
      </c>
      <c r="P2795" t="s">
        <v>123</v>
      </c>
      <c r="Q2795" t="s">
        <v>120</v>
      </c>
      <c r="R2795" t="s">
        <v>151</v>
      </c>
      <c r="S2795" t="s">
        <v>2655</v>
      </c>
      <c r="T2795" t="s">
        <v>153</v>
      </c>
      <c r="U2795" t="s">
        <v>154</v>
      </c>
      <c r="V2795" t="str">
        <f>IFERROR(INDEX(Products!$C:$C,MATCH(D2795,Products!$A:$A,0)),"Unknown")</f>
        <v>Women Kurtis</v>
      </c>
      <c r="W2795" t="str">
        <f>IFERROR(INDEX(Products!$E:$E,MATCH(D2795,Products!$A:$A,0)),"Unknown")</f>
        <v>Liberty</v>
      </c>
      <c r="X2795" t="str">
        <f>IFERROR(INDEX(Stores!$B:$B,MATCH(E2795,Stores!$A:$A,0)),"Unknown")</f>
        <v>TrendMart Hyderabad High Street</v>
      </c>
      <c r="Y2795" t="str">
        <f>IFERROR(INDEX(Stores!$E:$E,MATCH(E2795,Stores!$A:$A,0)),"Unknown")</f>
        <v>South Zone 2</v>
      </c>
      <c r="Z2795" t="str">
        <f>IFERROR(INDEX(Customers!$J:$J,MATCH(C2795,Customers!$A:$A,0)),"Unknown")</f>
        <v>Gold</v>
      </c>
      <c r="AA2795" t="str">
        <f t="shared" si="43"/>
        <v>2024-06</v>
      </c>
      <c r="AB2795" t="str">
        <f>IFERROR(INDEX(Products!$I:$I,MATCH(D2795,Products!$A:$A,0)),"Unknown")</f>
        <v>SUP022</v>
      </c>
    </row>
    <row r="2796" spans="1:28" x14ac:dyDescent="0.25">
      <c r="A2796" t="s">
        <v>4864</v>
      </c>
      <c r="B2796" s="20">
        <v>45442</v>
      </c>
      <c r="C2796" t="s">
        <v>776</v>
      </c>
      <c r="D2796" t="s">
        <v>1026</v>
      </c>
      <c r="E2796" t="s">
        <v>83</v>
      </c>
      <c r="F2796" t="s">
        <v>532</v>
      </c>
      <c r="G2796">
        <v>3</v>
      </c>
      <c r="H2796" s="21">
        <v>1357.23</v>
      </c>
      <c r="I2796">
        <v>10</v>
      </c>
      <c r="J2796" s="21">
        <v>407.17</v>
      </c>
      <c r="K2796">
        <v>12</v>
      </c>
      <c r="L2796" s="21">
        <v>439.74</v>
      </c>
      <c r="M2796" s="21">
        <v>4104.26</v>
      </c>
      <c r="N2796" s="21">
        <v>2886.51</v>
      </c>
      <c r="O2796" s="21">
        <v>778.01</v>
      </c>
      <c r="P2796" t="s">
        <v>124</v>
      </c>
      <c r="Q2796" t="s">
        <v>120</v>
      </c>
      <c r="R2796" t="s">
        <v>151</v>
      </c>
      <c r="S2796" t="s">
        <v>1735</v>
      </c>
      <c r="T2796" t="s">
        <v>153</v>
      </c>
      <c r="U2796" t="s">
        <v>154</v>
      </c>
      <c r="V2796" t="str">
        <f>IFERROR(INDEX(Products!$C:$C,MATCH(D2796,Products!$A:$A,0)),"Unknown")</f>
        <v>Women Sarees</v>
      </c>
      <c r="W2796" t="str">
        <f>IFERROR(INDEX(Products!$E:$E,MATCH(D2796,Products!$A:$A,0)),"Unknown")</f>
        <v>Spykar</v>
      </c>
      <c r="X2796" t="str">
        <f>IFERROR(INDEX(Stores!$B:$B,MATCH(E2796,Stores!$A:$A,0)),"Unknown")</f>
        <v>TrendMart Vellore Standard</v>
      </c>
      <c r="Y2796" t="str">
        <f>IFERROR(INDEX(Stores!$E:$E,MATCH(E2796,Stores!$A:$A,0)),"Unknown")</f>
        <v>South Zone 1</v>
      </c>
      <c r="Z2796" t="str">
        <f>IFERROR(INDEX(Customers!$J:$J,MATCH(C2796,Customers!$A:$A,0)),"Unknown")</f>
        <v>Silver</v>
      </c>
      <c r="AA2796" t="str">
        <f t="shared" si="43"/>
        <v>2024-05</v>
      </c>
      <c r="AB2796" t="str">
        <f>IFERROR(INDEX(Products!$I:$I,MATCH(D2796,Products!$A:$A,0)),"Unknown")</f>
        <v>SUP001</v>
      </c>
    </row>
    <row r="2797" spans="1:28" x14ac:dyDescent="0.25">
      <c r="A2797" t="s">
        <v>4865</v>
      </c>
      <c r="B2797" s="20">
        <v>45610</v>
      </c>
      <c r="C2797" t="s">
        <v>1270</v>
      </c>
      <c r="D2797" t="s">
        <v>531</v>
      </c>
      <c r="E2797" t="s">
        <v>1108</v>
      </c>
      <c r="F2797" t="s">
        <v>434</v>
      </c>
      <c r="G2797">
        <v>1</v>
      </c>
      <c r="H2797" s="21">
        <v>2964.33</v>
      </c>
      <c r="I2797">
        <v>0</v>
      </c>
      <c r="J2797" s="21">
        <v>0</v>
      </c>
      <c r="K2797">
        <v>12</v>
      </c>
      <c r="L2797" s="21">
        <v>355.72</v>
      </c>
      <c r="M2797" s="21">
        <v>3320.05</v>
      </c>
      <c r="N2797" s="21">
        <v>2034.01</v>
      </c>
      <c r="O2797" s="21">
        <v>930.32</v>
      </c>
      <c r="P2797" t="s">
        <v>125</v>
      </c>
      <c r="Q2797" t="s">
        <v>120</v>
      </c>
      <c r="R2797" t="s">
        <v>313</v>
      </c>
      <c r="S2797" t="s">
        <v>1796</v>
      </c>
      <c r="T2797" t="s">
        <v>153</v>
      </c>
      <c r="U2797" t="s">
        <v>154</v>
      </c>
      <c r="V2797" t="str">
        <f>IFERROR(INDEX(Products!$C:$C,MATCH(D2797,Products!$A:$A,0)),"Unknown")</f>
        <v>Handbags</v>
      </c>
      <c r="W2797" t="str">
        <f>IFERROR(INDEX(Products!$E:$E,MATCH(D2797,Products!$A:$A,0)),"Unknown")</f>
        <v>GRT Jewellers</v>
      </c>
      <c r="X2797" t="str">
        <f>IFERROR(INDEX(Stores!$B:$B,MATCH(E2797,Stores!$A:$A,0)),"Unknown")</f>
        <v>TrendMart Karimnagar Standard</v>
      </c>
      <c r="Y2797" t="str">
        <f>IFERROR(INDEX(Stores!$E:$E,MATCH(E2797,Stores!$A:$A,0)),"Unknown")</f>
        <v>South Zone 2</v>
      </c>
      <c r="Z2797" t="str">
        <f>IFERROR(INDEX(Customers!$J:$J,MATCH(C2797,Customers!$A:$A,0)),"Unknown")</f>
        <v>Silver</v>
      </c>
      <c r="AA2797" t="str">
        <f t="shared" si="43"/>
        <v>2024-11</v>
      </c>
      <c r="AB2797" t="str">
        <f>IFERROR(INDEX(Products!$I:$I,MATCH(D2797,Products!$A:$A,0)),"Unknown")</f>
        <v>SUP047</v>
      </c>
    </row>
    <row r="2798" spans="1:28" x14ac:dyDescent="0.25">
      <c r="A2798" t="s">
        <v>4866</v>
      </c>
      <c r="B2798" s="20">
        <v>45725</v>
      </c>
      <c r="C2798" t="s">
        <v>2228</v>
      </c>
      <c r="D2798" t="s">
        <v>1197</v>
      </c>
      <c r="E2798" t="s">
        <v>999</v>
      </c>
      <c r="F2798" t="s">
        <v>574</v>
      </c>
      <c r="G2798">
        <v>2</v>
      </c>
      <c r="H2798" s="21">
        <v>1175.8</v>
      </c>
      <c r="I2798">
        <v>0</v>
      </c>
      <c r="J2798" s="21">
        <v>0</v>
      </c>
      <c r="K2798">
        <v>12</v>
      </c>
      <c r="L2798" s="21">
        <v>282.19</v>
      </c>
      <c r="M2798" s="21">
        <v>2633.79</v>
      </c>
      <c r="N2798" s="21">
        <v>1657.04</v>
      </c>
      <c r="O2798" s="21">
        <v>694.56</v>
      </c>
      <c r="P2798" t="s">
        <v>121</v>
      </c>
      <c r="Q2798" t="s">
        <v>120</v>
      </c>
      <c r="R2798" t="s">
        <v>151</v>
      </c>
      <c r="S2798" t="s">
        <v>757</v>
      </c>
      <c r="T2798" t="s">
        <v>161</v>
      </c>
      <c r="U2798" t="s">
        <v>154</v>
      </c>
      <c r="V2798" t="str">
        <f>IFERROR(INDEX(Products!$C:$C,MATCH(D2798,Products!$A:$A,0)),"Unknown")</f>
        <v>Women Jeans</v>
      </c>
      <c r="W2798" t="str">
        <f>IFERROR(INDEX(Products!$E:$E,MATCH(D2798,Products!$A:$A,0)),"Unknown")</f>
        <v>Van Heusen</v>
      </c>
      <c r="X2798" t="str">
        <f>IFERROR(INDEX(Stores!$B:$B,MATCH(E2798,Stores!$A:$A,0)),"Unknown")</f>
        <v>TrendMart Tumakuru Standard</v>
      </c>
      <c r="Y2798" t="str">
        <f>IFERROR(INDEX(Stores!$E:$E,MATCH(E2798,Stores!$A:$A,0)),"Unknown")</f>
        <v>South Zone 2</v>
      </c>
      <c r="Z2798" t="str">
        <f>IFERROR(INDEX(Customers!$J:$J,MATCH(C2798,Customers!$A:$A,0)),"Unknown")</f>
        <v>Regular</v>
      </c>
      <c r="AA2798" t="str">
        <f t="shared" si="43"/>
        <v>2025-03</v>
      </c>
      <c r="AB2798" t="str">
        <f>IFERROR(INDEX(Products!$I:$I,MATCH(D2798,Products!$A:$A,0)),"Unknown")</f>
        <v>SUP021</v>
      </c>
    </row>
    <row r="2799" spans="1:28" x14ac:dyDescent="0.25">
      <c r="A2799" t="s">
        <v>4867</v>
      </c>
      <c r="B2799" s="20">
        <v>45679</v>
      </c>
      <c r="C2799" t="s">
        <v>1552</v>
      </c>
      <c r="D2799" t="s">
        <v>583</v>
      </c>
      <c r="E2799" t="s">
        <v>810</v>
      </c>
      <c r="F2799" t="s">
        <v>195</v>
      </c>
      <c r="G2799">
        <v>2</v>
      </c>
      <c r="H2799" s="21">
        <v>857.43</v>
      </c>
      <c r="I2799">
        <v>30</v>
      </c>
      <c r="J2799" s="21">
        <v>514.46</v>
      </c>
      <c r="K2799">
        <v>5</v>
      </c>
      <c r="L2799" s="21">
        <v>60.02</v>
      </c>
      <c r="M2799" s="21">
        <v>1260.42</v>
      </c>
      <c r="N2799" s="21">
        <v>1259.44</v>
      </c>
      <c r="O2799" s="21">
        <v>-59.04</v>
      </c>
      <c r="P2799" t="s">
        <v>123</v>
      </c>
      <c r="Q2799" t="s">
        <v>120</v>
      </c>
      <c r="R2799" t="s">
        <v>313</v>
      </c>
      <c r="S2799" t="s">
        <v>2575</v>
      </c>
      <c r="T2799" t="s">
        <v>153</v>
      </c>
      <c r="U2799" t="s">
        <v>184</v>
      </c>
      <c r="V2799" t="str">
        <f>IFERROR(INDEX(Products!$C:$C,MATCH(D2799,Products!$A:$A,0)),"Unknown")</f>
        <v>Women Tops</v>
      </c>
      <c r="W2799" t="str">
        <f>IFERROR(INDEX(Products!$E:$E,MATCH(D2799,Products!$A:$A,0)),"Unknown")</f>
        <v>Ramraj Cotton</v>
      </c>
      <c r="X2799" t="str">
        <f>IFERROR(INDEX(Stores!$B:$B,MATCH(E2799,Stores!$A:$A,0)),"Unknown")</f>
        <v>TrendMart Nizamabad Standard</v>
      </c>
      <c r="Y2799" t="str">
        <f>IFERROR(INDEX(Stores!$E:$E,MATCH(E2799,Stores!$A:$A,0)),"Unknown")</f>
        <v>South Zone 2</v>
      </c>
      <c r="Z2799" t="str">
        <f>IFERROR(INDEX(Customers!$J:$J,MATCH(C2799,Customers!$A:$A,0)),"Unknown")</f>
        <v>Platinum</v>
      </c>
      <c r="AA2799" t="str">
        <f t="shared" si="43"/>
        <v>2025-01</v>
      </c>
      <c r="AB2799" t="str">
        <f>IFERROR(INDEX(Products!$I:$I,MATCH(D2799,Products!$A:$A,0)),"Unknown")</f>
        <v>SUP048</v>
      </c>
    </row>
    <row r="2800" spans="1:28" x14ac:dyDescent="0.25">
      <c r="A2800" t="s">
        <v>4868</v>
      </c>
      <c r="B2800" s="20">
        <v>45426</v>
      </c>
      <c r="C2800" t="s">
        <v>1793</v>
      </c>
      <c r="D2800" t="s">
        <v>1616</v>
      </c>
      <c r="E2800" t="s">
        <v>613</v>
      </c>
      <c r="F2800" t="s">
        <v>618</v>
      </c>
      <c r="G2800">
        <v>3</v>
      </c>
      <c r="H2800" s="21">
        <v>4509.2</v>
      </c>
      <c r="I2800">
        <v>30</v>
      </c>
      <c r="J2800" s="21">
        <v>4058.28</v>
      </c>
      <c r="K2800">
        <v>12</v>
      </c>
      <c r="L2800" s="21">
        <v>1136.32</v>
      </c>
      <c r="M2800" s="21">
        <v>10605.64</v>
      </c>
      <c r="N2800" s="21">
        <v>9069.39</v>
      </c>
      <c r="O2800" s="21">
        <v>399.93</v>
      </c>
      <c r="P2800" t="s">
        <v>121</v>
      </c>
      <c r="Q2800" t="s">
        <v>120</v>
      </c>
      <c r="R2800" t="s">
        <v>313</v>
      </c>
      <c r="S2800" t="s">
        <v>655</v>
      </c>
      <c r="T2800" t="s">
        <v>153</v>
      </c>
      <c r="U2800" t="s">
        <v>154</v>
      </c>
      <c r="V2800" t="str">
        <f>IFERROR(INDEX(Products!$C:$C,MATCH(D2800,Products!$A:$A,0)),"Unknown")</f>
        <v>Women Sarees</v>
      </c>
      <c r="W2800" t="str">
        <f>IFERROR(INDEX(Products!$E:$E,MATCH(D2800,Products!$A:$A,0)),"Unknown")</f>
        <v>Max Fashion</v>
      </c>
      <c r="X2800" t="str">
        <f>IFERROR(INDEX(Stores!$B:$B,MATCH(E2800,Stores!$A:$A,0)),"Unknown")</f>
        <v>TrendMart Kochi Mall Kiosk</v>
      </c>
      <c r="Y2800" t="str">
        <f>IFERROR(INDEX(Stores!$E:$E,MATCH(E2800,Stores!$A:$A,0)),"Unknown")</f>
        <v>South Zone 1</v>
      </c>
      <c r="Z2800" t="str">
        <f>IFERROR(INDEX(Customers!$J:$J,MATCH(C2800,Customers!$A:$A,0)),"Unknown")</f>
        <v>Gold</v>
      </c>
      <c r="AA2800" t="str">
        <f t="shared" si="43"/>
        <v>2024-05</v>
      </c>
      <c r="AB2800" t="str">
        <f>IFERROR(INDEX(Products!$I:$I,MATCH(D2800,Products!$A:$A,0)),"Unknown")</f>
        <v>SUP047</v>
      </c>
    </row>
    <row r="2801" spans="1:28" x14ac:dyDescent="0.25">
      <c r="A2801" t="s">
        <v>4869</v>
      </c>
      <c r="B2801" s="20">
        <v>45654</v>
      </c>
      <c r="C2801" t="s">
        <v>679</v>
      </c>
      <c r="D2801" t="s">
        <v>1186</v>
      </c>
      <c r="E2801" t="s">
        <v>296</v>
      </c>
      <c r="F2801" t="s">
        <v>462</v>
      </c>
      <c r="G2801">
        <v>3</v>
      </c>
      <c r="H2801" s="21">
        <v>1148.28</v>
      </c>
      <c r="I2801">
        <v>0</v>
      </c>
      <c r="J2801" s="21">
        <v>0</v>
      </c>
      <c r="K2801">
        <v>12</v>
      </c>
      <c r="L2801" s="21">
        <v>413.38</v>
      </c>
      <c r="M2801" s="21">
        <v>3858.22</v>
      </c>
      <c r="N2801" s="21">
        <v>2446.35</v>
      </c>
      <c r="O2801" s="21">
        <v>998.49</v>
      </c>
      <c r="P2801" t="s">
        <v>121</v>
      </c>
      <c r="Q2801" t="s">
        <v>122</v>
      </c>
      <c r="R2801" t="s">
        <v>151</v>
      </c>
      <c r="S2801" t="s">
        <v>3870</v>
      </c>
      <c r="T2801" t="s">
        <v>161</v>
      </c>
      <c r="U2801" t="s">
        <v>154</v>
      </c>
      <c r="V2801" t="str">
        <f>IFERROR(INDEX(Products!$C:$C,MATCH(D2801,Products!$A:$A,0)),"Unknown")</f>
        <v>Wallets</v>
      </c>
      <c r="W2801" t="str">
        <f>IFERROR(INDEX(Products!$E:$E,MATCH(D2801,Products!$A:$A,0)),"Unknown")</f>
        <v>Levi's</v>
      </c>
      <c r="X2801" t="str">
        <f>IFERROR(INDEX(Stores!$B:$B,MATCH(E2801,Stores!$A:$A,0)),"Unknown")</f>
        <v>TrendMart Kurnool Outlet</v>
      </c>
      <c r="Y2801" t="str">
        <f>IFERROR(INDEX(Stores!$E:$E,MATCH(E2801,Stores!$A:$A,0)),"Unknown")</f>
        <v>South Zone 3</v>
      </c>
      <c r="Z2801" t="str">
        <f>IFERROR(INDEX(Customers!$J:$J,MATCH(C2801,Customers!$A:$A,0)),"Unknown")</f>
        <v>Gold</v>
      </c>
      <c r="AA2801" t="str">
        <f t="shared" si="43"/>
        <v>2024-12</v>
      </c>
      <c r="AB2801" t="str">
        <f>IFERROR(INDEX(Products!$I:$I,MATCH(D2801,Products!$A:$A,0)),"Unknown")</f>
        <v>SUP045</v>
      </c>
    </row>
    <row r="2802" spans="1:28" x14ac:dyDescent="0.25">
      <c r="A2802" t="s">
        <v>4870</v>
      </c>
      <c r="B2802" s="20">
        <v>45627</v>
      </c>
      <c r="C2802" t="s">
        <v>219</v>
      </c>
      <c r="D2802" t="s">
        <v>433</v>
      </c>
      <c r="E2802" t="s">
        <v>262</v>
      </c>
      <c r="F2802" t="s">
        <v>237</v>
      </c>
      <c r="G2802">
        <v>2</v>
      </c>
      <c r="H2802" s="21">
        <v>959.33</v>
      </c>
      <c r="I2802">
        <v>25</v>
      </c>
      <c r="J2802" s="21">
        <v>479.67</v>
      </c>
      <c r="K2802">
        <v>5</v>
      </c>
      <c r="L2802" s="21">
        <v>71.95</v>
      </c>
      <c r="M2802" s="21">
        <v>1510.94</v>
      </c>
      <c r="N2802" s="21">
        <v>1146.18</v>
      </c>
      <c r="O2802" s="21">
        <v>292.81</v>
      </c>
      <c r="P2802" t="s">
        <v>121</v>
      </c>
      <c r="Q2802" t="s">
        <v>120</v>
      </c>
      <c r="R2802" t="s">
        <v>151</v>
      </c>
      <c r="S2802" t="s">
        <v>1595</v>
      </c>
      <c r="T2802" t="s">
        <v>161</v>
      </c>
      <c r="U2802" t="s">
        <v>154</v>
      </c>
      <c r="V2802" t="str">
        <f>IFERROR(INDEX(Products!$C:$C,MATCH(D2802,Products!$A:$A,0)),"Unknown")</f>
        <v>Women Kurtis</v>
      </c>
      <c r="W2802" t="str">
        <f>IFERROR(INDEX(Products!$E:$E,MATCH(D2802,Products!$A:$A,0)),"Unknown")</f>
        <v>Nike</v>
      </c>
      <c r="X2802" t="str">
        <f>IFERROR(INDEX(Stores!$B:$B,MATCH(E2802,Stores!$A:$A,0)),"Unknown")</f>
        <v>TrendMart Thoothukudi Outlet</v>
      </c>
      <c r="Y2802" t="str">
        <f>IFERROR(INDEX(Stores!$E:$E,MATCH(E2802,Stores!$A:$A,0)),"Unknown")</f>
        <v>South Zone 1</v>
      </c>
      <c r="Z2802" t="str">
        <f>IFERROR(INDEX(Customers!$J:$J,MATCH(C2802,Customers!$A:$A,0)),"Unknown")</f>
        <v>Silver</v>
      </c>
      <c r="AA2802" t="str">
        <f t="shared" si="43"/>
        <v>2024-12</v>
      </c>
      <c r="AB2802" t="str">
        <f>IFERROR(INDEX(Products!$I:$I,MATCH(D2802,Products!$A:$A,0)),"Unknown")</f>
        <v>SUP012</v>
      </c>
    </row>
    <row r="2803" spans="1:28" x14ac:dyDescent="0.25">
      <c r="A2803" t="s">
        <v>4871</v>
      </c>
      <c r="B2803" s="20">
        <v>45417</v>
      </c>
      <c r="C2803" t="s">
        <v>2846</v>
      </c>
      <c r="D2803" t="s">
        <v>961</v>
      </c>
      <c r="E2803" t="s">
        <v>681</v>
      </c>
      <c r="F2803" t="s">
        <v>189</v>
      </c>
      <c r="G2803">
        <v>2</v>
      </c>
      <c r="H2803" s="21">
        <v>1342.67</v>
      </c>
      <c r="I2803">
        <v>5</v>
      </c>
      <c r="J2803" s="21">
        <v>134.27000000000001</v>
      </c>
      <c r="K2803">
        <v>12</v>
      </c>
      <c r="L2803" s="21">
        <v>306.13</v>
      </c>
      <c r="M2803" s="21">
        <v>2857.2</v>
      </c>
      <c r="N2803" s="21">
        <v>1763.86</v>
      </c>
      <c r="O2803" s="21">
        <v>787.21</v>
      </c>
      <c r="P2803" t="s">
        <v>121</v>
      </c>
      <c r="Q2803" t="s">
        <v>120</v>
      </c>
      <c r="R2803" t="s">
        <v>313</v>
      </c>
      <c r="S2803" t="s">
        <v>1891</v>
      </c>
      <c r="T2803" t="s">
        <v>161</v>
      </c>
      <c r="U2803" t="s">
        <v>154</v>
      </c>
      <c r="V2803" t="str">
        <f>IFERROR(INDEX(Products!$C:$C,MATCH(D2803,Products!$A:$A,0)),"Unknown")</f>
        <v>Men Trousers</v>
      </c>
      <c r="W2803" t="str">
        <f>IFERROR(INDEX(Products!$E:$E,MATCH(D2803,Products!$A:$A,0)),"Unknown")</f>
        <v>Pepe Jeans</v>
      </c>
      <c r="X2803" t="str">
        <f>IFERROR(INDEX(Stores!$B:$B,MATCH(E2803,Stores!$A:$A,0)),"Unknown")</f>
        <v>TrendMart Shivamogga Mall Kiosk</v>
      </c>
      <c r="Y2803" t="str">
        <f>IFERROR(INDEX(Stores!$E:$E,MATCH(E2803,Stores!$A:$A,0)),"Unknown")</f>
        <v>South Zone 2</v>
      </c>
      <c r="Z2803" t="str">
        <f>IFERROR(INDEX(Customers!$J:$J,MATCH(C2803,Customers!$A:$A,0)),"Unknown")</f>
        <v>Gold</v>
      </c>
      <c r="AA2803" t="str">
        <f t="shared" si="43"/>
        <v>2024-05</v>
      </c>
      <c r="AB2803" t="str">
        <f>IFERROR(INDEX(Products!$I:$I,MATCH(D2803,Products!$A:$A,0)),"Unknown")</f>
        <v>SUP071</v>
      </c>
    </row>
    <row r="2804" spans="1:28" x14ac:dyDescent="0.25">
      <c r="A2804" t="s">
        <v>4872</v>
      </c>
      <c r="B2804" s="20">
        <v>45466</v>
      </c>
      <c r="C2804" t="s">
        <v>3490</v>
      </c>
      <c r="D2804" t="s">
        <v>174</v>
      </c>
      <c r="E2804" t="s">
        <v>188</v>
      </c>
      <c r="F2804" t="s">
        <v>403</v>
      </c>
      <c r="G2804">
        <v>4</v>
      </c>
      <c r="H2804" s="21">
        <v>958.34</v>
      </c>
      <c r="I2804">
        <v>0</v>
      </c>
      <c r="J2804" s="21">
        <v>0</v>
      </c>
      <c r="K2804">
        <v>5</v>
      </c>
      <c r="L2804" s="21">
        <v>191.67</v>
      </c>
      <c r="M2804" s="21">
        <v>4025.03</v>
      </c>
      <c r="N2804" s="21">
        <v>2159.04</v>
      </c>
      <c r="O2804" s="21">
        <v>1674.32</v>
      </c>
      <c r="P2804" t="s">
        <v>121</v>
      </c>
      <c r="Q2804" t="s">
        <v>120</v>
      </c>
      <c r="R2804" t="s">
        <v>151</v>
      </c>
      <c r="S2804" t="s">
        <v>1137</v>
      </c>
      <c r="T2804" t="s">
        <v>161</v>
      </c>
      <c r="U2804" t="s">
        <v>154</v>
      </c>
      <c r="V2804" t="str">
        <f>IFERROR(INDEX(Products!$C:$C,MATCH(D2804,Products!$A:$A,0)),"Unknown")</f>
        <v>Women Kurtis</v>
      </c>
      <c r="W2804" t="str">
        <f>IFERROR(INDEX(Products!$E:$E,MATCH(D2804,Products!$A:$A,0)),"Unknown")</f>
        <v>Reebok</v>
      </c>
      <c r="X2804" t="str">
        <f>IFERROR(INDEX(Stores!$B:$B,MATCH(E2804,Stores!$A:$A,0)),"Unknown")</f>
        <v>TrendMart Vijayawada Standard</v>
      </c>
      <c r="Y2804" t="str">
        <f>IFERROR(INDEX(Stores!$E:$E,MATCH(E2804,Stores!$A:$A,0)),"Unknown")</f>
        <v>South Zone 3</v>
      </c>
      <c r="Z2804" t="str">
        <f>IFERROR(INDEX(Customers!$J:$J,MATCH(C2804,Customers!$A:$A,0)),"Unknown")</f>
        <v>Unknown</v>
      </c>
      <c r="AA2804" t="str">
        <f t="shared" si="43"/>
        <v>2024-06</v>
      </c>
      <c r="AB2804" t="str">
        <f>IFERROR(INDEX(Products!$I:$I,MATCH(D2804,Products!$A:$A,0)),"Unknown")</f>
        <v>SUP012</v>
      </c>
    </row>
    <row r="2805" spans="1:28" x14ac:dyDescent="0.25">
      <c r="A2805" t="s">
        <v>4873</v>
      </c>
      <c r="B2805" s="20">
        <v>45463</v>
      </c>
      <c r="C2805" t="s">
        <v>2135</v>
      </c>
      <c r="D2805" t="s">
        <v>220</v>
      </c>
      <c r="E2805" t="s">
        <v>368</v>
      </c>
      <c r="F2805" t="s">
        <v>382</v>
      </c>
      <c r="G2805">
        <v>1</v>
      </c>
      <c r="H2805" s="21">
        <v>5818.2</v>
      </c>
      <c r="I2805">
        <v>25</v>
      </c>
      <c r="J2805" s="21">
        <v>1454.55</v>
      </c>
      <c r="K2805">
        <v>12</v>
      </c>
      <c r="L2805" s="21">
        <v>523.64</v>
      </c>
      <c r="M2805" s="21">
        <v>4887.29</v>
      </c>
      <c r="N2805" s="21">
        <v>3970.86</v>
      </c>
      <c r="O2805" s="21">
        <v>392.79</v>
      </c>
      <c r="P2805" t="s">
        <v>125</v>
      </c>
      <c r="Q2805" t="s">
        <v>120</v>
      </c>
      <c r="R2805" t="s">
        <v>151</v>
      </c>
      <c r="S2805" t="s">
        <v>2296</v>
      </c>
      <c r="T2805" t="s">
        <v>153</v>
      </c>
      <c r="U2805" t="s">
        <v>154</v>
      </c>
      <c r="V2805" t="str">
        <f>IFERROR(INDEX(Products!$C:$C,MATCH(D2805,Products!$A:$A,0)),"Unknown")</f>
        <v>Watches</v>
      </c>
      <c r="W2805" t="str">
        <f>IFERROR(INDEX(Products!$E:$E,MATCH(D2805,Products!$A:$A,0)),"Unknown")</f>
        <v>Global Desi</v>
      </c>
      <c r="X2805" t="str">
        <f>IFERROR(INDEX(Stores!$B:$B,MATCH(E2805,Stores!$A:$A,0)),"Unknown")</f>
        <v>TrendMart Alappuzha Outlet</v>
      </c>
      <c r="Y2805" t="str">
        <f>IFERROR(INDEX(Stores!$E:$E,MATCH(E2805,Stores!$A:$A,0)),"Unknown")</f>
        <v>South Zone 1</v>
      </c>
      <c r="Z2805" t="str">
        <f>IFERROR(INDEX(Customers!$J:$J,MATCH(C2805,Customers!$A:$A,0)),"Unknown")</f>
        <v>Regular</v>
      </c>
      <c r="AA2805" t="str">
        <f t="shared" si="43"/>
        <v>2024-06</v>
      </c>
      <c r="AB2805" t="str">
        <f>IFERROR(INDEX(Products!$I:$I,MATCH(D2805,Products!$A:$A,0)),"Unknown")</f>
        <v>SUP055</v>
      </c>
    </row>
    <row r="2806" spans="1:28" x14ac:dyDescent="0.25">
      <c r="A2806" t="s">
        <v>4874</v>
      </c>
      <c r="B2806" s="20">
        <v>45618</v>
      </c>
      <c r="C2806" t="s">
        <v>4408</v>
      </c>
      <c r="D2806" t="s">
        <v>1691</v>
      </c>
      <c r="E2806" t="s">
        <v>490</v>
      </c>
      <c r="F2806" t="s">
        <v>377</v>
      </c>
      <c r="G2806">
        <v>2</v>
      </c>
      <c r="H2806" s="21">
        <v>925.4</v>
      </c>
      <c r="I2806">
        <v>15</v>
      </c>
      <c r="J2806" s="21">
        <v>277.62</v>
      </c>
      <c r="K2806">
        <v>5</v>
      </c>
      <c r="L2806" s="21">
        <v>78.66</v>
      </c>
      <c r="M2806" s="21">
        <v>1651.84</v>
      </c>
      <c r="N2806" s="21">
        <v>1401.86</v>
      </c>
      <c r="O2806" s="21">
        <v>171.32</v>
      </c>
      <c r="P2806" t="s">
        <v>125</v>
      </c>
      <c r="Q2806" t="s">
        <v>120</v>
      </c>
      <c r="R2806" t="s">
        <v>151</v>
      </c>
      <c r="S2806" t="s">
        <v>1351</v>
      </c>
      <c r="T2806" t="s">
        <v>153</v>
      </c>
      <c r="U2806" t="s">
        <v>154</v>
      </c>
      <c r="V2806" t="str">
        <f>IFERROR(INDEX(Products!$C:$C,MATCH(D2806,Products!$A:$A,0)),"Unknown")</f>
        <v>Women Jeans</v>
      </c>
      <c r="W2806" t="str">
        <f>IFERROR(INDEX(Products!$E:$E,MATCH(D2806,Products!$A:$A,0)),"Unknown")</f>
        <v>Global Desi</v>
      </c>
      <c r="X2806" t="str">
        <f>IFERROR(INDEX(Stores!$B:$B,MATCH(E2806,Stores!$A:$A,0)),"Unknown")</f>
        <v>TrendMart Mangaluru Mall Kiosk</v>
      </c>
      <c r="Y2806" t="str">
        <f>IFERROR(INDEX(Stores!$E:$E,MATCH(E2806,Stores!$A:$A,0)),"Unknown")</f>
        <v>South Zone 2</v>
      </c>
      <c r="Z2806" t="str">
        <f>IFERROR(INDEX(Customers!$J:$J,MATCH(C2806,Customers!$A:$A,0)),"Unknown")</f>
        <v>Platinum</v>
      </c>
      <c r="AA2806" t="str">
        <f t="shared" si="43"/>
        <v>2024-11</v>
      </c>
      <c r="AB2806" t="str">
        <f>IFERROR(INDEX(Products!$I:$I,MATCH(D2806,Products!$A:$A,0)),"Unknown")</f>
        <v>SUP015</v>
      </c>
    </row>
    <row r="2807" spans="1:28" x14ac:dyDescent="0.25">
      <c r="A2807" t="s">
        <v>4875</v>
      </c>
      <c r="B2807" s="20">
        <v>45460</v>
      </c>
      <c r="C2807" t="s">
        <v>4876</v>
      </c>
      <c r="D2807" t="s">
        <v>498</v>
      </c>
      <c r="E2807" t="s">
        <v>87</v>
      </c>
      <c r="F2807" t="s">
        <v>275</v>
      </c>
      <c r="G2807">
        <v>2</v>
      </c>
      <c r="H2807" s="21">
        <v>412.77</v>
      </c>
      <c r="I2807">
        <v>30</v>
      </c>
      <c r="J2807" s="21">
        <v>247.66</v>
      </c>
      <c r="K2807">
        <v>5</v>
      </c>
      <c r="L2807" s="21">
        <v>28.89</v>
      </c>
      <c r="M2807" s="21">
        <v>606.77</v>
      </c>
      <c r="N2807" s="21">
        <v>630.26</v>
      </c>
      <c r="O2807" s="21">
        <v>-52.38</v>
      </c>
      <c r="P2807" t="s">
        <v>124</v>
      </c>
      <c r="Q2807" t="s">
        <v>122</v>
      </c>
      <c r="R2807" t="s">
        <v>151</v>
      </c>
      <c r="S2807" t="s">
        <v>2885</v>
      </c>
      <c r="T2807" t="s">
        <v>153</v>
      </c>
      <c r="U2807" t="s">
        <v>184</v>
      </c>
      <c r="V2807" t="str">
        <f>IFERROR(INDEX(Products!$C:$C,MATCH(D2807,Products!$A:$A,0)),"Unknown")</f>
        <v>Belts</v>
      </c>
      <c r="W2807" t="str">
        <f>IFERROR(INDEX(Products!$E:$E,MATCH(D2807,Products!$A:$A,0)),"Unknown")</f>
        <v>Nike</v>
      </c>
      <c r="X2807" t="str">
        <f>IFERROR(INDEX(Stores!$B:$B,MATCH(E2807,Stores!$A:$A,0)),"Unknown")</f>
        <v>TrendMart Thiruvananthapuram Standard</v>
      </c>
      <c r="Y2807" t="str">
        <f>IFERROR(INDEX(Stores!$E:$E,MATCH(E2807,Stores!$A:$A,0)),"Unknown")</f>
        <v>South Zone 1</v>
      </c>
      <c r="Z2807" t="str">
        <f>IFERROR(INDEX(Customers!$J:$J,MATCH(C2807,Customers!$A:$A,0)),"Unknown")</f>
        <v>Gold</v>
      </c>
      <c r="AA2807" t="str">
        <f t="shared" si="43"/>
        <v>2024-06</v>
      </c>
      <c r="AB2807" t="str">
        <f>IFERROR(INDEX(Products!$I:$I,MATCH(D2807,Products!$A:$A,0)),"Unknown")</f>
        <v>SUP071</v>
      </c>
    </row>
    <row r="2808" spans="1:28" x14ac:dyDescent="0.25">
      <c r="A2808" t="s">
        <v>4877</v>
      </c>
      <c r="B2808" s="20">
        <v>45443</v>
      </c>
      <c r="C2808" t="s">
        <v>3366</v>
      </c>
      <c r="D2808" t="s">
        <v>524</v>
      </c>
      <c r="E2808" t="s">
        <v>823</v>
      </c>
      <c r="F2808" t="s">
        <v>532</v>
      </c>
      <c r="G2808">
        <v>1</v>
      </c>
      <c r="H2808" s="21">
        <v>689.16</v>
      </c>
      <c r="I2808">
        <v>0</v>
      </c>
      <c r="J2808" s="21">
        <v>0</v>
      </c>
      <c r="K2808">
        <v>5</v>
      </c>
      <c r="L2808" s="21">
        <v>34.46</v>
      </c>
      <c r="M2808" s="21">
        <v>723.62</v>
      </c>
      <c r="N2808" s="21">
        <v>547.66999999999996</v>
      </c>
      <c r="O2808" s="21">
        <v>141.49</v>
      </c>
      <c r="P2808" t="s">
        <v>125</v>
      </c>
      <c r="Q2808" t="s">
        <v>120</v>
      </c>
      <c r="R2808" t="s">
        <v>151</v>
      </c>
      <c r="S2808" t="s">
        <v>2629</v>
      </c>
      <c r="T2808" t="s">
        <v>153</v>
      </c>
      <c r="U2808" t="s">
        <v>154</v>
      </c>
      <c r="V2808" t="str">
        <f>IFERROR(INDEX(Products!$C:$C,MATCH(D2808,Products!$A:$A,0)),"Unknown")</f>
        <v>Women Tops</v>
      </c>
      <c r="W2808" t="str">
        <f>IFERROR(INDEX(Products!$E:$E,MATCH(D2808,Products!$A:$A,0)),"Unknown")</f>
        <v>Indian Terrain</v>
      </c>
      <c r="X2808" t="str">
        <f>IFERROR(INDEX(Stores!$B:$B,MATCH(E2808,Stores!$A:$A,0)),"Unknown")</f>
        <v>TrendMart Thoothukudi Mall Kiosk</v>
      </c>
      <c r="Y2808" t="str">
        <f>IFERROR(INDEX(Stores!$E:$E,MATCH(E2808,Stores!$A:$A,0)),"Unknown")</f>
        <v>South Zone 1</v>
      </c>
      <c r="Z2808" t="str">
        <f>IFERROR(INDEX(Customers!$J:$J,MATCH(C2808,Customers!$A:$A,0)),"Unknown")</f>
        <v>Silver</v>
      </c>
      <c r="AA2808" t="str">
        <f t="shared" si="43"/>
        <v>2024-05</v>
      </c>
      <c r="AB2808" t="str">
        <f>IFERROR(INDEX(Products!$I:$I,MATCH(D2808,Products!$A:$A,0)),"Unknown")</f>
        <v>SUP062</v>
      </c>
    </row>
    <row r="2809" spans="1:28" x14ac:dyDescent="0.25">
      <c r="A2809" t="s">
        <v>4878</v>
      </c>
      <c r="B2809" s="20">
        <v>45616</v>
      </c>
      <c r="C2809" t="s">
        <v>3887</v>
      </c>
      <c r="D2809" t="s">
        <v>205</v>
      </c>
      <c r="E2809" t="s">
        <v>1512</v>
      </c>
      <c r="F2809" t="s">
        <v>579</v>
      </c>
      <c r="G2809">
        <v>1</v>
      </c>
      <c r="H2809" s="21">
        <v>970.91</v>
      </c>
      <c r="I2809">
        <v>30</v>
      </c>
      <c r="J2809" s="21">
        <v>291.27</v>
      </c>
      <c r="K2809">
        <v>5</v>
      </c>
      <c r="L2809" s="21">
        <v>33.979999999999997</v>
      </c>
      <c r="M2809" s="21">
        <v>713.62</v>
      </c>
      <c r="N2809" s="21">
        <v>692.53</v>
      </c>
      <c r="O2809" s="21">
        <v>-12.89</v>
      </c>
      <c r="P2809" t="s">
        <v>125</v>
      </c>
      <c r="Q2809" t="s">
        <v>120</v>
      </c>
      <c r="R2809" t="s">
        <v>151</v>
      </c>
      <c r="S2809" t="s">
        <v>1344</v>
      </c>
      <c r="T2809" t="s">
        <v>153</v>
      </c>
      <c r="U2809" t="s">
        <v>184</v>
      </c>
      <c r="V2809" t="str">
        <f>IFERROR(INDEX(Products!$C:$C,MATCH(D2809,Products!$A:$A,0)),"Unknown")</f>
        <v>Women Jeans</v>
      </c>
      <c r="W2809" t="str">
        <f>IFERROR(INDEX(Products!$E:$E,MATCH(D2809,Products!$A:$A,0)),"Unknown")</f>
        <v>Sonata</v>
      </c>
      <c r="X2809" t="str">
        <f>IFERROR(INDEX(Stores!$B:$B,MATCH(E2809,Stores!$A:$A,0)),"Unknown")</f>
        <v>TrendMart Erode Mall Kiosk</v>
      </c>
      <c r="Y2809" t="str">
        <f>IFERROR(INDEX(Stores!$E:$E,MATCH(E2809,Stores!$A:$A,0)),"Unknown")</f>
        <v>South Zone 1</v>
      </c>
      <c r="Z2809" t="str">
        <f>IFERROR(INDEX(Customers!$J:$J,MATCH(C2809,Customers!$A:$A,0)),"Unknown")</f>
        <v>Regular</v>
      </c>
      <c r="AA2809" t="str">
        <f t="shared" si="43"/>
        <v>2024-11</v>
      </c>
      <c r="AB2809" t="str">
        <f>IFERROR(INDEX(Products!$I:$I,MATCH(D2809,Products!$A:$A,0)),"Unknown")</f>
        <v>SUP014</v>
      </c>
    </row>
    <row r="2810" spans="1:28" x14ac:dyDescent="0.25">
      <c r="A2810" t="s">
        <v>4879</v>
      </c>
      <c r="B2810" s="20">
        <v>45731</v>
      </c>
      <c r="C2810" t="s">
        <v>1305</v>
      </c>
      <c r="D2810" t="s">
        <v>638</v>
      </c>
      <c r="E2810" t="s">
        <v>1512</v>
      </c>
      <c r="F2810" t="s">
        <v>150</v>
      </c>
      <c r="G2810">
        <v>3</v>
      </c>
      <c r="H2810" s="21">
        <v>1485.47</v>
      </c>
      <c r="I2810">
        <v>0</v>
      </c>
      <c r="J2810" s="21">
        <v>0</v>
      </c>
      <c r="K2810">
        <v>12</v>
      </c>
      <c r="L2810" s="21">
        <v>534.77</v>
      </c>
      <c r="M2810" s="21">
        <v>4991.18</v>
      </c>
      <c r="N2810" s="21">
        <v>2936.04</v>
      </c>
      <c r="O2810" s="21">
        <v>1520.37</v>
      </c>
      <c r="P2810" t="s">
        <v>123</v>
      </c>
      <c r="Q2810" t="s">
        <v>120</v>
      </c>
      <c r="R2810" t="s">
        <v>151</v>
      </c>
      <c r="S2810" t="s">
        <v>3349</v>
      </c>
      <c r="T2810" t="s">
        <v>161</v>
      </c>
      <c r="U2810" t="s">
        <v>154</v>
      </c>
      <c r="V2810" t="str">
        <f>IFERROR(INDEX(Products!$C:$C,MATCH(D2810,Products!$A:$A,0)),"Unknown")</f>
        <v>Men Trousers</v>
      </c>
      <c r="W2810" t="str">
        <f>IFERROR(INDEX(Products!$E:$E,MATCH(D2810,Products!$A:$A,0)),"Unknown")</f>
        <v>Westside</v>
      </c>
      <c r="X2810" t="str">
        <f>IFERROR(INDEX(Stores!$B:$B,MATCH(E2810,Stores!$A:$A,0)),"Unknown")</f>
        <v>TrendMart Erode Mall Kiosk</v>
      </c>
      <c r="Y2810" t="str">
        <f>IFERROR(INDEX(Stores!$E:$E,MATCH(E2810,Stores!$A:$A,0)),"Unknown")</f>
        <v>South Zone 1</v>
      </c>
      <c r="Z2810" t="str">
        <f>IFERROR(INDEX(Customers!$J:$J,MATCH(C2810,Customers!$A:$A,0)),"Unknown")</f>
        <v>Gold</v>
      </c>
      <c r="AA2810" t="str">
        <f t="shared" si="43"/>
        <v>2025-03</v>
      </c>
      <c r="AB2810" t="str">
        <f>IFERROR(INDEX(Products!$I:$I,MATCH(D2810,Products!$A:$A,0)),"Unknown")</f>
        <v>SUP071</v>
      </c>
    </row>
    <row r="2811" spans="1:28" x14ac:dyDescent="0.25">
      <c r="A2811" t="s">
        <v>4880</v>
      </c>
      <c r="B2811" s="20">
        <v>45700</v>
      </c>
      <c r="C2811" t="s">
        <v>3576</v>
      </c>
      <c r="D2811" t="s">
        <v>875</v>
      </c>
      <c r="E2811" t="s">
        <v>1023</v>
      </c>
      <c r="F2811" t="s">
        <v>242</v>
      </c>
      <c r="G2811">
        <v>2</v>
      </c>
      <c r="H2811" s="21">
        <v>2689.34</v>
      </c>
      <c r="I2811">
        <v>25</v>
      </c>
      <c r="J2811" s="21">
        <v>1344.67</v>
      </c>
      <c r="K2811">
        <v>12</v>
      </c>
      <c r="L2811" s="21">
        <v>484.08</v>
      </c>
      <c r="M2811" s="21">
        <v>4518.09</v>
      </c>
      <c r="N2811" s="21">
        <v>4409.92</v>
      </c>
      <c r="O2811" s="21">
        <v>-375.91</v>
      </c>
      <c r="P2811" t="s">
        <v>123</v>
      </c>
      <c r="Q2811" t="s">
        <v>122</v>
      </c>
      <c r="R2811" t="s">
        <v>151</v>
      </c>
      <c r="S2811" t="s">
        <v>373</v>
      </c>
      <c r="T2811" t="s">
        <v>153</v>
      </c>
      <c r="U2811" t="s">
        <v>184</v>
      </c>
      <c r="V2811" t="str">
        <f>IFERROR(INDEX(Products!$C:$C,MATCH(D2811,Products!$A:$A,0)),"Unknown")</f>
        <v>Footwear</v>
      </c>
      <c r="W2811" t="str">
        <f>IFERROR(INDEX(Products!$E:$E,MATCH(D2811,Products!$A:$A,0)),"Unknown")</f>
        <v>Indian Terrain</v>
      </c>
      <c r="X2811" t="str">
        <f>IFERROR(INDEX(Stores!$B:$B,MATCH(E2811,Stores!$A:$A,0)),"Unknown")</f>
        <v>TrendMart Kochi High Street</v>
      </c>
      <c r="Y2811" t="str">
        <f>IFERROR(INDEX(Stores!$E:$E,MATCH(E2811,Stores!$A:$A,0)),"Unknown")</f>
        <v>South Zone 1</v>
      </c>
      <c r="Z2811" t="str">
        <f>IFERROR(INDEX(Customers!$J:$J,MATCH(C2811,Customers!$A:$A,0)),"Unknown")</f>
        <v>Gold</v>
      </c>
      <c r="AA2811" t="str">
        <f t="shared" si="43"/>
        <v>2025-02</v>
      </c>
      <c r="AB2811" t="str">
        <f>IFERROR(INDEX(Products!$I:$I,MATCH(D2811,Products!$A:$A,0)),"Unknown")</f>
        <v>SUP090</v>
      </c>
    </row>
    <row r="2812" spans="1:28" x14ac:dyDescent="0.25">
      <c r="A2812" t="s">
        <v>4881</v>
      </c>
      <c r="B2812" s="20">
        <v>45526</v>
      </c>
      <c r="C2812" t="s">
        <v>1471</v>
      </c>
      <c r="D2812" t="s">
        <v>325</v>
      </c>
      <c r="E2812" t="s">
        <v>1825</v>
      </c>
      <c r="F2812" t="s">
        <v>150</v>
      </c>
      <c r="G2812">
        <v>1</v>
      </c>
      <c r="H2812" s="21">
        <v>1109.1099999999999</v>
      </c>
      <c r="I2812">
        <v>0</v>
      </c>
      <c r="J2812" s="21">
        <v>0</v>
      </c>
      <c r="K2812">
        <v>12</v>
      </c>
      <c r="L2812" s="21">
        <v>133.09</v>
      </c>
      <c r="M2812" s="21">
        <v>1242.2</v>
      </c>
      <c r="N2812" s="21">
        <v>759</v>
      </c>
      <c r="O2812" s="21">
        <v>350.11</v>
      </c>
      <c r="P2812" t="s">
        <v>121</v>
      </c>
      <c r="Q2812" t="s">
        <v>120</v>
      </c>
      <c r="R2812" t="s">
        <v>151</v>
      </c>
      <c r="S2812" t="s">
        <v>760</v>
      </c>
      <c r="T2812" t="s">
        <v>153</v>
      </c>
      <c r="U2812" t="s">
        <v>154</v>
      </c>
      <c r="V2812" t="str">
        <f>IFERROR(INDEX(Products!$C:$C,MATCH(D2812,Products!$A:$A,0)),"Unknown")</f>
        <v>Women Jeans</v>
      </c>
      <c r="W2812" t="str">
        <f>IFERROR(INDEX(Products!$E:$E,MATCH(D2812,Products!$A:$A,0)),"Unknown")</f>
        <v>Nalli Silks</v>
      </c>
      <c r="X2812" t="str">
        <f>IFERROR(INDEX(Stores!$B:$B,MATCH(E2812,Stores!$A:$A,0)),"Unknown")</f>
        <v>TrendMart Vijayawada Outlet</v>
      </c>
      <c r="Y2812" t="str">
        <f>IFERROR(INDEX(Stores!$E:$E,MATCH(E2812,Stores!$A:$A,0)),"Unknown")</f>
        <v>South Zone 3</v>
      </c>
      <c r="Z2812" t="str">
        <f>IFERROR(INDEX(Customers!$J:$J,MATCH(C2812,Customers!$A:$A,0)),"Unknown")</f>
        <v>Silver</v>
      </c>
      <c r="AA2812" t="str">
        <f t="shared" si="43"/>
        <v>2024-08</v>
      </c>
      <c r="AB2812" t="str">
        <f>IFERROR(INDEX(Products!$I:$I,MATCH(D2812,Products!$A:$A,0)),"Unknown")</f>
        <v>SUP048</v>
      </c>
    </row>
    <row r="2813" spans="1:28" x14ac:dyDescent="0.25">
      <c r="A2813" t="s">
        <v>4882</v>
      </c>
      <c r="B2813" s="20">
        <v>45602</v>
      </c>
      <c r="C2813" t="s">
        <v>1124</v>
      </c>
      <c r="D2813" t="s">
        <v>215</v>
      </c>
      <c r="E2813" t="s">
        <v>451</v>
      </c>
      <c r="F2813" t="s">
        <v>579</v>
      </c>
      <c r="G2813">
        <v>4</v>
      </c>
      <c r="H2813" s="21">
        <v>1116.5899999999999</v>
      </c>
      <c r="I2813">
        <v>10</v>
      </c>
      <c r="J2813" s="21">
        <v>446.64</v>
      </c>
      <c r="K2813">
        <v>12</v>
      </c>
      <c r="L2813" s="21">
        <v>482.37</v>
      </c>
      <c r="M2813" s="21">
        <v>4502.09</v>
      </c>
      <c r="N2813" s="21">
        <v>3313.76</v>
      </c>
      <c r="O2813" s="21">
        <v>705.96</v>
      </c>
      <c r="P2813" t="s">
        <v>123</v>
      </c>
      <c r="Q2813" t="s">
        <v>120</v>
      </c>
      <c r="R2813" t="s">
        <v>151</v>
      </c>
      <c r="S2813" t="s">
        <v>512</v>
      </c>
      <c r="T2813" t="s">
        <v>153</v>
      </c>
      <c r="U2813" t="s">
        <v>154</v>
      </c>
      <c r="V2813" t="str">
        <f>IFERROR(INDEX(Products!$C:$C,MATCH(D2813,Products!$A:$A,0)),"Unknown")</f>
        <v>Men Jeans</v>
      </c>
      <c r="W2813" t="str">
        <f>IFERROR(INDEX(Products!$E:$E,MATCH(D2813,Products!$A:$A,0)),"Unknown")</f>
        <v>Metro Shoes</v>
      </c>
      <c r="X2813" t="str">
        <f>IFERROR(INDEX(Stores!$B:$B,MATCH(E2813,Stores!$A:$A,0)),"Unknown")</f>
        <v>TrendMart Thoothukudi High Street</v>
      </c>
      <c r="Y2813" t="str">
        <f>IFERROR(INDEX(Stores!$E:$E,MATCH(E2813,Stores!$A:$A,0)),"Unknown")</f>
        <v>South Zone 1</v>
      </c>
      <c r="Z2813" t="str">
        <f>IFERROR(INDEX(Customers!$J:$J,MATCH(C2813,Customers!$A:$A,0)),"Unknown")</f>
        <v>Gold</v>
      </c>
      <c r="AA2813" t="str">
        <f t="shared" si="43"/>
        <v>2024-11</v>
      </c>
      <c r="AB2813" t="str">
        <f>IFERROR(INDEX(Products!$I:$I,MATCH(D2813,Products!$A:$A,0)),"Unknown")</f>
        <v>SUP022</v>
      </c>
    </row>
    <row r="2814" spans="1:28" x14ac:dyDescent="0.25">
      <c r="A2814" t="s">
        <v>4883</v>
      </c>
      <c r="B2814" s="20">
        <v>45708</v>
      </c>
      <c r="C2814" t="s">
        <v>916</v>
      </c>
      <c r="D2814" t="s">
        <v>285</v>
      </c>
      <c r="E2814" t="s">
        <v>537</v>
      </c>
      <c r="F2814" t="s">
        <v>596</v>
      </c>
      <c r="G2814">
        <v>1</v>
      </c>
      <c r="H2814" s="21">
        <v>701.44</v>
      </c>
      <c r="I2814">
        <v>0</v>
      </c>
      <c r="J2814" s="21">
        <v>0</v>
      </c>
      <c r="K2814">
        <v>5</v>
      </c>
      <c r="L2814" s="21">
        <v>35.07</v>
      </c>
      <c r="M2814" s="21">
        <v>736.51</v>
      </c>
      <c r="N2814" s="21">
        <v>499.31</v>
      </c>
      <c r="O2814" s="21">
        <v>202.13</v>
      </c>
      <c r="P2814" t="s">
        <v>121</v>
      </c>
      <c r="Q2814" t="s">
        <v>122</v>
      </c>
      <c r="R2814" t="s">
        <v>313</v>
      </c>
      <c r="S2814" t="s">
        <v>3457</v>
      </c>
      <c r="T2814" t="s">
        <v>153</v>
      </c>
      <c r="U2814" t="s">
        <v>154</v>
      </c>
      <c r="V2814" t="str">
        <f>IFERROR(INDEX(Products!$C:$C,MATCH(D2814,Products!$A:$A,0)),"Unknown")</f>
        <v>Kids Wear</v>
      </c>
      <c r="W2814" t="str">
        <f>IFERROR(INDEX(Products!$E:$E,MATCH(D2814,Products!$A:$A,0)),"Unknown")</f>
        <v>Global Desi</v>
      </c>
      <c r="X2814" t="str">
        <f>IFERROR(INDEX(Stores!$B:$B,MATCH(E2814,Stores!$A:$A,0)),"Unknown")</f>
        <v>TrendMart Thrissur High Street</v>
      </c>
      <c r="Y2814" t="str">
        <f>IFERROR(INDEX(Stores!$E:$E,MATCH(E2814,Stores!$A:$A,0)),"Unknown")</f>
        <v>South Zone 1</v>
      </c>
      <c r="Z2814" t="str">
        <f>IFERROR(INDEX(Customers!$J:$J,MATCH(C2814,Customers!$A:$A,0)),"Unknown")</f>
        <v>Silver</v>
      </c>
      <c r="AA2814" t="str">
        <f t="shared" si="43"/>
        <v>2025-02</v>
      </c>
      <c r="AB2814" t="str">
        <f>IFERROR(INDEX(Products!$I:$I,MATCH(D2814,Products!$A:$A,0)),"Unknown")</f>
        <v>SUP008</v>
      </c>
    </row>
    <row r="2815" spans="1:28" x14ac:dyDescent="0.25">
      <c r="A2815" t="s">
        <v>4884</v>
      </c>
      <c r="B2815" s="20">
        <v>45673</v>
      </c>
      <c r="C2815" t="s">
        <v>2826</v>
      </c>
      <c r="D2815" t="s">
        <v>573</v>
      </c>
      <c r="E2815" t="s">
        <v>934</v>
      </c>
      <c r="F2815" t="s">
        <v>532</v>
      </c>
      <c r="G2815">
        <v>3</v>
      </c>
      <c r="H2815" s="21">
        <v>1076.0999999999999</v>
      </c>
      <c r="I2815">
        <v>25</v>
      </c>
      <c r="J2815" s="21">
        <v>807.08</v>
      </c>
      <c r="K2815">
        <v>12</v>
      </c>
      <c r="L2815" s="21">
        <v>290.55</v>
      </c>
      <c r="M2815" s="21">
        <v>2711.77</v>
      </c>
      <c r="N2815" s="21">
        <v>2161.59</v>
      </c>
      <c r="O2815" s="21">
        <v>259.63</v>
      </c>
      <c r="P2815" t="s">
        <v>124</v>
      </c>
      <c r="Q2815" t="s">
        <v>122</v>
      </c>
      <c r="R2815" t="s">
        <v>151</v>
      </c>
      <c r="S2815" t="s">
        <v>430</v>
      </c>
      <c r="T2815" t="s">
        <v>153</v>
      </c>
      <c r="U2815" t="s">
        <v>154</v>
      </c>
      <c r="V2815" t="str">
        <f>IFERROR(INDEX(Products!$C:$C,MATCH(D2815,Products!$A:$A,0)),"Unknown")</f>
        <v>Women Jeans</v>
      </c>
      <c r="W2815" t="str">
        <f>IFERROR(INDEX(Products!$E:$E,MATCH(D2815,Products!$A:$A,0)),"Unknown")</f>
        <v>Sonata</v>
      </c>
      <c r="X2815" t="str">
        <f>IFERROR(INDEX(Stores!$B:$B,MATCH(E2815,Stores!$A:$A,0)),"Unknown")</f>
        <v>TrendMart Bengaluru High Street</v>
      </c>
      <c r="Y2815" t="str">
        <f>IFERROR(INDEX(Stores!$E:$E,MATCH(E2815,Stores!$A:$A,0)),"Unknown")</f>
        <v>South Zone 2</v>
      </c>
      <c r="Z2815" t="str">
        <f>IFERROR(INDEX(Customers!$J:$J,MATCH(C2815,Customers!$A:$A,0)),"Unknown")</f>
        <v>Gold</v>
      </c>
      <c r="AA2815" t="str">
        <f t="shared" si="43"/>
        <v>2025-01</v>
      </c>
      <c r="AB2815" t="str">
        <f>IFERROR(INDEX(Products!$I:$I,MATCH(D2815,Products!$A:$A,0)),"Unknown")</f>
        <v>SUP017</v>
      </c>
    </row>
    <row r="2816" spans="1:28" x14ac:dyDescent="0.25">
      <c r="A2816" t="s">
        <v>4885</v>
      </c>
      <c r="B2816" s="20">
        <v>45591</v>
      </c>
      <c r="C2816" t="s">
        <v>1726</v>
      </c>
      <c r="D2816" t="s">
        <v>583</v>
      </c>
      <c r="E2816" t="s">
        <v>262</v>
      </c>
      <c r="F2816" t="s">
        <v>195</v>
      </c>
      <c r="G2816">
        <v>2</v>
      </c>
      <c r="H2816" s="21">
        <v>930.93</v>
      </c>
      <c r="I2816">
        <v>25</v>
      </c>
      <c r="J2816" s="21">
        <v>465.46</v>
      </c>
      <c r="K2816">
        <v>5</v>
      </c>
      <c r="L2816" s="21">
        <v>69.819999999999993</v>
      </c>
      <c r="M2816" s="21">
        <v>1466.22</v>
      </c>
      <c r="N2816" s="21">
        <v>1259.44</v>
      </c>
      <c r="O2816" s="21">
        <v>136.96</v>
      </c>
      <c r="P2816" t="s">
        <v>124</v>
      </c>
      <c r="Q2816" t="s">
        <v>122</v>
      </c>
      <c r="R2816" t="s">
        <v>151</v>
      </c>
      <c r="S2816" t="s">
        <v>4886</v>
      </c>
      <c r="T2816" t="s">
        <v>161</v>
      </c>
      <c r="U2816" t="s">
        <v>154</v>
      </c>
      <c r="V2816" t="str">
        <f>IFERROR(INDEX(Products!$C:$C,MATCH(D2816,Products!$A:$A,0)),"Unknown")</f>
        <v>Women Tops</v>
      </c>
      <c r="W2816" t="str">
        <f>IFERROR(INDEX(Products!$E:$E,MATCH(D2816,Products!$A:$A,0)),"Unknown")</f>
        <v>Ramraj Cotton</v>
      </c>
      <c r="X2816" t="str">
        <f>IFERROR(INDEX(Stores!$B:$B,MATCH(E2816,Stores!$A:$A,0)),"Unknown")</f>
        <v>TrendMart Thoothukudi Outlet</v>
      </c>
      <c r="Y2816" t="str">
        <f>IFERROR(INDEX(Stores!$E:$E,MATCH(E2816,Stores!$A:$A,0)),"Unknown")</f>
        <v>South Zone 1</v>
      </c>
      <c r="Z2816" t="str">
        <f>IFERROR(INDEX(Customers!$J:$J,MATCH(C2816,Customers!$A:$A,0)),"Unknown")</f>
        <v>Silver</v>
      </c>
      <c r="AA2816" t="str">
        <f t="shared" si="43"/>
        <v>2024-10</v>
      </c>
      <c r="AB2816" t="str">
        <f>IFERROR(INDEX(Products!$I:$I,MATCH(D2816,Products!$A:$A,0)),"Unknown")</f>
        <v>SUP048</v>
      </c>
    </row>
    <row r="2817" spans="1:28" x14ac:dyDescent="0.25">
      <c r="A2817" t="s">
        <v>4887</v>
      </c>
      <c r="B2817" s="20">
        <v>45609</v>
      </c>
      <c r="C2817" t="s">
        <v>2099</v>
      </c>
      <c r="D2817" t="s">
        <v>169</v>
      </c>
      <c r="E2817" t="s">
        <v>815</v>
      </c>
      <c r="F2817" t="s">
        <v>382</v>
      </c>
      <c r="G2817">
        <v>4</v>
      </c>
      <c r="H2817" s="21">
        <v>4632.74</v>
      </c>
      <c r="I2817">
        <v>0</v>
      </c>
      <c r="J2817" s="21">
        <v>0</v>
      </c>
      <c r="K2817">
        <v>12</v>
      </c>
      <c r="L2817" s="21">
        <v>2223.7199999999998</v>
      </c>
      <c r="M2817" s="21">
        <v>20754.68</v>
      </c>
      <c r="N2817" s="21">
        <v>13483.2</v>
      </c>
      <c r="O2817" s="21">
        <v>5047.76</v>
      </c>
      <c r="P2817" t="s">
        <v>127</v>
      </c>
      <c r="Q2817" t="s">
        <v>122</v>
      </c>
      <c r="R2817" t="s">
        <v>151</v>
      </c>
      <c r="S2817" t="s">
        <v>2567</v>
      </c>
      <c r="T2817" t="s">
        <v>153</v>
      </c>
      <c r="U2817" t="s">
        <v>154</v>
      </c>
      <c r="V2817" t="str">
        <f>IFERROR(INDEX(Products!$C:$C,MATCH(D2817,Products!$A:$A,0)),"Unknown")</f>
        <v>Women Sarees</v>
      </c>
      <c r="W2817" t="str">
        <f>IFERROR(INDEX(Products!$E:$E,MATCH(D2817,Products!$A:$A,0)),"Unknown")</f>
        <v>Max Fashion</v>
      </c>
      <c r="X2817" t="str">
        <f>IFERROR(INDEX(Stores!$B:$B,MATCH(E2817,Stores!$A:$A,0)),"Unknown")</f>
        <v>TrendMart Madurai Mall Kiosk</v>
      </c>
      <c r="Y2817" t="str">
        <f>IFERROR(INDEX(Stores!$E:$E,MATCH(E2817,Stores!$A:$A,0)),"Unknown")</f>
        <v>South Zone 1</v>
      </c>
      <c r="Z2817" t="str">
        <f>IFERROR(INDEX(Customers!$J:$J,MATCH(C2817,Customers!$A:$A,0)),"Unknown")</f>
        <v>Gold</v>
      </c>
      <c r="AA2817" t="str">
        <f t="shared" si="43"/>
        <v>2024-11</v>
      </c>
      <c r="AB2817" t="str">
        <f>IFERROR(INDEX(Products!$I:$I,MATCH(D2817,Products!$A:$A,0)),"Unknown")</f>
        <v>SUP084</v>
      </c>
    </row>
    <row r="2818" spans="1:28" x14ac:dyDescent="0.25">
      <c r="A2818" t="s">
        <v>4888</v>
      </c>
      <c r="B2818" s="20">
        <v>45643</v>
      </c>
      <c r="C2818" t="s">
        <v>1170</v>
      </c>
      <c r="D2818" t="s">
        <v>494</v>
      </c>
      <c r="E2818" t="s">
        <v>927</v>
      </c>
      <c r="F2818" t="s">
        <v>532</v>
      </c>
      <c r="G2818">
        <v>3</v>
      </c>
      <c r="H2818" s="21">
        <v>1736.99</v>
      </c>
      <c r="I2818">
        <v>25</v>
      </c>
      <c r="J2818" s="21">
        <v>1302.74</v>
      </c>
      <c r="K2818">
        <v>12</v>
      </c>
      <c r="L2818" s="21">
        <v>468.99</v>
      </c>
      <c r="M2818" s="21">
        <v>4377.22</v>
      </c>
      <c r="N2818" s="21">
        <v>3422.7</v>
      </c>
      <c r="O2818" s="21">
        <v>485.53</v>
      </c>
      <c r="P2818" t="s">
        <v>124</v>
      </c>
      <c r="Q2818" t="s">
        <v>120</v>
      </c>
      <c r="R2818" t="s">
        <v>151</v>
      </c>
      <c r="S2818" t="s">
        <v>3206</v>
      </c>
      <c r="T2818" t="s">
        <v>153</v>
      </c>
      <c r="U2818" t="s">
        <v>154</v>
      </c>
      <c r="V2818" t="str">
        <f>IFERROR(INDEX(Products!$C:$C,MATCH(D2818,Products!$A:$A,0)),"Unknown")</f>
        <v>Women Dresses</v>
      </c>
      <c r="W2818" t="str">
        <f>IFERROR(INDEX(Products!$E:$E,MATCH(D2818,Products!$A:$A,0)),"Unknown")</f>
        <v>Reebok</v>
      </c>
      <c r="X2818" t="str">
        <f>IFERROR(INDEX(Stores!$B:$B,MATCH(E2818,Stores!$A:$A,0)),"Unknown")</f>
        <v>TrendMart Kochi Mall Kiosk</v>
      </c>
      <c r="Y2818" t="str">
        <f>IFERROR(INDEX(Stores!$E:$E,MATCH(E2818,Stores!$A:$A,0)),"Unknown")</f>
        <v>South Zone 1</v>
      </c>
      <c r="Z2818" t="str">
        <f>IFERROR(INDEX(Customers!$J:$J,MATCH(C2818,Customers!$A:$A,0)),"Unknown")</f>
        <v>Gold</v>
      </c>
      <c r="AA2818" t="str">
        <f t="shared" ref="AA2818:AA2881" si="44">TEXT(B2818,"YYYY-MM")</f>
        <v>2024-12</v>
      </c>
      <c r="AB2818" t="str">
        <f>IFERROR(INDEX(Products!$I:$I,MATCH(D2818,Products!$A:$A,0)),"Unknown")</f>
        <v>SUP085</v>
      </c>
    </row>
    <row r="2819" spans="1:28" x14ac:dyDescent="0.25">
      <c r="A2819" t="s">
        <v>4889</v>
      </c>
      <c r="B2819" s="20">
        <v>45473</v>
      </c>
      <c r="C2819" t="s">
        <v>582</v>
      </c>
      <c r="D2819" t="s">
        <v>333</v>
      </c>
      <c r="E2819" t="s">
        <v>848</v>
      </c>
      <c r="F2819" t="s">
        <v>382</v>
      </c>
      <c r="G2819">
        <v>3</v>
      </c>
      <c r="H2819" s="21">
        <v>2594.4699999999998</v>
      </c>
      <c r="I2819">
        <v>10</v>
      </c>
      <c r="J2819" s="21">
        <v>778.34</v>
      </c>
      <c r="K2819">
        <v>12</v>
      </c>
      <c r="L2819" s="21">
        <v>840.61</v>
      </c>
      <c r="M2819" s="21">
        <v>7845.68</v>
      </c>
      <c r="N2819" s="21">
        <v>5301.96</v>
      </c>
      <c r="O2819" s="21">
        <v>1703.11</v>
      </c>
      <c r="P2819" t="s">
        <v>123</v>
      </c>
      <c r="Q2819" t="s">
        <v>122</v>
      </c>
      <c r="R2819" t="s">
        <v>151</v>
      </c>
      <c r="S2819" t="s">
        <v>2824</v>
      </c>
      <c r="T2819" t="s">
        <v>161</v>
      </c>
      <c r="U2819" t="s">
        <v>154</v>
      </c>
      <c r="V2819" t="str">
        <f>IFERROR(INDEX(Products!$C:$C,MATCH(D2819,Products!$A:$A,0)),"Unknown")</f>
        <v>Winter Wear</v>
      </c>
      <c r="W2819" t="str">
        <f>IFERROR(INDEX(Products!$E:$E,MATCH(D2819,Products!$A:$A,0)),"Unknown")</f>
        <v>GRT Jewellers</v>
      </c>
      <c r="X2819" t="str">
        <f>IFERROR(INDEX(Stores!$B:$B,MATCH(E2819,Stores!$A:$A,0)),"Unknown")</f>
        <v>TrendMart Shivamogga Standard</v>
      </c>
      <c r="Y2819" t="str">
        <f>IFERROR(INDEX(Stores!$E:$E,MATCH(E2819,Stores!$A:$A,0)),"Unknown")</f>
        <v>South Zone 2</v>
      </c>
      <c r="Z2819" t="str">
        <f>IFERROR(INDEX(Customers!$J:$J,MATCH(C2819,Customers!$A:$A,0)),"Unknown")</f>
        <v>Silver</v>
      </c>
      <c r="AA2819" t="str">
        <f t="shared" si="44"/>
        <v>2024-06</v>
      </c>
      <c r="AB2819" t="str">
        <f>IFERROR(INDEX(Products!$I:$I,MATCH(D2819,Products!$A:$A,0)),"Unknown")</f>
        <v>SUP052</v>
      </c>
    </row>
    <row r="2820" spans="1:28" x14ac:dyDescent="0.25">
      <c r="A2820" t="s">
        <v>4890</v>
      </c>
      <c r="B2820" s="20">
        <v>45736</v>
      </c>
      <c r="C2820" t="s">
        <v>4891</v>
      </c>
      <c r="D2820" t="s">
        <v>2633</v>
      </c>
      <c r="E2820" t="s">
        <v>456</v>
      </c>
      <c r="F2820" t="s">
        <v>532</v>
      </c>
      <c r="G2820">
        <v>2</v>
      </c>
      <c r="H2820" s="21">
        <v>976.88</v>
      </c>
      <c r="I2820">
        <v>10</v>
      </c>
      <c r="J2820" s="21">
        <v>195.38</v>
      </c>
      <c r="K2820">
        <v>5</v>
      </c>
      <c r="L2820" s="21">
        <v>87.92</v>
      </c>
      <c r="M2820" s="21">
        <v>1846.3</v>
      </c>
      <c r="N2820" s="21">
        <v>1348.58</v>
      </c>
      <c r="O2820" s="21">
        <v>409.8</v>
      </c>
      <c r="P2820" t="s">
        <v>126</v>
      </c>
      <c r="Q2820" t="s">
        <v>120</v>
      </c>
      <c r="R2820" t="s">
        <v>151</v>
      </c>
      <c r="S2820" t="s">
        <v>1578</v>
      </c>
      <c r="T2820" t="s">
        <v>153</v>
      </c>
      <c r="U2820" t="s">
        <v>154</v>
      </c>
      <c r="V2820" t="str">
        <f>IFERROR(INDEX(Products!$C:$C,MATCH(D2820,Products!$A:$A,0)),"Unknown")</f>
        <v>Men Trousers</v>
      </c>
      <c r="W2820" t="str">
        <f>IFERROR(INDEX(Products!$E:$E,MATCH(D2820,Products!$A:$A,0)),"Unknown")</f>
        <v>Aurelia</v>
      </c>
      <c r="X2820" t="str">
        <f>IFERROR(INDEX(Stores!$B:$B,MATCH(E2820,Stores!$A:$A,0)),"Unknown")</f>
        <v>TrendMart Salem Outlet</v>
      </c>
      <c r="Y2820" t="str">
        <f>IFERROR(INDEX(Stores!$E:$E,MATCH(E2820,Stores!$A:$A,0)),"Unknown")</f>
        <v>South Zone 1</v>
      </c>
      <c r="Z2820" t="str">
        <f>IFERROR(INDEX(Customers!$J:$J,MATCH(C2820,Customers!$A:$A,0)),"Unknown")</f>
        <v>Gold</v>
      </c>
      <c r="AA2820" t="str">
        <f t="shared" si="44"/>
        <v>2025-03</v>
      </c>
      <c r="AB2820" t="str">
        <f>IFERROR(INDEX(Products!$I:$I,MATCH(D2820,Products!$A:$A,0)),"Unknown")</f>
        <v>SUP031</v>
      </c>
    </row>
    <row r="2821" spans="1:28" x14ac:dyDescent="0.25">
      <c r="A2821" t="s">
        <v>4892</v>
      </c>
      <c r="B2821" s="20">
        <v>45643</v>
      </c>
      <c r="C2821" t="s">
        <v>354</v>
      </c>
      <c r="D2821" t="s">
        <v>2281</v>
      </c>
      <c r="E2821" t="s">
        <v>741</v>
      </c>
      <c r="F2821" t="s">
        <v>532</v>
      </c>
      <c r="G2821">
        <v>3</v>
      </c>
      <c r="H2821" s="21">
        <v>620.84</v>
      </c>
      <c r="I2821">
        <v>30</v>
      </c>
      <c r="J2821" s="21">
        <v>558.76</v>
      </c>
      <c r="K2821">
        <v>5</v>
      </c>
      <c r="L2821" s="21">
        <v>65.19</v>
      </c>
      <c r="M2821" s="21">
        <v>1368.95</v>
      </c>
      <c r="N2821" s="21">
        <v>1119.81</v>
      </c>
      <c r="O2821" s="21">
        <v>183.95</v>
      </c>
      <c r="P2821" t="s">
        <v>123</v>
      </c>
      <c r="Q2821" t="s">
        <v>122</v>
      </c>
      <c r="R2821" t="s">
        <v>151</v>
      </c>
      <c r="S2821" t="s">
        <v>2567</v>
      </c>
      <c r="T2821" t="s">
        <v>153</v>
      </c>
      <c r="U2821" t="s">
        <v>154</v>
      </c>
      <c r="V2821" t="str">
        <f>IFERROR(INDEX(Products!$C:$C,MATCH(D2821,Products!$A:$A,0)),"Unknown")</f>
        <v>Men T-Shirts</v>
      </c>
      <c r="W2821" t="str">
        <f>IFERROR(INDEX(Products!$E:$E,MATCH(D2821,Products!$A:$A,0)),"Unknown")</f>
        <v>Indian Terrain</v>
      </c>
      <c r="X2821" t="str">
        <f>IFERROR(INDEX(Stores!$B:$B,MATCH(E2821,Stores!$A:$A,0)),"Unknown")</f>
        <v>TrendMart Nellore Mall Kiosk</v>
      </c>
      <c r="Y2821" t="str">
        <f>IFERROR(INDEX(Stores!$E:$E,MATCH(E2821,Stores!$A:$A,0)),"Unknown")</f>
        <v>South Zone 3</v>
      </c>
      <c r="Z2821" t="str">
        <f>IFERROR(INDEX(Customers!$J:$J,MATCH(C2821,Customers!$A:$A,0)),"Unknown")</f>
        <v>Platinum</v>
      </c>
      <c r="AA2821" t="str">
        <f t="shared" si="44"/>
        <v>2024-12</v>
      </c>
      <c r="AB2821" t="str">
        <f>IFERROR(INDEX(Products!$I:$I,MATCH(D2821,Products!$A:$A,0)),"Unknown")</f>
        <v>SUP074</v>
      </c>
    </row>
    <row r="2822" spans="1:28" x14ac:dyDescent="0.25">
      <c r="A2822" t="s">
        <v>4893</v>
      </c>
      <c r="B2822" s="20">
        <v>45500</v>
      </c>
      <c r="C2822" t="s">
        <v>1473</v>
      </c>
      <c r="D2822" t="s">
        <v>481</v>
      </c>
      <c r="E2822" t="s">
        <v>823</v>
      </c>
      <c r="F2822" t="s">
        <v>618</v>
      </c>
      <c r="G2822">
        <v>1</v>
      </c>
      <c r="H2822" s="21">
        <v>872.95</v>
      </c>
      <c r="I2822">
        <v>20</v>
      </c>
      <c r="J2822" s="21">
        <v>174.59</v>
      </c>
      <c r="K2822">
        <v>5</v>
      </c>
      <c r="L2822" s="21">
        <v>34.92</v>
      </c>
      <c r="M2822" s="21">
        <v>733.28</v>
      </c>
      <c r="N2822" s="21">
        <v>698.08</v>
      </c>
      <c r="O2822" s="21">
        <v>0.28000000000000003</v>
      </c>
      <c r="P2822" t="s">
        <v>123</v>
      </c>
      <c r="Q2822" t="s">
        <v>120</v>
      </c>
      <c r="R2822" t="s">
        <v>151</v>
      </c>
      <c r="S2822" t="s">
        <v>314</v>
      </c>
      <c r="T2822" t="s">
        <v>161</v>
      </c>
      <c r="U2822" t="s">
        <v>154</v>
      </c>
      <c r="V2822" t="str">
        <f>IFERROR(INDEX(Products!$C:$C,MATCH(D2822,Products!$A:$A,0)),"Unknown")</f>
        <v>Women Dresses</v>
      </c>
      <c r="W2822" t="str">
        <f>IFERROR(INDEX(Products!$E:$E,MATCH(D2822,Products!$A:$A,0)),"Unknown")</f>
        <v>Jack &amp; Jones</v>
      </c>
      <c r="X2822" t="str">
        <f>IFERROR(INDEX(Stores!$B:$B,MATCH(E2822,Stores!$A:$A,0)),"Unknown")</f>
        <v>TrendMart Thoothukudi Mall Kiosk</v>
      </c>
      <c r="Y2822" t="str">
        <f>IFERROR(INDEX(Stores!$E:$E,MATCH(E2822,Stores!$A:$A,0)),"Unknown")</f>
        <v>South Zone 1</v>
      </c>
      <c r="Z2822" t="str">
        <f>IFERROR(INDEX(Customers!$J:$J,MATCH(C2822,Customers!$A:$A,0)),"Unknown")</f>
        <v>Regular</v>
      </c>
      <c r="AA2822" t="str">
        <f t="shared" si="44"/>
        <v>2024-07</v>
      </c>
      <c r="AB2822" t="str">
        <f>IFERROR(INDEX(Products!$I:$I,MATCH(D2822,Products!$A:$A,0)),"Unknown")</f>
        <v>SUP069</v>
      </c>
    </row>
    <row r="2823" spans="1:28" x14ac:dyDescent="0.25">
      <c r="A2823" t="s">
        <v>4894</v>
      </c>
      <c r="B2823" s="20">
        <v>45663</v>
      </c>
      <c r="C2823" t="s">
        <v>4499</v>
      </c>
      <c r="D2823" t="s">
        <v>1350</v>
      </c>
      <c r="E2823" t="s">
        <v>681</v>
      </c>
      <c r="F2823" t="s">
        <v>377</v>
      </c>
      <c r="G2823">
        <v>2</v>
      </c>
      <c r="H2823" s="21">
        <v>674.8</v>
      </c>
      <c r="I2823">
        <v>0</v>
      </c>
      <c r="J2823" s="21">
        <v>0</v>
      </c>
      <c r="K2823">
        <v>5</v>
      </c>
      <c r="L2823" s="21">
        <v>67.48</v>
      </c>
      <c r="M2823" s="21">
        <v>1417.08</v>
      </c>
      <c r="N2823" s="21">
        <v>838.8</v>
      </c>
      <c r="O2823" s="21">
        <v>510.8</v>
      </c>
      <c r="P2823" t="s">
        <v>123</v>
      </c>
      <c r="Q2823" t="s">
        <v>120</v>
      </c>
      <c r="R2823" t="s">
        <v>151</v>
      </c>
      <c r="S2823" t="s">
        <v>4068</v>
      </c>
      <c r="T2823" t="s">
        <v>153</v>
      </c>
      <c r="U2823" t="s">
        <v>154</v>
      </c>
      <c r="V2823" t="str">
        <f>IFERROR(INDEX(Products!$C:$C,MATCH(D2823,Products!$A:$A,0)),"Unknown")</f>
        <v>Women Tops</v>
      </c>
      <c r="W2823" t="str">
        <f>IFERROR(INDEX(Products!$E:$E,MATCH(D2823,Products!$A:$A,0)),"Unknown")</f>
        <v>Jack &amp; Jones</v>
      </c>
      <c r="X2823" t="str">
        <f>IFERROR(INDEX(Stores!$B:$B,MATCH(E2823,Stores!$A:$A,0)),"Unknown")</f>
        <v>TrendMart Shivamogga Mall Kiosk</v>
      </c>
      <c r="Y2823" t="str">
        <f>IFERROR(INDEX(Stores!$E:$E,MATCH(E2823,Stores!$A:$A,0)),"Unknown")</f>
        <v>South Zone 2</v>
      </c>
      <c r="Z2823" t="str">
        <f>IFERROR(INDEX(Customers!$J:$J,MATCH(C2823,Customers!$A:$A,0)),"Unknown")</f>
        <v>Gold</v>
      </c>
      <c r="AA2823" t="str">
        <f t="shared" si="44"/>
        <v>2025-01</v>
      </c>
      <c r="AB2823" t="str">
        <f>IFERROR(INDEX(Products!$I:$I,MATCH(D2823,Products!$A:$A,0)),"Unknown")</f>
        <v>SUP089</v>
      </c>
    </row>
    <row r="2824" spans="1:28" x14ac:dyDescent="0.25">
      <c r="A2824" t="s">
        <v>4895</v>
      </c>
      <c r="B2824" s="20">
        <v>45488</v>
      </c>
      <c r="C2824" t="s">
        <v>4337</v>
      </c>
      <c r="D2824" t="s">
        <v>633</v>
      </c>
      <c r="E2824" t="s">
        <v>1281</v>
      </c>
      <c r="F2824" t="s">
        <v>574</v>
      </c>
      <c r="G2824">
        <v>5</v>
      </c>
      <c r="H2824" s="21">
        <v>670.49</v>
      </c>
      <c r="I2824">
        <v>5</v>
      </c>
      <c r="J2824" s="21">
        <v>167.62</v>
      </c>
      <c r="K2824">
        <v>5</v>
      </c>
      <c r="L2824" s="21">
        <v>159.24</v>
      </c>
      <c r="M2824" s="21">
        <v>3344.07</v>
      </c>
      <c r="N2824" s="21">
        <v>2089.6</v>
      </c>
      <c r="O2824" s="21">
        <v>1095.23</v>
      </c>
      <c r="P2824" t="s">
        <v>125</v>
      </c>
      <c r="Q2824" t="s">
        <v>120</v>
      </c>
      <c r="R2824" t="s">
        <v>151</v>
      </c>
      <c r="S2824" t="s">
        <v>254</v>
      </c>
      <c r="T2824" t="s">
        <v>153</v>
      </c>
      <c r="U2824" t="s">
        <v>154</v>
      </c>
      <c r="V2824" t="str">
        <f>IFERROR(INDEX(Products!$C:$C,MATCH(D2824,Products!$A:$A,0)),"Unknown")</f>
        <v>Men T-Shirts</v>
      </c>
      <c r="W2824" t="str">
        <f>IFERROR(INDEX(Products!$E:$E,MATCH(D2824,Products!$A:$A,0)),"Unknown")</f>
        <v>Reebok</v>
      </c>
      <c r="X2824" t="str">
        <f>IFERROR(INDEX(Stores!$B:$B,MATCH(E2824,Stores!$A:$A,0)),"Unknown")</f>
        <v>TrendMart Visakhapatnam Standard</v>
      </c>
      <c r="Y2824" t="str">
        <f>IFERROR(INDEX(Stores!$E:$E,MATCH(E2824,Stores!$A:$A,0)),"Unknown")</f>
        <v>South Zone 3</v>
      </c>
      <c r="Z2824" t="str">
        <f>IFERROR(INDEX(Customers!$J:$J,MATCH(C2824,Customers!$A:$A,0)),"Unknown")</f>
        <v>Silver</v>
      </c>
      <c r="AA2824" t="str">
        <f t="shared" si="44"/>
        <v>2024-07</v>
      </c>
      <c r="AB2824" t="str">
        <f>IFERROR(INDEX(Products!$I:$I,MATCH(D2824,Products!$A:$A,0)),"Unknown")</f>
        <v>SUP046</v>
      </c>
    </row>
    <row r="2825" spans="1:28" x14ac:dyDescent="0.25">
      <c r="A2825" t="s">
        <v>4896</v>
      </c>
      <c r="B2825" s="20">
        <v>45460</v>
      </c>
      <c r="C2825" t="s">
        <v>1189</v>
      </c>
      <c r="D2825" t="s">
        <v>693</v>
      </c>
      <c r="E2825" t="s">
        <v>85</v>
      </c>
      <c r="F2825" t="s">
        <v>516</v>
      </c>
      <c r="G2825">
        <v>3</v>
      </c>
      <c r="H2825" s="21">
        <v>2712.17</v>
      </c>
      <c r="I2825">
        <v>0</v>
      </c>
      <c r="J2825" s="21">
        <v>0</v>
      </c>
      <c r="K2825">
        <v>12</v>
      </c>
      <c r="L2825" s="21">
        <v>976.38</v>
      </c>
      <c r="M2825" s="21">
        <v>9112.89</v>
      </c>
      <c r="N2825" s="21">
        <v>6594.66</v>
      </c>
      <c r="O2825" s="21">
        <v>1541.85</v>
      </c>
      <c r="P2825" t="s">
        <v>121</v>
      </c>
      <c r="Q2825" t="s">
        <v>122</v>
      </c>
      <c r="R2825" t="s">
        <v>151</v>
      </c>
      <c r="S2825" t="s">
        <v>2504</v>
      </c>
      <c r="T2825" t="s">
        <v>153</v>
      </c>
      <c r="U2825" t="s">
        <v>154</v>
      </c>
      <c r="V2825" t="str">
        <f>IFERROR(INDEX(Products!$C:$C,MATCH(D2825,Products!$A:$A,0)),"Unknown")</f>
        <v>Handbags</v>
      </c>
      <c r="W2825" t="str">
        <f>IFERROR(INDEX(Products!$E:$E,MATCH(D2825,Products!$A:$A,0)),"Unknown")</f>
        <v>Woodland</v>
      </c>
      <c r="X2825" t="str">
        <f>IFERROR(INDEX(Stores!$B:$B,MATCH(E2825,Stores!$A:$A,0)),"Unknown")</f>
        <v>TrendMart Kalaburagi Mall Kiosk</v>
      </c>
      <c r="Y2825" t="str">
        <f>IFERROR(INDEX(Stores!$E:$E,MATCH(E2825,Stores!$A:$A,0)),"Unknown")</f>
        <v>South Zone 2</v>
      </c>
      <c r="Z2825" t="str">
        <f>IFERROR(INDEX(Customers!$J:$J,MATCH(C2825,Customers!$A:$A,0)),"Unknown")</f>
        <v>Gold</v>
      </c>
      <c r="AA2825" t="str">
        <f t="shared" si="44"/>
        <v>2024-06</v>
      </c>
      <c r="AB2825" t="str">
        <f>IFERROR(INDEX(Products!$I:$I,MATCH(D2825,Products!$A:$A,0)),"Unknown")</f>
        <v>SUP090</v>
      </c>
    </row>
    <row r="2826" spans="1:28" x14ac:dyDescent="0.25">
      <c r="A2826" t="s">
        <v>4897</v>
      </c>
      <c r="B2826" s="20">
        <v>45569</v>
      </c>
      <c r="C2826" t="s">
        <v>2595</v>
      </c>
      <c r="D2826" t="s">
        <v>854</v>
      </c>
      <c r="E2826" t="s">
        <v>831</v>
      </c>
      <c r="F2826" t="s">
        <v>397</v>
      </c>
      <c r="G2826">
        <v>2</v>
      </c>
      <c r="H2826" s="21">
        <v>1210.77</v>
      </c>
      <c r="I2826">
        <v>5</v>
      </c>
      <c r="J2826" s="21">
        <v>121.08</v>
      </c>
      <c r="K2826">
        <v>3</v>
      </c>
      <c r="L2826" s="21">
        <v>69.010000000000005</v>
      </c>
      <c r="M2826" s="21">
        <v>2369.4699999999998</v>
      </c>
      <c r="N2826" s="21">
        <v>1908.08</v>
      </c>
      <c r="O2826" s="21">
        <v>392.38</v>
      </c>
      <c r="P2826" t="s">
        <v>124</v>
      </c>
      <c r="Q2826" t="s">
        <v>120</v>
      </c>
      <c r="R2826" t="s">
        <v>151</v>
      </c>
      <c r="S2826" t="s">
        <v>2629</v>
      </c>
      <c r="T2826" t="s">
        <v>153</v>
      </c>
      <c r="U2826" t="s">
        <v>154</v>
      </c>
      <c r="V2826" t="str">
        <f>IFERROR(INDEX(Products!$C:$C,MATCH(D2826,Products!$A:$A,0)),"Unknown")</f>
        <v>Jewellery</v>
      </c>
      <c r="W2826" t="str">
        <f>IFERROR(INDEX(Products!$E:$E,MATCH(D2826,Products!$A:$A,0)),"Unknown")</f>
        <v>W for Woman</v>
      </c>
      <c r="X2826" t="str">
        <f>IFERROR(INDEX(Stores!$B:$B,MATCH(E2826,Stores!$A:$A,0)),"Unknown")</f>
        <v>TrendMart Vellore Standard</v>
      </c>
      <c r="Y2826" t="str">
        <f>IFERROR(INDEX(Stores!$E:$E,MATCH(E2826,Stores!$A:$A,0)),"Unknown")</f>
        <v>South Zone 1</v>
      </c>
      <c r="Z2826" t="str">
        <f>IFERROR(INDEX(Customers!$J:$J,MATCH(C2826,Customers!$A:$A,0)),"Unknown")</f>
        <v>Gold</v>
      </c>
      <c r="AA2826" t="str">
        <f t="shared" si="44"/>
        <v>2024-10</v>
      </c>
      <c r="AB2826" t="str">
        <f>IFERROR(INDEX(Products!$I:$I,MATCH(D2826,Products!$A:$A,0)),"Unknown")</f>
        <v>SUP006</v>
      </c>
    </row>
    <row r="2827" spans="1:28" x14ac:dyDescent="0.25">
      <c r="A2827" t="s">
        <v>4898</v>
      </c>
      <c r="B2827" s="20">
        <v>45397</v>
      </c>
      <c r="C2827" t="s">
        <v>4599</v>
      </c>
      <c r="D2827" t="s">
        <v>1296</v>
      </c>
      <c r="E2827" t="s">
        <v>1171</v>
      </c>
      <c r="F2827" t="s">
        <v>377</v>
      </c>
      <c r="G2827">
        <v>1</v>
      </c>
      <c r="H2827" s="21">
        <v>937.45</v>
      </c>
      <c r="I2827">
        <v>10</v>
      </c>
      <c r="J2827" s="21">
        <v>93.75</v>
      </c>
      <c r="K2827">
        <v>5</v>
      </c>
      <c r="L2827" s="21">
        <v>42.19</v>
      </c>
      <c r="M2827" s="21">
        <v>885.89</v>
      </c>
      <c r="N2827" s="21">
        <v>671.19</v>
      </c>
      <c r="O2827" s="21">
        <v>172.51</v>
      </c>
      <c r="P2827" t="s">
        <v>124</v>
      </c>
      <c r="Q2827" t="s">
        <v>120</v>
      </c>
      <c r="R2827" t="s">
        <v>151</v>
      </c>
      <c r="S2827" t="s">
        <v>2162</v>
      </c>
      <c r="T2827" t="s">
        <v>153</v>
      </c>
      <c r="U2827" t="s">
        <v>154</v>
      </c>
      <c r="V2827" t="str">
        <f>IFERROR(INDEX(Products!$C:$C,MATCH(D2827,Products!$A:$A,0)),"Unknown")</f>
        <v>Handbags</v>
      </c>
      <c r="W2827" t="str">
        <f>IFERROR(INDEX(Products!$E:$E,MATCH(D2827,Products!$A:$A,0)),"Unknown")</f>
        <v>Tanishq</v>
      </c>
      <c r="X2827" t="str">
        <f>IFERROR(INDEX(Stores!$B:$B,MATCH(E2827,Stores!$A:$A,0)),"Unknown")</f>
        <v>TrendMart Chennai Standard</v>
      </c>
      <c r="Y2827" t="str">
        <f>IFERROR(INDEX(Stores!$E:$E,MATCH(E2827,Stores!$A:$A,0)),"Unknown")</f>
        <v>South Zone 1</v>
      </c>
      <c r="Z2827" t="str">
        <f>IFERROR(INDEX(Customers!$J:$J,MATCH(C2827,Customers!$A:$A,0)),"Unknown")</f>
        <v>Silver</v>
      </c>
      <c r="AA2827" t="str">
        <f t="shared" si="44"/>
        <v>2024-04</v>
      </c>
      <c r="AB2827" t="str">
        <f>IFERROR(INDEX(Products!$I:$I,MATCH(D2827,Products!$A:$A,0)),"Unknown")</f>
        <v>SUP083</v>
      </c>
    </row>
    <row r="2828" spans="1:28" x14ac:dyDescent="0.25">
      <c r="A2828" t="s">
        <v>4899</v>
      </c>
      <c r="B2828" s="20">
        <v>45558</v>
      </c>
      <c r="C2828" t="s">
        <v>2325</v>
      </c>
      <c r="D2828" t="s">
        <v>251</v>
      </c>
      <c r="E2828" t="s">
        <v>280</v>
      </c>
      <c r="F2828" t="s">
        <v>574</v>
      </c>
      <c r="G2828">
        <v>2</v>
      </c>
      <c r="H2828" s="21">
        <v>795.35</v>
      </c>
      <c r="I2828">
        <v>10</v>
      </c>
      <c r="J2828" s="21">
        <v>159.07</v>
      </c>
      <c r="K2828">
        <v>5</v>
      </c>
      <c r="L2828" s="21">
        <v>71.58</v>
      </c>
      <c r="M2828" s="21">
        <v>1503.21</v>
      </c>
      <c r="N2828" s="21">
        <v>1069.6199999999999</v>
      </c>
      <c r="O2828" s="21">
        <v>362.01</v>
      </c>
      <c r="P2828" t="s">
        <v>123</v>
      </c>
      <c r="Q2828" t="s">
        <v>120</v>
      </c>
      <c r="R2828" t="s">
        <v>151</v>
      </c>
      <c r="S2828" t="s">
        <v>2288</v>
      </c>
      <c r="T2828" t="s">
        <v>153</v>
      </c>
      <c r="U2828" t="s">
        <v>154</v>
      </c>
      <c r="V2828" t="str">
        <f>IFERROR(INDEX(Products!$C:$C,MATCH(D2828,Products!$A:$A,0)),"Unknown")</f>
        <v>Women Tops</v>
      </c>
      <c r="W2828" t="str">
        <f>IFERROR(INDEX(Products!$E:$E,MATCH(D2828,Products!$A:$A,0)),"Unknown")</f>
        <v>US Polo Assn</v>
      </c>
      <c r="X2828" t="str">
        <f>IFERROR(INDEX(Stores!$B:$B,MATCH(E2828,Stores!$A:$A,0)),"Unknown")</f>
        <v>TrendMart Chennai Standard</v>
      </c>
      <c r="Y2828" t="str">
        <f>IFERROR(INDEX(Stores!$E:$E,MATCH(E2828,Stores!$A:$A,0)),"Unknown")</f>
        <v>South Zone 1</v>
      </c>
      <c r="Z2828" t="str">
        <f>IFERROR(INDEX(Customers!$J:$J,MATCH(C2828,Customers!$A:$A,0)),"Unknown")</f>
        <v>Platinum</v>
      </c>
      <c r="AA2828" t="str">
        <f t="shared" si="44"/>
        <v>2024-09</v>
      </c>
      <c r="AB2828" t="str">
        <f>IFERROR(INDEX(Products!$I:$I,MATCH(D2828,Products!$A:$A,0)),"Unknown")</f>
        <v>SUP039</v>
      </c>
    </row>
    <row r="2829" spans="1:28" x14ac:dyDescent="0.25">
      <c r="A2829" t="s">
        <v>4900</v>
      </c>
      <c r="B2829" s="20">
        <v>45581</v>
      </c>
      <c r="C2829" t="s">
        <v>2050</v>
      </c>
      <c r="D2829" t="s">
        <v>905</v>
      </c>
      <c r="E2829" t="s">
        <v>630</v>
      </c>
      <c r="F2829" t="s">
        <v>532</v>
      </c>
      <c r="G2829">
        <v>2</v>
      </c>
      <c r="H2829" s="21">
        <v>588.57000000000005</v>
      </c>
      <c r="I2829">
        <v>25</v>
      </c>
      <c r="J2829" s="21">
        <v>294.29000000000002</v>
      </c>
      <c r="K2829">
        <v>5</v>
      </c>
      <c r="L2829" s="21">
        <v>44.14</v>
      </c>
      <c r="M2829" s="21">
        <v>926.99</v>
      </c>
      <c r="N2829" s="21">
        <v>742.24</v>
      </c>
      <c r="O2829" s="21">
        <v>140.61000000000001</v>
      </c>
      <c r="P2829" t="s">
        <v>125</v>
      </c>
      <c r="Q2829" t="s">
        <v>120</v>
      </c>
      <c r="R2829" t="s">
        <v>151</v>
      </c>
      <c r="S2829" t="s">
        <v>2358</v>
      </c>
      <c r="T2829" t="s">
        <v>153</v>
      </c>
      <c r="U2829" t="s">
        <v>154</v>
      </c>
      <c r="V2829" t="str">
        <f>IFERROR(INDEX(Products!$C:$C,MATCH(D2829,Products!$A:$A,0)),"Unknown")</f>
        <v>Wallets</v>
      </c>
      <c r="W2829" t="str">
        <f>IFERROR(INDEX(Products!$E:$E,MATCH(D2829,Products!$A:$A,0)),"Unknown")</f>
        <v>Global Desi</v>
      </c>
      <c r="X2829" t="str">
        <f>IFERROR(INDEX(Stores!$B:$B,MATCH(E2829,Stores!$A:$A,0)),"Unknown")</f>
        <v>TrendMart Guntur Standard</v>
      </c>
      <c r="Y2829" t="str">
        <f>IFERROR(INDEX(Stores!$E:$E,MATCH(E2829,Stores!$A:$A,0)),"Unknown")</f>
        <v>South Zone 3</v>
      </c>
      <c r="Z2829" t="str">
        <f>IFERROR(INDEX(Customers!$J:$J,MATCH(C2829,Customers!$A:$A,0)),"Unknown")</f>
        <v>Gold</v>
      </c>
      <c r="AA2829" t="str">
        <f t="shared" si="44"/>
        <v>2024-10</v>
      </c>
      <c r="AB2829" t="str">
        <f>IFERROR(INDEX(Products!$I:$I,MATCH(D2829,Products!$A:$A,0)),"Unknown")</f>
        <v>SUP051</v>
      </c>
    </row>
    <row r="2830" spans="1:28" x14ac:dyDescent="0.25">
      <c r="A2830" t="s">
        <v>4901</v>
      </c>
      <c r="B2830" s="20">
        <v>45732</v>
      </c>
      <c r="C2830" t="s">
        <v>2662</v>
      </c>
      <c r="D2830" t="s">
        <v>830</v>
      </c>
      <c r="E2830" t="s">
        <v>639</v>
      </c>
      <c r="F2830" t="s">
        <v>263</v>
      </c>
      <c r="G2830">
        <v>2</v>
      </c>
      <c r="H2830" s="21">
        <v>961.03</v>
      </c>
      <c r="I2830">
        <v>10</v>
      </c>
      <c r="J2830" s="21">
        <v>192.21</v>
      </c>
      <c r="K2830">
        <v>5</v>
      </c>
      <c r="L2830" s="21">
        <v>86.49</v>
      </c>
      <c r="M2830" s="21">
        <v>1816.34</v>
      </c>
      <c r="N2830" s="21">
        <v>1140.4000000000001</v>
      </c>
      <c r="O2830" s="21">
        <v>589.45000000000005</v>
      </c>
      <c r="P2830" t="s">
        <v>124</v>
      </c>
      <c r="Q2830" t="s">
        <v>120</v>
      </c>
      <c r="R2830" t="s">
        <v>151</v>
      </c>
      <c r="S2830" t="s">
        <v>774</v>
      </c>
      <c r="T2830" t="s">
        <v>161</v>
      </c>
      <c r="U2830" t="s">
        <v>154</v>
      </c>
      <c r="V2830" t="str">
        <f>IFERROR(INDEX(Products!$C:$C,MATCH(D2830,Products!$A:$A,0)),"Unknown")</f>
        <v>Men Shirts</v>
      </c>
      <c r="W2830" t="str">
        <f>IFERROR(INDEX(Products!$E:$E,MATCH(D2830,Products!$A:$A,0)),"Unknown")</f>
        <v>AND</v>
      </c>
      <c r="X2830" t="str">
        <f>IFERROR(INDEX(Stores!$B:$B,MATCH(E2830,Stores!$A:$A,0)),"Unknown")</f>
        <v>TrendMart Kurnool Outlet</v>
      </c>
      <c r="Y2830" t="str">
        <f>IFERROR(INDEX(Stores!$E:$E,MATCH(E2830,Stores!$A:$A,0)),"Unknown")</f>
        <v>South Zone 3</v>
      </c>
      <c r="Z2830" t="str">
        <f>IFERROR(INDEX(Customers!$J:$J,MATCH(C2830,Customers!$A:$A,0)),"Unknown")</f>
        <v>Regular</v>
      </c>
      <c r="AA2830" t="str">
        <f t="shared" si="44"/>
        <v>2025-03</v>
      </c>
      <c r="AB2830" t="str">
        <f>IFERROR(INDEX(Products!$I:$I,MATCH(D2830,Products!$A:$A,0)),"Unknown")</f>
        <v>SUP012</v>
      </c>
    </row>
    <row r="2831" spans="1:28" x14ac:dyDescent="0.25">
      <c r="A2831" t="s">
        <v>4902</v>
      </c>
      <c r="B2831" s="20">
        <v>45563</v>
      </c>
      <c r="C2831" t="s">
        <v>2957</v>
      </c>
      <c r="D2831" t="s">
        <v>996</v>
      </c>
      <c r="E2831" t="s">
        <v>1002</v>
      </c>
      <c r="F2831" t="s">
        <v>286</v>
      </c>
      <c r="G2831">
        <v>2</v>
      </c>
      <c r="H2831" s="21">
        <v>1992.57</v>
      </c>
      <c r="I2831">
        <v>15</v>
      </c>
      <c r="J2831" s="21">
        <v>597.77</v>
      </c>
      <c r="K2831">
        <v>12</v>
      </c>
      <c r="L2831" s="21">
        <v>406.48</v>
      </c>
      <c r="M2831" s="21">
        <v>3793.85</v>
      </c>
      <c r="N2831" s="21">
        <v>2861.14</v>
      </c>
      <c r="O2831" s="21">
        <v>526.23</v>
      </c>
      <c r="P2831" t="s">
        <v>127</v>
      </c>
      <c r="Q2831" t="s">
        <v>120</v>
      </c>
      <c r="R2831" t="s">
        <v>151</v>
      </c>
      <c r="S2831" t="s">
        <v>1109</v>
      </c>
      <c r="T2831" t="s">
        <v>161</v>
      </c>
      <c r="U2831" t="s">
        <v>154</v>
      </c>
      <c r="V2831" t="str">
        <f>IFERROR(INDEX(Products!$C:$C,MATCH(D2831,Products!$A:$A,0)),"Unknown")</f>
        <v>Men Ethnic</v>
      </c>
      <c r="W2831" t="str">
        <f>IFERROR(INDEX(Products!$E:$E,MATCH(D2831,Products!$A:$A,0)),"Unknown")</f>
        <v>Liberty</v>
      </c>
      <c r="X2831" t="str">
        <f>IFERROR(INDEX(Stores!$B:$B,MATCH(E2831,Stores!$A:$A,0)),"Unknown")</f>
        <v>TrendMart Coimbatore Mall Kiosk</v>
      </c>
      <c r="Y2831" t="str">
        <f>IFERROR(INDEX(Stores!$E:$E,MATCH(E2831,Stores!$A:$A,0)),"Unknown")</f>
        <v>South Zone 1</v>
      </c>
      <c r="Z2831" t="str">
        <f>IFERROR(INDEX(Customers!$J:$J,MATCH(C2831,Customers!$A:$A,0)),"Unknown")</f>
        <v>Silver</v>
      </c>
      <c r="AA2831" t="str">
        <f t="shared" si="44"/>
        <v>2024-09</v>
      </c>
      <c r="AB2831" t="str">
        <f>IFERROR(INDEX(Products!$I:$I,MATCH(D2831,Products!$A:$A,0)),"Unknown")</f>
        <v>SUP046</v>
      </c>
    </row>
    <row r="2832" spans="1:28" x14ac:dyDescent="0.25">
      <c r="A2832" t="s">
        <v>4903</v>
      </c>
      <c r="B2832" s="20">
        <v>45418</v>
      </c>
      <c r="C2832" t="s">
        <v>684</v>
      </c>
      <c r="D2832" t="s">
        <v>1928</v>
      </c>
      <c r="E2832" t="s">
        <v>318</v>
      </c>
      <c r="F2832" t="s">
        <v>574</v>
      </c>
      <c r="G2832">
        <v>1</v>
      </c>
      <c r="H2832" s="21">
        <v>863.61</v>
      </c>
      <c r="I2832">
        <v>10</v>
      </c>
      <c r="J2832" s="21">
        <v>86.36</v>
      </c>
      <c r="K2832">
        <v>5</v>
      </c>
      <c r="L2832" s="21">
        <v>38.86</v>
      </c>
      <c r="M2832" s="21">
        <v>816.11</v>
      </c>
      <c r="N2832" s="21">
        <v>658.19</v>
      </c>
      <c r="O2832" s="21">
        <v>119.06</v>
      </c>
      <c r="P2832" t="s">
        <v>121</v>
      </c>
      <c r="Q2832" t="s">
        <v>120</v>
      </c>
      <c r="R2832" t="s">
        <v>151</v>
      </c>
      <c r="S2832" t="s">
        <v>314</v>
      </c>
      <c r="T2832" t="s">
        <v>153</v>
      </c>
      <c r="U2832" t="s">
        <v>154</v>
      </c>
      <c r="V2832" t="str">
        <f>IFERROR(INDEX(Products!$C:$C,MATCH(D2832,Products!$A:$A,0)),"Unknown")</f>
        <v>Men Jeans</v>
      </c>
      <c r="W2832" t="str">
        <f>IFERROR(INDEX(Products!$E:$E,MATCH(D2832,Products!$A:$A,0)),"Unknown")</f>
        <v>Skechers</v>
      </c>
      <c r="X2832" t="str">
        <f>IFERROR(INDEX(Stores!$B:$B,MATCH(E2832,Stores!$A:$A,0)),"Unknown")</f>
        <v>TrendMart Guntur Outlet</v>
      </c>
      <c r="Y2832" t="str">
        <f>IFERROR(INDEX(Stores!$E:$E,MATCH(E2832,Stores!$A:$A,0)),"Unknown")</f>
        <v>South Zone 3</v>
      </c>
      <c r="Z2832" t="str">
        <f>IFERROR(INDEX(Customers!$J:$J,MATCH(C2832,Customers!$A:$A,0)),"Unknown")</f>
        <v>Platinum</v>
      </c>
      <c r="AA2832" t="str">
        <f t="shared" si="44"/>
        <v>2024-05</v>
      </c>
      <c r="AB2832" t="str">
        <f>IFERROR(INDEX(Products!$I:$I,MATCH(D2832,Products!$A:$A,0)),"Unknown")</f>
        <v>SUP015</v>
      </c>
    </row>
    <row r="2833" spans="1:28" x14ac:dyDescent="0.25">
      <c r="A2833" t="s">
        <v>4904</v>
      </c>
      <c r="B2833" s="20">
        <v>45518</v>
      </c>
      <c r="C2833" t="s">
        <v>4905</v>
      </c>
      <c r="D2833" t="s">
        <v>531</v>
      </c>
      <c r="E2833" t="s">
        <v>806</v>
      </c>
      <c r="F2833" t="s">
        <v>182</v>
      </c>
      <c r="G2833">
        <v>1</v>
      </c>
      <c r="H2833" s="21">
        <v>3221.32</v>
      </c>
      <c r="I2833">
        <v>5</v>
      </c>
      <c r="J2833" s="21">
        <v>161.07</v>
      </c>
      <c r="K2833">
        <v>12</v>
      </c>
      <c r="L2833" s="21">
        <v>367.23</v>
      </c>
      <c r="M2833" s="21">
        <v>3427.48</v>
      </c>
      <c r="N2833" s="21">
        <v>2034.01</v>
      </c>
      <c r="O2833" s="21">
        <v>1026.24</v>
      </c>
      <c r="P2833" t="s">
        <v>125</v>
      </c>
      <c r="Q2833" t="s">
        <v>122</v>
      </c>
      <c r="R2833" t="s">
        <v>151</v>
      </c>
      <c r="S2833" t="s">
        <v>3688</v>
      </c>
      <c r="T2833" t="s">
        <v>153</v>
      </c>
      <c r="U2833" t="s">
        <v>154</v>
      </c>
      <c r="V2833" t="str">
        <f>IFERROR(INDEX(Products!$C:$C,MATCH(D2833,Products!$A:$A,0)),"Unknown")</f>
        <v>Handbags</v>
      </c>
      <c r="W2833" t="str">
        <f>IFERROR(INDEX(Products!$E:$E,MATCH(D2833,Products!$A:$A,0)),"Unknown")</f>
        <v>GRT Jewellers</v>
      </c>
      <c r="X2833" t="str">
        <f>IFERROR(INDEX(Stores!$B:$B,MATCH(E2833,Stores!$A:$A,0)),"Unknown")</f>
        <v>TrendMart Tirunelveli Flagship</v>
      </c>
      <c r="Y2833" t="str">
        <f>IFERROR(INDEX(Stores!$E:$E,MATCH(E2833,Stores!$A:$A,0)),"Unknown")</f>
        <v>South Zone 1</v>
      </c>
      <c r="Z2833" t="str">
        <f>IFERROR(INDEX(Customers!$J:$J,MATCH(C2833,Customers!$A:$A,0)),"Unknown")</f>
        <v>Regular</v>
      </c>
      <c r="AA2833" t="str">
        <f t="shared" si="44"/>
        <v>2024-08</v>
      </c>
      <c r="AB2833" t="str">
        <f>IFERROR(INDEX(Products!$I:$I,MATCH(D2833,Products!$A:$A,0)),"Unknown")</f>
        <v>SUP047</v>
      </c>
    </row>
    <row r="2834" spans="1:28" x14ac:dyDescent="0.25">
      <c r="A2834" t="s">
        <v>4906</v>
      </c>
      <c r="B2834" s="20">
        <v>45585</v>
      </c>
      <c r="C2834" t="s">
        <v>2534</v>
      </c>
      <c r="D2834" t="s">
        <v>583</v>
      </c>
      <c r="E2834" t="s">
        <v>296</v>
      </c>
      <c r="F2834" t="s">
        <v>253</v>
      </c>
      <c r="G2834">
        <v>2</v>
      </c>
      <c r="H2834" s="21">
        <v>995.71</v>
      </c>
      <c r="I2834">
        <v>25</v>
      </c>
      <c r="J2834" s="21">
        <v>497.86</v>
      </c>
      <c r="K2834">
        <v>5</v>
      </c>
      <c r="L2834" s="21">
        <v>74.680000000000007</v>
      </c>
      <c r="M2834" s="21">
        <v>1568.24</v>
      </c>
      <c r="N2834" s="21">
        <v>1259.44</v>
      </c>
      <c r="O2834" s="21">
        <v>234.12</v>
      </c>
      <c r="P2834" t="s">
        <v>126</v>
      </c>
      <c r="Q2834" t="s">
        <v>120</v>
      </c>
      <c r="R2834" t="s">
        <v>151</v>
      </c>
      <c r="S2834" t="s">
        <v>668</v>
      </c>
      <c r="T2834" t="s">
        <v>161</v>
      </c>
      <c r="U2834" t="s">
        <v>154</v>
      </c>
      <c r="V2834" t="str">
        <f>IFERROR(INDEX(Products!$C:$C,MATCH(D2834,Products!$A:$A,0)),"Unknown")</f>
        <v>Women Tops</v>
      </c>
      <c r="W2834" t="str">
        <f>IFERROR(INDEX(Products!$E:$E,MATCH(D2834,Products!$A:$A,0)),"Unknown")</f>
        <v>Ramraj Cotton</v>
      </c>
      <c r="X2834" t="str">
        <f>IFERROR(INDEX(Stores!$B:$B,MATCH(E2834,Stores!$A:$A,0)),"Unknown")</f>
        <v>TrendMart Kurnool Outlet</v>
      </c>
      <c r="Y2834" t="str">
        <f>IFERROR(INDEX(Stores!$E:$E,MATCH(E2834,Stores!$A:$A,0)),"Unknown")</f>
        <v>South Zone 3</v>
      </c>
      <c r="Z2834" t="str">
        <f>IFERROR(INDEX(Customers!$J:$J,MATCH(C2834,Customers!$A:$A,0)),"Unknown")</f>
        <v>Gold</v>
      </c>
      <c r="AA2834" t="str">
        <f t="shared" si="44"/>
        <v>2024-10</v>
      </c>
      <c r="AB2834" t="str">
        <f>IFERROR(INDEX(Products!$I:$I,MATCH(D2834,Products!$A:$A,0)),"Unknown")</f>
        <v>SUP048</v>
      </c>
    </row>
    <row r="2835" spans="1:28" x14ac:dyDescent="0.25">
      <c r="A2835" t="s">
        <v>4907</v>
      </c>
      <c r="B2835" s="20">
        <v>45588</v>
      </c>
      <c r="C2835" t="s">
        <v>4028</v>
      </c>
      <c r="D2835" t="s">
        <v>531</v>
      </c>
      <c r="E2835" t="s">
        <v>86</v>
      </c>
      <c r="F2835" t="s">
        <v>269</v>
      </c>
      <c r="G2835">
        <v>4</v>
      </c>
      <c r="H2835" s="21">
        <v>2947</v>
      </c>
      <c r="I2835">
        <v>10</v>
      </c>
      <c r="J2835" s="21">
        <v>1178.8</v>
      </c>
      <c r="K2835">
        <v>12</v>
      </c>
      <c r="L2835" s="21">
        <v>1273.0999999999999</v>
      </c>
      <c r="M2835" s="21">
        <v>11882.3</v>
      </c>
      <c r="N2835" s="21">
        <v>8136.04</v>
      </c>
      <c r="O2835" s="21">
        <v>2473.16</v>
      </c>
      <c r="P2835" t="s">
        <v>121</v>
      </c>
      <c r="Q2835" t="s">
        <v>122</v>
      </c>
      <c r="R2835" t="s">
        <v>313</v>
      </c>
      <c r="S2835" t="s">
        <v>2606</v>
      </c>
      <c r="T2835" t="s">
        <v>153</v>
      </c>
      <c r="U2835" t="s">
        <v>154</v>
      </c>
      <c r="V2835" t="str">
        <f>IFERROR(INDEX(Products!$C:$C,MATCH(D2835,Products!$A:$A,0)),"Unknown")</f>
        <v>Handbags</v>
      </c>
      <c r="W2835" t="str">
        <f>IFERROR(INDEX(Products!$E:$E,MATCH(D2835,Products!$A:$A,0)),"Unknown")</f>
        <v>GRT Jewellers</v>
      </c>
      <c r="X2835" t="str">
        <f>IFERROR(INDEX(Stores!$B:$B,MATCH(E2835,Stores!$A:$A,0)),"Unknown")</f>
        <v>TrendMart Warangal High Street</v>
      </c>
      <c r="Y2835" t="str">
        <f>IFERROR(INDEX(Stores!$E:$E,MATCH(E2835,Stores!$A:$A,0)),"Unknown")</f>
        <v>South Zone 2</v>
      </c>
      <c r="Z2835" t="str">
        <f>IFERROR(INDEX(Customers!$J:$J,MATCH(C2835,Customers!$A:$A,0)),"Unknown")</f>
        <v>Silver</v>
      </c>
      <c r="AA2835" t="str">
        <f t="shared" si="44"/>
        <v>2024-10</v>
      </c>
      <c r="AB2835" t="str">
        <f>IFERROR(INDEX(Products!$I:$I,MATCH(D2835,Products!$A:$A,0)),"Unknown")</f>
        <v>SUP047</v>
      </c>
    </row>
    <row r="2836" spans="1:28" x14ac:dyDescent="0.25">
      <c r="A2836" t="s">
        <v>4908</v>
      </c>
      <c r="B2836" s="20">
        <v>45449</v>
      </c>
      <c r="C2836" t="s">
        <v>509</v>
      </c>
      <c r="D2836" t="s">
        <v>638</v>
      </c>
      <c r="E2836" t="s">
        <v>158</v>
      </c>
      <c r="F2836" t="s">
        <v>211</v>
      </c>
      <c r="G2836">
        <v>2</v>
      </c>
      <c r="H2836" s="21">
        <v>1405.56</v>
      </c>
      <c r="I2836">
        <v>0</v>
      </c>
      <c r="J2836" s="21">
        <v>0</v>
      </c>
      <c r="K2836">
        <v>12</v>
      </c>
      <c r="L2836" s="21">
        <v>337.33</v>
      </c>
      <c r="M2836" s="21">
        <v>3148.45</v>
      </c>
      <c r="N2836" s="21">
        <v>1957.36</v>
      </c>
      <c r="O2836" s="21">
        <v>853.76</v>
      </c>
      <c r="P2836" t="s">
        <v>123</v>
      </c>
      <c r="Q2836" t="s">
        <v>120</v>
      </c>
      <c r="R2836" t="s">
        <v>151</v>
      </c>
      <c r="S2836" t="s">
        <v>735</v>
      </c>
      <c r="T2836" t="s">
        <v>153</v>
      </c>
      <c r="U2836" t="s">
        <v>154</v>
      </c>
      <c r="V2836" t="str">
        <f>IFERROR(INDEX(Products!$C:$C,MATCH(D2836,Products!$A:$A,0)),"Unknown")</f>
        <v>Men Trousers</v>
      </c>
      <c r="W2836" t="str">
        <f>IFERROR(INDEX(Products!$E:$E,MATCH(D2836,Products!$A:$A,0)),"Unknown")</f>
        <v>Westside</v>
      </c>
      <c r="X2836" t="str">
        <f>IFERROR(INDEX(Stores!$B:$B,MATCH(E2836,Stores!$A:$A,0)),"Unknown")</f>
        <v>TrendMart Tirunelveli High Street</v>
      </c>
      <c r="Y2836" t="str">
        <f>IFERROR(INDEX(Stores!$E:$E,MATCH(E2836,Stores!$A:$A,0)),"Unknown")</f>
        <v>South Zone 1</v>
      </c>
      <c r="Z2836" t="str">
        <f>IFERROR(INDEX(Customers!$J:$J,MATCH(C2836,Customers!$A:$A,0)),"Unknown")</f>
        <v>Gold</v>
      </c>
      <c r="AA2836" t="str">
        <f t="shared" si="44"/>
        <v>2024-06</v>
      </c>
      <c r="AB2836" t="str">
        <f>IFERROR(INDEX(Products!$I:$I,MATCH(D2836,Products!$A:$A,0)),"Unknown")</f>
        <v>SUP071</v>
      </c>
    </row>
    <row r="2837" spans="1:28" x14ac:dyDescent="0.25">
      <c r="A2837" t="s">
        <v>4909</v>
      </c>
      <c r="B2837" s="20">
        <v>45729</v>
      </c>
      <c r="C2837" t="s">
        <v>1245</v>
      </c>
      <c r="D2837" t="s">
        <v>407</v>
      </c>
      <c r="E2837" t="s">
        <v>98</v>
      </c>
      <c r="F2837" t="s">
        <v>211</v>
      </c>
      <c r="G2837">
        <v>4</v>
      </c>
      <c r="H2837" s="21">
        <v>1213.31</v>
      </c>
      <c r="I2837">
        <v>20</v>
      </c>
      <c r="J2837" s="21">
        <v>970.65</v>
      </c>
      <c r="K2837">
        <v>12</v>
      </c>
      <c r="L2837" s="21">
        <v>465.91</v>
      </c>
      <c r="M2837" s="21">
        <v>4348.5</v>
      </c>
      <c r="N2837" s="21">
        <v>3210.56</v>
      </c>
      <c r="O2837" s="21">
        <v>672.03</v>
      </c>
      <c r="P2837" t="s">
        <v>123</v>
      </c>
      <c r="Q2837" t="s">
        <v>120</v>
      </c>
      <c r="R2837" t="s">
        <v>151</v>
      </c>
      <c r="S2837" t="s">
        <v>1261</v>
      </c>
      <c r="T2837" t="s">
        <v>153</v>
      </c>
      <c r="U2837" t="s">
        <v>154</v>
      </c>
      <c r="V2837" t="str">
        <f>IFERROR(INDEX(Products!$C:$C,MATCH(D2837,Products!$A:$A,0)),"Unknown")</f>
        <v>Winter Wear</v>
      </c>
      <c r="W2837" t="str">
        <f>IFERROR(INDEX(Products!$E:$E,MATCH(D2837,Products!$A:$A,0)),"Unknown")</f>
        <v>Metro Shoes</v>
      </c>
      <c r="X2837" t="str">
        <f>IFERROR(INDEX(Stores!$B:$B,MATCH(E2837,Stores!$A:$A,0)),"Unknown")</f>
        <v>TrendMart Bengaluru Flagship</v>
      </c>
      <c r="Y2837" t="str">
        <f>IFERROR(INDEX(Stores!$E:$E,MATCH(E2837,Stores!$A:$A,0)),"Unknown")</f>
        <v>South Zone 2</v>
      </c>
      <c r="Z2837" t="str">
        <f>IFERROR(INDEX(Customers!$J:$J,MATCH(C2837,Customers!$A:$A,0)),"Unknown")</f>
        <v>Regular</v>
      </c>
      <c r="AA2837" t="str">
        <f t="shared" si="44"/>
        <v>2025-03</v>
      </c>
      <c r="AB2837" t="str">
        <f>IFERROR(INDEX(Products!$I:$I,MATCH(D2837,Products!$A:$A,0)),"Unknown")</f>
        <v>SUP067</v>
      </c>
    </row>
    <row r="2838" spans="1:28" x14ac:dyDescent="0.25">
      <c r="A2838" t="s">
        <v>4910</v>
      </c>
      <c r="B2838" s="20">
        <v>45551</v>
      </c>
      <c r="C2838" t="s">
        <v>1400</v>
      </c>
      <c r="D2838" t="s">
        <v>149</v>
      </c>
      <c r="E2838" t="s">
        <v>416</v>
      </c>
      <c r="F2838" t="s">
        <v>382</v>
      </c>
      <c r="G2838">
        <v>1</v>
      </c>
      <c r="H2838" s="21">
        <v>762.71</v>
      </c>
      <c r="I2838">
        <v>25</v>
      </c>
      <c r="J2838" s="21">
        <v>190.68</v>
      </c>
      <c r="K2838">
        <v>5</v>
      </c>
      <c r="L2838" s="21">
        <v>28.6</v>
      </c>
      <c r="M2838" s="21">
        <v>600.63</v>
      </c>
      <c r="N2838" s="21">
        <v>496.67</v>
      </c>
      <c r="O2838" s="21">
        <v>75.36</v>
      </c>
      <c r="P2838" t="s">
        <v>121</v>
      </c>
      <c r="Q2838" t="s">
        <v>122</v>
      </c>
      <c r="R2838" t="s">
        <v>151</v>
      </c>
      <c r="S2838" t="s">
        <v>872</v>
      </c>
      <c r="T2838" t="s">
        <v>153</v>
      </c>
      <c r="U2838" t="s">
        <v>154</v>
      </c>
      <c r="V2838" t="str">
        <f>IFERROR(INDEX(Products!$C:$C,MATCH(D2838,Products!$A:$A,0)),"Unknown")</f>
        <v>Women Kurtis</v>
      </c>
      <c r="W2838" t="str">
        <f>IFERROR(INDEX(Products!$E:$E,MATCH(D2838,Products!$A:$A,0)),"Unknown")</f>
        <v>Pepe Jeans</v>
      </c>
      <c r="X2838" t="str">
        <f>IFERROR(INDEX(Stores!$B:$B,MATCH(E2838,Stores!$A:$A,0)),"Unknown")</f>
        <v>TrendMart Dindigul Standard</v>
      </c>
      <c r="Y2838" t="str">
        <f>IFERROR(INDEX(Stores!$E:$E,MATCH(E2838,Stores!$A:$A,0)),"Unknown")</f>
        <v>South Zone 1</v>
      </c>
      <c r="Z2838" t="str">
        <f>IFERROR(INDEX(Customers!$J:$J,MATCH(C2838,Customers!$A:$A,0)),"Unknown")</f>
        <v>Regular</v>
      </c>
      <c r="AA2838" t="str">
        <f t="shared" si="44"/>
        <v>2024-09</v>
      </c>
      <c r="AB2838" t="str">
        <f>IFERROR(INDEX(Products!$I:$I,MATCH(D2838,Products!$A:$A,0)),"Unknown")</f>
        <v>SUP049</v>
      </c>
    </row>
    <row r="2839" spans="1:28" x14ac:dyDescent="0.25">
      <c r="A2839" t="s">
        <v>4911</v>
      </c>
      <c r="B2839" s="20">
        <v>45436</v>
      </c>
      <c r="C2839" t="s">
        <v>653</v>
      </c>
      <c r="D2839" t="s">
        <v>814</v>
      </c>
      <c r="E2839" t="s">
        <v>470</v>
      </c>
      <c r="F2839" t="s">
        <v>195</v>
      </c>
      <c r="G2839">
        <v>4</v>
      </c>
      <c r="H2839" s="21">
        <v>648.04999999999995</v>
      </c>
      <c r="I2839">
        <v>20</v>
      </c>
      <c r="J2839" s="21">
        <v>518.44000000000005</v>
      </c>
      <c r="K2839">
        <v>5</v>
      </c>
      <c r="L2839" s="21">
        <v>103.69</v>
      </c>
      <c r="M2839" s="21">
        <v>2177.4499999999998</v>
      </c>
      <c r="N2839" s="21">
        <v>1458.44</v>
      </c>
      <c r="O2839" s="21">
        <v>615.32000000000005</v>
      </c>
      <c r="P2839" t="s">
        <v>123</v>
      </c>
      <c r="Q2839" t="s">
        <v>120</v>
      </c>
      <c r="R2839" t="s">
        <v>151</v>
      </c>
      <c r="S2839" t="s">
        <v>3105</v>
      </c>
      <c r="T2839" t="s">
        <v>153</v>
      </c>
      <c r="U2839" t="s">
        <v>154</v>
      </c>
      <c r="V2839" t="str">
        <f>IFERROR(INDEX(Products!$C:$C,MATCH(D2839,Products!$A:$A,0)),"Unknown")</f>
        <v>Men T-Shirts</v>
      </c>
      <c r="W2839" t="str">
        <f>IFERROR(INDEX(Products!$E:$E,MATCH(D2839,Products!$A:$A,0)),"Unknown")</f>
        <v>Woodland</v>
      </c>
      <c r="X2839" t="str">
        <f>IFERROR(INDEX(Stores!$B:$B,MATCH(E2839,Stores!$A:$A,0)),"Unknown")</f>
        <v>TrendMart Thiruvananthapuram High Street</v>
      </c>
      <c r="Y2839" t="str">
        <f>IFERROR(INDEX(Stores!$E:$E,MATCH(E2839,Stores!$A:$A,0)),"Unknown")</f>
        <v>South Zone 1</v>
      </c>
      <c r="Z2839" t="str">
        <f>IFERROR(INDEX(Customers!$J:$J,MATCH(C2839,Customers!$A:$A,0)),"Unknown")</f>
        <v>Silver</v>
      </c>
      <c r="AA2839" t="str">
        <f t="shared" si="44"/>
        <v>2024-05</v>
      </c>
      <c r="AB2839" t="str">
        <f>IFERROR(INDEX(Products!$I:$I,MATCH(D2839,Products!$A:$A,0)),"Unknown")</f>
        <v>SUP051</v>
      </c>
    </row>
    <row r="2840" spans="1:28" x14ac:dyDescent="0.25">
      <c r="A2840" t="s">
        <v>4912</v>
      </c>
      <c r="B2840" s="20">
        <v>45452</v>
      </c>
      <c r="C2840" t="s">
        <v>1471</v>
      </c>
      <c r="D2840" t="s">
        <v>1590</v>
      </c>
      <c r="E2840" t="s">
        <v>461</v>
      </c>
      <c r="F2840" t="s">
        <v>574</v>
      </c>
      <c r="G2840">
        <v>3</v>
      </c>
      <c r="H2840" s="21">
        <v>540.79999999999995</v>
      </c>
      <c r="I2840">
        <v>10</v>
      </c>
      <c r="J2840" s="21">
        <v>162.24</v>
      </c>
      <c r="K2840">
        <v>5</v>
      </c>
      <c r="L2840" s="21">
        <v>73.010000000000005</v>
      </c>
      <c r="M2840" s="21">
        <v>1533.17</v>
      </c>
      <c r="N2840" s="21">
        <v>1011.27</v>
      </c>
      <c r="O2840" s="21">
        <v>448.89</v>
      </c>
      <c r="P2840" t="s">
        <v>127</v>
      </c>
      <c r="Q2840" t="s">
        <v>122</v>
      </c>
      <c r="R2840" t="s">
        <v>151</v>
      </c>
      <c r="S2840" t="s">
        <v>1408</v>
      </c>
      <c r="T2840" t="s">
        <v>161</v>
      </c>
      <c r="U2840" t="s">
        <v>154</v>
      </c>
      <c r="V2840" t="str">
        <f>IFERROR(INDEX(Products!$C:$C,MATCH(D2840,Products!$A:$A,0)),"Unknown")</f>
        <v>Kids Wear</v>
      </c>
      <c r="W2840" t="str">
        <f>IFERROR(INDEX(Products!$E:$E,MATCH(D2840,Products!$A:$A,0)),"Unknown")</f>
        <v>Peter England</v>
      </c>
      <c r="X2840" t="str">
        <f>IFERROR(INDEX(Stores!$B:$B,MATCH(E2840,Stores!$A:$A,0)),"Unknown")</f>
        <v>TrendMart Visakhapatnam High Street</v>
      </c>
      <c r="Y2840" t="str">
        <f>IFERROR(INDEX(Stores!$E:$E,MATCH(E2840,Stores!$A:$A,0)),"Unknown")</f>
        <v>South Zone 3</v>
      </c>
      <c r="Z2840" t="str">
        <f>IFERROR(INDEX(Customers!$J:$J,MATCH(C2840,Customers!$A:$A,0)),"Unknown")</f>
        <v>Silver</v>
      </c>
      <c r="AA2840" t="str">
        <f t="shared" si="44"/>
        <v>2024-06</v>
      </c>
      <c r="AB2840" t="str">
        <f>IFERROR(INDEX(Products!$I:$I,MATCH(D2840,Products!$A:$A,0)),"Unknown")</f>
        <v>SUP065</v>
      </c>
    </row>
    <row r="2841" spans="1:28" x14ac:dyDescent="0.25">
      <c r="A2841" t="s">
        <v>4913</v>
      </c>
      <c r="B2841" s="20">
        <v>45413</v>
      </c>
      <c r="C2841" t="s">
        <v>1213</v>
      </c>
      <c r="D2841" t="s">
        <v>1931</v>
      </c>
      <c r="E2841" t="s">
        <v>291</v>
      </c>
      <c r="F2841" t="s">
        <v>532</v>
      </c>
      <c r="G2841">
        <v>1</v>
      </c>
      <c r="H2841" s="21">
        <v>868.28</v>
      </c>
      <c r="I2841">
        <v>30</v>
      </c>
      <c r="J2841" s="21">
        <v>260.48</v>
      </c>
      <c r="K2841">
        <v>5</v>
      </c>
      <c r="L2841" s="21">
        <v>30.39</v>
      </c>
      <c r="M2841" s="21">
        <v>638.19000000000005</v>
      </c>
      <c r="N2841" s="21">
        <v>670.17</v>
      </c>
      <c r="O2841" s="21">
        <v>-62.37</v>
      </c>
      <c r="P2841" t="s">
        <v>123</v>
      </c>
      <c r="Q2841" t="s">
        <v>120</v>
      </c>
      <c r="R2841" t="s">
        <v>151</v>
      </c>
      <c r="S2841" t="s">
        <v>499</v>
      </c>
      <c r="T2841" t="s">
        <v>153</v>
      </c>
      <c r="U2841" t="s">
        <v>184</v>
      </c>
      <c r="V2841" t="str">
        <f>IFERROR(INDEX(Products!$C:$C,MATCH(D2841,Products!$A:$A,0)),"Unknown")</f>
        <v>Men Jeans</v>
      </c>
      <c r="W2841" t="str">
        <f>IFERROR(INDEX(Products!$E:$E,MATCH(D2841,Products!$A:$A,0)),"Unknown")</f>
        <v>Libas</v>
      </c>
      <c r="X2841" t="str">
        <f>IFERROR(INDEX(Stores!$B:$B,MATCH(E2841,Stores!$A:$A,0)),"Unknown")</f>
        <v>TrendMart Khammam Standard</v>
      </c>
      <c r="Y2841" t="str">
        <f>IFERROR(INDEX(Stores!$E:$E,MATCH(E2841,Stores!$A:$A,0)),"Unknown")</f>
        <v>South Zone 2</v>
      </c>
      <c r="Z2841" t="str">
        <f>IFERROR(INDEX(Customers!$J:$J,MATCH(C2841,Customers!$A:$A,0)),"Unknown")</f>
        <v>Silver</v>
      </c>
      <c r="AA2841" t="str">
        <f t="shared" si="44"/>
        <v>2024-05</v>
      </c>
      <c r="AB2841" t="str">
        <f>IFERROR(INDEX(Products!$I:$I,MATCH(D2841,Products!$A:$A,0)),"Unknown")</f>
        <v>SUP018</v>
      </c>
    </row>
    <row r="2842" spans="1:28" x14ac:dyDescent="0.25">
      <c r="A2842" t="s">
        <v>4914</v>
      </c>
      <c r="B2842" s="20">
        <v>45616</v>
      </c>
      <c r="C2842" t="s">
        <v>1277</v>
      </c>
      <c r="D2842" t="s">
        <v>1421</v>
      </c>
      <c r="E2842" t="s">
        <v>1281</v>
      </c>
      <c r="F2842" t="s">
        <v>258</v>
      </c>
      <c r="G2842">
        <v>2</v>
      </c>
      <c r="H2842" s="21">
        <v>1219.98</v>
      </c>
      <c r="I2842">
        <v>10</v>
      </c>
      <c r="J2842" s="21">
        <v>244</v>
      </c>
      <c r="K2842">
        <v>12</v>
      </c>
      <c r="L2842" s="21">
        <v>263.52</v>
      </c>
      <c r="M2842" s="21">
        <v>2459.48</v>
      </c>
      <c r="N2842" s="21">
        <v>1634.66</v>
      </c>
      <c r="O2842" s="21">
        <v>561.29999999999995</v>
      </c>
      <c r="P2842" t="s">
        <v>121</v>
      </c>
      <c r="Q2842" t="s">
        <v>122</v>
      </c>
      <c r="R2842" t="s">
        <v>151</v>
      </c>
      <c r="S2842" t="s">
        <v>1342</v>
      </c>
      <c r="T2842" t="s">
        <v>153</v>
      </c>
      <c r="U2842" t="s">
        <v>154</v>
      </c>
      <c r="V2842" t="str">
        <f>IFERROR(INDEX(Products!$C:$C,MATCH(D2842,Products!$A:$A,0)),"Unknown")</f>
        <v>Men Jeans</v>
      </c>
      <c r="W2842" t="str">
        <f>IFERROR(INDEX(Products!$E:$E,MATCH(D2842,Products!$A:$A,0)),"Unknown")</f>
        <v>Flying Machine</v>
      </c>
      <c r="X2842" t="str">
        <f>IFERROR(INDEX(Stores!$B:$B,MATCH(E2842,Stores!$A:$A,0)),"Unknown")</f>
        <v>TrendMart Visakhapatnam Standard</v>
      </c>
      <c r="Y2842" t="str">
        <f>IFERROR(INDEX(Stores!$E:$E,MATCH(E2842,Stores!$A:$A,0)),"Unknown")</f>
        <v>South Zone 3</v>
      </c>
      <c r="Z2842" t="str">
        <f>IFERROR(INDEX(Customers!$J:$J,MATCH(C2842,Customers!$A:$A,0)),"Unknown")</f>
        <v>Regular</v>
      </c>
      <c r="AA2842" t="str">
        <f t="shared" si="44"/>
        <v>2024-11</v>
      </c>
      <c r="AB2842" t="str">
        <f>IFERROR(INDEX(Products!$I:$I,MATCH(D2842,Products!$A:$A,0)),"Unknown")</f>
        <v>SUP043</v>
      </c>
    </row>
    <row r="2843" spans="1:28" x14ac:dyDescent="0.25">
      <c r="A2843" t="s">
        <v>4915</v>
      </c>
      <c r="B2843" s="20">
        <v>45589</v>
      </c>
      <c r="C2843" t="s">
        <v>984</v>
      </c>
      <c r="D2843" t="s">
        <v>273</v>
      </c>
      <c r="E2843" t="s">
        <v>231</v>
      </c>
      <c r="F2843" t="s">
        <v>408</v>
      </c>
      <c r="G2843">
        <v>2</v>
      </c>
      <c r="H2843" s="21">
        <v>1246.28</v>
      </c>
      <c r="I2843">
        <v>5</v>
      </c>
      <c r="J2843" s="21">
        <v>124.63</v>
      </c>
      <c r="K2843">
        <v>12</v>
      </c>
      <c r="L2843" s="21">
        <v>284.14999999999998</v>
      </c>
      <c r="M2843" s="21">
        <v>2652.08</v>
      </c>
      <c r="N2843" s="21">
        <v>1753.84</v>
      </c>
      <c r="O2843" s="21">
        <v>614.09</v>
      </c>
      <c r="P2843" t="s">
        <v>125</v>
      </c>
      <c r="Q2843" t="s">
        <v>120</v>
      </c>
      <c r="R2843" t="s">
        <v>151</v>
      </c>
      <c r="S2843" t="s">
        <v>985</v>
      </c>
      <c r="T2843" t="s">
        <v>153</v>
      </c>
      <c r="U2843" t="s">
        <v>154</v>
      </c>
      <c r="V2843" t="str">
        <f>IFERROR(INDEX(Products!$C:$C,MATCH(D2843,Products!$A:$A,0)),"Unknown")</f>
        <v>Women Kurtis</v>
      </c>
      <c r="W2843" t="str">
        <f>IFERROR(INDEX(Products!$E:$E,MATCH(D2843,Products!$A:$A,0)),"Unknown")</f>
        <v>Indian Terrain</v>
      </c>
      <c r="X2843" t="str">
        <f>IFERROR(INDEX(Stores!$B:$B,MATCH(E2843,Stores!$A:$A,0)),"Unknown")</f>
        <v>TrendMart Warangal Outlet</v>
      </c>
      <c r="Y2843" t="str">
        <f>IFERROR(INDEX(Stores!$E:$E,MATCH(E2843,Stores!$A:$A,0)),"Unknown")</f>
        <v>South Zone 2</v>
      </c>
      <c r="Z2843" t="str">
        <f>IFERROR(INDEX(Customers!$J:$J,MATCH(C2843,Customers!$A:$A,0)),"Unknown")</f>
        <v>Gold</v>
      </c>
      <c r="AA2843" t="str">
        <f t="shared" si="44"/>
        <v>2024-10</v>
      </c>
      <c r="AB2843" t="str">
        <f>IFERROR(INDEX(Products!$I:$I,MATCH(D2843,Products!$A:$A,0)),"Unknown")</f>
        <v>SUP006</v>
      </c>
    </row>
    <row r="2844" spans="1:28" x14ac:dyDescent="0.25">
      <c r="A2844" t="s">
        <v>4916</v>
      </c>
      <c r="B2844" s="20">
        <v>45613</v>
      </c>
      <c r="C2844" t="s">
        <v>3299</v>
      </c>
      <c r="D2844" t="s">
        <v>697</v>
      </c>
      <c r="E2844" t="s">
        <v>752</v>
      </c>
      <c r="F2844" t="s">
        <v>292</v>
      </c>
      <c r="G2844">
        <v>2</v>
      </c>
      <c r="H2844" s="21">
        <v>1121.19</v>
      </c>
      <c r="I2844">
        <v>25</v>
      </c>
      <c r="J2844" s="21">
        <v>560.6</v>
      </c>
      <c r="K2844">
        <v>12</v>
      </c>
      <c r="L2844" s="21">
        <v>201.81</v>
      </c>
      <c r="M2844" s="21">
        <v>1883.59</v>
      </c>
      <c r="N2844" s="21">
        <v>1399.68</v>
      </c>
      <c r="O2844" s="21">
        <v>282.10000000000002</v>
      </c>
      <c r="P2844" t="s">
        <v>126</v>
      </c>
      <c r="Q2844" t="s">
        <v>120</v>
      </c>
      <c r="R2844" t="s">
        <v>151</v>
      </c>
      <c r="S2844" t="s">
        <v>1075</v>
      </c>
      <c r="T2844" t="s">
        <v>161</v>
      </c>
      <c r="U2844" t="s">
        <v>154</v>
      </c>
      <c r="V2844" t="str">
        <f>IFERROR(INDEX(Products!$C:$C,MATCH(D2844,Products!$A:$A,0)),"Unknown")</f>
        <v>Women Tops</v>
      </c>
      <c r="W2844" t="str">
        <f>IFERROR(INDEX(Products!$E:$E,MATCH(D2844,Products!$A:$A,0)),"Unknown")</f>
        <v>Nalli Silks</v>
      </c>
      <c r="X2844" t="str">
        <f>IFERROR(INDEX(Stores!$B:$B,MATCH(E2844,Stores!$A:$A,0)),"Unknown")</f>
        <v>TrendMart Dindigul High Street</v>
      </c>
      <c r="Y2844" t="str">
        <f>IFERROR(INDEX(Stores!$E:$E,MATCH(E2844,Stores!$A:$A,0)),"Unknown")</f>
        <v>South Zone 1</v>
      </c>
      <c r="Z2844" t="str">
        <f>IFERROR(INDEX(Customers!$J:$J,MATCH(C2844,Customers!$A:$A,0)),"Unknown")</f>
        <v>Platinum</v>
      </c>
      <c r="AA2844" t="str">
        <f t="shared" si="44"/>
        <v>2024-11</v>
      </c>
      <c r="AB2844" t="str">
        <f>IFERROR(INDEX(Products!$I:$I,MATCH(D2844,Products!$A:$A,0)),"Unknown")</f>
        <v>SUP008</v>
      </c>
    </row>
    <row r="2845" spans="1:28" x14ac:dyDescent="0.25">
      <c r="A2845" t="s">
        <v>4917</v>
      </c>
      <c r="B2845" s="20">
        <v>45468</v>
      </c>
      <c r="C2845" t="s">
        <v>2096</v>
      </c>
      <c r="D2845" t="s">
        <v>773</v>
      </c>
      <c r="E2845" t="s">
        <v>82</v>
      </c>
      <c r="F2845" t="s">
        <v>182</v>
      </c>
      <c r="G2845">
        <v>1</v>
      </c>
      <c r="H2845" s="21">
        <v>3398.29</v>
      </c>
      <c r="I2845">
        <v>5</v>
      </c>
      <c r="J2845" s="21">
        <v>169.91</v>
      </c>
      <c r="K2845">
        <v>12</v>
      </c>
      <c r="L2845" s="21">
        <v>387.41</v>
      </c>
      <c r="M2845" s="21">
        <v>3615.79</v>
      </c>
      <c r="N2845" s="21">
        <v>2710.05</v>
      </c>
      <c r="O2845" s="21">
        <v>518.33000000000004</v>
      </c>
      <c r="P2845" t="s">
        <v>124</v>
      </c>
      <c r="Q2845" t="s">
        <v>120</v>
      </c>
      <c r="R2845" t="s">
        <v>151</v>
      </c>
      <c r="S2845" t="s">
        <v>2065</v>
      </c>
      <c r="T2845" t="s">
        <v>153</v>
      </c>
      <c r="U2845" t="s">
        <v>154</v>
      </c>
      <c r="V2845" t="str">
        <f>IFERROR(INDEX(Products!$C:$C,MATCH(D2845,Products!$A:$A,0)),"Unknown")</f>
        <v>Women Sarees</v>
      </c>
      <c r="W2845" t="str">
        <f>IFERROR(INDEX(Products!$E:$E,MATCH(D2845,Products!$A:$A,0)),"Unknown")</f>
        <v>Bata</v>
      </c>
      <c r="X2845" t="str">
        <f>IFERROR(INDEX(Stores!$B:$B,MATCH(E2845,Stores!$A:$A,0)),"Unknown")</f>
        <v>TrendMart Kochi High Street</v>
      </c>
      <c r="Y2845" t="str">
        <f>IFERROR(INDEX(Stores!$E:$E,MATCH(E2845,Stores!$A:$A,0)),"Unknown")</f>
        <v>South Zone 1</v>
      </c>
      <c r="Z2845" t="str">
        <f>IFERROR(INDEX(Customers!$J:$J,MATCH(C2845,Customers!$A:$A,0)),"Unknown")</f>
        <v>Regular</v>
      </c>
      <c r="AA2845" t="str">
        <f t="shared" si="44"/>
        <v>2024-06</v>
      </c>
      <c r="AB2845" t="str">
        <f>IFERROR(INDEX(Products!$I:$I,MATCH(D2845,Products!$A:$A,0)),"Unknown")</f>
        <v>SUP086</v>
      </c>
    </row>
    <row r="2846" spans="1:28" x14ac:dyDescent="0.25">
      <c r="A2846" t="s">
        <v>4918</v>
      </c>
      <c r="B2846" s="20">
        <v>45604</v>
      </c>
      <c r="C2846" t="s">
        <v>2644</v>
      </c>
      <c r="D2846" t="s">
        <v>1780</v>
      </c>
      <c r="E2846" t="s">
        <v>194</v>
      </c>
      <c r="F2846" t="s">
        <v>263</v>
      </c>
      <c r="G2846">
        <v>2</v>
      </c>
      <c r="H2846" s="21">
        <v>1162.68</v>
      </c>
      <c r="I2846">
        <v>20</v>
      </c>
      <c r="J2846" s="21">
        <v>465.07</v>
      </c>
      <c r="K2846">
        <v>3</v>
      </c>
      <c r="L2846" s="21">
        <v>55.81</v>
      </c>
      <c r="M2846" s="21">
        <v>1916.1</v>
      </c>
      <c r="N2846" s="21">
        <v>1820.92</v>
      </c>
      <c r="O2846" s="21">
        <v>39.369999999999997</v>
      </c>
      <c r="P2846" t="s">
        <v>124</v>
      </c>
      <c r="Q2846" t="s">
        <v>120</v>
      </c>
      <c r="R2846" t="s">
        <v>151</v>
      </c>
      <c r="S2846" t="s">
        <v>1293</v>
      </c>
      <c r="T2846" t="s">
        <v>153</v>
      </c>
      <c r="U2846" t="s">
        <v>154</v>
      </c>
      <c r="V2846" t="str">
        <f>IFERROR(INDEX(Products!$C:$C,MATCH(D2846,Products!$A:$A,0)),"Unknown")</f>
        <v>Jewellery</v>
      </c>
      <c r="W2846" t="str">
        <f>IFERROR(INDEX(Products!$E:$E,MATCH(D2846,Products!$A:$A,0)),"Unknown")</f>
        <v>Flying Machine</v>
      </c>
      <c r="X2846" t="str">
        <f>IFERROR(INDEX(Stores!$B:$B,MATCH(E2846,Stores!$A:$A,0)),"Unknown")</f>
        <v>TrendMart Tirupati High Street</v>
      </c>
      <c r="Y2846" t="str">
        <f>IFERROR(INDEX(Stores!$E:$E,MATCH(E2846,Stores!$A:$A,0)),"Unknown")</f>
        <v>South Zone 3</v>
      </c>
      <c r="Z2846" t="str">
        <f>IFERROR(INDEX(Customers!$J:$J,MATCH(C2846,Customers!$A:$A,0)),"Unknown")</f>
        <v>Silver</v>
      </c>
      <c r="AA2846" t="str">
        <f t="shared" si="44"/>
        <v>2024-11</v>
      </c>
      <c r="AB2846" t="str">
        <f>IFERROR(INDEX(Products!$I:$I,MATCH(D2846,Products!$A:$A,0)),"Unknown")</f>
        <v>SUP039</v>
      </c>
    </row>
    <row r="2847" spans="1:28" x14ac:dyDescent="0.25">
      <c r="A2847" t="s">
        <v>4919</v>
      </c>
      <c r="B2847" s="20">
        <v>45566</v>
      </c>
      <c r="C2847" t="s">
        <v>4574</v>
      </c>
      <c r="D2847" t="s">
        <v>1095</v>
      </c>
      <c r="E2847" t="s">
        <v>927</v>
      </c>
      <c r="F2847" t="s">
        <v>532</v>
      </c>
      <c r="G2847">
        <v>3</v>
      </c>
      <c r="H2847" s="21">
        <v>1152.68</v>
      </c>
      <c r="I2847">
        <v>0</v>
      </c>
      <c r="J2847" s="21">
        <v>0</v>
      </c>
      <c r="K2847">
        <v>12</v>
      </c>
      <c r="L2847" s="21">
        <v>414.96</v>
      </c>
      <c r="M2847" s="21">
        <v>3873</v>
      </c>
      <c r="N2847" s="21">
        <v>2308.89</v>
      </c>
      <c r="O2847" s="21">
        <v>1149.1500000000001</v>
      </c>
      <c r="P2847" t="s">
        <v>124</v>
      </c>
      <c r="Q2847" t="s">
        <v>120</v>
      </c>
      <c r="R2847" t="s">
        <v>151</v>
      </c>
      <c r="S2847" t="s">
        <v>2994</v>
      </c>
      <c r="T2847" t="s">
        <v>153</v>
      </c>
      <c r="U2847" t="s">
        <v>154</v>
      </c>
      <c r="V2847" t="str">
        <f>IFERROR(INDEX(Products!$C:$C,MATCH(D2847,Products!$A:$A,0)),"Unknown")</f>
        <v>Women Dresses</v>
      </c>
      <c r="W2847" t="str">
        <f>IFERROR(INDEX(Products!$E:$E,MATCH(D2847,Products!$A:$A,0)),"Unknown")</f>
        <v>Ramraj Cotton</v>
      </c>
      <c r="X2847" t="str">
        <f>IFERROR(INDEX(Stores!$B:$B,MATCH(E2847,Stores!$A:$A,0)),"Unknown")</f>
        <v>TrendMart Kochi Mall Kiosk</v>
      </c>
      <c r="Y2847" t="str">
        <f>IFERROR(INDEX(Stores!$E:$E,MATCH(E2847,Stores!$A:$A,0)),"Unknown")</f>
        <v>South Zone 1</v>
      </c>
      <c r="Z2847" t="str">
        <f>IFERROR(INDEX(Customers!$J:$J,MATCH(C2847,Customers!$A:$A,0)),"Unknown")</f>
        <v>Silver</v>
      </c>
      <c r="AA2847" t="str">
        <f t="shared" si="44"/>
        <v>2024-10</v>
      </c>
      <c r="AB2847" t="str">
        <f>IFERROR(INDEX(Products!$I:$I,MATCH(D2847,Products!$A:$A,0)),"Unknown")</f>
        <v>SUP054</v>
      </c>
    </row>
    <row r="2848" spans="1:28" x14ac:dyDescent="0.25">
      <c r="A2848" t="s">
        <v>4920</v>
      </c>
      <c r="B2848" s="20">
        <v>45511</v>
      </c>
      <c r="C2848" t="s">
        <v>2335</v>
      </c>
      <c r="D2848" t="s">
        <v>1877</v>
      </c>
      <c r="E2848" t="s">
        <v>302</v>
      </c>
      <c r="F2848" t="s">
        <v>253</v>
      </c>
      <c r="G2848">
        <v>0</v>
      </c>
      <c r="H2848" s="21">
        <v>1770.94</v>
      </c>
      <c r="I2848">
        <v>30</v>
      </c>
      <c r="J2848" s="21">
        <v>0</v>
      </c>
      <c r="K2848">
        <v>12</v>
      </c>
      <c r="L2848" s="21">
        <v>0</v>
      </c>
      <c r="M2848" s="21">
        <v>0</v>
      </c>
      <c r="N2848" s="21">
        <v>0</v>
      </c>
      <c r="O2848" s="21">
        <v>0</v>
      </c>
      <c r="P2848" t="s">
        <v>125</v>
      </c>
      <c r="Q2848" t="s">
        <v>122</v>
      </c>
      <c r="R2848" t="s">
        <v>482</v>
      </c>
      <c r="S2848" t="s">
        <v>4631</v>
      </c>
      <c r="T2848" t="s">
        <v>153</v>
      </c>
      <c r="U2848" t="s">
        <v>154</v>
      </c>
      <c r="V2848" t="str">
        <f>IFERROR(INDEX(Products!$C:$C,MATCH(D2848,Products!$A:$A,0)),"Unknown")</f>
        <v>Women Sarees</v>
      </c>
      <c r="W2848" t="str">
        <f>IFERROR(INDEX(Products!$E:$E,MATCH(D2848,Products!$A:$A,0)),"Unknown")</f>
        <v>Sonata</v>
      </c>
      <c r="X2848" t="str">
        <f>IFERROR(INDEX(Stores!$B:$B,MATCH(E2848,Stores!$A:$A,0)),"Unknown")</f>
        <v>TrendMart Visakhapatnam Standard</v>
      </c>
      <c r="Y2848" t="str">
        <f>IFERROR(INDEX(Stores!$E:$E,MATCH(E2848,Stores!$A:$A,0)),"Unknown")</f>
        <v>South Zone 3</v>
      </c>
      <c r="Z2848" t="str">
        <f>IFERROR(INDEX(Customers!$J:$J,MATCH(C2848,Customers!$A:$A,0)),"Unknown")</f>
        <v>Silver</v>
      </c>
      <c r="AA2848" t="str">
        <f t="shared" si="44"/>
        <v>2024-08</v>
      </c>
      <c r="AB2848" t="str">
        <f>IFERROR(INDEX(Products!$I:$I,MATCH(D2848,Products!$A:$A,0)),"Unknown")</f>
        <v>SUP073</v>
      </c>
    </row>
    <row r="2849" spans="1:28" x14ac:dyDescent="0.25">
      <c r="A2849" t="s">
        <v>4921</v>
      </c>
      <c r="B2849" s="20">
        <v>45669</v>
      </c>
      <c r="C2849" t="s">
        <v>4922</v>
      </c>
      <c r="D2849" t="s">
        <v>864</v>
      </c>
      <c r="E2849" t="s">
        <v>87</v>
      </c>
      <c r="F2849" t="s">
        <v>258</v>
      </c>
      <c r="G2849">
        <v>4</v>
      </c>
      <c r="H2849" s="21">
        <v>3264.68</v>
      </c>
      <c r="I2849">
        <v>0</v>
      </c>
      <c r="J2849" s="21">
        <v>0</v>
      </c>
      <c r="K2849">
        <v>3</v>
      </c>
      <c r="L2849" s="21">
        <v>391.76</v>
      </c>
      <c r="M2849" s="21">
        <v>13450.48</v>
      </c>
      <c r="N2849" s="21">
        <v>7959.72</v>
      </c>
      <c r="O2849" s="21">
        <v>5099</v>
      </c>
      <c r="P2849" t="s">
        <v>121</v>
      </c>
      <c r="Q2849" t="s">
        <v>122</v>
      </c>
      <c r="R2849" t="s">
        <v>151</v>
      </c>
      <c r="S2849" t="s">
        <v>708</v>
      </c>
      <c r="T2849" t="s">
        <v>161</v>
      </c>
      <c r="U2849" t="s">
        <v>154</v>
      </c>
      <c r="V2849" t="str">
        <f>IFERROR(INDEX(Products!$C:$C,MATCH(D2849,Products!$A:$A,0)),"Unknown")</f>
        <v>Jewellery</v>
      </c>
      <c r="W2849" t="str">
        <f>IFERROR(INDEX(Products!$E:$E,MATCH(D2849,Products!$A:$A,0)),"Unknown")</f>
        <v>Wrangler</v>
      </c>
      <c r="X2849" t="str">
        <f>IFERROR(INDEX(Stores!$B:$B,MATCH(E2849,Stores!$A:$A,0)),"Unknown")</f>
        <v>TrendMart Thiruvananthapuram Standard</v>
      </c>
      <c r="Y2849" t="str">
        <f>IFERROR(INDEX(Stores!$E:$E,MATCH(E2849,Stores!$A:$A,0)),"Unknown")</f>
        <v>South Zone 1</v>
      </c>
      <c r="Z2849" t="str">
        <f>IFERROR(INDEX(Customers!$J:$J,MATCH(C2849,Customers!$A:$A,0)),"Unknown")</f>
        <v>Regular</v>
      </c>
      <c r="AA2849" t="str">
        <f t="shared" si="44"/>
        <v>2025-01</v>
      </c>
      <c r="AB2849" t="str">
        <f>IFERROR(INDEX(Products!$I:$I,MATCH(D2849,Products!$A:$A,0)),"Unknown")</f>
        <v>SUP070</v>
      </c>
    </row>
    <row r="2850" spans="1:28" x14ac:dyDescent="0.25">
      <c r="A2850" t="s">
        <v>4923</v>
      </c>
      <c r="B2850" s="20">
        <v>45740</v>
      </c>
      <c r="C2850" t="s">
        <v>952</v>
      </c>
      <c r="D2850" t="s">
        <v>1780</v>
      </c>
      <c r="E2850" t="s">
        <v>1681</v>
      </c>
      <c r="F2850" t="s">
        <v>377</v>
      </c>
      <c r="G2850">
        <v>1</v>
      </c>
      <c r="H2850" s="21">
        <v>1179.73</v>
      </c>
      <c r="I2850">
        <v>30</v>
      </c>
      <c r="J2850" s="21">
        <v>353.92</v>
      </c>
      <c r="K2850">
        <v>3</v>
      </c>
      <c r="L2850" s="21">
        <v>24.77</v>
      </c>
      <c r="M2850" s="21">
        <v>850.58</v>
      </c>
      <c r="N2850" s="21">
        <v>910.46</v>
      </c>
      <c r="O2850" s="21">
        <v>-84.65</v>
      </c>
      <c r="P2850" t="s">
        <v>125</v>
      </c>
      <c r="Q2850" t="s">
        <v>122</v>
      </c>
      <c r="R2850" t="s">
        <v>151</v>
      </c>
      <c r="S2850" t="s">
        <v>3912</v>
      </c>
      <c r="T2850" t="s">
        <v>153</v>
      </c>
      <c r="U2850" t="s">
        <v>184</v>
      </c>
      <c r="V2850" t="str">
        <f>IFERROR(INDEX(Products!$C:$C,MATCH(D2850,Products!$A:$A,0)),"Unknown")</f>
        <v>Jewellery</v>
      </c>
      <c r="W2850" t="str">
        <f>IFERROR(INDEX(Products!$E:$E,MATCH(D2850,Products!$A:$A,0)),"Unknown")</f>
        <v>Flying Machine</v>
      </c>
      <c r="X2850" t="str">
        <f>IFERROR(INDEX(Stores!$B:$B,MATCH(E2850,Stores!$A:$A,0)),"Unknown")</f>
        <v>TrendMart Warangal Standard</v>
      </c>
      <c r="Y2850" t="str">
        <f>IFERROR(INDEX(Stores!$E:$E,MATCH(E2850,Stores!$A:$A,0)),"Unknown")</f>
        <v>South Zone 2</v>
      </c>
      <c r="Z2850" t="str">
        <f>IFERROR(INDEX(Customers!$J:$J,MATCH(C2850,Customers!$A:$A,0)),"Unknown")</f>
        <v>Regular</v>
      </c>
      <c r="AA2850" t="str">
        <f t="shared" si="44"/>
        <v>2025-03</v>
      </c>
      <c r="AB2850" t="str">
        <f>IFERROR(INDEX(Products!$I:$I,MATCH(D2850,Products!$A:$A,0)),"Unknown")</f>
        <v>SUP039</v>
      </c>
    </row>
    <row r="2851" spans="1:28" x14ac:dyDescent="0.25">
      <c r="A2851" t="s">
        <v>4924</v>
      </c>
      <c r="B2851" s="20">
        <v>45485</v>
      </c>
      <c r="C2851" t="s">
        <v>4925</v>
      </c>
      <c r="D2851" t="s">
        <v>2264</v>
      </c>
      <c r="E2851" t="s">
        <v>461</v>
      </c>
      <c r="F2851" t="s">
        <v>532</v>
      </c>
      <c r="G2851">
        <v>1</v>
      </c>
      <c r="H2851" s="21">
        <v>1116.5899999999999</v>
      </c>
      <c r="I2851">
        <v>15</v>
      </c>
      <c r="J2851" s="21">
        <v>167.49</v>
      </c>
      <c r="K2851">
        <v>12</v>
      </c>
      <c r="L2851" s="21">
        <v>113.89</v>
      </c>
      <c r="M2851" s="21">
        <v>1062.99</v>
      </c>
      <c r="N2851" s="21">
        <v>753.73</v>
      </c>
      <c r="O2851" s="21">
        <v>195.37</v>
      </c>
      <c r="P2851" t="s">
        <v>123</v>
      </c>
      <c r="Q2851" t="s">
        <v>120</v>
      </c>
      <c r="R2851" t="s">
        <v>151</v>
      </c>
      <c r="S2851" t="s">
        <v>2166</v>
      </c>
      <c r="T2851" t="s">
        <v>153</v>
      </c>
      <c r="U2851" t="s">
        <v>154</v>
      </c>
      <c r="V2851" t="str">
        <f>IFERROR(INDEX(Products!$C:$C,MATCH(D2851,Products!$A:$A,0)),"Unknown")</f>
        <v>Belts</v>
      </c>
      <c r="W2851" t="str">
        <f>IFERROR(INDEX(Products!$E:$E,MATCH(D2851,Products!$A:$A,0)),"Unknown")</f>
        <v>Liberty</v>
      </c>
      <c r="X2851" t="str">
        <f>IFERROR(INDEX(Stores!$B:$B,MATCH(E2851,Stores!$A:$A,0)),"Unknown")</f>
        <v>TrendMart Visakhapatnam High Street</v>
      </c>
      <c r="Y2851" t="str">
        <f>IFERROR(INDEX(Stores!$E:$E,MATCH(E2851,Stores!$A:$A,0)),"Unknown")</f>
        <v>South Zone 3</v>
      </c>
      <c r="Z2851" t="str">
        <f>IFERROR(INDEX(Customers!$J:$J,MATCH(C2851,Customers!$A:$A,0)),"Unknown")</f>
        <v>Regular</v>
      </c>
      <c r="AA2851" t="str">
        <f t="shared" si="44"/>
        <v>2024-07</v>
      </c>
      <c r="AB2851" t="str">
        <f>IFERROR(INDEX(Products!$I:$I,MATCH(D2851,Products!$A:$A,0)),"Unknown")</f>
        <v>SUP063</v>
      </c>
    </row>
    <row r="2852" spans="1:28" x14ac:dyDescent="0.25">
      <c r="A2852" t="s">
        <v>4926</v>
      </c>
      <c r="B2852" s="20">
        <v>45516</v>
      </c>
      <c r="C2852" t="s">
        <v>2270</v>
      </c>
      <c r="D2852" t="s">
        <v>697</v>
      </c>
      <c r="E2852" t="s">
        <v>495</v>
      </c>
      <c r="F2852" t="s">
        <v>150</v>
      </c>
      <c r="G2852">
        <v>2</v>
      </c>
      <c r="H2852" s="21">
        <v>1083.27</v>
      </c>
      <c r="I2852">
        <v>0</v>
      </c>
      <c r="J2852" s="21">
        <v>0</v>
      </c>
      <c r="K2852">
        <v>12</v>
      </c>
      <c r="L2852" s="21">
        <v>259.98</v>
      </c>
      <c r="M2852" s="21">
        <v>2426.52</v>
      </c>
      <c r="N2852" s="21">
        <v>1399.68</v>
      </c>
      <c r="O2852" s="21">
        <v>766.86</v>
      </c>
      <c r="P2852" t="s">
        <v>127</v>
      </c>
      <c r="Q2852" t="s">
        <v>122</v>
      </c>
      <c r="R2852" t="s">
        <v>151</v>
      </c>
      <c r="S2852" t="s">
        <v>902</v>
      </c>
      <c r="T2852" t="s">
        <v>153</v>
      </c>
      <c r="U2852" t="s">
        <v>154</v>
      </c>
      <c r="V2852" t="str">
        <f>IFERROR(INDEX(Products!$C:$C,MATCH(D2852,Products!$A:$A,0)),"Unknown")</f>
        <v>Women Tops</v>
      </c>
      <c r="W2852" t="str">
        <f>IFERROR(INDEX(Products!$E:$E,MATCH(D2852,Products!$A:$A,0)),"Unknown")</f>
        <v>Nalli Silks</v>
      </c>
      <c r="X2852" t="str">
        <f>IFERROR(INDEX(Stores!$B:$B,MATCH(E2852,Stores!$A:$A,0)),"Unknown")</f>
        <v>TrendMart Visakhapatnam Flagship</v>
      </c>
      <c r="Y2852" t="str">
        <f>IFERROR(INDEX(Stores!$E:$E,MATCH(E2852,Stores!$A:$A,0)),"Unknown")</f>
        <v>South Zone 3</v>
      </c>
      <c r="Z2852" t="str">
        <f>IFERROR(INDEX(Customers!$J:$J,MATCH(C2852,Customers!$A:$A,0)),"Unknown")</f>
        <v>Platinum</v>
      </c>
      <c r="AA2852" t="str">
        <f t="shared" si="44"/>
        <v>2024-08</v>
      </c>
      <c r="AB2852" t="str">
        <f>IFERROR(INDEX(Products!$I:$I,MATCH(D2852,Products!$A:$A,0)),"Unknown")</f>
        <v>SUP008</v>
      </c>
    </row>
    <row r="2853" spans="1:28" x14ac:dyDescent="0.25">
      <c r="A2853" t="s">
        <v>4927</v>
      </c>
      <c r="B2853" s="20">
        <v>45393</v>
      </c>
      <c r="C2853" t="s">
        <v>1183</v>
      </c>
      <c r="D2853" t="s">
        <v>210</v>
      </c>
      <c r="E2853" t="s">
        <v>667</v>
      </c>
      <c r="F2853" t="s">
        <v>275</v>
      </c>
      <c r="G2853">
        <v>1</v>
      </c>
      <c r="H2853" s="21">
        <v>1699.19</v>
      </c>
      <c r="I2853">
        <v>0</v>
      </c>
      <c r="J2853" s="21">
        <v>0</v>
      </c>
      <c r="K2853">
        <v>12</v>
      </c>
      <c r="L2853" s="21">
        <v>203.9</v>
      </c>
      <c r="M2853" s="21">
        <v>1903.09</v>
      </c>
      <c r="N2853" s="21">
        <v>1399.85</v>
      </c>
      <c r="O2853" s="21">
        <v>299.33999999999997</v>
      </c>
      <c r="P2853" t="s">
        <v>125</v>
      </c>
      <c r="Q2853" t="s">
        <v>120</v>
      </c>
      <c r="R2853" t="s">
        <v>151</v>
      </c>
      <c r="S2853" t="s">
        <v>2256</v>
      </c>
      <c r="T2853" t="s">
        <v>153</v>
      </c>
      <c r="U2853" t="s">
        <v>154</v>
      </c>
      <c r="V2853" t="str">
        <f>IFERROR(INDEX(Products!$C:$C,MATCH(D2853,Products!$A:$A,0)),"Unknown")</f>
        <v>Women Dresses</v>
      </c>
      <c r="W2853" t="str">
        <f>IFERROR(INDEX(Products!$E:$E,MATCH(D2853,Products!$A:$A,0)),"Unknown")</f>
        <v>Nike</v>
      </c>
      <c r="X2853" t="str">
        <f>IFERROR(INDEX(Stores!$B:$B,MATCH(E2853,Stores!$A:$A,0)),"Unknown")</f>
        <v>TrendMart Hyderabad High Street</v>
      </c>
      <c r="Y2853" t="str">
        <f>IFERROR(INDEX(Stores!$E:$E,MATCH(E2853,Stores!$A:$A,0)),"Unknown")</f>
        <v>South Zone 2</v>
      </c>
      <c r="Z2853" t="str">
        <f>IFERROR(INDEX(Customers!$J:$J,MATCH(C2853,Customers!$A:$A,0)),"Unknown")</f>
        <v>Silver</v>
      </c>
      <c r="AA2853" t="str">
        <f t="shared" si="44"/>
        <v>2024-04</v>
      </c>
      <c r="AB2853" t="str">
        <f>IFERROR(INDEX(Products!$I:$I,MATCH(D2853,Products!$A:$A,0)),"Unknown")</f>
        <v>SUP073</v>
      </c>
    </row>
    <row r="2854" spans="1:28" x14ac:dyDescent="0.25">
      <c r="A2854" t="s">
        <v>4928</v>
      </c>
      <c r="B2854" s="20">
        <v>45713</v>
      </c>
      <c r="C2854" t="s">
        <v>2391</v>
      </c>
      <c r="D2854" t="s">
        <v>169</v>
      </c>
      <c r="E2854" t="s">
        <v>927</v>
      </c>
      <c r="F2854" t="s">
        <v>269</v>
      </c>
      <c r="G2854">
        <v>2</v>
      </c>
      <c r="H2854" s="21">
        <v>4621.1400000000003</v>
      </c>
      <c r="I2854">
        <v>5</v>
      </c>
      <c r="J2854" s="21">
        <v>462.11</v>
      </c>
      <c r="K2854">
        <v>12</v>
      </c>
      <c r="L2854" s="21">
        <v>1053.6199999999999</v>
      </c>
      <c r="M2854" s="21">
        <v>9833.7900000000009</v>
      </c>
      <c r="N2854" s="21">
        <v>6741.6</v>
      </c>
      <c r="O2854" s="21">
        <v>2038.57</v>
      </c>
      <c r="P2854" t="s">
        <v>125</v>
      </c>
      <c r="Q2854" t="s">
        <v>122</v>
      </c>
      <c r="R2854" t="s">
        <v>151</v>
      </c>
      <c r="S2854" t="s">
        <v>1574</v>
      </c>
      <c r="T2854" t="s">
        <v>153</v>
      </c>
      <c r="U2854" t="s">
        <v>154</v>
      </c>
      <c r="V2854" t="str">
        <f>IFERROR(INDEX(Products!$C:$C,MATCH(D2854,Products!$A:$A,0)),"Unknown")</f>
        <v>Women Sarees</v>
      </c>
      <c r="W2854" t="str">
        <f>IFERROR(INDEX(Products!$E:$E,MATCH(D2854,Products!$A:$A,0)),"Unknown")</f>
        <v>Max Fashion</v>
      </c>
      <c r="X2854" t="str">
        <f>IFERROR(INDEX(Stores!$B:$B,MATCH(E2854,Stores!$A:$A,0)),"Unknown")</f>
        <v>TrendMart Kochi Mall Kiosk</v>
      </c>
      <c r="Y2854" t="str">
        <f>IFERROR(INDEX(Stores!$E:$E,MATCH(E2854,Stores!$A:$A,0)),"Unknown")</f>
        <v>South Zone 1</v>
      </c>
      <c r="Z2854" t="str">
        <f>IFERROR(INDEX(Customers!$J:$J,MATCH(C2854,Customers!$A:$A,0)),"Unknown")</f>
        <v>Silver</v>
      </c>
      <c r="AA2854" t="str">
        <f t="shared" si="44"/>
        <v>2025-02</v>
      </c>
      <c r="AB2854" t="str">
        <f>IFERROR(INDEX(Products!$I:$I,MATCH(D2854,Products!$A:$A,0)),"Unknown")</f>
        <v>SUP084</v>
      </c>
    </row>
    <row r="2855" spans="1:28" x14ac:dyDescent="0.25">
      <c r="A2855" t="s">
        <v>4929</v>
      </c>
      <c r="B2855" s="20">
        <v>45585</v>
      </c>
      <c r="C2855" t="s">
        <v>528</v>
      </c>
      <c r="D2855" t="s">
        <v>251</v>
      </c>
      <c r="E2855" t="s">
        <v>848</v>
      </c>
      <c r="F2855" t="s">
        <v>434</v>
      </c>
      <c r="G2855">
        <v>3</v>
      </c>
      <c r="H2855" s="21">
        <v>941.8</v>
      </c>
      <c r="I2855">
        <v>0</v>
      </c>
      <c r="J2855" s="21">
        <v>0</v>
      </c>
      <c r="K2855">
        <v>5</v>
      </c>
      <c r="L2855" s="21">
        <v>141.27000000000001</v>
      </c>
      <c r="M2855" s="21">
        <v>2966.67</v>
      </c>
      <c r="N2855" s="21">
        <v>1604.43</v>
      </c>
      <c r="O2855" s="21">
        <v>1220.97</v>
      </c>
      <c r="P2855" t="s">
        <v>124</v>
      </c>
      <c r="Q2855" t="s">
        <v>120</v>
      </c>
      <c r="R2855" t="s">
        <v>151</v>
      </c>
      <c r="S2855" t="s">
        <v>2106</v>
      </c>
      <c r="T2855" t="s">
        <v>161</v>
      </c>
      <c r="U2855" t="s">
        <v>154</v>
      </c>
      <c r="V2855" t="str">
        <f>IFERROR(INDEX(Products!$C:$C,MATCH(D2855,Products!$A:$A,0)),"Unknown")</f>
        <v>Women Tops</v>
      </c>
      <c r="W2855" t="str">
        <f>IFERROR(INDEX(Products!$E:$E,MATCH(D2855,Products!$A:$A,0)),"Unknown")</f>
        <v>US Polo Assn</v>
      </c>
      <c r="X2855" t="str">
        <f>IFERROR(INDEX(Stores!$B:$B,MATCH(E2855,Stores!$A:$A,0)),"Unknown")</f>
        <v>TrendMart Shivamogga Standard</v>
      </c>
      <c r="Y2855" t="str">
        <f>IFERROR(INDEX(Stores!$E:$E,MATCH(E2855,Stores!$A:$A,0)),"Unknown")</f>
        <v>South Zone 2</v>
      </c>
      <c r="Z2855" t="str">
        <f>IFERROR(INDEX(Customers!$J:$J,MATCH(C2855,Customers!$A:$A,0)),"Unknown")</f>
        <v>Silver</v>
      </c>
      <c r="AA2855" t="str">
        <f t="shared" si="44"/>
        <v>2024-10</v>
      </c>
      <c r="AB2855" t="str">
        <f>IFERROR(INDEX(Products!$I:$I,MATCH(D2855,Products!$A:$A,0)),"Unknown")</f>
        <v>SUP039</v>
      </c>
    </row>
    <row r="2856" spans="1:28" x14ac:dyDescent="0.25">
      <c r="A2856" t="s">
        <v>4930</v>
      </c>
      <c r="B2856" s="20">
        <v>45609</v>
      </c>
      <c r="C2856" t="s">
        <v>1927</v>
      </c>
      <c r="D2856" t="s">
        <v>769</v>
      </c>
      <c r="E2856" t="s">
        <v>226</v>
      </c>
      <c r="F2856" t="s">
        <v>286</v>
      </c>
      <c r="G2856">
        <v>4</v>
      </c>
      <c r="H2856" s="21">
        <v>1519.75</v>
      </c>
      <c r="I2856">
        <v>0</v>
      </c>
      <c r="J2856" s="21">
        <v>0</v>
      </c>
      <c r="K2856">
        <v>12</v>
      </c>
      <c r="L2856" s="21">
        <v>729.48</v>
      </c>
      <c r="M2856" s="21">
        <v>6808.48</v>
      </c>
      <c r="N2856" s="21">
        <v>4460.76</v>
      </c>
      <c r="O2856" s="21">
        <v>1618.24</v>
      </c>
      <c r="P2856" t="s">
        <v>124</v>
      </c>
      <c r="Q2856" t="s">
        <v>120</v>
      </c>
      <c r="R2856" t="s">
        <v>151</v>
      </c>
      <c r="S2856" t="s">
        <v>3010</v>
      </c>
      <c r="T2856" t="s">
        <v>153</v>
      </c>
      <c r="U2856" t="s">
        <v>154</v>
      </c>
      <c r="V2856" t="str">
        <f>IFERROR(INDEX(Products!$C:$C,MATCH(D2856,Products!$A:$A,0)),"Unknown")</f>
        <v>Sportswear</v>
      </c>
      <c r="W2856" t="str">
        <f>IFERROR(INDEX(Products!$E:$E,MATCH(D2856,Products!$A:$A,0)),"Unknown")</f>
        <v>Allen Solly</v>
      </c>
      <c r="X2856" t="str">
        <f>IFERROR(INDEX(Stores!$B:$B,MATCH(E2856,Stores!$A:$A,0)),"Unknown")</f>
        <v>TrendMart Kurnool Standard</v>
      </c>
      <c r="Y2856" t="str">
        <f>IFERROR(INDEX(Stores!$E:$E,MATCH(E2856,Stores!$A:$A,0)),"Unknown")</f>
        <v>South Zone 3</v>
      </c>
      <c r="Z2856" t="str">
        <f>IFERROR(INDEX(Customers!$J:$J,MATCH(C2856,Customers!$A:$A,0)),"Unknown")</f>
        <v>Silver</v>
      </c>
      <c r="AA2856" t="str">
        <f t="shared" si="44"/>
        <v>2024-11</v>
      </c>
      <c r="AB2856" t="str">
        <f>IFERROR(INDEX(Products!$I:$I,MATCH(D2856,Products!$A:$A,0)),"Unknown")</f>
        <v>SUP029</v>
      </c>
    </row>
    <row r="2857" spans="1:28" x14ac:dyDescent="0.25">
      <c r="A2857" t="s">
        <v>4931</v>
      </c>
      <c r="B2857" s="20">
        <v>45590</v>
      </c>
      <c r="C2857" t="s">
        <v>1331</v>
      </c>
      <c r="D2857" t="s">
        <v>554</v>
      </c>
      <c r="E2857" t="s">
        <v>231</v>
      </c>
      <c r="F2857" t="s">
        <v>532</v>
      </c>
      <c r="G2857">
        <v>0</v>
      </c>
      <c r="H2857" s="21">
        <v>859.52</v>
      </c>
      <c r="I2857">
        <v>10</v>
      </c>
      <c r="J2857" s="21">
        <v>0</v>
      </c>
      <c r="K2857">
        <v>5</v>
      </c>
      <c r="L2857" s="21">
        <v>0</v>
      </c>
      <c r="M2857" s="21">
        <v>0</v>
      </c>
      <c r="N2857" s="21">
        <v>0</v>
      </c>
      <c r="O2857" s="21">
        <v>0</v>
      </c>
      <c r="P2857" t="s">
        <v>123</v>
      </c>
      <c r="Q2857" t="s">
        <v>122</v>
      </c>
      <c r="R2857" t="s">
        <v>482</v>
      </c>
      <c r="S2857" t="s">
        <v>444</v>
      </c>
      <c r="T2857" t="s">
        <v>153</v>
      </c>
      <c r="U2857" t="s">
        <v>154</v>
      </c>
      <c r="V2857" t="str">
        <f>IFERROR(INDEX(Products!$C:$C,MATCH(D2857,Products!$A:$A,0)),"Unknown")</f>
        <v>Women Kurtis</v>
      </c>
      <c r="W2857" t="str">
        <f>IFERROR(INDEX(Products!$E:$E,MATCH(D2857,Products!$A:$A,0)),"Unknown")</f>
        <v>Fossil</v>
      </c>
      <c r="X2857" t="str">
        <f>IFERROR(INDEX(Stores!$B:$B,MATCH(E2857,Stores!$A:$A,0)),"Unknown")</f>
        <v>TrendMart Warangal Outlet</v>
      </c>
      <c r="Y2857" t="str">
        <f>IFERROR(INDEX(Stores!$E:$E,MATCH(E2857,Stores!$A:$A,0)),"Unknown")</f>
        <v>South Zone 2</v>
      </c>
      <c r="Z2857" t="str">
        <f>IFERROR(INDEX(Customers!$J:$J,MATCH(C2857,Customers!$A:$A,0)),"Unknown")</f>
        <v>Regular</v>
      </c>
      <c r="AA2857" t="str">
        <f t="shared" si="44"/>
        <v>2024-10</v>
      </c>
      <c r="AB2857" t="str">
        <f>IFERROR(INDEX(Products!$I:$I,MATCH(D2857,Products!$A:$A,0)),"Unknown")</f>
        <v>SUP018</v>
      </c>
    </row>
    <row r="2858" spans="1:28" x14ac:dyDescent="0.25">
      <c r="A2858" t="s">
        <v>4932</v>
      </c>
      <c r="B2858" s="20">
        <v>45507</v>
      </c>
      <c r="C2858" t="s">
        <v>995</v>
      </c>
      <c r="D2858" t="s">
        <v>801</v>
      </c>
      <c r="E2858" t="s">
        <v>97</v>
      </c>
      <c r="F2858" t="s">
        <v>574</v>
      </c>
      <c r="G2858">
        <v>2</v>
      </c>
      <c r="H2858" s="21">
        <v>659.8</v>
      </c>
      <c r="I2858">
        <v>10</v>
      </c>
      <c r="J2858" s="21">
        <v>131.96</v>
      </c>
      <c r="K2858">
        <v>5</v>
      </c>
      <c r="L2858" s="21">
        <v>59.38</v>
      </c>
      <c r="M2858" s="21">
        <v>1247.02</v>
      </c>
      <c r="N2858" s="21">
        <v>849.52</v>
      </c>
      <c r="O2858" s="21">
        <v>338.12</v>
      </c>
      <c r="P2858" t="s">
        <v>121</v>
      </c>
      <c r="Q2858" t="s">
        <v>122</v>
      </c>
      <c r="R2858" t="s">
        <v>151</v>
      </c>
      <c r="S2858" t="s">
        <v>463</v>
      </c>
      <c r="T2858" t="s">
        <v>161</v>
      </c>
      <c r="U2858" t="s">
        <v>154</v>
      </c>
      <c r="V2858" t="str">
        <f>IFERROR(INDEX(Products!$C:$C,MATCH(D2858,Products!$A:$A,0)),"Unknown")</f>
        <v>Kids Wear</v>
      </c>
      <c r="W2858" t="str">
        <f>IFERROR(INDEX(Products!$E:$E,MATCH(D2858,Products!$A:$A,0)),"Unknown")</f>
        <v>Being Human</v>
      </c>
      <c r="X2858" t="str">
        <f>IFERROR(INDEX(Stores!$B:$B,MATCH(E2858,Stores!$A:$A,0)),"Unknown")</f>
        <v>TrendMart Guntur Flagship</v>
      </c>
      <c r="Y2858" t="str">
        <f>IFERROR(INDEX(Stores!$E:$E,MATCH(E2858,Stores!$A:$A,0)),"Unknown")</f>
        <v>South Zone 3</v>
      </c>
      <c r="Z2858" t="str">
        <f>IFERROR(INDEX(Customers!$J:$J,MATCH(C2858,Customers!$A:$A,0)),"Unknown")</f>
        <v>Silver</v>
      </c>
      <c r="AA2858" t="str">
        <f t="shared" si="44"/>
        <v>2024-08</v>
      </c>
      <c r="AB2858" t="str">
        <f>IFERROR(INDEX(Products!$I:$I,MATCH(D2858,Products!$A:$A,0)),"Unknown")</f>
        <v>SUP063</v>
      </c>
    </row>
    <row r="2859" spans="1:28" x14ac:dyDescent="0.25">
      <c r="A2859" t="s">
        <v>4933</v>
      </c>
      <c r="B2859" s="20">
        <v>45445</v>
      </c>
      <c r="C2859" t="s">
        <v>2507</v>
      </c>
      <c r="D2859" t="s">
        <v>2064</v>
      </c>
      <c r="E2859" t="s">
        <v>456</v>
      </c>
      <c r="F2859" t="s">
        <v>618</v>
      </c>
      <c r="G2859">
        <v>3</v>
      </c>
      <c r="H2859" s="21">
        <v>1806</v>
      </c>
      <c r="I2859">
        <v>15</v>
      </c>
      <c r="J2859" s="21">
        <v>812.7</v>
      </c>
      <c r="K2859">
        <v>12</v>
      </c>
      <c r="L2859" s="21">
        <v>552.64</v>
      </c>
      <c r="M2859" s="21">
        <v>5157.9399999999996</v>
      </c>
      <c r="N2859" s="21">
        <v>3550.23</v>
      </c>
      <c r="O2859" s="21">
        <v>1055.07</v>
      </c>
      <c r="P2859" t="s">
        <v>125</v>
      </c>
      <c r="Q2859" t="s">
        <v>122</v>
      </c>
      <c r="R2859" t="s">
        <v>151</v>
      </c>
      <c r="S2859" t="s">
        <v>2621</v>
      </c>
      <c r="T2859" t="s">
        <v>161</v>
      </c>
      <c r="U2859" t="s">
        <v>154</v>
      </c>
      <c r="V2859" t="str">
        <f>IFERROR(INDEX(Products!$C:$C,MATCH(D2859,Products!$A:$A,0)),"Unknown")</f>
        <v>Watches</v>
      </c>
      <c r="W2859" t="str">
        <f>IFERROR(INDEX(Products!$E:$E,MATCH(D2859,Products!$A:$A,0)),"Unknown")</f>
        <v>Nalli Silks</v>
      </c>
      <c r="X2859" t="str">
        <f>IFERROR(INDEX(Stores!$B:$B,MATCH(E2859,Stores!$A:$A,0)),"Unknown")</f>
        <v>TrendMart Salem Outlet</v>
      </c>
      <c r="Y2859" t="str">
        <f>IFERROR(INDEX(Stores!$E:$E,MATCH(E2859,Stores!$A:$A,0)),"Unknown")</f>
        <v>South Zone 1</v>
      </c>
      <c r="Z2859" t="str">
        <f>IFERROR(INDEX(Customers!$J:$J,MATCH(C2859,Customers!$A:$A,0)),"Unknown")</f>
        <v>Silver</v>
      </c>
      <c r="AA2859" t="str">
        <f t="shared" si="44"/>
        <v>2024-06</v>
      </c>
      <c r="AB2859" t="str">
        <f>IFERROR(INDEX(Products!$I:$I,MATCH(D2859,Products!$A:$A,0)),"Unknown")</f>
        <v>SUP020</v>
      </c>
    </row>
    <row r="2860" spans="1:28" x14ac:dyDescent="0.25">
      <c r="A2860" t="s">
        <v>4934</v>
      </c>
      <c r="B2860" s="20">
        <v>45479</v>
      </c>
      <c r="C2860" t="s">
        <v>1159</v>
      </c>
      <c r="D2860" t="s">
        <v>748</v>
      </c>
      <c r="E2860" t="s">
        <v>831</v>
      </c>
      <c r="F2860" t="s">
        <v>344</v>
      </c>
      <c r="G2860">
        <v>3</v>
      </c>
      <c r="H2860" s="21">
        <v>1301.9100000000001</v>
      </c>
      <c r="I2860">
        <v>0</v>
      </c>
      <c r="J2860" s="21">
        <v>0</v>
      </c>
      <c r="K2860">
        <v>12</v>
      </c>
      <c r="L2860" s="21">
        <v>468.69</v>
      </c>
      <c r="M2860" s="21">
        <v>4374.42</v>
      </c>
      <c r="N2860" s="21">
        <v>2525.5500000000002</v>
      </c>
      <c r="O2860" s="21">
        <v>1380.18</v>
      </c>
      <c r="P2860" t="s">
        <v>121</v>
      </c>
      <c r="Q2860" t="s">
        <v>120</v>
      </c>
      <c r="R2860" t="s">
        <v>151</v>
      </c>
      <c r="S2860" t="s">
        <v>3014</v>
      </c>
      <c r="T2860" t="s">
        <v>161</v>
      </c>
      <c r="U2860" t="s">
        <v>154</v>
      </c>
      <c r="V2860" t="str">
        <f>IFERROR(INDEX(Products!$C:$C,MATCH(D2860,Products!$A:$A,0)),"Unknown")</f>
        <v>Women Dresses</v>
      </c>
      <c r="W2860" t="str">
        <f>IFERROR(INDEX(Products!$E:$E,MATCH(D2860,Products!$A:$A,0)),"Unknown")</f>
        <v>Kalyan Silks</v>
      </c>
      <c r="X2860" t="str">
        <f>IFERROR(INDEX(Stores!$B:$B,MATCH(E2860,Stores!$A:$A,0)),"Unknown")</f>
        <v>TrendMart Vellore Standard</v>
      </c>
      <c r="Y2860" t="str">
        <f>IFERROR(INDEX(Stores!$E:$E,MATCH(E2860,Stores!$A:$A,0)),"Unknown")</f>
        <v>South Zone 1</v>
      </c>
      <c r="Z2860" t="str">
        <f>IFERROR(INDEX(Customers!$J:$J,MATCH(C2860,Customers!$A:$A,0)),"Unknown")</f>
        <v>Silver</v>
      </c>
      <c r="AA2860" t="str">
        <f t="shared" si="44"/>
        <v>2024-07</v>
      </c>
      <c r="AB2860" t="str">
        <f>IFERROR(INDEX(Products!$I:$I,MATCH(D2860,Products!$A:$A,0)),"Unknown")</f>
        <v>SUP036</v>
      </c>
    </row>
    <row r="2861" spans="1:28" x14ac:dyDescent="0.25">
      <c r="A2861" t="s">
        <v>4935</v>
      </c>
      <c r="B2861" s="20">
        <v>45591</v>
      </c>
      <c r="C2861" t="s">
        <v>2338</v>
      </c>
      <c r="D2861" t="s">
        <v>612</v>
      </c>
      <c r="E2861" t="s">
        <v>815</v>
      </c>
      <c r="F2861" t="s">
        <v>232</v>
      </c>
      <c r="G2861">
        <v>2</v>
      </c>
      <c r="H2861" s="21">
        <v>644.6</v>
      </c>
      <c r="I2861">
        <v>0</v>
      </c>
      <c r="J2861" s="21">
        <v>0</v>
      </c>
      <c r="K2861">
        <v>5</v>
      </c>
      <c r="L2861" s="21">
        <v>64.459999999999994</v>
      </c>
      <c r="M2861" s="21">
        <v>1353.66</v>
      </c>
      <c r="N2861" s="21">
        <v>738</v>
      </c>
      <c r="O2861" s="21">
        <v>551.20000000000005</v>
      </c>
      <c r="P2861" t="s">
        <v>121</v>
      </c>
      <c r="Q2861" t="s">
        <v>120</v>
      </c>
      <c r="R2861" t="s">
        <v>151</v>
      </c>
      <c r="S2861" t="s">
        <v>816</v>
      </c>
      <c r="T2861" t="s">
        <v>161</v>
      </c>
      <c r="U2861" t="s">
        <v>154</v>
      </c>
      <c r="V2861" t="str">
        <f>IFERROR(INDEX(Products!$C:$C,MATCH(D2861,Products!$A:$A,0)),"Unknown")</f>
        <v>Men T-Shirts</v>
      </c>
      <c r="W2861" t="str">
        <f>IFERROR(INDEX(Products!$E:$E,MATCH(D2861,Products!$A:$A,0)),"Unknown")</f>
        <v>Killer Jeans</v>
      </c>
      <c r="X2861" t="str">
        <f>IFERROR(INDEX(Stores!$B:$B,MATCH(E2861,Stores!$A:$A,0)),"Unknown")</f>
        <v>TrendMart Madurai Mall Kiosk</v>
      </c>
      <c r="Y2861" t="str">
        <f>IFERROR(INDEX(Stores!$E:$E,MATCH(E2861,Stores!$A:$A,0)),"Unknown")</f>
        <v>South Zone 1</v>
      </c>
      <c r="Z2861" t="str">
        <f>IFERROR(INDEX(Customers!$J:$J,MATCH(C2861,Customers!$A:$A,0)),"Unknown")</f>
        <v>Silver</v>
      </c>
      <c r="AA2861" t="str">
        <f t="shared" si="44"/>
        <v>2024-10</v>
      </c>
      <c r="AB2861" t="str">
        <f>IFERROR(INDEX(Products!$I:$I,MATCH(D2861,Products!$A:$A,0)),"Unknown")</f>
        <v>SUP056</v>
      </c>
    </row>
    <row r="2862" spans="1:28" x14ac:dyDescent="0.25">
      <c r="A2862" t="s">
        <v>4936</v>
      </c>
      <c r="B2862" s="20">
        <v>45739</v>
      </c>
      <c r="C2862" t="s">
        <v>4499</v>
      </c>
      <c r="D2862" t="s">
        <v>381</v>
      </c>
      <c r="E2862" t="s">
        <v>613</v>
      </c>
      <c r="F2862" t="s">
        <v>159</v>
      </c>
      <c r="G2862">
        <v>3</v>
      </c>
      <c r="H2862" s="21">
        <v>780.27</v>
      </c>
      <c r="I2862">
        <v>20</v>
      </c>
      <c r="J2862" s="21">
        <v>468.16</v>
      </c>
      <c r="K2862">
        <v>5</v>
      </c>
      <c r="L2862" s="21">
        <v>93.63</v>
      </c>
      <c r="M2862" s="21">
        <v>1966.28</v>
      </c>
      <c r="N2862" s="21">
        <v>1541.52</v>
      </c>
      <c r="O2862" s="21">
        <v>331.13</v>
      </c>
      <c r="P2862" t="s">
        <v>125</v>
      </c>
      <c r="Q2862" t="s">
        <v>120</v>
      </c>
      <c r="R2862" t="s">
        <v>151</v>
      </c>
      <c r="S2862" t="s">
        <v>3349</v>
      </c>
      <c r="T2862" t="s">
        <v>161</v>
      </c>
      <c r="U2862" t="s">
        <v>154</v>
      </c>
      <c r="V2862" t="str">
        <f>IFERROR(INDEX(Products!$C:$C,MATCH(D2862,Products!$A:$A,0)),"Unknown")</f>
        <v>Wallets</v>
      </c>
      <c r="W2862" t="str">
        <f>IFERROR(INDEX(Products!$E:$E,MATCH(D2862,Products!$A:$A,0)),"Unknown")</f>
        <v>Tanishq</v>
      </c>
      <c r="X2862" t="str">
        <f>IFERROR(INDEX(Stores!$B:$B,MATCH(E2862,Stores!$A:$A,0)),"Unknown")</f>
        <v>TrendMart Kochi Mall Kiosk</v>
      </c>
      <c r="Y2862" t="str">
        <f>IFERROR(INDEX(Stores!$E:$E,MATCH(E2862,Stores!$A:$A,0)),"Unknown")</f>
        <v>South Zone 1</v>
      </c>
      <c r="Z2862" t="str">
        <f>IFERROR(INDEX(Customers!$J:$J,MATCH(C2862,Customers!$A:$A,0)),"Unknown")</f>
        <v>Gold</v>
      </c>
      <c r="AA2862" t="str">
        <f t="shared" si="44"/>
        <v>2025-03</v>
      </c>
      <c r="AB2862" t="str">
        <f>IFERROR(INDEX(Products!$I:$I,MATCH(D2862,Products!$A:$A,0)),"Unknown")</f>
        <v>SUP007</v>
      </c>
    </row>
    <row r="2863" spans="1:28" x14ac:dyDescent="0.25">
      <c r="A2863" t="s">
        <v>4937</v>
      </c>
      <c r="B2863" s="20">
        <v>45493</v>
      </c>
      <c r="C2863" t="s">
        <v>1043</v>
      </c>
      <c r="D2863" t="s">
        <v>1909</v>
      </c>
      <c r="E2863" t="s">
        <v>206</v>
      </c>
      <c r="F2863" t="s">
        <v>189</v>
      </c>
      <c r="G2863">
        <v>3</v>
      </c>
      <c r="H2863" s="21">
        <v>1479.83</v>
      </c>
      <c r="I2863">
        <v>20</v>
      </c>
      <c r="J2863" s="21">
        <v>887.9</v>
      </c>
      <c r="K2863">
        <v>12</v>
      </c>
      <c r="L2863" s="21">
        <v>426.19</v>
      </c>
      <c r="M2863" s="21">
        <v>3977.78</v>
      </c>
      <c r="N2863" s="21">
        <v>2902.11</v>
      </c>
      <c r="O2863" s="21">
        <v>649.48</v>
      </c>
      <c r="P2863" t="s">
        <v>121</v>
      </c>
      <c r="Q2863" t="s">
        <v>122</v>
      </c>
      <c r="R2863" t="s">
        <v>151</v>
      </c>
      <c r="S2863" t="s">
        <v>2318</v>
      </c>
      <c r="T2863" t="s">
        <v>161</v>
      </c>
      <c r="U2863" t="s">
        <v>154</v>
      </c>
      <c r="V2863" t="str">
        <f>IFERROR(INDEX(Products!$C:$C,MATCH(D2863,Products!$A:$A,0)),"Unknown")</f>
        <v>Men Trousers</v>
      </c>
      <c r="W2863" t="str">
        <f>IFERROR(INDEX(Products!$E:$E,MATCH(D2863,Products!$A:$A,0)),"Unknown")</f>
        <v>Aurelia</v>
      </c>
      <c r="X2863" t="str">
        <f>IFERROR(INDEX(Stores!$B:$B,MATCH(E2863,Stores!$A:$A,0)),"Unknown")</f>
        <v>TrendMart Nizamabad Outlet</v>
      </c>
      <c r="Y2863" t="str">
        <f>IFERROR(INDEX(Stores!$E:$E,MATCH(E2863,Stores!$A:$A,0)),"Unknown")</f>
        <v>South Zone 2</v>
      </c>
      <c r="Z2863" t="str">
        <f>IFERROR(INDEX(Customers!$J:$J,MATCH(C2863,Customers!$A:$A,0)),"Unknown")</f>
        <v>Silver</v>
      </c>
      <c r="AA2863" t="str">
        <f t="shared" si="44"/>
        <v>2024-07</v>
      </c>
      <c r="AB2863" t="str">
        <f>IFERROR(INDEX(Products!$I:$I,MATCH(D2863,Products!$A:$A,0)),"Unknown")</f>
        <v>SUP011</v>
      </c>
    </row>
    <row r="2864" spans="1:28" x14ac:dyDescent="0.25">
      <c r="A2864" t="s">
        <v>4938</v>
      </c>
      <c r="B2864" s="20">
        <v>45630</v>
      </c>
      <c r="C2864" t="s">
        <v>3331</v>
      </c>
      <c r="D2864" t="s">
        <v>2597</v>
      </c>
      <c r="E2864" t="s">
        <v>89</v>
      </c>
      <c r="F2864" t="s">
        <v>308</v>
      </c>
      <c r="G2864">
        <v>2</v>
      </c>
      <c r="H2864" s="21">
        <v>831.81</v>
      </c>
      <c r="I2864">
        <v>5</v>
      </c>
      <c r="J2864" s="21">
        <v>83.18</v>
      </c>
      <c r="K2864">
        <v>5</v>
      </c>
      <c r="L2864" s="21">
        <v>79.02</v>
      </c>
      <c r="M2864" s="21">
        <v>1659.46</v>
      </c>
      <c r="N2864" s="21">
        <v>1151.44</v>
      </c>
      <c r="O2864" s="21">
        <v>429</v>
      </c>
      <c r="P2864" t="s">
        <v>125</v>
      </c>
      <c r="Q2864" t="s">
        <v>120</v>
      </c>
      <c r="R2864" t="s">
        <v>151</v>
      </c>
      <c r="S2864" t="s">
        <v>1137</v>
      </c>
      <c r="T2864" t="s">
        <v>153</v>
      </c>
      <c r="U2864" t="s">
        <v>154</v>
      </c>
      <c r="V2864" t="str">
        <f>IFERROR(INDEX(Products!$C:$C,MATCH(D2864,Products!$A:$A,0)),"Unknown")</f>
        <v>Men Trousers</v>
      </c>
      <c r="W2864" t="str">
        <f>IFERROR(INDEX(Products!$E:$E,MATCH(D2864,Products!$A:$A,0)),"Unknown")</f>
        <v>Peter England</v>
      </c>
      <c r="X2864" t="str">
        <f>IFERROR(INDEX(Stores!$B:$B,MATCH(E2864,Stores!$A:$A,0)),"Unknown")</f>
        <v>TrendMart Kochi Standard</v>
      </c>
      <c r="Y2864" t="str">
        <f>IFERROR(INDEX(Stores!$E:$E,MATCH(E2864,Stores!$A:$A,0)),"Unknown")</f>
        <v>South Zone 1</v>
      </c>
      <c r="Z2864" t="str">
        <f>IFERROR(INDEX(Customers!$J:$J,MATCH(C2864,Customers!$A:$A,0)),"Unknown")</f>
        <v>Silver</v>
      </c>
      <c r="AA2864" t="str">
        <f t="shared" si="44"/>
        <v>2024-12</v>
      </c>
      <c r="AB2864" t="str">
        <f>IFERROR(INDEX(Products!$I:$I,MATCH(D2864,Products!$A:$A,0)),"Unknown")</f>
        <v>SUP008</v>
      </c>
    </row>
    <row r="2865" spans="1:28" x14ac:dyDescent="0.25">
      <c r="A2865" t="s">
        <v>4939</v>
      </c>
      <c r="B2865" s="20">
        <v>45739</v>
      </c>
      <c r="C2865" t="s">
        <v>3030</v>
      </c>
      <c r="D2865" t="s">
        <v>864</v>
      </c>
      <c r="E2865" t="s">
        <v>823</v>
      </c>
      <c r="F2865" t="s">
        <v>377</v>
      </c>
      <c r="G2865">
        <v>1</v>
      </c>
      <c r="H2865" s="21">
        <v>3562.74</v>
      </c>
      <c r="I2865">
        <v>25</v>
      </c>
      <c r="J2865" s="21">
        <v>890.68</v>
      </c>
      <c r="K2865">
        <v>3</v>
      </c>
      <c r="L2865" s="21">
        <v>80.16</v>
      </c>
      <c r="M2865" s="21">
        <v>2752.22</v>
      </c>
      <c r="N2865" s="21">
        <v>1989.93</v>
      </c>
      <c r="O2865" s="21">
        <v>682.13</v>
      </c>
      <c r="P2865" t="s">
        <v>124</v>
      </c>
      <c r="Q2865" t="s">
        <v>122</v>
      </c>
      <c r="R2865" t="s">
        <v>151</v>
      </c>
      <c r="S2865" t="s">
        <v>1992</v>
      </c>
      <c r="T2865" t="s">
        <v>161</v>
      </c>
      <c r="U2865" t="s">
        <v>154</v>
      </c>
      <c r="V2865" t="str">
        <f>IFERROR(INDEX(Products!$C:$C,MATCH(D2865,Products!$A:$A,0)),"Unknown")</f>
        <v>Jewellery</v>
      </c>
      <c r="W2865" t="str">
        <f>IFERROR(INDEX(Products!$E:$E,MATCH(D2865,Products!$A:$A,0)),"Unknown")</f>
        <v>Wrangler</v>
      </c>
      <c r="X2865" t="str">
        <f>IFERROR(INDEX(Stores!$B:$B,MATCH(E2865,Stores!$A:$A,0)),"Unknown")</f>
        <v>TrendMart Thoothukudi Mall Kiosk</v>
      </c>
      <c r="Y2865" t="str">
        <f>IFERROR(INDEX(Stores!$E:$E,MATCH(E2865,Stores!$A:$A,0)),"Unknown")</f>
        <v>South Zone 1</v>
      </c>
      <c r="Z2865" t="str">
        <f>IFERROR(INDEX(Customers!$J:$J,MATCH(C2865,Customers!$A:$A,0)),"Unknown")</f>
        <v>Silver</v>
      </c>
      <c r="AA2865" t="str">
        <f t="shared" si="44"/>
        <v>2025-03</v>
      </c>
      <c r="AB2865" t="str">
        <f>IFERROR(INDEX(Products!$I:$I,MATCH(D2865,Products!$A:$A,0)),"Unknown")</f>
        <v>SUP070</v>
      </c>
    </row>
    <row r="2866" spans="1:28" x14ac:dyDescent="0.25">
      <c r="A2866" t="s">
        <v>4940</v>
      </c>
      <c r="B2866" s="20">
        <v>45501</v>
      </c>
      <c r="C2866" t="s">
        <v>2883</v>
      </c>
      <c r="D2866" t="s">
        <v>1539</v>
      </c>
      <c r="E2866" t="s">
        <v>280</v>
      </c>
      <c r="F2866" t="s">
        <v>532</v>
      </c>
      <c r="G2866">
        <v>3</v>
      </c>
      <c r="H2866" s="21">
        <v>1219.93</v>
      </c>
      <c r="I2866">
        <v>0</v>
      </c>
      <c r="J2866" s="21">
        <v>0</v>
      </c>
      <c r="K2866">
        <v>12</v>
      </c>
      <c r="L2866" s="21">
        <v>439.17</v>
      </c>
      <c r="M2866" s="21">
        <v>4098.96</v>
      </c>
      <c r="N2866" s="21">
        <v>2752.32</v>
      </c>
      <c r="O2866" s="21">
        <v>907.47</v>
      </c>
      <c r="P2866" t="s">
        <v>124</v>
      </c>
      <c r="Q2866" t="s">
        <v>120</v>
      </c>
      <c r="R2866" t="s">
        <v>151</v>
      </c>
      <c r="S2866" t="s">
        <v>1806</v>
      </c>
      <c r="T2866" t="s">
        <v>161</v>
      </c>
      <c r="U2866" t="s">
        <v>154</v>
      </c>
      <c r="V2866" t="str">
        <f>IFERROR(INDEX(Products!$C:$C,MATCH(D2866,Products!$A:$A,0)),"Unknown")</f>
        <v>Wallets</v>
      </c>
      <c r="W2866" t="str">
        <f>IFERROR(INDEX(Products!$E:$E,MATCH(D2866,Products!$A:$A,0)),"Unknown")</f>
        <v>Reebok</v>
      </c>
      <c r="X2866" t="str">
        <f>IFERROR(INDEX(Stores!$B:$B,MATCH(E2866,Stores!$A:$A,0)),"Unknown")</f>
        <v>TrendMart Chennai Standard</v>
      </c>
      <c r="Y2866" t="str">
        <f>IFERROR(INDEX(Stores!$E:$E,MATCH(E2866,Stores!$A:$A,0)),"Unknown")</f>
        <v>South Zone 1</v>
      </c>
      <c r="Z2866" t="str">
        <f>IFERROR(INDEX(Customers!$J:$J,MATCH(C2866,Customers!$A:$A,0)),"Unknown")</f>
        <v>Gold</v>
      </c>
      <c r="AA2866" t="str">
        <f t="shared" si="44"/>
        <v>2024-07</v>
      </c>
      <c r="AB2866" t="str">
        <f>IFERROR(INDEX(Products!$I:$I,MATCH(D2866,Products!$A:$A,0)),"Unknown")</f>
        <v>SUP007</v>
      </c>
    </row>
    <row r="2867" spans="1:28" x14ac:dyDescent="0.25">
      <c r="A2867" t="s">
        <v>4941</v>
      </c>
      <c r="B2867" s="20">
        <v>45497</v>
      </c>
      <c r="C2867" t="s">
        <v>2455</v>
      </c>
      <c r="D2867" t="s">
        <v>267</v>
      </c>
      <c r="E2867" t="s">
        <v>541</v>
      </c>
      <c r="F2867" t="s">
        <v>232</v>
      </c>
      <c r="G2867">
        <v>1</v>
      </c>
      <c r="H2867" s="21">
        <v>731.5</v>
      </c>
      <c r="I2867">
        <v>0</v>
      </c>
      <c r="J2867" s="21">
        <v>0</v>
      </c>
      <c r="K2867">
        <v>5</v>
      </c>
      <c r="L2867" s="21">
        <v>36.58</v>
      </c>
      <c r="M2867" s="21">
        <v>768.08</v>
      </c>
      <c r="N2867" s="21">
        <v>443.19</v>
      </c>
      <c r="O2867" s="21">
        <v>288.31</v>
      </c>
      <c r="P2867" t="s">
        <v>124</v>
      </c>
      <c r="Q2867" t="s">
        <v>122</v>
      </c>
      <c r="R2867" t="s">
        <v>151</v>
      </c>
      <c r="S2867" t="s">
        <v>1208</v>
      </c>
      <c r="T2867" t="s">
        <v>153</v>
      </c>
      <c r="U2867" t="s">
        <v>154</v>
      </c>
      <c r="V2867" t="str">
        <f>IFERROR(INDEX(Products!$C:$C,MATCH(D2867,Products!$A:$A,0)),"Unknown")</f>
        <v>Accessories</v>
      </c>
      <c r="W2867" t="str">
        <f>IFERROR(INDEX(Products!$E:$E,MATCH(D2867,Products!$A:$A,0)),"Unknown")</f>
        <v>Allen Solly</v>
      </c>
      <c r="X2867" t="str">
        <f>IFERROR(INDEX(Stores!$B:$B,MATCH(E2867,Stores!$A:$A,0)),"Unknown")</f>
        <v>TrendMart Kochi Standard</v>
      </c>
      <c r="Y2867" t="str">
        <f>IFERROR(INDEX(Stores!$E:$E,MATCH(E2867,Stores!$A:$A,0)),"Unknown")</f>
        <v>South Zone 1</v>
      </c>
      <c r="Z2867" t="str">
        <f>IFERROR(INDEX(Customers!$J:$J,MATCH(C2867,Customers!$A:$A,0)),"Unknown")</f>
        <v>Silver</v>
      </c>
      <c r="AA2867" t="str">
        <f t="shared" si="44"/>
        <v>2024-07</v>
      </c>
      <c r="AB2867" t="str">
        <f>IFERROR(INDEX(Products!$I:$I,MATCH(D2867,Products!$A:$A,0)),"Unknown")</f>
        <v>SUP069</v>
      </c>
    </row>
    <row r="2868" spans="1:28" x14ac:dyDescent="0.25">
      <c r="A2868" t="s">
        <v>4942</v>
      </c>
      <c r="B2868" s="20">
        <v>45438</v>
      </c>
      <c r="C2868" t="s">
        <v>661</v>
      </c>
      <c r="D2868" t="s">
        <v>599</v>
      </c>
      <c r="E2868" t="s">
        <v>318</v>
      </c>
      <c r="F2868" t="s">
        <v>237</v>
      </c>
      <c r="G2868">
        <v>2</v>
      </c>
      <c r="H2868" s="21">
        <v>1006.66</v>
      </c>
      <c r="I2868">
        <v>15</v>
      </c>
      <c r="J2868" s="21">
        <v>302</v>
      </c>
      <c r="K2868">
        <v>12</v>
      </c>
      <c r="L2868" s="21">
        <v>205.36</v>
      </c>
      <c r="M2868" s="21">
        <v>1916.68</v>
      </c>
      <c r="N2868" s="21">
        <v>1291.18</v>
      </c>
      <c r="O2868" s="21">
        <v>420.14</v>
      </c>
      <c r="P2868" t="s">
        <v>125</v>
      </c>
      <c r="Q2868" t="s">
        <v>120</v>
      </c>
      <c r="R2868" t="s">
        <v>151</v>
      </c>
      <c r="S2868" t="s">
        <v>1411</v>
      </c>
      <c r="T2868" t="s">
        <v>161</v>
      </c>
      <c r="U2868" t="s">
        <v>154</v>
      </c>
      <c r="V2868" t="str">
        <f>IFERROR(INDEX(Products!$C:$C,MATCH(D2868,Products!$A:$A,0)),"Unknown")</f>
        <v>Men Shirts</v>
      </c>
      <c r="W2868" t="str">
        <f>IFERROR(INDEX(Products!$E:$E,MATCH(D2868,Products!$A:$A,0)),"Unknown")</f>
        <v>Van Heusen</v>
      </c>
      <c r="X2868" t="str">
        <f>IFERROR(INDEX(Stores!$B:$B,MATCH(E2868,Stores!$A:$A,0)),"Unknown")</f>
        <v>TrendMart Guntur Outlet</v>
      </c>
      <c r="Y2868" t="str">
        <f>IFERROR(INDEX(Stores!$E:$E,MATCH(E2868,Stores!$A:$A,0)),"Unknown")</f>
        <v>South Zone 3</v>
      </c>
      <c r="Z2868" t="str">
        <f>IFERROR(INDEX(Customers!$J:$J,MATCH(C2868,Customers!$A:$A,0)),"Unknown")</f>
        <v>Silver</v>
      </c>
      <c r="AA2868" t="str">
        <f t="shared" si="44"/>
        <v>2024-05</v>
      </c>
      <c r="AB2868" t="str">
        <f>IFERROR(INDEX(Products!$I:$I,MATCH(D2868,Products!$A:$A,0)),"Unknown")</f>
        <v>SUP084</v>
      </c>
    </row>
    <row r="2869" spans="1:28" x14ac:dyDescent="0.25">
      <c r="A2869" t="s">
        <v>4943</v>
      </c>
      <c r="B2869" s="20">
        <v>45558</v>
      </c>
      <c r="C2869" t="s">
        <v>2444</v>
      </c>
      <c r="D2869" t="s">
        <v>1041</v>
      </c>
      <c r="E2869" t="s">
        <v>999</v>
      </c>
      <c r="F2869" t="s">
        <v>286</v>
      </c>
      <c r="G2869">
        <v>1</v>
      </c>
      <c r="H2869" s="21">
        <v>1082.53</v>
      </c>
      <c r="I2869">
        <v>15</v>
      </c>
      <c r="J2869" s="21">
        <v>162.38</v>
      </c>
      <c r="K2869">
        <v>12</v>
      </c>
      <c r="L2869" s="21">
        <v>110.42</v>
      </c>
      <c r="M2869" s="21">
        <v>1030.57</v>
      </c>
      <c r="N2869" s="21">
        <v>735.85</v>
      </c>
      <c r="O2869" s="21">
        <v>184.3</v>
      </c>
      <c r="P2869" t="s">
        <v>124</v>
      </c>
      <c r="Q2869" t="s">
        <v>120</v>
      </c>
      <c r="R2869" t="s">
        <v>151</v>
      </c>
      <c r="S2869" t="s">
        <v>677</v>
      </c>
      <c r="T2869" t="s">
        <v>153</v>
      </c>
      <c r="U2869" t="s">
        <v>154</v>
      </c>
      <c r="V2869" t="str">
        <f>IFERROR(INDEX(Products!$C:$C,MATCH(D2869,Products!$A:$A,0)),"Unknown")</f>
        <v>Sportswear</v>
      </c>
      <c r="W2869" t="str">
        <f>IFERROR(INDEX(Products!$E:$E,MATCH(D2869,Products!$A:$A,0)),"Unknown")</f>
        <v>Blackberrys</v>
      </c>
      <c r="X2869" t="str">
        <f>IFERROR(INDEX(Stores!$B:$B,MATCH(E2869,Stores!$A:$A,0)),"Unknown")</f>
        <v>TrendMart Tumakuru Standard</v>
      </c>
      <c r="Y2869" t="str">
        <f>IFERROR(INDEX(Stores!$E:$E,MATCH(E2869,Stores!$A:$A,0)),"Unknown")</f>
        <v>South Zone 2</v>
      </c>
      <c r="Z2869" t="str">
        <f>IFERROR(INDEX(Customers!$J:$J,MATCH(C2869,Customers!$A:$A,0)),"Unknown")</f>
        <v>Regular</v>
      </c>
      <c r="AA2869" t="str">
        <f t="shared" si="44"/>
        <v>2024-09</v>
      </c>
      <c r="AB2869" t="str">
        <f>IFERROR(INDEX(Products!$I:$I,MATCH(D2869,Products!$A:$A,0)),"Unknown")</f>
        <v>SUP012</v>
      </c>
    </row>
    <row r="2870" spans="1:28" x14ac:dyDescent="0.25">
      <c r="A2870" t="s">
        <v>4944</v>
      </c>
      <c r="B2870" s="20">
        <v>45740</v>
      </c>
      <c r="C2870" t="s">
        <v>548</v>
      </c>
      <c r="D2870" t="s">
        <v>531</v>
      </c>
      <c r="E2870" t="s">
        <v>815</v>
      </c>
      <c r="F2870" t="s">
        <v>242</v>
      </c>
      <c r="G2870">
        <v>2</v>
      </c>
      <c r="H2870" s="21">
        <v>3101.88</v>
      </c>
      <c r="I2870">
        <v>0</v>
      </c>
      <c r="J2870" s="21">
        <v>0</v>
      </c>
      <c r="K2870">
        <v>12</v>
      </c>
      <c r="L2870" s="21">
        <v>744.45</v>
      </c>
      <c r="M2870" s="21">
        <v>6948.21</v>
      </c>
      <c r="N2870" s="21">
        <v>4068.02</v>
      </c>
      <c r="O2870" s="21">
        <v>2135.7399999999998</v>
      </c>
      <c r="P2870" t="s">
        <v>121</v>
      </c>
      <c r="Q2870" t="s">
        <v>120</v>
      </c>
      <c r="R2870" t="s">
        <v>313</v>
      </c>
      <c r="S2870" t="s">
        <v>3010</v>
      </c>
      <c r="T2870" t="s">
        <v>153</v>
      </c>
      <c r="U2870" t="s">
        <v>154</v>
      </c>
      <c r="V2870" t="str">
        <f>IFERROR(INDEX(Products!$C:$C,MATCH(D2870,Products!$A:$A,0)),"Unknown")</f>
        <v>Handbags</v>
      </c>
      <c r="W2870" t="str">
        <f>IFERROR(INDEX(Products!$E:$E,MATCH(D2870,Products!$A:$A,0)),"Unknown")</f>
        <v>GRT Jewellers</v>
      </c>
      <c r="X2870" t="str">
        <f>IFERROR(INDEX(Stores!$B:$B,MATCH(E2870,Stores!$A:$A,0)),"Unknown")</f>
        <v>TrendMart Madurai Mall Kiosk</v>
      </c>
      <c r="Y2870" t="str">
        <f>IFERROR(INDEX(Stores!$E:$E,MATCH(E2870,Stores!$A:$A,0)),"Unknown")</f>
        <v>South Zone 1</v>
      </c>
      <c r="Z2870" t="str">
        <f>IFERROR(INDEX(Customers!$J:$J,MATCH(C2870,Customers!$A:$A,0)),"Unknown")</f>
        <v>Regular</v>
      </c>
      <c r="AA2870" t="str">
        <f t="shared" si="44"/>
        <v>2025-03</v>
      </c>
      <c r="AB2870" t="str">
        <f>IFERROR(INDEX(Products!$I:$I,MATCH(D2870,Products!$A:$A,0)),"Unknown")</f>
        <v>SUP047</v>
      </c>
    </row>
    <row r="2871" spans="1:28" x14ac:dyDescent="0.25">
      <c r="A2871" t="s">
        <v>4945</v>
      </c>
      <c r="B2871" s="20">
        <v>45684</v>
      </c>
      <c r="C2871" t="s">
        <v>3490</v>
      </c>
      <c r="D2871" t="s">
        <v>587</v>
      </c>
      <c r="E2871" t="s">
        <v>1325</v>
      </c>
      <c r="F2871" t="s">
        <v>308</v>
      </c>
      <c r="G2871">
        <v>3</v>
      </c>
      <c r="H2871" s="21">
        <v>3031.37</v>
      </c>
      <c r="I2871">
        <v>30</v>
      </c>
      <c r="J2871" s="21">
        <v>2728.23</v>
      </c>
      <c r="K2871">
        <v>12</v>
      </c>
      <c r="L2871" s="21">
        <v>763.91</v>
      </c>
      <c r="M2871" s="21">
        <v>7129.79</v>
      </c>
      <c r="N2871" s="21">
        <v>6407.55</v>
      </c>
      <c r="O2871" s="21">
        <v>-41.67</v>
      </c>
      <c r="P2871" t="s">
        <v>125</v>
      </c>
      <c r="Q2871" t="s">
        <v>120</v>
      </c>
      <c r="R2871" t="s">
        <v>151</v>
      </c>
      <c r="S2871" t="s">
        <v>958</v>
      </c>
      <c r="T2871" t="s">
        <v>153</v>
      </c>
      <c r="U2871" t="s">
        <v>184</v>
      </c>
      <c r="V2871" t="str">
        <f>IFERROR(INDEX(Products!$C:$C,MATCH(D2871,Products!$A:$A,0)),"Unknown")</f>
        <v>Handbags</v>
      </c>
      <c r="W2871" t="str">
        <f>IFERROR(INDEX(Products!$E:$E,MATCH(D2871,Products!$A:$A,0)),"Unknown")</f>
        <v>Tanishq</v>
      </c>
      <c r="X2871" t="str">
        <f>IFERROR(INDEX(Stores!$B:$B,MATCH(E2871,Stores!$A:$A,0)),"Unknown")</f>
        <v>TrendMart Thrissur Standard</v>
      </c>
      <c r="Y2871" t="str">
        <f>IFERROR(INDEX(Stores!$E:$E,MATCH(E2871,Stores!$A:$A,0)),"Unknown")</f>
        <v>South Zone 1</v>
      </c>
      <c r="Z2871" t="str">
        <f>IFERROR(INDEX(Customers!$J:$J,MATCH(C2871,Customers!$A:$A,0)),"Unknown")</f>
        <v>Unknown</v>
      </c>
      <c r="AA2871" t="str">
        <f t="shared" si="44"/>
        <v>2025-01</v>
      </c>
      <c r="AB2871" t="str">
        <f>IFERROR(INDEX(Products!$I:$I,MATCH(D2871,Products!$A:$A,0)),"Unknown")</f>
        <v>SUP029</v>
      </c>
    </row>
    <row r="2872" spans="1:28" x14ac:dyDescent="0.25">
      <c r="A2872" t="s">
        <v>4946</v>
      </c>
      <c r="B2872" s="20">
        <v>45457</v>
      </c>
      <c r="C2872" t="s">
        <v>3969</v>
      </c>
      <c r="D2872" t="s">
        <v>558</v>
      </c>
      <c r="E2872" t="s">
        <v>752</v>
      </c>
      <c r="F2872" t="s">
        <v>182</v>
      </c>
      <c r="G2872">
        <v>1</v>
      </c>
      <c r="H2872" s="21">
        <v>661.83</v>
      </c>
      <c r="I2872">
        <v>10</v>
      </c>
      <c r="J2872" s="21">
        <v>66.180000000000007</v>
      </c>
      <c r="K2872">
        <v>5</v>
      </c>
      <c r="L2872" s="21">
        <v>29.78</v>
      </c>
      <c r="M2872" s="21">
        <v>625.42999999999995</v>
      </c>
      <c r="N2872" s="21">
        <v>457.16</v>
      </c>
      <c r="O2872" s="21">
        <v>138.49</v>
      </c>
      <c r="P2872" t="s">
        <v>126</v>
      </c>
      <c r="Q2872" t="s">
        <v>122</v>
      </c>
      <c r="R2872" t="s">
        <v>151</v>
      </c>
      <c r="S2872" t="s">
        <v>1630</v>
      </c>
      <c r="T2872" t="s">
        <v>153</v>
      </c>
      <c r="U2872" t="s">
        <v>154</v>
      </c>
      <c r="V2872" t="str">
        <f>IFERROR(INDEX(Products!$C:$C,MATCH(D2872,Products!$A:$A,0)),"Unknown")</f>
        <v>Women Tops</v>
      </c>
      <c r="W2872" t="str">
        <f>IFERROR(INDEX(Products!$E:$E,MATCH(D2872,Products!$A:$A,0)),"Unknown")</f>
        <v>Aurelia</v>
      </c>
      <c r="X2872" t="str">
        <f>IFERROR(INDEX(Stores!$B:$B,MATCH(E2872,Stores!$A:$A,0)),"Unknown")</f>
        <v>TrendMart Dindigul High Street</v>
      </c>
      <c r="Y2872" t="str">
        <f>IFERROR(INDEX(Stores!$E:$E,MATCH(E2872,Stores!$A:$A,0)),"Unknown")</f>
        <v>South Zone 1</v>
      </c>
      <c r="Z2872" t="str">
        <f>IFERROR(INDEX(Customers!$J:$J,MATCH(C2872,Customers!$A:$A,0)),"Unknown")</f>
        <v>Regular</v>
      </c>
      <c r="AA2872" t="str">
        <f t="shared" si="44"/>
        <v>2024-06</v>
      </c>
      <c r="AB2872" t="str">
        <f>IFERROR(INDEX(Products!$I:$I,MATCH(D2872,Products!$A:$A,0)),"Unknown")</f>
        <v>SUP055</v>
      </c>
    </row>
    <row r="2873" spans="1:28" x14ac:dyDescent="0.25">
      <c r="A2873" t="s">
        <v>4947</v>
      </c>
      <c r="B2873" s="20">
        <v>45403</v>
      </c>
      <c r="C2873" t="s">
        <v>1029</v>
      </c>
      <c r="D2873" t="s">
        <v>573</v>
      </c>
      <c r="E2873" t="s">
        <v>200</v>
      </c>
      <c r="F2873" t="s">
        <v>165</v>
      </c>
      <c r="G2873">
        <v>2</v>
      </c>
      <c r="H2873" s="21">
        <v>1087.3499999999999</v>
      </c>
      <c r="I2873">
        <v>10</v>
      </c>
      <c r="J2873" s="21">
        <v>217.47</v>
      </c>
      <c r="K2873">
        <v>12</v>
      </c>
      <c r="L2873" s="21">
        <v>234.87</v>
      </c>
      <c r="M2873" s="21">
        <v>2192.1</v>
      </c>
      <c r="N2873" s="21">
        <v>1441.06</v>
      </c>
      <c r="O2873" s="21">
        <v>516.16999999999996</v>
      </c>
      <c r="P2873" t="s">
        <v>123</v>
      </c>
      <c r="Q2873" t="s">
        <v>122</v>
      </c>
      <c r="R2873" t="s">
        <v>151</v>
      </c>
      <c r="S2873" t="s">
        <v>202</v>
      </c>
      <c r="T2873" t="s">
        <v>161</v>
      </c>
      <c r="U2873" t="s">
        <v>154</v>
      </c>
      <c r="V2873" t="str">
        <f>IFERROR(INDEX(Products!$C:$C,MATCH(D2873,Products!$A:$A,0)),"Unknown")</f>
        <v>Women Jeans</v>
      </c>
      <c r="W2873" t="str">
        <f>IFERROR(INDEX(Products!$E:$E,MATCH(D2873,Products!$A:$A,0)),"Unknown")</f>
        <v>Sonata</v>
      </c>
      <c r="X2873" t="str">
        <f>IFERROR(INDEX(Stores!$B:$B,MATCH(E2873,Stores!$A:$A,0)),"Unknown")</f>
        <v>TrendMart Kozhikode Standard</v>
      </c>
      <c r="Y2873" t="str">
        <f>IFERROR(INDEX(Stores!$E:$E,MATCH(E2873,Stores!$A:$A,0)),"Unknown")</f>
        <v>South Zone 1</v>
      </c>
      <c r="Z2873" t="str">
        <f>IFERROR(INDEX(Customers!$J:$J,MATCH(C2873,Customers!$A:$A,0)),"Unknown")</f>
        <v>Gold</v>
      </c>
      <c r="AA2873" t="str">
        <f t="shared" si="44"/>
        <v>2024-04</v>
      </c>
      <c r="AB2873" t="str">
        <f>IFERROR(INDEX(Products!$I:$I,MATCH(D2873,Products!$A:$A,0)),"Unknown")</f>
        <v>SUP017</v>
      </c>
    </row>
    <row r="2874" spans="1:28" x14ac:dyDescent="0.25">
      <c r="A2874" t="s">
        <v>4948</v>
      </c>
      <c r="B2874" s="20">
        <v>45710</v>
      </c>
      <c r="C2874" t="s">
        <v>645</v>
      </c>
      <c r="D2874" t="s">
        <v>466</v>
      </c>
      <c r="E2874" t="s">
        <v>429</v>
      </c>
      <c r="F2874" t="s">
        <v>335</v>
      </c>
      <c r="G2874">
        <v>1</v>
      </c>
      <c r="H2874" s="21">
        <v>840.78</v>
      </c>
      <c r="I2874">
        <v>10</v>
      </c>
      <c r="J2874" s="21">
        <v>84.08</v>
      </c>
      <c r="K2874">
        <v>5</v>
      </c>
      <c r="L2874" s="21">
        <v>37.840000000000003</v>
      </c>
      <c r="M2874" s="21">
        <v>794.54</v>
      </c>
      <c r="N2874" s="21">
        <v>571.09</v>
      </c>
      <c r="O2874" s="21">
        <v>185.61</v>
      </c>
      <c r="P2874" t="s">
        <v>123</v>
      </c>
      <c r="Q2874" t="s">
        <v>120</v>
      </c>
      <c r="R2874" t="s">
        <v>151</v>
      </c>
      <c r="S2874" t="s">
        <v>2414</v>
      </c>
      <c r="T2874" t="s">
        <v>161</v>
      </c>
      <c r="U2874" t="s">
        <v>154</v>
      </c>
      <c r="V2874" t="str">
        <f>IFERROR(INDEX(Products!$C:$C,MATCH(D2874,Products!$A:$A,0)),"Unknown")</f>
        <v>Women Kurtis</v>
      </c>
      <c r="W2874" t="str">
        <f>IFERROR(INDEX(Products!$E:$E,MATCH(D2874,Products!$A:$A,0)),"Unknown")</f>
        <v>Fabindia</v>
      </c>
      <c r="X2874" t="str">
        <f>IFERROR(INDEX(Stores!$B:$B,MATCH(E2874,Stores!$A:$A,0)),"Unknown")</f>
        <v>TrendMart Tirunelveli Flagship</v>
      </c>
      <c r="Y2874" t="str">
        <f>IFERROR(INDEX(Stores!$E:$E,MATCH(E2874,Stores!$A:$A,0)),"Unknown")</f>
        <v>South Zone 1</v>
      </c>
      <c r="Z2874" t="str">
        <f>IFERROR(INDEX(Customers!$J:$J,MATCH(C2874,Customers!$A:$A,0)),"Unknown")</f>
        <v>Regular</v>
      </c>
      <c r="AA2874" t="str">
        <f t="shared" si="44"/>
        <v>2025-02</v>
      </c>
      <c r="AB2874" t="str">
        <f>IFERROR(INDEX(Products!$I:$I,MATCH(D2874,Products!$A:$A,0)),"Unknown")</f>
        <v>SUP017</v>
      </c>
    </row>
    <row r="2875" spans="1:28" x14ac:dyDescent="0.25">
      <c r="A2875" t="s">
        <v>4949</v>
      </c>
      <c r="B2875" s="20">
        <v>45567</v>
      </c>
      <c r="C2875" t="s">
        <v>2855</v>
      </c>
      <c r="D2875" t="s">
        <v>225</v>
      </c>
      <c r="E2875" t="s">
        <v>630</v>
      </c>
      <c r="F2875" t="s">
        <v>377</v>
      </c>
      <c r="G2875">
        <v>2</v>
      </c>
      <c r="H2875" s="21">
        <v>1768.99</v>
      </c>
      <c r="I2875">
        <v>20</v>
      </c>
      <c r="J2875" s="21">
        <v>707.6</v>
      </c>
      <c r="K2875">
        <v>12</v>
      </c>
      <c r="L2875" s="21">
        <v>339.65</v>
      </c>
      <c r="M2875" s="21">
        <v>3170.03</v>
      </c>
      <c r="N2875" s="21">
        <v>2814.66</v>
      </c>
      <c r="O2875" s="21">
        <v>15.72</v>
      </c>
      <c r="P2875" t="s">
        <v>127</v>
      </c>
      <c r="Q2875" t="s">
        <v>120</v>
      </c>
      <c r="R2875" t="s">
        <v>151</v>
      </c>
      <c r="S2875" t="s">
        <v>705</v>
      </c>
      <c r="T2875" t="s">
        <v>153</v>
      </c>
      <c r="U2875" t="s">
        <v>154</v>
      </c>
      <c r="V2875" t="str">
        <f>IFERROR(INDEX(Products!$C:$C,MATCH(D2875,Products!$A:$A,0)),"Unknown")</f>
        <v>Women Dresses</v>
      </c>
      <c r="W2875" t="str">
        <f>IFERROR(INDEX(Products!$E:$E,MATCH(D2875,Products!$A:$A,0)),"Unknown")</f>
        <v>Tanishq</v>
      </c>
      <c r="X2875" t="str">
        <f>IFERROR(INDEX(Stores!$B:$B,MATCH(E2875,Stores!$A:$A,0)),"Unknown")</f>
        <v>TrendMart Guntur Standard</v>
      </c>
      <c r="Y2875" t="str">
        <f>IFERROR(INDEX(Stores!$E:$E,MATCH(E2875,Stores!$A:$A,0)),"Unknown")</f>
        <v>South Zone 3</v>
      </c>
      <c r="Z2875" t="str">
        <f>IFERROR(INDEX(Customers!$J:$J,MATCH(C2875,Customers!$A:$A,0)),"Unknown")</f>
        <v>Regular</v>
      </c>
      <c r="AA2875" t="str">
        <f t="shared" si="44"/>
        <v>2024-10</v>
      </c>
      <c r="AB2875" t="str">
        <f>IFERROR(INDEX(Products!$I:$I,MATCH(D2875,Products!$A:$A,0)),"Unknown")</f>
        <v>SUP063</v>
      </c>
    </row>
    <row r="2876" spans="1:28" x14ac:dyDescent="0.25">
      <c r="A2876" t="s">
        <v>4950</v>
      </c>
      <c r="B2876" s="20">
        <v>45415</v>
      </c>
      <c r="C2876" t="s">
        <v>1580</v>
      </c>
      <c r="D2876" t="s">
        <v>1931</v>
      </c>
      <c r="E2876" t="s">
        <v>490</v>
      </c>
      <c r="F2876" t="s">
        <v>159</v>
      </c>
      <c r="G2876">
        <v>1</v>
      </c>
      <c r="H2876" s="21">
        <v>952.76</v>
      </c>
      <c r="I2876">
        <v>10</v>
      </c>
      <c r="J2876" s="21">
        <v>95.28</v>
      </c>
      <c r="K2876">
        <v>5</v>
      </c>
      <c r="L2876" s="21">
        <v>42.87</v>
      </c>
      <c r="M2876" s="21">
        <v>900.35</v>
      </c>
      <c r="N2876" s="21">
        <v>670.17</v>
      </c>
      <c r="O2876" s="21">
        <v>187.31</v>
      </c>
      <c r="P2876" t="s">
        <v>121</v>
      </c>
      <c r="Q2876" t="s">
        <v>122</v>
      </c>
      <c r="R2876" t="s">
        <v>151</v>
      </c>
      <c r="S2876" t="s">
        <v>526</v>
      </c>
      <c r="T2876" t="s">
        <v>153</v>
      </c>
      <c r="U2876" t="s">
        <v>154</v>
      </c>
      <c r="V2876" t="str">
        <f>IFERROR(INDEX(Products!$C:$C,MATCH(D2876,Products!$A:$A,0)),"Unknown")</f>
        <v>Men Jeans</v>
      </c>
      <c r="W2876" t="str">
        <f>IFERROR(INDEX(Products!$E:$E,MATCH(D2876,Products!$A:$A,0)),"Unknown")</f>
        <v>Libas</v>
      </c>
      <c r="X2876" t="str">
        <f>IFERROR(INDEX(Stores!$B:$B,MATCH(E2876,Stores!$A:$A,0)),"Unknown")</f>
        <v>TrendMart Mangaluru Mall Kiosk</v>
      </c>
      <c r="Y2876" t="str">
        <f>IFERROR(INDEX(Stores!$E:$E,MATCH(E2876,Stores!$A:$A,0)),"Unknown")</f>
        <v>South Zone 2</v>
      </c>
      <c r="Z2876" t="str">
        <f>IFERROR(INDEX(Customers!$J:$J,MATCH(C2876,Customers!$A:$A,0)),"Unknown")</f>
        <v>Regular</v>
      </c>
      <c r="AA2876" t="str">
        <f t="shared" si="44"/>
        <v>2024-05</v>
      </c>
      <c r="AB2876" t="str">
        <f>IFERROR(INDEX(Products!$I:$I,MATCH(D2876,Products!$A:$A,0)),"Unknown")</f>
        <v>SUP018</v>
      </c>
    </row>
    <row r="2877" spans="1:28" x14ac:dyDescent="0.25">
      <c r="A2877" t="s">
        <v>4951</v>
      </c>
      <c r="B2877" s="20">
        <v>45639</v>
      </c>
      <c r="C2877" t="s">
        <v>3158</v>
      </c>
      <c r="D2877" t="s">
        <v>164</v>
      </c>
      <c r="E2877" t="s">
        <v>461</v>
      </c>
      <c r="F2877" t="s">
        <v>550</v>
      </c>
      <c r="G2877">
        <v>1</v>
      </c>
      <c r="H2877" s="21">
        <v>3656.77</v>
      </c>
      <c r="I2877">
        <v>20</v>
      </c>
      <c r="J2877" s="21">
        <v>731.35</v>
      </c>
      <c r="K2877">
        <v>12</v>
      </c>
      <c r="L2877" s="21">
        <v>351.05</v>
      </c>
      <c r="M2877" s="21">
        <v>3276.47</v>
      </c>
      <c r="N2877" s="21">
        <v>2633.56</v>
      </c>
      <c r="O2877" s="21">
        <v>291.86</v>
      </c>
      <c r="P2877" t="s">
        <v>124</v>
      </c>
      <c r="Q2877" t="s">
        <v>120</v>
      </c>
      <c r="R2877" t="s">
        <v>151</v>
      </c>
      <c r="S2877" t="s">
        <v>4472</v>
      </c>
      <c r="T2877" t="s">
        <v>153</v>
      </c>
      <c r="U2877" t="s">
        <v>154</v>
      </c>
      <c r="V2877" t="str">
        <f>IFERROR(INDEX(Products!$C:$C,MATCH(D2877,Products!$A:$A,0)),"Unknown")</f>
        <v>Women Sarees</v>
      </c>
      <c r="W2877" t="str">
        <f>IFERROR(INDEX(Products!$E:$E,MATCH(D2877,Products!$A:$A,0)),"Unknown")</f>
        <v>Westside</v>
      </c>
      <c r="X2877" t="str">
        <f>IFERROR(INDEX(Stores!$B:$B,MATCH(E2877,Stores!$A:$A,0)),"Unknown")</f>
        <v>TrendMart Visakhapatnam High Street</v>
      </c>
      <c r="Y2877" t="str">
        <f>IFERROR(INDEX(Stores!$E:$E,MATCH(E2877,Stores!$A:$A,0)),"Unknown")</f>
        <v>South Zone 3</v>
      </c>
      <c r="Z2877" t="str">
        <f>IFERROR(INDEX(Customers!$J:$J,MATCH(C2877,Customers!$A:$A,0)),"Unknown")</f>
        <v>Regular</v>
      </c>
      <c r="AA2877" t="str">
        <f t="shared" si="44"/>
        <v>2024-12</v>
      </c>
      <c r="AB2877" t="str">
        <f>IFERROR(INDEX(Products!$I:$I,MATCH(D2877,Products!$A:$A,0)),"Unknown")</f>
        <v>SUP069</v>
      </c>
    </row>
    <row r="2878" spans="1:28" x14ac:dyDescent="0.25">
      <c r="A2878" t="s">
        <v>4952</v>
      </c>
      <c r="B2878" s="20">
        <v>45401</v>
      </c>
      <c r="C2878" t="s">
        <v>1778</v>
      </c>
      <c r="D2878" t="s">
        <v>2853</v>
      </c>
      <c r="E2878" t="s">
        <v>515</v>
      </c>
      <c r="F2878" t="s">
        <v>532</v>
      </c>
      <c r="G2878">
        <v>1</v>
      </c>
      <c r="H2878" s="21">
        <v>1182.8599999999999</v>
      </c>
      <c r="I2878">
        <v>10</v>
      </c>
      <c r="J2878" s="21">
        <v>118.29</v>
      </c>
      <c r="K2878">
        <v>12</v>
      </c>
      <c r="L2878" s="21">
        <v>127.75</v>
      </c>
      <c r="M2878" s="21">
        <v>1192.32</v>
      </c>
      <c r="N2878" s="21">
        <v>798.46</v>
      </c>
      <c r="O2878" s="21">
        <v>266.11</v>
      </c>
      <c r="P2878" t="s">
        <v>123</v>
      </c>
      <c r="Q2878" t="s">
        <v>120</v>
      </c>
      <c r="R2878" t="s">
        <v>151</v>
      </c>
      <c r="S2878" t="s">
        <v>1743</v>
      </c>
      <c r="T2878" t="s">
        <v>153</v>
      </c>
      <c r="U2878" t="s">
        <v>154</v>
      </c>
      <c r="V2878" t="str">
        <f>IFERROR(INDEX(Products!$C:$C,MATCH(D2878,Products!$A:$A,0)),"Unknown")</f>
        <v>Men Trousers</v>
      </c>
      <c r="W2878" t="str">
        <f>IFERROR(INDEX(Products!$E:$E,MATCH(D2878,Products!$A:$A,0)),"Unknown")</f>
        <v>Arrow</v>
      </c>
      <c r="X2878" t="str">
        <f>IFERROR(INDEX(Stores!$B:$B,MATCH(E2878,Stores!$A:$A,0)),"Unknown")</f>
        <v>TrendMart Kochi High Street</v>
      </c>
      <c r="Y2878" t="str">
        <f>IFERROR(INDEX(Stores!$E:$E,MATCH(E2878,Stores!$A:$A,0)),"Unknown")</f>
        <v>South Zone 1</v>
      </c>
      <c r="Z2878" t="str">
        <f>IFERROR(INDEX(Customers!$J:$J,MATCH(C2878,Customers!$A:$A,0)),"Unknown")</f>
        <v>Regular</v>
      </c>
      <c r="AA2878" t="str">
        <f t="shared" si="44"/>
        <v>2024-04</v>
      </c>
      <c r="AB2878" t="str">
        <f>IFERROR(INDEX(Products!$I:$I,MATCH(D2878,Products!$A:$A,0)),"Unknown")</f>
        <v>SUP050</v>
      </c>
    </row>
    <row r="2879" spans="1:28" x14ac:dyDescent="0.25">
      <c r="A2879" t="s">
        <v>4953</v>
      </c>
      <c r="B2879" s="20">
        <v>45479</v>
      </c>
      <c r="C2879" t="s">
        <v>2910</v>
      </c>
      <c r="D2879" t="s">
        <v>1044</v>
      </c>
      <c r="E2879" t="s">
        <v>360</v>
      </c>
      <c r="F2879" t="s">
        <v>211</v>
      </c>
      <c r="G2879">
        <v>2</v>
      </c>
      <c r="H2879" s="21">
        <v>633.80999999999995</v>
      </c>
      <c r="I2879">
        <v>10</v>
      </c>
      <c r="J2879" s="21">
        <v>126.76</v>
      </c>
      <c r="K2879">
        <v>5</v>
      </c>
      <c r="L2879" s="21">
        <v>57.04</v>
      </c>
      <c r="M2879" s="21">
        <v>1197.9000000000001</v>
      </c>
      <c r="N2879" s="21">
        <v>670.3</v>
      </c>
      <c r="O2879" s="21">
        <v>470.56</v>
      </c>
      <c r="P2879" t="s">
        <v>123</v>
      </c>
      <c r="Q2879" t="s">
        <v>120</v>
      </c>
      <c r="R2879" t="s">
        <v>151</v>
      </c>
      <c r="S2879" t="s">
        <v>369</v>
      </c>
      <c r="T2879" t="s">
        <v>161</v>
      </c>
      <c r="U2879" t="s">
        <v>154</v>
      </c>
      <c r="V2879" t="str">
        <f>IFERROR(INDEX(Products!$C:$C,MATCH(D2879,Products!$A:$A,0)),"Unknown")</f>
        <v>Men T-Shirts</v>
      </c>
      <c r="W2879" t="str">
        <f>IFERROR(INDEX(Products!$E:$E,MATCH(D2879,Products!$A:$A,0)),"Unknown")</f>
        <v>Mufti</v>
      </c>
      <c r="X2879" t="str">
        <f>IFERROR(INDEX(Stores!$B:$B,MATCH(E2879,Stores!$A:$A,0)),"Unknown")</f>
        <v>TrendMart Kochi Standard</v>
      </c>
      <c r="Y2879" t="str">
        <f>IFERROR(INDEX(Stores!$E:$E,MATCH(E2879,Stores!$A:$A,0)),"Unknown")</f>
        <v>South Zone 1</v>
      </c>
      <c r="Z2879" t="str">
        <f>IFERROR(INDEX(Customers!$J:$J,MATCH(C2879,Customers!$A:$A,0)),"Unknown")</f>
        <v>Regular</v>
      </c>
      <c r="AA2879" t="str">
        <f t="shared" si="44"/>
        <v>2024-07</v>
      </c>
      <c r="AB2879" t="str">
        <f>IFERROR(INDEX(Products!$I:$I,MATCH(D2879,Products!$A:$A,0)),"Unknown")</f>
        <v>SUP042</v>
      </c>
    </row>
    <row r="2880" spans="1:28" x14ac:dyDescent="0.25">
      <c r="A2880" t="s">
        <v>4954</v>
      </c>
      <c r="B2880" s="20">
        <v>45708</v>
      </c>
      <c r="C2880" t="s">
        <v>922</v>
      </c>
      <c r="D2880" t="s">
        <v>612</v>
      </c>
      <c r="E2880" t="s">
        <v>355</v>
      </c>
      <c r="F2880" t="s">
        <v>275</v>
      </c>
      <c r="G2880">
        <v>4</v>
      </c>
      <c r="H2880" s="21">
        <v>621.33000000000004</v>
      </c>
      <c r="I2880">
        <v>30</v>
      </c>
      <c r="J2880" s="21">
        <v>745.6</v>
      </c>
      <c r="K2880">
        <v>5</v>
      </c>
      <c r="L2880" s="21">
        <v>86.99</v>
      </c>
      <c r="M2880" s="21">
        <v>1826.71</v>
      </c>
      <c r="N2880" s="21">
        <v>1476</v>
      </c>
      <c r="O2880" s="21">
        <v>263.72000000000003</v>
      </c>
      <c r="P2880" t="s">
        <v>121</v>
      </c>
      <c r="Q2880" t="s">
        <v>120</v>
      </c>
      <c r="R2880" t="s">
        <v>151</v>
      </c>
      <c r="S2880" t="s">
        <v>3912</v>
      </c>
      <c r="T2880" t="s">
        <v>153</v>
      </c>
      <c r="U2880" t="s">
        <v>154</v>
      </c>
      <c r="V2880" t="str">
        <f>IFERROR(INDEX(Products!$C:$C,MATCH(D2880,Products!$A:$A,0)),"Unknown")</f>
        <v>Men T-Shirts</v>
      </c>
      <c r="W2880" t="str">
        <f>IFERROR(INDEX(Products!$E:$E,MATCH(D2880,Products!$A:$A,0)),"Unknown")</f>
        <v>Killer Jeans</v>
      </c>
      <c r="X2880" t="str">
        <f>IFERROR(INDEX(Stores!$B:$B,MATCH(E2880,Stores!$A:$A,0)),"Unknown")</f>
        <v>TrendMart Thiruvananthapuram High Street</v>
      </c>
      <c r="Y2880" t="str">
        <f>IFERROR(INDEX(Stores!$E:$E,MATCH(E2880,Stores!$A:$A,0)),"Unknown")</f>
        <v>South Zone 1</v>
      </c>
      <c r="Z2880" t="str">
        <f>IFERROR(INDEX(Customers!$J:$J,MATCH(C2880,Customers!$A:$A,0)),"Unknown")</f>
        <v>Regular</v>
      </c>
      <c r="AA2880" t="str">
        <f t="shared" si="44"/>
        <v>2025-02</v>
      </c>
      <c r="AB2880" t="str">
        <f>IFERROR(INDEX(Products!$I:$I,MATCH(D2880,Products!$A:$A,0)),"Unknown")</f>
        <v>SUP056</v>
      </c>
    </row>
    <row r="2881" spans="1:28" x14ac:dyDescent="0.25">
      <c r="A2881" t="s">
        <v>4955</v>
      </c>
      <c r="B2881" s="20">
        <v>45413</v>
      </c>
      <c r="C2881" t="s">
        <v>4652</v>
      </c>
      <c r="D2881" t="s">
        <v>697</v>
      </c>
      <c r="E2881" t="s">
        <v>810</v>
      </c>
      <c r="F2881" t="s">
        <v>397</v>
      </c>
      <c r="G2881">
        <v>2</v>
      </c>
      <c r="H2881" s="21">
        <v>1075.57</v>
      </c>
      <c r="I2881">
        <v>0</v>
      </c>
      <c r="J2881" s="21">
        <v>0</v>
      </c>
      <c r="K2881">
        <v>12</v>
      </c>
      <c r="L2881" s="21">
        <v>258.14</v>
      </c>
      <c r="M2881" s="21">
        <v>2409.2800000000002</v>
      </c>
      <c r="N2881" s="21">
        <v>1399.68</v>
      </c>
      <c r="O2881" s="21">
        <v>751.46</v>
      </c>
      <c r="P2881" t="s">
        <v>123</v>
      </c>
      <c r="Q2881" t="s">
        <v>120</v>
      </c>
      <c r="R2881" t="s">
        <v>151</v>
      </c>
      <c r="S2881" t="s">
        <v>4094</v>
      </c>
      <c r="T2881" t="s">
        <v>153</v>
      </c>
      <c r="U2881" t="s">
        <v>154</v>
      </c>
      <c r="V2881" t="str">
        <f>IFERROR(INDEX(Products!$C:$C,MATCH(D2881,Products!$A:$A,0)),"Unknown")</f>
        <v>Women Tops</v>
      </c>
      <c r="W2881" t="str">
        <f>IFERROR(INDEX(Products!$E:$E,MATCH(D2881,Products!$A:$A,0)),"Unknown")</f>
        <v>Nalli Silks</v>
      </c>
      <c r="X2881" t="str">
        <f>IFERROR(INDEX(Stores!$B:$B,MATCH(E2881,Stores!$A:$A,0)),"Unknown")</f>
        <v>TrendMart Nizamabad Standard</v>
      </c>
      <c r="Y2881" t="str">
        <f>IFERROR(INDEX(Stores!$E:$E,MATCH(E2881,Stores!$A:$A,0)),"Unknown")</f>
        <v>South Zone 2</v>
      </c>
      <c r="Z2881" t="str">
        <f>IFERROR(INDEX(Customers!$J:$J,MATCH(C2881,Customers!$A:$A,0)),"Unknown")</f>
        <v>Regular</v>
      </c>
      <c r="AA2881" t="str">
        <f t="shared" si="44"/>
        <v>2024-05</v>
      </c>
      <c r="AB2881" t="str">
        <f>IFERROR(INDEX(Products!$I:$I,MATCH(D2881,Products!$A:$A,0)),"Unknown")</f>
        <v>SUP008</v>
      </c>
    </row>
    <row r="2882" spans="1:28" x14ac:dyDescent="0.25">
      <c r="A2882" t="s">
        <v>4956</v>
      </c>
      <c r="B2882" s="20">
        <v>45468</v>
      </c>
      <c r="C2882" t="s">
        <v>2497</v>
      </c>
      <c r="D2882" t="s">
        <v>494</v>
      </c>
      <c r="E2882" t="s">
        <v>798</v>
      </c>
      <c r="F2882" t="s">
        <v>232</v>
      </c>
      <c r="G2882">
        <v>1</v>
      </c>
      <c r="H2882" s="21">
        <v>1639.49</v>
      </c>
      <c r="I2882">
        <v>10</v>
      </c>
      <c r="J2882" s="21">
        <v>163.95</v>
      </c>
      <c r="K2882">
        <v>12</v>
      </c>
      <c r="L2882" s="21">
        <v>177.06</v>
      </c>
      <c r="M2882" s="21">
        <v>1652.6</v>
      </c>
      <c r="N2882" s="21">
        <v>1140.9000000000001</v>
      </c>
      <c r="O2882" s="21">
        <v>334.64</v>
      </c>
      <c r="P2882" t="s">
        <v>121</v>
      </c>
      <c r="Q2882" t="s">
        <v>120</v>
      </c>
      <c r="R2882" t="s">
        <v>151</v>
      </c>
      <c r="S2882" t="s">
        <v>4886</v>
      </c>
      <c r="T2882" t="s">
        <v>153</v>
      </c>
      <c r="U2882" t="s">
        <v>154</v>
      </c>
      <c r="V2882" t="str">
        <f>IFERROR(INDEX(Products!$C:$C,MATCH(D2882,Products!$A:$A,0)),"Unknown")</f>
        <v>Women Dresses</v>
      </c>
      <c r="W2882" t="str">
        <f>IFERROR(INDEX(Products!$E:$E,MATCH(D2882,Products!$A:$A,0)),"Unknown")</f>
        <v>Reebok</v>
      </c>
      <c r="X2882" t="str">
        <f>IFERROR(INDEX(Stores!$B:$B,MATCH(E2882,Stores!$A:$A,0)),"Unknown")</f>
        <v>TrendMart Guntur Standard</v>
      </c>
      <c r="Y2882" t="str">
        <f>IFERROR(INDEX(Stores!$E:$E,MATCH(E2882,Stores!$A:$A,0)),"Unknown")</f>
        <v>South Zone 3</v>
      </c>
      <c r="Z2882" t="str">
        <f>IFERROR(INDEX(Customers!$J:$J,MATCH(C2882,Customers!$A:$A,0)),"Unknown")</f>
        <v>Platinum</v>
      </c>
      <c r="AA2882" t="str">
        <f t="shared" ref="AA2882:AA2945" si="45">TEXT(B2882,"YYYY-MM")</f>
        <v>2024-06</v>
      </c>
      <c r="AB2882" t="str">
        <f>IFERROR(INDEX(Products!$I:$I,MATCH(D2882,Products!$A:$A,0)),"Unknown")</f>
        <v>SUP085</v>
      </c>
    </row>
    <row r="2883" spans="1:28" x14ac:dyDescent="0.25">
      <c r="A2883" t="s">
        <v>4957</v>
      </c>
      <c r="B2883" s="20">
        <v>45489</v>
      </c>
      <c r="C2883" t="s">
        <v>2733</v>
      </c>
      <c r="D2883" t="s">
        <v>1466</v>
      </c>
      <c r="E2883" t="s">
        <v>88</v>
      </c>
      <c r="F2883" t="s">
        <v>382</v>
      </c>
      <c r="G2883">
        <v>5</v>
      </c>
      <c r="H2883" s="21">
        <v>734.31</v>
      </c>
      <c r="I2883">
        <v>25</v>
      </c>
      <c r="J2883" s="21">
        <v>917.89</v>
      </c>
      <c r="K2883">
        <v>5</v>
      </c>
      <c r="L2883" s="21">
        <v>137.68</v>
      </c>
      <c r="M2883" s="21">
        <v>2891.34</v>
      </c>
      <c r="N2883" s="21">
        <v>2140.8000000000002</v>
      </c>
      <c r="O2883" s="21">
        <v>612.86</v>
      </c>
      <c r="P2883" t="s">
        <v>123</v>
      </c>
      <c r="Q2883" t="s">
        <v>122</v>
      </c>
      <c r="R2883" t="s">
        <v>151</v>
      </c>
      <c r="S2883" t="s">
        <v>3152</v>
      </c>
      <c r="T2883" t="s">
        <v>153</v>
      </c>
      <c r="U2883" t="s">
        <v>154</v>
      </c>
      <c r="V2883" t="str">
        <f>IFERROR(INDEX(Products!$C:$C,MATCH(D2883,Products!$A:$A,0)),"Unknown")</f>
        <v>Men T-Shirts</v>
      </c>
      <c r="W2883" t="str">
        <f>IFERROR(INDEX(Products!$E:$E,MATCH(D2883,Products!$A:$A,0)),"Unknown")</f>
        <v>Killer Jeans</v>
      </c>
      <c r="X2883" t="str">
        <f>IFERROR(INDEX(Stores!$B:$B,MATCH(E2883,Stores!$A:$A,0)),"Unknown")</f>
        <v>TrendMart Kozhikode Mall Kiosk</v>
      </c>
      <c r="Y2883" t="str">
        <f>IFERROR(INDEX(Stores!$E:$E,MATCH(E2883,Stores!$A:$A,0)),"Unknown")</f>
        <v>South Zone 1</v>
      </c>
      <c r="Z2883" t="str">
        <f>IFERROR(INDEX(Customers!$J:$J,MATCH(C2883,Customers!$A:$A,0)),"Unknown")</f>
        <v>Regular</v>
      </c>
      <c r="AA2883" t="str">
        <f t="shared" si="45"/>
        <v>2024-07</v>
      </c>
      <c r="AB2883" t="str">
        <f>IFERROR(INDEX(Products!$I:$I,MATCH(D2883,Products!$A:$A,0)),"Unknown")</f>
        <v>SUP069</v>
      </c>
    </row>
    <row r="2884" spans="1:28" x14ac:dyDescent="0.25">
      <c r="A2884" t="s">
        <v>4958</v>
      </c>
      <c r="B2884" s="20">
        <v>45495</v>
      </c>
      <c r="C2884" t="s">
        <v>2858</v>
      </c>
      <c r="D2884" t="s">
        <v>875</v>
      </c>
      <c r="E2884" t="s">
        <v>363</v>
      </c>
      <c r="F2884" t="s">
        <v>462</v>
      </c>
      <c r="G2884">
        <v>1</v>
      </c>
      <c r="H2884" s="21">
        <v>2818.33</v>
      </c>
      <c r="I2884">
        <v>5</v>
      </c>
      <c r="J2884" s="21">
        <v>140.91999999999999</v>
      </c>
      <c r="K2884">
        <v>12</v>
      </c>
      <c r="L2884" s="21">
        <v>321.29000000000002</v>
      </c>
      <c r="M2884" s="21">
        <v>2998.7</v>
      </c>
      <c r="N2884" s="21">
        <v>2204.96</v>
      </c>
      <c r="O2884" s="21">
        <v>472.45</v>
      </c>
      <c r="P2884" t="s">
        <v>124</v>
      </c>
      <c r="Q2884" t="s">
        <v>120</v>
      </c>
      <c r="R2884" t="s">
        <v>151</v>
      </c>
      <c r="S2884" t="s">
        <v>426</v>
      </c>
      <c r="T2884" t="s">
        <v>153</v>
      </c>
      <c r="U2884" t="s">
        <v>154</v>
      </c>
      <c r="V2884" t="str">
        <f>IFERROR(INDEX(Products!$C:$C,MATCH(D2884,Products!$A:$A,0)),"Unknown")</f>
        <v>Footwear</v>
      </c>
      <c r="W2884" t="str">
        <f>IFERROR(INDEX(Products!$E:$E,MATCH(D2884,Products!$A:$A,0)),"Unknown")</f>
        <v>Indian Terrain</v>
      </c>
      <c r="X2884" t="str">
        <f>IFERROR(INDEX(Stores!$B:$B,MATCH(E2884,Stores!$A:$A,0)),"Unknown")</f>
        <v>TrendMart Thiruvananthapuram High Street</v>
      </c>
      <c r="Y2884" t="str">
        <f>IFERROR(INDEX(Stores!$E:$E,MATCH(E2884,Stores!$A:$A,0)),"Unknown")</f>
        <v>South Zone 1</v>
      </c>
      <c r="Z2884" t="str">
        <f>IFERROR(INDEX(Customers!$J:$J,MATCH(C2884,Customers!$A:$A,0)),"Unknown")</f>
        <v>Regular</v>
      </c>
      <c r="AA2884" t="str">
        <f t="shared" si="45"/>
        <v>2024-07</v>
      </c>
      <c r="AB2884" t="str">
        <f>IFERROR(INDEX(Products!$I:$I,MATCH(D2884,Products!$A:$A,0)),"Unknown")</f>
        <v>SUP090</v>
      </c>
    </row>
    <row r="2885" spans="1:28" x14ac:dyDescent="0.25">
      <c r="A2885" t="s">
        <v>4959</v>
      </c>
      <c r="B2885" s="20">
        <v>45651</v>
      </c>
      <c r="C2885" t="s">
        <v>2322</v>
      </c>
      <c r="D2885" t="s">
        <v>1537</v>
      </c>
      <c r="E2885" t="s">
        <v>541</v>
      </c>
      <c r="F2885" t="s">
        <v>221</v>
      </c>
      <c r="G2885">
        <v>3</v>
      </c>
      <c r="H2885" s="21">
        <v>1167.52</v>
      </c>
      <c r="I2885">
        <v>30</v>
      </c>
      <c r="J2885" s="21">
        <v>1050.77</v>
      </c>
      <c r="K2885">
        <v>12</v>
      </c>
      <c r="L2885" s="21">
        <v>294.20999999999998</v>
      </c>
      <c r="M2885" s="21">
        <v>2746</v>
      </c>
      <c r="N2885" s="21">
        <v>2747.61</v>
      </c>
      <c r="O2885" s="21">
        <v>-295.82</v>
      </c>
      <c r="P2885" t="s">
        <v>125</v>
      </c>
      <c r="Q2885" t="s">
        <v>120</v>
      </c>
      <c r="R2885" t="s">
        <v>151</v>
      </c>
      <c r="S2885" t="s">
        <v>1344</v>
      </c>
      <c r="T2885" t="s">
        <v>153</v>
      </c>
      <c r="U2885" t="s">
        <v>184</v>
      </c>
      <c r="V2885" t="str">
        <f>IFERROR(INDEX(Products!$C:$C,MATCH(D2885,Products!$A:$A,0)),"Unknown")</f>
        <v>Men Jeans</v>
      </c>
      <c r="W2885" t="str">
        <f>IFERROR(INDEX(Products!$E:$E,MATCH(D2885,Products!$A:$A,0)),"Unknown")</f>
        <v>Fabindia</v>
      </c>
      <c r="X2885" t="str">
        <f>IFERROR(INDEX(Stores!$B:$B,MATCH(E2885,Stores!$A:$A,0)),"Unknown")</f>
        <v>TrendMart Kochi Standard</v>
      </c>
      <c r="Y2885" t="str">
        <f>IFERROR(INDEX(Stores!$E:$E,MATCH(E2885,Stores!$A:$A,0)),"Unknown")</f>
        <v>South Zone 1</v>
      </c>
      <c r="Z2885" t="str">
        <f>IFERROR(INDEX(Customers!$J:$J,MATCH(C2885,Customers!$A:$A,0)),"Unknown")</f>
        <v>Gold</v>
      </c>
      <c r="AA2885" t="str">
        <f t="shared" si="45"/>
        <v>2024-12</v>
      </c>
      <c r="AB2885" t="str">
        <f>IFERROR(INDEX(Products!$I:$I,MATCH(D2885,Products!$A:$A,0)),"Unknown")</f>
        <v>SUP044</v>
      </c>
    </row>
    <row r="2886" spans="1:28" x14ac:dyDescent="0.25">
      <c r="A2886" t="s">
        <v>4960</v>
      </c>
      <c r="B2886" s="20">
        <v>45398</v>
      </c>
      <c r="C2886" t="s">
        <v>981</v>
      </c>
      <c r="D2886" t="s">
        <v>1219</v>
      </c>
      <c r="E2886" t="s">
        <v>910</v>
      </c>
      <c r="F2886" t="s">
        <v>443</v>
      </c>
      <c r="G2886">
        <v>1</v>
      </c>
      <c r="H2886" s="21">
        <v>3052.12</v>
      </c>
      <c r="I2886">
        <v>0</v>
      </c>
      <c r="J2886" s="21">
        <v>0</v>
      </c>
      <c r="K2886">
        <v>12</v>
      </c>
      <c r="L2886" s="21">
        <v>366.25</v>
      </c>
      <c r="M2886" s="21">
        <v>3418.37</v>
      </c>
      <c r="N2886" s="21">
        <v>2039.7</v>
      </c>
      <c r="O2886" s="21">
        <v>1012.42</v>
      </c>
      <c r="P2886" t="s">
        <v>124</v>
      </c>
      <c r="Q2886" t="s">
        <v>122</v>
      </c>
      <c r="R2886" t="s">
        <v>151</v>
      </c>
      <c r="S2886" t="s">
        <v>2449</v>
      </c>
      <c r="T2886" t="s">
        <v>153</v>
      </c>
      <c r="U2886" t="s">
        <v>154</v>
      </c>
      <c r="V2886" t="str">
        <f>IFERROR(INDEX(Products!$C:$C,MATCH(D2886,Products!$A:$A,0)),"Unknown")</f>
        <v>Watches</v>
      </c>
      <c r="W2886" t="str">
        <f>IFERROR(INDEX(Products!$E:$E,MATCH(D2886,Products!$A:$A,0)),"Unknown")</f>
        <v>Fossil</v>
      </c>
      <c r="X2886" t="str">
        <f>IFERROR(INDEX(Stores!$B:$B,MATCH(E2886,Stores!$A:$A,0)),"Unknown")</f>
        <v>TrendMart Karimnagar Standard</v>
      </c>
      <c r="Y2886" t="str">
        <f>IFERROR(INDEX(Stores!$E:$E,MATCH(E2886,Stores!$A:$A,0)),"Unknown")</f>
        <v>South Zone 2</v>
      </c>
      <c r="Z2886" t="str">
        <f>IFERROR(INDEX(Customers!$J:$J,MATCH(C2886,Customers!$A:$A,0)),"Unknown")</f>
        <v>Regular</v>
      </c>
      <c r="AA2886" t="str">
        <f t="shared" si="45"/>
        <v>2024-04</v>
      </c>
      <c r="AB2886" t="str">
        <f>IFERROR(INDEX(Products!$I:$I,MATCH(D2886,Products!$A:$A,0)),"Unknown")</f>
        <v>SUP054</v>
      </c>
    </row>
    <row r="2887" spans="1:28" x14ac:dyDescent="0.25">
      <c r="A2887" t="s">
        <v>4961</v>
      </c>
      <c r="B2887" s="20">
        <v>45738</v>
      </c>
      <c r="C2887" t="s">
        <v>2036</v>
      </c>
      <c r="D2887" t="s">
        <v>3165</v>
      </c>
      <c r="E2887" t="s">
        <v>1426</v>
      </c>
      <c r="F2887" t="s">
        <v>258</v>
      </c>
      <c r="G2887">
        <v>1</v>
      </c>
      <c r="H2887" s="21">
        <v>1244.0899999999999</v>
      </c>
      <c r="I2887">
        <v>15</v>
      </c>
      <c r="J2887" s="21">
        <v>186.61</v>
      </c>
      <c r="K2887">
        <v>12</v>
      </c>
      <c r="L2887" s="21">
        <v>126.9</v>
      </c>
      <c r="M2887" s="21">
        <v>1184.3800000000001</v>
      </c>
      <c r="N2887" s="21">
        <v>871.26</v>
      </c>
      <c r="O2887" s="21">
        <v>186.22</v>
      </c>
      <c r="P2887" t="s">
        <v>124</v>
      </c>
      <c r="Q2887" t="s">
        <v>120</v>
      </c>
      <c r="R2887" t="s">
        <v>151</v>
      </c>
      <c r="S2887" t="s">
        <v>4815</v>
      </c>
      <c r="T2887" t="s">
        <v>161</v>
      </c>
      <c r="U2887" t="s">
        <v>154</v>
      </c>
      <c r="V2887" t="str">
        <f>IFERROR(INDEX(Products!$C:$C,MATCH(D2887,Products!$A:$A,0)),"Unknown")</f>
        <v>Men Trousers</v>
      </c>
      <c r="W2887" t="str">
        <f>IFERROR(INDEX(Products!$E:$E,MATCH(D2887,Products!$A:$A,0)),"Unknown")</f>
        <v>Wrangler</v>
      </c>
      <c r="X2887" t="str">
        <f>IFERROR(INDEX(Stores!$B:$B,MATCH(E2887,Stores!$A:$A,0)),"Unknown")</f>
        <v>TrendMart Alappuzha Mall Kiosk</v>
      </c>
      <c r="Y2887" t="str">
        <f>IFERROR(INDEX(Stores!$E:$E,MATCH(E2887,Stores!$A:$A,0)),"Unknown")</f>
        <v>South Zone 1</v>
      </c>
      <c r="Z2887" t="str">
        <f>IFERROR(INDEX(Customers!$J:$J,MATCH(C2887,Customers!$A:$A,0)),"Unknown")</f>
        <v>Silver</v>
      </c>
      <c r="AA2887" t="str">
        <f t="shared" si="45"/>
        <v>2025-03</v>
      </c>
      <c r="AB2887" t="str">
        <f>IFERROR(INDEX(Products!$I:$I,MATCH(D2887,Products!$A:$A,0)),"Unknown")</f>
        <v>SUP051</v>
      </c>
    </row>
    <row r="2888" spans="1:28" x14ac:dyDescent="0.25">
      <c r="A2888" t="s">
        <v>4962</v>
      </c>
      <c r="B2888" s="20">
        <v>45459</v>
      </c>
      <c r="C2888" t="s">
        <v>1481</v>
      </c>
      <c r="D2888" t="s">
        <v>466</v>
      </c>
      <c r="E2888" t="s">
        <v>206</v>
      </c>
      <c r="F2888" t="s">
        <v>344</v>
      </c>
      <c r="G2888">
        <v>2</v>
      </c>
      <c r="H2888" s="21">
        <v>834.08</v>
      </c>
      <c r="I2888">
        <v>5</v>
      </c>
      <c r="J2888" s="21">
        <v>83.41</v>
      </c>
      <c r="K2888">
        <v>5</v>
      </c>
      <c r="L2888" s="21">
        <v>79.239999999999995</v>
      </c>
      <c r="M2888" s="21">
        <v>1663.99</v>
      </c>
      <c r="N2888" s="21">
        <v>1142.18</v>
      </c>
      <c r="O2888" s="21">
        <v>442.57</v>
      </c>
      <c r="P2888" t="s">
        <v>123</v>
      </c>
      <c r="Q2888" t="s">
        <v>122</v>
      </c>
      <c r="R2888" t="s">
        <v>151</v>
      </c>
      <c r="S2888" t="s">
        <v>3148</v>
      </c>
      <c r="T2888" t="s">
        <v>161</v>
      </c>
      <c r="U2888" t="s">
        <v>154</v>
      </c>
      <c r="V2888" t="str">
        <f>IFERROR(INDEX(Products!$C:$C,MATCH(D2888,Products!$A:$A,0)),"Unknown")</f>
        <v>Women Kurtis</v>
      </c>
      <c r="W2888" t="str">
        <f>IFERROR(INDEX(Products!$E:$E,MATCH(D2888,Products!$A:$A,0)),"Unknown")</f>
        <v>Fabindia</v>
      </c>
      <c r="X2888" t="str">
        <f>IFERROR(INDEX(Stores!$B:$B,MATCH(E2888,Stores!$A:$A,0)),"Unknown")</f>
        <v>TrendMart Nizamabad Outlet</v>
      </c>
      <c r="Y2888" t="str">
        <f>IFERROR(INDEX(Stores!$E:$E,MATCH(E2888,Stores!$A:$A,0)),"Unknown")</f>
        <v>South Zone 2</v>
      </c>
      <c r="Z2888" t="str">
        <f>IFERROR(INDEX(Customers!$J:$J,MATCH(C2888,Customers!$A:$A,0)),"Unknown")</f>
        <v>Silver</v>
      </c>
      <c r="AA2888" t="str">
        <f t="shared" si="45"/>
        <v>2024-06</v>
      </c>
      <c r="AB2888" t="str">
        <f>IFERROR(INDEX(Products!$I:$I,MATCH(D2888,Products!$A:$A,0)),"Unknown")</f>
        <v>SUP017</v>
      </c>
    </row>
    <row r="2889" spans="1:28" x14ac:dyDescent="0.25">
      <c r="A2889" t="s">
        <v>4963</v>
      </c>
      <c r="B2889" s="20">
        <v>45573</v>
      </c>
      <c r="C2889" t="s">
        <v>1783</v>
      </c>
      <c r="D2889" t="s">
        <v>215</v>
      </c>
      <c r="E2889" t="s">
        <v>456</v>
      </c>
      <c r="F2889" t="s">
        <v>170</v>
      </c>
      <c r="G2889">
        <v>1</v>
      </c>
      <c r="H2889" s="21">
        <v>1020.83</v>
      </c>
      <c r="I2889">
        <v>30</v>
      </c>
      <c r="J2889" s="21">
        <v>306.25</v>
      </c>
      <c r="K2889">
        <v>12</v>
      </c>
      <c r="L2889" s="21">
        <v>85.75</v>
      </c>
      <c r="M2889" s="21">
        <v>800.33</v>
      </c>
      <c r="N2889" s="21">
        <v>828.44</v>
      </c>
      <c r="O2889" s="21">
        <v>-113.86</v>
      </c>
      <c r="P2889" t="s">
        <v>124</v>
      </c>
      <c r="Q2889" t="s">
        <v>120</v>
      </c>
      <c r="R2889" t="s">
        <v>151</v>
      </c>
      <c r="S2889" t="s">
        <v>3048</v>
      </c>
      <c r="T2889" t="s">
        <v>153</v>
      </c>
      <c r="U2889" t="s">
        <v>184</v>
      </c>
      <c r="V2889" t="str">
        <f>IFERROR(INDEX(Products!$C:$C,MATCH(D2889,Products!$A:$A,0)),"Unknown")</f>
        <v>Men Jeans</v>
      </c>
      <c r="W2889" t="str">
        <f>IFERROR(INDEX(Products!$E:$E,MATCH(D2889,Products!$A:$A,0)),"Unknown")</f>
        <v>Metro Shoes</v>
      </c>
      <c r="X2889" t="str">
        <f>IFERROR(INDEX(Stores!$B:$B,MATCH(E2889,Stores!$A:$A,0)),"Unknown")</f>
        <v>TrendMart Salem Outlet</v>
      </c>
      <c r="Y2889" t="str">
        <f>IFERROR(INDEX(Stores!$E:$E,MATCH(E2889,Stores!$A:$A,0)),"Unknown")</f>
        <v>South Zone 1</v>
      </c>
      <c r="Z2889" t="str">
        <f>IFERROR(INDEX(Customers!$J:$J,MATCH(C2889,Customers!$A:$A,0)),"Unknown")</f>
        <v>Regular</v>
      </c>
      <c r="AA2889" t="str">
        <f t="shared" si="45"/>
        <v>2024-10</v>
      </c>
      <c r="AB2889" t="str">
        <f>IFERROR(INDEX(Products!$I:$I,MATCH(D2889,Products!$A:$A,0)),"Unknown")</f>
        <v>SUP022</v>
      </c>
    </row>
    <row r="2890" spans="1:28" x14ac:dyDescent="0.25">
      <c r="A2890" t="s">
        <v>4964</v>
      </c>
      <c r="B2890" s="20">
        <v>45735</v>
      </c>
      <c r="C2890" t="s">
        <v>3073</v>
      </c>
      <c r="D2890" t="s">
        <v>381</v>
      </c>
      <c r="E2890" t="s">
        <v>216</v>
      </c>
      <c r="F2890" t="s">
        <v>308</v>
      </c>
      <c r="G2890">
        <v>2</v>
      </c>
      <c r="H2890" s="21">
        <v>796.09</v>
      </c>
      <c r="I2890">
        <v>10</v>
      </c>
      <c r="J2890" s="21">
        <v>159.22</v>
      </c>
      <c r="K2890">
        <v>5</v>
      </c>
      <c r="L2890" s="21">
        <v>71.650000000000006</v>
      </c>
      <c r="M2890" s="21">
        <v>1504.61</v>
      </c>
      <c r="N2890" s="21">
        <v>1027.68</v>
      </c>
      <c r="O2890" s="21">
        <v>405.28</v>
      </c>
      <c r="P2890" t="s">
        <v>125</v>
      </c>
      <c r="Q2890" t="s">
        <v>122</v>
      </c>
      <c r="R2890" t="s">
        <v>151</v>
      </c>
      <c r="S2890" t="s">
        <v>1411</v>
      </c>
      <c r="T2890" t="s">
        <v>153</v>
      </c>
      <c r="U2890" t="s">
        <v>154</v>
      </c>
      <c r="V2890" t="str">
        <f>IFERROR(INDEX(Products!$C:$C,MATCH(D2890,Products!$A:$A,0)),"Unknown")</f>
        <v>Wallets</v>
      </c>
      <c r="W2890" t="str">
        <f>IFERROR(INDEX(Products!$E:$E,MATCH(D2890,Products!$A:$A,0)),"Unknown")</f>
        <v>Tanishq</v>
      </c>
      <c r="X2890" t="str">
        <f>IFERROR(INDEX(Stores!$B:$B,MATCH(E2890,Stores!$A:$A,0)),"Unknown")</f>
        <v>TrendMart Madurai Mall Kiosk</v>
      </c>
      <c r="Y2890" t="str">
        <f>IFERROR(INDEX(Stores!$E:$E,MATCH(E2890,Stores!$A:$A,0)),"Unknown")</f>
        <v>South Zone 1</v>
      </c>
      <c r="Z2890" t="str">
        <f>IFERROR(INDEX(Customers!$J:$J,MATCH(C2890,Customers!$A:$A,0)),"Unknown")</f>
        <v>Regular</v>
      </c>
      <c r="AA2890" t="str">
        <f t="shared" si="45"/>
        <v>2025-03</v>
      </c>
      <c r="AB2890" t="str">
        <f>IFERROR(INDEX(Products!$I:$I,MATCH(D2890,Products!$A:$A,0)),"Unknown")</f>
        <v>SUP007</v>
      </c>
    </row>
    <row r="2891" spans="1:28" x14ac:dyDescent="0.25">
      <c r="A2891" t="s">
        <v>4965</v>
      </c>
      <c r="B2891" s="20">
        <v>45572</v>
      </c>
      <c r="C2891" t="s">
        <v>653</v>
      </c>
      <c r="D2891" t="s">
        <v>307</v>
      </c>
      <c r="E2891" t="s">
        <v>810</v>
      </c>
      <c r="F2891" t="s">
        <v>618</v>
      </c>
      <c r="G2891">
        <v>1</v>
      </c>
      <c r="H2891" s="21">
        <v>1109.31</v>
      </c>
      <c r="I2891">
        <v>30</v>
      </c>
      <c r="J2891" s="21">
        <v>332.79</v>
      </c>
      <c r="K2891">
        <v>12</v>
      </c>
      <c r="L2891" s="21">
        <v>93.18</v>
      </c>
      <c r="M2891" s="21">
        <v>869.7</v>
      </c>
      <c r="N2891" s="21">
        <v>755.06</v>
      </c>
      <c r="O2891" s="21">
        <v>21.46</v>
      </c>
      <c r="P2891" t="s">
        <v>121</v>
      </c>
      <c r="Q2891" t="s">
        <v>120</v>
      </c>
      <c r="R2891" t="s">
        <v>151</v>
      </c>
      <c r="S2891" t="s">
        <v>2144</v>
      </c>
      <c r="T2891" t="s">
        <v>153</v>
      </c>
      <c r="U2891" t="s">
        <v>154</v>
      </c>
      <c r="V2891" t="str">
        <f>IFERROR(INDEX(Products!$C:$C,MATCH(D2891,Products!$A:$A,0)),"Unknown")</f>
        <v>Winter Wear</v>
      </c>
      <c r="W2891" t="str">
        <f>IFERROR(INDEX(Products!$E:$E,MATCH(D2891,Products!$A:$A,0)),"Unknown")</f>
        <v>Fastrack</v>
      </c>
      <c r="X2891" t="str">
        <f>IFERROR(INDEX(Stores!$B:$B,MATCH(E2891,Stores!$A:$A,0)),"Unknown")</f>
        <v>TrendMart Nizamabad Standard</v>
      </c>
      <c r="Y2891" t="str">
        <f>IFERROR(INDEX(Stores!$E:$E,MATCH(E2891,Stores!$A:$A,0)),"Unknown")</f>
        <v>South Zone 2</v>
      </c>
      <c r="Z2891" t="str">
        <f>IFERROR(INDEX(Customers!$J:$J,MATCH(C2891,Customers!$A:$A,0)),"Unknown")</f>
        <v>Silver</v>
      </c>
      <c r="AA2891" t="str">
        <f t="shared" si="45"/>
        <v>2024-10</v>
      </c>
      <c r="AB2891" t="str">
        <f>IFERROR(INDEX(Products!$I:$I,MATCH(D2891,Products!$A:$A,0)),"Unknown")</f>
        <v>SUP008</v>
      </c>
    </row>
    <row r="2892" spans="1:28" x14ac:dyDescent="0.25">
      <c r="A2892" t="s">
        <v>4966</v>
      </c>
      <c r="B2892" s="20">
        <v>45713</v>
      </c>
      <c r="C2892" t="s">
        <v>3813</v>
      </c>
      <c r="D2892" t="s">
        <v>2959</v>
      </c>
      <c r="E2892" t="s">
        <v>721</v>
      </c>
      <c r="F2892" t="s">
        <v>182</v>
      </c>
      <c r="G2892">
        <v>1</v>
      </c>
      <c r="H2892" s="21">
        <v>458.17</v>
      </c>
      <c r="I2892">
        <v>0</v>
      </c>
      <c r="J2892" s="21">
        <v>0</v>
      </c>
      <c r="K2892">
        <v>5</v>
      </c>
      <c r="L2892" s="21">
        <v>22.91</v>
      </c>
      <c r="M2892" s="21">
        <v>481.08</v>
      </c>
      <c r="N2892" s="21">
        <v>367.86</v>
      </c>
      <c r="O2892" s="21">
        <v>90.31</v>
      </c>
      <c r="P2892" t="s">
        <v>124</v>
      </c>
      <c r="Q2892" t="s">
        <v>120</v>
      </c>
      <c r="R2892" t="s">
        <v>151</v>
      </c>
      <c r="S2892" t="s">
        <v>1424</v>
      </c>
      <c r="T2892" t="s">
        <v>153</v>
      </c>
      <c r="U2892" t="s">
        <v>154</v>
      </c>
      <c r="V2892" t="str">
        <f>IFERROR(INDEX(Products!$C:$C,MATCH(D2892,Products!$A:$A,0)),"Unknown")</f>
        <v>Wallets</v>
      </c>
      <c r="W2892" t="str">
        <f>IFERROR(INDEX(Products!$E:$E,MATCH(D2892,Products!$A:$A,0)),"Unknown")</f>
        <v>Biba</v>
      </c>
      <c r="X2892" t="str">
        <f>IFERROR(INDEX(Stores!$B:$B,MATCH(E2892,Stores!$A:$A,0)),"Unknown")</f>
        <v>TrendMart Kollam Flagship</v>
      </c>
      <c r="Y2892" t="str">
        <f>IFERROR(INDEX(Stores!$E:$E,MATCH(E2892,Stores!$A:$A,0)),"Unknown")</f>
        <v>South Zone 1</v>
      </c>
      <c r="Z2892" t="str">
        <f>IFERROR(INDEX(Customers!$J:$J,MATCH(C2892,Customers!$A:$A,0)),"Unknown")</f>
        <v>Regular</v>
      </c>
      <c r="AA2892" t="str">
        <f t="shared" si="45"/>
        <v>2025-02</v>
      </c>
      <c r="AB2892" t="str">
        <f>IFERROR(INDEX(Products!$I:$I,MATCH(D2892,Products!$A:$A,0)),"Unknown")</f>
        <v>SUP075</v>
      </c>
    </row>
    <row r="2893" spans="1:28" x14ac:dyDescent="0.25">
      <c r="A2893" t="s">
        <v>4967</v>
      </c>
      <c r="B2893" s="20">
        <v>45601</v>
      </c>
      <c r="C2893" t="s">
        <v>1315</v>
      </c>
      <c r="D2893" t="s">
        <v>1178</v>
      </c>
      <c r="E2893" t="s">
        <v>291</v>
      </c>
      <c r="F2893" t="s">
        <v>434</v>
      </c>
      <c r="G2893">
        <v>1</v>
      </c>
      <c r="H2893" s="21">
        <v>1703.79</v>
      </c>
      <c r="I2893">
        <v>5</v>
      </c>
      <c r="J2893" s="21">
        <v>85.19</v>
      </c>
      <c r="K2893">
        <v>12</v>
      </c>
      <c r="L2893" s="21">
        <v>194.23</v>
      </c>
      <c r="M2893" s="21">
        <v>1812.83</v>
      </c>
      <c r="N2893" s="21">
        <v>1145.21</v>
      </c>
      <c r="O2893" s="21">
        <v>473.39</v>
      </c>
      <c r="P2893" t="s">
        <v>123</v>
      </c>
      <c r="Q2893" t="s">
        <v>120</v>
      </c>
      <c r="R2893" t="s">
        <v>151</v>
      </c>
      <c r="S2893" t="s">
        <v>3206</v>
      </c>
      <c r="T2893" t="s">
        <v>153</v>
      </c>
      <c r="U2893" t="s">
        <v>154</v>
      </c>
      <c r="V2893" t="str">
        <f>IFERROR(INDEX(Products!$C:$C,MATCH(D2893,Products!$A:$A,0)),"Unknown")</f>
        <v>Footwear</v>
      </c>
      <c r="W2893" t="str">
        <f>IFERROR(INDEX(Products!$E:$E,MATCH(D2893,Products!$A:$A,0)),"Unknown")</f>
        <v>Sparx</v>
      </c>
      <c r="X2893" t="str">
        <f>IFERROR(INDEX(Stores!$B:$B,MATCH(E2893,Stores!$A:$A,0)),"Unknown")</f>
        <v>TrendMart Khammam Standard</v>
      </c>
      <c r="Y2893" t="str">
        <f>IFERROR(INDEX(Stores!$E:$E,MATCH(E2893,Stores!$A:$A,0)),"Unknown")</f>
        <v>South Zone 2</v>
      </c>
      <c r="Z2893" t="str">
        <f>IFERROR(INDEX(Customers!$J:$J,MATCH(C2893,Customers!$A:$A,0)),"Unknown")</f>
        <v>Platinum</v>
      </c>
      <c r="AA2893" t="str">
        <f t="shared" si="45"/>
        <v>2024-11</v>
      </c>
      <c r="AB2893" t="str">
        <f>IFERROR(INDEX(Products!$I:$I,MATCH(D2893,Products!$A:$A,0)),"Unknown")</f>
        <v>SUP063</v>
      </c>
    </row>
    <row r="2894" spans="1:28" x14ac:dyDescent="0.25">
      <c r="A2894" t="s">
        <v>4968</v>
      </c>
      <c r="B2894" s="20">
        <v>45651</v>
      </c>
      <c r="C2894" t="s">
        <v>2401</v>
      </c>
      <c r="D2894" t="s">
        <v>1972</v>
      </c>
      <c r="E2894" t="s">
        <v>231</v>
      </c>
      <c r="F2894" t="s">
        <v>165</v>
      </c>
      <c r="G2894">
        <v>1</v>
      </c>
      <c r="H2894" s="21">
        <v>999.03</v>
      </c>
      <c r="I2894">
        <v>10</v>
      </c>
      <c r="J2894" s="21">
        <v>99.9</v>
      </c>
      <c r="K2894">
        <v>5</v>
      </c>
      <c r="L2894" s="21">
        <v>44.96</v>
      </c>
      <c r="M2894" s="21">
        <v>944.09</v>
      </c>
      <c r="N2894" s="21">
        <v>722.4</v>
      </c>
      <c r="O2894" s="21">
        <v>176.73</v>
      </c>
      <c r="P2894" t="s">
        <v>124</v>
      </c>
      <c r="Q2894" t="s">
        <v>120</v>
      </c>
      <c r="R2894" t="s">
        <v>151</v>
      </c>
      <c r="S2894" t="s">
        <v>4301</v>
      </c>
      <c r="T2894" t="s">
        <v>153</v>
      </c>
      <c r="U2894" t="s">
        <v>154</v>
      </c>
      <c r="V2894" t="str">
        <f>IFERROR(INDEX(Products!$C:$C,MATCH(D2894,Products!$A:$A,0)),"Unknown")</f>
        <v>Women Jeans</v>
      </c>
      <c r="W2894" t="str">
        <f>IFERROR(INDEX(Products!$E:$E,MATCH(D2894,Products!$A:$A,0)),"Unknown")</f>
        <v>Spykar</v>
      </c>
      <c r="X2894" t="str">
        <f>IFERROR(INDEX(Stores!$B:$B,MATCH(E2894,Stores!$A:$A,0)),"Unknown")</f>
        <v>TrendMart Warangal Outlet</v>
      </c>
      <c r="Y2894" t="str">
        <f>IFERROR(INDEX(Stores!$E:$E,MATCH(E2894,Stores!$A:$A,0)),"Unknown")</f>
        <v>South Zone 2</v>
      </c>
      <c r="Z2894" t="str">
        <f>IFERROR(INDEX(Customers!$J:$J,MATCH(C2894,Customers!$A:$A,0)),"Unknown")</f>
        <v>Regular</v>
      </c>
      <c r="AA2894" t="str">
        <f t="shared" si="45"/>
        <v>2024-12</v>
      </c>
      <c r="AB2894" t="str">
        <f>IFERROR(INDEX(Products!$I:$I,MATCH(D2894,Products!$A:$A,0)),"Unknown")</f>
        <v>SUP087</v>
      </c>
    </row>
    <row r="2895" spans="1:28" x14ac:dyDescent="0.25">
      <c r="A2895" t="s">
        <v>4969</v>
      </c>
      <c r="B2895" s="20">
        <v>45549</v>
      </c>
      <c r="C2895" t="s">
        <v>2934</v>
      </c>
      <c r="D2895" t="s">
        <v>2553</v>
      </c>
      <c r="E2895" t="s">
        <v>368</v>
      </c>
      <c r="F2895" t="s">
        <v>170</v>
      </c>
      <c r="G2895">
        <v>3</v>
      </c>
      <c r="H2895" s="21">
        <v>4067.83</v>
      </c>
      <c r="I2895">
        <v>10</v>
      </c>
      <c r="J2895" s="21">
        <v>1220.3499999999999</v>
      </c>
      <c r="K2895">
        <v>12</v>
      </c>
      <c r="L2895" s="21">
        <v>1317.98</v>
      </c>
      <c r="M2895" s="21">
        <v>12301.12</v>
      </c>
      <c r="N2895" s="21">
        <v>7892.52</v>
      </c>
      <c r="O2895" s="21">
        <v>3090.62</v>
      </c>
      <c r="P2895" t="s">
        <v>121</v>
      </c>
      <c r="Q2895" t="s">
        <v>120</v>
      </c>
      <c r="R2895" t="s">
        <v>151</v>
      </c>
      <c r="S2895" t="s">
        <v>1174</v>
      </c>
      <c r="T2895" t="s">
        <v>161</v>
      </c>
      <c r="U2895" t="s">
        <v>154</v>
      </c>
      <c r="V2895" t="str">
        <f>IFERROR(INDEX(Products!$C:$C,MATCH(D2895,Products!$A:$A,0)),"Unknown")</f>
        <v>Watches</v>
      </c>
      <c r="W2895" t="str">
        <f>IFERROR(INDEX(Products!$E:$E,MATCH(D2895,Products!$A:$A,0)),"Unknown")</f>
        <v>Reebok</v>
      </c>
      <c r="X2895" t="str">
        <f>IFERROR(INDEX(Stores!$B:$B,MATCH(E2895,Stores!$A:$A,0)),"Unknown")</f>
        <v>TrendMart Alappuzha Outlet</v>
      </c>
      <c r="Y2895" t="str">
        <f>IFERROR(INDEX(Stores!$E:$E,MATCH(E2895,Stores!$A:$A,0)),"Unknown")</f>
        <v>South Zone 1</v>
      </c>
      <c r="Z2895" t="str">
        <f>IFERROR(INDEX(Customers!$J:$J,MATCH(C2895,Customers!$A:$A,0)),"Unknown")</f>
        <v>Gold</v>
      </c>
      <c r="AA2895" t="str">
        <f t="shared" si="45"/>
        <v>2024-09</v>
      </c>
      <c r="AB2895" t="str">
        <f>IFERROR(INDEX(Products!$I:$I,MATCH(D2895,Products!$A:$A,0)),"Unknown")</f>
        <v>SUP039</v>
      </c>
    </row>
    <row r="2896" spans="1:28" x14ac:dyDescent="0.25">
      <c r="A2896" t="s">
        <v>4970</v>
      </c>
      <c r="B2896" s="20">
        <v>45610</v>
      </c>
      <c r="C2896" t="s">
        <v>1199</v>
      </c>
      <c r="D2896" t="s">
        <v>769</v>
      </c>
      <c r="E2896" t="s">
        <v>231</v>
      </c>
      <c r="F2896" t="s">
        <v>382</v>
      </c>
      <c r="G2896">
        <v>2</v>
      </c>
      <c r="H2896" s="21">
        <v>1543.14</v>
      </c>
      <c r="I2896">
        <v>15</v>
      </c>
      <c r="J2896" s="21">
        <v>462.94</v>
      </c>
      <c r="K2896">
        <v>12</v>
      </c>
      <c r="L2896" s="21">
        <v>314.8</v>
      </c>
      <c r="M2896" s="21">
        <v>2938.14</v>
      </c>
      <c r="N2896" s="21">
        <v>2230.38</v>
      </c>
      <c r="O2896" s="21">
        <v>392.96</v>
      </c>
      <c r="P2896" t="s">
        <v>123</v>
      </c>
      <c r="Q2896" t="s">
        <v>122</v>
      </c>
      <c r="R2896" t="s">
        <v>151</v>
      </c>
      <c r="S2896" t="s">
        <v>1614</v>
      </c>
      <c r="T2896" t="s">
        <v>153</v>
      </c>
      <c r="U2896" t="s">
        <v>154</v>
      </c>
      <c r="V2896" t="str">
        <f>IFERROR(INDEX(Products!$C:$C,MATCH(D2896,Products!$A:$A,0)),"Unknown")</f>
        <v>Sportswear</v>
      </c>
      <c r="W2896" t="str">
        <f>IFERROR(INDEX(Products!$E:$E,MATCH(D2896,Products!$A:$A,0)),"Unknown")</f>
        <v>Allen Solly</v>
      </c>
      <c r="X2896" t="str">
        <f>IFERROR(INDEX(Stores!$B:$B,MATCH(E2896,Stores!$A:$A,0)),"Unknown")</f>
        <v>TrendMart Warangal Outlet</v>
      </c>
      <c r="Y2896" t="str">
        <f>IFERROR(INDEX(Stores!$E:$E,MATCH(E2896,Stores!$A:$A,0)),"Unknown")</f>
        <v>South Zone 2</v>
      </c>
      <c r="Z2896" t="str">
        <f>IFERROR(INDEX(Customers!$J:$J,MATCH(C2896,Customers!$A:$A,0)),"Unknown")</f>
        <v>Silver</v>
      </c>
      <c r="AA2896" t="str">
        <f t="shared" si="45"/>
        <v>2024-11</v>
      </c>
      <c r="AB2896" t="str">
        <f>IFERROR(INDEX(Products!$I:$I,MATCH(D2896,Products!$A:$A,0)),"Unknown")</f>
        <v>SUP029</v>
      </c>
    </row>
    <row r="2897" spans="1:28" x14ac:dyDescent="0.25">
      <c r="A2897" t="s">
        <v>4971</v>
      </c>
      <c r="B2897" s="20">
        <v>45418</v>
      </c>
      <c r="C2897" t="s">
        <v>3976</v>
      </c>
      <c r="D2897" t="s">
        <v>689</v>
      </c>
      <c r="E2897" t="s">
        <v>231</v>
      </c>
      <c r="F2897" t="s">
        <v>292</v>
      </c>
      <c r="G2897">
        <v>1</v>
      </c>
      <c r="H2897" s="21">
        <v>734.11</v>
      </c>
      <c r="I2897">
        <v>5</v>
      </c>
      <c r="J2897" s="21">
        <v>36.71</v>
      </c>
      <c r="K2897">
        <v>5</v>
      </c>
      <c r="L2897" s="21">
        <v>34.869999999999997</v>
      </c>
      <c r="M2897" s="21">
        <v>732.27</v>
      </c>
      <c r="N2897" s="21">
        <v>591.38</v>
      </c>
      <c r="O2897" s="21">
        <v>106.02</v>
      </c>
      <c r="P2897" t="s">
        <v>121</v>
      </c>
      <c r="Q2897" t="s">
        <v>122</v>
      </c>
      <c r="R2897" t="s">
        <v>151</v>
      </c>
      <c r="S2897" t="s">
        <v>388</v>
      </c>
      <c r="T2897" t="s">
        <v>153</v>
      </c>
      <c r="U2897" t="s">
        <v>154</v>
      </c>
      <c r="V2897" t="str">
        <f>IFERROR(INDEX(Products!$C:$C,MATCH(D2897,Products!$A:$A,0)),"Unknown")</f>
        <v>Kids Wear</v>
      </c>
      <c r="W2897" t="str">
        <f>IFERROR(INDEX(Products!$E:$E,MATCH(D2897,Products!$A:$A,0)),"Unknown")</f>
        <v>Libas</v>
      </c>
      <c r="X2897" t="str">
        <f>IFERROR(INDEX(Stores!$B:$B,MATCH(E2897,Stores!$A:$A,0)),"Unknown")</f>
        <v>TrendMart Warangal Outlet</v>
      </c>
      <c r="Y2897" t="str">
        <f>IFERROR(INDEX(Stores!$E:$E,MATCH(E2897,Stores!$A:$A,0)),"Unknown")</f>
        <v>South Zone 2</v>
      </c>
      <c r="Z2897" t="str">
        <f>IFERROR(INDEX(Customers!$J:$J,MATCH(C2897,Customers!$A:$A,0)),"Unknown")</f>
        <v>Regular</v>
      </c>
      <c r="AA2897" t="str">
        <f t="shared" si="45"/>
        <v>2024-05</v>
      </c>
      <c r="AB2897" t="str">
        <f>IFERROR(INDEX(Products!$I:$I,MATCH(D2897,Products!$A:$A,0)),"Unknown")</f>
        <v>SUP031</v>
      </c>
    </row>
    <row r="2898" spans="1:28" x14ac:dyDescent="0.25">
      <c r="A2898" t="s">
        <v>4972</v>
      </c>
      <c r="B2898" s="20">
        <v>45745</v>
      </c>
      <c r="C2898" t="s">
        <v>256</v>
      </c>
      <c r="D2898" t="s">
        <v>680</v>
      </c>
      <c r="E2898" t="s">
        <v>634</v>
      </c>
      <c r="F2898" t="s">
        <v>201</v>
      </c>
      <c r="G2898">
        <v>1</v>
      </c>
      <c r="H2898" s="21">
        <v>750.48</v>
      </c>
      <c r="I2898">
        <v>30</v>
      </c>
      <c r="J2898" s="21">
        <v>225.14</v>
      </c>
      <c r="K2898">
        <v>5</v>
      </c>
      <c r="L2898" s="21">
        <v>26.27</v>
      </c>
      <c r="M2898" s="21">
        <v>551.61</v>
      </c>
      <c r="N2898" s="21">
        <v>403.71</v>
      </c>
      <c r="O2898" s="21">
        <v>121.63</v>
      </c>
      <c r="P2898" t="s">
        <v>124</v>
      </c>
      <c r="Q2898" t="s">
        <v>120</v>
      </c>
      <c r="R2898" t="s">
        <v>151</v>
      </c>
      <c r="S2898" t="s">
        <v>1662</v>
      </c>
      <c r="T2898" t="s">
        <v>161</v>
      </c>
      <c r="U2898" t="s">
        <v>154</v>
      </c>
      <c r="V2898" t="str">
        <f>IFERROR(INDEX(Products!$C:$C,MATCH(D2898,Products!$A:$A,0)),"Unknown")</f>
        <v>Accessories</v>
      </c>
      <c r="W2898" t="str">
        <f>IFERROR(INDEX(Products!$E:$E,MATCH(D2898,Products!$A:$A,0)),"Unknown")</f>
        <v>Westside</v>
      </c>
      <c r="X2898" t="str">
        <f>IFERROR(INDEX(Stores!$B:$B,MATCH(E2898,Stores!$A:$A,0)),"Unknown")</f>
        <v>TrendMart Thrissur High Street</v>
      </c>
      <c r="Y2898" t="str">
        <f>IFERROR(INDEX(Stores!$E:$E,MATCH(E2898,Stores!$A:$A,0)),"Unknown")</f>
        <v>South Zone 1</v>
      </c>
      <c r="Z2898" t="str">
        <f>IFERROR(INDEX(Customers!$J:$J,MATCH(C2898,Customers!$A:$A,0)),"Unknown")</f>
        <v>Regular</v>
      </c>
      <c r="AA2898" t="str">
        <f t="shared" si="45"/>
        <v>2025-03</v>
      </c>
      <c r="AB2898" t="str">
        <f>IFERROR(INDEX(Products!$I:$I,MATCH(D2898,Products!$A:$A,0)),"Unknown")</f>
        <v>SUP064</v>
      </c>
    </row>
    <row r="2899" spans="1:28" x14ac:dyDescent="0.25">
      <c r="A2899" t="s">
        <v>4973</v>
      </c>
      <c r="B2899" s="20">
        <v>45584</v>
      </c>
      <c r="C2899" t="s">
        <v>3156</v>
      </c>
      <c r="D2899" t="s">
        <v>1903</v>
      </c>
      <c r="E2899" t="s">
        <v>1825</v>
      </c>
      <c r="F2899" t="s">
        <v>189</v>
      </c>
      <c r="G2899">
        <v>4</v>
      </c>
      <c r="H2899" s="21">
        <v>1050.97</v>
      </c>
      <c r="I2899">
        <v>0</v>
      </c>
      <c r="J2899" s="21">
        <v>0</v>
      </c>
      <c r="K2899">
        <v>12</v>
      </c>
      <c r="L2899" s="21">
        <v>504.47</v>
      </c>
      <c r="M2899" s="21">
        <v>4708.3500000000004</v>
      </c>
      <c r="N2899" s="21">
        <v>3044.28</v>
      </c>
      <c r="O2899" s="21">
        <v>1159.5999999999999</v>
      </c>
      <c r="P2899" t="s">
        <v>123</v>
      </c>
      <c r="Q2899" t="s">
        <v>120</v>
      </c>
      <c r="R2899" t="s">
        <v>151</v>
      </c>
      <c r="S2899" t="s">
        <v>655</v>
      </c>
      <c r="T2899" t="s">
        <v>161</v>
      </c>
      <c r="U2899" t="s">
        <v>154</v>
      </c>
      <c r="V2899" t="str">
        <f>IFERROR(INDEX(Products!$C:$C,MATCH(D2899,Products!$A:$A,0)),"Unknown")</f>
        <v>Belts</v>
      </c>
      <c r="W2899" t="str">
        <f>IFERROR(INDEX(Products!$E:$E,MATCH(D2899,Products!$A:$A,0)),"Unknown")</f>
        <v>US Polo Assn</v>
      </c>
      <c r="X2899" t="str">
        <f>IFERROR(INDEX(Stores!$B:$B,MATCH(E2899,Stores!$A:$A,0)),"Unknown")</f>
        <v>TrendMart Vijayawada Outlet</v>
      </c>
      <c r="Y2899" t="str">
        <f>IFERROR(INDEX(Stores!$E:$E,MATCH(E2899,Stores!$A:$A,0)),"Unknown")</f>
        <v>South Zone 3</v>
      </c>
      <c r="Z2899" t="str">
        <f>IFERROR(INDEX(Customers!$J:$J,MATCH(C2899,Customers!$A:$A,0)),"Unknown")</f>
        <v>Silver</v>
      </c>
      <c r="AA2899" t="str">
        <f t="shared" si="45"/>
        <v>2024-10</v>
      </c>
      <c r="AB2899" t="str">
        <f>IFERROR(INDEX(Products!$I:$I,MATCH(D2899,Products!$A:$A,0)),"Unknown")</f>
        <v>SUP029</v>
      </c>
    </row>
    <row r="2900" spans="1:28" x14ac:dyDescent="0.25">
      <c r="A2900" t="s">
        <v>4974</v>
      </c>
      <c r="B2900" s="20">
        <v>45611</v>
      </c>
      <c r="C2900" t="s">
        <v>3976</v>
      </c>
      <c r="D2900" t="s">
        <v>257</v>
      </c>
      <c r="E2900" t="s">
        <v>1023</v>
      </c>
      <c r="F2900" t="s">
        <v>182</v>
      </c>
      <c r="G2900">
        <v>1</v>
      </c>
      <c r="H2900" s="21">
        <v>989.2</v>
      </c>
      <c r="I2900">
        <v>25</v>
      </c>
      <c r="J2900" s="21">
        <v>247.3</v>
      </c>
      <c r="K2900">
        <v>5</v>
      </c>
      <c r="L2900" s="21">
        <v>37.090000000000003</v>
      </c>
      <c r="M2900" s="21">
        <v>778.99</v>
      </c>
      <c r="N2900" s="21">
        <v>721.22</v>
      </c>
      <c r="O2900" s="21">
        <v>20.68</v>
      </c>
      <c r="P2900" t="s">
        <v>123</v>
      </c>
      <c r="Q2900" t="s">
        <v>120</v>
      </c>
      <c r="R2900" t="s">
        <v>151</v>
      </c>
      <c r="S2900" t="s">
        <v>2717</v>
      </c>
      <c r="T2900" t="s">
        <v>153</v>
      </c>
      <c r="U2900" t="s">
        <v>154</v>
      </c>
      <c r="V2900" t="str">
        <f>IFERROR(INDEX(Products!$C:$C,MATCH(D2900,Products!$A:$A,0)),"Unknown")</f>
        <v>Men Shirts</v>
      </c>
      <c r="W2900" t="str">
        <f>IFERROR(INDEX(Products!$E:$E,MATCH(D2900,Products!$A:$A,0)),"Unknown")</f>
        <v>Indian Terrain</v>
      </c>
      <c r="X2900" t="str">
        <f>IFERROR(INDEX(Stores!$B:$B,MATCH(E2900,Stores!$A:$A,0)),"Unknown")</f>
        <v>TrendMart Kochi High Street</v>
      </c>
      <c r="Y2900" t="str">
        <f>IFERROR(INDEX(Stores!$E:$E,MATCH(E2900,Stores!$A:$A,0)),"Unknown")</f>
        <v>South Zone 1</v>
      </c>
      <c r="Z2900" t="str">
        <f>IFERROR(INDEX(Customers!$J:$J,MATCH(C2900,Customers!$A:$A,0)),"Unknown")</f>
        <v>Regular</v>
      </c>
      <c r="AA2900" t="str">
        <f t="shared" si="45"/>
        <v>2024-11</v>
      </c>
      <c r="AB2900" t="str">
        <f>IFERROR(INDEX(Products!$I:$I,MATCH(D2900,Products!$A:$A,0)),"Unknown")</f>
        <v>SUP080</v>
      </c>
    </row>
    <row r="2901" spans="1:28" x14ac:dyDescent="0.25">
      <c r="A2901" t="s">
        <v>4975</v>
      </c>
      <c r="B2901" s="20">
        <v>45711</v>
      </c>
      <c r="C2901" t="s">
        <v>1613</v>
      </c>
      <c r="D2901" t="s">
        <v>2064</v>
      </c>
      <c r="E2901" t="s">
        <v>521</v>
      </c>
      <c r="F2901" t="s">
        <v>237</v>
      </c>
      <c r="G2901">
        <v>1</v>
      </c>
      <c r="H2901" s="21">
        <v>1733.36</v>
      </c>
      <c r="I2901">
        <v>30</v>
      </c>
      <c r="J2901" s="21">
        <v>520.01</v>
      </c>
      <c r="K2901">
        <v>12</v>
      </c>
      <c r="L2901" s="21">
        <v>145.6</v>
      </c>
      <c r="M2901" s="21">
        <v>1358.95</v>
      </c>
      <c r="N2901" s="21">
        <v>1183.4100000000001</v>
      </c>
      <c r="O2901" s="21">
        <v>29.94</v>
      </c>
      <c r="P2901" t="s">
        <v>121</v>
      </c>
      <c r="Q2901" t="s">
        <v>122</v>
      </c>
      <c r="R2901" t="s">
        <v>151</v>
      </c>
      <c r="S2901" t="s">
        <v>1728</v>
      </c>
      <c r="T2901" t="s">
        <v>161</v>
      </c>
      <c r="U2901" t="s">
        <v>154</v>
      </c>
      <c r="V2901" t="str">
        <f>IFERROR(INDEX(Products!$C:$C,MATCH(D2901,Products!$A:$A,0)),"Unknown")</f>
        <v>Watches</v>
      </c>
      <c r="W2901" t="str">
        <f>IFERROR(INDEX(Products!$E:$E,MATCH(D2901,Products!$A:$A,0)),"Unknown")</f>
        <v>Nalli Silks</v>
      </c>
      <c r="X2901" t="str">
        <f>IFERROR(INDEX(Stores!$B:$B,MATCH(E2901,Stores!$A:$A,0)),"Unknown")</f>
        <v>TrendMart Tirupati Standard</v>
      </c>
      <c r="Y2901" t="str">
        <f>IFERROR(INDEX(Stores!$E:$E,MATCH(E2901,Stores!$A:$A,0)),"Unknown")</f>
        <v>South Zone 3</v>
      </c>
      <c r="Z2901" t="str">
        <f>IFERROR(INDEX(Customers!$J:$J,MATCH(C2901,Customers!$A:$A,0)),"Unknown")</f>
        <v>Regular</v>
      </c>
      <c r="AA2901" t="str">
        <f t="shared" si="45"/>
        <v>2025-02</v>
      </c>
      <c r="AB2901" t="str">
        <f>IFERROR(INDEX(Products!$I:$I,MATCH(D2901,Products!$A:$A,0)),"Unknown")</f>
        <v>SUP020</v>
      </c>
    </row>
    <row r="2902" spans="1:28" x14ac:dyDescent="0.25">
      <c r="A2902" t="s">
        <v>4976</v>
      </c>
      <c r="B2902" s="20">
        <v>45712</v>
      </c>
      <c r="C2902" t="s">
        <v>1418</v>
      </c>
      <c r="D2902" t="s">
        <v>937</v>
      </c>
      <c r="E2902" t="s">
        <v>999</v>
      </c>
      <c r="F2902" t="s">
        <v>170</v>
      </c>
      <c r="G2902">
        <v>1</v>
      </c>
      <c r="H2902" s="21">
        <v>1191.52</v>
      </c>
      <c r="I2902">
        <v>10</v>
      </c>
      <c r="J2902" s="21">
        <v>119.15</v>
      </c>
      <c r="K2902">
        <v>12</v>
      </c>
      <c r="L2902" s="21">
        <v>128.68</v>
      </c>
      <c r="M2902" s="21">
        <v>1201.05</v>
      </c>
      <c r="N2902" s="21">
        <v>861.8</v>
      </c>
      <c r="O2902" s="21">
        <v>210.57</v>
      </c>
      <c r="P2902" t="s">
        <v>125</v>
      </c>
      <c r="Q2902" t="s">
        <v>120</v>
      </c>
      <c r="R2902" t="s">
        <v>151</v>
      </c>
      <c r="S2902" t="s">
        <v>1125</v>
      </c>
      <c r="T2902" t="s">
        <v>153</v>
      </c>
      <c r="U2902" t="s">
        <v>154</v>
      </c>
      <c r="V2902" t="str">
        <f>IFERROR(INDEX(Products!$C:$C,MATCH(D2902,Products!$A:$A,0)),"Unknown")</f>
        <v>Men Shirts</v>
      </c>
      <c r="W2902" t="str">
        <f>IFERROR(INDEX(Products!$E:$E,MATCH(D2902,Products!$A:$A,0)),"Unknown")</f>
        <v>Skechers</v>
      </c>
      <c r="X2902" t="str">
        <f>IFERROR(INDEX(Stores!$B:$B,MATCH(E2902,Stores!$A:$A,0)),"Unknown")</f>
        <v>TrendMart Tumakuru Standard</v>
      </c>
      <c r="Y2902" t="str">
        <f>IFERROR(INDEX(Stores!$E:$E,MATCH(E2902,Stores!$A:$A,0)),"Unknown")</f>
        <v>South Zone 2</v>
      </c>
      <c r="Z2902" t="str">
        <f>IFERROR(INDEX(Customers!$J:$J,MATCH(C2902,Customers!$A:$A,0)),"Unknown")</f>
        <v>Regular</v>
      </c>
      <c r="AA2902" t="str">
        <f t="shared" si="45"/>
        <v>2025-02</v>
      </c>
      <c r="AB2902" t="str">
        <f>IFERROR(INDEX(Products!$I:$I,MATCH(D2902,Products!$A:$A,0)),"Unknown")</f>
        <v>SUP042</v>
      </c>
    </row>
    <row r="2903" spans="1:28" x14ac:dyDescent="0.25">
      <c r="A2903" t="s">
        <v>4977</v>
      </c>
      <c r="B2903" s="20">
        <v>45641</v>
      </c>
      <c r="C2903" t="s">
        <v>2945</v>
      </c>
      <c r="D2903" t="s">
        <v>1668</v>
      </c>
      <c r="E2903" t="s">
        <v>99</v>
      </c>
      <c r="F2903" t="s">
        <v>189</v>
      </c>
      <c r="G2903">
        <v>0</v>
      </c>
      <c r="H2903" s="21">
        <v>1512.07</v>
      </c>
      <c r="I2903">
        <v>30</v>
      </c>
      <c r="J2903" s="21">
        <v>0</v>
      </c>
      <c r="K2903">
        <v>12</v>
      </c>
      <c r="L2903" s="21">
        <v>0</v>
      </c>
      <c r="M2903" s="21">
        <v>0</v>
      </c>
      <c r="N2903" s="21">
        <v>0</v>
      </c>
      <c r="O2903" s="21">
        <v>0</v>
      </c>
      <c r="P2903" t="s">
        <v>121</v>
      </c>
      <c r="Q2903" t="s">
        <v>120</v>
      </c>
      <c r="R2903" t="s">
        <v>482</v>
      </c>
      <c r="S2903" t="s">
        <v>1205</v>
      </c>
      <c r="T2903" t="s">
        <v>161</v>
      </c>
      <c r="U2903" t="s">
        <v>154</v>
      </c>
      <c r="V2903" t="str">
        <f>IFERROR(INDEX(Products!$C:$C,MATCH(D2903,Products!$A:$A,0)),"Unknown")</f>
        <v>Women Kurtis</v>
      </c>
      <c r="W2903" t="str">
        <f>IFERROR(INDEX(Products!$E:$E,MATCH(D2903,Products!$A:$A,0)),"Unknown")</f>
        <v>Liberty</v>
      </c>
      <c r="X2903" t="str">
        <f>IFERROR(INDEX(Stores!$B:$B,MATCH(E2903,Stores!$A:$A,0)),"Unknown")</f>
        <v>TrendMart Hubballi Standard</v>
      </c>
      <c r="Y2903" t="str">
        <f>IFERROR(INDEX(Stores!$E:$E,MATCH(E2903,Stores!$A:$A,0)),"Unknown")</f>
        <v>South Zone 2</v>
      </c>
      <c r="Z2903" t="str">
        <f>IFERROR(INDEX(Customers!$J:$J,MATCH(C2903,Customers!$A:$A,0)),"Unknown")</f>
        <v>Silver</v>
      </c>
      <c r="AA2903" t="str">
        <f t="shared" si="45"/>
        <v>2024-12</v>
      </c>
      <c r="AB2903" t="str">
        <f>IFERROR(INDEX(Products!$I:$I,MATCH(D2903,Products!$A:$A,0)),"Unknown")</f>
        <v>SUP022</v>
      </c>
    </row>
    <row r="2904" spans="1:28" x14ac:dyDescent="0.25">
      <c r="A2904" t="s">
        <v>4978</v>
      </c>
      <c r="B2904" s="20">
        <v>45632</v>
      </c>
      <c r="C2904" t="s">
        <v>488</v>
      </c>
      <c r="D2904" t="s">
        <v>531</v>
      </c>
      <c r="E2904" t="s">
        <v>226</v>
      </c>
      <c r="F2904" t="s">
        <v>165</v>
      </c>
      <c r="G2904">
        <v>2</v>
      </c>
      <c r="H2904" s="21">
        <v>3156.96</v>
      </c>
      <c r="I2904">
        <v>15</v>
      </c>
      <c r="J2904" s="21">
        <v>947.09</v>
      </c>
      <c r="K2904">
        <v>12</v>
      </c>
      <c r="L2904" s="21">
        <v>644.02</v>
      </c>
      <c r="M2904" s="21">
        <v>6010.85</v>
      </c>
      <c r="N2904" s="21">
        <v>4068.02</v>
      </c>
      <c r="O2904" s="21">
        <v>1298.81</v>
      </c>
      <c r="P2904" t="s">
        <v>124</v>
      </c>
      <c r="Q2904" t="s">
        <v>120</v>
      </c>
      <c r="R2904" t="s">
        <v>151</v>
      </c>
      <c r="S2904" t="s">
        <v>3074</v>
      </c>
      <c r="T2904" t="s">
        <v>153</v>
      </c>
      <c r="U2904" t="s">
        <v>154</v>
      </c>
      <c r="V2904" t="str">
        <f>IFERROR(INDEX(Products!$C:$C,MATCH(D2904,Products!$A:$A,0)),"Unknown")</f>
        <v>Handbags</v>
      </c>
      <c r="W2904" t="str">
        <f>IFERROR(INDEX(Products!$E:$E,MATCH(D2904,Products!$A:$A,0)),"Unknown")</f>
        <v>GRT Jewellers</v>
      </c>
      <c r="X2904" t="str">
        <f>IFERROR(INDEX(Stores!$B:$B,MATCH(E2904,Stores!$A:$A,0)),"Unknown")</f>
        <v>TrendMart Kurnool Standard</v>
      </c>
      <c r="Y2904" t="str">
        <f>IFERROR(INDEX(Stores!$E:$E,MATCH(E2904,Stores!$A:$A,0)),"Unknown")</f>
        <v>South Zone 3</v>
      </c>
      <c r="Z2904" t="str">
        <f>IFERROR(INDEX(Customers!$J:$J,MATCH(C2904,Customers!$A:$A,0)),"Unknown")</f>
        <v>Gold</v>
      </c>
      <c r="AA2904" t="str">
        <f t="shared" si="45"/>
        <v>2024-12</v>
      </c>
      <c r="AB2904" t="str">
        <f>IFERROR(INDEX(Products!$I:$I,MATCH(D2904,Products!$A:$A,0)),"Unknown")</f>
        <v>SUP047</v>
      </c>
    </row>
    <row r="2905" spans="1:28" x14ac:dyDescent="0.25">
      <c r="A2905" t="s">
        <v>4979</v>
      </c>
      <c r="B2905" s="20">
        <v>45388</v>
      </c>
      <c r="C2905" t="s">
        <v>878</v>
      </c>
      <c r="D2905" t="s">
        <v>1278</v>
      </c>
      <c r="E2905" t="s">
        <v>262</v>
      </c>
      <c r="F2905" t="s">
        <v>532</v>
      </c>
      <c r="G2905">
        <v>3</v>
      </c>
      <c r="H2905" s="21">
        <v>4885.8999999999996</v>
      </c>
      <c r="I2905">
        <v>25</v>
      </c>
      <c r="J2905" s="21">
        <v>3664.43</v>
      </c>
      <c r="K2905">
        <v>12</v>
      </c>
      <c r="L2905" s="21">
        <v>1319.19</v>
      </c>
      <c r="M2905" s="21">
        <v>12312.46</v>
      </c>
      <c r="N2905" s="21">
        <v>11552.91</v>
      </c>
      <c r="O2905" s="21">
        <v>-559.64</v>
      </c>
      <c r="P2905" t="s">
        <v>123</v>
      </c>
      <c r="Q2905" t="s">
        <v>120</v>
      </c>
      <c r="R2905" t="s">
        <v>151</v>
      </c>
      <c r="S2905" t="s">
        <v>2369</v>
      </c>
      <c r="T2905" t="s">
        <v>161</v>
      </c>
      <c r="U2905" t="s">
        <v>184</v>
      </c>
      <c r="V2905" t="str">
        <f>IFERROR(INDEX(Products!$C:$C,MATCH(D2905,Products!$A:$A,0)),"Unknown")</f>
        <v>Watches</v>
      </c>
      <c r="W2905" t="str">
        <f>IFERROR(INDEX(Products!$E:$E,MATCH(D2905,Products!$A:$A,0)),"Unknown")</f>
        <v>Aurelia</v>
      </c>
      <c r="X2905" t="str">
        <f>IFERROR(INDEX(Stores!$B:$B,MATCH(E2905,Stores!$A:$A,0)),"Unknown")</f>
        <v>TrendMart Thoothukudi Outlet</v>
      </c>
      <c r="Y2905" t="str">
        <f>IFERROR(INDEX(Stores!$E:$E,MATCH(E2905,Stores!$A:$A,0)),"Unknown")</f>
        <v>South Zone 1</v>
      </c>
      <c r="Z2905" t="str">
        <f>IFERROR(INDEX(Customers!$J:$J,MATCH(C2905,Customers!$A:$A,0)),"Unknown")</f>
        <v>Silver</v>
      </c>
      <c r="AA2905" t="str">
        <f t="shared" si="45"/>
        <v>2024-04</v>
      </c>
      <c r="AB2905" t="str">
        <f>IFERROR(INDEX(Products!$I:$I,MATCH(D2905,Products!$A:$A,0)),"Unknown")</f>
        <v>SUP079</v>
      </c>
    </row>
    <row r="2906" spans="1:28" x14ac:dyDescent="0.25">
      <c r="A2906" t="s">
        <v>4980</v>
      </c>
      <c r="B2906" s="20">
        <v>45612</v>
      </c>
      <c r="C2906" t="s">
        <v>2542</v>
      </c>
      <c r="D2906" t="s">
        <v>756</v>
      </c>
      <c r="E2906" t="s">
        <v>495</v>
      </c>
      <c r="F2906" t="s">
        <v>195</v>
      </c>
      <c r="G2906">
        <v>3</v>
      </c>
      <c r="H2906" s="21">
        <v>811.61</v>
      </c>
      <c r="I2906">
        <v>20</v>
      </c>
      <c r="J2906" s="21">
        <v>486.97</v>
      </c>
      <c r="K2906">
        <v>5</v>
      </c>
      <c r="L2906" s="21">
        <v>97.39</v>
      </c>
      <c r="M2906" s="21">
        <v>2045.25</v>
      </c>
      <c r="N2906" s="21">
        <v>1567.14</v>
      </c>
      <c r="O2906" s="21">
        <v>380.72</v>
      </c>
      <c r="P2906" t="s">
        <v>124</v>
      </c>
      <c r="Q2906" t="s">
        <v>122</v>
      </c>
      <c r="R2906" t="s">
        <v>151</v>
      </c>
      <c r="S2906" t="s">
        <v>4361</v>
      </c>
      <c r="T2906" t="s">
        <v>161</v>
      </c>
      <c r="U2906" t="s">
        <v>154</v>
      </c>
      <c r="V2906" t="str">
        <f>IFERROR(INDEX(Products!$C:$C,MATCH(D2906,Products!$A:$A,0)),"Unknown")</f>
        <v>Women Tops</v>
      </c>
      <c r="W2906" t="str">
        <f>IFERROR(INDEX(Products!$E:$E,MATCH(D2906,Products!$A:$A,0)),"Unknown")</f>
        <v>Peter England</v>
      </c>
      <c r="X2906" t="str">
        <f>IFERROR(INDEX(Stores!$B:$B,MATCH(E2906,Stores!$A:$A,0)),"Unknown")</f>
        <v>TrendMart Visakhapatnam Flagship</v>
      </c>
      <c r="Y2906" t="str">
        <f>IFERROR(INDEX(Stores!$E:$E,MATCH(E2906,Stores!$A:$A,0)),"Unknown")</f>
        <v>South Zone 3</v>
      </c>
      <c r="Z2906" t="str">
        <f>IFERROR(INDEX(Customers!$J:$J,MATCH(C2906,Customers!$A:$A,0)),"Unknown")</f>
        <v>Silver</v>
      </c>
      <c r="AA2906" t="str">
        <f t="shared" si="45"/>
        <v>2024-11</v>
      </c>
      <c r="AB2906" t="str">
        <f>IFERROR(INDEX(Products!$I:$I,MATCH(D2906,Products!$A:$A,0)),"Unknown")</f>
        <v>SUP018</v>
      </c>
    </row>
    <row r="2907" spans="1:28" x14ac:dyDescent="0.25">
      <c r="A2907" t="s">
        <v>4981</v>
      </c>
      <c r="B2907" s="20">
        <v>45528</v>
      </c>
      <c r="C2907" t="s">
        <v>454</v>
      </c>
      <c r="D2907" t="s">
        <v>524</v>
      </c>
      <c r="E2907" t="s">
        <v>334</v>
      </c>
      <c r="F2907" t="s">
        <v>281</v>
      </c>
      <c r="G2907">
        <v>2</v>
      </c>
      <c r="H2907" s="21">
        <v>781.89</v>
      </c>
      <c r="I2907">
        <v>10</v>
      </c>
      <c r="J2907" s="21">
        <v>156.38</v>
      </c>
      <c r="K2907">
        <v>5</v>
      </c>
      <c r="L2907" s="21">
        <v>70.37</v>
      </c>
      <c r="M2907" s="21">
        <v>1477.77</v>
      </c>
      <c r="N2907" s="21">
        <v>1095.3399999999999</v>
      </c>
      <c r="O2907" s="21">
        <v>312.06</v>
      </c>
      <c r="P2907" t="s">
        <v>121</v>
      </c>
      <c r="Q2907" t="s">
        <v>120</v>
      </c>
      <c r="R2907" t="s">
        <v>151</v>
      </c>
      <c r="S2907" t="s">
        <v>1387</v>
      </c>
      <c r="T2907" t="s">
        <v>161</v>
      </c>
      <c r="U2907" t="s">
        <v>154</v>
      </c>
      <c r="V2907" t="str">
        <f>IFERROR(INDEX(Products!$C:$C,MATCH(D2907,Products!$A:$A,0)),"Unknown")</f>
        <v>Women Tops</v>
      </c>
      <c r="W2907" t="str">
        <f>IFERROR(INDEX(Products!$E:$E,MATCH(D2907,Products!$A:$A,0)),"Unknown")</f>
        <v>Indian Terrain</v>
      </c>
      <c r="X2907" t="str">
        <f>IFERROR(INDEX(Stores!$B:$B,MATCH(E2907,Stores!$A:$A,0)),"Unknown")</f>
        <v>TrendMart Madurai High Street</v>
      </c>
      <c r="Y2907" t="str">
        <f>IFERROR(INDEX(Stores!$E:$E,MATCH(E2907,Stores!$A:$A,0)),"Unknown")</f>
        <v>South Zone 1</v>
      </c>
      <c r="Z2907" t="str">
        <f>IFERROR(INDEX(Customers!$J:$J,MATCH(C2907,Customers!$A:$A,0)),"Unknown")</f>
        <v>Silver</v>
      </c>
      <c r="AA2907" t="str">
        <f t="shared" si="45"/>
        <v>2024-08</v>
      </c>
      <c r="AB2907" t="str">
        <f>IFERROR(INDEX(Products!$I:$I,MATCH(D2907,Products!$A:$A,0)),"Unknown")</f>
        <v>SUP062</v>
      </c>
    </row>
    <row r="2908" spans="1:28" x14ac:dyDescent="0.25">
      <c r="A2908" t="s">
        <v>4982</v>
      </c>
      <c r="B2908" s="20">
        <v>45740</v>
      </c>
      <c r="C2908" t="s">
        <v>3414</v>
      </c>
      <c r="D2908" t="s">
        <v>830</v>
      </c>
      <c r="E2908" t="s">
        <v>402</v>
      </c>
      <c r="F2908" t="s">
        <v>443</v>
      </c>
      <c r="G2908">
        <v>1</v>
      </c>
      <c r="H2908" s="21">
        <v>900.17</v>
      </c>
      <c r="I2908">
        <v>30</v>
      </c>
      <c r="J2908" s="21">
        <v>270.05</v>
      </c>
      <c r="K2908">
        <v>5</v>
      </c>
      <c r="L2908" s="21">
        <v>31.51</v>
      </c>
      <c r="M2908" s="21">
        <v>661.63</v>
      </c>
      <c r="N2908" s="21">
        <v>570.20000000000005</v>
      </c>
      <c r="O2908" s="21">
        <v>59.92</v>
      </c>
      <c r="P2908" t="s">
        <v>124</v>
      </c>
      <c r="Q2908" t="s">
        <v>120</v>
      </c>
      <c r="R2908" t="s">
        <v>151</v>
      </c>
      <c r="S2908" t="s">
        <v>2435</v>
      </c>
      <c r="T2908" t="s">
        <v>153</v>
      </c>
      <c r="U2908" t="s">
        <v>154</v>
      </c>
      <c r="V2908" t="str">
        <f>IFERROR(INDEX(Products!$C:$C,MATCH(D2908,Products!$A:$A,0)),"Unknown")</f>
        <v>Men Shirts</v>
      </c>
      <c r="W2908" t="str">
        <f>IFERROR(INDEX(Products!$E:$E,MATCH(D2908,Products!$A:$A,0)),"Unknown")</f>
        <v>AND</v>
      </c>
      <c r="X2908" t="str">
        <f>IFERROR(INDEX(Stores!$B:$B,MATCH(E2908,Stores!$A:$A,0)),"Unknown")</f>
        <v>TrendMart Kannur Standard</v>
      </c>
      <c r="Y2908" t="str">
        <f>IFERROR(INDEX(Stores!$E:$E,MATCH(E2908,Stores!$A:$A,0)),"Unknown")</f>
        <v>South Zone 1</v>
      </c>
      <c r="Z2908" t="str">
        <f>IFERROR(INDEX(Customers!$J:$J,MATCH(C2908,Customers!$A:$A,0)),"Unknown")</f>
        <v>Platinum</v>
      </c>
      <c r="AA2908" t="str">
        <f t="shared" si="45"/>
        <v>2025-03</v>
      </c>
      <c r="AB2908" t="str">
        <f>IFERROR(INDEX(Products!$I:$I,MATCH(D2908,Products!$A:$A,0)),"Unknown")</f>
        <v>SUP012</v>
      </c>
    </row>
    <row r="2909" spans="1:28" x14ac:dyDescent="0.25">
      <c r="A2909" t="s">
        <v>4983</v>
      </c>
      <c r="B2909" s="20">
        <v>45599</v>
      </c>
      <c r="C2909" t="s">
        <v>851</v>
      </c>
      <c r="D2909" t="s">
        <v>1569</v>
      </c>
      <c r="E2909" t="s">
        <v>1681</v>
      </c>
      <c r="F2909" t="s">
        <v>182</v>
      </c>
      <c r="G2909">
        <v>3</v>
      </c>
      <c r="H2909" s="21">
        <v>1303.8800000000001</v>
      </c>
      <c r="I2909">
        <v>20</v>
      </c>
      <c r="J2909" s="21">
        <v>782.33</v>
      </c>
      <c r="K2909">
        <v>12</v>
      </c>
      <c r="L2909" s="21">
        <v>375.52</v>
      </c>
      <c r="M2909" s="21">
        <v>3504.83</v>
      </c>
      <c r="N2909" s="21">
        <v>2426.9699999999998</v>
      </c>
      <c r="O2909" s="21">
        <v>702.34</v>
      </c>
      <c r="P2909" t="s">
        <v>121</v>
      </c>
      <c r="Q2909" t="s">
        <v>120</v>
      </c>
      <c r="R2909" t="s">
        <v>151</v>
      </c>
      <c r="S2909" t="s">
        <v>1762</v>
      </c>
      <c r="T2909" t="s">
        <v>161</v>
      </c>
      <c r="U2909" t="s">
        <v>154</v>
      </c>
      <c r="V2909" t="str">
        <f>IFERROR(INDEX(Products!$C:$C,MATCH(D2909,Products!$A:$A,0)),"Unknown")</f>
        <v>Women Kurtis</v>
      </c>
      <c r="W2909" t="str">
        <f>IFERROR(INDEX(Products!$E:$E,MATCH(D2909,Products!$A:$A,0)),"Unknown")</f>
        <v>Liberty</v>
      </c>
      <c r="X2909" t="str">
        <f>IFERROR(INDEX(Stores!$B:$B,MATCH(E2909,Stores!$A:$A,0)),"Unknown")</f>
        <v>TrendMart Warangal Standard</v>
      </c>
      <c r="Y2909" t="str">
        <f>IFERROR(INDEX(Stores!$E:$E,MATCH(E2909,Stores!$A:$A,0)),"Unknown")</f>
        <v>South Zone 2</v>
      </c>
      <c r="Z2909" t="str">
        <f>IFERROR(INDEX(Customers!$J:$J,MATCH(C2909,Customers!$A:$A,0)),"Unknown")</f>
        <v>Regular</v>
      </c>
      <c r="AA2909" t="str">
        <f t="shared" si="45"/>
        <v>2024-11</v>
      </c>
      <c r="AB2909" t="str">
        <f>IFERROR(INDEX(Products!$I:$I,MATCH(D2909,Products!$A:$A,0)),"Unknown")</f>
        <v>SUP079</v>
      </c>
    </row>
    <row r="2910" spans="1:28" x14ac:dyDescent="0.25">
      <c r="A2910" t="s">
        <v>4984</v>
      </c>
      <c r="B2910" s="20">
        <v>45726</v>
      </c>
      <c r="C2910" t="s">
        <v>1676</v>
      </c>
      <c r="D2910" t="s">
        <v>633</v>
      </c>
      <c r="E2910" t="s">
        <v>416</v>
      </c>
      <c r="F2910" t="s">
        <v>403</v>
      </c>
      <c r="G2910">
        <v>4</v>
      </c>
      <c r="H2910" s="21">
        <v>665.48</v>
      </c>
      <c r="I2910">
        <v>10</v>
      </c>
      <c r="J2910" s="21">
        <v>266.19</v>
      </c>
      <c r="K2910">
        <v>5</v>
      </c>
      <c r="L2910" s="21">
        <v>119.79</v>
      </c>
      <c r="M2910" s="21">
        <v>2515.52</v>
      </c>
      <c r="N2910" s="21">
        <v>1671.68</v>
      </c>
      <c r="O2910" s="21">
        <v>724.05</v>
      </c>
      <c r="P2910" t="s">
        <v>125</v>
      </c>
      <c r="Q2910" t="s">
        <v>120</v>
      </c>
      <c r="R2910" t="s">
        <v>151</v>
      </c>
      <c r="S2910" t="s">
        <v>614</v>
      </c>
      <c r="T2910" t="s">
        <v>153</v>
      </c>
      <c r="U2910" t="s">
        <v>154</v>
      </c>
      <c r="V2910" t="str">
        <f>IFERROR(INDEX(Products!$C:$C,MATCH(D2910,Products!$A:$A,0)),"Unknown")</f>
        <v>Men T-Shirts</v>
      </c>
      <c r="W2910" t="str">
        <f>IFERROR(INDEX(Products!$E:$E,MATCH(D2910,Products!$A:$A,0)),"Unknown")</f>
        <v>Reebok</v>
      </c>
      <c r="X2910" t="str">
        <f>IFERROR(INDEX(Stores!$B:$B,MATCH(E2910,Stores!$A:$A,0)),"Unknown")</f>
        <v>TrendMart Dindigul Standard</v>
      </c>
      <c r="Y2910" t="str">
        <f>IFERROR(INDEX(Stores!$E:$E,MATCH(E2910,Stores!$A:$A,0)),"Unknown")</f>
        <v>South Zone 1</v>
      </c>
      <c r="Z2910" t="str">
        <f>IFERROR(INDEX(Customers!$J:$J,MATCH(C2910,Customers!$A:$A,0)),"Unknown")</f>
        <v>Silver</v>
      </c>
      <c r="AA2910" t="str">
        <f t="shared" si="45"/>
        <v>2025-03</v>
      </c>
      <c r="AB2910" t="str">
        <f>IFERROR(INDEX(Products!$I:$I,MATCH(D2910,Products!$A:$A,0)),"Unknown")</f>
        <v>SUP046</v>
      </c>
    </row>
    <row r="2911" spans="1:28" x14ac:dyDescent="0.25">
      <c r="A2911" t="s">
        <v>4985</v>
      </c>
      <c r="B2911" s="20">
        <v>45745</v>
      </c>
      <c r="C2911" t="s">
        <v>809</v>
      </c>
      <c r="D2911" t="s">
        <v>756</v>
      </c>
      <c r="E2911" t="s">
        <v>613</v>
      </c>
      <c r="F2911" t="s">
        <v>532</v>
      </c>
      <c r="G2911">
        <v>2</v>
      </c>
      <c r="H2911" s="21">
        <v>734.87</v>
      </c>
      <c r="I2911">
        <v>0</v>
      </c>
      <c r="J2911" s="21">
        <v>0</v>
      </c>
      <c r="K2911">
        <v>5</v>
      </c>
      <c r="L2911" s="21">
        <v>73.489999999999995</v>
      </c>
      <c r="M2911" s="21">
        <v>1543.23</v>
      </c>
      <c r="N2911" s="21">
        <v>1044.76</v>
      </c>
      <c r="O2911" s="21">
        <v>424.98</v>
      </c>
      <c r="P2911" t="s">
        <v>125</v>
      </c>
      <c r="Q2911" t="s">
        <v>120</v>
      </c>
      <c r="R2911" t="s">
        <v>151</v>
      </c>
      <c r="S2911" t="s">
        <v>1329</v>
      </c>
      <c r="T2911" t="s">
        <v>161</v>
      </c>
      <c r="U2911" t="s">
        <v>154</v>
      </c>
      <c r="V2911" t="str">
        <f>IFERROR(INDEX(Products!$C:$C,MATCH(D2911,Products!$A:$A,0)),"Unknown")</f>
        <v>Women Tops</v>
      </c>
      <c r="W2911" t="str">
        <f>IFERROR(INDEX(Products!$E:$E,MATCH(D2911,Products!$A:$A,0)),"Unknown")</f>
        <v>Peter England</v>
      </c>
      <c r="X2911" t="str">
        <f>IFERROR(INDEX(Stores!$B:$B,MATCH(E2911,Stores!$A:$A,0)),"Unknown")</f>
        <v>TrendMart Kochi Mall Kiosk</v>
      </c>
      <c r="Y2911" t="str">
        <f>IFERROR(INDEX(Stores!$E:$E,MATCH(E2911,Stores!$A:$A,0)),"Unknown")</f>
        <v>South Zone 1</v>
      </c>
      <c r="Z2911" t="str">
        <f>IFERROR(INDEX(Customers!$J:$J,MATCH(C2911,Customers!$A:$A,0)),"Unknown")</f>
        <v>Regular</v>
      </c>
      <c r="AA2911" t="str">
        <f t="shared" si="45"/>
        <v>2025-03</v>
      </c>
      <c r="AB2911" t="str">
        <f>IFERROR(INDEX(Products!$I:$I,MATCH(D2911,Products!$A:$A,0)),"Unknown")</f>
        <v>SUP018</v>
      </c>
    </row>
    <row r="2912" spans="1:28" x14ac:dyDescent="0.25">
      <c r="A2912" t="s">
        <v>4986</v>
      </c>
      <c r="B2912" s="20">
        <v>45502</v>
      </c>
      <c r="C2912" t="s">
        <v>2497</v>
      </c>
      <c r="D2912" t="s">
        <v>1649</v>
      </c>
      <c r="E2912" t="s">
        <v>98</v>
      </c>
      <c r="F2912" t="s">
        <v>579</v>
      </c>
      <c r="G2912">
        <v>1</v>
      </c>
      <c r="H2912" s="21">
        <v>1224.72</v>
      </c>
      <c r="I2912">
        <v>10</v>
      </c>
      <c r="J2912" s="21">
        <v>122.47</v>
      </c>
      <c r="K2912">
        <v>12</v>
      </c>
      <c r="L2912" s="21">
        <v>132.27000000000001</v>
      </c>
      <c r="M2912" s="21">
        <v>1234.52</v>
      </c>
      <c r="N2912" s="21">
        <v>879.48</v>
      </c>
      <c r="O2912" s="21">
        <v>222.77</v>
      </c>
      <c r="P2912" t="s">
        <v>124</v>
      </c>
      <c r="Q2912" t="s">
        <v>120</v>
      </c>
      <c r="R2912" t="s">
        <v>151</v>
      </c>
      <c r="S2912" t="s">
        <v>626</v>
      </c>
      <c r="T2912" t="s">
        <v>153</v>
      </c>
      <c r="U2912" t="s">
        <v>154</v>
      </c>
      <c r="V2912" t="str">
        <f>IFERROR(INDEX(Products!$C:$C,MATCH(D2912,Products!$A:$A,0)),"Unknown")</f>
        <v>Belts</v>
      </c>
      <c r="W2912" t="str">
        <f>IFERROR(INDEX(Products!$E:$E,MATCH(D2912,Products!$A:$A,0)),"Unknown")</f>
        <v>Bata</v>
      </c>
      <c r="X2912" t="str">
        <f>IFERROR(INDEX(Stores!$B:$B,MATCH(E2912,Stores!$A:$A,0)),"Unknown")</f>
        <v>TrendMart Bengaluru Flagship</v>
      </c>
      <c r="Y2912" t="str">
        <f>IFERROR(INDEX(Stores!$E:$E,MATCH(E2912,Stores!$A:$A,0)),"Unknown")</f>
        <v>South Zone 2</v>
      </c>
      <c r="Z2912" t="str">
        <f>IFERROR(INDEX(Customers!$J:$J,MATCH(C2912,Customers!$A:$A,0)),"Unknown")</f>
        <v>Platinum</v>
      </c>
      <c r="AA2912" t="str">
        <f t="shared" si="45"/>
        <v>2024-07</v>
      </c>
      <c r="AB2912" t="str">
        <f>IFERROR(INDEX(Products!$I:$I,MATCH(D2912,Products!$A:$A,0)),"Unknown")</f>
        <v>SUP032</v>
      </c>
    </row>
    <row r="2913" spans="1:28" x14ac:dyDescent="0.25">
      <c r="A2913" t="s">
        <v>4987</v>
      </c>
      <c r="B2913" s="20">
        <v>45497</v>
      </c>
      <c r="C2913" t="s">
        <v>3181</v>
      </c>
      <c r="D2913" t="s">
        <v>1073</v>
      </c>
      <c r="E2913" t="s">
        <v>90</v>
      </c>
      <c r="F2913" t="s">
        <v>382</v>
      </c>
      <c r="G2913">
        <v>2</v>
      </c>
      <c r="H2913" s="21">
        <v>3072.23</v>
      </c>
      <c r="I2913">
        <v>0</v>
      </c>
      <c r="J2913" s="21">
        <v>0</v>
      </c>
      <c r="K2913">
        <v>12</v>
      </c>
      <c r="L2913" s="21">
        <v>737.34</v>
      </c>
      <c r="M2913" s="21">
        <v>6881.8</v>
      </c>
      <c r="N2913" s="21">
        <v>4680.92</v>
      </c>
      <c r="O2913" s="21">
        <v>1463.54</v>
      </c>
      <c r="P2913" t="s">
        <v>121</v>
      </c>
      <c r="Q2913" t="s">
        <v>122</v>
      </c>
      <c r="R2913" t="s">
        <v>151</v>
      </c>
      <c r="S2913" t="s">
        <v>1794</v>
      </c>
      <c r="T2913" t="s">
        <v>153</v>
      </c>
      <c r="U2913" t="s">
        <v>154</v>
      </c>
      <c r="V2913" t="str">
        <f>IFERROR(INDEX(Products!$C:$C,MATCH(D2913,Products!$A:$A,0)),"Unknown")</f>
        <v>Women Sarees</v>
      </c>
      <c r="W2913" t="str">
        <f>IFERROR(INDEX(Products!$E:$E,MATCH(D2913,Products!$A:$A,0)),"Unknown")</f>
        <v>W for Woman</v>
      </c>
      <c r="X2913" t="str">
        <f>IFERROR(INDEX(Stores!$B:$B,MATCH(E2913,Stores!$A:$A,0)),"Unknown")</f>
        <v>TrendMart Thoothukudi Mall Kiosk</v>
      </c>
      <c r="Y2913" t="str">
        <f>IFERROR(INDEX(Stores!$E:$E,MATCH(E2913,Stores!$A:$A,0)),"Unknown")</f>
        <v>South Zone 1</v>
      </c>
      <c r="Z2913" t="str">
        <f>IFERROR(INDEX(Customers!$J:$J,MATCH(C2913,Customers!$A:$A,0)),"Unknown")</f>
        <v>Silver</v>
      </c>
      <c r="AA2913" t="str">
        <f t="shared" si="45"/>
        <v>2024-07</v>
      </c>
      <c r="AB2913" t="str">
        <f>IFERROR(INDEX(Products!$I:$I,MATCH(D2913,Products!$A:$A,0)),"Unknown")</f>
        <v>SUP012</v>
      </c>
    </row>
    <row r="2914" spans="1:28" x14ac:dyDescent="0.25">
      <c r="A2914" t="s">
        <v>4988</v>
      </c>
      <c r="B2914" s="20">
        <v>45551</v>
      </c>
      <c r="C2914" t="s">
        <v>2373</v>
      </c>
      <c r="D2914" t="s">
        <v>1407</v>
      </c>
      <c r="E2914" t="s">
        <v>1426</v>
      </c>
      <c r="F2914" t="s">
        <v>258</v>
      </c>
      <c r="G2914">
        <v>3</v>
      </c>
      <c r="H2914" s="21">
        <v>1150.4100000000001</v>
      </c>
      <c r="I2914">
        <v>0</v>
      </c>
      <c r="J2914" s="21">
        <v>0</v>
      </c>
      <c r="K2914">
        <v>12</v>
      </c>
      <c r="L2914" s="21">
        <v>414.15</v>
      </c>
      <c r="M2914" s="21">
        <v>3865.38</v>
      </c>
      <c r="N2914" s="21">
        <v>2295.69</v>
      </c>
      <c r="O2914" s="21">
        <v>1155.54</v>
      </c>
      <c r="P2914" t="s">
        <v>125</v>
      </c>
      <c r="Q2914" t="s">
        <v>120</v>
      </c>
      <c r="R2914" t="s">
        <v>151</v>
      </c>
      <c r="S2914" t="s">
        <v>2731</v>
      </c>
      <c r="T2914" t="s">
        <v>153</v>
      </c>
      <c r="U2914" t="s">
        <v>154</v>
      </c>
      <c r="V2914" t="str">
        <f>IFERROR(INDEX(Products!$C:$C,MATCH(D2914,Products!$A:$A,0)),"Unknown")</f>
        <v>Belts</v>
      </c>
      <c r="W2914" t="str">
        <f>IFERROR(INDEX(Products!$E:$E,MATCH(D2914,Products!$A:$A,0)),"Unknown")</f>
        <v>Pantaloons</v>
      </c>
      <c r="X2914" t="str">
        <f>IFERROR(INDEX(Stores!$B:$B,MATCH(E2914,Stores!$A:$A,0)),"Unknown")</f>
        <v>TrendMart Alappuzha Mall Kiosk</v>
      </c>
      <c r="Y2914" t="str">
        <f>IFERROR(INDEX(Stores!$E:$E,MATCH(E2914,Stores!$A:$A,0)),"Unknown")</f>
        <v>South Zone 1</v>
      </c>
      <c r="Z2914" t="str">
        <f>IFERROR(INDEX(Customers!$J:$J,MATCH(C2914,Customers!$A:$A,0)),"Unknown")</f>
        <v>Regular</v>
      </c>
      <c r="AA2914" t="str">
        <f t="shared" si="45"/>
        <v>2024-09</v>
      </c>
      <c r="AB2914" t="str">
        <f>IFERROR(INDEX(Products!$I:$I,MATCH(D2914,Products!$A:$A,0)),"Unknown")</f>
        <v>SUP030</v>
      </c>
    </row>
    <row r="2915" spans="1:28" x14ac:dyDescent="0.25">
      <c r="A2915" t="s">
        <v>4989</v>
      </c>
      <c r="B2915" s="20">
        <v>45489</v>
      </c>
      <c r="C2915" t="s">
        <v>2501</v>
      </c>
      <c r="D2915" t="s">
        <v>180</v>
      </c>
      <c r="E2915" t="s">
        <v>274</v>
      </c>
      <c r="F2915" t="s">
        <v>263</v>
      </c>
      <c r="G2915">
        <v>2</v>
      </c>
      <c r="H2915" s="21">
        <v>3099.68</v>
      </c>
      <c r="I2915">
        <v>15</v>
      </c>
      <c r="J2915" s="21">
        <v>929.9</v>
      </c>
      <c r="K2915">
        <v>12</v>
      </c>
      <c r="L2915" s="21">
        <v>632.34</v>
      </c>
      <c r="M2915" s="21">
        <v>5901.8</v>
      </c>
      <c r="N2915" s="21">
        <v>4849.24</v>
      </c>
      <c r="O2915" s="21">
        <v>420.22</v>
      </c>
      <c r="P2915" t="s">
        <v>124</v>
      </c>
      <c r="Q2915" t="s">
        <v>120</v>
      </c>
      <c r="R2915" t="s">
        <v>151</v>
      </c>
      <c r="S2915" t="s">
        <v>483</v>
      </c>
      <c r="T2915" t="s">
        <v>153</v>
      </c>
      <c r="U2915" t="s">
        <v>154</v>
      </c>
      <c r="V2915" t="str">
        <f>IFERROR(INDEX(Products!$C:$C,MATCH(D2915,Products!$A:$A,0)),"Unknown")</f>
        <v>Footwear</v>
      </c>
      <c r="W2915" t="str">
        <f>IFERROR(INDEX(Products!$E:$E,MATCH(D2915,Products!$A:$A,0)),"Unknown")</f>
        <v>US Polo Assn</v>
      </c>
      <c r="X2915" t="str">
        <f>IFERROR(INDEX(Stores!$B:$B,MATCH(E2915,Stores!$A:$A,0)),"Unknown")</f>
        <v>TrendMart Mangaluru Standard</v>
      </c>
      <c r="Y2915" t="str">
        <f>IFERROR(INDEX(Stores!$E:$E,MATCH(E2915,Stores!$A:$A,0)),"Unknown")</f>
        <v>South Zone 2</v>
      </c>
      <c r="Z2915" t="str">
        <f>IFERROR(INDEX(Customers!$J:$J,MATCH(C2915,Customers!$A:$A,0)),"Unknown")</f>
        <v>Silver</v>
      </c>
      <c r="AA2915" t="str">
        <f t="shared" si="45"/>
        <v>2024-07</v>
      </c>
      <c r="AB2915" t="str">
        <f>IFERROR(INDEX(Products!$I:$I,MATCH(D2915,Products!$A:$A,0)),"Unknown")</f>
        <v>SUP084</v>
      </c>
    </row>
    <row r="2916" spans="1:28" x14ac:dyDescent="0.25">
      <c r="A2916" t="s">
        <v>4990</v>
      </c>
      <c r="B2916" s="20">
        <v>45663</v>
      </c>
      <c r="C2916" t="s">
        <v>245</v>
      </c>
      <c r="D2916" t="s">
        <v>734</v>
      </c>
      <c r="E2916" t="s">
        <v>425</v>
      </c>
      <c r="F2916" t="s">
        <v>532</v>
      </c>
      <c r="G2916">
        <v>2</v>
      </c>
      <c r="H2916" s="21">
        <v>333.77</v>
      </c>
      <c r="I2916">
        <v>5</v>
      </c>
      <c r="J2916" s="21">
        <v>33.380000000000003</v>
      </c>
      <c r="K2916">
        <v>5</v>
      </c>
      <c r="L2916" s="21">
        <v>31.71</v>
      </c>
      <c r="M2916" s="21">
        <v>665.87</v>
      </c>
      <c r="N2916" s="21">
        <v>426.78</v>
      </c>
      <c r="O2916" s="21">
        <v>207.38</v>
      </c>
      <c r="P2916" t="s">
        <v>125</v>
      </c>
      <c r="Q2916" t="s">
        <v>120</v>
      </c>
      <c r="R2916" t="s">
        <v>151</v>
      </c>
      <c r="S2916" t="s">
        <v>2603</v>
      </c>
      <c r="T2916" t="s">
        <v>153</v>
      </c>
      <c r="U2916" t="s">
        <v>154</v>
      </c>
      <c r="V2916" t="str">
        <f>IFERROR(INDEX(Products!$C:$C,MATCH(D2916,Products!$A:$A,0)),"Unknown")</f>
        <v>Accessories</v>
      </c>
      <c r="W2916" t="str">
        <f>IFERROR(INDEX(Products!$E:$E,MATCH(D2916,Products!$A:$A,0)),"Unknown")</f>
        <v>Global Desi</v>
      </c>
      <c r="X2916" t="str">
        <f>IFERROR(INDEX(Stores!$B:$B,MATCH(E2916,Stores!$A:$A,0)),"Unknown")</f>
        <v>TrendMart Kozhikode Outlet</v>
      </c>
      <c r="Y2916" t="str">
        <f>IFERROR(INDEX(Stores!$E:$E,MATCH(E2916,Stores!$A:$A,0)),"Unknown")</f>
        <v>South Zone 1</v>
      </c>
      <c r="Z2916" t="str">
        <f>IFERROR(INDEX(Customers!$J:$J,MATCH(C2916,Customers!$A:$A,0)),"Unknown")</f>
        <v>Regular</v>
      </c>
      <c r="AA2916" t="str">
        <f t="shared" si="45"/>
        <v>2025-01</v>
      </c>
      <c r="AB2916" t="str">
        <f>IFERROR(INDEX(Products!$I:$I,MATCH(D2916,Products!$A:$A,0)),"Unknown")</f>
        <v>SUP021</v>
      </c>
    </row>
    <row r="2917" spans="1:28" x14ac:dyDescent="0.25">
      <c r="A2917" t="s">
        <v>4991</v>
      </c>
      <c r="B2917" s="20">
        <v>45415</v>
      </c>
      <c r="C2917" t="s">
        <v>987</v>
      </c>
      <c r="D2917" t="s">
        <v>257</v>
      </c>
      <c r="E2917" t="s">
        <v>701</v>
      </c>
      <c r="F2917" t="s">
        <v>579</v>
      </c>
      <c r="G2917">
        <v>3</v>
      </c>
      <c r="H2917" s="21">
        <v>1031.23</v>
      </c>
      <c r="I2917">
        <v>10</v>
      </c>
      <c r="J2917" s="21">
        <v>309.37</v>
      </c>
      <c r="K2917">
        <v>12</v>
      </c>
      <c r="L2917" s="21">
        <v>334.12</v>
      </c>
      <c r="M2917" s="21">
        <v>3118.44</v>
      </c>
      <c r="N2917" s="21">
        <v>2163.66</v>
      </c>
      <c r="O2917" s="21">
        <v>620.66</v>
      </c>
      <c r="P2917" t="s">
        <v>123</v>
      </c>
      <c r="Q2917" t="s">
        <v>122</v>
      </c>
      <c r="R2917" t="s">
        <v>151</v>
      </c>
      <c r="S2917" t="s">
        <v>2272</v>
      </c>
      <c r="T2917" t="s">
        <v>153</v>
      </c>
      <c r="U2917" t="s">
        <v>154</v>
      </c>
      <c r="V2917" t="str">
        <f>IFERROR(INDEX(Products!$C:$C,MATCH(D2917,Products!$A:$A,0)),"Unknown")</f>
        <v>Men Shirts</v>
      </c>
      <c r="W2917" t="str">
        <f>IFERROR(INDEX(Products!$E:$E,MATCH(D2917,Products!$A:$A,0)),"Unknown")</f>
        <v>Indian Terrain</v>
      </c>
      <c r="X2917" t="str">
        <f>IFERROR(INDEX(Stores!$B:$B,MATCH(E2917,Stores!$A:$A,0)),"Unknown")</f>
        <v>TrendMart Vijayawada Mall Kiosk</v>
      </c>
      <c r="Y2917" t="str">
        <f>IFERROR(INDEX(Stores!$E:$E,MATCH(E2917,Stores!$A:$A,0)),"Unknown")</f>
        <v>South Zone 3</v>
      </c>
      <c r="Z2917" t="str">
        <f>IFERROR(INDEX(Customers!$J:$J,MATCH(C2917,Customers!$A:$A,0)),"Unknown")</f>
        <v>Regular</v>
      </c>
      <c r="AA2917" t="str">
        <f t="shared" si="45"/>
        <v>2024-05</v>
      </c>
      <c r="AB2917" t="str">
        <f>IFERROR(INDEX(Products!$I:$I,MATCH(D2917,Products!$A:$A,0)),"Unknown")</f>
        <v>SUP080</v>
      </c>
    </row>
    <row r="2918" spans="1:28" x14ac:dyDescent="0.25">
      <c r="A2918" t="s">
        <v>4992</v>
      </c>
      <c r="B2918" s="20">
        <v>45596</v>
      </c>
      <c r="C2918" t="s">
        <v>2757</v>
      </c>
      <c r="D2918" t="s">
        <v>502</v>
      </c>
      <c r="E2918" t="s">
        <v>88</v>
      </c>
      <c r="F2918" t="s">
        <v>221</v>
      </c>
      <c r="G2918">
        <v>1</v>
      </c>
      <c r="H2918" s="21">
        <v>3071.49</v>
      </c>
      <c r="I2918">
        <v>5</v>
      </c>
      <c r="J2918" s="21">
        <v>153.57</v>
      </c>
      <c r="K2918">
        <v>12</v>
      </c>
      <c r="L2918" s="21">
        <v>350.15</v>
      </c>
      <c r="M2918" s="21">
        <v>3268.07</v>
      </c>
      <c r="N2918" s="21">
        <v>2151.34</v>
      </c>
      <c r="O2918" s="21">
        <v>766.58</v>
      </c>
      <c r="P2918" t="s">
        <v>125</v>
      </c>
      <c r="Q2918" t="s">
        <v>120</v>
      </c>
      <c r="R2918" t="s">
        <v>151</v>
      </c>
      <c r="S2918" t="s">
        <v>1053</v>
      </c>
      <c r="T2918" t="s">
        <v>153</v>
      </c>
      <c r="U2918" t="s">
        <v>154</v>
      </c>
      <c r="V2918" t="str">
        <f>IFERROR(INDEX(Products!$C:$C,MATCH(D2918,Products!$A:$A,0)),"Unknown")</f>
        <v>Handbags</v>
      </c>
      <c r="W2918" t="str">
        <f>IFERROR(INDEX(Products!$E:$E,MATCH(D2918,Products!$A:$A,0)),"Unknown")</f>
        <v>Libas</v>
      </c>
      <c r="X2918" t="str">
        <f>IFERROR(INDEX(Stores!$B:$B,MATCH(E2918,Stores!$A:$A,0)),"Unknown")</f>
        <v>TrendMart Kozhikode Mall Kiosk</v>
      </c>
      <c r="Y2918" t="str">
        <f>IFERROR(INDEX(Stores!$E:$E,MATCH(E2918,Stores!$A:$A,0)),"Unknown")</f>
        <v>South Zone 1</v>
      </c>
      <c r="Z2918" t="str">
        <f>IFERROR(INDEX(Customers!$J:$J,MATCH(C2918,Customers!$A:$A,0)),"Unknown")</f>
        <v>Silver</v>
      </c>
      <c r="AA2918" t="str">
        <f t="shared" si="45"/>
        <v>2024-10</v>
      </c>
      <c r="AB2918" t="str">
        <f>IFERROR(INDEX(Products!$I:$I,MATCH(D2918,Products!$A:$A,0)),"Unknown")</f>
        <v>SUP070</v>
      </c>
    </row>
    <row r="2919" spans="1:28" x14ac:dyDescent="0.25">
      <c r="A2919" t="s">
        <v>4993</v>
      </c>
      <c r="B2919" s="20">
        <v>45613</v>
      </c>
      <c r="C2919" t="s">
        <v>2599</v>
      </c>
      <c r="D2919" t="s">
        <v>1095</v>
      </c>
      <c r="E2919" t="s">
        <v>1681</v>
      </c>
      <c r="F2919" t="s">
        <v>574</v>
      </c>
      <c r="G2919">
        <v>1</v>
      </c>
      <c r="H2919" s="21">
        <v>1223.5999999999999</v>
      </c>
      <c r="I2919">
        <v>0</v>
      </c>
      <c r="J2919" s="21">
        <v>0</v>
      </c>
      <c r="K2919">
        <v>12</v>
      </c>
      <c r="L2919" s="21">
        <v>146.83000000000001</v>
      </c>
      <c r="M2919" s="21">
        <v>1370.43</v>
      </c>
      <c r="N2919" s="21">
        <v>769.63</v>
      </c>
      <c r="O2919" s="21">
        <v>453.97</v>
      </c>
      <c r="P2919" t="s">
        <v>125</v>
      </c>
      <c r="Q2919" t="s">
        <v>120</v>
      </c>
      <c r="R2919" t="s">
        <v>151</v>
      </c>
      <c r="S2919" t="s">
        <v>753</v>
      </c>
      <c r="T2919" t="s">
        <v>161</v>
      </c>
      <c r="U2919" t="s">
        <v>154</v>
      </c>
      <c r="V2919" t="str">
        <f>IFERROR(INDEX(Products!$C:$C,MATCH(D2919,Products!$A:$A,0)),"Unknown")</f>
        <v>Women Dresses</v>
      </c>
      <c r="W2919" t="str">
        <f>IFERROR(INDEX(Products!$E:$E,MATCH(D2919,Products!$A:$A,0)),"Unknown")</f>
        <v>Ramraj Cotton</v>
      </c>
      <c r="X2919" t="str">
        <f>IFERROR(INDEX(Stores!$B:$B,MATCH(E2919,Stores!$A:$A,0)),"Unknown")</f>
        <v>TrendMart Warangal Standard</v>
      </c>
      <c r="Y2919" t="str">
        <f>IFERROR(INDEX(Stores!$E:$E,MATCH(E2919,Stores!$A:$A,0)),"Unknown")</f>
        <v>South Zone 2</v>
      </c>
      <c r="Z2919" t="str">
        <f>IFERROR(INDEX(Customers!$J:$J,MATCH(C2919,Customers!$A:$A,0)),"Unknown")</f>
        <v>Regular</v>
      </c>
      <c r="AA2919" t="str">
        <f t="shared" si="45"/>
        <v>2024-11</v>
      </c>
      <c r="AB2919" t="str">
        <f>IFERROR(INDEX(Products!$I:$I,MATCH(D2919,Products!$A:$A,0)),"Unknown")</f>
        <v>SUP054</v>
      </c>
    </row>
    <row r="2920" spans="1:28" x14ac:dyDescent="0.25">
      <c r="A2920" t="s">
        <v>4994</v>
      </c>
      <c r="B2920" s="20">
        <v>45563</v>
      </c>
      <c r="C2920" t="s">
        <v>4367</v>
      </c>
      <c r="D2920" t="s">
        <v>1905</v>
      </c>
      <c r="E2920" t="s">
        <v>451</v>
      </c>
      <c r="F2920" t="s">
        <v>170</v>
      </c>
      <c r="G2920">
        <v>1</v>
      </c>
      <c r="H2920" s="21">
        <v>973.58</v>
      </c>
      <c r="I2920">
        <v>0</v>
      </c>
      <c r="J2920" s="21">
        <v>0</v>
      </c>
      <c r="K2920">
        <v>5</v>
      </c>
      <c r="L2920" s="21">
        <v>48.68</v>
      </c>
      <c r="M2920" s="21">
        <v>1022.26</v>
      </c>
      <c r="N2920" s="21">
        <v>630.1</v>
      </c>
      <c r="O2920" s="21">
        <v>343.48</v>
      </c>
      <c r="P2920" t="s">
        <v>123</v>
      </c>
      <c r="Q2920" t="s">
        <v>120</v>
      </c>
      <c r="R2920" t="s">
        <v>151</v>
      </c>
      <c r="S2920" t="s">
        <v>807</v>
      </c>
      <c r="T2920" t="s">
        <v>161</v>
      </c>
      <c r="U2920" t="s">
        <v>154</v>
      </c>
      <c r="V2920" t="str">
        <f>IFERROR(INDEX(Products!$C:$C,MATCH(D2920,Products!$A:$A,0)),"Unknown")</f>
        <v>Sportswear</v>
      </c>
      <c r="W2920" t="str">
        <f>IFERROR(INDEX(Products!$E:$E,MATCH(D2920,Products!$A:$A,0)),"Unknown")</f>
        <v>Pantaloons</v>
      </c>
      <c r="X2920" t="str">
        <f>IFERROR(INDEX(Stores!$B:$B,MATCH(E2920,Stores!$A:$A,0)),"Unknown")</f>
        <v>TrendMart Thoothukudi High Street</v>
      </c>
      <c r="Y2920" t="str">
        <f>IFERROR(INDEX(Stores!$E:$E,MATCH(E2920,Stores!$A:$A,0)),"Unknown")</f>
        <v>South Zone 1</v>
      </c>
      <c r="Z2920" t="str">
        <f>IFERROR(INDEX(Customers!$J:$J,MATCH(C2920,Customers!$A:$A,0)),"Unknown")</f>
        <v>Regular</v>
      </c>
      <c r="AA2920" t="str">
        <f t="shared" si="45"/>
        <v>2024-09</v>
      </c>
      <c r="AB2920" t="str">
        <f>IFERROR(INDEX(Products!$I:$I,MATCH(D2920,Products!$A:$A,0)),"Unknown")</f>
        <v>SUP062</v>
      </c>
    </row>
    <row r="2921" spans="1:28" x14ac:dyDescent="0.25">
      <c r="A2921" t="s">
        <v>4995</v>
      </c>
      <c r="B2921" s="20">
        <v>45722</v>
      </c>
      <c r="C2921" t="s">
        <v>2102</v>
      </c>
      <c r="D2921" t="s">
        <v>531</v>
      </c>
      <c r="E2921" t="s">
        <v>1512</v>
      </c>
      <c r="F2921" t="s">
        <v>303</v>
      </c>
      <c r="G2921">
        <v>1</v>
      </c>
      <c r="H2921" s="21">
        <v>3163.45</v>
      </c>
      <c r="I2921">
        <v>20</v>
      </c>
      <c r="J2921" s="21">
        <v>632.69000000000005</v>
      </c>
      <c r="K2921">
        <v>12</v>
      </c>
      <c r="L2921" s="21">
        <v>303.69</v>
      </c>
      <c r="M2921" s="21">
        <v>2834.45</v>
      </c>
      <c r="N2921" s="21">
        <v>2034.01</v>
      </c>
      <c r="O2921" s="21">
        <v>496.75</v>
      </c>
      <c r="P2921" t="s">
        <v>121</v>
      </c>
      <c r="Q2921" t="s">
        <v>122</v>
      </c>
      <c r="R2921" t="s">
        <v>313</v>
      </c>
      <c r="S2921" t="s">
        <v>2575</v>
      </c>
      <c r="T2921" t="s">
        <v>153</v>
      </c>
      <c r="U2921" t="s">
        <v>154</v>
      </c>
      <c r="V2921" t="str">
        <f>IFERROR(INDEX(Products!$C:$C,MATCH(D2921,Products!$A:$A,0)),"Unknown")</f>
        <v>Handbags</v>
      </c>
      <c r="W2921" t="str">
        <f>IFERROR(INDEX(Products!$E:$E,MATCH(D2921,Products!$A:$A,0)),"Unknown")</f>
        <v>GRT Jewellers</v>
      </c>
      <c r="X2921" t="str">
        <f>IFERROR(INDEX(Stores!$B:$B,MATCH(E2921,Stores!$A:$A,0)),"Unknown")</f>
        <v>TrendMart Erode Mall Kiosk</v>
      </c>
      <c r="Y2921" t="str">
        <f>IFERROR(INDEX(Stores!$E:$E,MATCH(E2921,Stores!$A:$A,0)),"Unknown")</f>
        <v>South Zone 1</v>
      </c>
      <c r="Z2921" t="str">
        <f>IFERROR(INDEX(Customers!$J:$J,MATCH(C2921,Customers!$A:$A,0)),"Unknown")</f>
        <v>Gold</v>
      </c>
      <c r="AA2921" t="str">
        <f t="shared" si="45"/>
        <v>2025-03</v>
      </c>
      <c r="AB2921" t="str">
        <f>IFERROR(INDEX(Products!$I:$I,MATCH(D2921,Products!$A:$A,0)),"Unknown")</f>
        <v>SUP047</v>
      </c>
    </row>
    <row r="2922" spans="1:28" x14ac:dyDescent="0.25">
      <c r="A2922" t="s">
        <v>4996</v>
      </c>
      <c r="B2922" s="20">
        <v>45585</v>
      </c>
      <c r="C2922" t="s">
        <v>1880</v>
      </c>
      <c r="D2922" t="s">
        <v>333</v>
      </c>
      <c r="E2922" t="s">
        <v>363</v>
      </c>
      <c r="F2922" t="s">
        <v>397</v>
      </c>
      <c r="G2922">
        <v>1</v>
      </c>
      <c r="H2922" s="21">
        <v>2643.35</v>
      </c>
      <c r="I2922">
        <v>10</v>
      </c>
      <c r="J2922" s="21">
        <v>264.33</v>
      </c>
      <c r="K2922">
        <v>12</v>
      </c>
      <c r="L2922" s="21">
        <v>285.48</v>
      </c>
      <c r="M2922" s="21">
        <v>2664.5</v>
      </c>
      <c r="N2922" s="21">
        <v>1767.32</v>
      </c>
      <c r="O2922" s="21">
        <v>611.70000000000005</v>
      </c>
      <c r="P2922" t="s">
        <v>121</v>
      </c>
      <c r="Q2922" t="s">
        <v>120</v>
      </c>
      <c r="R2922" t="s">
        <v>151</v>
      </c>
      <c r="S2922" t="s">
        <v>1184</v>
      </c>
      <c r="T2922" t="s">
        <v>161</v>
      </c>
      <c r="U2922" t="s">
        <v>154</v>
      </c>
      <c r="V2922" t="str">
        <f>IFERROR(INDEX(Products!$C:$C,MATCH(D2922,Products!$A:$A,0)),"Unknown")</f>
        <v>Winter Wear</v>
      </c>
      <c r="W2922" t="str">
        <f>IFERROR(INDEX(Products!$E:$E,MATCH(D2922,Products!$A:$A,0)),"Unknown")</f>
        <v>GRT Jewellers</v>
      </c>
      <c r="X2922" t="str">
        <f>IFERROR(INDEX(Stores!$B:$B,MATCH(E2922,Stores!$A:$A,0)),"Unknown")</f>
        <v>TrendMart Thiruvananthapuram High Street</v>
      </c>
      <c r="Y2922" t="str">
        <f>IFERROR(INDEX(Stores!$E:$E,MATCH(E2922,Stores!$A:$A,0)),"Unknown")</f>
        <v>South Zone 1</v>
      </c>
      <c r="Z2922" t="str">
        <f>IFERROR(INDEX(Customers!$J:$J,MATCH(C2922,Customers!$A:$A,0)),"Unknown")</f>
        <v>Silver</v>
      </c>
      <c r="AA2922" t="str">
        <f t="shared" si="45"/>
        <v>2024-10</v>
      </c>
      <c r="AB2922" t="str">
        <f>IFERROR(INDEX(Products!$I:$I,MATCH(D2922,Products!$A:$A,0)),"Unknown")</f>
        <v>SUP052</v>
      </c>
    </row>
    <row r="2923" spans="1:28" x14ac:dyDescent="0.25">
      <c r="A2923" t="s">
        <v>4997</v>
      </c>
      <c r="B2923" s="20">
        <v>45592</v>
      </c>
      <c r="C2923" t="s">
        <v>553</v>
      </c>
      <c r="D2923" t="s">
        <v>424</v>
      </c>
      <c r="E2923" t="s">
        <v>343</v>
      </c>
      <c r="F2923" t="s">
        <v>579</v>
      </c>
      <c r="G2923">
        <v>3</v>
      </c>
      <c r="H2923" s="21">
        <v>330.76</v>
      </c>
      <c r="I2923">
        <v>30</v>
      </c>
      <c r="J2923" s="21">
        <v>297.68</v>
      </c>
      <c r="K2923">
        <v>5</v>
      </c>
      <c r="L2923" s="21">
        <v>34.729999999999997</v>
      </c>
      <c r="M2923" s="21">
        <v>729.33</v>
      </c>
      <c r="N2923" s="21">
        <v>762.45</v>
      </c>
      <c r="O2923" s="21">
        <v>-67.849999999999994</v>
      </c>
      <c r="P2923" t="s">
        <v>123</v>
      </c>
      <c r="Q2923" t="s">
        <v>120</v>
      </c>
      <c r="R2923" t="s">
        <v>151</v>
      </c>
      <c r="S2923" t="s">
        <v>1784</v>
      </c>
      <c r="T2923" t="s">
        <v>161</v>
      </c>
      <c r="U2923" t="s">
        <v>184</v>
      </c>
      <c r="V2923" t="str">
        <f>IFERROR(INDEX(Products!$C:$C,MATCH(D2923,Products!$A:$A,0)),"Unknown")</f>
        <v>Belts</v>
      </c>
      <c r="W2923" t="str">
        <f>IFERROR(INDEX(Products!$E:$E,MATCH(D2923,Products!$A:$A,0)),"Unknown")</f>
        <v>Raymond</v>
      </c>
      <c r="X2923" t="str">
        <f>IFERROR(INDEX(Stores!$B:$B,MATCH(E2923,Stores!$A:$A,0)),"Unknown")</f>
        <v>TrendMart Tumakuru Outlet</v>
      </c>
      <c r="Y2923" t="str">
        <f>IFERROR(INDEX(Stores!$E:$E,MATCH(E2923,Stores!$A:$A,0)),"Unknown")</f>
        <v>South Zone 2</v>
      </c>
      <c r="Z2923" t="str">
        <f>IFERROR(INDEX(Customers!$J:$J,MATCH(C2923,Customers!$A:$A,0)),"Unknown")</f>
        <v>Silver</v>
      </c>
      <c r="AA2923" t="str">
        <f t="shared" si="45"/>
        <v>2024-10</v>
      </c>
      <c r="AB2923" t="str">
        <f>IFERROR(INDEX(Products!$I:$I,MATCH(D2923,Products!$A:$A,0)),"Unknown")</f>
        <v>SUP002</v>
      </c>
    </row>
    <row r="2924" spans="1:28" x14ac:dyDescent="0.25">
      <c r="A2924" t="s">
        <v>4998</v>
      </c>
      <c r="B2924" s="20">
        <v>45638</v>
      </c>
      <c r="C2924" t="s">
        <v>3081</v>
      </c>
      <c r="D2924" t="s">
        <v>947</v>
      </c>
      <c r="E2924" t="s">
        <v>1825</v>
      </c>
      <c r="F2924" t="s">
        <v>408</v>
      </c>
      <c r="G2924">
        <v>2</v>
      </c>
      <c r="H2924" s="21">
        <v>731.99</v>
      </c>
      <c r="I2924">
        <v>20</v>
      </c>
      <c r="J2924" s="21">
        <v>292.8</v>
      </c>
      <c r="K2924">
        <v>5</v>
      </c>
      <c r="L2924" s="21">
        <v>58.56</v>
      </c>
      <c r="M2924" s="21">
        <v>1229.74</v>
      </c>
      <c r="N2924" s="21">
        <v>1138.7</v>
      </c>
      <c r="O2924" s="21">
        <v>32.479999999999997</v>
      </c>
      <c r="P2924" t="s">
        <v>125</v>
      </c>
      <c r="Q2924" t="s">
        <v>122</v>
      </c>
      <c r="R2924" t="s">
        <v>151</v>
      </c>
      <c r="S2924" t="s">
        <v>896</v>
      </c>
      <c r="T2924" t="s">
        <v>153</v>
      </c>
      <c r="U2924" t="s">
        <v>154</v>
      </c>
      <c r="V2924" t="str">
        <f>IFERROR(INDEX(Products!$C:$C,MATCH(D2924,Products!$A:$A,0)),"Unknown")</f>
        <v>Women Kurtis</v>
      </c>
      <c r="W2924" t="str">
        <f>IFERROR(INDEX(Products!$E:$E,MATCH(D2924,Products!$A:$A,0)),"Unknown")</f>
        <v>Sonata</v>
      </c>
      <c r="X2924" t="str">
        <f>IFERROR(INDEX(Stores!$B:$B,MATCH(E2924,Stores!$A:$A,0)),"Unknown")</f>
        <v>TrendMart Vijayawada Outlet</v>
      </c>
      <c r="Y2924" t="str">
        <f>IFERROR(INDEX(Stores!$E:$E,MATCH(E2924,Stores!$A:$A,0)),"Unknown")</f>
        <v>South Zone 3</v>
      </c>
      <c r="Z2924" t="str">
        <f>IFERROR(INDEX(Customers!$J:$J,MATCH(C2924,Customers!$A:$A,0)),"Unknown")</f>
        <v>Silver</v>
      </c>
      <c r="AA2924" t="str">
        <f t="shared" si="45"/>
        <v>2024-12</v>
      </c>
      <c r="AB2924" t="str">
        <f>IFERROR(INDEX(Products!$I:$I,MATCH(D2924,Products!$A:$A,0)),"Unknown")</f>
        <v>SUP001</v>
      </c>
    </row>
    <row r="2925" spans="1:28" x14ac:dyDescent="0.25">
      <c r="A2925" t="s">
        <v>4999</v>
      </c>
      <c r="B2925" s="20">
        <v>45629</v>
      </c>
      <c r="C2925" t="s">
        <v>3079</v>
      </c>
      <c r="D2925" t="s">
        <v>629</v>
      </c>
      <c r="E2925" t="s">
        <v>82</v>
      </c>
      <c r="F2925" t="s">
        <v>579</v>
      </c>
      <c r="G2925">
        <v>2</v>
      </c>
      <c r="H2925" s="21">
        <v>6806.12</v>
      </c>
      <c r="I2925">
        <v>0</v>
      </c>
      <c r="J2925" s="21">
        <v>0</v>
      </c>
      <c r="K2925">
        <v>3</v>
      </c>
      <c r="L2925" s="21">
        <v>408.37</v>
      </c>
      <c r="M2925" s="21">
        <v>14020.61</v>
      </c>
      <c r="N2925" s="21">
        <v>9734.42</v>
      </c>
      <c r="O2925" s="21">
        <v>3877.82</v>
      </c>
      <c r="P2925" t="s">
        <v>121</v>
      </c>
      <c r="Q2925" t="s">
        <v>120</v>
      </c>
      <c r="R2925" t="s">
        <v>151</v>
      </c>
      <c r="S2925" t="s">
        <v>2584</v>
      </c>
      <c r="T2925" t="s">
        <v>153</v>
      </c>
      <c r="U2925" t="s">
        <v>154</v>
      </c>
      <c r="V2925" t="str">
        <f>IFERROR(INDEX(Products!$C:$C,MATCH(D2925,Products!$A:$A,0)),"Unknown")</f>
        <v>Jewellery</v>
      </c>
      <c r="W2925" t="str">
        <f>IFERROR(INDEX(Products!$E:$E,MATCH(D2925,Products!$A:$A,0)),"Unknown")</f>
        <v>Global Desi</v>
      </c>
      <c r="X2925" t="str">
        <f>IFERROR(INDEX(Stores!$B:$B,MATCH(E2925,Stores!$A:$A,0)),"Unknown")</f>
        <v>TrendMart Kochi High Street</v>
      </c>
      <c r="Y2925" t="str">
        <f>IFERROR(INDEX(Stores!$E:$E,MATCH(E2925,Stores!$A:$A,0)),"Unknown")</f>
        <v>South Zone 1</v>
      </c>
      <c r="Z2925" t="str">
        <f>IFERROR(INDEX(Customers!$J:$J,MATCH(C2925,Customers!$A:$A,0)),"Unknown")</f>
        <v>Regular</v>
      </c>
      <c r="AA2925" t="str">
        <f t="shared" si="45"/>
        <v>2024-12</v>
      </c>
      <c r="AB2925" t="str">
        <f>IFERROR(INDEX(Products!$I:$I,MATCH(D2925,Products!$A:$A,0)),"Unknown")</f>
        <v>SUP066</v>
      </c>
    </row>
    <row r="2926" spans="1:28" x14ac:dyDescent="0.25">
      <c r="A2926" t="s">
        <v>5000</v>
      </c>
      <c r="B2926" s="20">
        <v>45595</v>
      </c>
      <c r="C2926" t="s">
        <v>1245</v>
      </c>
      <c r="D2926" t="s">
        <v>149</v>
      </c>
      <c r="E2926" t="s">
        <v>302</v>
      </c>
      <c r="F2926" t="s">
        <v>242</v>
      </c>
      <c r="G2926">
        <v>2</v>
      </c>
      <c r="H2926" s="21">
        <v>733.44</v>
      </c>
      <c r="I2926">
        <v>10</v>
      </c>
      <c r="J2926" s="21">
        <v>146.69</v>
      </c>
      <c r="K2926">
        <v>5</v>
      </c>
      <c r="L2926" s="21">
        <v>66.010000000000005</v>
      </c>
      <c r="M2926" s="21">
        <v>1386.2</v>
      </c>
      <c r="N2926" s="21">
        <v>993.34</v>
      </c>
      <c r="O2926" s="21">
        <v>326.85000000000002</v>
      </c>
      <c r="P2926" t="s">
        <v>127</v>
      </c>
      <c r="Q2926" t="s">
        <v>122</v>
      </c>
      <c r="R2926" t="s">
        <v>151</v>
      </c>
      <c r="S2926" t="s">
        <v>1404</v>
      </c>
      <c r="T2926" t="s">
        <v>153</v>
      </c>
      <c r="U2926" t="s">
        <v>154</v>
      </c>
      <c r="V2926" t="str">
        <f>IFERROR(INDEX(Products!$C:$C,MATCH(D2926,Products!$A:$A,0)),"Unknown")</f>
        <v>Women Kurtis</v>
      </c>
      <c r="W2926" t="str">
        <f>IFERROR(INDEX(Products!$E:$E,MATCH(D2926,Products!$A:$A,0)),"Unknown")</f>
        <v>Pepe Jeans</v>
      </c>
      <c r="X2926" t="str">
        <f>IFERROR(INDEX(Stores!$B:$B,MATCH(E2926,Stores!$A:$A,0)),"Unknown")</f>
        <v>TrendMart Visakhapatnam Standard</v>
      </c>
      <c r="Y2926" t="str">
        <f>IFERROR(INDEX(Stores!$E:$E,MATCH(E2926,Stores!$A:$A,0)),"Unknown")</f>
        <v>South Zone 3</v>
      </c>
      <c r="Z2926" t="str">
        <f>IFERROR(INDEX(Customers!$J:$J,MATCH(C2926,Customers!$A:$A,0)),"Unknown")</f>
        <v>Regular</v>
      </c>
      <c r="AA2926" t="str">
        <f t="shared" si="45"/>
        <v>2024-10</v>
      </c>
      <c r="AB2926" t="str">
        <f>IFERROR(INDEX(Products!$I:$I,MATCH(D2926,Products!$A:$A,0)),"Unknown")</f>
        <v>SUP049</v>
      </c>
    </row>
    <row r="2927" spans="1:28" x14ac:dyDescent="0.25">
      <c r="A2927" t="s">
        <v>5001</v>
      </c>
      <c r="B2927" s="20">
        <v>45606</v>
      </c>
      <c r="C2927" t="s">
        <v>1241</v>
      </c>
      <c r="D2927" t="s">
        <v>654</v>
      </c>
      <c r="E2927" t="s">
        <v>1426</v>
      </c>
      <c r="F2927" t="s">
        <v>182</v>
      </c>
      <c r="G2927">
        <v>3</v>
      </c>
      <c r="H2927" s="21">
        <v>1155.47</v>
      </c>
      <c r="I2927">
        <v>25</v>
      </c>
      <c r="J2927" s="21">
        <v>866.6</v>
      </c>
      <c r="K2927">
        <v>12</v>
      </c>
      <c r="L2927" s="21">
        <v>311.98</v>
      </c>
      <c r="M2927" s="21">
        <v>2911.79</v>
      </c>
      <c r="N2927" s="21">
        <v>2596.2600000000002</v>
      </c>
      <c r="O2927" s="21">
        <v>3.55</v>
      </c>
      <c r="P2927" t="s">
        <v>124</v>
      </c>
      <c r="Q2927" t="s">
        <v>122</v>
      </c>
      <c r="R2927" t="s">
        <v>151</v>
      </c>
      <c r="S2927" t="s">
        <v>1622</v>
      </c>
      <c r="T2927" t="s">
        <v>161</v>
      </c>
      <c r="U2927" t="s">
        <v>154</v>
      </c>
      <c r="V2927" t="str">
        <f>IFERROR(INDEX(Products!$C:$C,MATCH(D2927,Products!$A:$A,0)),"Unknown")</f>
        <v>Women Dresses</v>
      </c>
      <c r="W2927" t="str">
        <f>IFERROR(INDEX(Products!$E:$E,MATCH(D2927,Products!$A:$A,0)),"Unknown")</f>
        <v>Indian Terrain</v>
      </c>
      <c r="X2927" t="str">
        <f>IFERROR(INDEX(Stores!$B:$B,MATCH(E2927,Stores!$A:$A,0)),"Unknown")</f>
        <v>TrendMart Alappuzha Mall Kiosk</v>
      </c>
      <c r="Y2927" t="str">
        <f>IFERROR(INDEX(Stores!$E:$E,MATCH(E2927,Stores!$A:$A,0)),"Unknown")</f>
        <v>South Zone 1</v>
      </c>
      <c r="Z2927" t="str">
        <f>IFERROR(INDEX(Customers!$J:$J,MATCH(C2927,Customers!$A:$A,0)),"Unknown")</f>
        <v>Silver</v>
      </c>
      <c r="AA2927" t="str">
        <f t="shared" si="45"/>
        <v>2024-11</v>
      </c>
      <c r="AB2927" t="str">
        <f>IFERROR(INDEX(Products!$I:$I,MATCH(D2927,Products!$A:$A,0)),"Unknown")</f>
        <v>SUP049</v>
      </c>
    </row>
    <row r="2928" spans="1:28" x14ac:dyDescent="0.25">
      <c r="A2928" t="s">
        <v>5002</v>
      </c>
      <c r="B2928" s="20">
        <v>45543</v>
      </c>
      <c r="C2928" t="s">
        <v>1033</v>
      </c>
      <c r="D2928" t="s">
        <v>685</v>
      </c>
      <c r="E2928" t="s">
        <v>402</v>
      </c>
      <c r="F2928" t="s">
        <v>596</v>
      </c>
      <c r="G2928">
        <v>1</v>
      </c>
      <c r="H2928" s="21">
        <v>1133.51</v>
      </c>
      <c r="I2928">
        <v>20</v>
      </c>
      <c r="J2928" s="21">
        <v>226.7</v>
      </c>
      <c r="K2928">
        <v>12</v>
      </c>
      <c r="L2928" s="21">
        <v>108.82</v>
      </c>
      <c r="M2928" s="21">
        <v>1015.63</v>
      </c>
      <c r="N2928" s="21">
        <v>626.26</v>
      </c>
      <c r="O2928" s="21">
        <v>280.55</v>
      </c>
      <c r="P2928" t="s">
        <v>124</v>
      </c>
      <c r="Q2928" t="s">
        <v>122</v>
      </c>
      <c r="R2928" t="s">
        <v>151</v>
      </c>
      <c r="S2928" t="s">
        <v>2898</v>
      </c>
      <c r="T2928" t="s">
        <v>161</v>
      </c>
      <c r="U2928" t="s">
        <v>154</v>
      </c>
      <c r="V2928" t="str">
        <f>IFERROR(INDEX(Products!$C:$C,MATCH(D2928,Products!$A:$A,0)),"Unknown")</f>
        <v>Sportswear</v>
      </c>
      <c r="W2928" t="str">
        <f>IFERROR(INDEX(Products!$E:$E,MATCH(D2928,Products!$A:$A,0)),"Unknown")</f>
        <v>Being Human</v>
      </c>
      <c r="X2928" t="str">
        <f>IFERROR(INDEX(Stores!$B:$B,MATCH(E2928,Stores!$A:$A,0)),"Unknown")</f>
        <v>TrendMart Kannur Standard</v>
      </c>
      <c r="Y2928" t="str">
        <f>IFERROR(INDEX(Stores!$E:$E,MATCH(E2928,Stores!$A:$A,0)),"Unknown")</f>
        <v>South Zone 1</v>
      </c>
      <c r="Z2928" t="str">
        <f>IFERROR(INDEX(Customers!$J:$J,MATCH(C2928,Customers!$A:$A,0)),"Unknown")</f>
        <v>Platinum</v>
      </c>
      <c r="AA2928" t="str">
        <f t="shared" si="45"/>
        <v>2024-09</v>
      </c>
      <c r="AB2928" t="str">
        <f>IFERROR(INDEX(Products!$I:$I,MATCH(D2928,Products!$A:$A,0)),"Unknown")</f>
        <v>SUP066</v>
      </c>
    </row>
    <row r="2929" spans="1:28" x14ac:dyDescent="0.25">
      <c r="A2929" t="s">
        <v>5003</v>
      </c>
      <c r="B2929" s="20">
        <v>45544</v>
      </c>
      <c r="C2929" t="s">
        <v>209</v>
      </c>
      <c r="D2929" t="s">
        <v>285</v>
      </c>
      <c r="E2929" t="s">
        <v>1068</v>
      </c>
      <c r="F2929" t="s">
        <v>303</v>
      </c>
      <c r="G2929">
        <v>1</v>
      </c>
      <c r="H2929" s="21">
        <v>692.87</v>
      </c>
      <c r="I2929">
        <v>15</v>
      </c>
      <c r="J2929" s="21">
        <v>103.93</v>
      </c>
      <c r="K2929">
        <v>5</v>
      </c>
      <c r="L2929" s="21">
        <v>29.45</v>
      </c>
      <c r="M2929" s="21">
        <v>618.39</v>
      </c>
      <c r="N2929" s="21">
        <v>499.31</v>
      </c>
      <c r="O2929" s="21">
        <v>89.63</v>
      </c>
      <c r="P2929" t="s">
        <v>121</v>
      </c>
      <c r="Q2929" t="s">
        <v>122</v>
      </c>
      <c r="R2929" t="s">
        <v>151</v>
      </c>
      <c r="S2929" t="s">
        <v>3168</v>
      </c>
      <c r="T2929" t="s">
        <v>153</v>
      </c>
      <c r="U2929" t="s">
        <v>154</v>
      </c>
      <c r="V2929" t="str">
        <f>IFERROR(INDEX(Products!$C:$C,MATCH(D2929,Products!$A:$A,0)),"Unknown")</f>
        <v>Kids Wear</v>
      </c>
      <c r="W2929" t="str">
        <f>IFERROR(INDEX(Products!$E:$E,MATCH(D2929,Products!$A:$A,0)),"Unknown")</f>
        <v>Global Desi</v>
      </c>
      <c r="X2929" t="str">
        <f>IFERROR(INDEX(Stores!$B:$B,MATCH(E2929,Stores!$A:$A,0)),"Unknown")</f>
        <v>TrendMart Tumakuru High Street</v>
      </c>
      <c r="Y2929" t="str">
        <f>IFERROR(INDEX(Stores!$E:$E,MATCH(E2929,Stores!$A:$A,0)),"Unknown")</f>
        <v>South Zone 2</v>
      </c>
      <c r="Z2929" t="str">
        <f>IFERROR(INDEX(Customers!$J:$J,MATCH(C2929,Customers!$A:$A,0)),"Unknown")</f>
        <v>Silver</v>
      </c>
      <c r="AA2929" t="str">
        <f t="shared" si="45"/>
        <v>2024-09</v>
      </c>
      <c r="AB2929" t="str">
        <f>IFERROR(INDEX(Products!$I:$I,MATCH(D2929,Products!$A:$A,0)),"Unknown")</f>
        <v>SUP008</v>
      </c>
    </row>
    <row r="2930" spans="1:28" x14ac:dyDescent="0.25">
      <c r="A2930" t="s">
        <v>5004</v>
      </c>
      <c r="B2930" s="20">
        <v>45399</v>
      </c>
      <c r="C2930" t="s">
        <v>3134</v>
      </c>
      <c r="D2930" t="s">
        <v>888</v>
      </c>
      <c r="E2930" t="s">
        <v>630</v>
      </c>
      <c r="F2930" t="s">
        <v>281</v>
      </c>
      <c r="G2930">
        <v>1</v>
      </c>
      <c r="H2930" s="21">
        <v>6420.87</v>
      </c>
      <c r="I2930">
        <v>5</v>
      </c>
      <c r="J2930" s="21">
        <v>321.04000000000002</v>
      </c>
      <c r="K2930">
        <v>3</v>
      </c>
      <c r="L2930" s="21">
        <v>182.99</v>
      </c>
      <c r="M2930" s="21">
        <v>6282.82</v>
      </c>
      <c r="N2930" s="21">
        <v>4762.76</v>
      </c>
      <c r="O2930" s="21">
        <v>1337.07</v>
      </c>
      <c r="P2930" t="s">
        <v>127</v>
      </c>
      <c r="Q2930" t="s">
        <v>122</v>
      </c>
      <c r="R2930" t="s">
        <v>151</v>
      </c>
      <c r="S2930" t="s">
        <v>835</v>
      </c>
      <c r="T2930" t="s">
        <v>153</v>
      </c>
      <c r="U2930" t="s">
        <v>154</v>
      </c>
      <c r="V2930" t="str">
        <f>IFERROR(INDEX(Products!$C:$C,MATCH(D2930,Products!$A:$A,0)),"Unknown")</f>
        <v>Jewellery</v>
      </c>
      <c r="W2930" t="str">
        <f>IFERROR(INDEX(Products!$E:$E,MATCH(D2930,Products!$A:$A,0)),"Unknown")</f>
        <v>Aurelia</v>
      </c>
      <c r="X2930" t="str">
        <f>IFERROR(INDEX(Stores!$B:$B,MATCH(E2930,Stores!$A:$A,0)),"Unknown")</f>
        <v>TrendMart Guntur Standard</v>
      </c>
      <c r="Y2930" t="str">
        <f>IFERROR(INDEX(Stores!$E:$E,MATCH(E2930,Stores!$A:$A,0)),"Unknown")</f>
        <v>South Zone 3</v>
      </c>
      <c r="Z2930" t="str">
        <f>IFERROR(INDEX(Customers!$J:$J,MATCH(C2930,Customers!$A:$A,0)),"Unknown")</f>
        <v>Silver</v>
      </c>
      <c r="AA2930" t="str">
        <f t="shared" si="45"/>
        <v>2024-04</v>
      </c>
      <c r="AB2930" t="str">
        <f>IFERROR(INDEX(Products!$I:$I,MATCH(D2930,Products!$A:$A,0)),"Unknown")</f>
        <v>SUP038</v>
      </c>
    </row>
    <row r="2931" spans="1:28" x14ac:dyDescent="0.25">
      <c r="A2931" t="s">
        <v>5005</v>
      </c>
      <c r="B2931" s="20">
        <v>45588</v>
      </c>
      <c r="C2931" t="s">
        <v>661</v>
      </c>
      <c r="D2931" t="s">
        <v>756</v>
      </c>
      <c r="E2931" t="s">
        <v>613</v>
      </c>
      <c r="F2931" t="s">
        <v>170</v>
      </c>
      <c r="G2931">
        <v>2</v>
      </c>
      <c r="H2931" s="21">
        <v>744.29</v>
      </c>
      <c r="I2931">
        <v>30</v>
      </c>
      <c r="J2931" s="21">
        <v>669.86</v>
      </c>
      <c r="K2931">
        <v>5</v>
      </c>
      <c r="L2931" s="21">
        <v>78.150000000000006</v>
      </c>
      <c r="M2931" s="21">
        <v>1641.16</v>
      </c>
      <c r="N2931" s="21">
        <v>1567.14</v>
      </c>
      <c r="O2931" s="21">
        <v>-4.13</v>
      </c>
      <c r="P2931" t="s">
        <v>124</v>
      </c>
      <c r="Q2931" t="s">
        <v>122</v>
      </c>
      <c r="R2931" t="s">
        <v>151</v>
      </c>
      <c r="S2931" t="s">
        <v>953</v>
      </c>
      <c r="T2931" t="s">
        <v>153</v>
      </c>
      <c r="U2931" t="s">
        <v>184</v>
      </c>
      <c r="V2931" t="str">
        <f>IFERROR(INDEX(Products!$C:$C,MATCH(D2931,Products!$A:$A,0)),"Unknown")</f>
        <v>Women Tops</v>
      </c>
      <c r="W2931" t="str">
        <f>IFERROR(INDEX(Products!$E:$E,MATCH(D2931,Products!$A:$A,0)),"Unknown")</f>
        <v>Peter England</v>
      </c>
      <c r="X2931" t="str">
        <f>IFERROR(INDEX(Stores!$B:$B,MATCH(E2931,Stores!$A:$A,0)),"Unknown")</f>
        <v>TrendMart Kochi Mall Kiosk</v>
      </c>
      <c r="Y2931" t="str">
        <f>IFERROR(INDEX(Stores!$E:$E,MATCH(E2931,Stores!$A:$A,0)),"Unknown")</f>
        <v>South Zone 1</v>
      </c>
      <c r="Z2931" t="str">
        <f>IFERROR(INDEX(Customers!$J:$J,MATCH(C2931,Customers!$A:$A,0)),"Unknown")</f>
        <v>Silver</v>
      </c>
      <c r="AA2931" t="str">
        <f t="shared" si="45"/>
        <v>2024-10</v>
      </c>
      <c r="AB2931" t="str">
        <f>IFERROR(INDEX(Products!$I:$I,MATCH(D2931,Products!$A:$A,0)),"Unknown")</f>
        <v>SUP018</v>
      </c>
    </row>
    <row r="2932" spans="1:28" x14ac:dyDescent="0.25">
      <c r="A2932" t="s">
        <v>5006</v>
      </c>
      <c r="B2932" s="20">
        <v>45567</v>
      </c>
      <c r="C2932" t="s">
        <v>4574</v>
      </c>
      <c r="D2932" t="s">
        <v>1063</v>
      </c>
      <c r="E2932" t="s">
        <v>927</v>
      </c>
      <c r="F2932" t="s">
        <v>532</v>
      </c>
      <c r="G2932">
        <v>2</v>
      </c>
      <c r="H2932" s="21">
        <v>1012.94</v>
      </c>
      <c r="I2932">
        <v>15</v>
      </c>
      <c r="J2932" s="21">
        <v>303.88</v>
      </c>
      <c r="K2932">
        <v>12</v>
      </c>
      <c r="L2932" s="21">
        <v>206.64</v>
      </c>
      <c r="M2932" s="21">
        <v>1928.64</v>
      </c>
      <c r="N2932" s="21">
        <v>1153.94</v>
      </c>
      <c r="O2932" s="21">
        <v>568.05999999999995</v>
      </c>
      <c r="P2932" t="s">
        <v>124</v>
      </c>
      <c r="Q2932" t="s">
        <v>120</v>
      </c>
      <c r="R2932" t="s">
        <v>151</v>
      </c>
      <c r="S2932" t="s">
        <v>1027</v>
      </c>
      <c r="T2932" t="s">
        <v>153</v>
      </c>
      <c r="U2932" t="s">
        <v>154</v>
      </c>
      <c r="V2932" t="str">
        <f>IFERROR(INDEX(Products!$C:$C,MATCH(D2932,Products!$A:$A,0)),"Unknown")</f>
        <v>Accessories</v>
      </c>
      <c r="W2932" t="str">
        <f>IFERROR(INDEX(Products!$E:$E,MATCH(D2932,Products!$A:$A,0)),"Unknown")</f>
        <v>Pepe Jeans</v>
      </c>
      <c r="X2932" t="str">
        <f>IFERROR(INDEX(Stores!$B:$B,MATCH(E2932,Stores!$A:$A,0)),"Unknown")</f>
        <v>TrendMart Kochi Mall Kiosk</v>
      </c>
      <c r="Y2932" t="str">
        <f>IFERROR(INDEX(Stores!$E:$E,MATCH(E2932,Stores!$A:$A,0)),"Unknown")</f>
        <v>South Zone 1</v>
      </c>
      <c r="Z2932" t="str">
        <f>IFERROR(INDEX(Customers!$J:$J,MATCH(C2932,Customers!$A:$A,0)),"Unknown")</f>
        <v>Silver</v>
      </c>
      <c r="AA2932" t="str">
        <f t="shared" si="45"/>
        <v>2024-10</v>
      </c>
      <c r="AB2932" t="str">
        <f>IFERROR(INDEX(Products!$I:$I,MATCH(D2932,Products!$A:$A,0)),"Unknown")</f>
        <v>SUP056</v>
      </c>
    </row>
    <row r="2933" spans="1:28" x14ac:dyDescent="0.25">
      <c r="A2933" t="s">
        <v>5007</v>
      </c>
      <c r="B2933" s="20">
        <v>45746</v>
      </c>
      <c r="C2933" t="s">
        <v>1377</v>
      </c>
      <c r="D2933" t="s">
        <v>1036</v>
      </c>
      <c r="E2933" t="s">
        <v>588</v>
      </c>
      <c r="F2933" t="s">
        <v>292</v>
      </c>
      <c r="G2933">
        <v>1</v>
      </c>
      <c r="H2933" s="21">
        <v>901.77</v>
      </c>
      <c r="I2933">
        <v>10</v>
      </c>
      <c r="J2933" s="21">
        <v>90.18</v>
      </c>
      <c r="K2933">
        <v>5</v>
      </c>
      <c r="L2933" s="21">
        <v>40.58</v>
      </c>
      <c r="M2933" s="21">
        <v>852.17</v>
      </c>
      <c r="N2933" s="21">
        <v>590.02</v>
      </c>
      <c r="O2933" s="21">
        <v>221.57</v>
      </c>
      <c r="P2933" t="s">
        <v>124</v>
      </c>
      <c r="Q2933" t="s">
        <v>120</v>
      </c>
      <c r="R2933" t="s">
        <v>151</v>
      </c>
      <c r="S2933" t="s">
        <v>1674</v>
      </c>
      <c r="T2933" t="s">
        <v>161</v>
      </c>
      <c r="U2933" t="s">
        <v>154</v>
      </c>
      <c r="V2933" t="str">
        <f>IFERROR(INDEX(Products!$C:$C,MATCH(D2933,Products!$A:$A,0)),"Unknown")</f>
        <v>Belts</v>
      </c>
      <c r="W2933" t="str">
        <f>IFERROR(INDEX(Products!$E:$E,MATCH(D2933,Products!$A:$A,0)),"Unknown")</f>
        <v>Skechers</v>
      </c>
      <c r="X2933" t="str">
        <f>IFERROR(INDEX(Stores!$B:$B,MATCH(E2933,Stores!$A:$A,0)),"Unknown")</f>
        <v>TrendMart Nizamabad Standard</v>
      </c>
      <c r="Y2933" t="str">
        <f>IFERROR(INDEX(Stores!$E:$E,MATCH(E2933,Stores!$A:$A,0)),"Unknown")</f>
        <v>South Zone 2</v>
      </c>
      <c r="Z2933" t="str">
        <f>IFERROR(INDEX(Customers!$J:$J,MATCH(C2933,Customers!$A:$A,0)),"Unknown")</f>
        <v>Silver</v>
      </c>
      <c r="AA2933" t="str">
        <f t="shared" si="45"/>
        <v>2025-03</v>
      </c>
      <c r="AB2933" t="str">
        <f>IFERROR(INDEX(Products!$I:$I,MATCH(D2933,Products!$A:$A,0)),"Unknown")</f>
        <v>SUP085</v>
      </c>
    </row>
    <row r="2934" spans="1:28" x14ac:dyDescent="0.25">
      <c r="A2934" t="s">
        <v>5008</v>
      </c>
      <c r="B2934" s="20">
        <v>45412</v>
      </c>
      <c r="C2934" t="s">
        <v>1676</v>
      </c>
      <c r="D2934" t="s">
        <v>1026</v>
      </c>
      <c r="E2934" t="s">
        <v>1825</v>
      </c>
      <c r="F2934" t="s">
        <v>403</v>
      </c>
      <c r="G2934">
        <v>3</v>
      </c>
      <c r="H2934" s="21">
        <v>1295.81</v>
      </c>
      <c r="I2934">
        <v>0</v>
      </c>
      <c r="J2934" s="21">
        <v>0</v>
      </c>
      <c r="K2934">
        <v>12</v>
      </c>
      <c r="L2934" s="21">
        <v>466.49</v>
      </c>
      <c r="M2934" s="21">
        <v>4353.92</v>
      </c>
      <c r="N2934" s="21">
        <v>2886.51</v>
      </c>
      <c r="O2934" s="21">
        <v>1000.92</v>
      </c>
      <c r="P2934" t="s">
        <v>124</v>
      </c>
      <c r="Q2934" t="s">
        <v>120</v>
      </c>
      <c r="R2934" t="s">
        <v>151</v>
      </c>
      <c r="S2934" t="s">
        <v>1636</v>
      </c>
      <c r="T2934" t="s">
        <v>153</v>
      </c>
      <c r="U2934" t="s">
        <v>154</v>
      </c>
      <c r="V2934" t="str">
        <f>IFERROR(INDEX(Products!$C:$C,MATCH(D2934,Products!$A:$A,0)),"Unknown")</f>
        <v>Women Sarees</v>
      </c>
      <c r="W2934" t="str">
        <f>IFERROR(INDEX(Products!$E:$E,MATCH(D2934,Products!$A:$A,0)),"Unknown")</f>
        <v>Spykar</v>
      </c>
      <c r="X2934" t="str">
        <f>IFERROR(INDEX(Stores!$B:$B,MATCH(E2934,Stores!$A:$A,0)),"Unknown")</f>
        <v>TrendMart Vijayawada Outlet</v>
      </c>
      <c r="Y2934" t="str">
        <f>IFERROR(INDEX(Stores!$E:$E,MATCH(E2934,Stores!$A:$A,0)),"Unknown")</f>
        <v>South Zone 3</v>
      </c>
      <c r="Z2934" t="str">
        <f>IFERROR(INDEX(Customers!$J:$J,MATCH(C2934,Customers!$A:$A,0)),"Unknown")</f>
        <v>Silver</v>
      </c>
      <c r="AA2934" t="str">
        <f t="shared" si="45"/>
        <v>2024-04</v>
      </c>
      <c r="AB2934" t="str">
        <f>IFERROR(INDEX(Products!$I:$I,MATCH(D2934,Products!$A:$A,0)),"Unknown")</f>
        <v>SUP001</v>
      </c>
    </row>
    <row r="2935" spans="1:28" x14ac:dyDescent="0.25">
      <c r="A2935" t="s">
        <v>5009</v>
      </c>
      <c r="B2935" s="20">
        <v>45590</v>
      </c>
      <c r="C2935" t="s">
        <v>4499</v>
      </c>
      <c r="D2935" t="s">
        <v>573</v>
      </c>
      <c r="E2935" t="s">
        <v>1074</v>
      </c>
      <c r="F2935" t="s">
        <v>397</v>
      </c>
      <c r="G2935">
        <v>1</v>
      </c>
      <c r="H2935" s="21">
        <v>1070.99</v>
      </c>
      <c r="I2935">
        <v>30</v>
      </c>
      <c r="J2935" s="21">
        <v>321.3</v>
      </c>
      <c r="K2935">
        <v>12</v>
      </c>
      <c r="L2935" s="21">
        <v>89.96</v>
      </c>
      <c r="M2935" s="21">
        <v>839.65</v>
      </c>
      <c r="N2935" s="21">
        <v>720.53</v>
      </c>
      <c r="O2935" s="21">
        <v>29.16</v>
      </c>
      <c r="P2935" t="s">
        <v>121</v>
      </c>
      <c r="Q2935" t="s">
        <v>120</v>
      </c>
      <c r="R2935" t="s">
        <v>151</v>
      </c>
      <c r="S2935" t="s">
        <v>3442</v>
      </c>
      <c r="T2935" t="s">
        <v>153</v>
      </c>
      <c r="U2935" t="s">
        <v>154</v>
      </c>
      <c r="V2935" t="str">
        <f>IFERROR(INDEX(Products!$C:$C,MATCH(D2935,Products!$A:$A,0)),"Unknown")</f>
        <v>Women Jeans</v>
      </c>
      <c r="W2935" t="str">
        <f>IFERROR(INDEX(Products!$E:$E,MATCH(D2935,Products!$A:$A,0)),"Unknown")</f>
        <v>Sonata</v>
      </c>
      <c r="X2935" t="str">
        <f>IFERROR(INDEX(Stores!$B:$B,MATCH(E2935,Stores!$A:$A,0)),"Unknown")</f>
        <v>TrendMart Hyderabad Standard</v>
      </c>
      <c r="Y2935" t="str">
        <f>IFERROR(INDEX(Stores!$E:$E,MATCH(E2935,Stores!$A:$A,0)),"Unknown")</f>
        <v>South Zone 2</v>
      </c>
      <c r="Z2935" t="str">
        <f>IFERROR(INDEX(Customers!$J:$J,MATCH(C2935,Customers!$A:$A,0)),"Unknown")</f>
        <v>Gold</v>
      </c>
      <c r="AA2935" t="str">
        <f t="shared" si="45"/>
        <v>2024-10</v>
      </c>
      <c r="AB2935" t="str">
        <f>IFERROR(INDEX(Products!$I:$I,MATCH(D2935,Products!$A:$A,0)),"Unknown")</f>
        <v>SUP017</v>
      </c>
    </row>
    <row r="2936" spans="1:28" x14ac:dyDescent="0.25">
      <c r="A2936" t="s">
        <v>5010</v>
      </c>
      <c r="B2936" s="20">
        <v>45635</v>
      </c>
      <c r="C2936" t="s">
        <v>1457</v>
      </c>
      <c r="D2936" t="s">
        <v>864</v>
      </c>
      <c r="E2936" t="s">
        <v>351</v>
      </c>
      <c r="F2936" t="s">
        <v>150</v>
      </c>
      <c r="G2936">
        <v>2</v>
      </c>
      <c r="H2936" s="21">
        <v>2916.29</v>
      </c>
      <c r="I2936">
        <v>5</v>
      </c>
      <c r="J2936" s="21">
        <v>291.63</v>
      </c>
      <c r="K2936">
        <v>3</v>
      </c>
      <c r="L2936" s="21">
        <v>166.23</v>
      </c>
      <c r="M2936" s="21">
        <v>5707.18</v>
      </c>
      <c r="N2936" s="21">
        <v>3979.86</v>
      </c>
      <c r="O2936" s="21">
        <v>1561.09</v>
      </c>
      <c r="P2936" t="s">
        <v>125</v>
      </c>
      <c r="Q2936" t="s">
        <v>120</v>
      </c>
      <c r="R2936" t="s">
        <v>151</v>
      </c>
      <c r="S2936" t="s">
        <v>566</v>
      </c>
      <c r="T2936" t="s">
        <v>153</v>
      </c>
      <c r="U2936" t="s">
        <v>154</v>
      </c>
      <c r="V2936" t="str">
        <f>IFERROR(INDEX(Products!$C:$C,MATCH(D2936,Products!$A:$A,0)),"Unknown")</f>
        <v>Jewellery</v>
      </c>
      <c r="W2936" t="str">
        <f>IFERROR(INDEX(Products!$E:$E,MATCH(D2936,Products!$A:$A,0)),"Unknown")</f>
        <v>Wrangler</v>
      </c>
      <c r="X2936" t="str">
        <f>IFERROR(INDEX(Stores!$B:$B,MATCH(E2936,Stores!$A:$A,0)),"Unknown")</f>
        <v>TrendMart Kozhikode High Street</v>
      </c>
      <c r="Y2936" t="str">
        <f>IFERROR(INDEX(Stores!$E:$E,MATCH(E2936,Stores!$A:$A,0)),"Unknown")</f>
        <v>South Zone 1</v>
      </c>
      <c r="Z2936" t="str">
        <f>IFERROR(INDEX(Customers!$J:$J,MATCH(C2936,Customers!$A:$A,0)),"Unknown")</f>
        <v>Platinum</v>
      </c>
      <c r="AA2936" t="str">
        <f t="shared" si="45"/>
        <v>2024-12</v>
      </c>
      <c r="AB2936" t="str">
        <f>IFERROR(INDEX(Products!$I:$I,MATCH(D2936,Products!$A:$A,0)),"Unknown")</f>
        <v>SUP070</v>
      </c>
    </row>
    <row r="2937" spans="1:28" x14ac:dyDescent="0.25">
      <c r="A2937" t="s">
        <v>5011</v>
      </c>
      <c r="B2937" s="20">
        <v>45537</v>
      </c>
      <c r="C2937" t="s">
        <v>3282</v>
      </c>
      <c r="D2937" t="s">
        <v>748</v>
      </c>
      <c r="E2937" t="s">
        <v>815</v>
      </c>
      <c r="F2937" t="s">
        <v>221</v>
      </c>
      <c r="G2937">
        <v>0</v>
      </c>
      <c r="H2937" s="21">
        <v>1151.6400000000001</v>
      </c>
      <c r="I2937">
        <v>20</v>
      </c>
      <c r="J2937" s="21">
        <v>0</v>
      </c>
      <c r="K2937">
        <v>12</v>
      </c>
      <c r="L2937" s="21">
        <v>0</v>
      </c>
      <c r="M2937" s="21">
        <v>0</v>
      </c>
      <c r="N2937" s="21">
        <v>0</v>
      </c>
      <c r="O2937" s="21">
        <v>0</v>
      </c>
      <c r="P2937" t="s">
        <v>123</v>
      </c>
      <c r="Q2937" t="s">
        <v>120</v>
      </c>
      <c r="R2937" t="s">
        <v>482</v>
      </c>
      <c r="S2937" t="s">
        <v>3148</v>
      </c>
      <c r="T2937" t="s">
        <v>153</v>
      </c>
      <c r="U2937" t="s">
        <v>154</v>
      </c>
      <c r="V2937" t="str">
        <f>IFERROR(INDEX(Products!$C:$C,MATCH(D2937,Products!$A:$A,0)),"Unknown")</f>
        <v>Women Dresses</v>
      </c>
      <c r="W2937" t="str">
        <f>IFERROR(INDEX(Products!$E:$E,MATCH(D2937,Products!$A:$A,0)),"Unknown")</f>
        <v>Kalyan Silks</v>
      </c>
      <c r="X2937" t="str">
        <f>IFERROR(INDEX(Stores!$B:$B,MATCH(E2937,Stores!$A:$A,0)),"Unknown")</f>
        <v>TrendMart Madurai Mall Kiosk</v>
      </c>
      <c r="Y2937" t="str">
        <f>IFERROR(INDEX(Stores!$E:$E,MATCH(E2937,Stores!$A:$A,0)),"Unknown")</f>
        <v>South Zone 1</v>
      </c>
      <c r="Z2937" t="str">
        <f>IFERROR(INDEX(Customers!$J:$J,MATCH(C2937,Customers!$A:$A,0)),"Unknown")</f>
        <v>Regular</v>
      </c>
      <c r="AA2937" t="str">
        <f t="shared" si="45"/>
        <v>2024-09</v>
      </c>
      <c r="AB2937" t="str">
        <f>IFERROR(INDEX(Products!$I:$I,MATCH(D2937,Products!$A:$A,0)),"Unknown")</f>
        <v>SUP036</v>
      </c>
    </row>
    <row r="2938" spans="1:28" x14ac:dyDescent="0.25">
      <c r="A2938" t="s">
        <v>5012</v>
      </c>
      <c r="B2938" s="20">
        <v>45478</v>
      </c>
      <c r="C2938" t="s">
        <v>3472</v>
      </c>
      <c r="D2938" t="s">
        <v>1877</v>
      </c>
      <c r="E2938" t="s">
        <v>1325</v>
      </c>
      <c r="F2938" t="s">
        <v>335</v>
      </c>
      <c r="G2938">
        <v>1</v>
      </c>
      <c r="H2938" s="21">
        <v>1753.03</v>
      </c>
      <c r="I2938">
        <v>15</v>
      </c>
      <c r="J2938" s="21">
        <v>262.95</v>
      </c>
      <c r="K2938">
        <v>12</v>
      </c>
      <c r="L2938" s="21">
        <v>178.81</v>
      </c>
      <c r="M2938" s="21">
        <v>1668.89</v>
      </c>
      <c r="N2938" s="21">
        <v>1331.55</v>
      </c>
      <c r="O2938" s="21">
        <v>158.53</v>
      </c>
      <c r="P2938" t="s">
        <v>121</v>
      </c>
      <c r="Q2938" t="s">
        <v>120</v>
      </c>
      <c r="R2938" t="s">
        <v>151</v>
      </c>
      <c r="S2938" t="s">
        <v>2655</v>
      </c>
      <c r="T2938" t="s">
        <v>153</v>
      </c>
      <c r="U2938" t="s">
        <v>154</v>
      </c>
      <c r="V2938" t="str">
        <f>IFERROR(INDEX(Products!$C:$C,MATCH(D2938,Products!$A:$A,0)),"Unknown")</f>
        <v>Women Sarees</v>
      </c>
      <c r="W2938" t="str">
        <f>IFERROR(INDEX(Products!$E:$E,MATCH(D2938,Products!$A:$A,0)),"Unknown")</f>
        <v>Sonata</v>
      </c>
      <c r="X2938" t="str">
        <f>IFERROR(INDEX(Stores!$B:$B,MATCH(E2938,Stores!$A:$A,0)),"Unknown")</f>
        <v>TrendMart Thrissur Standard</v>
      </c>
      <c r="Y2938" t="str">
        <f>IFERROR(INDEX(Stores!$E:$E,MATCH(E2938,Stores!$A:$A,0)),"Unknown")</f>
        <v>South Zone 1</v>
      </c>
      <c r="Z2938" t="str">
        <f>IFERROR(INDEX(Customers!$J:$J,MATCH(C2938,Customers!$A:$A,0)),"Unknown")</f>
        <v>Silver</v>
      </c>
      <c r="AA2938" t="str">
        <f t="shared" si="45"/>
        <v>2024-07</v>
      </c>
      <c r="AB2938" t="str">
        <f>IFERROR(INDEX(Products!$I:$I,MATCH(D2938,Products!$A:$A,0)),"Unknown")</f>
        <v>SUP073</v>
      </c>
    </row>
    <row r="2939" spans="1:28" x14ac:dyDescent="0.25">
      <c r="A2939" t="s">
        <v>5013</v>
      </c>
      <c r="B2939" s="20">
        <v>45471</v>
      </c>
      <c r="C2939" t="s">
        <v>3131</v>
      </c>
      <c r="D2939" t="s">
        <v>595</v>
      </c>
      <c r="E2939" t="s">
        <v>87</v>
      </c>
      <c r="F2939" t="s">
        <v>159</v>
      </c>
      <c r="G2939">
        <v>1</v>
      </c>
      <c r="H2939" s="21">
        <v>896.01</v>
      </c>
      <c r="I2939">
        <v>10</v>
      </c>
      <c r="J2939" s="21">
        <v>89.6</v>
      </c>
      <c r="K2939">
        <v>5</v>
      </c>
      <c r="L2939" s="21">
        <v>40.32</v>
      </c>
      <c r="M2939" s="21">
        <v>846.73</v>
      </c>
      <c r="N2939" s="21">
        <v>590.48</v>
      </c>
      <c r="O2939" s="21">
        <v>215.93</v>
      </c>
      <c r="P2939" t="s">
        <v>124</v>
      </c>
      <c r="Q2939" t="s">
        <v>122</v>
      </c>
      <c r="R2939" t="s">
        <v>151</v>
      </c>
      <c r="S2939" t="s">
        <v>1485</v>
      </c>
      <c r="T2939" t="s">
        <v>153</v>
      </c>
      <c r="U2939" t="s">
        <v>154</v>
      </c>
      <c r="V2939" t="str">
        <f>IFERROR(INDEX(Products!$C:$C,MATCH(D2939,Products!$A:$A,0)),"Unknown")</f>
        <v>Men Shirts</v>
      </c>
      <c r="W2939" t="str">
        <f>IFERROR(INDEX(Products!$E:$E,MATCH(D2939,Products!$A:$A,0)),"Unknown")</f>
        <v>Nalli Silks</v>
      </c>
      <c r="X2939" t="str">
        <f>IFERROR(INDEX(Stores!$B:$B,MATCH(E2939,Stores!$A:$A,0)),"Unknown")</f>
        <v>TrendMart Thiruvananthapuram Standard</v>
      </c>
      <c r="Y2939" t="str">
        <f>IFERROR(INDEX(Stores!$E:$E,MATCH(E2939,Stores!$A:$A,0)),"Unknown")</f>
        <v>South Zone 1</v>
      </c>
      <c r="Z2939" t="str">
        <f>IFERROR(INDEX(Customers!$J:$J,MATCH(C2939,Customers!$A:$A,0)),"Unknown")</f>
        <v>Silver</v>
      </c>
      <c r="AA2939" t="str">
        <f t="shared" si="45"/>
        <v>2024-06</v>
      </c>
      <c r="AB2939" t="str">
        <f>IFERROR(INDEX(Products!$I:$I,MATCH(D2939,Products!$A:$A,0)),"Unknown")</f>
        <v>SUP055</v>
      </c>
    </row>
    <row r="2940" spans="1:28" x14ac:dyDescent="0.25">
      <c r="A2940" t="s">
        <v>5014</v>
      </c>
      <c r="B2940" s="20">
        <v>45582</v>
      </c>
      <c r="C2940" t="s">
        <v>3935</v>
      </c>
      <c r="D2940" t="s">
        <v>905</v>
      </c>
      <c r="E2940" t="s">
        <v>175</v>
      </c>
      <c r="F2940" t="s">
        <v>292</v>
      </c>
      <c r="G2940">
        <v>1</v>
      </c>
      <c r="H2940" s="21">
        <v>578.76</v>
      </c>
      <c r="I2940">
        <v>5</v>
      </c>
      <c r="J2940" s="21">
        <v>28.94</v>
      </c>
      <c r="K2940">
        <v>5</v>
      </c>
      <c r="L2940" s="21">
        <v>27.49</v>
      </c>
      <c r="M2940" s="21">
        <v>577.30999999999995</v>
      </c>
      <c r="N2940" s="21">
        <v>371.12</v>
      </c>
      <c r="O2940" s="21">
        <v>178.7</v>
      </c>
      <c r="P2940" t="s">
        <v>124</v>
      </c>
      <c r="Q2940" t="s">
        <v>122</v>
      </c>
      <c r="R2940" t="s">
        <v>151</v>
      </c>
      <c r="S2940" t="s">
        <v>609</v>
      </c>
      <c r="T2940" t="s">
        <v>153</v>
      </c>
      <c r="U2940" t="s">
        <v>154</v>
      </c>
      <c r="V2940" t="str">
        <f>IFERROR(INDEX(Products!$C:$C,MATCH(D2940,Products!$A:$A,0)),"Unknown")</f>
        <v>Wallets</v>
      </c>
      <c r="W2940" t="str">
        <f>IFERROR(INDEX(Products!$E:$E,MATCH(D2940,Products!$A:$A,0)),"Unknown")</f>
        <v>Global Desi</v>
      </c>
      <c r="X2940" t="str">
        <f>IFERROR(INDEX(Stores!$B:$B,MATCH(E2940,Stores!$A:$A,0)),"Unknown")</f>
        <v>TrendMart Thoothukudi Flagship</v>
      </c>
      <c r="Y2940" t="str">
        <f>IFERROR(INDEX(Stores!$E:$E,MATCH(E2940,Stores!$A:$A,0)),"Unknown")</f>
        <v>South Zone 1</v>
      </c>
      <c r="Z2940" t="str">
        <f>IFERROR(INDEX(Customers!$J:$J,MATCH(C2940,Customers!$A:$A,0)),"Unknown")</f>
        <v>Silver</v>
      </c>
      <c r="AA2940" t="str">
        <f t="shared" si="45"/>
        <v>2024-10</v>
      </c>
      <c r="AB2940" t="str">
        <f>IFERROR(INDEX(Products!$I:$I,MATCH(D2940,Products!$A:$A,0)),"Unknown")</f>
        <v>SUP051</v>
      </c>
    </row>
    <row r="2941" spans="1:28" x14ac:dyDescent="0.25">
      <c r="A2941" t="s">
        <v>5015</v>
      </c>
      <c r="B2941" s="20">
        <v>45724</v>
      </c>
      <c r="C2941" t="s">
        <v>1393</v>
      </c>
      <c r="D2941" t="s">
        <v>401</v>
      </c>
      <c r="E2941" t="s">
        <v>639</v>
      </c>
      <c r="F2941" t="s">
        <v>263</v>
      </c>
      <c r="G2941">
        <v>2</v>
      </c>
      <c r="H2941" s="21">
        <v>1165.23</v>
      </c>
      <c r="I2941">
        <v>0</v>
      </c>
      <c r="J2941" s="21">
        <v>0</v>
      </c>
      <c r="K2941">
        <v>12</v>
      </c>
      <c r="L2941" s="21">
        <v>279.66000000000003</v>
      </c>
      <c r="M2941" s="21">
        <v>2610.12</v>
      </c>
      <c r="N2941" s="21">
        <v>1535.66</v>
      </c>
      <c r="O2941" s="21">
        <v>794.8</v>
      </c>
      <c r="P2941" t="s">
        <v>121</v>
      </c>
      <c r="Q2941" t="s">
        <v>120</v>
      </c>
      <c r="R2941" t="s">
        <v>151</v>
      </c>
      <c r="S2941" t="s">
        <v>3038</v>
      </c>
      <c r="T2941" t="s">
        <v>161</v>
      </c>
      <c r="U2941" t="s">
        <v>154</v>
      </c>
      <c r="V2941" t="str">
        <f>IFERROR(INDEX(Products!$C:$C,MATCH(D2941,Products!$A:$A,0)),"Unknown")</f>
        <v>Women Jeans</v>
      </c>
      <c r="W2941" t="str">
        <f>IFERROR(INDEX(Products!$E:$E,MATCH(D2941,Products!$A:$A,0)),"Unknown")</f>
        <v>Being Human</v>
      </c>
      <c r="X2941" t="str">
        <f>IFERROR(INDEX(Stores!$B:$B,MATCH(E2941,Stores!$A:$A,0)),"Unknown")</f>
        <v>TrendMart Kurnool Outlet</v>
      </c>
      <c r="Y2941" t="str">
        <f>IFERROR(INDEX(Stores!$E:$E,MATCH(E2941,Stores!$A:$A,0)),"Unknown")</f>
        <v>South Zone 3</v>
      </c>
      <c r="Z2941" t="str">
        <f>IFERROR(INDEX(Customers!$J:$J,MATCH(C2941,Customers!$A:$A,0)),"Unknown")</f>
        <v>Platinum</v>
      </c>
      <c r="AA2941" t="str">
        <f t="shared" si="45"/>
        <v>2025-03</v>
      </c>
      <c r="AB2941" t="str">
        <f>IFERROR(INDEX(Products!$I:$I,MATCH(D2941,Products!$A:$A,0)),"Unknown")</f>
        <v>SUP013</v>
      </c>
    </row>
    <row r="2942" spans="1:28" x14ac:dyDescent="0.25">
      <c r="A2942" t="s">
        <v>5016</v>
      </c>
      <c r="B2942" s="20">
        <v>45465</v>
      </c>
      <c r="C2942" t="s">
        <v>851</v>
      </c>
      <c r="D2942" t="s">
        <v>1278</v>
      </c>
      <c r="E2942" t="s">
        <v>89</v>
      </c>
      <c r="F2942" t="s">
        <v>335</v>
      </c>
      <c r="G2942">
        <v>2</v>
      </c>
      <c r="H2942" s="21">
        <v>5864.07</v>
      </c>
      <c r="I2942">
        <v>5</v>
      </c>
      <c r="J2942" s="21">
        <v>586.41</v>
      </c>
      <c r="K2942">
        <v>12</v>
      </c>
      <c r="L2942" s="21">
        <v>1337.01</v>
      </c>
      <c r="M2942" s="21">
        <v>12478.74</v>
      </c>
      <c r="N2942" s="21">
        <v>7701.94</v>
      </c>
      <c r="O2942" s="21">
        <v>3439.79</v>
      </c>
      <c r="P2942" t="s">
        <v>124</v>
      </c>
      <c r="Q2942" t="s">
        <v>120</v>
      </c>
      <c r="R2942" t="s">
        <v>151</v>
      </c>
      <c r="S2942" t="s">
        <v>1211</v>
      </c>
      <c r="T2942" t="s">
        <v>161</v>
      </c>
      <c r="U2942" t="s">
        <v>154</v>
      </c>
      <c r="V2942" t="str">
        <f>IFERROR(INDEX(Products!$C:$C,MATCH(D2942,Products!$A:$A,0)),"Unknown")</f>
        <v>Watches</v>
      </c>
      <c r="W2942" t="str">
        <f>IFERROR(INDEX(Products!$E:$E,MATCH(D2942,Products!$A:$A,0)),"Unknown")</f>
        <v>Aurelia</v>
      </c>
      <c r="X2942" t="str">
        <f>IFERROR(INDEX(Stores!$B:$B,MATCH(E2942,Stores!$A:$A,0)),"Unknown")</f>
        <v>TrendMart Kochi Standard</v>
      </c>
      <c r="Y2942" t="str">
        <f>IFERROR(INDEX(Stores!$E:$E,MATCH(E2942,Stores!$A:$A,0)),"Unknown")</f>
        <v>South Zone 1</v>
      </c>
      <c r="Z2942" t="str">
        <f>IFERROR(INDEX(Customers!$J:$J,MATCH(C2942,Customers!$A:$A,0)),"Unknown")</f>
        <v>Regular</v>
      </c>
      <c r="AA2942" t="str">
        <f t="shared" si="45"/>
        <v>2024-06</v>
      </c>
      <c r="AB2942" t="str">
        <f>IFERROR(INDEX(Products!$I:$I,MATCH(D2942,Products!$A:$A,0)),"Unknown")</f>
        <v>SUP079</v>
      </c>
    </row>
    <row r="2943" spans="1:28" x14ac:dyDescent="0.25">
      <c r="A2943" t="s">
        <v>5017</v>
      </c>
      <c r="B2943" s="20">
        <v>45654</v>
      </c>
      <c r="C2943" t="s">
        <v>2842</v>
      </c>
      <c r="D2943" t="s">
        <v>1903</v>
      </c>
      <c r="E2943" t="s">
        <v>525</v>
      </c>
      <c r="F2943" t="s">
        <v>232</v>
      </c>
      <c r="G2943">
        <v>3</v>
      </c>
      <c r="H2943" s="21">
        <v>1075.98</v>
      </c>
      <c r="I2943">
        <v>25</v>
      </c>
      <c r="J2943" s="21">
        <v>806.99</v>
      </c>
      <c r="K2943">
        <v>12</v>
      </c>
      <c r="L2943" s="21">
        <v>290.51</v>
      </c>
      <c r="M2943" s="21">
        <v>2711.46</v>
      </c>
      <c r="N2943" s="21">
        <v>2283.21</v>
      </c>
      <c r="O2943" s="21">
        <v>137.74</v>
      </c>
      <c r="P2943" t="s">
        <v>121</v>
      </c>
      <c r="Q2943" t="s">
        <v>122</v>
      </c>
      <c r="R2943" t="s">
        <v>151</v>
      </c>
      <c r="S2943" t="s">
        <v>212</v>
      </c>
      <c r="T2943" t="s">
        <v>161</v>
      </c>
      <c r="U2943" t="s">
        <v>154</v>
      </c>
      <c r="V2943" t="str">
        <f>IFERROR(INDEX(Products!$C:$C,MATCH(D2943,Products!$A:$A,0)),"Unknown")</f>
        <v>Belts</v>
      </c>
      <c r="W2943" t="str">
        <f>IFERROR(INDEX(Products!$E:$E,MATCH(D2943,Products!$A:$A,0)),"Unknown")</f>
        <v>US Polo Assn</v>
      </c>
      <c r="X2943" t="str">
        <f>IFERROR(INDEX(Stores!$B:$B,MATCH(E2943,Stores!$A:$A,0)),"Unknown")</f>
        <v>TrendMart Kollam Standard</v>
      </c>
      <c r="Y2943" t="str">
        <f>IFERROR(INDEX(Stores!$E:$E,MATCH(E2943,Stores!$A:$A,0)),"Unknown")</f>
        <v>South Zone 1</v>
      </c>
      <c r="Z2943" t="str">
        <f>IFERROR(INDEX(Customers!$J:$J,MATCH(C2943,Customers!$A:$A,0)),"Unknown")</f>
        <v>Regular</v>
      </c>
      <c r="AA2943" t="str">
        <f t="shared" si="45"/>
        <v>2024-12</v>
      </c>
      <c r="AB2943" t="str">
        <f>IFERROR(INDEX(Products!$I:$I,MATCH(D2943,Products!$A:$A,0)),"Unknown")</f>
        <v>SUP029</v>
      </c>
    </row>
    <row r="2944" spans="1:28" x14ac:dyDescent="0.25">
      <c r="A2944" t="s">
        <v>5018</v>
      </c>
      <c r="B2944" s="20">
        <v>45690</v>
      </c>
      <c r="C2944" t="s">
        <v>1507</v>
      </c>
      <c r="D2944" t="s">
        <v>888</v>
      </c>
      <c r="E2944" t="s">
        <v>81</v>
      </c>
      <c r="F2944" t="s">
        <v>532</v>
      </c>
      <c r="G2944">
        <v>4</v>
      </c>
      <c r="H2944" s="21">
        <v>6678.57</v>
      </c>
      <c r="I2944">
        <v>10</v>
      </c>
      <c r="J2944" s="21">
        <v>2671.43</v>
      </c>
      <c r="K2944">
        <v>3</v>
      </c>
      <c r="L2944" s="21">
        <v>721.29</v>
      </c>
      <c r="M2944" s="21">
        <v>24764.14</v>
      </c>
      <c r="N2944" s="21">
        <v>19051.04</v>
      </c>
      <c r="O2944" s="21">
        <v>4991.8100000000004</v>
      </c>
      <c r="P2944" t="s">
        <v>121</v>
      </c>
      <c r="Q2944" t="s">
        <v>120</v>
      </c>
      <c r="R2944" t="s">
        <v>151</v>
      </c>
      <c r="S2944" t="s">
        <v>3758</v>
      </c>
      <c r="T2944" t="s">
        <v>161</v>
      </c>
      <c r="U2944" t="s">
        <v>154</v>
      </c>
      <c r="V2944" t="str">
        <f>IFERROR(INDEX(Products!$C:$C,MATCH(D2944,Products!$A:$A,0)),"Unknown")</f>
        <v>Jewellery</v>
      </c>
      <c r="W2944" t="str">
        <f>IFERROR(INDEX(Products!$E:$E,MATCH(D2944,Products!$A:$A,0)),"Unknown")</f>
        <v>Aurelia</v>
      </c>
      <c r="X2944" t="str">
        <f>IFERROR(INDEX(Stores!$B:$B,MATCH(E2944,Stores!$A:$A,0)),"Unknown")</f>
        <v>TrendMart Vijayawada High Street</v>
      </c>
      <c r="Y2944" t="str">
        <f>IFERROR(INDEX(Stores!$E:$E,MATCH(E2944,Stores!$A:$A,0)),"Unknown")</f>
        <v>South Zone 3</v>
      </c>
      <c r="Z2944" t="str">
        <f>IFERROR(INDEX(Customers!$J:$J,MATCH(C2944,Customers!$A:$A,0)),"Unknown")</f>
        <v>Gold</v>
      </c>
      <c r="AA2944" t="str">
        <f t="shared" si="45"/>
        <v>2025-02</v>
      </c>
      <c r="AB2944" t="str">
        <f>IFERROR(INDEX(Products!$I:$I,MATCH(D2944,Products!$A:$A,0)),"Unknown")</f>
        <v>SUP038</v>
      </c>
    </row>
    <row r="2945" spans="1:28" x14ac:dyDescent="0.25">
      <c r="A2945" t="s">
        <v>5019</v>
      </c>
      <c r="B2945" s="20">
        <v>45723</v>
      </c>
      <c r="C2945" t="s">
        <v>1828</v>
      </c>
      <c r="D2945" t="s">
        <v>301</v>
      </c>
      <c r="E2945" t="s">
        <v>752</v>
      </c>
      <c r="F2945" t="s">
        <v>165</v>
      </c>
      <c r="G2945">
        <v>3</v>
      </c>
      <c r="H2945" s="21">
        <v>1402.17</v>
      </c>
      <c r="I2945">
        <v>30</v>
      </c>
      <c r="J2945" s="21">
        <v>1261.95</v>
      </c>
      <c r="K2945">
        <v>12</v>
      </c>
      <c r="L2945" s="21">
        <v>353.35</v>
      </c>
      <c r="M2945" s="21">
        <v>3297.91</v>
      </c>
      <c r="N2945" s="21">
        <v>2914.95</v>
      </c>
      <c r="O2945" s="21">
        <v>29.61</v>
      </c>
      <c r="P2945" t="s">
        <v>124</v>
      </c>
      <c r="Q2945" t="s">
        <v>122</v>
      </c>
      <c r="R2945" t="s">
        <v>151</v>
      </c>
      <c r="S2945" t="s">
        <v>842</v>
      </c>
      <c r="T2945" t="s">
        <v>153</v>
      </c>
      <c r="U2945" t="s">
        <v>154</v>
      </c>
      <c r="V2945" t="str">
        <f>IFERROR(INDEX(Products!$C:$C,MATCH(D2945,Products!$A:$A,0)),"Unknown")</f>
        <v>Women Jeans</v>
      </c>
      <c r="W2945" t="str">
        <f>IFERROR(INDEX(Products!$E:$E,MATCH(D2945,Products!$A:$A,0)),"Unknown")</f>
        <v>Unknown</v>
      </c>
      <c r="X2945" t="str">
        <f>IFERROR(INDEX(Stores!$B:$B,MATCH(E2945,Stores!$A:$A,0)),"Unknown")</f>
        <v>TrendMart Dindigul High Street</v>
      </c>
      <c r="Y2945" t="str">
        <f>IFERROR(INDEX(Stores!$E:$E,MATCH(E2945,Stores!$A:$A,0)),"Unknown")</f>
        <v>South Zone 1</v>
      </c>
      <c r="Z2945" t="str">
        <f>IFERROR(INDEX(Customers!$J:$J,MATCH(C2945,Customers!$A:$A,0)),"Unknown")</f>
        <v>Platinum</v>
      </c>
      <c r="AA2945" t="str">
        <f t="shared" si="45"/>
        <v>2025-03</v>
      </c>
      <c r="AB2945" t="str">
        <f>IFERROR(INDEX(Products!$I:$I,MATCH(D2945,Products!$A:$A,0)),"Unknown")</f>
        <v>SUP050</v>
      </c>
    </row>
    <row r="2946" spans="1:28" x14ac:dyDescent="0.25">
      <c r="A2946" t="s">
        <v>5020</v>
      </c>
      <c r="B2946" s="20">
        <v>45615</v>
      </c>
      <c r="C2946" t="s">
        <v>1207</v>
      </c>
      <c r="D2946" t="s">
        <v>2281</v>
      </c>
      <c r="E2946" t="s">
        <v>95</v>
      </c>
      <c r="F2946" t="s">
        <v>335</v>
      </c>
      <c r="G2946">
        <v>3</v>
      </c>
      <c r="H2946" s="21">
        <v>580.55999999999995</v>
      </c>
      <c r="I2946">
        <v>25</v>
      </c>
      <c r="J2946" s="21">
        <v>435.42</v>
      </c>
      <c r="K2946">
        <v>5</v>
      </c>
      <c r="L2946" s="21">
        <v>65.31</v>
      </c>
      <c r="M2946" s="21">
        <v>1371.57</v>
      </c>
      <c r="N2946" s="21">
        <v>1119.81</v>
      </c>
      <c r="O2946" s="21">
        <v>186.45</v>
      </c>
      <c r="P2946" t="s">
        <v>121</v>
      </c>
      <c r="Q2946" t="s">
        <v>122</v>
      </c>
      <c r="R2946" t="s">
        <v>151</v>
      </c>
      <c r="S2946" t="s">
        <v>1678</v>
      </c>
      <c r="T2946" t="s">
        <v>153</v>
      </c>
      <c r="U2946" t="s">
        <v>154</v>
      </c>
      <c r="V2946" t="str">
        <f>IFERROR(INDEX(Products!$C:$C,MATCH(D2946,Products!$A:$A,0)),"Unknown")</f>
        <v>Men T-Shirts</v>
      </c>
      <c r="W2946" t="str">
        <f>IFERROR(INDEX(Products!$E:$E,MATCH(D2946,Products!$A:$A,0)),"Unknown")</f>
        <v>Indian Terrain</v>
      </c>
      <c r="X2946" t="str">
        <f>IFERROR(INDEX(Stores!$B:$B,MATCH(E2946,Stores!$A:$A,0)),"Unknown")</f>
        <v>TrendMart Thrissur Standard</v>
      </c>
      <c r="Y2946" t="str">
        <f>IFERROR(INDEX(Stores!$E:$E,MATCH(E2946,Stores!$A:$A,0)),"Unknown")</f>
        <v>South Zone 1</v>
      </c>
      <c r="Z2946" t="str">
        <f>IFERROR(INDEX(Customers!$J:$J,MATCH(C2946,Customers!$A:$A,0)),"Unknown")</f>
        <v>Silver</v>
      </c>
      <c r="AA2946" t="str">
        <f t="shared" ref="AA2946:AA3001" si="46">TEXT(B2946,"YYYY-MM")</f>
        <v>2024-11</v>
      </c>
      <c r="AB2946" t="str">
        <f>IFERROR(INDEX(Products!$I:$I,MATCH(D2946,Products!$A:$A,0)),"Unknown")</f>
        <v>SUP074</v>
      </c>
    </row>
    <row r="2947" spans="1:28" x14ac:dyDescent="0.25">
      <c r="A2947" t="s">
        <v>5021</v>
      </c>
      <c r="B2947" s="20">
        <v>45390</v>
      </c>
      <c r="C2947" t="s">
        <v>1288</v>
      </c>
      <c r="D2947" t="s">
        <v>524</v>
      </c>
      <c r="E2947" t="s">
        <v>681</v>
      </c>
      <c r="F2947" t="s">
        <v>303</v>
      </c>
      <c r="G2947">
        <v>2</v>
      </c>
      <c r="H2947" s="21">
        <v>727.18</v>
      </c>
      <c r="I2947">
        <v>10</v>
      </c>
      <c r="J2947" s="21">
        <v>145.44</v>
      </c>
      <c r="K2947">
        <v>5</v>
      </c>
      <c r="L2947" s="21">
        <v>65.45</v>
      </c>
      <c r="M2947" s="21">
        <v>1374.37</v>
      </c>
      <c r="N2947" s="21">
        <v>1095.3399999999999</v>
      </c>
      <c r="O2947" s="21">
        <v>213.58</v>
      </c>
      <c r="P2947" t="s">
        <v>124</v>
      </c>
      <c r="Q2947" t="s">
        <v>120</v>
      </c>
      <c r="R2947" t="s">
        <v>151</v>
      </c>
      <c r="S2947" t="s">
        <v>2642</v>
      </c>
      <c r="T2947" t="s">
        <v>153</v>
      </c>
      <c r="U2947" t="s">
        <v>154</v>
      </c>
      <c r="V2947" t="str">
        <f>IFERROR(INDEX(Products!$C:$C,MATCH(D2947,Products!$A:$A,0)),"Unknown")</f>
        <v>Women Tops</v>
      </c>
      <c r="W2947" t="str">
        <f>IFERROR(INDEX(Products!$E:$E,MATCH(D2947,Products!$A:$A,0)),"Unknown")</f>
        <v>Indian Terrain</v>
      </c>
      <c r="X2947" t="str">
        <f>IFERROR(INDEX(Stores!$B:$B,MATCH(E2947,Stores!$A:$A,0)),"Unknown")</f>
        <v>TrendMart Shivamogga Mall Kiosk</v>
      </c>
      <c r="Y2947" t="str">
        <f>IFERROR(INDEX(Stores!$E:$E,MATCH(E2947,Stores!$A:$A,0)),"Unknown")</f>
        <v>South Zone 2</v>
      </c>
      <c r="Z2947" t="str">
        <f>IFERROR(INDEX(Customers!$J:$J,MATCH(C2947,Customers!$A:$A,0)),"Unknown")</f>
        <v>Silver</v>
      </c>
      <c r="AA2947" t="str">
        <f t="shared" si="46"/>
        <v>2024-04</v>
      </c>
      <c r="AB2947" t="str">
        <f>IFERROR(INDEX(Products!$I:$I,MATCH(D2947,Products!$A:$A,0)),"Unknown")</f>
        <v>SUP062</v>
      </c>
    </row>
    <row r="2948" spans="1:28" x14ac:dyDescent="0.25">
      <c r="A2948" t="s">
        <v>5022</v>
      </c>
      <c r="B2948" s="20">
        <v>45625</v>
      </c>
      <c r="C2948" t="s">
        <v>3181</v>
      </c>
      <c r="D2948" t="s">
        <v>756</v>
      </c>
      <c r="E2948" t="s">
        <v>671</v>
      </c>
      <c r="F2948" t="s">
        <v>292</v>
      </c>
      <c r="G2948">
        <v>1</v>
      </c>
      <c r="H2948" s="21">
        <v>744.53</v>
      </c>
      <c r="I2948">
        <v>0</v>
      </c>
      <c r="J2948" s="21">
        <v>0</v>
      </c>
      <c r="K2948">
        <v>5</v>
      </c>
      <c r="L2948" s="21">
        <v>37.229999999999997</v>
      </c>
      <c r="M2948" s="21">
        <v>781.76</v>
      </c>
      <c r="N2948" s="21">
        <v>522.38</v>
      </c>
      <c r="O2948" s="21">
        <v>222.15</v>
      </c>
      <c r="P2948" t="s">
        <v>121</v>
      </c>
      <c r="Q2948" t="s">
        <v>120</v>
      </c>
      <c r="R2948" t="s">
        <v>151</v>
      </c>
      <c r="S2948" t="s">
        <v>3020</v>
      </c>
      <c r="T2948" t="s">
        <v>153</v>
      </c>
      <c r="U2948" t="s">
        <v>154</v>
      </c>
      <c r="V2948" t="str">
        <f>IFERROR(INDEX(Products!$C:$C,MATCH(D2948,Products!$A:$A,0)),"Unknown")</f>
        <v>Women Tops</v>
      </c>
      <c r="W2948" t="str">
        <f>IFERROR(INDEX(Products!$E:$E,MATCH(D2948,Products!$A:$A,0)),"Unknown")</f>
        <v>Peter England</v>
      </c>
      <c r="X2948" t="str">
        <f>IFERROR(INDEX(Stores!$B:$B,MATCH(E2948,Stores!$A:$A,0)),"Unknown")</f>
        <v>TrendMart Hyderabad Mall Kiosk</v>
      </c>
      <c r="Y2948" t="str">
        <f>IFERROR(INDEX(Stores!$E:$E,MATCH(E2948,Stores!$A:$A,0)),"Unknown")</f>
        <v>South Zone 2</v>
      </c>
      <c r="Z2948" t="str">
        <f>IFERROR(INDEX(Customers!$J:$J,MATCH(C2948,Customers!$A:$A,0)),"Unknown")</f>
        <v>Silver</v>
      </c>
      <c r="AA2948" t="str">
        <f t="shared" si="46"/>
        <v>2024-11</v>
      </c>
      <c r="AB2948" t="str">
        <f>IFERROR(INDEX(Products!$I:$I,MATCH(D2948,Products!$A:$A,0)),"Unknown")</f>
        <v>SUP018</v>
      </c>
    </row>
    <row r="2949" spans="1:28" x14ac:dyDescent="0.25">
      <c r="A2949" t="s">
        <v>5023</v>
      </c>
      <c r="B2949" s="20">
        <v>45397</v>
      </c>
      <c r="C2949" t="s">
        <v>2795</v>
      </c>
      <c r="D2949" t="s">
        <v>595</v>
      </c>
      <c r="E2949" t="s">
        <v>727</v>
      </c>
      <c r="F2949" t="s">
        <v>462</v>
      </c>
      <c r="G2949">
        <v>2</v>
      </c>
      <c r="H2949" s="21">
        <v>866.69</v>
      </c>
      <c r="I2949">
        <v>25</v>
      </c>
      <c r="J2949" s="21">
        <v>433.35</v>
      </c>
      <c r="K2949">
        <v>5</v>
      </c>
      <c r="L2949" s="21">
        <v>65</v>
      </c>
      <c r="M2949" s="21">
        <v>1365.03</v>
      </c>
      <c r="N2949" s="21">
        <v>1180.96</v>
      </c>
      <c r="O2949" s="21">
        <v>119.07</v>
      </c>
      <c r="P2949" t="s">
        <v>121</v>
      </c>
      <c r="Q2949" t="s">
        <v>120</v>
      </c>
      <c r="R2949" t="s">
        <v>151</v>
      </c>
      <c r="S2949" t="s">
        <v>448</v>
      </c>
      <c r="T2949" t="s">
        <v>153</v>
      </c>
      <c r="U2949" t="s">
        <v>154</v>
      </c>
      <c r="V2949" t="str">
        <f>IFERROR(INDEX(Products!$C:$C,MATCH(D2949,Products!$A:$A,0)),"Unknown")</f>
        <v>Men Shirts</v>
      </c>
      <c r="W2949" t="str">
        <f>IFERROR(INDEX(Products!$E:$E,MATCH(D2949,Products!$A:$A,0)),"Unknown")</f>
        <v>Nalli Silks</v>
      </c>
      <c r="X2949" t="str">
        <f>IFERROR(INDEX(Stores!$B:$B,MATCH(E2949,Stores!$A:$A,0)),"Unknown")</f>
        <v>TrendMart Nizamabad Standard</v>
      </c>
      <c r="Y2949" t="str">
        <f>IFERROR(INDEX(Stores!$E:$E,MATCH(E2949,Stores!$A:$A,0)),"Unknown")</f>
        <v>South Zone 2</v>
      </c>
      <c r="Z2949" t="str">
        <f>IFERROR(INDEX(Customers!$J:$J,MATCH(C2949,Customers!$A:$A,0)),"Unknown")</f>
        <v>Gold</v>
      </c>
      <c r="AA2949" t="str">
        <f t="shared" si="46"/>
        <v>2024-04</v>
      </c>
      <c r="AB2949" t="str">
        <f>IFERROR(INDEX(Products!$I:$I,MATCH(D2949,Products!$A:$A,0)),"Unknown")</f>
        <v>SUP055</v>
      </c>
    </row>
    <row r="2950" spans="1:28" x14ac:dyDescent="0.25">
      <c r="A2950" t="s">
        <v>5024</v>
      </c>
      <c r="B2950" s="20">
        <v>45589</v>
      </c>
      <c r="C2950" t="s">
        <v>940</v>
      </c>
      <c r="D2950" t="s">
        <v>868</v>
      </c>
      <c r="E2950" t="s">
        <v>200</v>
      </c>
      <c r="F2950" t="s">
        <v>344</v>
      </c>
      <c r="G2950">
        <v>2</v>
      </c>
      <c r="H2950" s="21">
        <v>1313.96</v>
      </c>
      <c r="I2950">
        <v>0</v>
      </c>
      <c r="J2950" s="21">
        <v>0</v>
      </c>
      <c r="K2950">
        <v>12</v>
      </c>
      <c r="L2950" s="21">
        <v>315.35000000000002</v>
      </c>
      <c r="M2950" s="21">
        <v>2943.27</v>
      </c>
      <c r="N2950" s="21">
        <v>2031.44</v>
      </c>
      <c r="O2950" s="21">
        <v>596.48</v>
      </c>
      <c r="P2950" t="s">
        <v>121</v>
      </c>
      <c r="Q2950" t="s">
        <v>120</v>
      </c>
      <c r="R2950" t="s">
        <v>313</v>
      </c>
      <c r="S2950" t="s">
        <v>4094</v>
      </c>
      <c r="T2950" t="s">
        <v>153</v>
      </c>
      <c r="U2950" t="s">
        <v>154</v>
      </c>
      <c r="V2950" t="str">
        <f>IFERROR(INDEX(Products!$C:$C,MATCH(D2950,Products!$A:$A,0)),"Unknown")</f>
        <v>Winter Wear</v>
      </c>
      <c r="W2950" t="str">
        <f>IFERROR(INDEX(Products!$E:$E,MATCH(D2950,Products!$A:$A,0)),"Unknown")</f>
        <v>Liberty</v>
      </c>
      <c r="X2950" t="str">
        <f>IFERROR(INDEX(Stores!$B:$B,MATCH(E2950,Stores!$A:$A,0)),"Unknown")</f>
        <v>TrendMart Kozhikode Standard</v>
      </c>
      <c r="Y2950" t="str">
        <f>IFERROR(INDEX(Stores!$E:$E,MATCH(E2950,Stores!$A:$A,0)),"Unknown")</f>
        <v>South Zone 1</v>
      </c>
      <c r="Z2950" t="str">
        <f>IFERROR(INDEX(Customers!$J:$J,MATCH(C2950,Customers!$A:$A,0)),"Unknown")</f>
        <v>Regular</v>
      </c>
      <c r="AA2950" t="str">
        <f t="shared" si="46"/>
        <v>2024-10</v>
      </c>
      <c r="AB2950" t="str">
        <f>IFERROR(INDEX(Products!$I:$I,MATCH(D2950,Products!$A:$A,0)),"Unknown")</f>
        <v>SUP012</v>
      </c>
    </row>
    <row r="2951" spans="1:28" x14ac:dyDescent="0.25">
      <c r="A2951" t="s">
        <v>5025</v>
      </c>
      <c r="B2951" s="20">
        <v>45439</v>
      </c>
      <c r="C2951" t="s">
        <v>818</v>
      </c>
      <c r="D2951" t="s">
        <v>1350</v>
      </c>
      <c r="E2951" t="s">
        <v>98</v>
      </c>
      <c r="F2951" t="s">
        <v>532</v>
      </c>
      <c r="G2951">
        <v>3</v>
      </c>
      <c r="H2951" s="21">
        <v>611.51</v>
      </c>
      <c r="I2951">
        <v>15</v>
      </c>
      <c r="J2951" s="21">
        <v>275.18</v>
      </c>
      <c r="K2951">
        <v>5</v>
      </c>
      <c r="L2951" s="21">
        <v>77.97</v>
      </c>
      <c r="M2951" s="21">
        <v>1637.32</v>
      </c>
      <c r="N2951" s="21">
        <v>1258.2</v>
      </c>
      <c r="O2951" s="21">
        <v>301.14999999999998</v>
      </c>
      <c r="P2951" t="s">
        <v>126</v>
      </c>
      <c r="Q2951" t="s">
        <v>120</v>
      </c>
      <c r="R2951" t="s">
        <v>151</v>
      </c>
      <c r="S2951" t="s">
        <v>770</v>
      </c>
      <c r="T2951" t="s">
        <v>153</v>
      </c>
      <c r="U2951" t="s">
        <v>154</v>
      </c>
      <c r="V2951" t="str">
        <f>IFERROR(INDEX(Products!$C:$C,MATCH(D2951,Products!$A:$A,0)),"Unknown")</f>
        <v>Women Tops</v>
      </c>
      <c r="W2951" t="str">
        <f>IFERROR(INDEX(Products!$E:$E,MATCH(D2951,Products!$A:$A,0)),"Unknown")</f>
        <v>Jack &amp; Jones</v>
      </c>
      <c r="X2951" t="str">
        <f>IFERROR(INDEX(Stores!$B:$B,MATCH(E2951,Stores!$A:$A,0)),"Unknown")</f>
        <v>TrendMart Bengaluru Flagship</v>
      </c>
      <c r="Y2951" t="str">
        <f>IFERROR(INDEX(Stores!$E:$E,MATCH(E2951,Stores!$A:$A,0)),"Unknown")</f>
        <v>South Zone 2</v>
      </c>
      <c r="Z2951" t="str">
        <f>IFERROR(INDEX(Customers!$J:$J,MATCH(C2951,Customers!$A:$A,0)),"Unknown")</f>
        <v>Gold</v>
      </c>
      <c r="AA2951" t="str">
        <f t="shared" si="46"/>
        <v>2024-05</v>
      </c>
      <c r="AB2951" t="str">
        <f>IFERROR(INDEX(Products!$I:$I,MATCH(D2951,Products!$A:$A,0)),"Unknown")</f>
        <v>SUP089</v>
      </c>
    </row>
    <row r="2952" spans="1:28" x14ac:dyDescent="0.25">
      <c r="A2952" t="s">
        <v>5026</v>
      </c>
      <c r="B2952" s="20">
        <v>45589</v>
      </c>
      <c r="C2952" t="s">
        <v>747</v>
      </c>
      <c r="D2952" t="s">
        <v>1200</v>
      </c>
      <c r="E2952" t="s">
        <v>194</v>
      </c>
      <c r="F2952" t="s">
        <v>170</v>
      </c>
      <c r="G2952">
        <v>3</v>
      </c>
      <c r="H2952" s="21">
        <v>3388.42</v>
      </c>
      <c r="I2952">
        <v>0</v>
      </c>
      <c r="J2952" s="21">
        <v>0</v>
      </c>
      <c r="K2952">
        <v>12</v>
      </c>
      <c r="L2952" s="21">
        <v>1219.83</v>
      </c>
      <c r="M2952" s="21">
        <v>11385.09</v>
      </c>
      <c r="N2952" s="21">
        <v>6713.46</v>
      </c>
      <c r="O2952" s="21">
        <v>3451.8</v>
      </c>
      <c r="P2952" t="s">
        <v>125</v>
      </c>
      <c r="Q2952" t="s">
        <v>120</v>
      </c>
      <c r="R2952" t="s">
        <v>151</v>
      </c>
      <c r="S2952" t="s">
        <v>426</v>
      </c>
      <c r="T2952" t="s">
        <v>153</v>
      </c>
      <c r="U2952" t="s">
        <v>154</v>
      </c>
      <c r="V2952" t="str">
        <f>IFERROR(INDEX(Products!$C:$C,MATCH(D2952,Products!$A:$A,0)),"Unknown")</f>
        <v>Footwear</v>
      </c>
      <c r="W2952" t="str">
        <f>IFERROR(INDEX(Products!$E:$E,MATCH(D2952,Products!$A:$A,0)),"Unknown")</f>
        <v>Kalyan Silks</v>
      </c>
      <c r="X2952" t="str">
        <f>IFERROR(INDEX(Stores!$B:$B,MATCH(E2952,Stores!$A:$A,0)),"Unknown")</f>
        <v>TrendMart Tirupati High Street</v>
      </c>
      <c r="Y2952" t="str">
        <f>IFERROR(INDEX(Stores!$E:$E,MATCH(E2952,Stores!$A:$A,0)),"Unknown")</f>
        <v>South Zone 3</v>
      </c>
      <c r="Z2952" t="str">
        <f>IFERROR(INDEX(Customers!$J:$J,MATCH(C2952,Customers!$A:$A,0)),"Unknown")</f>
        <v>Gold</v>
      </c>
      <c r="AA2952" t="str">
        <f t="shared" si="46"/>
        <v>2024-10</v>
      </c>
      <c r="AB2952" t="str">
        <f>IFERROR(INDEX(Products!$I:$I,MATCH(D2952,Products!$A:$A,0)),"Unknown")</f>
        <v>SUP090</v>
      </c>
    </row>
    <row r="2953" spans="1:28" x14ac:dyDescent="0.25">
      <c r="A2953" t="s">
        <v>5027</v>
      </c>
      <c r="B2953" s="20">
        <v>45516</v>
      </c>
      <c r="C2953" t="s">
        <v>316</v>
      </c>
      <c r="D2953" t="s">
        <v>524</v>
      </c>
      <c r="E2953" t="s">
        <v>451</v>
      </c>
      <c r="F2953" t="s">
        <v>176</v>
      </c>
      <c r="G2953">
        <v>2</v>
      </c>
      <c r="H2953" s="21">
        <v>691.74</v>
      </c>
      <c r="I2953">
        <v>0</v>
      </c>
      <c r="J2953" s="21">
        <v>0</v>
      </c>
      <c r="K2953">
        <v>5</v>
      </c>
      <c r="L2953" s="21">
        <v>69.17</v>
      </c>
      <c r="M2953" s="21">
        <v>1452.65</v>
      </c>
      <c r="N2953" s="21">
        <v>1095.3399999999999</v>
      </c>
      <c r="O2953" s="21">
        <v>288.14</v>
      </c>
      <c r="P2953" t="s">
        <v>123</v>
      </c>
      <c r="Q2953" t="s">
        <v>120</v>
      </c>
      <c r="R2953" t="s">
        <v>151</v>
      </c>
      <c r="S2953" t="s">
        <v>1608</v>
      </c>
      <c r="T2953" t="s">
        <v>153</v>
      </c>
      <c r="U2953" t="s">
        <v>154</v>
      </c>
      <c r="V2953" t="str">
        <f>IFERROR(INDEX(Products!$C:$C,MATCH(D2953,Products!$A:$A,0)),"Unknown")</f>
        <v>Women Tops</v>
      </c>
      <c r="W2953" t="str">
        <f>IFERROR(INDEX(Products!$E:$E,MATCH(D2953,Products!$A:$A,0)),"Unknown")</f>
        <v>Indian Terrain</v>
      </c>
      <c r="X2953" t="str">
        <f>IFERROR(INDEX(Stores!$B:$B,MATCH(E2953,Stores!$A:$A,0)),"Unknown")</f>
        <v>TrendMart Thoothukudi High Street</v>
      </c>
      <c r="Y2953" t="str">
        <f>IFERROR(INDEX(Stores!$E:$E,MATCH(E2953,Stores!$A:$A,0)),"Unknown")</f>
        <v>South Zone 1</v>
      </c>
      <c r="Z2953" t="str">
        <f>IFERROR(INDEX(Customers!$J:$J,MATCH(C2953,Customers!$A:$A,0)),"Unknown")</f>
        <v>Regular</v>
      </c>
      <c r="AA2953" t="str">
        <f t="shared" si="46"/>
        <v>2024-08</v>
      </c>
      <c r="AB2953" t="str">
        <f>IFERROR(INDEX(Products!$I:$I,MATCH(D2953,Products!$A:$A,0)),"Unknown")</f>
        <v>SUP062</v>
      </c>
    </row>
    <row r="2954" spans="1:28" x14ac:dyDescent="0.25">
      <c r="A2954" t="s">
        <v>5028</v>
      </c>
      <c r="B2954" s="20">
        <v>45532</v>
      </c>
      <c r="C2954" t="s">
        <v>1546</v>
      </c>
      <c r="D2954" t="s">
        <v>1813</v>
      </c>
      <c r="E2954" t="s">
        <v>334</v>
      </c>
      <c r="F2954" t="s">
        <v>443</v>
      </c>
      <c r="G2954">
        <v>3</v>
      </c>
      <c r="H2954" s="21">
        <v>1029.82</v>
      </c>
      <c r="I2954">
        <v>15</v>
      </c>
      <c r="J2954" s="21">
        <v>463.42</v>
      </c>
      <c r="K2954">
        <v>12</v>
      </c>
      <c r="L2954" s="21">
        <v>315.12</v>
      </c>
      <c r="M2954" s="21">
        <v>2941.16</v>
      </c>
      <c r="N2954" s="21">
        <v>2177.61</v>
      </c>
      <c r="O2954" s="21">
        <v>448.43</v>
      </c>
      <c r="P2954" t="s">
        <v>121</v>
      </c>
      <c r="Q2954" t="s">
        <v>120</v>
      </c>
      <c r="R2954" t="s">
        <v>151</v>
      </c>
      <c r="S2954" t="s">
        <v>3115</v>
      </c>
      <c r="T2954" t="s">
        <v>153</v>
      </c>
      <c r="U2954" t="s">
        <v>154</v>
      </c>
      <c r="V2954" t="str">
        <f>IFERROR(INDEX(Products!$C:$C,MATCH(D2954,Products!$A:$A,0)),"Unknown")</f>
        <v>Footwear</v>
      </c>
      <c r="W2954" t="str">
        <f>IFERROR(INDEX(Products!$E:$E,MATCH(D2954,Products!$A:$A,0)),"Unknown")</f>
        <v>Titan</v>
      </c>
      <c r="X2954" t="str">
        <f>IFERROR(INDEX(Stores!$B:$B,MATCH(E2954,Stores!$A:$A,0)),"Unknown")</f>
        <v>TrendMart Madurai High Street</v>
      </c>
      <c r="Y2954" t="str">
        <f>IFERROR(INDEX(Stores!$E:$E,MATCH(E2954,Stores!$A:$A,0)),"Unknown")</f>
        <v>South Zone 1</v>
      </c>
      <c r="Z2954" t="str">
        <f>IFERROR(INDEX(Customers!$J:$J,MATCH(C2954,Customers!$A:$A,0)),"Unknown")</f>
        <v>Silver</v>
      </c>
      <c r="AA2954" t="str">
        <f t="shared" si="46"/>
        <v>2024-08</v>
      </c>
      <c r="AB2954" t="str">
        <f>IFERROR(INDEX(Products!$I:$I,MATCH(D2954,Products!$A:$A,0)),"Unknown")</f>
        <v>SUP002</v>
      </c>
    </row>
    <row r="2955" spans="1:28" x14ac:dyDescent="0.25">
      <c r="A2955" t="s">
        <v>5029</v>
      </c>
      <c r="B2955" s="20">
        <v>45615</v>
      </c>
      <c r="C2955" t="s">
        <v>1594</v>
      </c>
      <c r="D2955" t="s">
        <v>236</v>
      </c>
      <c r="E2955" t="s">
        <v>914</v>
      </c>
      <c r="F2955" t="s">
        <v>434</v>
      </c>
      <c r="G2955">
        <v>3</v>
      </c>
      <c r="H2955" s="21">
        <v>774.49</v>
      </c>
      <c r="I2955">
        <v>25</v>
      </c>
      <c r="J2955" s="21">
        <v>580.87</v>
      </c>
      <c r="K2955">
        <v>5</v>
      </c>
      <c r="L2955" s="21">
        <v>87.13</v>
      </c>
      <c r="M2955" s="21">
        <v>1829.73</v>
      </c>
      <c r="N2955" s="21">
        <v>1650.03</v>
      </c>
      <c r="O2955" s="21">
        <v>92.57</v>
      </c>
      <c r="P2955" t="s">
        <v>125</v>
      </c>
      <c r="Q2955" t="s">
        <v>122</v>
      </c>
      <c r="R2955" t="s">
        <v>151</v>
      </c>
      <c r="S2955" t="s">
        <v>166</v>
      </c>
      <c r="T2955" t="s">
        <v>153</v>
      </c>
      <c r="U2955" t="s">
        <v>154</v>
      </c>
      <c r="V2955" t="str">
        <f>IFERROR(INDEX(Products!$C:$C,MATCH(D2955,Products!$A:$A,0)),"Unknown")</f>
        <v>Women Tops</v>
      </c>
      <c r="W2955" t="str">
        <f>IFERROR(INDEX(Products!$E:$E,MATCH(D2955,Products!$A:$A,0)),"Unknown")</f>
        <v>Nike</v>
      </c>
      <c r="X2955" t="str">
        <f>IFERROR(INDEX(Stores!$B:$B,MATCH(E2955,Stores!$A:$A,0)),"Unknown")</f>
        <v>TrendMart Thiruvananthapuram Outlet</v>
      </c>
      <c r="Y2955" t="str">
        <f>IFERROR(INDEX(Stores!$E:$E,MATCH(E2955,Stores!$A:$A,0)),"Unknown")</f>
        <v>South Zone 1</v>
      </c>
      <c r="Z2955" t="str">
        <f>IFERROR(INDEX(Customers!$J:$J,MATCH(C2955,Customers!$A:$A,0)),"Unknown")</f>
        <v>Regular</v>
      </c>
      <c r="AA2955" t="str">
        <f t="shared" si="46"/>
        <v>2024-11</v>
      </c>
      <c r="AB2955" t="str">
        <f>IFERROR(INDEX(Products!$I:$I,MATCH(D2955,Products!$A:$A,0)),"Unknown")</f>
        <v>SUP075</v>
      </c>
    </row>
    <row r="2956" spans="1:28" x14ac:dyDescent="0.25">
      <c r="A2956" t="s">
        <v>5030</v>
      </c>
      <c r="B2956" s="20">
        <v>45695</v>
      </c>
      <c r="C2956" t="s">
        <v>1851</v>
      </c>
      <c r="D2956" t="s">
        <v>1390</v>
      </c>
      <c r="E2956" t="s">
        <v>617</v>
      </c>
      <c r="F2956" t="s">
        <v>170</v>
      </c>
      <c r="G2956">
        <v>1</v>
      </c>
      <c r="H2956" s="21">
        <v>6037.07</v>
      </c>
      <c r="I2956">
        <v>30</v>
      </c>
      <c r="J2956" s="21">
        <v>1811.12</v>
      </c>
      <c r="K2956">
        <v>12</v>
      </c>
      <c r="L2956" s="21">
        <v>507.11</v>
      </c>
      <c r="M2956" s="21">
        <v>4733.0600000000004</v>
      </c>
      <c r="N2956" s="21">
        <v>3961.62</v>
      </c>
      <c r="O2956" s="21">
        <v>264.33</v>
      </c>
      <c r="P2956" t="s">
        <v>123</v>
      </c>
      <c r="Q2956" t="s">
        <v>120</v>
      </c>
      <c r="R2956" t="s">
        <v>151</v>
      </c>
      <c r="S2956" t="s">
        <v>3105</v>
      </c>
      <c r="T2956" t="s">
        <v>153</v>
      </c>
      <c r="U2956" t="s">
        <v>154</v>
      </c>
      <c r="V2956" t="str">
        <f>IFERROR(INDEX(Products!$C:$C,MATCH(D2956,Products!$A:$A,0)),"Unknown")</f>
        <v>Watches</v>
      </c>
      <c r="W2956" t="str">
        <f>IFERROR(INDEX(Products!$E:$E,MATCH(D2956,Products!$A:$A,0)),"Unknown")</f>
        <v>Metro Shoes</v>
      </c>
      <c r="X2956" t="str">
        <f>IFERROR(INDEX(Stores!$B:$B,MATCH(E2956,Stores!$A:$A,0)),"Unknown")</f>
        <v>TrendMart Mangaluru High Street</v>
      </c>
      <c r="Y2956" t="str">
        <f>IFERROR(INDEX(Stores!$E:$E,MATCH(E2956,Stores!$A:$A,0)),"Unknown")</f>
        <v>South Zone 2</v>
      </c>
      <c r="Z2956" t="str">
        <f>IFERROR(INDEX(Customers!$J:$J,MATCH(C2956,Customers!$A:$A,0)),"Unknown")</f>
        <v>Silver</v>
      </c>
      <c r="AA2956" t="str">
        <f t="shared" si="46"/>
        <v>2025-02</v>
      </c>
      <c r="AB2956" t="str">
        <f>IFERROR(INDEX(Products!$I:$I,MATCH(D2956,Products!$A:$A,0)),"Unknown")</f>
        <v>SUP005</v>
      </c>
    </row>
    <row r="2957" spans="1:28" x14ac:dyDescent="0.25">
      <c r="A2957" t="s">
        <v>5031</v>
      </c>
      <c r="B2957" s="20">
        <v>45437</v>
      </c>
      <c r="C2957" t="s">
        <v>1937</v>
      </c>
      <c r="D2957" t="s">
        <v>466</v>
      </c>
      <c r="E2957" t="s">
        <v>451</v>
      </c>
      <c r="F2957" t="s">
        <v>195</v>
      </c>
      <c r="G2957">
        <v>1</v>
      </c>
      <c r="H2957" s="21">
        <v>795.22</v>
      </c>
      <c r="I2957">
        <v>0</v>
      </c>
      <c r="J2957" s="21">
        <v>0</v>
      </c>
      <c r="K2957">
        <v>5</v>
      </c>
      <c r="L2957" s="21">
        <v>39.76</v>
      </c>
      <c r="M2957" s="21">
        <v>834.98</v>
      </c>
      <c r="N2957" s="21">
        <v>571.09</v>
      </c>
      <c r="O2957" s="21">
        <v>224.13</v>
      </c>
      <c r="P2957" t="s">
        <v>124</v>
      </c>
      <c r="Q2957" t="s">
        <v>120</v>
      </c>
      <c r="R2957" t="s">
        <v>151</v>
      </c>
      <c r="S2957" t="s">
        <v>383</v>
      </c>
      <c r="T2957" t="s">
        <v>161</v>
      </c>
      <c r="U2957" t="s">
        <v>154</v>
      </c>
      <c r="V2957" t="str">
        <f>IFERROR(INDEX(Products!$C:$C,MATCH(D2957,Products!$A:$A,0)),"Unknown")</f>
        <v>Women Kurtis</v>
      </c>
      <c r="W2957" t="str">
        <f>IFERROR(INDEX(Products!$E:$E,MATCH(D2957,Products!$A:$A,0)),"Unknown")</f>
        <v>Fabindia</v>
      </c>
      <c r="X2957" t="str">
        <f>IFERROR(INDEX(Stores!$B:$B,MATCH(E2957,Stores!$A:$A,0)),"Unknown")</f>
        <v>TrendMart Thoothukudi High Street</v>
      </c>
      <c r="Y2957" t="str">
        <f>IFERROR(INDEX(Stores!$E:$E,MATCH(E2957,Stores!$A:$A,0)),"Unknown")</f>
        <v>South Zone 1</v>
      </c>
      <c r="Z2957" t="str">
        <f>IFERROR(INDEX(Customers!$J:$J,MATCH(C2957,Customers!$A:$A,0)),"Unknown")</f>
        <v>Gold</v>
      </c>
      <c r="AA2957" t="str">
        <f t="shared" si="46"/>
        <v>2024-05</v>
      </c>
      <c r="AB2957" t="str">
        <f>IFERROR(INDEX(Products!$I:$I,MATCH(D2957,Products!$A:$A,0)),"Unknown")</f>
        <v>SUP017</v>
      </c>
    </row>
    <row r="2958" spans="1:28" x14ac:dyDescent="0.25">
      <c r="A2958" t="s">
        <v>5032</v>
      </c>
      <c r="B2958" s="20">
        <v>45591</v>
      </c>
      <c r="C2958" t="s">
        <v>2325</v>
      </c>
      <c r="D2958" t="s">
        <v>164</v>
      </c>
      <c r="E2958" t="s">
        <v>1068</v>
      </c>
      <c r="F2958" t="s">
        <v>211</v>
      </c>
      <c r="G2958">
        <v>2</v>
      </c>
      <c r="H2958" s="21">
        <v>3977.98</v>
      </c>
      <c r="I2958">
        <v>0</v>
      </c>
      <c r="J2958" s="21">
        <v>0</v>
      </c>
      <c r="K2958">
        <v>12</v>
      </c>
      <c r="L2958" s="21">
        <v>954.72</v>
      </c>
      <c r="M2958" s="21">
        <v>8910.68</v>
      </c>
      <c r="N2958" s="21">
        <v>5267.12</v>
      </c>
      <c r="O2958" s="21">
        <v>2688.84</v>
      </c>
      <c r="P2958" t="s">
        <v>126</v>
      </c>
      <c r="Q2958" t="s">
        <v>120</v>
      </c>
      <c r="R2958" t="s">
        <v>151</v>
      </c>
      <c r="S2958" t="s">
        <v>3128</v>
      </c>
      <c r="T2958" t="s">
        <v>161</v>
      </c>
      <c r="U2958" t="s">
        <v>154</v>
      </c>
      <c r="V2958" t="str">
        <f>IFERROR(INDEX(Products!$C:$C,MATCH(D2958,Products!$A:$A,0)),"Unknown")</f>
        <v>Women Sarees</v>
      </c>
      <c r="W2958" t="str">
        <f>IFERROR(INDEX(Products!$E:$E,MATCH(D2958,Products!$A:$A,0)),"Unknown")</f>
        <v>Westside</v>
      </c>
      <c r="X2958" t="str">
        <f>IFERROR(INDEX(Stores!$B:$B,MATCH(E2958,Stores!$A:$A,0)),"Unknown")</f>
        <v>TrendMart Tumakuru High Street</v>
      </c>
      <c r="Y2958" t="str">
        <f>IFERROR(INDEX(Stores!$E:$E,MATCH(E2958,Stores!$A:$A,0)),"Unknown")</f>
        <v>South Zone 2</v>
      </c>
      <c r="Z2958" t="str">
        <f>IFERROR(INDEX(Customers!$J:$J,MATCH(C2958,Customers!$A:$A,0)),"Unknown")</f>
        <v>Platinum</v>
      </c>
      <c r="AA2958" t="str">
        <f t="shared" si="46"/>
        <v>2024-10</v>
      </c>
      <c r="AB2958" t="str">
        <f>IFERROR(INDEX(Products!$I:$I,MATCH(D2958,Products!$A:$A,0)),"Unknown")</f>
        <v>SUP069</v>
      </c>
    </row>
    <row r="2959" spans="1:28" x14ac:dyDescent="0.25">
      <c r="A2959" t="s">
        <v>5033</v>
      </c>
      <c r="B2959" s="20">
        <v>45413</v>
      </c>
      <c r="C2959" t="s">
        <v>1410</v>
      </c>
      <c r="D2959" t="s">
        <v>1130</v>
      </c>
      <c r="E2959" t="s">
        <v>617</v>
      </c>
      <c r="F2959" t="s">
        <v>397</v>
      </c>
      <c r="G2959">
        <v>2</v>
      </c>
      <c r="H2959" s="21">
        <v>3408.34</v>
      </c>
      <c r="I2959">
        <v>0</v>
      </c>
      <c r="J2959" s="21">
        <v>0</v>
      </c>
      <c r="K2959">
        <v>12</v>
      </c>
      <c r="L2959" s="21">
        <v>818</v>
      </c>
      <c r="M2959" s="21">
        <v>7634.68</v>
      </c>
      <c r="N2959" s="21">
        <v>5464.62</v>
      </c>
      <c r="O2959" s="21">
        <v>1352.06</v>
      </c>
      <c r="P2959" t="s">
        <v>121</v>
      </c>
      <c r="Q2959" t="s">
        <v>120</v>
      </c>
      <c r="R2959" t="s">
        <v>151</v>
      </c>
      <c r="S2959" t="s">
        <v>2624</v>
      </c>
      <c r="T2959" t="s">
        <v>153</v>
      </c>
      <c r="U2959" t="s">
        <v>154</v>
      </c>
      <c r="V2959" t="str">
        <f>IFERROR(INDEX(Products!$C:$C,MATCH(D2959,Products!$A:$A,0)),"Unknown")</f>
        <v>Women Sarees</v>
      </c>
      <c r="W2959" t="str">
        <f>IFERROR(INDEX(Products!$E:$E,MATCH(D2959,Products!$A:$A,0)),"Unknown")</f>
        <v>Sparx</v>
      </c>
      <c r="X2959" t="str">
        <f>IFERROR(INDEX(Stores!$B:$B,MATCH(E2959,Stores!$A:$A,0)),"Unknown")</f>
        <v>TrendMart Mangaluru High Street</v>
      </c>
      <c r="Y2959" t="str">
        <f>IFERROR(INDEX(Stores!$E:$E,MATCH(E2959,Stores!$A:$A,0)),"Unknown")</f>
        <v>South Zone 2</v>
      </c>
      <c r="Z2959" t="str">
        <f>IFERROR(INDEX(Customers!$J:$J,MATCH(C2959,Customers!$A:$A,0)),"Unknown")</f>
        <v>Gold</v>
      </c>
      <c r="AA2959" t="str">
        <f t="shared" si="46"/>
        <v>2024-05</v>
      </c>
      <c r="AB2959" t="str">
        <f>IFERROR(INDEX(Products!$I:$I,MATCH(D2959,Products!$A:$A,0)),"Unknown")</f>
        <v>SUP069</v>
      </c>
    </row>
    <row r="2960" spans="1:28" x14ac:dyDescent="0.25">
      <c r="A2960" t="s">
        <v>5034</v>
      </c>
      <c r="B2960" s="20">
        <v>45453</v>
      </c>
      <c r="C2960" t="s">
        <v>2360</v>
      </c>
      <c r="D2960" t="s">
        <v>595</v>
      </c>
      <c r="E2960" t="s">
        <v>274</v>
      </c>
      <c r="F2960" t="s">
        <v>2479</v>
      </c>
      <c r="G2960">
        <v>2</v>
      </c>
      <c r="H2960" s="21">
        <v>838.08</v>
      </c>
      <c r="I2960">
        <v>10</v>
      </c>
      <c r="J2960" s="21">
        <v>167.62</v>
      </c>
      <c r="K2960">
        <v>5</v>
      </c>
      <c r="L2960" s="21">
        <v>75.430000000000007</v>
      </c>
      <c r="M2960" s="21">
        <v>1583.97</v>
      </c>
      <c r="N2960" s="21">
        <v>1180.96</v>
      </c>
      <c r="O2960" s="21">
        <v>327.58</v>
      </c>
      <c r="P2960" t="s">
        <v>123</v>
      </c>
      <c r="Q2960" t="s">
        <v>120</v>
      </c>
      <c r="R2960" t="s">
        <v>151</v>
      </c>
      <c r="S2960" t="s">
        <v>749</v>
      </c>
      <c r="T2960" t="s">
        <v>153</v>
      </c>
      <c r="U2960" t="s">
        <v>154</v>
      </c>
      <c r="V2960" t="str">
        <f>IFERROR(INDEX(Products!$C:$C,MATCH(D2960,Products!$A:$A,0)),"Unknown")</f>
        <v>Men Shirts</v>
      </c>
      <c r="W2960" t="str">
        <f>IFERROR(INDEX(Products!$E:$E,MATCH(D2960,Products!$A:$A,0)),"Unknown")</f>
        <v>Nalli Silks</v>
      </c>
      <c r="X2960" t="str">
        <f>IFERROR(INDEX(Stores!$B:$B,MATCH(E2960,Stores!$A:$A,0)),"Unknown")</f>
        <v>TrendMart Mangaluru Standard</v>
      </c>
      <c r="Y2960" t="str">
        <f>IFERROR(INDEX(Stores!$E:$E,MATCH(E2960,Stores!$A:$A,0)),"Unknown")</f>
        <v>South Zone 2</v>
      </c>
      <c r="Z2960" t="str">
        <f>IFERROR(INDEX(Customers!$J:$J,MATCH(C2960,Customers!$A:$A,0)),"Unknown")</f>
        <v>Regular</v>
      </c>
      <c r="AA2960" t="str">
        <f t="shared" si="46"/>
        <v>2024-06</v>
      </c>
      <c r="AB2960" t="str">
        <f>IFERROR(INDEX(Products!$I:$I,MATCH(D2960,Products!$A:$A,0)),"Unknown")</f>
        <v>SUP055</v>
      </c>
    </row>
    <row r="2961" spans="1:28" x14ac:dyDescent="0.25">
      <c r="A2961" t="s">
        <v>5035</v>
      </c>
      <c r="B2961" s="20">
        <v>45423</v>
      </c>
      <c r="C2961" t="s">
        <v>564</v>
      </c>
      <c r="D2961" t="s">
        <v>1709</v>
      </c>
      <c r="E2961" t="s">
        <v>90</v>
      </c>
      <c r="F2961" t="s">
        <v>532</v>
      </c>
      <c r="G2961">
        <v>2</v>
      </c>
      <c r="H2961" s="21">
        <v>466.23</v>
      </c>
      <c r="I2961">
        <v>25</v>
      </c>
      <c r="J2961" s="21">
        <v>233.12</v>
      </c>
      <c r="K2961">
        <v>5</v>
      </c>
      <c r="L2961" s="21">
        <v>34.97</v>
      </c>
      <c r="M2961" s="21">
        <v>734.31</v>
      </c>
      <c r="N2961" s="21">
        <v>654.72</v>
      </c>
      <c r="O2961" s="21">
        <v>44.62</v>
      </c>
      <c r="P2961" t="s">
        <v>121</v>
      </c>
      <c r="Q2961" t="s">
        <v>122</v>
      </c>
      <c r="R2961" t="s">
        <v>151</v>
      </c>
      <c r="S2961" t="s">
        <v>1275</v>
      </c>
      <c r="T2961" t="s">
        <v>161</v>
      </c>
      <c r="U2961" t="s">
        <v>154</v>
      </c>
      <c r="V2961" t="str">
        <f>IFERROR(INDEX(Products!$C:$C,MATCH(D2961,Products!$A:$A,0)),"Unknown")</f>
        <v>Kids Wear</v>
      </c>
      <c r="W2961" t="str">
        <f>IFERROR(INDEX(Products!$E:$E,MATCH(D2961,Products!$A:$A,0)),"Unknown")</f>
        <v>Aurelia</v>
      </c>
      <c r="X2961" t="str">
        <f>IFERROR(INDEX(Stores!$B:$B,MATCH(E2961,Stores!$A:$A,0)),"Unknown")</f>
        <v>TrendMart Thoothukudi Mall Kiosk</v>
      </c>
      <c r="Y2961" t="str">
        <f>IFERROR(INDEX(Stores!$E:$E,MATCH(E2961,Stores!$A:$A,0)),"Unknown")</f>
        <v>South Zone 1</v>
      </c>
      <c r="Z2961" t="str">
        <f>IFERROR(INDEX(Customers!$J:$J,MATCH(C2961,Customers!$A:$A,0)),"Unknown")</f>
        <v>Regular</v>
      </c>
      <c r="AA2961" t="str">
        <f t="shared" si="46"/>
        <v>2024-05</v>
      </c>
      <c r="AB2961" t="str">
        <f>IFERROR(INDEX(Products!$I:$I,MATCH(D2961,Products!$A:$A,0)),"Unknown")</f>
        <v>SUP055</v>
      </c>
    </row>
    <row r="2962" spans="1:28" x14ac:dyDescent="0.25">
      <c r="A2962" t="s">
        <v>5036</v>
      </c>
      <c r="B2962" s="20">
        <v>45574</v>
      </c>
      <c r="C2962" t="s">
        <v>5037</v>
      </c>
      <c r="D2962" t="s">
        <v>1073</v>
      </c>
      <c r="E2962" t="s">
        <v>815</v>
      </c>
      <c r="F2962" t="s">
        <v>303</v>
      </c>
      <c r="G2962">
        <v>2</v>
      </c>
      <c r="H2962" s="21">
        <v>3033.96</v>
      </c>
      <c r="I2962">
        <v>15</v>
      </c>
      <c r="J2962" s="21">
        <v>910.19</v>
      </c>
      <c r="K2962">
        <v>12</v>
      </c>
      <c r="L2962" s="21">
        <v>618.92999999999995</v>
      </c>
      <c r="M2962" s="21">
        <v>5776.66</v>
      </c>
      <c r="N2962" s="21">
        <v>4680.92</v>
      </c>
      <c r="O2962" s="21">
        <v>476.81</v>
      </c>
      <c r="P2962" t="s">
        <v>121</v>
      </c>
      <c r="Q2962" t="s">
        <v>120</v>
      </c>
      <c r="R2962" t="s">
        <v>151</v>
      </c>
      <c r="S2962" t="s">
        <v>1105</v>
      </c>
      <c r="T2962" t="s">
        <v>153</v>
      </c>
      <c r="U2962" t="s">
        <v>154</v>
      </c>
      <c r="V2962" t="str">
        <f>IFERROR(INDEX(Products!$C:$C,MATCH(D2962,Products!$A:$A,0)),"Unknown")</f>
        <v>Women Sarees</v>
      </c>
      <c r="W2962" t="str">
        <f>IFERROR(INDEX(Products!$E:$E,MATCH(D2962,Products!$A:$A,0)),"Unknown")</f>
        <v>W for Woman</v>
      </c>
      <c r="X2962" t="str">
        <f>IFERROR(INDEX(Stores!$B:$B,MATCH(E2962,Stores!$A:$A,0)),"Unknown")</f>
        <v>TrendMart Madurai Mall Kiosk</v>
      </c>
      <c r="Y2962" t="str">
        <f>IFERROR(INDEX(Stores!$E:$E,MATCH(E2962,Stores!$A:$A,0)),"Unknown")</f>
        <v>South Zone 1</v>
      </c>
      <c r="Z2962" t="str">
        <f>IFERROR(INDEX(Customers!$J:$J,MATCH(C2962,Customers!$A:$A,0)),"Unknown")</f>
        <v>Regular</v>
      </c>
      <c r="AA2962" t="str">
        <f t="shared" si="46"/>
        <v>2024-10</v>
      </c>
      <c r="AB2962" t="str">
        <f>IFERROR(INDEX(Products!$I:$I,MATCH(D2962,Products!$A:$A,0)),"Unknown")</f>
        <v>SUP012</v>
      </c>
    </row>
    <row r="2963" spans="1:28" x14ac:dyDescent="0.25">
      <c r="A2963" t="s">
        <v>5038</v>
      </c>
      <c r="B2963" s="20">
        <v>45625</v>
      </c>
      <c r="C2963" t="s">
        <v>2207</v>
      </c>
      <c r="D2963" t="s">
        <v>573</v>
      </c>
      <c r="E2963" t="s">
        <v>95</v>
      </c>
      <c r="F2963" t="s">
        <v>377</v>
      </c>
      <c r="G2963">
        <v>2</v>
      </c>
      <c r="H2963" s="21">
        <v>1031.1300000000001</v>
      </c>
      <c r="I2963">
        <v>10</v>
      </c>
      <c r="J2963" s="21">
        <v>206.23</v>
      </c>
      <c r="K2963">
        <v>12</v>
      </c>
      <c r="L2963" s="21">
        <v>222.72</v>
      </c>
      <c r="M2963" s="21">
        <v>2078.75</v>
      </c>
      <c r="N2963" s="21">
        <v>1441.06</v>
      </c>
      <c r="O2963" s="21">
        <v>414.97</v>
      </c>
      <c r="P2963" t="s">
        <v>124</v>
      </c>
      <c r="Q2963" t="s">
        <v>122</v>
      </c>
      <c r="R2963" t="s">
        <v>151</v>
      </c>
      <c r="S2963" t="s">
        <v>404</v>
      </c>
      <c r="T2963" t="s">
        <v>153</v>
      </c>
      <c r="U2963" t="s">
        <v>154</v>
      </c>
      <c r="V2963" t="str">
        <f>IFERROR(INDEX(Products!$C:$C,MATCH(D2963,Products!$A:$A,0)),"Unknown")</f>
        <v>Women Jeans</v>
      </c>
      <c r="W2963" t="str">
        <f>IFERROR(INDEX(Products!$E:$E,MATCH(D2963,Products!$A:$A,0)),"Unknown")</f>
        <v>Sonata</v>
      </c>
      <c r="X2963" t="str">
        <f>IFERROR(INDEX(Stores!$B:$B,MATCH(E2963,Stores!$A:$A,0)),"Unknown")</f>
        <v>TrendMart Thrissur Standard</v>
      </c>
      <c r="Y2963" t="str">
        <f>IFERROR(INDEX(Stores!$E:$E,MATCH(E2963,Stores!$A:$A,0)),"Unknown")</f>
        <v>South Zone 1</v>
      </c>
      <c r="Z2963" t="str">
        <f>IFERROR(INDEX(Customers!$J:$J,MATCH(C2963,Customers!$A:$A,0)),"Unknown")</f>
        <v>Silver</v>
      </c>
      <c r="AA2963" t="str">
        <f t="shared" si="46"/>
        <v>2024-11</v>
      </c>
      <c r="AB2963" t="str">
        <f>IFERROR(INDEX(Products!$I:$I,MATCH(D2963,Products!$A:$A,0)),"Unknown")</f>
        <v>SUP017</v>
      </c>
    </row>
    <row r="2964" spans="1:28" x14ac:dyDescent="0.25">
      <c r="A2964" t="s">
        <v>5039</v>
      </c>
      <c r="B2964" s="20">
        <v>45570</v>
      </c>
      <c r="C2964" t="s">
        <v>3032</v>
      </c>
      <c r="D2964" t="s">
        <v>372</v>
      </c>
      <c r="E2964" t="s">
        <v>1017</v>
      </c>
      <c r="F2964" t="s">
        <v>532</v>
      </c>
      <c r="G2964">
        <v>1</v>
      </c>
      <c r="H2964" s="21">
        <v>648.41</v>
      </c>
      <c r="I2964">
        <v>10</v>
      </c>
      <c r="J2964" s="21">
        <v>64.84</v>
      </c>
      <c r="K2964">
        <v>5</v>
      </c>
      <c r="L2964" s="21">
        <v>29.18</v>
      </c>
      <c r="M2964" s="21">
        <v>612.75</v>
      </c>
      <c r="N2964" s="21">
        <v>413.39</v>
      </c>
      <c r="O2964" s="21">
        <v>170.18</v>
      </c>
      <c r="P2964" t="s">
        <v>124</v>
      </c>
      <c r="Q2964" t="s">
        <v>120</v>
      </c>
      <c r="R2964" t="s">
        <v>151</v>
      </c>
      <c r="S2964" t="s">
        <v>1969</v>
      </c>
      <c r="T2964" t="s">
        <v>161</v>
      </c>
      <c r="U2964" t="s">
        <v>154</v>
      </c>
      <c r="V2964" t="str">
        <f>IFERROR(INDEX(Products!$C:$C,MATCH(D2964,Products!$A:$A,0)),"Unknown")</f>
        <v>Kids Wear</v>
      </c>
      <c r="W2964" t="str">
        <f>IFERROR(INDEX(Products!$E:$E,MATCH(D2964,Products!$A:$A,0)),"Unknown")</f>
        <v>Jack &amp; Jones</v>
      </c>
      <c r="X2964" t="str">
        <f>IFERROR(INDEX(Stores!$B:$B,MATCH(E2964,Stores!$A:$A,0)),"Unknown")</f>
        <v>TrendMart Mangaluru Standard</v>
      </c>
      <c r="Y2964" t="str">
        <f>IFERROR(INDEX(Stores!$E:$E,MATCH(E2964,Stores!$A:$A,0)),"Unknown")</f>
        <v>South Zone 2</v>
      </c>
      <c r="Z2964" t="str">
        <f>IFERROR(INDEX(Customers!$J:$J,MATCH(C2964,Customers!$A:$A,0)),"Unknown")</f>
        <v>Platinum</v>
      </c>
      <c r="AA2964" t="str">
        <f t="shared" si="46"/>
        <v>2024-10</v>
      </c>
      <c r="AB2964" t="str">
        <f>IFERROR(INDEX(Products!$I:$I,MATCH(D2964,Products!$A:$A,0)),"Unknown")</f>
        <v>SUP065</v>
      </c>
    </row>
    <row r="2965" spans="1:28" x14ac:dyDescent="0.25">
      <c r="A2965" t="s">
        <v>5040</v>
      </c>
      <c r="B2965" s="20">
        <v>45630</v>
      </c>
      <c r="C2965" t="s">
        <v>611</v>
      </c>
      <c r="D2965" t="s">
        <v>359</v>
      </c>
      <c r="E2965" t="s">
        <v>456</v>
      </c>
      <c r="F2965" t="s">
        <v>292</v>
      </c>
      <c r="G2965">
        <v>2</v>
      </c>
      <c r="H2965" s="21">
        <v>2447.38</v>
      </c>
      <c r="I2965">
        <v>0</v>
      </c>
      <c r="J2965" s="21">
        <v>0</v>
      </c>
      <c r="K2965">
        <v>12</v>
      </c>
      <c r="L2965" s="21">
        <v>587.37</v>
      </c>
      <c r="M2965" s="21">
        <v>5482.13</v>
      </c>
      <c r="N2965" s="21">
        <v>3608.74</v>
      </c>
      <c r="O2965" s="21">
        <v>1286.02</v>
      </c>
      <c r="P2965" t="s">
        <v>126</v>
      </c>
      <c r="Q2965" t="s">
        <v>122</v>
      </c>
      <c r="R2965" t="s">
        <v>313</v>
      </c>
      <c r="S2965" t="s">
        <v>3349</v>
      </c>
      <c r="T2965" t="s">
        <v>153</v>
      </c>
      <c r="U2965" t="s">
        <v>154</v>
      </c>
      <c r="V2965" t="str">
        <f>IFERROR(INDEX(Products!$C:$C,MATCH(D2965,Products!$A:$A,0)),"Unknown")</f>
        <v>Men Ethnic</v>
      </c>
      <c r="W2965" t="str">
        <f>IFERROR(INDEX(Products!$E:$E,MATCH(D2965,Products!$A:$A,0)),"Unknown")</f>
        <v>US Polo Assn</v>
      </c>
      <c r="X2965" t="str">
        <f>IFERROR(INDEX(Stores!$B:$B,MATCH(E2965,Stores!$A:$A,0)),"Unknown")</f>
        <v>TrendMart Salem Outlet</v>
      </c>
      <c r="Y2965" t="str">
        <f>IFERROR(INDEX(Stores!$E:$E,MATCH(E2965,Stores!$A:$A,0)),"Unknown")</f>
        <v>South Zone 1</v>
      </c>
      <c r="Z2965" t="str">
        <f>IFERROR(INDEX(Customers!$J:$J,MATCH(C2965,Customers!$A:$A,0)),"Unknown")</f>
        <v>Regular</v>
      </c>
      <c r="AA2965" t="str">
        <f t="shared" si="46"/>
        <v>2024-12</v>
      </c>
      <c r="AB2965" t="str">
        <f>IFERROR(INDEX(Products!$I:$I,MATCH(D2965,Products!$A:$A,0)),"Unknown")</f>
        <v>SUP036</v>
      </c>
    </row>
    <row r="2966" spans="1:28" x14ac:dyDescent="0.25">
      <c r="A2966" t="s">
        <v>5041</v>
      </c>
      <c r="B2966" s="20">
        <v>45596</v>
      </c>
      <c r="C2966" t="s">
        <v>2908</v>
      </c>
      <c r="D2966" t="s">
        <v>689</v>
      </c>
      <c r="E2966" t="s">
        <v>999</v>
      </c>
      <c r="F2966" t="s">
        <v>286</v>
      </c>
      <c r="G2966">
        <v>3</v>
      </c>
      <c r="H2966" s="21">
        <v>749.63</v>
      </c>
      <c r="I2966">
        <v>10</v>
      </c>
      <c r="J2966" s="21">
        <v>224.89</v>
      </c>
      <c r="K2966">
        <v>5</v>
      </c>
      <c r="L2966" s="21">
        <v>101.2</v>
      </c>
      <c r="M2966" s="21">
        <v>2125.1999999999998</v>
      </c>
      <c r="N2966" s="21">
        <v>1774.14</v>
      </c>
      <c r="O2966" s="21">
        <v>249.86</v>
      </c>
      <c r="P2966" t="s">
        <v>123</v>
      </c>
      <c r="Q2966" t="s">
        <v>120</v>
      </c>
      <c r="R2966" t="s">
        <v>151</v>
      </c>
      <c r="S2966" t="s">
        <v>2234</v>
      </c>
      <c r="T2966" t="s">
        <v>153</v>
      </c>
      <c r="U2966" t="s">
        <v>154</v>
      </c>
      <c r="V2966" t="str">
        <f>IFERROR(INDEX(Products!$C:$C,MATCH(D2966,Products!$A:$A,0)),"Unknown")</f>
        <v>Kids Wear</v>
      </c>
      <c r="W2966" t="str">
        <f>IFERROR(INDEX(Products!$E:$E,MATCH(D2966,Products!$A:$A,0)),"Unknown")</f>
        <v>Libas</v>
      </c>
      <c r="X2966" t="str">
        <f>IFERROR(INDEX(Stores!$B:$B,MATCH(E2966,Stores!$A:$A,0)),"Unknown")</f>
        <v>TrendMart Tumakuru Standard</v>
      </c>
      <c r="Y2966" t="str">
        <f>IFERROR(INDEX(Stores!$E:$E,MATCH(E2966,Stores!$A:$A,0)),"Unknown")</f>
        <v>South Zone 2</v>
      </c>
      <c r="Z2966" t="str">
        <f>IFERROR(INDEX(Customers!$J:$J,MATCH(C2966,Customers!$A:$A,0)),"Unknown")</f>
        <v>Regular</v>
      </c>
      <c r="AA2966" t="str">
        <f t="shared" si="46"/>
        <v>2024-10</v>
      </c>
      <c r="AB2966" t="str">
        <f>IFERROR(INDEX(Products!$I:$I,MATCH(D2966,Products!$A:$A,0)),"Unknown")</f>
        <v>SUP031</v>
      </c>
    </row>
    <row r="2967" spans="1:28" x14ac:dyDescent="0.25">
      <c r="A2967" t="s">
        <v>5042</v>
      </c>
      <c r="B2967" s="20">
        <v>45408</v>
      </c>
      <c r="C2967" t="s">
        <v>1406</v>
      </c>
      <c r="D2967" t="s">
        <v>157</v>
      </c>
      <c r="E2967" t="s">
        <v>630</v>
      </c>
      <c r="F2967" t="s">
        <v>232</v>
      </c>
      <c r="G2967">
        <v>1</v>
      </c>
      <c r="H2967" s="21">
        <v>829.69</v>
      </c>
      <c r="I2967">
        <v>10</v>
      </c>
      <c r="J2967" s="21">
        <v>82.97</v>
      </c>
      <c r="K2967">
        <v>5</v>
      </c>
      <c r="L2967" s="21">
        <v>37.340000000000003</v>
      </c>
      <c r="M2967" s="21">
        <v>784.06</v>
      </c>
      <c r="N2967" s="21">
        <v>492.11</v>
      </c>
      <c r="O2967" s="21">
        <v>254.61</v>
      </c>
      <c r="P2967" t="s">
        <v>125</v>
      </c>
      <c r="Q2967" t="s">
        <v>120</v>
      </c>
      <c r="R2967" t="s">
        <v>151</v>
      </c>
      <c r="S2967" t="s">
        <v>1583</v>
      </c>
      <c r="T2967" t="s">
        <v>153</v>
      </c>
      <c r="U2967" t="s">
        <v>154</v>
      </c>
      <c r="V2967" t="str">
        <f>IFERROR(INDEX(Products!$C:$C,MATCH(D2967,Products!$A:$A,0)),"Unknown")</f>
        <v>Men T-Shirts</v>
      </c>
      <c r="W2967" t="str">
        <f>IFERROR(INDEX(Products!$E:$E,MATCH(D2967,Products!$A:$A,0)),"Unknown")</f>
        <v>Reebok</v>
      </c>
      <c r="X2967" t="str">
        <f>IFERROR(INDEX(Stores!$B:$B,MATCH(E2967,Stores!$A:$A,0)),"Unknown")</f>
        <v>TrendMart Guntur Standard</v>
      </c>
      <c r="Y2967" t="str">
        <f>IFERROR(INDEX(Stores!$E:$E,MATCH(E2967,Stores!$A:$A,0)),"Unknown")</f>
        <v>South Zone 3</v>
      </c>
      <c r="Z2967" t="str">
        <f>IFERROR(INDEX(Customers!$J:$J,MATCH(C2967,Customers!$A:$A,0)),"Unknown")</f>
        <v>Silver</v>
      </c>
      <c r="AA2967" t="str">
        <f t="shared" si="46"/>
        <v>2024-04</v>
      </c>
      <c r="AB2967" t="str">
        <f>IFERROR(INDEX(Products!$I:$I,MATCH(D2967,Products!$A:$A,0)),"Unknown")</f>
        <v>SUP073</v>
      </c>
    </row>
    <row r="2968" spans="1:28" x14ac:dyDescent="0.25">
      <c r="A2968" t="s">
        <v>5043</v>
      </c>
      <c r="B2968" s="20">
        <v>45479</v>
      </c>
      <c r="C2968" t="s">
        <v>219</v>
      </c>
      <c r="D2968" t="s">
        <v>680</v>
      </c>
      <c r="E2968" t="s">
        <v>368</v>
      </c>
      <c r="F2968" t="s">
        <v>303</v>
      </c>
      <c r="G2968">
        <v>1</v>
      </c>
      <c r="H2968" s="21">
        <v>692.53</v>
      </c>
      <c r="I2968">
        <v>10</v>
      </c>
      <c r="J2968" s="21">
        <v>69.25</v>
      </c>
      <c r="K2968">
        <v>5</v>
      </c>
      <c r="L2968" s="21">
        <v>31.16</v>
      </c>
      <c r="M2968" s="21">
        <v>654.44000000000005</v>
      </c>
      <c r="N2968" s="21">
        <v>403.71</v>
      </c>
      <c r="O2968" s="21">
        <v>219.57</v>
      </c>
      <c r="P2968" t="s">
        <v>123</v>
      </c>
      <c r="Q2968" t="s">
        <v>120</v>
      </c>
      <c r="R2968" t="s">
        <v>151</v>
      </c>
      <c r="S2968" t="s">
        <v>899</v>
      </c>
      <c r="T2968" t="s">
        <v>161</v>
      </c>
      <c r="U2968" t="s">
        <v>154</v>
      </c>
      <c r="V2968" t="str">
        <f>IFERROR(INDEX(Products!$C:$C,MATCH(D2968,Products!$A:$A,0)),"Unknown")</f>
        <v>Accessories</v>
      </c>
      <c r="W2968" t="str">
        <f>IFERROR(INDEX(Products!$E:$E,MATCH(D2968,Products!$A:$A,0)),"Unknown")</f>
        <v>Westside</v>
      </c>
      <c r="X2968" t="str">
        <f>IFERROR(INDEX(Stores!$B:$B,MATCH(E2968,Stores!$A:$A,0)),"Unknown")</f>
        <v>TrendMart Alappuzha Outlet</v>
      </c>
      <c r="Y2968" t="str">
        <f>IFERROR(INDEX(Stores!$E:$E,MATCH(E2968,Stores!$A:$A,0)),"Unknown")</f>
        <v>South Zone 1</v>
      </c>
      <c r="Z2968" t="str">
        <f>IFERROR(INDEX(Customers!$J:$J,MATCH(C2968,Customers!$A:$A,0)),"Unknown")</f>
        <v>Silver</v>
      </c>
      <c r="AA2968" t="str">
        <f t="shared" si="46"/>
        <v>2024-07</v>
      </c>
      <c r="AB2968" t="str">
        <f>IFERROR(INDEX(Products!$I:$I,MATCH(D2968,Products!$A:$A,0)),"Unknown")</f>
        <v>SUP064</v>
      </c>
    </row>
    <row r="2969" spans="1:28" x14ac:dyDescent="0.25">
      <c r="A2969" t="s">
        <v>5044</v>
      </c>
      <c r="B2969" s="20">
        <v>45586</v>
      </c>
      <c r="C2969" t="s">
        <v>2043</v>
      </c>
      <c r="D2969" t="s">
        <v>502</v>
      </c>
      <c r="E2969" t="s">
        <v>1325</v>
      </c>
      <c r="F2969" t="s">
        <v>297</v>
      </c>
      <c r="G2969">
        <v>2</v>
      </c>
      <c r="H2969" s="21">
        <v>3064.92</v>
      </c>
      <c r="I2969">
        <v>15</v>
      </c>
      <c r="J2969" s="21">
        <v>919.48</v>
      </c>
      <c r="K2969">
        <v>12</v>
      </c>
      <c r="L2969" s="21">
        <v>625.24</v>
      </c>
      <c r="M2969" s="21">
        <v>5835.6</v>
      </c>
      <c r="N2969" s="21">
        <v>4302.68</v>
      </c>
      <c r="O2969" s="21">
        <v>907.68</v>
      </c>
      <c r="P2969" t="s">
        <v>121</v>
      </c>
      <c r="Q2969" t="s">
        <v>120</v>
      </c>
      <c r="R2969" t="s">
        <v>151</v>
      </c>
      <c r="S2969" t="s">
        <v>3491</v>
      </c>
      <c r="T2969" t="s">
        <v>153</v>
      </c>
      <c r="U2969" t="s">
        <v>154</v>
      </c>
      <c r="V2969" t="str">
        <f>IFERROR(INDEX(Products!$C:$C,MATCH(D2969,Products!$A:$A,0)),"Unknown")</f>
        <v>Handbags</v>
      </c>
      <c r="W2969" t="str">
        <f>IFERROR(INDEX(Products!$E:$E,MATCH(D2969,Products!$A:$A,0)),"Unknown")</f>
        <v>Libas</v>
      </c>
      <c r="X2969" t="str">
        <f>IFERROR(INDEX(Stores!$B:$B,MATCH(E2969,Stores!$A:$A,0)),"Unknown")</f>
        <v>TrendMart Thrissur Standard</v>
      </c>
      <c r="Y2969" t="str">
        <f>IFERROR(INDEX(Stores!$E:$E,MATCH(E2969,Stores!$A:$A,0)),"Unknown")</f>
        <v>South Zone 1</v>
      </c>
      <c r="Z2969" t="str">
        <f>IFERROR(INDEX(Customers!$J:$J,MATCH(C2969,Customers!$A:$A,0)),"Unknown")</f>
        <v>Regular</v>
      </c>
      <c r="AA2969" t="str">
        <f t="shared" si="46"/>
        <v>2024-10</v>
      </c>
      <c r="AB2969" t="str">
        <f>IFERROR(INDEX(Products!$I:$I,MATCH(D2969,Products!$A:$A,0)),"Unknown")</f>
        <v>SUP070</v>
      </c>
    </row>
    <row r="2970" spans="1:28" x14ac:dyDescent="0.25">
      <c r="A2970" t="s">
        <v>5045</v>
      </c>
      <c r="B2970" s="20">
        <v>45665</v>
      </c>
      <c r="C2970" t="s">
        <v>2719</v>
      </c>
      <c r="D2970" t="s">
        <v>481</v>
      </c>
      <c r="E2970" t="s">
        <v>318</v>
      </c>
      <c r="F2970" t="s">
        <v>275</v>
      </c>
      <c r="G2970">
        <v>5</v>
      </c>
      <c r="H2970" s="21">
        <v>922.89</v>
      </c>
      <c r="I2970">
        <v>10</v>
      </c>
      <c r="J2970" s="21">
        <v>461.44</v>
      </c>
      <c r="K2970">
        <v>5</v>
      </c>
      <c r="L2970" s="21">
        <v>207.65</v>
      </c>
      <c r="M2970" s="21">
        <v>4360.66</v>
      </c>
      <c r="N2970" s="21">
        <v>3490.4</v>
      </c>
      <c r="O2970" s="21">
        <v>662.61</v>
      </c>
      <c r="P2970" t="s">
        <v>124</v>
      </c>
      <c r="Q2970" t="s">
        <v>120</v>
      </c>
      <c r="R2970" t="s">
        <v>151</v>
      </c>
      <c r="S2970" t="s">
        <v>1858</v>
      </c>
      <c r="T2970" t="s">
        <v>153</v>
      </c>
      <c r="U2970" t="s">
        <v>154</v>
      </c>
      <c r="V2970" t="str">
        <f>IFERROR(INDEX(Products!$C:$C,MATCH(D2970,Products!$A:$A,0)),"Unknown")</f>
        <v>Women Dresses</v>
      </c>
      <c r="W2970" t="str">
        <f>IFERROR(INDEX(Products!$E:$E,MATCH(D2970,Products!$A:$A,0)),"Unknown")</f>
        <v>Jack &amp; Jones</v>
      </c>
      <c r="X2970" t="str">
        <f>IFERROR(INDEX(Stores!$B:$B,MATCH(E2970,Stores!$A:$A,0)),"Unknown")</f>
        <v>TrendMart Guntur Outlet</v>
      </c>
      <c r="Y2970" t="str">
        <f>IFERROR(INDEX(Stores!$E:$E,MATCH(E2970,Stores!$A:$A,0)),"Unknown")</f>
        <v>South Zone 3</v>
      </c>
      <c r="Z2970" t="str">
        <f>IFERROR(INDEX(Customers!$J:$J,MATCH(C2970,Customers!$A:$A,0)),"Unknown")</f>
        <v>Gold</v>
      </c>
      <c r="AA2970" t="str">
        <f t="shared" si="46"/>
        <v>2025-01</v>
      </c>
      <c r="AB2970" t="str">
        <f>IFERROR(INDEX(Products!$I:$I,MATCH(D2970,Products!$A:$A,0)),"Unknown")</f>
        <v>SUP069</v>
      </c>
    </row>
    <row r="2971" spans="1:28" x14ac:dyDescent="0.25">
      <c r="A2971" t="s">
        <v>5046</v>
      </c>
      <c r="B2971" s="20">
        <v>45597</v>
      </c>
      <c r="C2971" t="s">
        <v>1933</v>
      </c>
      <c r="D2971" t="s">
        <v>2006</v>
      </c>
      <c r="E2971" t="s">
        <v>815</v>
      </c>
      <c r="F2971" t="s">
        <v>182</v>
      </c>
      <c r="G2971">
        <v>0</v>
      </c>
      <c r="H2971" s="21">
        <v>1571.42</v>
      </c>
      <c r="I2971">
        <v>10</v>
      </c>
      <c r="J2971" s="21">
        <v>0</v>
      </c>
      <c r="K2971">
        <v>12</v>
      </c>
      <c r="L2971" s="21">
        <v>0</v>
      </c>
      <c r="M2971" s="21">
        <v>0</v>
      </c>
      <c r="N2971" s="21">
        <v>0</v>
      </c>
      <c r="O2971" s="21">
        <v>0</v>
      </c>
      <c r="P2971" t="s">
        <v>124</v>
      </c>
      <c r="Q2971" t="s">
        <v>122</v>
      </c>
      <c r="R2971" t="s">
        <v>482</v>
      </c>
      <c r="S2971" t="s">
        <v>1978</v>
      </c>
      <c r="T2971" t="s">
        <v>153</v>
      </c>
      <c r="U2971" t="s">
        <v>154</v>
      </c>
      <c r="V2971" t="str">
        <f>IFERROR(INDEX(Products!$C:$C,MATCH(D2971,Products!$A:$A,0)),"Unknown")</f>
        <v>Winter Wear</v>
      </c>
      <c r="W2971" t="str">
        <f>IFERROR(INDEX(Products!$E:$E,MATCH(D2971,Products!$A:$A,0)),"Unknown")</f>
        <v>Fossil</v>
      </c>
      <c r="X2971" t="str">
        <f>IFERROR(INDEX(Stores!$B:$B,MATCH(E2971,Stores!$A:$A,0)),"Unknown")</f>
        <v>TrendMart Madurai Mall Kiosk</v>
      </c>
      <c r="Y2971" t="str">
        <f>IFERROR(INDEX(Stores!$E:$E,MATCH(E2971,Stores!$A:$A,0)),"Unknown")</f>
        <v>South Zone 1</v>
      </c>
      <c r="Z2971" t="str">
        <f>IFERROR(INDEX(Customers!$J:$J,MATCH(C2971,Customers!$A:$A,0)),"Unknown")</f>
        <v>Gold</v>
      </c>
      <c r="AA2971" t="str">
        <f t="shared" si="46"/>
        <v>2024-11</v>
      </c>
      <c r="AB2971" t="str">
        <f>IFERROR(INDEX(Products!$I:$I,MATCH(D2971,Products!$A:$A,0)),"Unknown")</f>
        <v>SUP075</v>
      </c>
    </row>
    <row r="2972" spans="1:28" x14ac:dyDescent="0.25">
      <c r="A2972" t="s">
        <v>5047</v>
      </c>
      <c r="B2972" s="20">
        <v>45736</v>
      </c>
      <c r="C2972" t="s">
        <v>3377</v>
      </c>
      <c r="D2972" t="s">
        <v>1687</v>
      </c>
      <c r="E2972" t="s">
        <v>1108</v>
      </c>
      <c r="F2972" t="s">
        <v>242</v>
      </c>
      <c r="G2972">
        <v>1</v>
      </c>
      <c r="H2972" s="21">
        <v>799.66</v>
      </c>
      <c r="I2972">
        <v>0</v>
      </c>
      <c r="J2972" s="21">
        <v>0</v>
      </c>
      <c r="K2972">
        <v>5</v>
      </c>
      <c r="L2972" s="21">
        <v>39.979999999999997</v>
      </c>
      <c r="M2972" s="21">
        <v>839.64</v>
      </c>
      <c r="N2972" s="21">
        <v>481.3</v>
      </c>
      <c r="O2972" s="21">
        <v>318.36</v>
      </c>
      <c r="P2972" t="s">
        <v>125</v>
      </c>
      <c r="Q2972" t="s">
        <v>120</v>
      </c>
      <c r="R2972" t="s">
        <v>151</v>
      </c>
      <c r="S2972" t="s">
        <v>3688</v>
      </c>
      <c r="T2972" t="s">
        <v>153</v>
      </c>
      <c r="U2972" t="s">
        <v>154</v>
      </c>
      <c r="V2972" t="str">
        <f>IFERROR(INDEX(Products!$C:$C,MATCH(D2972,Products!$A:$A,0)),"Unknown")</f>
        <v>Accessories</v>
      </c>
      <c r="W2972" t="str">
        <f>IFERROR(INDEX(Products!$E:$E,MATCH(D2972,Products!$A:$A,0)),"Unknown")</f>
        <v>Unknown</v>
      </c>
      <c r="X2972" t="str">
        <f>IFERROR(INDEX(Stores!$B:$B,MATCH(E2972,Stores!$A:$A,0)),"Unknown")</f>
        <v>TrendMart Karimnagar Standard</v>
      </c>
      <c r="Y2972" t="str">
        <f>IFERROR(INDEX(Stores!$E:$E,MATCH(E2972,Stores!$A:$A,0)),"Unknown")</f>
        <v>South Zone 2</v>
      </c>
      <c r="Z2972" t="str">
        <f>IFERROR(INDEX(Customers!$J:$J,MATCH(C2972,Customers!$A:$A,0)),"Unknown")</f>
        <v>Silver</v>
      </c>
      <c r="AA2972" t="str">
        <f t="shared" si="46"/>
        <v>2025-03</v>
      </c>
      <c r="AB2972" t="str">
        <f>IFERROR(INDEX(Products!$I:$I,MATCH(D2972,Products!$A:$A,0)),"Unknown")</f>
        <v>SUP023</v>
      </c>
    </row>
    <row r="2973" spans="1:28" x14ac:dyDescent="0.25">
      <c r="A2973" t="s">
        <v>5048</v>
      </c>
      <c r="B2973" s="20">
        <v>45502</v>
      </c>
      <c r="C2973" t="s">
        <v>2305</v>
      </c>
      <c r="D2973" t="s">
        <v>1564</v>
      </c>
      <c r="E2973" t="s">
        <v>262</v>
      </c>
      <c r="F2973" t="s">
        <v>532</v>
      </c>
      <c r="G2973">
        <v>1</v>
      </c>
      <c r="H2973" s="21">
        <v>933.2</v>
      </c>
      <c r="I2973">
        <v>10</v>
      </c>
      <c r="J2973" s="21">
        <v>93.32</v>
      </c>
      <c r="K2973">
        <v>5</v>
      </c>
      <c r="L2973" s="21">
        <v>41.99</v>
      </c>
      <c r="M2973" s="21">
        <v>881.87</v>
      </c>
      <c r="N2973" s="21">
        <v>695.67</v>
      </c>
      <c r="O2973" s="21">
        <v>144.21</v>
      </c>
      <c r="P2973" t="s">
        <v>124</v>
      </c>
      <c r="Q2973" t="s">
        <v>120</v>
      </c>
      <c r="R2973" t="s">
        <v>151</v>
      </c>
      <c r="S2973" t="s">
        <v>774</v>
      </c>
      <c r="T2973" t="s">
        <v>153</v>
      </c>
      <c r="U2973" t="s">
        <v>154</v>
      </c>
      <c r="V2973" t="str">
        <f>IFERROR(INDEX(Products!$C:$C,MATCH(D2973,Products!$A:$A,0)),"Unknown")</f>
        <v>Handbags</v>
      </c>
      <c r="W2973" t="str">
        <f>IFERROR(INDEX(Products!$E:$E,MATCH(D2973,Products!$A:$A,0)),"Unknown")</f>
        <v>W for Woman</v>
      </c>
      <c r="X2973" t="str">
        <f>IFERROR(INDEX(Stores!$B:$B,MATCH(E2973,Stores!$A:$A,0)),"Unknown")</f>
        <v>TrendMart Thoothukudi Outlet</v>
      </c>
      <c r="Y2973" t="str">
        <f>IFERROR(INDEX(Stores!$E:$E,MATCH(E2973,Stores!$A:$A,0)),"Unknown")</f>
        <v>South Zone 1</v>
      </c>
      <c r="Z2973" t="str">
        <f>IFERROR(INDEX(Customers!$J:$J,MATCH(C2973,Customers!$A:$A,0)),"Unknown")</f>
        <v>Silver</v>
      </c>
      <c r="AA2973" t="str">
        <f t="shared" si="46"/>
        <v>2024-07</v>
      </c>
      <c r="AB2973" t="str">
        <f>IFERROR(INDEX(Products!$I:$I,MATCH(D2973,Products!$A:$A,0)),"Unknown")</f>
        <v>SUP011</v>
      </c>
    </row>
    <row r="2974" spans="1:28" x14ac:dyDescent="0.25">
      <c r="A2974" t="s">
        <v>5049</v>
      </c>
      <c r="B2974" s="20">
        <v>45572</v>
      </c>
      <c r="C2974" t="s">
        <v>2491</v>
      </c>
      <c r="D2974" t="s">
        <v>187</v>
      </c>
      <c r="E2974" t="s">
        <v>823</v>
      </c>
      <c r="F2974" t="s">
        <v>532</v>
      </c>
      <c r="G2974">
        <v>1</v>
      </c>
      <c r="H2974" s="21">
        <v>1389.35</v>
      </c>
      <c r="I2974">
        <v>0</v>
      </c>
      <c r="J2974" s="21">
        <v>0</v>
      </c>
      <c r="K2974">
        <v>12</v>
      </c>
      <c r="L2974" s="21">
        <v>166.72</v>
      </c>
      <c r="M2974" s="21">
        <v>1556.07</v>
      </c>
      <c r="N2974" s="21">
        <v>1148.6600000000001</v>
      </c>
      <c r="O2974" s="21">
        <v>240.69</v>
      </c>
      <c r="P2974" t="s">
        <v>123</v>
      </c>
      <c r="Q2974" t="s">
        <v>120</v>
      </c>
      <c r="R2974" t="s">
        <v>151</v>
      </c>
      <c r="S2974" t="s">
        <v>3074</v>
      </c>
      <c r="T2974" t="s">
        <v>153</v>
      </c>
      <c r="U2974" t="s">
        <v>154</v>
      </c>
      <c r="V2974" t="str">
        <f>IFERROR(INDEX(Products!$C:$C,MATCH(D2974,Products!$A:$A,0)),"Unknown")</f>
        <v>Sportswear</v>
      </c>
      <c r="W2974" t="str">
        <f>IFERROR(INDEX(Products!$E:$E,MATCH(D2974,Products!$A:$A,0)),"Unknown")</f>
        <v>US Polo Assn</v>
      </c>
      <c r="X2974" t="str">
        <f>IFERROR(INDEX(Stores!$B:$B,MATCH(E2974,Stores!$A:$A,0)),"Unknown")</f>
        <v>TrendMart Thoothukudi Mall Kiosk</v>
      </c>
      <c r="Y2974" t="str">
        <f>IFERROR(INDEX(Stores!$E:$E,MATCH(E2974,Stores!$A:$A,0)),"Unknown")</f>
        <v>South Zone 1</v>
      </c>
      <c r="Z2974" t="str">
        <f>IFERROR(INDEX(Customers!$J:$J,MATCH(C2974,Customers!$A:$A,0)),"Unknown")</f>
        <v>Regular</v>
      </c>
      <c r="AA2974" t="str">
        <f t="shared" si="46"/>
        <v>2024-10</v>
      </c>
      <c r="AB2974" t="str">
        <f>IFERROR(INDEX(Products!$I:$I,MATCH(D2974,Products!$A:$A,0)),"Unknown")</f>
        <v>SUP043</v>
      </c>
    </row>
    <row r="2975" spans="1:28" x14ac:dyDescent="0.25">
      <c r="A2975" t="s">
        <v>5050</v>
      </c>
      <c r="B2975" s="20">
        <v>45443</v>
      </c>
      <c r="C2975" t="s">
        <v>594</v>
      </c>
      <c r="D2975" t="s">
        <v>455</v>
      </c>
      <c r="E2975" t="s">
        <v>630</v>
      </c>
      <c r="F2975" t="s">
        <v>195</v>
      </c>
      <c r="G2975">
        <v>2</v>
      </c>
      <c r="H2975" s="21">
        <v>5173.99</v>
      </c>
      <c r="I2975">
        <v>0</v>
      </c>
      <c r="J2975" s="21">
        <v>0</v>
      </c>
      <c r="K2975">
        <v>12</v>
      </c>
      <c r="L2975" s="21">
        <v>1241.76</v>
      </c>
      <c r="M2975" s="21">
        <v>11589.74</v>
      </c>
      <c r="N2975" s="21">
        <v>7497.42</v>
      </c>
      <c r="O2975" s="21">
        <v>2850.56</v>
      </c>
      <c r="P2975" t="s">
        <v>125</v>
      </c>
      <c r="Q2975" t="s">
        <v>120</v>
      </c>
      <c r="R2975" t="s">
        <v>151</v>
      </c>
      <c r="S2975" t="s">
        <v>546</v>
      </c>
      <c r="T2975" t="s">
        <v>153</v>
      </c>
      <c r="U2975" t="s">
        <v>154</v>
      </c>
      <c r="V2975" t="str">
        <f>IFERROR(INDEX(Products!$C:$C,MATCH(D2975,Products!$A:$A,0)),"Unknown")</f>
        <v>Watches</v>
      </c>
      <c r="W2975" t="str">
        <f>IFERROR(INDEX(Products!$E:$E,MATCH(D2975,Products!$A:$A,0)),"Unknown")</f>
        <v>Bata</v>
      </c>
      <c r="X2975" t="str">
        <f>IFERROR(INDEX(Stores!$B:$B,MATCH(E2975,Stores!$A:$A,0)),"Unknown")</f>
        <v>TrendMart Guntur Standard</v>
      </c>
      <c r="Y2975" t="str">
        <f>IFERROR(INDEX(Stores!$E:$E,MATCH(E2975,Stores!$A:$A,0)),"Unknown")</f>
        <v>South Zone 3</v>
      </c>
      <c r="Z2975" t="str">
        <f>IFERROR(INDEX(Customers!$J:$J,MATCH(C2975,Customers!$A:$A,0)),"Unknown")</f>
        <v>Silver</v>
      </c>
      <c r="AA2975" t="str">
        <f t="shared" si="46"/>
        <v>2024-05</v>
      </c>
      <c r="AB2975" t="str">
        <f>IFERROR(INDEX(Products!$I:$I,MATCH(D2975,Products!$A:$A,0)),"Unknown")</f>
        <v>SUP051</v>
      </c>
    </row>
    <row r="2976" spans="1:28" x14ac:dyDescent="0.25">
      <c r="A2976" t="s">
        <v>5051</v>
      </c>
      <c r="B2976" s="20">
        <v>45428</v>
      </c>
      <c r="C2976" t="s">
        <v>1967</v>
      </c>
      <c r="D2976" t="s">
        <v>773</v>
      </c>
      <c r="E2976" t="s">
        <v>506</v>
      </c>
      <c r="F2976" t="s">
        <v>516</v>
      </c>
      <c r="G2976">
        <v>0</v>
      </c>
      <c r="H2976" s="21">
        <v>3497.7</v>
      </c>
      <c r="I2976">
        <v>0</v>
      </c>
      <c r="J2976" s="21">
        <v>0</v>
      </c>
      <c r="K2976">
        <v>12</v>
      </c>
      <c r="L2976" s="21">
        <v>0</v>
      </c>
      <c r="M2976" s="21">
        <v>0</v>
      </c>
      <c r="N2976" s="21">
        <v>0</v>
      </c>
      <c r="O2976" s="21">
        <v>0</v>
      </c>
      <c r="P2976" t="s">
        <v>125</v>
      </c>
      <c r="Q2976" t="s">
        <v>122</v>
      </c>
      <c r="R2976" t="s">
        <v>482</v>
      </c>
      <c r="S2976" t="s">
        <v>1643</v>
      </c>
      <c r="T2976" t="s">
        <v>153</v>
      </c>
      <c r="U2976" t="s">
        <v>154</v>
      </c>
      <c r="V2976" t="str">
        <f>IFERROR(INDEX(Products!$C:$C,MATCH(D2976,Products!$A:$A,0)),"Unknown")</f>
        <v>Women Sarees</v>
      </c>
      <c r="W2976" t="str">
        <f>IFERROR(INDEX(Products!$E:$E,MATCH(D2976,Products!$A:$A,0)),"Unknown")</f>
        <v>Bata</v>
      </c>
      <c r="X2976" t="str">
        <f>IFERROR(INDEX(Stores!$B:$B,MATCH(E2976,Stores!$A:$A,0)),"Unknown")</f>
        <v>TrendMart Nellore High Street</v>
      </c>
      <c r="Y2976" t="str">
        <f>IFERROR(INDEX(Stores!$E:$E,MATCH(E2976,Stores!$A:$A,0)),"Unknown")</f>
        <v>South Zone 3</v>
      </c>
      <c r="Z2976" t="str">
        <f>IFERROR(INDEX(Customers!$J:$J,MATCH(C2976,Customers!$A:$A,0)),"Unknown")</f>
        <v>Gold</v>
      </c>
      <c r="AA2976" t="str">
        <f t="shared" si="46"/>
        <v>2024-05</v>
      </c>
      <c r="AB2976" t="str">
        <f>IFERROR(INDEX(Products!$I:$I,MATCH(D2976,Products!$A:$A,0)),"Unknown")</f>
        <v>SUP086</v>
      </c>
    </row>
    <row r="2977" spans="1:28" x14ac:dyDescent="0.25">
      <c r="A2977" t="s">
        <v>5052</v>
      </c>
      <c r="B2977" s="20">
        <v>45456</v>
      </c>
      <c r="C2977" t="s">
        <v>4408</v>
      </c>
      <c r="D2977" t="s">
        <v>545</v>
      </c>
      <c r="E2977" t="s">
        <v>634</v>
      </c>
      <c r="F2977" t="s">
        <v>303</v>
      </c>
      <c r="G2977">
        <v>2</v>
      </c>
      <c r="H2977" s="21">
        <v>1291.56</v>
      </c>
      <c r="I2977">
        <v>10</v>
      </c>
      <c r="J2977" s="21">
        <v>258.31</v>
      </c>
      <c r="K2977">
        <v>12</v>
      </c>
      <c r="L2977" s="21">
        <v>278.98</v>
      </c>
      <c r="M2977" s="21">
        <v>2603.79</v>
      </c>
      <c r="N2977" s="21">
        <v>1669.92</v>
      </c>
      <c r="O2977" s="21">
        <v>654.89</v>
      </c>
      <c r="P2977" t="s">
        <v>121</v>
      </c>
      <c r="Q2977" t="s">
        <v>120</v>
      </c>
      <c r="R2977" t="s">
        <v>151</v>
      </c>
      <c r="S2977" t="s">
        <v>911</v>
      </c>
      <c r="T2977" t="s">
        <v>153</v>
      </c>
      <c r="U2977" t="s">
        <v>154</v>
      </c>
      <c r="V2977" t="str">
        <f>IFERROR(INDEX(Products!$C:$C,MATCH(D2977,Products!$A:$A,0)),"Unknown")</f>
        <v>Women Jeans</v>
      </c>
      <c r="W2977" t="str">
        <f>IFERROR(INDEX(Products!$E:$E,MATCH(D2977,Products!$A:$A,0)),"Unknown")</f>
        <v>US Polo Assn</v>
      </c>
      <c r="X2977" t="str">
        <f>IFERROR(INDEX(Stores!$B:$B,MATCH(E2977,Stores!$A:$A,0)),"Unknown")</f>
        <v>TrendMart Thrissur High Street</v>
      </c>
      <c r="Y2977" t="str">
        <f>IFERROR(INDEX(Stores!$E:$E,MATCH(E2977,Stores!$A:$A,0)),"Unknown")</f>
        <v>South Zone 1</v>
      </c>
      <c r="Z2977" t="str">
        <f>IFERROR(INDEX(Customers!$J:$J,MATCH(C2977,Customers!$A:$A,0)),"Unknown")</f>
        <v>Platinum</v>
      </c>
      <c r="AA2977" t="str">
        <f t="shared" si="46"/>
        <v>2024-06</v>
      </c>
      <c r="AB2977" t="str">
        <f>IFERROR(INDEX(Products!$I:$I,MATCH(D2977,Products!$A:$A,0)),"Unknown")</f>
        <v>SUP041</v>
      </c>
    </row>
    <row r="2978" spans="1:28" x14ac:dyDescent="0.25">
      <c r="A2978" t="s">
        <v>5053</v>
      </c>
      <c r="B2978" s="20">
        <v>45496</v>
      </c>
      <c r="C2978" t="s">
        <v>2686</v>
      </c>
      <c r="D2978" t="s">
        <v>864</v>
      </c>
      <c r="E2978" t="s">
        <v>1426</v>
      </c>
      <c r="F2978" t="s">
        <v>269</v>
      </c>
      <c r="G2978">
        <v>1</v>
      </c>
      <c r="H2978" s="21">
        <v>3134.15</v>
      </c>
      <c r="I2978">
        <v>20</v>
      </c>
      <c r="J2978" s="21">
        <v>626.83000000000004</v>
      </c>
      <c r="K2978">
        <v>3</v>
      </c>
      <c r="L2978" s="21">
        <v>75.22</v>
      </c>
      <c r="M2978" s="21">
        <v>2582.54</v>
      </c>
      <c r="N2978" s="21">
        <v>1989.93</v>
      </c>
      <c r="O2978" s="21">
        <v>517.39</v>
      </c>
      <c r="P2978" t="s">
        <v>124</v>
      </c>
      <c r="Q2978" t="s">
        <v>120</v>
      </c>
      <c r="R2978" t="s">
        <v>151</v>
      </c>
      <c r="S2978" t="s">
        <v>1011</v>
      </c>
      <c r="T2978" t="s">
        <v>153</v>
      </c>
      <c r="U2978" t="s">
        <v>154</v>
      </c>
      <c r="V2978" t="str">
        <f>IFERROR(INDEX(Products!$C:$C,MATCH(D2978,Products!$A:$A,0)),"Unknown")</f>
        <v>Jewellery</v>
      </c>
      <c r="W2978" t="str">
        <f>IFERROR(INDEX(Products!$E:$E,MATCH(D2978,Products!$A:$A,0)),"Unknown")</f>
        <v>Wrangler</v>
      </c>
      <c r="X2978" t="str">
        <f>IFERROR(INDEX(Stores!$B:$B,MATCH(E2978,Stores!$A:$A,0)),"Unknown")</f>
        <v>TrendMart Alappuzha Mall Kiosk</v>
      </c>
      <c r="Y2978" t="str">
        <f>IFERROR(INDEX(Stores!$E:$E,MATCH(E2978,Stores!$A:$A,0)),"Unknown")</f>
        <v>South Zone 1</v>
      </c>
      <c r="Z2978" t="str">
        <f>IFERROR(INDEX(Customers!$J:$J,MATCH(C2978,Customers!$A:$A,0)),"Unknown")</f>
        <v>Regular</v>
      </c>
      <c r="AA2978" t="str">
        <f t="shared" si="46"/>
        <v>2024-07</v>
      </c>
      <c r="AB2978" t="str">
        <f>IFERROR(INDEX(Products!$I:$I,MATCH(D2978,Products!$A:$A,0)),"Unknown")</f>
        <v>SUP070</v>
      </c>
    </row>
    <row r="2979" spans="1:28" x14ac:dyDescent="0.25">
      <c r="A2979" t="s">
        <v>5054</v>
      </c>
      <c r="B2979" s="20">
        <v>45383</v>
      </c>
      <c r="C2979" t="s">
        <v>1255</v>
      </c>
      <c r="D2979" t="s">
        <v>536</v>
      </c>
      <c r="E2979" t="s">
        <v>334</v>
      </c>
      <c r="F2979" t="s">
        <v>382</v>
      </c>
      <c r="G2979">
        <v>2</v>
      </c>
      <c r="H2979" s="21">
        <v>567.04</v>
      </c>
      <c r="I2979">
        <v>10</v>
      </c>
      <c r="J2979" s="21">
        <v>113.41</v>
      </c>
      <c r="K2979">
        <v>5</v>
      </c>
      <c r="L2979" s="21">
        <v>51.03</v>
      </c>
      <c r="M2979" s="21">
        <v>1071.7</v>
      </c>
      <c r="N2979" s="21">
        <v>714.9</v>
      </c>
      <c r="O2979" s="21">
        <v>305.77</v>
      </c>
      <c r="P2979" t="s">
        <v>124</v>
      </c>
      <c r="Q2979" t="s">
        <v>120</v>
      </c>
      <c r="R2979" t="s">
        <v>151</v>
      </c>
      <c r="S2979" t="s">
        <v>2367</v>
      </c>
      <c r="T2979" t="s">
        <v>153</v>
      </c>
      <c r="U2979" t="s">
        <v>154</v>
      </c>
      <c r="V2979" t="str">
        <f>IFERROR(INDEX(Products!$C:$C,MATCH(D2979,Products!$A:$A,0)),"Unknown")</f>
        <v>Wallets</v>
      </c>
      <c r="W2979" t="str">
        <f>IFERROR(INDEX(Products!$E:$E,MATCH(D2979,Products!$A:$A,0)),"Unknown")</f>
        <v>Aurelia</v>
      </c>
      <c r="X2979" t="str">
        <f>IFERROR(INDEX(Stores!$B:$B,MATCH(E2979,Stores!$A:$A,0)),"Unknown")</f>
        <v>TrendMart Madurai High Street</v>
      </c>
      <c r="Y2979" t="str">
        <f>IFERROR(INDEX(Stores!$E:$E,MATCH(E2979,Stores!$A:$A,0)),"Unknown")</f>
        <v>South Zone 1</v>
      </c>
      <c r="Z2979" t="str">
        <f>IFERROR(INDEX(Customers!$J:$J,MATCH(C2979,Customers!$A:$A,0)),"Unknown")</f>
        <v>Regular</v>
      </c>
      <c r="AA2979" t="str">
        <f t="shared" si="46"/>
        <v>2024-04</v>
      </c>
      <c r="AB2979" t="str">
        <f>IFERROR(INDEX(Products!$I:$I,MATCH(D2979,Products!$A:$A,0)),"Unknown")</f>
        <v>SUP084</v>
      </c>
    </row>
    <row r="2980" spans="1:28" x14ac:dyDescent="0.25">
      <c r="A2980" t="s">
        <v>5055</v>
      </c>
      <c r="B2980" s="20">
        <v>45612</v>
      </c>
      <c r="C2980" t="s">
        <v>1536</v>
      </c>
      <c r="D2980" t="s">
        <v>312</v>
      </c>
      <c r="E2980" t="s">
        <v>302</v>
      </c>
      <c r="F2980" t="s">
        <v>532</v>
      </c>
      <c r="G2980">
        <v>1</v>
      </c>
      <c r="H2980" s="21">
        <v>1335.82</v>
      </c>
      <c r="I2980">
        <v>10</v>
      </c>
      <c r="J2980" s="21">
        <v>133.58000000000001</v>
      </c>
      <c r="K2980">
        <v>12</v>
      </c>
      <c r="L2980" s="21">
        <v>144.27000000000001</v>
      </c>
      <c r="M2980" s="21">
        <v>1346.51</v>
      </c>
      <c r="N2980" s="21">
        <v>865.92</v>
      </c>
      <c r="O2980" s="21">
        <v>336.32</v>
      </c>
      <c r="P2980" t="s">
        <v>121</v>
      </c>
      <c r="Q2980" t="s">
        <v>122</v>
      </c>
      <c r="R2980" t="s">
        <v>151</v>
      </c>
      <c r="S2980" t="s">
        <v>3112</v>
      </c>
      <c r="T2980" t="s">
        <v>161</v>
      </c>
      <c r="U2980" t="s">
        <v>154</v>
      </c>
      <c r="V2980" t="str">
        <f>IFERROR(INDEX(Products!$C:$C,MATCH(D2980,Products!$A:$A,0)),"Unknown")</f>
        <v>Handbags</v>
      </c>
      <c r="W2980" t="str">
        <f>IFERROR(INDEX(Products!$E:$E,MATCH(D2980,Products!$A:$A,0)),"Unknown")</f>
        <v>Wrangler</v>
      </c>
      <c r="X2980" t="str">
        <f>IFERROR(INDEX(Stores!$B:$B,MATCH(E2980,Stores!$A:$A,0)),"Unknown")</f>
        <v>TrendMart Visakhapatnam Standard</v>
      </c>
      <c r="Y2980" t="str">
        <f>IFERROR(INDEX(Stores!$E:$E,MATCH(E2980,Stores!$A:$A,0)),"Unknown")</f>
        <v>South Zone 3</v>
      </c>
      <c r="Z2980" t="str">
        <f>IFERROR(INDEX(Customers!$J:$J,MATCH(C2980,Customers!$A:$A,0)),"Unknown")</f>
        <v>Silver</v>
      </c>
      <c r="AA2980" t="str">
        <f t="shared" si="46"/>
        <v>2024-11</v>
      </c>
      <c r="AB2980" t="str">
        <f>IFERROR(INDEX(Products!$I:$I,MATCH(D2980,Products!$A:$A,0)),"Unknown")</f>
        <v>SUP008</v>
      </c>
    </row>
    <row r="2981" spans="1:28" x14ac:dyDescent="0.25">
      <c r="A2981" t="s">
        <v>5056</v>
      </c>
      <c r="B2981" s="20">
        <v>45621</v>
      </c>
      <c r="C2981" t="s">
        <v>1585</v>
      </c>
      <c r="D2981" t="s">
        <v>961</v>
      </c>
      <c r="E2981" t="s">
        <v>158</v>
      </c>
      <c r="F2981" t="s">
        <v>574</v>
      </c>
      <c r="G2981">
        <v>2</v>
      </c>
      <c r="H2981" s="21">
        <v>1237.4100000000001</v>
      </c>
      <c r="I2981">
        <v>0</v>
      </c>
      <c r="J2981" s="21">
        <v>0</v>
      </c>
      <c r="K2981">
        <v>12</v>
      </c>
      <c r="L2981" s="21">
        <v>296.98</v>
      </c>
      <c r="M2981" s="21">
        <v>2771.8</v>
      </c>
      <c r="N2981" s="21">
        <v>1763.86</v>
      </c>
      <c r="O2981" s="21">
        <v>710.96</v>
      </c>
      <c r="P2981" t="s">
        <v>123</v>
      </c>
      <c r="Q2981" t="s">
        <v>120</v>
      </c>
      <c r="R2981" t="s">
        <v>151</v>
      </c>
      <c r="S2981" t="s">
        <v>1455</v>
      </c>
      <c r="T2981" t="s">
        <v>153</v>
      </c>
      <c r="U2981" t="s">
        <v>154</v>
      </c>
      <c r="V2981" t="str">
        <f>IFERROR(INDEX(Products!$C:$C,MATCH(D2981,Products!$A:$A,0)),"Unknown")</f>
        <v>Men Trousers</v>
      </c>
      <c r="W2981" t="str">
        <f>IFERROR(INDEX(Products!$E:$E,MATCH(D2981,Products!$A:$A,0)),"Unknown")</f>
        <v>Pepe Jeans</v>
      </c>
      <c r="X2981" t="str">
        <f>IFERROR(INDEX(Stores!$B:$B,MATCH(E2981,Stores!$A:$A,0)),"Unknown")</f>
        <v>TrendMart Tirunelveli High Street</v>
      </c>
      <c r="Y2981" t="str">
        <f>IFERROR(INDEX(Stores!$E:$E,MATCH(E2981,Stores!$A:$A,0)),"Unknown")</f>
        <v>South Zone 1</v>
      </c>
      <c r="Z2981" t="str">
        <f>IFERROR(INDEX(Customers!$J:$J,MATCH(C2981,Customers!$A:$A,0)),"Unknown")</f>
        <v>Regular</v>
      </c>
      <c r="AA2981" t="str">
        <f t="shared" si="46"/>
        <v>2024-11</v>
      </c>
      <c r="AB2981" t="str">
        <f>IFERROR(INDEX(Products!$I:$I,MATCH(D2981,Products!$A:$A,0)),"Unknown")</f>
        <v>SUP071</v>
      </c>
    </row>
    <row r="2982" spans="1:28" x14ac:dyDescent="0.25">
      <c r="A2982" t="s">
        <v>5057</v>
      </c>
      <c r="B2982" s="20">
        <v>45737</v>
      </c>
      <c r="C2982" t="s">
        <v>3643</v>
      </c>
      <c r="D2982" t="s">
        <v>205</v>
      </c>
      <c r="E2982" t="s">
        <v>1074</v>
      </c>
      <c r="F2982" t="s">
        <v>170</v>
      </c>
      <c r="G2982">
        <v>1</v>
      </c>
      <c r="H2982" s="21">
        <v>984.51</v>
      </c>
      <c r="I2982">
        <v>30</v>
      </c>
      <c r="J2982" s="21">
        <v>295.35000000000002</v>
      </c>
      <c r="K2982">
        <v>5</v>
      </c>
      <c r="L2982" s="21">
        <v>34.46</v>
      </c>
      <c r="M2982" s="21">
        <v>723.62</v>
      </c>
      <c r="N2982" s="21">
        <v>692.53</v>
      </c>
      <c r="O2982" s="21">
        <v>-3.37</v>
      </c>
      <c r="P2982" t="s">
        <v>125</v>
      </c>
      <c r="Q2982" t="s">
        <v>120</v>
      </c>
      <c r="R2982" t="s">
        <v>151</v>
      </c>
      <c r="S2982" t="s">
        <v>1179</v>
      </c>
      <c r="T2982" t="s">
        <v>153</v>
      </c>
      <c r="U2982" t="s">
        <v>184</v>
      </c>
      <c r="V2982" t="str">
        <f>IFERROR(INDEX(Products!$C:$C,MATCH(D2982,Products!$A:$A,0)),"Unknown")</f>
        <v>Women Jeans</v>
      </c>
      <c r="W2982" t="str">
        <f>IFERROR(INDEX(Products!$E:$E,MATCH(D2982,Products!$A:$A,0)),"Unknown")</f>
        <v>Sonata</v>
      </c>
      <c r="X2982" t="str">
        <f>IFERROR(INDEX(Stores!$B:$B,MATCH(E2982,Stores!$A:$A,0)),"Unknown")</f>
        <v>TrendMart Hyderabad Standard</v>
      </c>
      <c r="Y2982" t="str">
        <f>IFERROR(INDEX(Stores!$E:$E,MATCH(E2982,Stores!$A:$A,0)),"Unknown")</f>
        <v>South Zone 2</v>
      </c>
      <c r="Z2982" t="str">
        <f>IFERROR(INDEX(Customers!$J:$J,MATCH(C2982,Customers!$A:$A,0)),"Unknown")</f>
        <v>Regular</v>
      </c>
      <c r="AA2982" t="str">
        <f t="shared" si="46"/>
        <v>2025-03</v>
      </c>
      <c r="AB2982" t="str">
        <f>IFERROR(INDEX(Products!$I:$I,MATCH(D2982,Products!$A:$A,0)),"Unknown")</f>
        <v>SUP014</v>
      </c>
    </row>
    <row r="2983" spans="1:28" x14ac:dyDescent="0.25">
      <c r="A2983" t="s">
        <v>5058</v>
      </c>
      <c r="B2983" s="20">
        <v>45584</v>
      </c>
      <c r="C2983" t="s">
        <v>229</v>
      </c>
      <c r="D2983" t="s">
        <v>792</v>
      </c>
      <c r="E2983" t="s">
        <v>226</v>
      </c>
      <c r="F2983" t="s">
        <v>403</v>
      </c>
      <c r="G2983">
        <v>3</v>
      </c>
      <c r="H2983" s="21">
        <v>1155.67</v>
      </c>
      <c r="I2983">
        <v>10</v>
      </c>
      <c r="J2983" s="21">
        <v>346.7</v>
      </c>
      <c r="K2983">
        <v>12</v>
      </c>
      <c r="L2983" s="21">
        <v>374.44</v>
      </c>
      <c r="M2983" s="21">
        <v>3494.75</v>
      </c>
      <c r="N2983" s="21">
        <v>2212.0500000000002</v>
      </c>
      <c r="O2983" s="21">
        <v>908.26</v>
      </c>
      <c r="P2983" t="s">
        <v>121</v>
      </c>
      <c r="Q2983" t="s">
        <v>120</v>
      </c>
      <c r="R2983" t="s">
        <v>313</v>
      </c>
      <c r="S2983" t="s">
        <v>2688</v>
      </c>
      <c r="T2983" t="s">
        <v>161</v>
      </c>
      <c r="U2983" t="s">
        <v>154</v>
      </c>
      <c r="V2983" t="str">
        <f>IFERROR(INDEX(Products!$C:$C,MATCH(D2983,Products!$A:$A,0)),"Unknown")</f>
        <v>Belts</v>
      </c>
      <c r="W2983" t="str">
        <f>IFERROR(INDEX(Products!$E:$E,MATCH(D2983,Products!$A:$A,0)),"Unknown")</f>
        <v>Wrangler</v>
      </c>
      <c r="X2983" t="str">
        <f>IFERROR(INDEX(Stores!$B:$B,MATCH(E2983,Stores!$A:$A,0)),"Unknown")</f>
        <v>TrendMart Kurnool Standard</v>
      </c>
      <c r="Y2983" t="str">
        <f>IFERROR(INDEX(Stores!$E:$E,MATCH(E2983,Stores!$A:$A,0)),"Unknown")</f>
        <v>South Zone 3</v>
      </c>
      <c r="Z2983" t="str">
        <f>IFERROR(INDEX(Customers!$J:$J,MATCH(C2983,Customers!$A:$A,0)),"Unknown")</f>
        <v>Silver</v>
      </c>
      <c r="AA2983" t="str">
        <f t="shared" si="46"/>
        <v>2024-10</v>
      </c>
      <c r="AB2983" t="str">
        <f>IFERROR(INDEX(Products!$I:$I,MATCH(D2983,Products!$A:$A,0)),"Unknown")</f>
        <v>SUP004</v>
      </c>
    </row>
    <row r="2984" spans="1:28" x14ac:dyDescent="0.25">
      <c r="A2984" t="s">
        <v>5059</v>
      </c>
      <c r="B2984" s="20">
        <v>45545</v>
      </c>
      <c r="C2984" t="s">
        <v>909</v>
      </c>
      <c r="D2984" t="s">
        <v>1407</v>
      </c>
      <c r="E2984" t="s">
        <v>226</v>
      </c>
      <c r="F2984" t="s">
        <v>308</v>
      </c>
      <c r="G2984">
        <v>2</v>
      </c>
      <c r="H2984" s="21">
        <v>1176.08</v>
      </c>
      <c r="I2984">
        <v>5</v>
      </c>
      <c r="J2984" s="21">
        <v>117.61</v>
      </c>
      <c r="K2984">
        <v>12</v>
      </c>
      <c r="L2984" s="21">
        <v>268.14999999999998</v>
      </c>
      <c r="M2984" s="21">
        <v>2502.6999999999998</v>
      </c>
      <c r="N2984" s="21">
        <v>1530.46</v>
      </c>
      <c r="O2984" s="21">
        <v>704.09</v>
      </c>
      <c r="P2984" t="s">
        <v>125</v>
      </c>
      <c r="Q2984" t="s">
        <v>120</v>
      </c>
      <c r="R2984" t="s">
        <v>151</v>
      </c>
      <c r="S2984" t="s">
        <v>2624</v>
      </c>
      <c r="T2984" t="s">
        <v>153</v>
      </c>
      <c r="U2984" t="s">
        <v>154</v>
      </c>
      <c r="V2984" t="str">
        <f>IFERROR(INDEX(Products!$C:$C,MATCH(D2984,Products!$A:$A,0)),"Unknown")</f>
        <v>Belts</v>
      </c>
      <c r="W2984" t="str">
        <f>IFERROR(INDEX(Products!$E:$E,MATCH(D2984,Products!$A:$A,0)),"Unknown")</f>
        <v>Pantaloons</v>
      </c>
      <c r="X2984" t="str">
        <f>IFERROR(INDEX(Stores!$B:$B,MATCH(E2984,Stores!$A:$A,0)),"Unknown")</f>
        <v>TrendMart Kurnool Standard</v>
      </c>
      <c r="Y2984" t="str">
        <f>IFERROR(INDEX(Stores!$E:$E,MATCH(E2984,Stores!$A:$A,0)),"Unknown")</f>
        <v>South Zone 3</v>
      </c>
      <c r="Z2984" t="str">
        <f>IFERROR(INDEX(Customers!$J:$J,MATCH(C2984,Customers!$A:$A,0)),"Unknown")</f>
        <v>Regular</v>
      </c>
      <c r="AA2984" t="str">
        <f t="shared" si="46"/>
        <v>2024-09</v>
      </c>
      <c r="AB2984" t="str">
        <f>IFERROR(INDEX(Products!$I:$I,MATCH(D2984,Products!$A:$A,0)),"Unknown")</f>
        <v>SUP030</v>
      </c>
    </row>
    <row r="2985" spans="1:28" x14ac:dyDescent="0.25">
      <c r="A2985" t="s">
        <v>5060</v>
      </c>
      <c r="B2985" s="20">
        <v>45553</v>
      </c>
      <c r="C2985" t="s">
        <v>1082</v>
      </c>
      <c r="D2985" t="s">
        <v>805</v>
      </c>
      <c r="E2985" t="s">
        <v>607</v>
      </c>
      <c r="F2985" t="s">
        <v>443</v>
      </c>
      <c r="G2985">
        <v>1</v>
      </c>
      <c r="H2985" s="21">
        <v>1097.08</v>
      </c>
      <c r="I2985">
        <v>0</v>
      </c>
      <c r="J2985" s="21">
        <v>0</v>
      </c>
      <c r="K2985">
        <v>12</v>
      </c>
      <c r="L2985" s="21">
        <v>131.65</v>
      </c>
      <c r="M2985" s="21">
        <v>1228.73</v>
      </c>
      <c r="N2985" s="21">
        <v>583.86</v>
      </c>
      <c r="O2985" s="21">
        <v>513.22</v>
      </c>
      <c r="P2985" t="s">
        <v>125</v>
      </c>
      <c r="Q2985" t="s">
        <v>120</v>
      </c>
      <c r="R2985" t="s">
        <v>313</v>
      </c>
      <c r="S2985" t="s">
        <v>3491</v>
      </c>
      <c r="T2985" t="s">
        <v>153</v>
      </c>
      <c r="U2985" t="s">
        <v>154</v>
      </c>
      <c r="V2985" t="str">
        <f>IFERROR(INDEX(Products!$C:$C,MATCH(D2985,Products!$A:$A,0)),"Unknown")</f>
        <v>Accessories</v>
      </c>
      <c r="W2985" t="str">
        <f>IFERROR(INDEX(Products!$E:$E,MATCH(D2985,Products!$A:$A,0)),"Unknown")</f>
        <v>Being Human</v>
      </c>
      <c r="X2985" t="str">
        <f>IFERROR(INDEX(Stores!$B:$B,MATCH(E2985,Stores!$A:$A,0)),"Unknown")</f>
        <v>TrendMart Thiruvananthapuram Standard</v>
      </c>
      <c r="Y2985" t="str">
        <f>IFERROR(INDEX(Stores!$E:$E,MATCH(E2985,Stores!$A:$A,0)),"Unknown")</f>
        <v>South Zone 1</v>
      </c>
      <c r="Z2985" t="str">
        <f>IFERROR(INDEX(Customers!$J:$J,MATCH(C2985,Customers!$A:$A,0)),"Unknown")</f>
        <v>Regular</v>
      </c>
      <c r="AA2985" t="str">
        <f t="shared" si="46"/>
        <v>2024-09</v>
      </c>
      <c r="AB2985" t="str">
        <f>IFERROR(INDEX(Products!$I:$I,MATCH(D2985,Products!$A:$A,0)),"Unknown")</f>
        <v>SUP069</v>
      </c>
    </row>
    <row r="2986" spans="1:28" x14ac:dyDescent="0.25">
      <c r="A2986" t="s">
        <v>5061</v>
      </c>
      <c r="B2986" s="20">
        <v>45453</v>
      </c>
      <c r="C2986" t="s">
        <v>2041</v>
      </c>
      <c r="D2986" t="s">
        <v>841</v>
      </c>
      <c r="E2986" t="s">
        <v>1023</v>
      </c>
      <c r="F2986" t="s">
        <v>258</v>
      </c>
      <c r="G2986">
        <v>0</v>
      </c>
      <c r="H2986" s="21">
        <v>1516.95</v>
      </c>
      <c r="I2986">
        <v>25</v>
      </c>
      <c r="J2986" s="21">
        <v>0</v>
      </c>
      <c r="K2986">
        <v>12</v>
      </c>
      <c r="L2986" s="21">
        <v>0</v>
      </c>
      <c r="M2986" s="21">
        <v>0</v>
      </c>
      <c r="N2986" s="21">
        <v>0</v>
      </c>
      <c r="O2986" s="21">
        <v>0</v>
      </c>
      <c r="P2986" t="s">
        <v>126</v>
      </c>
      <c r="Q2986" t="s">
        <v>120</v>
      </c>
      <c r="R2986" t="s">
        <v>482</v>
      </c>
      <c r="S2986" t="s">
        <v>964</v>
      </c>
      <c r="T2986" t="s">
        <v>153</v>
      </c>
      <c r="U2986" t="s">
        <v>154</v>
      </c>
      <c r="V2986" t="str">
        <f>IFERROR(INDEX(Products!$C:$C,MATCH(D2986,Products!$A:$A,0)),"Unknown")</f>
        <v>Men Jeans</v>
      </c>
      <c r="W2986" t="str">
        <f>IFERROR(INDEX(Products!$E:$E,MATCH(D2986,Products!$A:$A,0)),"Unknown")</f>
        <v>Killer Jeans</v>
      </c>
      <c r="X2986" t="str">
        <f>IFERROR(INDEX(Stores!$B:$B,MATCH(E2986,Stores!$A:$A,0)),"Unknown")</f>
        <v>TrendMart Kochi High Street</v>
      </c>
      <c r="Y2986" t="str">
        <f>IFERROR(INDEX(Stores!$E:$E,MATCH(E2986,Stores!$A:$A,0)),"Unknown")</f>
        <v>South Zone 1</v>
      </c>
      <c r="Z2986" t="str">
        <f>IFERROR(INDEX(Customers!$J:$J,MATCH(C2986,Customers!$A:$A,0)),"Unknown")</f>
        <v>Regular</v>
      </c>
      <c r="AA2986" t="str">
        <f t="shared" si="46"/>
        <v>2024-06</v>
      </c>
      <c r="AB2986" t="str">
        <f>IFERROR(INDEX(Products!$I:$I,MATCH(D2986,Products!$A:$A,0)),"Unknown")</f>
        <v>SUP058</v>
      </c>
    </row>
    <row r="2987" spans="1:28" x14ac:dyDescent="0.25">
      <c r="A2987" t="s">
        <v>5062</v>
      </c>
      <c r="B2987" s="20">
        <v>45638</v>
      </c>
      <c r="C2987" t="s">
        <v>576</v>
      </c>
      <c r="D2987" t="s">
        <v>646</v>
      </c>
      <c r="E2987" t="s">
        <v>360</v>
      </c>
      <c r="F2987" t="s">
        <v>443</v>
      </c>
      <c r="G2987">
        <v>2</v>
      </c>
      <c r="H2987" s="21">
        <v>827.49</v>
      </c>
      <c r="I2987">
        <v>20</v>
      </c>
      <c r="J2987" s="21">
        <v>331</v>
      </c>
      <c r="K2987">
        <v>5</v>
      </c>
      <c r="L2987" s="21">
        <v>66.2</v>
      </c>
      <c r="M2987" s="21">
        <v>1390.18</v>
      </c>
      <c r="N2987" s="21">
        <v>1024.22</v>
      </c>
      <c r="O2987" s="21">
        <v>299.76</v>
      </c>
      <c r="P2987" t="s">
        <v>124</v>
      </c>
      <c r="Q2987" t="s">
        <v>120</v>
      </c>
      <c r="R2987" t="s">
        <v>151</v>
      </c>
      <c r="S2987" t="s">
        <v>499</v>
      </c>
      <c r="T2987" t="s">
        <v>153</v>
      </c>
      <c r="U2987" t="s">
        <v>154</v>
      </c>
      <c r="V2987" t="str">
        <f>IFERROR(INDEX(Products!$C:$C,MATCH(D2987,Products!$A:$A,0)),"Unknown")</f>
        <v>Sportswear</v>
      </c>
      <c r="W2987" t="str">
        <f>IFERROR(INDEX(Products!$E:$E,MATCH(D2987,Products!$A:$A,0)),"Unknown")</f>
        <v>Fabindia</v>
      </c>
      <c r="X2987" t="str">
        <f>IFERROR(INDEX(Stores!$B:$B,MATCH(E2987,Stores!$A:$A,0)),"Unknown")</f>
        <v>TrendMart Kochi Standard</v>
      </c>
      <c r="Y2987" t="str">
        <f>IFERROR(INDEX(Stores!$E:$E,MATCH(E2987,Stores!$A:$A,0)),"Unknown")</f>
        <v>South Zone 1</v>
      </c>
      <c r="Z2987" t="str">
        <f>IFERROR(INDEX(Customers!$J:$J,MATCH(C2987,Customers!$A:$A,0)),"Unknown")</f>
        <v>Gold</v>
      </c>
      <c r="AA2987" t="str">
        <f t="shared" si="46"/>
        <v>2024-12</v>
      </c>
      <c r="AB2987" t="str">
        <f>IFERROR(INDEX(Products!$I:$I,MATCH(D2987,Products!$A:$A,0)),"Unknown")</f>
        <v>SUP087</v>
      </c>
    </row>
    <row r="2988" spans="1:28" x14ac:dyDescent="0.25">
      <c r="A2988" t="s">
        <v>5063</v>
      </c>
      <c r="B2988" s="20">
        <v>45543</v>
      </c>
      <c r="C2988" t="s">
        <v>3490</v>
      </c>
      <c r="D2988" t="s">
        <v>751</v>
      </c>
      <c r="E2988" t="s">
        <v>451</v>
      </c>
      <c r="F2988" t="s">
        <v>253</v>
      </c>
      <c r="G2988">
        <v>4</v>
      </c>
      <c r="H2988" s="21">
        <v>1459.14</v>
      </c>
      <c r="I2988">
        <v>20</v>
      </c>
      <c r="J2988" s="21">
        <v>1167.31</v>
      </c>
      <c r="K2988">
        <v>12</v>
      </c>
      <c r="L2988" s="21">
        <v>560.30999999999995</v>
      </c>
      <c r="M2988" s="21">
        <v>5229.5600000000004</v>
      </c>
      <c r="N2988" s="21">
        <v>3756.52</v>
      </c>
      <c r="O2988" s="21">
        <v>912.73</v>
      </c>
      <c r="P2988" t="s">
        <v>121</v>
      </c>
      <c r="Q2988" t="s">
        <v>120</v>
      </c>
      <c r="R2988" t="s">
        <v>151</v>
      </c>
      <c r="S2988" t="s">
        <v>5064</v>
      </c>
      <c r="T2988" t="s">
        <v>161</v>
      </c>
      <c r="U2988" t="s">
        <v>154</v>
      </c>
      <c r="V2988" t="str">
        <f>IFERROR(INDEX(Products!$C:$C,MATCH(D2988,Products!$A:$A,0)),"Unknown")</f>
        <v>Wallets</v>
      </c>
      <c r="W2988" t="str">
        <f>IFERROR(INDEX(Products!$E:$E,MATCH(D2988,Products!$A:$A,0)),"Unknown")</f>
        <v>Numero Uno</v>
      </c>
      <c r="X2988" t="str">
        <f>IFERROR(INDEX(Stores!$B:$B,MATCH(E2988,Stores!$A:$A,0)),"Unknown")</f>
        <v>TrendMart Thoothukudi High Street</v>
      </c>
      <c r="Y2988" t="str">
        <f>IFERROR(INDEX(Stores!$E:$E,MATCH(E2988,Stores!$A:$A,0)),"Unknown")</f>
        <v>South Zone 1</v>
      </c>
      <c r="Z2988" t="str">
        <f>IFERROR(INDEX(Customers!$J:$J,MATCH(C2988,Customers!$A:$A,0)),"Unknown")</f>
        <v>Unknown</v>
      </c>
      <c r="AA2988" t="str">
        <f t="shared" si="46"/>
        <v>2024-09</v>
      </c>
      <c r="AB2988" t="str">
        <f>IFERROR(INDEX(Products!$I:$I,MATCH(D2988,Products!$A:$A,0)),"Unknown")</f>
        <v>SUP029</v>
      </c>
    </row>
    <row r="2989" spans="1:28" x14ac:dyDescent="0.25">
      <c r="A2989" t="s">
        <v>5065</v>
      </c>
      <c r="B2989" s="20">
        <v>45530</v>
      </c>
      <c r="C2989" t="s">
        <v>488</v>
      </c>
      <c r="D2989" t="s">
        <v>1687</v>
      </c>
      <c r="E2989" t="s">
        <v>200</v>
      </c>
      <c r="F2989" t="s">
        <v>292</v>
      </c>
      <c r="G2989">
        <v>4</v>
      </c>
      <c r="H2989" s="21">
        <v>873.28</v>
      </c>
      <c r="I2989">
        <v>15</v>
      </c>
      <c r="J2989" s="21">
        <v>523.97</v>
      </c>
      <c r="K2989">
        <v>5</v>
      </c>
      <c r="L2989" s="21">
        <v>148.46</v>
      </c>
      <c r="M2989" s="21">
        <v>3117.61</v>
      </c>
      <c r="N2989" s="21">
        <v>1925.2</v>
      </c>
      <c r="O2989" s="21">
        <v>1043.95</v>
      </c>
      <c r="P2989" t="s">
        <v>125</v>
      </c>
      <c r="Q2989" t="s">
        <v>120</v>
      </c>
      <c r="R2989" t="s">
        <v>151</v>
      </c>
      <c r="S2989" t="s">
        <v>2527</v>
      </c>
      <c r="T2989" t="s">
        <v>153</v>
      </c>
      <c r="U2989" t="s">
        <v>154</v>
      </c>
      <c r="V2989" t="str">
        <f>IFERROR(INDEX(Products!$C:$C,MATCH(D2989,Products!$A:$A,0)),"Unknown")</f>
        <v>Accessories</v>
      </c>
      <c r="W2989" t="str">
        <f>IFERROR(INDEX(Products!$E:$E,MATCH(D2989,Products!$A:$A,0)),"Unknown")</f>
        <v>Unknown</v>
      </c>
      <c r="X2989" t="str">
        <f>IFERROR(INDEX(Stores!$B:$B,MATCH(E2989,Stores!$A:$A,0)),"Unknown")</f>
        <v>TrendMart Kozhikode Standard</v>
      </c>
      <c r="Y2989" t="str">
        <f>IFERROR(INDEX(Stores!$E:$E,MATCH(E2989,Stores!$A:$A,0)),"Unknown")</f>
        <v>South Zone 1</v>
      </c>
      <c r="Z2989" t="str">
        <f>IFERROR(INDEX(Customers!$J:$J,MATCH(C2989,Customers!$A:$A,0)),"Unknown")</f>
        <v>Gold</v>
      </c>
      <c r="AA2989" t="str">
        <f t="shared" si="46"/>
        <v>2024-08</v>
      </c>
      <c r="AB2989" t="str">
        <f>IFERROR(INDEX(Products!$I:$I,MATCH(D2989,Products!$A:$A,0)),"Unknown")</f>
        <v>SUP023</v>
      </c>
    </row>
    <row r="2990" spans="1:28" x14ac:dyDescent="0.25">
      <c r="A2990" t="s">
        <v>5066</v>
      </c>
      <c r="B2990" s="20">
        <v>45583</v>
      </c>
      <c r="C2990" t="s">
        <v>2686</v>
      </c>
      <c r="D2990" t="s">
        <v>740</v>
      </c>
      <c r="E2990" t="s">
        <v>521</v>
      </c>
      <c r="F2990" t="s">
        <v>532</v>
      </c>
      <c r="G2990">
        <v>1</v>
      </c>
      <c r="H2990" s="21">
        <v>2376.94</v>
      </c>
      <c r="I2990">
        <v>25</v>
      </c>
      <c r="J2990" s="21">
        <v>594.24</v>
      </c>
      <c r="K2990">
        <v>12</v>
      </c>
      <c r="L2990" s="21">
        <v>213.92</v>
      </c>
      <c r="M2990" s="21">
        <v>1996.62</v>
      </c>
      <c r="N2990" s="21">
        <v>1551.42</v>
      </c>
      <c r="O2990" s="21">
        <v>231.28</v>
      </c>
      <c r="P2990" t="s">
        <v>121</v>
      </c>
      <c r="Q2990" t="s">
        <v>120</v>
      </c>
      <c r="R2990" t="s">
        <v>151</v>
      </c>
      <c r="S2990" t="s">
        <v>955</v>
      </c>
      <c r="T2990" t="s">
        <v>153</v>
      </c>
      <c r="U2990" t="s">
        <v>154</v>
      </c>
      <c r="V2990" t="str">
        <f>IFERROR(INDEX(Products!$C:$C,MATCH(D2990,Products!$A:$A,0)),"Unknown")</f>
        <v>Men Ethnic</v>
      </c>
      <c r="W2990" t="str">
        <f>IFERROR(INDEX(Products!$E:$E,MATCH(D2990,Products!$A:$A,0)),"Unknown")</f>
        <v>Max Fashion</v>
      </c>
      <c r="X2990" t="str">
        <f>IFERROR(INDEX(Stores!$B:$B,MATCH(E2990,Stores!$A:$A,0)),"Unknown")</f>
        <v>TrendMart Tirupati Standard</v>
      </c>
      <c r="Y2990" t="str">
        <f>IFERROR(INDEX(Stores!$E:$E,MATCH(E2990,Stores!$A:$A,0)),"Unknown")</f>
        <v>South Zone 3</v>
      </c>
      <c r="Z2990" t="str">
        <f>IFERROR(INDEX(Customers!$J:$J,MATCH(C2990,Customers!$A:$A,0)),"Unknown")</f>
        <v>Regular</v>
      </c>
      <c r="AA2990" t="str">
        <f t="shared" si="46"/>
        <v>2024-10</v>
      </c>
      <c r="AB2990" t="str">
        <f>IFERROR(INDEX(Products!$I:$I,MATCH(D2990,Products!$A:$A,0)),"Unknown")</f>
        <v>SUP001</v>
      </c>
    </row>
    <row r="2991" spans="1:28" x14ac:dyDescent="0.25">
      <c r="A2991" t="s">
        <v>5067</v>
      </c>
      <c r="B2991" s="20">
        <v>45528</v>
      </c>
      <c r="C2991" t="s">
        <v>952</v>
      </c>
      <c r="D2991" t="s">
        <v>858</v>
      </c>
      <c r="E2991" t="s">
        <v>226</v>
      </c>
      <c r="F2991" t="s">
        <v>403</v>
      </c>
      <c r="G2991">
        <v>1</v>
      </c>
      <c r="H2991" s="21">
        <v>793.5</v>
      </c>
      <c r="I2991">
        <v>0</v>
      </c>
      <c r="J2991" s="21">
        <v>0</v>
      </c>
      <c r="K2991">
        <v>5</v>
      </c>
      <c r="L2991" s="21">
        <v>39.67</v>
      </c>
      <c r="M2991" s="21">
        <v>833.17</v>
      </c>
      <c r="N2991" s="21">
        <v>525.45000000000005</v>
      </c>
      <c r="O2991" s="21">
        <v>268.05</v>
      </c>
      <c r="P2991" t="s">
        <v>126</v>
      </c>
      <c r="Q2991" t="s">
        <v>122</v>
      </c>
      <c r="R2991" t="s">
        <v>151</v>
      </c>
      <c r="S2991" t="s">
        <v>668</v>
      </c>
      <c r="T2991" t="s">
        <v>161</v>
      </c>
      <c r="U2991" t="s">
        <v>154</v>
      </c>
      <c r="V2991" t="str">
        <f>IFERROR(INDEX(Products!$C:$C,MATCH(D2991,Products!$A:$A,0)),"Unknown")</f>
        <v>Kids Wear</v>
      </c>
      <c r="W2991" t="str">
        <f>IFERROR(INDEX(Products!$E:$E,MATCH(D2991,Products!$A:$A,0)),"Unknown")</f>
        <v>Sonata</v>
      </c>
      <c r="X2991" t="str">
        <f>IFERROR(INDEX(Stores!$B:$B,MATCH(E2991,Stores!$A:$A,0)),"Unknown")</f>
        <v>TrendMart Kurnool Standard</v>
      </c>
      <c r="Y2991" t="str">
        <f>IFERROR(INDEX(Stores!$E:$E,MATCH(E2991,Stores!$A:$A,0)),"Unknown")</f>
        <v>South Zone 3</v>
      </c>
      <c r="Z2991" t="str">
        <f>IFERROR(INDEX(Customers!$J:$J,MATCH(C2991,Customers!$A:$A,0)),"Unknown")</f>
        <v>Regular</v>
      </c>
      <c r="AA2991" t="str">
        <f t="shared" si="46"/>
        <v>2024-08</v>
      </c>
      <c r="AB2991" t="str">
        <f>IFERROR(INDEX(Products!$I:$I,MATCH(D2991,Products!$A:$A,0)),"Unknown")</f>
        <v>SUP089</v>
      </c>
    </row>
    <row r="2992" spans="1:28" x14ac:dyDescent="0.25">
      <c r="A2992" t="s">
        <v>5068</v>
      </c>
      <c r="B2992" s="20">
        <v>45470</v>
      </c>
      <c r="C2992" t="s">
        <v>179</v>
      </c>
      <c r="D2992" t="s">
        <v>325</v>
      </c>
      <c r="E2992" t="s">
        <v>81</v>
      </c>
      <c r="F2992" t="s">
        <v>242</v>
      </c>
      <c r="G2992">
        <v>1</v>
      </c>
      <c r="H2992" s="21">
        <v>1132.4100000000001</v>
      </c>
      <c r="I2992">
        <v>0</v>
      </c>
      <c r="J2992" s="21">
        <v>0</v>
      </c>
      <c r="K2992">
        <v>12</v>
      </c>
      <c r="L2992" s="21">
        <v>135.88999999999999</v>
      </c>
      <c r="M2992" s="21">
        <v>1268.3</v>
      </c>
      <c r="N2992" s="21">
        <v>759</v>
      </c>
      <c r="O2992" s="21">
        <v>373.41</v>
      </c>
      <c r="P2992" t="s">
        <v>123</v>
      </c>
      <c r="Q2992" t="s">
        <v>120</v>
      </c>
      <c r="R2992" t="s">
        <v>151</v>
      </c>
      <c r="S2992" t="s">
        <v>718</v>
      </c>
      <c r="T2992" t="s">
        <v>153</v>
      </c>
      <c r="U2992" t="s">
        <v>154</v>
      </c>
      <c r="V2992" t="str">
        <f>IFERROR(INDEX(Products!$C:$C,MATCH(D2992,Products!$A:$A,0)),"Unknown")</f>
        <v>Women Jeans</v>
      </c>
      <c r="W2992" t="str">
        <f>IFERROR(INDEX(Products!$E:$E,MATCH(D2992,Products!$A:$A,0)),"Unknown")</f>
        <v>Nalli Silks</v>
      </c>
      <c r="X2992" t="str">
        <f>IFERROR(INDEX(Stores!$B:$B,MATCH(E2992,Stores!$A:$A,0)),"Unknown")</f>
        <v>TrendMart Vijayawada High Street</v>
      </c>
      <c r="Y2992" t="str">
        <f>IFERROR(INDEX(Stores!$E:$E,MATCH(E2992,Stores!$A:$A,0)),"Unknown")</f>
        <v>South Zone 3</v>
      </c>
      <c r="Z2992" t="str">
        <f>IFERROR(INDEX(Customers!$J:$J,MATCH(C2992,Customers!$A:$A,0)),"Unknown")</f>
        <v>Platinum</v>
      </c>
      <c r="AA2992" t="str">
        <f t="shared" si="46"/>
        <v>2024-06</v>
      </c>
      <c r="AB2992" t="str">
        <f>IFERROR(INDEX(Products!$I:$I,MATCH(D2992,Products!$A:$A,0)),"Unknown")</f>
        <v>SUP048</v>
      </c>
    </row>
    <row r="2993" spans="1:28" x14ac:dyDescent="0.25">
      <c r="A2993" t="s">
        <v>5069</v>
      </c>
      <c r="B2993" s="20">
        <v>45526</v>
      </c>
      <c r="C2993" t="s">
        <v>1082</v>
      </c>
      <c r="D2993" t="s">
        <v>230</v>
      </c>
      <c r="E2993" t="s">
        <v>318</v>
      </c>
      <c r="F2993" t="s">
        <v>408</v>
      </c>
      <c r="G2993">
        <v>1</v>
      </c>
      <c r="H2993" s="21">
        <v>1396.31</v>
      </c>
      <c r="I2993">
        <v>10</v>
      </c>
      <c r="J2993" s="21">
        <v>139.63</v>
      </c>
      <c r="K2993">
        <v>12</v>
      </c>
      <c r="L2993" s="21">
        <v>150.80000000000001</v>
      </c>
      <c r="M2993" s="21">
        <v>1407.48</v>
      </c>
      <c r="N2993" s="21">
        <v>946.3</v>
      </c>
      <c r="O2993" s="21">
        <v>310.38</v>
      </c>
      <c r="P2993" t="s">
        <v>121</v>
      </c>
      <c r="Q2993" t="s">
        <v>120</v>
      </c>
      <c r="R2993" t="s">
        <v>151</v>
      </c>
      <c r="S2993" t="s">
        <v>1225</v>
      </c>
      <c r="T2993" t="s">
        <v>153</v>
      </c>
      <c r="U2993" t="s">
        <v>154</v>
      </c>
      <c r="V2993" t="str">
        <f>IFERROR(INDEX(Products!$C:$C,MATCH(D2993,Products!$A:$A,0)),"Unknown")</f>
        <v>Watches</v>
      </c>
      <c r="W2993" t="str">
        <f>IFERROR(INDEX(Products!$E:$E,MATCH(D2993,Products!$A:$A,0)),"Unknown")</f>
        <v>Wrangler</v>
      </c>
      <c r="X2993" t="str">
        <f>IFERROR(INDEX(Stores!$B:$B,MATCH(E2993,Stores!$A:$A,0)),"Unknown")</f>
        <v>TrendMart Guntur Outlet</v>
      </c>
      <c r="Y2993" t="str">
        <f>IFERROR(INDEX(Stores!$E:$E,MATCH(E2993,Stores!$A:$A,0)),"Unknown")</f>
        <v>South Zone 3</v>
      </c>
      <c r="Z2993" t="str">
        <f>IFERROR(INDEX(Customers!$J:$J,MATCH(C2993,Customers!$A:$A,0)),"Unknown")</f>
        <v>Regular</v>
      </c>
      <c r="AA2993" t="str">
        <f t="shared" si="46"/>
        <v>2024-08</v>
      </c>
      <c r="AB2993" t="str">
        <f>IFERROR(INDEX(Products!$I:$I,MATCH(D2993,Products!$A:$A,0)),"Unknown")</f>
        <v>SUP044</v>
      </c>
    </row>
    <row r="2994" spans="1:28" x14ac:dyDescent="0.25">
      <c r="A2994" t="s">
        <v>5070</v>
      </c>
      <c r="B2994" s="20">
        <v>45689</v>
      </c>
      <c r="C2994" t="s">
        <v>791</v>
      </c>
      <c r="D2994" t="s">
        <v>531</v>
      </c>
      <c r="E2994" t="s">
        <v>634</v>
      </c>
      <c r="F2994" t="s">
        <v>258</v>
      </c>
      <c r="G2994">
        <v>1</v>
      </c>
      <c r="H2994" s="21">
        <v>3244.56</v>
      </c>
      <c r="I2994">
        <v>25</v>
      </c>
      <c r="J2994" s="21">
        <v>811.14</v>
      </c>
      <c r="K2994">
        <v>12</v>
      </c>
      <c r="L2994" s="21">
        <v>292.01</v>
      </c>
      <c r="M2994" s="21">
        <v>2725.43</v>
      </c>
      <c r="N2994" s="21">
        <v>2034.01</v>
      </c>
      <c r="O2994" s="21">
        <v>399.41</v>
      </c>
      <c r="P2994" t="s">
        <v>125</v>
      </c>
      <c r="Q2994" t="s">
        <v>120</v>
      </c>
      <c r="R2994" t="s">
        <v>313</v>
      </c>
      <c r="S2994" t="s">
        <v>2704</v>
      </c>
      <c r="T2994" t="s">
        <v>161</v>
      </c>
      <c r="U2994" t="s">
        <v>154</v>
      </c>
      <c r="V2994" t="str">
        <f>IFERROR(INDEX(Products!$C:$C,MATCH(D2994,Products!$A:$A,0)),"Unknown")</f>
        <v>Handbags</v>
      </c>
      <c r="W2994" t="str">
        <f>IFERROR(INDEX(Products!$E:$E,MATCH(D2994,Products!$A:$A,0)),"Unknown")</f>
        <v>GRT Jewellers</v>
      </c>
      <c r="X2994" t="str">
        <f>IFERROR(INDEX(Stores!$B:$B,MATCH(E2994,Stores!$A:$A,0)),"Unknown")</f>
        <v>TrendMart Thrissur High Street</v>
      </c>
      <c r="Y2994" t="str">
        <f>IFERROR(INDEX(Stores!$E:$E,MATCH(E2994,Stores!$A:$A,0)),"Unknown")</f>
        <v>South Zone 1</v>
      </c>
      <c r="Z2994" t="str">
        <f>IFERROR(INDEX(Customers!$J:$J,MATCH(C2994,Customers!$A:$A,0)),"Unknown")</f>
        <v>Regular</v>
      </c>
      <c r="AA2994" t="str">
        <f t="shared" si="46"/>
        <v>2025-02</v>
      </c>
      <c r="AB2994" t="str">
        <f>IFERROR(INDEX(Products!$I:$I,MATCH(D2994,Products!$A:$A,0)),"Unknown")</f>
        <v>SUP047</v>
      </c>
    </row>
    <row r="2995" spans="1:28" x14ac:dyDescent="0.25">
      <c r="A2995" t="s">
        <v>5071</v>
      </c>
      <c r="B2995" s="20">
        <v>45430</v>
      </c>
      <c r="C2995" t="s">
        <v>2125</v>
      </c>
      <c r="D2995" t="s">
        <v>367</v>
      </c>
      <c r="E2995" t="s">
        <v>1442</v>
      </c>
      <c r="F2995" t="s">
        <v>443</v>
      </c>
      <c r="G2995">
        <v>1</v>
      </c>
      <c r="H2995" s="21">
        <v>784.02</v>
      </c>
      <c r="I2995">
        <v>10</v>
      </c>
      <c r="J2995" s="21">
        <v>78.400000000000006</v>
      </c>
      <c r="K2995">
        <v>3</v>
      </c>
      <c r="L2995" s="21">
        <v>21.17</v>
      </c>
      <c r="M2995" s="21">
        <v>726.79</v>
      </c>
      <c r="N2995" s="21">
        <v>556.99</v>
      </c>
      <c r="O2995" s="21">
        <v>148.63</v>
      </c>
      <c r="P2995" t="s">
        <v>121</v>
      </c>
      <c r="Q2995" t="s">
        <v>120</v>
      </c>
      <c r="R2995" t="s">
        <v>313</v>
      </c>
      <c r="S2995" t="s">
        <v>1416</v>
      </c>
      <c r="T2995" t="s">
        <v>161</v>
      </c>
      <c r="U2995" t="s">
        <v>154</v>
      </c>
      <c r="V2995" t="str">
        <f>IFERROR(INDEX(Products!$C:$C,MATCH(D2995,Products!$A:$A,0)),"Unknown")</f>
        <v>Jewellery</v>
      </c>
      <c r="W2995" t="str">
        <f>IFERROR(INDEX(Products!$E:$E,MATCH(D2995,Products!$A:$A,0)),"Unknown")</f>
        <v>Aurelia</v>
      </c>
      <c r="X2995" t="str">
        <f>IFERROR(INDEX(Stores!$B:$B,MATCH(E2995,Stores!$A:$A,0)),"Unknown")</f>
        <v>TrendMart Vellore High Street</v>
      </c>
      <c r="Y2995" t="str">
        <f>IFERROR(INDEX(Stores!$E:$E,MATCH(E2995,Stores!$A:$A,0)),"Unknown")</f>
        <v>South Zone 1</v>
      </c>
      <c r="Z2995" t="str">
        <f>IFERROR(INDEX(Customers!$J:$J,MATCH(C2995,Customers!$A:$A,0)),"Unknown")</f>
        <v>Regular</v>
      </c>
      <c r="AA2995" t="str">
        <f t="shared" si="46"/>
        <v>2024-05</v>
      </c>
      <c r="AB2995" t="str">
        <f>IFERROR(INDEX(Products!$I:$I,MATCH(D2995,Products!$A:$A,0)),"Unknown")</f>
        <v>SUP067</v>
      </c>
    </row>
    <row r="2996" spans="1:28" x14ac:dyDescent="0.25">
      <c r="A2996" t="s">
        <v>5072</v>
      </c>
      <c r="B2996" s="20">
        <v>45542</v>
      </c>
      <c r="C2996" t="s">
        <v>432</v>
      </c>
      <c r="D2996" t="s">
        <v>149</v>
      </c>
      <c r="E2996" t="s">
        <v>927</v>
      </c>
      <c r="F2996" t="s">
        <v>232</v>
      </c>
      <c r="G2996">
        <v>3</v>
      </c>
      <c r="H2996" s="21">
        <v>771.75</v>
      </c>
      <c r="I2996">
        <v>30</v>
      </c>
      <c r="J2996" s="21">
        <v>694.58</v>
      </c>
      <c r="K2996">
        <v>5</v>
      </c>
      <c r="L2996" s="21">
        <v>81.03</v>
      </c>
      <c r="M2996" s="21">
        <v>1701.7</v>
      </c>
      <c r="N2996" s="21">
        <v>1490.01</v>
      </c>
      <c r="O2996" s="21">
        <v>130.66</v>
      </c>
      <c r="P2996" t="s">
        <v>124</v>
      </c>
      <c r="Q2996" t="s">
        <v>120</v>
      </c>
      <c r="R2996" t="s">
        <v>151</v>
      </c>
      <c r="S2996" t="s">
        <v>1981</v>
      </c>
      <c r="T2996" t="s">
        <v>161</v>
      </c>
      <c r="U2996" t="s">
        <v>154</v>
      </c>
      <c r="V2996" t="str">
        <f>IFERROR(INDEX(Products!$C:$C,MATCH(D2996,Products!$A:$A,0)),"Unknown")</f>
        <v>Women Kurtis</v>
      </c>
      <c r="W2996" t="str">
        <f>IFERROR(INDEX(Products!$E:$E,MATCH(D2996,Products!$A:$A,0)),"Unknown")</f>
        <v>Pepe Jeans</v>
      </c>
      <c r="X2996" t="str">
        <f>IFERROR(INDEX(Stores!$B:$B,MATCH(E2996,Stores!$A:$A,0)),"Unknown")</f>
        <v>TrendMart Kochi Mall Kiosk</v>
      </c>
      <c r="Y2996" t="str">
        <f>IFERROR(INDEX(Stores!$E:$E,MATCH(E2996,Stores!$A:$A,0)),"Unknown")</f>
        <v>South Zone 1</v>
      </c>
      <c r="Z2996" t="str">
        <f>IFERROR(INDEX(Customers!$J:$J,MATCH(C2996,Customers!$A:$A,0)),"Unknown")</f>
        <v>Regular</v>
      </c>
      <c r="AA2996" t="str">
        <f t="shared" si="46"/>
        <v>2024-09</v>
      </c>
      <c r="AB2996" t="str">
        <f>IFERROR(INDEX(Products!$I:$I,MATCH(D2996,Products!$A:$A,0)),"Unknown")</f>
        <v>SUP049</v>
      </c>
    </row>
    <row r="2997" spans="1:28" x14ac:dyDescent="0.25">
      <c r="A2997" t="s">
        <v>5073</v>
      </c>
      <c r="B2997" s="20">
        <v>45664</v>
      </c>
      <c r="C2997" t="s">
        <v>2328</v>
      </c>
      <c r="D2997" t="s">
        <v>2379</v>
      </c>
      <c r="E2997" t="s">
        <v>525</v>
      </c>
      <c r="F2997" t="s">
        <v>443</v>
      </c>
      <c r="G2997">
        <v>1</v>
      </c>
      <c r="H2997" s="21">
        <v>853.98</v>
      </c>
      <c r="I2997">
        <v>10</v>
      </c>
      <c r="J2997" s="21">
        <v>85.4</v>
      </c>
      <c r="K2997">
        <v>5</v>
      </c>
      <c r="L2997" s="21">
        <v>38.43</v>
      </c>
      <c r="M2997" s="21">
        <v>807.01</v>
      </c>
      <c r="N2997" s="21">
        <v>545.54999999999995</v>
      </c>
      <c r="O2997" s="21">
        <v>223.03</v>
      </c>
      <c r="P2997" t="s">
        <v>121</v>
      </c>
      <c r="Q2997" t="s">
        <v>120</v>
      </c>
      <c r="R2997" t="s">
        <v>151</v>
      </c>
      <c r="S2997" t="s">
        <v>1299</v>
      </c>
      <c r="T2997" t="s">
        <v>153</v>
      </c>
      <c r="U2997" t="s">
        <v>154</v>
      </c>
      <c r="V2997" t="str">
        <f>IFERROR(INDEX(Products!$C:$C,MATCH(D2997,Products!$A:$A,0)),"Unknown")</f>
        <v>Wallets</v>
      </c>
      <c r="W2997" t="str">
        <f>IFERROR(INDEX(Products!$E:$E,MATCH(D2997,Products!$A:$A,0)),"Unknown")</f>
        <v>Pepe Jeans</v>
      </c>
      <c r="X2997" t="str">
        <f>IFERROR(INDEX(Stores!$B:$B,MATCH(E2997,Stores!$A:$A,0)),"Unknown")</f>
        <v>TrendMart Kollam Standard</v>
      </c>
      <c r="Y2997" t="str">
        <f>IFERROR(INDEX(Stores!$E:$E,MATCH(E2997,Stores!$A:$A,0)),"Unknown")</f>
        <v>South Zone 1</v>
      </c>
      <c r="Z2997" t="str">
        <f>IFERROR(INDEX(Customers!$J:$J,MATCH(C2997,Customers!$A:$A,0)),"Unknown")</f>
        <v>Silver</v>
      </c>
      <c r="AA2997" t="str">
        <f t="shared" si="46"/>
        <v>2025-01</v>
      </c>
      <c r="AB2997" t="str">
        <f>IFERROR(INDEX(Products!$I:$I,MATCH(D2997,Products!$A:$A,0)),"Unknown")</f>
        <v>SUP024</v>
      </c>
    </row>
    <row r="2998" spans="1:28" x14ac:dyDescent="0.25">
      <c r="A2998" t="s">
        <v>5074</v>
      </c>
      <c r="B2998" s="20">
        <v>45587</v>
      </c>
      <c r="C2998" t="s">
        <v>311</v>
      </c>
      <c r="D2998" t="s">
        <v>612</v>
      </c>
      <c r="E2998" t="s">
        <v>100</v>
      </c>
      <c r="F2998" t="s">
        <v>550</v>
      </c>
      <c r="G2998">
        <v>2</v>
      </c>
      <c r="H2998" s="21">
        <v>616.39</v>
      </c>
      <c r="I2998">
        <v>0</v>
      </c>
      <c r="J2998" s="21">
        <v>0</v>
      </c>
      <c r="K2998">
        <v>5</v>
      </c>
      <c r="L2998" s="21">
        <v>61.64</v>
      </c>
      <c r="M2998" s="21">
        <v>1294.42</v>
      </c>
      <c r="N2998" s="21">
        <v>738</v>
      </c>
      <c r="O2998" s="21">
        <v>494.78</v>
      </c>
      <c r="P2998" t="s">
        <v>121</v>
      </c>
      <c r="Q2998" t="s">
        <v>120</v>
      </c>
      <c r="R2998" t="s">
        <v>151</v>
      </c>
      <c r="S2998" t="s">
        <v>3428</v>
      </c>
      <c r="T2998" t="s">
        <v>153</v>
      </c>
      <c r="U2998" t="s">
        <v>154</v>
      </c>
      <c r="V2998" t="str">
        <f>IFERROR(INDEX(Products!$C:$C,MATCH(D2998,Products!$A:$A,0)),"Unknown")</f>
        <v>Men T-Shirts</v>
      </c>
      <c r="W2998" t="str">
        <f>IFERROR(INDEX(Products!$E:$E,MATCH(D2998,Products!$A:$A,0)),"Unknown")</f>
        <v>Killer Jeans</v>
      </c>
      <c r="X2998" t="str">
        <f>IFERROR(INDEX(Stores!$B:$B,MATCH(E2998,Stores!$A:$A,0)),"Unknown")</f>
        <v>TrendMart Kurnool Standard</v>
      </c>
      <c r="Y2998" t="str">
        <f>IFERROR(INDEX(Stores!$E:$E,MATCH(E2998,Stores!$A:$A,0)),"Unknown")</f>
        <v>South Zone 3</v>
      </c>
      <c r="Z2998" t="str">
        <f>IFERROR(INDEX(Customers!$J:$J,MATCH(C2998,Customers!$A:$A,0)),"Unknown")</f>
        <v>Gold</v>
      </c>
      <c r="AA2998" t="str">
        <f t="shared" si="46"/>
        <v>2024-10</v>
      </c>
      <c r="AB2998" t="str">
        <f>IFERROR(INDEX(Products!$I:$I,MATCH(D2998,Products!$A:$A,0)),"Unknown")</f>
        <v>SUP056</v>
      </c>
    </row>
    <row r="2999" spans="1:28" x14ac:dyDescent="0.25">
      <c r="A2999" t="s">
        <v>5075</v>
      </c>
      <c r="B2999" s="20">
        <v>45567</v>
      </c>
      <c r="C2999" t="s">
        <v>992</v>
      </c>
      <c r="D2999" t="s">
        <v>1321</v>
      </c>
      <c r="E2999" t="s">
        <v>1171</v>
      </c>
      <c r="F2999" t="s">
        <v>182</v>
      </c>
      <c r="G2999">
        <v>1</v>
      </c>
      <c r="H2999" s="21">
        <v>2529.48</v>
      </c>
      <c r="I2999">
        <v>15</v>
      </c>
      <c r="J2999" s="21">
        <v>379.42</v>
      </c>
      <c r="K2999">
        <v>12</v>
      </c>
      <c r="L2999" s="21">
        <v>258.01</v>
      </c>
      <c r="M2999" s="21">
        <v>2408.0700000000002</v>
      </c>
      <c r="N2999" s="21">
        <v>1729.72</v>
      </c>
      <c r="O2999" s="21">
        <v>420.34</v>
      </c>
      <c r="P2999" t="s">
        <v>121</v>
      </c>
      <c r="Q2999" t="s">
        <v>120</v>
      </c>
      <c r="R2999" t="s">
        <v>151</v>
      </c>
      <c r="S2999" t="s">
        <v>340</v>
      </c>
      <c r="T2999" t="s">
        <v>153</v>
      </c>
      <c r="U2999" t="s">
        <v>154</v>
      </c>
      <c r="V2999" t="str">
        <f>IFERROR(INDEX(Products!$C:$C,MATCH(D2999,Products!$A:$A,0)),"Unknown")</f>
        <v>Men Ethnic</v>
      </c>
      <c r="W2999" t="str">
        <f>IFERROR(INDEX(Products!$E:$E,MATCH(D2999,Products!$A:$A,0)),"Unknown")</f>
        <v>Nalli Silks</v>
      </c>
      <c r="X2999" t="str">
        <f>IFERROR(INDEX(Stores!$B:$B,MATCH(E2999,Stores!$A:$A,0)),"Unknown")</f>
        <v>TrendMart Chennai Standard</v>
      </c>
      <c r="Y2999" t="str">
        <f>IFERROR(INDEX(Stores!$E:$E,MATCH(E2999,Stores!$A:$A,0)),"Unknown")</f>
        <v>South Zone 1</v>
      </c>
      <c r="Z2999" t="str">
        <f>IFERROR(INDEX(Customers!$J:$J,MATCH(C2999,Customers!$A:$A,0)),"Unknown")</f>
        <v>Regular</v>
      </c>
      <c r="AA2999" t="str">
        <f t="shared" si="46"/>
        <v>2024-10</v>
      </c>
      <c r="AB2999" t="str">
        <f>IFERROR(INDEX(Products!$I:$I,MATCH(D2999,Products!$A:$A,0)),"Unknown")</f>
        <v>SUP018</v>
      </c>
    </row>
    <row r="3000" spans="1:28" x14ac:dyDescent="0.25">
      <c r="A3000" t="s">
        <v>5076</v>
      </c>
      <c r="B3000" s="20">
        <v>45587</v>
      </c>
      <c r="C3000" t="s">
        <v>3407</v>
      </c>
      <c r="D3000" t="s">
        <v>1292</v>
      </c>
      <c r="E3000" t="s">
        <v>1002</v>
      </c>
      <c r="F3000" t="s">
        <v>434</v>
      </c>
      <c r="G3000">
        <v>2</v>
      </c>
      <c r="H3000" s="21">
        <v>559.44000000000005</v>
      </c>
      <c r="I3000">
        <v>25</v>
      </c>
      <c r="J3000" s="21">
        <v>279.72000000000003</v>
      </c>
      <c r="K3000">
        <v>5</v>
      </c>
      <c r="L3000" s="21">
        <v>41.96</v>
      </c>
      <c r="M3000" s="21">
        <v>881.12</v>
      </c>
      <c r="N3000" s="21">
        <v>697.5</v>
      </c>
      <c r="O3000" s="21">
        <v>141.66</v>
      </c>
      <c r="P3000" t="s">
        <v>123</v>
      </c>
      <c r="Q3000" t="s">
        <v>122</v>
      </c>
      <c r="R3000" t="s">
        <v>151</v>
      </c>
      <c r="S3000" t="s">
        <v>3384</v>
      </c>
      <c r="T3000" t="s">
        <v>153</v>
      </c>
      <c r="U3000" t="s">
        <v>154</v>
      </c>
      <c r="V3000" t="str">
        <f>IFERROR(INDEX(Products!$C:$C,MATCH(D3000,Products!$A:$A,0)),"Unknown")</f>
        <v>Men T-Shirts</v>
      </c>
      <c r="W3000" t="str">
        <f>IFERROR(INDEX(Products!$E:$E,MATCH(D3000,Products!$A:$A,0)),"Unknown")</f>
        <v>Metro Shoes</v>
      </c>
      <c r="X3000" t="str">
        <f>IFERROR(INDEX(Stores!$B:$B,MATCH(E3000,Stores!$A:$A,0)),"Unknown")</f>
        <v>TrendMart Coimbatore Mall Kiosk</v>
      </c>
      <c r="Y3000" t="str">
        <f>IFERROR(INDEX(Stores!$E:$E,MATCH(E3000,Stores!$A:$A,0)),"Unknown")</f>
        <v>South Zone 1</v>
      </c>
      <c r="Z3000" t="str">
        <f>IFERROR(INDEX(Customers!$J:$J,MATCH(C3000,Customers!$A:$A,0)),"Unknown")</f>
        <v>Silver</v>
      </c>
      <c r="AA3000" t="str">
        <f t="shared" si="46"/>
        <v>2024-10</v>
      </c>
      <c r="AB3000" t="str">
        <f>IFERROR(INDEX(Products!$I:$I,MATCH(D3000,Products!$A:$A,0)),"Unknown")</f>
        <v>SUP024</v>
      </c>
    </row>
    <row r="3001" spans="1:28" x14ac:dyDescent="0.25">
      <c r="A3001" t="s">
        <v>5077</v>
      </c>
      <c r="B3001" s="20">
        <v>45449</v>
      </c>
      <c r="C3001" t="s">
        <v>1573</v>
      </c>
      <c r="D3001" t="s">
        <v>2281</v>
      </c>
      <c r="E3001" t="s">
        <v>1512</v>
      </c>
      <c r="F3001" t="s">
        <v>596</v>
      </c>
      <c r="G3001">
        <v>3</v>
      </c>
      <c r="H3001" s="21">
        <v>630.4</v>
      </c>
      <c r="I3001">
        <v>30</v>
      </c>
      <c r="J3001" s="21">
        <v>567.36</v>
      </c>
      <c r="K3001">
        <v>5</v>
      </c>
      <c r="L3001" s="21">
        <v>66.19</v>
      </c>
      <c r="M3001" s="21">
        <v>1390.03</v>
      </c>
      <c r="N3001" s="21">
        <v>1119.81</v>
      </c>
      <c r="O3001" s="21">
        <v>204.03</v>
      </c>
      <c r="P3001" t="s">
        <v>124</v>
      </c>
      <c r="Q3001" t="s">
        <v>120</v>
      </c>
      <c r="R3001" t="s">
        <v>151</v>
      </c>
      <c r="S3001" t="s">
        <v>1992</v>
      </c>
      <c r="T3001" t="s">
        <v>153</v>
      </c>
      <c r="U3001" t="s">
        <v>154</v>
      </c>
      <c r="V3001" t="str">
        <f>IFERROR(INDEX(Products!$C:$C,MATCH(D3001,Products!$A:$A,0)),"Unknown")</f>
        <v>Men T-Shirts</v>
      </c>
      <c r="W3001" t="str">
        <f>IFERROR(INDEX(Products!$E:$E,MATCH(D3001,Products!$A:$A,0)),"Unknown")</f>
        <v>Indian Terrain</v>
      </c>
      <c r="X3001" t="str">
        <f>IFERROR(INDEX(Stores!$B:$B,MATCH(E3001,Stores!$A:$A,0)),"Unknown")</f>
        <v>TrendMart Erode Mall Kiosk</v>
      </c>
      <c r="Y3001" t="str">
        <f>IFERROR(INDEX(Stores!$E:$E,MATCH(E3001,Stores!$A:$A,0)),"Unknown")</f>
        <v>South Zone 1</v>
      </c>
      <c r="Z3001" t="str">
        <f>IFERROR(INDEX(Customers!$J:$J,MATCH(C3001,Customers!$A:$A,0)),"Unknown")</f>
        <v>Silver</v>
      </c>
      <c r="AA3001" t="str">
        <f t="shared" si="46"/>
        <v>2024-06</v>
      </c>
      <c r="AB3001" t="str">
        <f>IFERROR(INDEX(Products!$I:$I,MATCH(D3001,Products!$A:$A,0)),"Unknown")</f>
        <v>SUP074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5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4" width="16" customWidth="1"/>
  </cols>
  <sheetData>
    <row r="1" spans="1:14" x14ac:dyDescent="0.25">
      <c r="A1" s="19" t="s">
        <v>130</v>
      </c>
      <c r="B1" s="19" t="s">
        <v>5078</v>
      </c>
      <c r="C1" s="19" t="s">
        <v>5079</v>
      </c>
      <c r="D1" s="19" t="s">
        <v>5080</v>
      </c>
      <c r="E1" s="19" t="s">
        <v>5081</v>
      </c>
      <c r="F1" s="19" t="s">
        <v>5082</v>
      </c>
      <c r="G1" s="19" t="s">
        <v>5083</v>
      </c>
      <c r="H1" s="19" t="s">
        <v>5084</v>
      </c>
      <c r="I1" s="19" t="s">
        <v>34</v>
      </c>
      <c r="J1" s="19" t="s">
        <v>37</v>
      </c>
      <c r="K1" s="19" t="s">
        <v>5085</v>
      </c>
      <c r="L1" s="19" t="s">
        <v>5086</v>
      </c>
      <c r="M1" s="19" t="s">
        <v>5087</v>
      </c>
      <c r="N1" s="19" t="s">
        <v>5088</v>
      </c>
    </row>
    <row r="2" spans="1:14" x14ac:dyDescent="0.25">
      <c r="A2" t="s">
        <v>925</v>
      </c>
      <c r="B2" t="s">
        <v>5089</v>
      </c>
      <c r="C2" t="s">
        <v>5090</v>
      </c>
      <c r="D2" s="20">
        <v>39080</v>
      </c>
      <c r="E2">
        <v>9289611223</v>
      </c>
      <c r="F2" t="s">
        <v>5091</v>
      </c>
      <c r="G2" t="s">
        <v>5092</v>
      </c>
      <c r="H2" t="s">
        <v>5093</v>
      </c>
      <c r="I2" t="s">
        <v>40</v>
      </c>
      <c r="J2" t="s">
        <v>39</v>
      </c>
      <c r="K2" s="20">
        <v>44615</v>
      </c>
      <c r="L2" t="s">
        <v>5094</v>
      </c>
      <c r="M2" t="s">
        <v>154</v>
      </c>
      <c r="N2" t="s">
        <v>154</v>
      </c>
    </row>
    <row r="3" spans="1:14" x14ac:dyDescent="0.25">
      <c r="A3" t="s">
        <v>3081</v>
      </c>
      <c r="B3" t="s">
        <v>5095</v>
      </c>
      <c r="C3" t="s">
        <v>5090</v>
      </c>
      <c r="D3" s="20">
        <v>33566</v>
      </c>
      <c r="E3">
        <v>9938425304</v>
      </c>
      <c r="F3" t="s">
        <v>5096</v>
      </c>
      <c r="G3" t="s">
        <v>5097</v>
      </c>
      <c r="H3" t="s">
        <v>5098</v>
      </c>
      <c r="I3" t="s">
        <v>42</v>
      </c>
      <c r="J3" t="s">
        <v>43</v>
      </c>
      <c r="K3" s="20">
        <v>43290</v>
      </c>
      <c r="L3" t="s">
        <v>5099</v>
      </c>
      <c r="M3" t="s">
        <v>154</v>
      </c>
      <c r="N3" t="s">
        <v>154</v>
      </c>
    </row>
    <row r="4" spans="1:14" x14ac:dyDescent="0.25">
      <c r="A4" t="s">
        <v>390</v>
      </c>
      <c r="B4" t="s">
        <v>5100</v>
      </c>
      <c r="C4" t="s">
        <v>5090</v>
      </c>
      <c r="D4" s="20">
        <v>35659</v>
      </c>
      <c r="E4">
        <v>9286857872</v>
      </c>
      <c r="F4" t="s">
        <v>5101</v>
      </c>
      <c r="G4" t="s">
        <v>5102</v>
      </c>
      <c r="H4" t="s">
        <v>5103</v>
      </c>
      <c r="I4" t="s">
        <v>38</v>
      </c>
      <c r="J4" t="s">
        <v>44</v>
      </c>
      <c r="K4" s="20">
        <v>45619</v>
      </c>
      <c r="L4" t="s">
        <v>5104</v>
      </c>
      <c r="M4" t="s">
        <v>154</v>
      </c>
      <c r="N4" t="s">
        <v>154</v>
      </c>
    </row>
    <row r="5" spans="1:14" x14ac:dyDescent="0.25">
      <c r="A5" t="s">
        <v>1116</v>
      </c>
      <c r="B5" t="s">
        <v>5105</v>
      </c>
      <c r="C5" t="s">
        <v>5090</v>
      </c>
      <c r="D5" s="20">
        <v>35468</v>
      </c>
      <c r="E5">
        <v>9033373634</v>
      </c>
      <c r="F5" t="s">
        <v>5106</v>
      </c>
      <c r="G5" t="s">
        <v>5107</v>
      </c>
      <c r="H5" t="s">
        <v>5098</v>
      </c>
      <c r="I5" t="s">
        <v>42</v>
      </c>
      <c r="J5" t="s">
        <v>43</v>
      </c>
      <c r="K5" s="20">
        <v>44743</v>
      </c>
      <c r="L5" t="s">
        <v>5108</v>
      </c>
      <c r="M5" t="s">
        <v>154</v>
      </c>
      <c r="N5" t="s">
        <v>154</v>
      </c>
    </row>
    <row r="6" spans="1:14" x14ac:dyDescent="0.25">
      <c r="A6" t="s">
        <v>3307</v>
      </c>
      <c r="B6" t="s">
        <v>5109</v>
      </c>
      <c r="C6" t="s">
        <v>5090</v>
      </c>
      <c r="D6" s="20">
        <v>27913</v>
      </c>
      <c r="E6">
        <v>9785390789</v>
      </c>
      <c r="F6" t="s">
        <v>5110</v>
      </c>
      <c r="G6" t="s">
        <v>5111</v>
      </c>
      <c r="H6" t="s">
        <v>5112</v>
      </c>
      <c r="I6" t="s">
        <v>38</v>
      </c>
      <c r="J6" t="s">
        <v>43</v>
      </c>
      <c r="K6" s="20">
        <v>43445</v>
      </c>
      <c r="L6" t="s">
        <v>5113</v>
      </c>
      <c r="M6" t="s">
        <v>154</v>
      </c>
      <c r="N6" t="s">
        <v>154</v>
      </c>
    </row>
    <row r="7" spans="1:14" x14ac:dyDescent="0.25">
      <c r="A7" t="s">
        <v>224</v>
      </c>
      <c r="B7" t="s">
        <v>5114</v>
      </c>
      <c r="C7" t="s">
        <v>5115</v>
      </c>
      <c r="D7" s="20">
        <v>30443</v>
      </c>
      <c r="E7">
        <v>9273415148</v>
      </c>
      <c r="F7" t="s">
        <v>5116</v>
      </c>
      <c r="G7" t="s">
        <v>5117</v>
      </c>
      <c r="H7" t="s">
        <v>5118</v>
      </c>
      <c r="I7" t="s">
        <v>40</v>
      </c>
      <c r="J7" t="s">
        <v>39</v>
      </c>
      <c r="K7" s="20">
        <v>44667</v>
      </c>
      <c r="L7" t="s">
        <v>5119</v>
      </c>
      <c r="M7" t="s">
        <v>154</v>
      </c>
      <c r="N7" t="s">
        <v>154</v>
      </c>
    </row>
    <row r="8" spans="1:14" x14ac:dyDescent="0.25">
      <c r="A8" t="s">
        <v>2335</v>
      </c>
      <c r="B8" t="s">
        <v>5120</v>
      </c>
      <c r="C8" t="s">
        <v>5090</v>
      </c>
      <c r="D8" s="20">
        <v>38924</v>
      </c>
      <c r="E8">
        <v>9835354443</v>
      </c>
      <c r="F8" t="s">
        <v>5121</v>
      </c>
      <c r="G8" t="s">
        <v>5122</v>
      </c>
      <c r="H8" t="s">
        <v>5093</v>
      </c>
      <c r="I8" t="s">
        <v>40</v>
      </c>
      <c r="J8" t="s">
        <v>43</v>
      </c>
      <c r="K8" s="20">
        <v>44576</v>
      </c>
      <c r="L8" t="s">
        <v>5123</v>
      </c>
      <c r="M8" t="s">
        <v>154</v>
      </c>
      <c r="N8" t="s">
        <v>154</v>
      </c>
    </row>
    <row r="9" spans="1:14" x14ac:dyDescent="0.25">
      <c r="A9" t="s">
        <v>380</v>
      </c>
      <c r="B9" t="s">
        <v>5124</v>
      </c>
      <c r="C9" t="s">
        <v>5090</v>
      </c>
      <c r="D9" s="20">
        <v>23882</v>
      </c>
      <c r="E9">
        <v>9907826333</v>
      </c>
      <c r="F9" t="s">
        <v>5125</v>
      </c>
      <c r="G9" t="s">
        <v>5126</v>
      </c>
      <c r="H9" t="s">
        <v>5118</v>
      </c>
      <c r="I9" t="s">
        <v>40</v>
      </c>
      <c r="J9" t="s">
        <v>44</v>
      </c>
      <c r="K9" s="20">
        <v>44755</v>
      </c>
      <c r="L9" t="s">
        <v>5127</v>
      </c>
      <c r="M9" t="s">
        <v>154</v>
      </c>
      <c r="N9" t="s">
        <v>154</v>
      </c>
    </row>
    <row r="10" spans="1:14" x14ac:dyDescent="0.25">
      <c r="A10" t="s">
        <v>1167</v>
      </c>
      <c r="B10" t="s">
        <v>5128</v>
      </c>
      <c r="C10" t="s">
        <v>5115</v>
      </c>
      <c r="D10" s="20">
        <v>29324</v>
      </c>
      <c r="E10">
        <v>9377805292</v>
      </c>
      <c r="F10" t="s">
        <v>5129</v>
      </c>
      <c r="G10" t="s">
        <v>5130</v>
      </c>
      <c r="H10" t="s">
        <v>5103</v>
      </c>
      <c r="I10" t="s">
        <v>38</v>
      </c>
      <c r="J10" t="s">
        <v>44</v>
      </c>
      <c r="K10" s="20">
        <v>44857</v>
      </c>
      <c r="L10" t="s">
        <v>5131</v>
      </c>
      <c r="M10" t="s">
        <v>154</v>
      </c>
      <c r="N10" t="s">
        <v>154</v>
      </c>
    </row>
    <row r="11" spans="1:14" x14ac:dyDescent="0.25">
      <c r="A11" t="s">
        <v>3935</v>
      </c>
      <c r="B11" t="s">
        <v>5132</v>
      </c>
      <c r="C11" t="s">
        <v>5090</v>
      </c>
      <c r="D11" s="20">
        <v>37020</v>
      </c>
      <c r="E11">
        <v>9845909022</v>
      </c>
      <c r="F11" t="s">
        <v>5133</v>
      </c>
      <c r="G11" t="s">
        <v>5126</v>
      </c>
      <c r="H11" t="s">
        <v>5118</v>
      </c>
      <c r="I11" t="s">
        <v>40</v>
      </c>
      <c r="J11" t="s">
        <v>43</v>
      </c>
      <c r="K11" s="20">
        <v>44844</v>
      </c>
      <c r="L11" t="s">
        <v>5127</v>
      </c>
      <c r="M11" t="s">
        <v>154</v>
      </c>
      <c r="N11" t="s">
        <v>154</v>
      </c>
    </row>
    <row r="12" spans="1:14" x14ac:dyDescent="0.25">
      <c r="A12" t="s">
        <v>2783</v>
      </c>
      <c r="B12" t="s">
        <v>5134</v>
      </c>
      <c r="C12" t="s">
        <v>5090</v>
      </c>
      <c r="D12" s="20">
        <v>27088</v>
      </c>
      <c r="E12">
        <v>9159741218</v>
      </c>
      <c r="F12" t="s">
        <v>5135</v>
      </c>
      <c r="G12" t="s">
        <v>5136</v>
      </c>
      <c r="H12" t="s">
        <v>5098</v>
      </c>
      <c r="I12" t="s">
        <v>42</v>
      </c>
      <c r="J12" t="s">
        <v>39</v>
      </c>
      <c r="K12" s="20">
        <v>43872</v>
      </c>
      <c r="L12" t="s">
        <v>5137</v>
      </c>
      <c r="M12" t="s">
        <v>154</v>
      </c>
      <c r="N12" t="s">
        <v>154</v>
      </c>
    </row>
    <row r="13" spans="1:14" x14ac:dyDescent="0.25">
      <c r="A13" t="s">
        <v>256</v>
      </c>
      <c r="B13" t="s">
        <v>5138</v>
      </c>
      <c r="C13" t="s">
        <v>5115</v>
      </c>
      <c r="D13" s="20">
        <v>26801</v>
      </c>
      <c r="E13">
        <v>9334817058</v>
      </c>
      <c r="F13" t="s">
        <v>5139</v>
      </c>
      <c r="G13" t="s">
        <v>5122</v>
      </c>
      <c r="H13" t="s">
        <v>5093</v>
      </c>
      <c r="I13" t="s">
        <v>40</v>
      </c>
      <c r="J13" t="s">
        <v>44</v>
      </c>
      <c r="K13" s="20">
        <v>44681</v>
      </c>
      <c r="L13" t="s">
        <v>5113</v>
      </c>
      <c r="M13" t="s">
        <v>154</v>
      </c>
      <c r="N13" t="s">
        <v>154</v>
      </c>
    </row>
    <row r="14" spans="1:14" x14ac:dyDescent="0.25">
      <c r="A14" t="s">
        <v>1937</v>
      </c>
      <c r="B14" t="s">
        <v>5140</v>
      </c>
      <c r="C14" t="s">
        <v>5115</v>
      </c>
      <c r="D14" s="20">
        <v>26315</v>
      </c>
      <c r="E14">
        <v>9632346729</v>
      </c>
      <c r="F14" t="s">
        <v>5141</v>
      </c>
      <c r="G14" t="s">
        <v>5142</v>
      </c>
      <c r="H14" t="s">
        <v>5103</v>
      </c>
      <c r="I14" t="s">
        <v>38</v>
      </c>
      <c r="J14" t="s">
        <v>39</v>
      </c>
      <c r="K14" s="20">
        <v>45059</v>
      </c>
      <c r="L14" t="s">
        <v>5104</v>
      </c>
      <c r="M14" t="s">
        <v>154</v>
      </c>
      <c r="N14" t="s">
        <v>154</v>
      </c>
    </row>
    <row r="15" spans="1:14" x14ac:dyDescent="0.25">
      <c r="A15" t="s">
        <v>3817</v>
      </c>
      <c r="B15" t="s">
        <v>5143</v>
      </c>
      <c r="C15" t="s">
        <v>5090</v>
      </c>
      <c r="D15" s="20">
        <v>35486</v>
      </c>
      <c r="E15">
        <v>9169385977</v>
      </c>
      <c r="F15" t="s">
        <v>5144</v>
      </c>
      <c r="G15" t="s">
        <v>5145</v>
      </c>
      <c r="H15" t="s">
        <v>5098</v>
      </c>
      <c r="I15" t="s">
        <v>42</v>
      </c>
      <c r="J15" t="s">
        <v>43</v>
      </c>
      <c r="K15" s="20">
        <v>43685</v>
      </c>
      <c r="L15" t="s">
        <v>5146</v>
      </c>
      <c r="M15" t="s">
        <v>154</v>
      </c>
      <c r="N15" t="s">
        <v>154</v>
      </c>
    </row>
    <row r="16" spans="1:14" x14ac:dyDescent="0.25">
      <c r="A16" t="s">
        <v>2029</v>
      </c>
      <c r="B16" t="s">
        <v>5147</v>
      </c>
      <c r="C16" t="s">
        <v>5090</v>
      </c>
      <c r="D16" s="20">
        <v>34331</v>
      </c>
      <c r="E16">
        <v>9926329676</v>
      </c>
      <c r="F16" t="s">
        <v>5148</v>
      </c>
      <c r="G16" t="s">
        <v>5145</v>
      </c>
      <c r="H16" t="s">
        <v>5098</v>
      </c>
      <c r="I16" t="s">
        <v>42</v>
      </c>
      <c r="J16" t="s">
        <v>44</v>
      </c>
      <c r="K16" s="20">
        <v>44319</v>
      </c>
      <c r="L16" t="s">
        <v>5127</v>
      </c>
      <c r="M16" t="s">
        <v>154</v>
      </c>
      <c r="N16" t="s">
        <v>154</v>
      </c>
    </row>
    <row r="17" spans="1:14" x14ac:dyDescent="0.25">
      <c r="A17" t="s">
        <v>2586</v>
      </c>
      <c r="B17" t="s">
        <v>5149</v>
      </c>
      <c r="C17" t="s">
        <v>5090</v>
      </c>
      <c r="D17" s="20">
        <v>35189</v>
      </c>
      <c r="E17">
        <v>9841376815</v>
      </c>
      <c r="F17" t="s">
        <v>5150</v>
      </c>
      <c r="G17" t="s">
        <v>5151</v>
      </c>
      <c r="H17" t="s">
        <v>5103</v>
      </c>
      <c r="I17" t="s">
        <v>38</v>
      </c>
      <c r="J17" t="s">
        <v>44</v>
      </c>
      <c r="K17" s="20">
        <v>43747</v>
      </c>
      <c r="L17" t="s">
        <v>5152</v>
      </c>
      <c r="M17" t="s">
        <v>154</v>
      </c>
      <c r="N17" t="s">
        <v>154</v>
      </c>
    </row>
    <row r="18" spans="1:14" x14ac:dyDescent="0.25">
      <c r="A18" t="s">
        <v>1324</v>
      </c>
      <c r="B18" t="s">
        <v>5153</v>
      </c>
      <c r="C18" t="s">
        <v>5090</v>
      </c>
      <c r="D18" s="20">
        <v>30462</v>
      </c>
      <c r="E18">
        <v>9701765636</v>
      </c>
      <c r="F18" t="s">
        <v>5154</v>
      </c>
      <c r="G18" t="s">
        <v>5155</v>
      </c>
      <c r="H18" t="s">
        <v>5098</v>
      </c>
      <c r="I18" t="s">
        <v>42</v>
      </c>
      <c r="J18" t="s">
        <v>43</v>
      </c>
      <c r="K18" s="20">
        <v>45173</v>
      </c>
      <c r="L18" t="s">
        <v>5123</v>
      </c>
      <c r="M18" t="s">
        <v>154</v>
      </c>
      <c r="N18" t="s">
        <v>154</v>
      </c>
    </row>
    <row r="19" spans="1:14" x14ac:dyDescent="0.25">
      <c r="A19" t="s">
        <v>3464</v>
      </c>
      <c r="B19" t="s">
        <v>5156</v>
      </c>
      <c r="C19" t="s">
        <v>5115</v>
      </c>
      <c r="D19" s="20">
        <v>29102</v>
      </c>
      <c r="E19">
        <v>9372742209</v>
      </c>
      <c r="F19" t="s">
        <v>5157</v>
      </c>
      <c r="G19" t="s">
        <v>5107</v>
      </c>
      <c r="H19" t="s">
        <v>5098</v>
      </c>
      <c r="I19" t="s">
        <v>42</v>
      </c>
      <c r="J19" t="s">
        <v>39</v>
      </c>
      <c r="K19" s="20">
        <v>43439</v>
      </c>
      <c r="L19" t="s">
        <v>5158</v>
      </c>
      <c r="M19" t="s">
        <v>154</v>
      </c>
      <c r="N19" t="s">
        <v>154</v>
      </c>
    </row>
    <row r="20" spans="1:14" x14ac:dyDescent="0.25">
      <c r="A20" t="s">
        <v>2716</v>
      </c>
      <c r="B20" t="s">
        <v>5159</v>
      </c>
      <c r="C20" t="s">
        <v>5115</v>
      </c>
      <c r="D20" s="20">
        <v>35890</v>
      </c>
      <c r="E20">
        <v>9275230837</v>
      </c>
      <c r="F20" t="s">
        <v>5160</v>
      </c>
      <c r="G20" t="s">
        <v>5155</v>
      </c>
      <c r="H20" t="s">
        <v>5098</v>
      </c>
      <c r="I20" t="s">
        <v>42</v>
      </c>
      <c r="J20" t="s">
        <v>43</v>
      </c>
      <c r="K20" s="20">
        <v>43146</v>
      </c>
      <c r="L20" t="s">
        <v>5152</v>
      </c>
      <c r="M20" t="s">
        <v>154</v>
      </c>
      <c r="N20" t="s">
        <v>154</v>
      </c>
    </row>
    <row r="21" spans="1:14" x14ac:dyDescent="0.25">
      <c r="A21" t="s">
        <v>700</v>
      </c>
      <c r="B21" t="s">
        <v>5161</v>
      </c>
      <c r="C21" t="s">
        <v>5090</v>
      </c>
      <c r="D21" s="20">
        <v>30142</v>
      </c>
      <c r="E21">
        <v>9633533106</v>
      </c>
      <c r="F21" t="s">
        <v>5162</v>
      </c>
      <c r="G21" t="s">
        <v>5117</v>
      </c>
      <c r="H21" t="s">
        <v>5118</v>
      </c>
      <c r="I21" t="s">
        <v>40</v>
      </c>
      <c r="J21" t="s">
        <v>43</v>
      </c>
      <c r="K21" s="20">
        <v>43120</v>
      </c>
      <c r="L21" t="s">
        <v>5123</v>
      </c>
      <c r="M21" t="s">
        <v>154</v>
      </c>
      <c r="N21" t="s">
        <v>154</v>
      </c>
    </row>
    <row r="22" spans="1:14" x14ac:dyDescent="0.25">
      <c r="A22" t="s">
        <v>5037</v>
      </c>
      <c r="B22" t="s">
        <v>5163</v>
      </c>
      <c r="C22" t="s">
        <v>5090</v>
      </c>
      <c r="D22" s="20">
        <v>34883</v>
      </c>
      <c r="E22">
        <v>9206815583</v>
      </c>
      <c r="F22" t="s">
        <v>5164</v>
      </c>
      <c r="G22" t="s">
        <v>5151</v>
      </c>
      <c r="H22" t="s">
        <v>5103</v>
      </c>
      <c r="I22" t="s">
        <v>38</v>
      </c>
      <c r="J22" t="s">
        <v>44</v>
      </c>
      <c r="K22" s="20">
        <v>43496</v>
      </c>
      <c r="L22" t="s">
        <v>5165</v>
      </c>
      <c r="M22" t="s">
        <v>154</v>
      </c>
      <c r="N22" t="s">
        <v>154</v>
      </c>
    </row>
    <row r="23" spans="1:14" x14ac:dyDescent="0.25">
      <c r="A23" t="s">
        <v>1821</v>
      </c>
      <c r="B23" t="s">
        <v>5166</v>
      </c>
      <c r="C23" t="s">
        <v>5115</v>
      </c>
      <c r="D23" s="20">
        <v>30753</v>
      </c>
      <c r="E23">
        <v>9206506373</v>
      </c>
      <c r="F23" t="s">
        <v>5167</v>
      </c>
      <c r="G23" t="s">
        <v>5151</v>
      </c>
      <c r="H23" t="s">
        <v>5103</v>
      </c>
      <c r="I23" t="s">
        <v>38</v>
      </c>
      <c r="J23" t="s">
        <v>43</v>
      </c>
      <c r="K23" s="20">
        <v>44561</v>
      </c>
      <c r="L23" t="s">
        <v>5168</v>
      </c>
      <c r="M23" t="s">
        <v>154</v>
      </c>
      <c r="N23" t="s">
        <v>154</v>
      </c>
    </row>
    <row r="24" spans="1:14" x14ac:dyDescent="0.25">
      <c r="A24" t="s">
        <v>2851</v>
      </c>
      <c r="B24" t="s">
        <v>5169</v>
      </c>
      <c r="C24" t="s">
        <v>5090</v>
      </c>
      <c r="D24" s="20">
        <v>29788</v>
      </c>
      <c r="E24">
        <v>9971892419</v>
      </c>
      <c r="F24" t="s">
        <v>5170</v>
      </c>
      <c r="G24" t="s">
        <v>5171</v>
      </c>
      <c r="H24" t="s">
        <v>5103</v>
      </c>
      <c r="I24" t="s">
        <v>38</v>
      </c>
      <c r="J24" t="s">
        <v>44</v>
      </c>
      <c r="K24" s="20">
        <v>44784</v>
      </c>
      <c r="L24" t="s">
        <v>5113</v>
      </c>
      <c r="M24" t="s">
        <v>154</v>
      </c>
      <c r="N24" t="s">
        <v>154</v>
      </c>
    </row>
    <row r="25" spans="1:14" x14ac:dyDescent="0.25">
      <c r="A25" t="s">
        <v>919</v>
      </c>
      <c r="B25" t="s">
        <v>5172</v>
      </c>
      <c r="C25" t="s">
        <v>5090</v>
      </c>
      <c r="D25" s="20">
        <v>29183</v>
      </c>
      <c r="E25">
        <v>9509976838</v>
      </c>
      <c r="F25" t="s">
        <v>5173</v>
      </c>
      <c r="G25" t="s">
        <v>5174</v>
      </c>
      <c r="H25" t="s">
        <v>5093</v>
      </c>
      <c r="I25" t="s">
        <v>40</v>
      </c>
      <c r="J25" t="s">
        <v>44</v>
      </c>
      <c r="K25" s="20">
        <v>45075</v>
      </c>
      <c r="L25" t="s">
        <v>5104</v>
      </c>
      <c r="M25" t="s">
        <v>154</v>
      </c>
      <c r="N25" t="s">
        <v>154</v>
      </c>
    </row>
    <row r="26" spans="1:14" x14ac:dyDescent="0.25">
      <c r="A26" t="s">
        <v>922</v>
      </c>
      <c r="B26" t="s">
        <v>5175</v>
      </c>
      <c r="C26" t="s">
        <v>5090</v>
      </c>
      <c r="D26" s="20">
        <v>24090</v>
      </c>
      <c r="E26">
        <v>9639102574</v>
      </c>
      <c r="F26" t="s">
        <v>5176</v>
      </c>
      <c r="G26" t="s">
        <v>5177</v>
      </c>
      <c r="H26" t="s">
        <v>5112</v>
      </c>
      <c r="I26" t="s">
        <v>38</v>
      </c>
      <c r="J26" t="s">
        <v>44</v>
      </c>
      <c r="K26" s="20">
        <v>44366</v>
      </c>
      <c r="L26" t="s">
        <v>5178</v>
      </c>
      <c r="M26" t="s">
        <v>154</v>
      </c>
      <c r="N26" t="s">
        <v>154</v>
      </c>
    </row>
    <row r="27" spans="1:14" x14ac:dyDescent="0.25">
      <c r="A27" t="s">
        <v>3284</v>
      </c>
      <c r="B27" t="s">
        <v>5179</v>
      </c>
      <c r="C27" t="s">
        <v>5115</v>
      </c>
      <c r="D27" s="20">
        <v>27643</v>
      </c>
      <c r="E27">
        <v>9450864035</v>
      </c>
      <c r="F27" t="s">
        <v>5180</v>
      </c>
      <c r="G27" t="s">
        <v>5181</v>
      </c>
      <c r="H27" t="s">
        <v>5112</v>
      </c>
      <c r="I27" t="s">
        <v>38</v>
      </c>
      <c r="J27" t="s">
        <v>44</v>
      </c>
      <c r="K27" s="20">
        <v>44447</v>
      </c>
      <c r="L27" t="s">
        <v>5182</v>
      </c>
      <c r="M27" t="s">
        <v>154</v>
      </c>
      <c r="N27" t="s">
        <v>154</v>
      </c>
    </row>
    <row r="28" spans="1:14" x14ac:dyDescent="0.25">
      <c r="A28" t="s">
        <v>446</v>
      </c>
      <c r="B28" t="s">
        <v>5183</v>
      </c>
      <c r="C28" t="s">
        <v>5115</v>
      </c>
      <c r="D28" s="20">
        <v>38597</v>
      </c>
      <c r="E28">
        <v>9527017130</v>
      </c>
      <c r="F28" t="s">
        <v>5184</v>
      </c>
      <c r="G28" t="s">
        <v>5185</v>
      </c>
      <c r="H28" t="s">
        <v>5093</v>
      </c>
      <c r="I28" t="s">
        <v>40</v>
      </c>
      <c r="J28" t="s">
        <v>41</v>
      </c>
      <c r="K28" s="20">
        <v>44663</v>
      </c>
      <c r="L28" t="s">
        <v>5186</v>
      </c>
      <c r="M28" t="s">
        <v>154</v>
      </c>
      <c r="N28" t="s">
        <v>154</v>
      </c>
    </row>
    <row r="29" spans="1:14" x14ac:dyDescent="0.25">
      <c r="A29" t="s">
        <v>871</v>
      </c>
      <c r="B29" t="s">
        <v>5187</v>
      </c>
      <c r="C29" t="s">
        <v>5090</v>
      </c>
      <c r="D29" s="20">
        <v>26588</v>
      </c>
      <c r="E29">
        <v>9816742336</v>
      </c>
      <c r="F29" t="s">
        <v>5188</v>
      </c>
      <c r="G29" t="s">
        <v>5189</v>
      </c>
      <c r="H29" t="s">
        <v>5112</v>
      </c>
      <c r="I29" t="s">
        <v>38</v>
      </c>
      <c r="J29" t="s">
        <v>44</v>
      </c>
      <c r="K29" s="20">
        <v>43938</v>
      </c>
      <c r="L29" t="s">
        <v>5178</v>
      </c>
      <c r="M29" t="s">
        <v>154</v>
      </c>
      <c r="N29" t="s">
        <v>154</v>
      </c>
    </row>
    <row r="30" spans="1:14" x14ac:dyDescent="0.25">
      <c r="A30" t="s">
        <v>1754</v>
      </c>
      <c r="B30" t="s">
        <v>5190</v>
      </c>
      <c r="C30" t="s">
        <v>5090</v>
      </c>
      <c r="D30" s="20">
        <v>33187</v>
      </c>
      <c r="E30">
        <v>9566277689</v>
      </c>
      <c r="F30" t="s">
        <v>5191</v>
      </c>
      <c r="G30" t="s">
        <v>5097</v>
      </c>
      <c r="H30" t="s">
        <v>5098</v>
      </c>
      <c r="I30" t="s">
        <v>42</v>
      </c>
      <c r="J30" t="s">
        <v>43</v>
      </c>
      <c r="K30" s="20">
        <v>45071</v>
      </c>
      <c r="L30" t="s">
        <v>5104</v>
      </c>
      <c r="M30" t="s">
        <v>154</v>
      </c>
      <c r="N30" t="s">
        <v>154</v>
      </c>
    </row>
    <row r="31" spans="1:14" x14ac:dyDescent="0.25">
      <c r="A31" t="s">
        <v>3826</v>
      </c>
      <c r="B31" t="s">
        <v>5192</v>
      </c>
      <c r="C31" t="s">
        <v>5090</v>
      </c>
      <c r="D31" s="20">
        <v>36226</v>
      </c>
      <c r="E31">
        <v>9828246747</v>
      </c>
      <c r="F31" t="s">
        <v>5193</v>
      </c>
      <c r="G31" t="s">
        <v>5107</v>
      </c>
      <c r="H31" t="s">
        <v>5098</v>
      </c>
      <c r="I31" t="s">
        <v>42</v>
      </c>
      <c r="J31" t="s">
        <v>44</v>
      </c>
      <c r="K31" s="20">
        <v>44330</v>
      </c>
      <c r="L31" t="s">
        <v>5099</v>
      </c>
      <c r="M31" t="s">
        <v>154</v>
      </c>
      <c r="N31" t="s">
        <v>154</v>
      </c>
    </row>
    <row r="32" spans="1:14" x14ac:dyDescent="0.25">
      <c r="A32" t="s">
        <v>2546</v>
      </c>
      <c r="B32" t="s">
        <v>5194</v>
      </c>
      <c r="C32" t="s">
        <v>5115</v>
      </c>
      <c r="D32" s="20">
        <v>29202</v>
      </c>
      <c r="E32">
        <v>9085766656</v>
      </c>
      <c r="F32" t="s">
        <v>5195</v>
      </c>
      <c r="G32" t="s">
        <v>5196</v>
      </c>
      <c r="H32" t="s">
        <v>5093</v>
      </c>
      <c r="I32" t="s">
        <v>40</v>
      </c>
      <c r="J32" t="s">
        <v>43</v>
      </c>
      <c r="K32" s="20">
        <v>43877</v>
      </c>
      <c r="L32" t="s">
        <v>5119</v>
      </c>
      <c r="M32" t="s">
        <v>154</v>
      </c>
      <c r="N32" t="s">
        <v>154</v>
      </c>
    </row>
    <row r="33" spans="1:14" x14ac:dyDescent="0.25">
      <c r="A33" t="s">
        <v>1873</v>
      </c>
      <c r="B33" t="s">
        <v>5197</v>
      </c>
      <c r="C33" t="s">
        <v>5115</v>
      </c>
      <c r="D33" s="20">
        <v>38242</v>
      </c>
      <c r="E33">
        <v>9364587506</v>
      </c>
      <c r="F33" t="s">
        <v>5198</v>
      </c>
      <c r="G33" t="s">
        <v>5171</v>
      </c>
      <c r="H33" t="s">
        <v>5103</v>
      </c>
      <c r="I33" t="s">
        <v>38</v>
      </c>
      <c r="J33" t="s">
        <v>39</v>
      </c>
      <c r="K33" s="20">
        <v>45417</v>
      </c>
      <c r="L33" t="s">
        <v>5165</v>
      </c>
      <c r="M33" t="s">
        <v>154</v>
      </c>
      <c r="N33" t="s">
        <v>154</v>
      </c>
    </row>
    <row r="34" spans="1:14" x14ac:dyDescent="0.25">
      <c r="A34" t="s">
        <v>800</v>
      </c>
      <c r="B34" t="s">
        <v>5199</v>
      </c>
      <c r="C34" t="s">
        <v>5090</v>
      </c>
      <c r="D34" s="20">
        <v>24308</v>
      </c>
      <c r="E34">
        <v>9972439920</v>
      </c>
      <c r="F34" t="s">
        <v>5200</v>
      </c>
      <c r="G34" t="s">
        <v>5201</v>
      </c>
      <c r="H34" t="s">
        <v>5118</v>
      </c>
      <c r="I34" t="s">
        <v>40</v>
      </c>
      <c r="J34" t="s">
        <v>44</v>
      </c>
      <c r="K34" s="20">
        <v>43706</v>
      </c>
      <c r="L34" t="s">
        <v>5152</v>
      </c>
      <c r="M34" t="s">
        <v>154</v>
      </c>
      <c r="N34" t="s">
        <v>154</v>
      </c>
    </row>
    <row r="35" spans="1:14" x14ac:dyDescent="0.25">
      <c r="A35" t="s">
        <v>1248</v>
      </c>
      <c r="B35" t="s">
        <v>5202</v>
      </c>
      <c r="C35" t="s">
        <v>5090</v>
      </c>
      <c r="D35" s="20">
        <v>35311</v>
      </c>
      <c r="E35">
        <v>9264488694</v>
      </c>
      <c r="F35" t="s">
        <v>5203</v>
      </c>
      <c r="G35" t="s">
        <v>5111</v>
      </c>
      <c r="H35" t="s">
        <v>5112</v>
      </c>
      <c r="I35" t="s">
        <v>38</v>
      </c>
      <c r="J35" t="s">
        <v>39</v>
      </c>
      <c r="K35" s="20">
        <v>43874</v>
      </c>
      <c r="L35" t="s">
        <v>5131</v>
      </c>
      <c r="M35" t="s">
        <v>154</v>
      </c>
      <c r="N35" t="s">
        <v>154</v>
      </c>
    </row>
    <row r="36" spans="1:14" x14ac:dyDescent="0.25">
      <c r="A36" t="s">
        <v>320</v>
      </c>
      <c r="B36" t="s">
        <v>5204</v>
      </c>
      <c r="C36" t="s">
        <v>5090</v>
      </c>
      <c r="D36" s="20">
        <v>34166</v>
      </c>
      <c r="E36">
        <v>9364027011</v>
      </c>
      <c r="F36" t="s">
        <v>5205</v>
      </c>
      <c r="G36" t="s">
        <v>5177</v>
      </c>
      <c r="H36" t="s">
        <v>5112</v>
      </c>
      <c r="I36" t="s">
        <v>38</v>
      </c>
      <c r="J36" t="s">
        <v>44</v>
      </c>
      <c r="K36" s="20">
        <v>43685</v>
      </c>
      <c r="L36" t="s">
        <v>5152</v>
      </c>
      <c r="M36" t="s">
        <v>154</v>
      </c>
      <c r="N36" t="s">
        <v>154</v>
      </c>
    </row>
    <row r="37" spans="1:14" x14ac:dyDescent="0.25">
      <c r="A37" t="s">
        <v>4610</v>
      </c>
      <c r="B37" t="s">
        <v>5206</v>
      </c>
      <c r="C37" t="s">
        <v>5090</v>
      </c>
      <c r="D37" s="20">
        <v>26538</v>
      </c>
      <c r="E37">
        <v>9728179323</v>
      </c>
      <c r="F37" t="s">
        <v>5207</v>
      </c>
      <c r="G37" t="s">
        <v>5174</v>
      </c>
      <c r="H37" t="s">
        <v>5093</v>
      </c>
      <c r="I37" t="s">
        <v>40</v>
      </c>
      <c r="J37" t="s">
        <v>43</v>
      </c>
      <c r="K37" s="20">
        <v>43651</v>
      </c>
      <c r="L37" t="s">
        <v>5208</v>
      </c>
      <c r="M37" t="s">
        <v>154</v>
      </c>
      <c r="N37" t="s">
        <v>154</v>
      </c>
    </row>
    <row r="38" spans="1:14" x14ac:dyDescent="0.25">
      <c r="A38" t="s">
        <v>3445</v>
      </c>
      <c r="B38" t="s">
        <v>5209</v>
      </c>
      <c r="C38" t="s">
        <v>5090</v>
      </c>
      <c r="D38" s="20">
        <v>38525</v>
      </c>
      <c r="E38">
        <v>9214161415</v>
      </c>
      <c r="F38" t="s">
        <v>5210</v>
      </c>
      <c r="G38" t="s">
        <v>5107</v>
      </c>
      <c r="H38" t="s">
        <v>5098</v>
      </c>
      <c r="I38" t="s">
        <v>42</v>
      </c>
      <c r="J38" t="s">
        <v>41</v>
      </c>
      <c r="K38" s="20">
        <v>45658</v>
      </c>
      <c r="L38" t="s">
        <v>5211</v>
      </c>
      <c r="M38" t="s">
        <v>154</v>
      </c>
      <c r="N38" t="s">
        <v>154</v>
      </c>
    </row>
    <row r="39" spans="1:14" x14ac:dyDescent="0.25">
      <c r="A39" t="s">
        <v>995</v>
      </c>
      <c r="B39" t="s">
        <v>5212</v>
      </c>
      <c r="C39" t="s">
        <v>5090</v>
      </c>
      <c r="D39" s="20">
        <v>34766</v>
      </c>
      <c r="E39">
        <v>9013806984</v>
      </c>
      <c r="F39" t="s">
        <v>5213</v>
      </c>
      <c r="G39" t="s">
        <v>5214</v>
      </c>
      <c r="H39" t="s">
        <v>5103</v>
      </c>
      <c r="I39" t="s">
        <v>38</v>
      </c>
      <c r="J39" t="s">
        <v>43</v>
      </c>
      <c r="K39" s="20">
        <v>43130</v>
      </c>
      <c r="L39" t="s">
        <v>5108</v>
      </c>
      <c r="M39" t="s">
        <v>154</v>
      </c>
      <c r="N39" t="s">
        <v>154</v>
      </c>
    </row>
    <row r="40" spans="1:14" x14ac:dyDescent="0.25">
      <c r="A40" t="s">
        <v>755</v>
      </c>
      <c r="B40" t="s">
        <v>5215</v>
      </c>
      <c r="C40" t="s">
        <v>5115</v>
      </c>
      <c r="D40" s="20">
        <v>30779</v>
      </c>
      <c r="E40">
        <v>9356690551</v>
      </c>
      <c r="F40" t="s">
        <v>5216</v>
      </c>
      <c r="G40" t="s">
        <v>5126</v>
      </c>
      <c r="H40" t="s">
        <v>5118</v>
      </c>
      <c r="I40" t="s">
        <v>40</v>
      </c>
      <c r="J40" t="s">
        <v>44</v>
      </c>
      <c r="K40" s="20">
        <v>44506</v>
      </c>
      <c r="L40" t="s">
        <v>5168</v>
      </c>
      <c r="M40" t="s">
        <v>154</v>
      </c>
      <c r="N40" t="s">
        <v>154</v>
      </c>
    </row>
    <row r="41" spans="1:14" x14ac:dyDescent="0.25">
      <c r="A41" t="s">
        <v>759</v>
      </c>
      <c r="B41" t="s">
        <v>5217</v>
      </c>
      <c r="C41" t="s">
        <v>5115</v>
      </c>
      <c r="D41" s="20">
        <v>24163</v>
      </c>
      <c r="E41">
        <v>9579786305</v>
      </c>
      <c r="F41" t="s">
        <v>5218</v>
      </c>
      <c r="G41" t="s">
        <v>5111</v>
      </c>
      <c r="H41" t="s">
        <v>5112</v>
      </c>
      <c r="I41" t="s">
        <v>38</v>
      </c>
      <c r="J41" t="s">
        <v>44</v>
      </c>
      <c r="K41" s="20">
        <v>44245</v>
      </c>
      <c r="L41" t="s">
        <v>5178</v>
      </c>
      <c r="M41" t="s">
        <v>154</v>
      </c>
      <c r="N41" t="s">
        <v>154</v>
      </c>
    </row>
    <row r="42" spans="1:14" x14ac:dyDescent="0.25">
      <c r="A42" t="s">
        <v>450</v>
      </c>
      <c r="B42" t="s">
        <v>5219</v>
      </c>
      <c r="C42" t="s">
        <v>5090</v>
      </c>
      <c r="D42" s="20">
        <v>34850</v>
      </c>
      <c r="E42">
        <v>9156716493</v>
      </c>
      <c r="F42" t="s">
        <v>5220</v>
      </c>
      <c r="G42" t="s">
        <v>5155</v>
      </c>
      <c r="H42" t="s">
        <v>5098</v>
      </c>
      <c r="I42" t="s">
        <v>42</v>
      </c>
      <c r="J42" t="s">
        <v>41</v>
      </c>
      <c r="K42" s="20">
        <v>44740</v>
      </c>
      <c r="L42" t="s">
        <v>5099</v>
      </c>
      <c r="M42" t="s">
        <v>154</v>
      </c>
      <c r="N42" t="s">
        <v>154</v>
      </c>
    </row>
    <row r="43" spans="1:14" x14ac:dyDescent="0.25">
      <c r="A43" t="s">
        <v>2158</v>
      </c>
      <c r="B43" t="s">
        <v>5221</v>
      </c>
      <c r="C43" t="s">
        <v>5090</v>
      </c>
      <c r="D43" s="20">
        <v>25837</v>
      </c>
      <c r="E43">
        <v>9271783332</v>
      </c>
      <c r="F43" t="s">
        <v>5222</v>
      </c>
      <c r="G43" t="s">
        <v>5136</v>
      </c>
      <c r="H43" t="s">
        <v>5098</v>
      </c>
      <c r="I43" t="s">
        <v>42</v>
      </c>
      <c r="J43" t="s">
        <v>39</v>
      </c>
      <c r="K43" s="20">
        <v>45348</v>
      </c>
      <c r="L43" t="s">
        <v>5146</v>
      </c>
      <c r="M43" t="s">
        <v>154</v>
      </c>
      <c r="N43" t="s">
        <v>154</v>
      </c>
    </row>
    <row r="44" spans="1:14" x14ac:dyDescent="0.25">
      <c r="A44" t="s">
        <v>1286</v>
      </c>
      <c r="B44" t="s">
        <v>5223</v>
      </c>
      <c r="C44" t="s">
        <v>5115</v>
      </c>
      <c r="D44" s="20">
        <v>38963</v>
      </c>
      <c r="E44">
        <v>9712871539</v>
      </c>
      <c r="F44" t="s">
        <v>5224</v>
      </c>
      <c r="G44" t="s">
        <v>5117</v>
      </c>
      <c r="H44" t="s">
        <v>5118</v>
      </c>
      <c r="I44" t="s">
        <v>40</v>
      </c>
      <c r="J44" t="s">
        <v>44</v>
      </c>
      <c r="K44" s="20">
        <v>44003</v>
      </c>
      <c r="L44" t="s">
        <v>5152</v>
      </c>
      <c r="M44" t="s">
        <v>154</v>
      </c>
      <c r="N44" t="s">
        <v>154</v>
      </c>
    </row>
    <row r="45" spans="1:14" x14ac:dyDescent="0.25">
      <c r="A45" t="s">
        <v>1985</v>
      </c>
      <c r="B45" t="s">
        <v>5225</v>
      </c>
      <c r="C45" t="s">
        <v>5115</v>
      </c>
      <c r="D45" s="20">
        <v>38655</v>
      </c>
      <c r="E45">
        <v>9334141115</v>
      </c>
      <c r="F45" t="s">
        <v>5226</v>
      </c>
      <c r="G45" t="s">
        <v>5097</v>
      </c>
      <c r="H45" t="s">
        <v>5098</v>
      </c>
      <c r="I45" t="s">
        <v>42</v>
      </c>
      <c r="J45" t="s">
        <v>41</v>
      </c>
      <c r="K45" s="20">
        <v>45402</v>
      </c>
      <c r="L45" t="s">
        <v>5131</v>
      </c>
      <c r="M45" t="s">
        <v>154</v>
      </c>
      <c r="N45" t="s">
        <v>154</v>
      </c>
    </row>
    <row r="46" spans="1:14" x14ac:dyDescent="0.25">
      <c r="A46" t="s">
        <v>1284</v>
      </c>
      <c r="B46" t="s">
        <v>5227</v>
      </c>
      <c r="C46" t="s">
        <v>5090</v>
      </c>
      <c r="D46" s="20">
        <v>29768</v>
      </c>
      <c r="E46">
        <v>9409836655</v>
      </c>
      <c r="F46" t="s">
        <v>5228</v>
      </c>
      <c r="G46" t="s">
        <v>5174</v>
      </c>
      <c r="H46" t="s">
        <v>5093</v>
      </c>
      <c r="I46" t="s">
        <v>40</v>
      </c>
      <c r="J46" t="s">
        <v>44</v>
      </c>
      <c r="K46" s="20">
        <v>45464</v>
      </c>
      <c r="L46" t="s">
        <v>5119</v>
      </c>
      <c r="M46" t="s">
        <v>154</v>
      </c>
      <c r="N46" t="s">
        <v>154</v>
      </c>
    </row>
    <row r="47" spans="1:14" x14ac:dyDescent="0.25">
      <c r="A47" t="s">
        <v>2371</v>
      </c>
      <c r="B47" t="s">
        <v>5229</v>
      </c>
      <c r="C47" t="s">
        <v>5090</v>
      </c>
      <c r="D47" s="20">
        <v>30219</v>
      </c>
      <c r="E47">
        <v>9437729420</v>
      </c>
      <c r="F47" t="s">
        <v>5230</v>
      </c>
      <c r="G47" t="s">
        <v>5231</v>
      </c>
      <c r="H47" t="s">
        <v>5103</v>
      </c>
      <c r="I47" t="s">
        <v>38</v>
      </c>
      <c r="J47" t="s">
        <v>44</v>
      </c>
      <c r="K47" s="20">
        <v>44395</v>
      </c>
      <c r="L47" t="s">
        <v>5182</v>
      </c>
      <c r="M47" t="s">
        <v>154</v>
      </c>
      <c r="N47" t="s">
        <v>154</v>
      </c>
    </row>
    <row r="48" spans="1:14" x14ac:dyDescent="0.25">
      <c r="A48" t="s">
        <v>2650</v>
      </c>
      <c r="B48" t="s">
        <v>5232</v>
      </c>
      <c r="C48" t="s">
        <v>5115</v>
      </c>
      <c r="D48" s="20">
        <v>28223</v>
      </c>
      <c r="E48">
        <v>9460523302</v>
      </c>
      <c r="F48" t="s">
        <v>5233</v>
      </c>
      <c r="G48" t="s">
        <v>5181</v>
      </c>
      <c r="H48" t="s">
        <v>5112</v>
      </c>
      <c r="I48" t="s">
        <v>38</v>
      </c>
      <c r="J48" t="s">
        <v>41</v>
      </c>
      <c r="K48" s="20">
        <v>43984</v>
      </c>
      <c r="L48" t="s">
        <v>5137</v>
      </c>
      <c r="M48" t="s">
        <v>154</v>
      </c>
      <c r="N48" t="s">
        <v>154</v>
      </c>
    </row>
    <row r="49" spans="1:14" x14ac:dyDescent="0.25">
      <c r="A49" t="s">
        <v>1065</v>
      </c>
      <c r="B49" t="s">
        <v>5234</v>
      </c>
      <c r="C49" t="s">
        <v>5090</v>
      </c>
      <c r="D49" s="20">
        <v>24096</v>
      </c>
      <c r="E49">
        <v>9661844386</v>
      </c>
      <c r="F49" t="s">
        <v>5235</v>
      </c>
      <c r="G49" t="s">
        <v>5181</v>
      </c>
      <c r="H49" t="s">
        <v>5112</v>
      </c>
      <c r="I49" t="s">
        <v>38</v>
      </c>
      <c r="J49" t="s">
        <v>39</v>
      </c>
      <c r="K49" s="20">
        <v>45040</v>
      </c>
      <c r="L49" t="s">
        <v>5094</v>
      </c>
      <c r="M49" t="s">
        <v>154</v>
      </c>
      <c r="N49" t="s">
        <v>154</v>
      </c>
    </row>
    <row r="50" spans="1:14" x14ac:dyDescent="0.25">
      <c r="A50" t="s">
        <v>4063</v>
      </c>
      <c r="B50" t="s">
        <v>5236</v>
      </c>
      <c r="C50" t="s">
        <v>5115</v>
      </c>
      <c r="D50" s="20">
        <v>31239</v>
      </c>
      <c r="E50">
        <v>9233305912</v>
      </c>
      <c r="F50" t="s">
        <v>5237</v>
      </c>
      <c r="G50" t="s">
        <v>5238</v>
      </c>
      <c r="H50" t="s">
        <v>5093</v>
      </c>
      <c r="I50" t="s">
        <v>40</v>
      </c>
      <c r="J50" t="s">
        <v>39</v>
      </c>
      <c r="K50" s="20">
        <v>45077</v>
      </c>
      <c r="L50" t="s">
        <v>5113</v>
      </c>
      <c r="M50" t="s">
        <v>154</v>
      </c>
      <c r="N50" t="s">
        <v>154</v>
      </c>
    </row>
    <row r="51" spans="1:14" x14ac:dyDescent="0.25">
      <c r="A51" t="s">
        <v>1900</v>
      </c>
      <c r="B51" t="s">
        <v>5239</v>
      </c>
      <c r="C51" t="s">
        <v>5090</v>
      </c>
      <c r="D51" s="20">
        <v>38914</v>
      </c>
      <c r="E51">
        <v>9018596263</v>
      </c>
      <c r="F51" t="s">
        <v>5240</v>
      </c>
      <c r="G51" t="s">
        <v>5171</v>
      </c>
      <c r="H51" t="s">
        <v>5103</v>
      </c>
      <c r="I51" t="s">
        <v>38</v>
      </c>
      <c r="J51" t="s">
        <v>39</v>
      </c>
      <c r="K51" s="20">
        <v>45041</v>
      </c>
      <c r="L51" t="s">
        <v>5165</v>
      </c>
      <c r="M51" t="s">
        <v>154</v>
      </c>
      <c r="N51" t="s">
        <v>154</v>
      </c>
    </row>
    <row r="52" spans="1:14" x14ac:dyDescent="0.25">
      <c r="A52" t="s">
        <v>2896</v>
      </c>
      <c r="B52" t="s">
        <v>5241</v>
      </c>
      <c r="C52" t="s">
        <v>5115</v>
      </c>
      <c r="D52" s="20">
        <v>28702</v>
      </c>
      <c r="E52">
        <v>9764750111</v>
      </c>
      <c r="F52" t="s">
        <v>5242</v>
      </c>
      <c r="G52" t="s">
        <v>5243</v>
      </c>
      <c r="H52" t="s">
        <v>5112</v>
      </c>
      <c r="I52" t="s">
        <v>38</v>
      </c>
      <c r="J52" t="s">
        <v>44</v>
      </c>
      <c r="K52" s="20">
        <v>44638</v>
      </c>
      <c r="L52" t="s">
        <v>5104</v>
      </c>
      <c r="M52" t="s">
        <v>154</v>
      </c>
      <c r="N52" t="s">
        <v>154</v>
      </c>
    </row>
    <row r="53" spans="1:14" x14ac:dyDescent="0.25">
      <c r="A53" t="s">
        <v>148</v>
      </c>
      <c r="B53" t="s">
        <v>5244</v>
      </c>
      <c r="C53" t="s">
        <v>5115</v>
      </c>
      <c r="D53" s="20">
        <v>24120</v>
      </c>
      <c r="E53">
        <v>9192676492</v>
      </c>
      <c r="F53" t="s">
        <v>5245</v>
      </c>
      <c r="G53" t="s">
        <v>5189</v>
      </c>
      <c r="H53" t="s">
        <v>5112</v>
      </c>
      <c r="I53" t="s">
        <v>38</v>
      </c>
      <c r="J53" t="s">
        <v>44</v>
      </c>
      <c r="K53" s="20">
        <v>45065</v>
      </c>
      <c r="L53" t="s">
        <v>5152</v>
      </c>
      <c r="M53" t="s">
        <v>154</v>
      </c>
      <c r="N53" t="s">
        <v>154</v>
      </c>
    </row>
    <row r="54" spans="1:14" x14ac:dyDescent="0.25">
      <c r="A54" t="s">
        <v>1349</v>
      </c>
      <c r="B54" t="s">
        <v>5246</v>
      </c>
      <c r="C54" t="s">
        <v>5115</v>
      </c>
      <c r="D54" s="20">
        <v>30383</v>
      </c>
      <c r="E54">
        <v>9718981312</v>
      </c>
      <c r="F54" t="s">
        <v>5247</v>
      </c>
      <c r="G54" t="s">
        <v>5248</v>
      </c>
      <c r="H54" t="s">
        <v>5103</v>
      </c>
      <c r="I54" t="s">
        <v>38</v>
      </c>
      <c r="J54" t="s">
        <v>41</v>
      </c>
      <c r="K54" s="20">
        <v>45298</v>
      </c>
      <c r="L54" t="s">
        <v>5186</v>
      </c>
      <c r="M54" t="s">
        <v>154</v>
      </c>
      <c r="N54" t="s">
        <v>154</v>
      </c>
    </row>
    <row r="55" spans="1:14" x14ac:dyDescent="0.25">
      <c r="A55" t="s">
        <v>2976</v>
      </c>
      <c r="B55" t="s">
        <v>5249</v>
      </c>
      <c r="C55" t="s">
        <v>5090</v>
      </c>
      <c r="D55" s="20">
        <v>31070</v>
      </c>
      <c r="E55">
        <v>9218401184</v>
      </c>
      <c r="F55" t="s">
        <v>5250</v>
      </c>
      <c r="G55" t="s">
        <v>5201</v>
      </c>
      <c r="H55" t="s">
        <v>5118</v>
      </c>
      <c r="I55" t="s">
        <v>40</v>
      </c>
      <c r="J55" t="s">
        <v>43</v>
      </c>
      <c r="K55" s="20">
        <v>45456</v>
      </c>
      <c r="L55" t="s">
        <v>5208</v>
      </c>
      <c r="M55" t="s">
        <v>154</v>
      </c>
      <c r="N55" t="s">
        <v>154</v>
      </c>
    </row>
    <row r="56" spans="1:14" x14ac:dyDescent="0.25">
      <c r="A56" t="s">
        <v>2971</v>
      </c>
      <c r="B56" t="s">
        <v>5251</v>
      </c>
      <c r="C56" t="s">
        <v>5090</v>
      </c>
      <c r="D56" s="20">
        <v>34526</v>
      </c>
      <c r="E56">
        <v>9872975859</v>
      </c>
      <c r="F56" t="s">
        <v>5252</v>
      </c>
      <c r="G56" t="s">
        <v>5151</v>
      </c>
      <c r="H56" t="s">
        <v>5103</v>
      </c>
      <c r="I56" t="s">
        <v>38</v>
      </c>
      <c r="J56" t="s">
        <v>39</v>
      </c>
      <c r="K56" s="20">
        <v>45228</v>
      </c>
      <c r="L56" t="s">
        <v>5113</v>
      </c>
      <c r="M56" t="s">
        <v>154</v>
      </c>
      <c r="N56" t="s">
        <v>154</v>
      </c>
    </row>
    <row r="57" spans="1:14" x14ac:dyDescent="0.25">
      <c r="A57" t="s">
        <v>2357</v>
      </c>
      <c r="B57" t="s">
        <v>5253</v>
      </c>
      <c r="C57" t="s">
        <v>5090</v>
      </c>
      <c r="D57" s="20">
        <v>27627</v>
      </c>
      <c r="E57">
        <v>9983954296</v>
      </c>
      <c r="F57" t="s">
        <v>5254</v>
      </c>
      <c r="G57" t="s">
        <v>5151</v>
      </c>
      <c r="H57" t="s">
        <v>5103</v>
      </c>
      <c r="I57" t="s">
        <v>38</v>
      </c>
      <c r="J57" t="s">
        <v>43</v>
      </c>
      <c r="K57" s="20">
        <v>43982</v>
      </c>
      <c r="L57" t="s">
        <v>5182</v>
      </c>
      <c r="M57" t="s">
        <v>154</v>
      </c>
      <c r="N57" t="s">
        <v>154</v>
      </c>
    </row>
    <row r="58" spans="1:14" x14ac:dyDescent="0.25">
      <c r="A58" t="s">
        <v>1468</v>
      </c>
      <c r="B58" t="s">
        <v>5255</v>
      </c>
      <c r="C58" t="s">
        <v>5090</v>
      </c>
      <c r="D58" s="20">
        <v>34388</v>
      </c>
      <c r="E58">
        <v>9283143598</v>
      </c>
      <c r="F58" t="s">
        <v>5256</v>
      </c>
      <c r="G58" t="s">
        <v>5257</v>
      </c>
      <c r="H58" t="s">
        <v>5093</v>
      </c>
      <c r="I58" t="s">
        <v>40</v>
      </c>
      <c r="J58" t="s">
        <v>39</v>
      </c>
      <c r="K58" s="20">
        <v>44142</v>
      </c>
      <c r="L58" t="s">
        <v>5131</v>
      </c>
      <c r="M58" t="s">
        <v>184</v>
      </c>
      <c r="N58" t="s">
        <v>154</v>
      </c>
    </row>
    <row r="59" spans="1:14" x14ac:dyDescent="0.25">
      <c r="A59" t="s">
        <v>1139</v>
      </c>
      <c r="B59" t="s">
        <v>5258</v>
      </c>
      <c r="C59" t="s">
        <v>5115</v>
      </c>
      <c r="D59" s="20">
        <v>36650</v>
      </c>
      <c r="E59">
        <v>9141818615</v>
      </c>
      <c r="F59" t="s">
        <v>5259</v>
      </c>
      <c r="G59" t="s">
        <v>5107</v>
      </c>
      <c r="H59" t="s">
        <v>5098</v>
      </c>
      <c r="I59" t="s">
        <v>42</v>
      </c>
      <c r="J59" t="s">
        <v>43</v>
      </c>
      <c r="K59" s="20">
        <v>45573</v>
      </c>
      <c r="L59" t="s">
        <v>5178</v>
      </c>
      <c r="M59" t="s">
        <v>154</v>
      </c>
      <c r="N59" t="s">
        <v>154</v>
      </c>
    </row>
    <row r="60" spans="1:14" x14ac:dyDescent="0.25">
      <c r="A60" t="s">
        <v>3710</v>
      </c>
      <c r="B60" t="s">
        <v>5260</v>
      </c>
      <c r="C60" t="s">
        <v>5115</v>
      </c>
      <c r="D60" s="20">
        <v>26140</v>
      </c>
      <c r="E60">
        <v>9611284971</v>
      </c>
      <c r="F60" t="s">
        <v>5261</v>
      </c>
      <c r="G60" t="s">
        <v>5092</v>
      </c>
      <c r="H60" t="s">
        <v>5093</v>
      </c>
      <c r="I60" t="s">
        <v>40</v>
      </c>
      <c r="J60" t="s">
        <v>43</v>
      </c>
      <c r="K60" s="20">
        <v>44645</v>
      </c>
      <c r="L60" t="s">
        <v>5178</v>
      </c>
      <c r="M60" t="s">
        <v>154</v>
      </c>
      <c r="N60" t="s">
        <v>154</v>
      </c>
    </row>
    <row r="61" spans="1:14" x14ac:dyDescent="0.25">
      <c r="A61" t="s">
        <v>785</v>
      </c>
      <c r="B61" t="s">
        <v>5262</v>
      </c>
      <c r="C61" t="s">
        <v>5115</v>
      </c>
      <c r="D61" s="20">
        <v>28183</v>
      </c>
      <c r="E61">
        <v>9625889679</v>
      </c>
      <c r="F61" t="s">
        <v>5263</v>
      </c>
      <c r="G61" t="s">
        <v>5111</v>
      </c>
      <c r="H61" t="s">
        <v>5112</v>
      </c>
      <c r="I61" t="s">
        <v>38</v>
      </c>
      <c r="J61" t="s">
        <v>44</v>
      </c>
      <c r="K61" s="20">
        <v>43800</v>
      </c>
      <c r="L61" t="s">
        <v>5168</v>
      </c>
      <c r="M61" t="s">
        <v>154</v>
      </c>
      <c r="N61" t="s">
        <v>154</v>
      </c>
    </row>
    <row r="62" spans="1:14" x14ac:dyDescent="0.25">
      <c r="A62" t="s">
        <v>2913</v>
      </c>
      <c r="B62" t="s">
        <v>5264</v>
      </c>
      <c r="C62" t="s">
        <v>5115</v>
      </c>
      <c r="D62" s="20">
        <v>34516</v>
      </c>
      <c r="E62">
        <v>9539672757</v>
      </c>
      <c r="F62" t="s">
        <v>5265</v>
      </c>
      <c r="G62" t="s">
        <v>5238</v>
      </c>
      <c r="H62" t="s">
        <v>5093</v>
      </c>
      <c r="I62" t="s">
        <v>40</v>
      </c>
      <c r="J62" t="s">
        <v>39</v>
      </c>
      <c r="K62" s="20">
        <v>44196</v>
      </c>
      <c r="L62" t="s">
        <v>5123</v>
      </c>
      <c r="M62" t="s">
        <v>154</v>
      </c>
      <c r="N62" t="s">
        <v>154</v>
      </c>
    </row>
    <row r="63" spans="1:14" x14ac:dyDescent="0.25">
      <c r="A63" t="s">
        <v>1855</v>
      </c>
      <c r="B63" t="s">
        <v>5266</v>
      </c>
      <c r="C63" t="s">
        <v>5115</v>
      </c>
      <c r="D63" s="20">
        <v>35514</v>
      </c>
      <c r="E63">
        <v>9651113129</v>
      </c>
      <c r="F63" t="s">
        <v>5267</v>
      </c>
      <c r="G63" t="s">
        <v>5092</v>
      </c>
      <c r="H63" t="s">
        <v>5093</v>
      </c>
      <c r="I63" t="s">
        <v>40</v>
      </c>
      <c r="J63" t="s">
        <v>41</v>
      </c>
      <c r="K63" s="20">
        <v>43457</v>
      </c>
      <c r="L63" t="s">
        <v>5113</v>
      </c>
      <c r="M63" t="s">
        <v>154</v>
      </c>
      <c r="N63" t="s">
        <v>154</v>
      </c>
    </row>
    <row r="64" spans="1:14" x14ac:dyDescent="0.25">
      <c r="A64" t="s">
        <v>1318</v>
      </c>
      <c r="B64" t="s">
        <v>5262</v>
      </c>
      <c r="C64" t="s">
        <v>5115</v>
      </c>
      <c r="D64" s="20">
        <v>38973</v>
      </c>
      <c r="E64">
        <v>9277881609</v>
      </c>
      <c r="F64" t="s">
        <v>5268</v>
      </c>
      <c r="G64" t="s">
        <v>5136</v>
      </c>
      <c r="H64" t="s">
        <v>5098</v>
      </c>
      <c r="I64" t="s">
        <v>42</v>
      </c>
      <c r="J64" t="s">
        <v>44</v>
      </c>
      <c r="K64" s="20">
        <v>44837</v>
      </c>
      <c r="L64" t="s">
        <v>5186</v>
      </c>
      <c r="M64" t="s">
        <v>154</v>
      </c>
      <c r="N64" t="s">
        <v>154</v>
      </c>
    </row>
    <row r="65" spans="1:14" x14ac:dyDescent="0.25">
      <c r="A65" t="s">
        <v>1786</v>
      </c>
      <c r="B65" t="s">
        <v>5269</v>
      </c>
      <c r="C65" t="s">
        <v>5090</v>
      </c>
      <c r="D65" s="20">
        <v>35254</v>
      </c>
      <c r="E65">
        <v>9097283215</v>
      </c>
      <c r="F65" t="s">
        <v>5270</v>
      </c>
      <c r="G65" t="s">
        <v>5271</v>
      </c>
      <c r="H65" t="s">
        <v>5112</v>
      </c>
      <c r="I65" t="s">
        <v>38</v>
      </c>
      <c r="J65" t="s">
        <v>39</v>
      </c>
      <c r="K65" s="20">
        <v>45264</v>
      </c>
      <c r="L65" t="s">
        <v>5099</v>
      </c>
      <c r="M65" t="s">
        <v>154</v>
      </c>
      <c r="N65" t="s">
        <v>154</v>
      </c>
    </row>
    <row r="66" spans="1:14" x14ac:dyDescent="0.25">
      <c r="A66" t="s">
        <v>3764</v>
      </c>
      <c r="B66" t="s">
        <v>5272</v>
      </c>
      <c r="C66" t="s">
        <v>5090</v>
      </c>
      <c r="D66" s="20">
        <v>31861</v>
      </c>
      <c r="E66">
        <v>9381447443</v>
      </c>
      <c r="F66" t="s">
        <v>5273</v>
      </c>
      <c r="G66" t="s">
        <v>5155</v>
      </c>
      <c r="H66" t="s">
        <v>5098</v>
      </c>
      <c r="I66" t="s">
        <v>42</v>
      </c>
      <c r="J66" t="s">
        <v>39</v>
      </c>
      <c r="K66" s="20">
        <v>43564</v>
      </c>
      <c r="L66" t="s">
        <v>5168</v>
      </c>
      <c r="M66" t="s">
        <v>154</v>
      </c>
      <c r="N66" t="s">
        <v>154</v>
      </c>
    </row>
    <row r="67" spans="1:14" x14ac:dyDescent="0.25">
      <c r="A67" t="s">
        <v>891</v>
      </c>
      <c r="B67" t="s">
        <v>5274</v>
      </c>
      <c r="C67" t="s">
        <v>5090</v>
      </c>
      <c r="D67" s="20">
        <v>38866</v>
      </c>
      <c r="E67">
        <v>9970509754</v>
      </c>
      <c r="F67" t="s">
        <v>5275</v>
      </c>
      <c r="G67" t="s">
        <v>5276</v>
      </c>
      <c r="H67" t="s">
        <v>5118</v>
      </c>
      <c r="I67" t="s">
        <v>40</v>
      </c>
      <c r="J67" t="s">
        <v>44</v>
      </c>
      <c r="K67" s="20">
        <v>43246</v>
      </c>
      <c r="L67" t="s">
        <v>5146</v>
      </c>
      <c r="M67" t="s">
        <v>154</v>
      </c>
      <c r="N67" t="s">
        <v>154</v>
      </c>
    </row>
    <row r="68" spans="1:14" x14ac:dyDescent="0.25">
      <c r="A68" t="s">
        <v>4405</v>
      </c>
      <c r="B68" t="s">
        <v>5277</v>
      </c>
      <c r="C68" t="s">
        <v>5115</v>
      </c>
      <c r="D68" s="20">
        <v>30330</v>
      </c>
      <c r="E68">
        <v>9188261702</v>
      </c>
      <c r="F68" t="s">
        <v>5278</v>
      </c>
      <c r="G68" t="s">
        <v>5201</v>
      </c>
      <c r="H68" t="s">
        <v>5118</v>
      </c>
      <c r="I68" t="s">
        <v>40</v>
      </c>
      <c r="J68" t="s">
        <v>43</v>
      </c>
      <c r="K68" s="20">
        <v>45116</v>
      </c>
      <c r="L68" t="s">
        <v>5208</v>
      </c>
      <c r="M68" t="s">
        <v>154</v>
      </c>
      <c r="N68" t="s">
        <v>154</v>
      </c>
    </row>
    <row r="69" spans="1:14" x14ac:dyDescent="0.25">
      <c r="A69" t="s">
        <v>3079</v>
      </c>
      <c r="B69" t="s">
        <v>5279</v>
      </c>
      <c r="C69" t="s">
        <v>5115</v>
      </c>
      <c r="D69" s="20">
        <v>28646</v>
      </c>
      <c r="E69">
        <v>9177225605</v>
      </c>
      <c r="F69" t="s">
        <v>5280</v>
      </c>
      <c r="G69" t="s">
        <v>5117</v>
      </c>
      <c r="H69" t="s">
        <v>5118</v>
      </c>
      <c r="I69" t="s">
        <v>40</v>
      </c>
      <c r="J69" t="s">
        <v>44</v>
      </c>
      <c r="K69" s="20">
        <v>45298</v>
      </c>
      <c r="L69" t="s">
        <v>5152</v>
      </c>
      <c r="M69" t="s">
        <v>154</v>
      </c>
      <c r="N69" t="s">
        <v>154</v>
      </c>
    </row>
    <row r="70" spans="1:14" x14ac:dyDescent="0.25">
      <c r="A70" t="s">
        <v>2228</v>
      </c>
      <c r="B70" t="s">
        <v>5281</v>
      </c>
      <c r="C70" t="s">
        <v>5115</v>
      </c>
      <c r="D70" s="20">
        <v>25933</v>
      </c>
      <c r="E70">
        <v>9374167872</v>
      </c>
      <c r="F70" t="s">
        <v>5282</v>
      </c>
      <c r="G70" t="s">
        <v>5107</v>
      </c>
      <c r="H70" t="s">
        <v>5098</v>
      </c>
      <c r="I70" t="s">
        <v>42</v>
      </c>
      <c r="J70" t="s">
        <v>44</v>
      </c>
      <c r="K70" s="20">
        <v>43230</v>
      </c>
      <c r="L70" t="s">
        <v>5165</v>
      </c>
      <c r="M70" t="s">
        <v>154</v>
      </c>
      <c r="N70" t="s">
        <v>154</v>
      </c>
    </row>
    <row r="71" spans="1:14" x14ac:dyDescent="0.25">
      <c r="A71" t="s">
        <v>930</v>
      </c>
      <c r="B71" t="s">
        <v>5283</v>
      </c>
      <c r="C71" t="s">
        <v>5090</v>
      </c>
      <c r="D71" s="20">
        <v>35637</v>
      </c>
      <c r="E71">
        <v>9225803056</v>
      </c>
      <c r="F71" t="s">
        <v>5284</v>
      </c>
      <c r="G71" t="s">
        <v>5155</v>
      </c>
      <c r="H71" t="s">
        <v>5098</v>
      </c>
      <c r="I71" t="s">
        <v>42</v>
      </c>
      <c r="J71" t="s">
        <v>43</v>
      </c>
      <c r="K71" s="20">
        <v>43542</v>
      </c>
      <c r="L71" t="s">
        <v>5119</v>
      </c>
      <c r="M71" t="s">
        <v>154</v>
      </c>
      <c r="N71" t="s">
        <v>154</v>
      </c>
    </row>
    <row r="72" spans="1:14" x14ac:dyDescent="0.25">
      <c r="A72" t="s">
        <v>5285</v>
      </c>
      <c r="B72" t="s">
        <v>5286</v>
      </c>
      <c r="C72" t="s">
        <v>5090</v>
      </c>
      <c r="D72" s="20">
        <v>28485</v>
      </c>
      <c r="E72">
        <v>9928234143</v>
      </c>
      <c r="F72" t="s">
        <v>5287</v>
      </c>
      <c r="G72" t="s">
        <v>5117</v>
      </c>
      <c r="H72" t="s">
        <v>5118</v>
      </c>
      <c r="I72" t="s">
        <v>40</v>
      </c>
      <c r="J72" t="s">
        <v>43</v>
      </c>
      <c r="K72" s="20">
        <v>44857</v>
      </c>
      <c r="L72" t="s">
        <v>5178</v>
      </c>
      <c r="M72" t="s">
        <v>154</v>
      </c>
      <c r="N72" t="s">
        <v>154</v>
      </c>
    </row>
    <row r="73" spans="1:14" x14ac:dyDescent="0.25">
      <c r="A73" t="s">
        <v>2667</v>
      </c>
      <c r="B73" t="s">
        <v>5288</v>
      </c>
      <c r="C73" t="s">
        <v>5115</v>
      </c>
      <c r="D73" s="20">
        <v>33755</v>
      </c>
      <c r="E73">
        <v>9312604326</v>
      </c>
      <c r="F73" t="s">
        <v>5289</v>
      </c>
      <c r="G73" t="s">
        <v>5185</v>
      </c>
      <c r="H73" t="s">
        <v>5093</v>
      </c>
      <c r="I73" t="s">
        <v>40</v>
      </c>
      <c r="J73" t="s">
        <v>44</v>
      </c>
      <c r="K73" s="20">
        <v>45522</v>
      </c>
      <c r="L73" t="s">
        <v>5182</v>
      </c>
      <c r="M73" t="s">
        <v>154</v>
      </c>
      <c r="N73" t="s">
        <v>154</v>
      </c>
    </row>
    <row r="74" spans="1:14" x14ac:dyDescent="0.25">
      <c r="A74" t="s">
        <v>2268</v>
      </c>
      <c r="B74" t="s">
        <v>5290</v>
      </c>
      <c r="C74" t="s">
        <v>5090</v>
      </c>
      <c r="D74" s="20">
        <v>29974</v>
      </c>
      <c r="E74">
        <v>9356708604</v>
      </c>
      <c r="F74" t="s">
        <v>5291</v>
      </c>
      <c r="G74" t="s">
        <v>5292</v>
      </c>
      <c r="H74" t="s">
        <v>5098</v>
      </c>
      <c r="I74" t="s">
        <v>42</v>
      </c>
      <c r="J74" t="s">
        <v>39</v>
      </c>
      <c r="K74" s="20">
        <v>45695</v>
      </c>
      <c r="L74" t="s">
        <v>5178</v>
      </c>
      <c r="M74" t="s">
        <v>154</v>
      </c>
      <c r="N74" t="s">
        <v>154</v>
      </c>
    </row>
    <row r="75" spans="1:14" x14ac:dyDescent="0.25">
      <c r="A75" t="s">
        <v>1086</v>
      </c>
      <c r="B75" t="s">
        <v>5293</v>
      </c>
      <c r="C75" t="s">
        <v>5115</v>
      </c>
      <c r="D75" s="20">
        <v>35401</v>
      </c>
      <c r="E75">
        <v>9000534749</v>
      </c>
      <c r="F75" t="s">
        <v>5294</v>
      </c>
      <c r="G75" t="s">
        <v>5155</v>
      </c>
      <c r="H75" t="s">
        <v>5098</v>
      </c>
      <c r="I75" t="s">
        <v>42</v>
      </c>
      <c r="J75" t="s">
        <v>39</v>
      </c>
      <c r="K75" s="20">
        <v>43295</v>
      </c>
      <c r="L75" t="s">
        <v>5165</v>
      </c>
      <c r="M75" t="s">
        <v>154</v>
      </c>
      <c r="N75" t="s">
        <v>154</v>
      </c>
    </row>
    <row r="76" spans="1:14" x14ac:dyDescent="0.25">
      <c r="A76" t="s">
        <v>2644</v>
      </c>
      <c r="B76" t="s">
        <v>5295</v>
      </c>
      <c r="C76" t="s">
        <v>5115</v>
      </c>
      <c r="D76" s="20">
        <v>29699</v>
      </c>
      <c r="E76">
        <v>9255598953</v>
      </c>
      <c r="F76" t="s">
        <v>5296</v>
      </c>
      <c r="G76" t="s">
        <v>5126</v>
      </c>
      <c r="H76" t="s">
        <v>5118</v>
      </c>
      <c r="I76" t="s">
        <v>40</v>
      </c>
      <c r="J76" t="s">
        <v>43</v>
      </c>
      <c r="K76" s="20">
        <v>43156</v>
      </c>
      <c r="L76" t="s">
        <v>5158</v>
      </c>
      <c r="M76" t="s">
        <v>154</v>
      </c>
      <c r="N76" t="s">
        <v>154</v>
      </c>
    </row>
    <row r="77" spans="1:14" x14ac:dyDescent="0.25">
      <c r="A77" t="s">
        <v>2870</v>
      </c>
      <c r="B77" t="s">
        <v>5297</v>
      </c>
      <c r="C77" t="s">
        <v>5115</v>
      </c>
      <c r="D77" s="20">
        <v>38278</v>
      </c>
      <c r="E77">
        <v>9093371189</v>
      </c>
      <c r="F77" t="s">
        <v>5298</v>
      </c>
      <c r="G77" t="s">
        <v>5142</v>
      </c>
      <c r="H77" t="s">
        <v>5103</v>
      </c>
      <c r="I77" t="s">
        <v>38</v>
      </c>
      <c r="J77" t="s">
        <v>41</v>
      </c>
      <c r="K77" s="20">
        <v>45566</v>
      </c>
      <c r="L77" t="s">
        <v>5211</v>
      </c>
      <c r="M77" t="s">
        <v>154</v>
      </c>
      <c r="N77" t="s">
        <v>154</v>
      </c>
    </row>
    <row r="78" spans="1:14" x14ac:dyDescent="0.25">
      <c r="A78" t="s">
        <v>1638</v>
      </c>
      <c r="B78" t="s">
        <v>5299</v>
      </c>
      <c r="C78" t="s">
        <v>5115</v>
      </c>
      <c r="D78" s="20">
        <v>32484</v>
      </c>
      <c r="E78">
        <v>9485571617</v>
      </c>
      <c r="F78" t="s">
        <v>5300</v>
      </c>
      <c r="G78" t="s">
        <v>5301</v>
      </c>
      <c r="H78" t="s">
        <v>5093</v>
      </c>
      <c r="I78" t="s">
        <v>40</v>
      </c>
      <c r="J78" t="s">
        <v>43</v>
      </c>
      <c r="K78" s="20">
        <v>44813</v>
      </c>
      <c r="L78" t="s">
        <v>5158</v>
      </c>
      <c r="M78" t="s">
        <v>154</v>
      </c>
      <c r="N78" t="s">
        <v>154</v>
      </c>
    </row>
    <row r="79" spans="1:14" x14ac:dyDescent="0.25">
      <c r="A79" t="s">
        <v>2401</v>
      </c>
      <c r="B79" t="s">
        <v>5302</v>
      </c>
      <c r="C79" t="s">
        <v>5090</v>
      </c>
      <c r="D79" s="20">
        <v>26478</v>
      </c>
      <c r="E79">
        <v>9090367881</v>
      </c>
      <c r="F79" t="s">
        <v>5303</v>
      </c>
      <c r="G79" t="s">
        <v>5304</v>
      </c>
      <c r="H79" t="s">
        <v>5112</v>
      </c>
      <c r="I79" t="s">
        <v>38</v>
      </c>
      <c r="J79" t="s">
        <v>44</v>
      </c>
      <c r="K79" s="20">
        <v>43629</v>
      </c>
      <c r="L79" t="s">
        <v>5113</v>
      </c>
      <c r="M79" t="s">
        <v>154</v>
      </c>
      <c r="N79" t="s">
        <v>154</v>
      </c>
    </row>
    <row r="80" spans="1:14" x14ac:dyDescent="0.25">
      <c r="A80" t="s">
        <v>1457</v>
      </c>
      <c r="B80" t="s">
        <v>5305</v>
      </c>
      <c r="C80" t="s">
        <v>5115</v>
      </c>
      <c r="D80" s="20">
        <v>32958</v>
      </c>
      <c r="E80">
        <v>9029390878</v>
      </c>
      <c r="F80" t="s">
        <v>5306</v>
      </c>
      <c r="G80" t="s">
        <v>5107</v>
      </c>
      <c r="H80" t="s">
        <v>5098</v>
      </c>
      <c r="I80" t="s">
        <v>42</v>
      </c>
      <c r="J80" t="s">
        <v>41</v>
      </c>
      <c r="K80" s="20">
        <v>43948</v>
      </c>
      <c r="L80" t="s">
        <v>5165</v>
      </c>
      <c r="M80" t="s">
        <v>154</v>
      </c>
      <c r="N80" t="s">
        <v>154</v>
      </c>
    </row>
    <row r="81" spans="1:14" x14ac:dyDescent="0.25">
      <c r="A81" t="s">
        <v>3973</v>
      </c>
      <c r="B81" t="s">
        <v>5307</v>
      </c>
      <c r="C81" t="s">
        <v>5115</v>
      </c>
      <c r="D81" s="20">
        <v>35347</v>
      </c>
      <c r="E81">
        <v>9834024240</v>
      </c>
      <c r="F81" t="s">
        <v>5308</v>
      </c>
      <c r="G81" t="s">
        <v>5276</v>
      </c>
      <c r="H81" t="s">
        <v>5118</v>
      </c>
      <c r="I81" t="s">
        <v>40</v>
      </c>
      <c r="J81" t="s">
        <v>43</v>
      </c>
      <c r="K81" s="20">
        <v>44018</v>
      </c>
      <c r="L81" t="s">
        <v>5123</v>
      </c>
      <c r="M81" t="s">
        <v>154</v>
      </c>
      <c r="N81" t="s">
        <v>154</v>
      </c>
    </row>
    <row r="82" spans="1:14" x14ac:dyDescent="0.25">
      <c r="A82" t="s">
        <v>4408</v>
      </c>
      <c r="B82" t="s">
        <v>5309</v>
      </c>
      <c r="C82" t="s">
        <v>5090</v>
      </c>
      <c r="D82" s="20">
        <v>25646</v>
      </c>
      <c r="E82">
        <v>9184269450</v>
      </c>
      <c r="F82" t="s">
        <v>5310</v>
      </c>
      <c r="G82" t="s">
        <v>5130</v>
      </c>
      <c r="H82" t="s">
        <v>5103</v>
      </c>
      <c r="I82" t="s">
        <v>38</v>
      </c>
      <c r="J82" t="s">
        <v>41</v>
      </c>
      <c r="K82" s="20">
        <v>44612</v>
      </c>
      <c r="L82" t="s">
        <v>5168</v>
      </c>
      <c r="M82" t="s">
        <v>154</v>
      </c>
      <c r="N82" t="s">
        <v>154</v>
      </c>
    </row>
    <row r="83" spans="1:14" x14ac:dyDescent="0.25">
      <c r="A83" t="s">
        <v>2605</v>
      </c>
      <c r="B83" t="s">
        <v>5311</v>
      </c>
      <c r="C83" t="s">
        <v>5090</v>
      </c>
      <c r="D83" s="20">
        <v>26638</v>
      </c>
      <c r="E83">
        <v>9649837354</v>
      </c>
      <c r="F83" t="s">
        <v>5312</v>
      </c>
      <c r="G83" t="s">
        <v>5201</v>
      </c>
      <c r="H83" t="s">
        <v>5118</v>
      </c>
      <c r="I83" t="s">
        <v>40</v>
      </c>
      <c r="J83" t="s">
        <v>39</v>
      </c>
      <c r="K83" s="20">
        <v>45490</v>
      </c>
      <c r="L83" t="s">
        <v>5211</v>
      </c>
      <c r="M83" t="s">
        <v>154</v>
      </c>
      <c r="N83" t="s">
        <v>154</v>
      </c>
    </row>
    <row r="84" spans="1:14" x14ac:dyDescent="0.25">
      <c r="A84" t="s">
        <v>1079</v>
      </c>
      <c r="B84" t="s">
        <v>5313</v>
      </c>
      <c r="C84" t="s">
        <v>5090</v>
      </c>
      <c r="D84" s="20">
        <v>31051</v>
      </c>
      <c r="E84">
        <v>9727223972</v>
      </c>
      <c r="F84" t="s">
        <v>5314</v>
      </c>
      <c r="G84" t="s">
        <v>5257</v>
      </c>
      <c r="H84" t="s">
        <v>5093</v>
      </c>
      <c r="I84" t="s">
        <v>40</v>
      </c>
      <c r="J84" t="s">
        <v>39</v>
      </c>
      <c r="K84" s="20">
        <v>45063</v>
      </c>
      <c r="L84" t="s">
        <v>5104</v>
      </c>
      <c r="M84" t="s">
        <v>154</v>
      </c>
      <c r="N84" t="s">
        <v>154</v>
      </c>
    </row>
    <row r="85" spans="1:14" x14ac:dyDescent="0.25">
      <c r="A85" t="s">
        <v>179</v>
      </c>
      <c r="B85" t="s">
        <v>5315</v>
      </c>
      <c r="C85" t="s">
        <v>5115</v>
      </c>
      <c r="D85" s="20">
        <v>37136</v>
      </c>
      <c r="E85">
        <v>9163761820</v>
      </c>
      <c r="F85" t="s">
        <v>5316</v>
      </c>
      <c r="G85" t="s">
        <v>5097</v>
      </c>
      <c r="H85" t="s">
        <v>5098</v>
      </c>
      <c r="I85" t="s">
        <v>42</v>
      </c>
      <c r="J85" t="s">
        <v>41</v>
      </c>
      <c r="K85" s="20">
        <v>43385</v>
      </c>
      <c r="L85" t="s">
        <v>5182</v>
      </c>
      <c r="M85" t="s">
        <v>154</v>
      </c>
      <c r="N85" t="s">
        <v>154</v>
      </c>
    </row>
    <row r="86" spans="1:14" x14ac:dyDescent="0.25">
      <c r="A86" t="s">
        <v>3143</v>
      </c>
      <c r="B86" t="s">
        <v>5317</v>
      </c>
      <c r="C86" t="s">
        <v>5115</v>
      </c>
      <c r="D86" s="20">
        <v>25545</v>
      </c>
      <c r="E86">
        <v>9290018513</v>
      </c>
      <c r="F86" t="s">
        <v>5318</v>
      </c>
      <c r="G86" t="s">
        <v>5214</v>
      </c>
      <c r="H86" t="s">
        <v>5103</v>
      </c>
      <c r="I86" t="s">
        <v>38</v>
      </c>
      <c r="J86" t="s">
        <v>43</v>
      </c>
      <c r="K86" s="20">
        <v>43443</v>
      </c>
      <c r="L86" t="s">
        <v>5152</v>
      </c>
      <c r="M86" t="s">
        <v>154</v>
      </c>
      <c r="N86" t="s">
        <v>154</v>
      </c>
    </row>
    <row r="87" spans="1:14" x14ac:dyDescent="0.25">
      <c r="A87" t="s">
        <v>2507</v>
      </c>
      <c r="B87" t="s">
        <v>5319</v>
      </c>
      <c r="C87" t="s">
        <v>5115</v>
      </c>
      <c r="D87" s="20">
        <v>28779</v>
      </c>
      <c r="E87">
        <v>9481001841</v>
      </c>
      <c r="F87" t="s">
        <v>5320</v>
      </c>
      <c r="G87" t="s">
        <v>5117</v>
      </c>
      <c r="H87" t="s">
        <v>5118</v>
      </c>
      <c r="I87" t="s">
        <v>40</v>
      </c>
      <c r="J87" t="s">
        <v>43</v>
      </c>
      <c r="K87" s="20">
        <v>43329</v>
      </c>
      <c r="L87" t="s">
        <v>5158</v>
      </c>
      <c r="M87" t="s">
        <v>154</v>
      </c>
      <c r="N87" t="s">
        <v>154</v>
      </c>
    </row>
    <row r="88" spans="1:14" x14ac:dyDescent="0.25">
      <c r="A88" t="s">
        <v>2231</v>
      </c>
      <c r="B88" t="s">
        <v>5321</v>
      </c>
      <c r="C88" t="s">
        <v>5090</v>
      </c>
      <c r="D88" s="20">
        <v>23762</v>
      </c>
      <c r="E88">
        <v>9543617213</v>
      </c>
      <c r="F88" t="s">
        <v>5322</v>
      </c>
      <c r="G88" t="s">
        <v>5301</v>
      </c>
      <c r="H88" t="s">
        <v>5093</v>
      </c>
      <c r="I88" t="s">
        <v>40</v>
      </c>
      <c r="J88" t="s">
        <v>43</v>
      </c>
      <c r="K88" s="20">
        <v>44679</v>
      </c>
      <c r="L88" t="s">
        <v>5182</v>
      </c>
      <c r="M88" t="s">
        <v>154</v>
      </c>
      <c r="N88" t="s">
        <v>154</v>
      </c>
    </row>
    <row r="89" spans="1:14" x14ac:dyDescent="0.25">
      <c r="A89" t="s">
        <v>2957</v>
      </c>
      <c r="B89" t="s">
        <v>5323</v>
      </c>
      <c r="C89" t="s">
        <v>5090</v>
      </c>
      <c r="D89" s="20">
        <v>24992</v>
      </c>
      <c r="E89">
        <v>9922685926</v>
      </c>
      <c r="F89" t="s">
        <v>5324</v>
      </c>
      <c r="G89" t="s">
        <v>5304</v>
      </c>
      <c r="H89" t="s">
        <v>5112</v>
      </c>
      <c r="I89" t="s">
        <v>38</v>
      </c>
      <c r="J89" t="s">
        <v>43</v>
      </c>
      <c r="K89" s="20">
        <v>43448</v>
      </c>
      <c r="L89" t="s">
        <v>5123</v>
      </c>
      <c r="M89" t="s">
        <v>154</v>
      </c>
      <c r="N89" t="s">
        <v>154</v>
      </c>
    </row>
    <row r="90" spans="1:14" x14ac:dyDescent="0.25">
      <c r="A90" t="s">
        <v>981</v>
      </c>
      <c r="B90" t="s">
        <v>5325</v>
      </c>
      <c r="C90" t="s">
        <v>5090</v>
      </c>
      <c r="D90" s="20">
        <v>37137</v>
      </c>
      <c r="E90">
        <v>9541022526</v>
      </c>
      <c r="F90" t="s">
        <v>5326</v>
      </c>
      <c r="G90" t="s">
        <v>5126</v>
      </c>
      <c r="H90" t="s">
        <v>5118</v>
      </c>
      <c r="I90" t="s">
        <v>40</v>
      </c>
      <c r="J90" t="s">
        <v>44</v>
      </c>
      <c r="K90" s="20">
        <v>44211</v>
      </c>
      <c r="L90" t="s">
        <v>5137</v>
      </c>
      <c r="M90" t="s">
        <v>154</v>
      </c>
      <c r="N90" t="s">
        <v>154</v>
      </c>
    </row>
    <row r="91" spans="1:14" x14ac:dyDescent="0.25">
      <c r="A91" t="s">
        <v>1844</v>
      </c>
      <c r="B91" t="s">
        <v>5327</v>
      </c>
      <c r="C91" t="s">
        <v>5090</v>
      </c>
      <c r="D91" s="20">
        <v>25597</v>
      </c>
      <c r="E91">
        <v>9152265576</v>
      </c>
      <c r="F91" t="s">
        <v>5328</v>
      </c>
      <c r="G91" t="s">
        <v>5181</v>
      </c>
      <c r="H91" t="s">
        <v>5112</v>
      </c>
      <c r="I91" t="s">
        <v>38</v>
      </c>
      <c r="J91" t="s">
        <v>44</v>
      </c>
      <c r="K91" s="20">
        <v>44241</v>
      </c>
      <c r="L91" t="s">
        <v>5182</v>
      </c>
      <c r="M91" t="s">
        <v>154</v>
      </c>
      <c r="N91" t="s">
        <v>154</v>
      </c>
    </row>
    <row r="92" spans="1:14" x14ac:dyDescent="0.25">
      <c r="A92" t="s">
        <v>2081</v>
      </c>
      <c r="B92" t="s">
        <v>5329</v>
      </c>
      <c r="C92" t="s">
        <v>5090</v>
      </c>
      <c r="D92" s="20">
        <v>36743</v>
      </c>
      <c r="E92">
        <v>9687887883</v>
      </c>
      <c r="F92" t="s">
        <v>5330</v>
      </c>
      <c r="G92" t="s">
        <v>5331</v>
      </c>
      <c r="H92" t="s">
        <v>5118</v>
      </c>
      <c r="I92" t="s">
        <v>40</v>
      </c>
      <c r="J92" t="s">
        <v>44</v>
      </c>
      <c r="K92" s="20">
        <v>44108</v>
      </c>
      <c r="L92" t="s">
        <v>5127</v>
      </c>
      <c r="M92" t="s">
        <v>154</v>
      </c>
      <c r="N92" t="s">
        <v>154</v>
      </c>
    </row>
    <row r="93" spans="1:14" x14ac:dyDescent="0.25">
      <c r="A93" t="s">
        <v>2389</v>
      </c>
      <c r="B93" t="s">
        <v>5332</v>
      </c>
      <c r="C93" t="s">
        <v>5115</v>
      </c>
      <c r="D93" s="20">
        <v>33210</v>
      </c>
      <c r="E93">
        <v>9058721055</v>
      </c>
      <c r="F93" t="s">
        <v>5333</v>
      </c>
      <c r="G93" t="s">
        <v>5122</v>
      </c>
      <c r="H93" t="s">
        <v>5093</v>
      </c>
      <c r="I93" t="s">
        <v>40</v>
      </c>
      <c r="J93" t="s">
        <v>43</v>
      </c>
      <c r="K93" s="20">
        <v>43112</v>
      </c>
      <c r="L93" t="s">
        <v>5208</v>
      </c>
      <c r="M93" t="s">
        <v>154</v>
      </c>
      <c r="N93" t="s">
        <v>154</v>
      </c>
    </row>
    <row r="94" spans="1:14" x14ac:dyDescent="0.25">
      <c r="A94" t="s">
        <v>2583</v>
      </c>
      <c r="B94" t="s">
        <v>5334</v>
      </c>
      <c r="C94" t="s">
        <v>5115</v>
      </c>
      <c r="D94" s="20">
        <v>39002</v>
      </c>
      <c r="E94">
        <v>9212606501</v>
      </c>
      <c r="F94" t="s">
        <v>5335</v>
      </c>
      <c r="G94" t="s">
        <v>5155</v>
      </c>
      <c r="H94" t="s">
        <v>5098</v>
      </c>
      <c r="I94" t="s">
        <v>42</v>
      </c>
      <c r="J94" t="s">
        <v>43</v>
      </c>
      <c r="K94" s="20">
        <v>44020</v>
      </c>
      <c r="L94" t="s">
        <v>5123</v>
      </c>
      <c r="M94" t="s">
        <v>154</v>
      </c>
      <c r="N94" t="s">
        <v>154</v>
      </c>
    </row>
    <row r="95" spans="1:14" x14ac:dyDescent="0.25">
      <c r="A95" t="s">
        <v>3663</v>
      </c>
      <c r="B95" t="s">
        <v>5336</v>
      </c>
      <c r="C95" t="s">
        <v>5115</v>
      </c>
      <c r="D95" s="20">
        <v>26149</v>
      </c>
      <c r="E95">
        <v>9962272847</v>
      </c>
      <c r="F95" t="s">
        <v>5337</v>
      </c>
      <c r="G95" t="s">
        <v>5331</v>
      </c>
      <c r="H95" t="s">
        <v>5118</v>
      </c>
      <c r="I95" t="s">
        <v>40</v>
      </c>
      <c r="J95" t="s">
        <v>43</v>
      </c>
      <c r="K95" s="20">
        <v>43416</v>
      </c>
      <c r="L95" t="s">
        <v>5119</v>
      </c>
      <c r="M95" t="s">
        <v>154</v>
      </c>
      <c r="N95" t="s">
        <v>154</v>
      </c>
    </row>
    <row r="96" spans="1:14" x14ac:dyDescent="0.25">
      <c r="A96" t="s">
        <v>5338</v>
      </c>
      <c r="B96" t="s">
        <v>5339</v>
      </c>
      <c r="C96" t="s">
        <v>5090</v>
      </c>
      <c r="D96" s="20">
        <v>28441</v>
      </c>
      <c r="E96">
        <v>9282066784</v>
      </c>
      <c r="F96" t="s">
        <v>5340</v>
      </c>
      <c r="G96" t="s">
        <v>5142</v>
      </c>
      <c r="H96" t="s">
        <v>5103</v>
      </c>
      <c r="I96" t="s">
        <v>38</v>
      </c>
      <c r="J96" t="s">
        <v>43</v>
      </c>
      <c r="K96" s="20">
        <v>43232</v>
      </c>
      <c r="L96" t="s">
        <v>5099</v>
      </c>
      <c r="M96" t="s">
        <v>154</v>
      </c>
      <c r="N96" t="s">
        <v>154</v>
      </c>
    </row>
    <row r="97" spans="1:14" x14ac:dyDescent="0.25">
      <c r="A97" t="s">
        <v>1301</v>
      </c>
      <c r="B97" t="s">
        <v>5341</v>
      </c>
      <c r="C97" t="s">
        <v>5090</v>
      </c>
      <c r="D97" s="20">
        <v>39003</v>
      </c>
      <c r="E97">
        <v>9236903628</v>
      </c>
      <c r="F97" t="s">
        <v>5342</v>
      </c>
      <c r="G97" t="s">
        <v>5092</v>
      </c>
      <c r="H97" t="s">
        <v>5093</v>
      </c>
      <c r="I97" t="s">
        <v>40</v>
      </c>
      <c r="J97" t="s">
        <v>44</v>
      </c>
      <c r="K97" s="20">
        <v>45237</v>
      </c>
      <c r="L97" t="s">
        <v>5127</v>
      </c>
      <c r="M97" t="s">
        <v>154</v>
      </c>
      <c r="N97" t="s">
        <v>154</v>
      </c>
    </row>
    <row r="98" spans="1:14" x14ac:dyDescent="0.25">
      <c r="A98" t="s">
        <v>963</v>
      </c>
      <c r="B98" t="s">
        <v>5343</v>
      </c>
      <c r="C98" t="s">
        <v>5090</v>
      </c>
      <c r="D98" s="20">
        <v>28874</v>
      </c>
      <c r="E98">
        <v>9341115950</v>
      </c>
      <c r="F98" t="s">
        <v>5344</v>
      </c>
      <c r="G98" t="s">
        <v>5107</v>
      </c>
      <c r="H98" t="s">
        <v>5098</v>
      </c>
      <c r="I98" t="s">
        <v>42</v>
      </c>
      <c r="J98" t="s">
        <v>43</v>
      </c>
      <c r="K98" s="20">
        <v>44622</v>
      </c>
      <c r="L98" t="s">
        <v>5131</v>
      </c>
      <c r="M98" t="s">
        <v>154</v>
      </c>
      <c r="N98" t="s">
        <v>154</v>
      </c>
    </row>
    <row r="99" spans="1:14" x14ac:dyDescent="0.25">
      <c r="A99" t="s">
        <v>2043</v>
      </c>
      <c r="B99" t="s">
        <v>5345</v>
      </c>
      <c r="C99" t="s">
        <v>5115</v>
      </c>
      <c r="D99" s="20">
        <v>24813</v>
      </c>
      <c r="E99">
        <v>9830341990</v>
      </c>
      <c r="F99" t="s">
        <v>5346</v>
      </c>
      <c r="G99" t="s">
        <v>5301</v>
      </c>
      <c r="H99" t="s">
        <v>5093</v>
      </c>
      <c r="I99" t="s">
        <v>40</v>
      </c>
      <c r="J99" t="s">
        <v>44</v>
      </c>
      <c r="K99" s="20">
        <v>44367</v>
      </c>
      <c r="L99" t="s">
        <v>5208</v>
      </c>
      <c r="M99" t="s">
        <v>154</v>
      </c>
      <c r="N99" t="s">
        <v>154</v>
      </c>
    </row>
    <row r="100" spans="1:14" x14ac:dyDescent="0.25">
      <c r="A100" t="s">
        <v>2409</v>
      </c>
      <c r="B100" t="s">
        <v>5347</v>
      </c>
      <c r="C100" t="s">
        <v>5090</v>
      </c>
      <c r="D100" s="20">
        <v>24530</v>
      </c>
      <c r="E100">
        <v>9468356521</v>
      </c>
      <c r="F100" t="s">
        <v>5348</v>
      </c>
      <c r="G100" t="s">
        <v>5201</v>
      </c>
      <c r="H100" t="s">
        <v>5118</v>
      </c>
      <c r="I100" t="s">
        <v>40</v>
      </c>
      <c r="J100" t="s">
        <v>44</v>
      </c>
      <c r="K100" s="20">
        <v>43135</v>
      </c>
      <c r="L100" t="s">
        <v>5094</v>
      </c>
      <c r="M100" t="s">
        <v>154</v>
      </c>
      <c r="N100" t="s">
        <v>154</v>
      </c>
    </row>
    <row r="101" spans="1:14" x14ac:dyDescent="0.25">
      <c r="A101" t="s">
        <v>1393</v>
      </c>
      <c r="B101" t="s">
        <v>5349</v>
      </c>
      <c r="C101" t="s">
        <v>5115</v>
      </c>
      <c r="D101" s="20">
        <v>31970</v>
      </c>
      <c r="E101">
        <v>9904227113</v>
      </c>
      <c r="F101" t="s">
        <v>5350</v>
      </c>
      <c r="G101" t="s">
        <v>5301</v>
      </c>
      <c r="H101" t="s">
        <v>5093</v>
      </c>
      <c r="I101" t="s">
        <v>40</v>
      </c>
      <c r="J101" t="s">
        <v>41</v>
      </c>
      <c r="K101" s="20">
        <v>44666</v>
      </c>
      <c r="L101" t="s">
        <v>5137</v>
      </c>
      <c r="M101" t="s">
        <v>154</v>
      </c>
      <c r="N101" t="s">
        <v>154</v>
      </c>
    </row>
    <row r="102" spans="1:14" x14ac:dyDescent="0.25">
      <c r="A102" t="s">
        <v>5351</v>
      </c>
      <c r="B102" t="s">
        <v>5352</v>
      </c>
      <c r="C102" t="s">
        <v>5090</v>
      </c>
      <c r="D102" s="20">
        <v>31961</v>
      </c>
      <c r="E102">
        <v>9725459606</v>
      </c>
      <c r="F102" t="s">
        <v>5353</v>
      </c>
      <c r="G102" t="s">
        <v>5271</v>
      </c>
      <c r="H102" t="s">
        <v>5112</v>
      </c>
      <c r="I102" t="s">
        <v>38</v>
      </c>
      <c r="J102" t="s">
        <v>41</v>
      </c>
      <c r="K102" s="20">
        <v>45244</v>
      </c>
      <c r="L102" t="s">
        <v>5168</v>
      </c>
      <c r="M102" t="s">
        <v>154</v>
      </c>
      <c r="N102" t="s">
        <v>154</v>
      </c>
    </row>
    <row r="103" spans="1:14" x14ac:dyDescent="0.25">
      <c r="A103" t="s">
        <v>1673</v>
      </c>
      <c r="B103" t="s">
        <v>5354</v>
      </c>
      <c r="C103" t="s">
        <v>5115</v>
      </c>
      <c r="D103" s="20">
        <v>33031</v>
      </c>
      <c r="E103">
        <v>9817175242</v>
      </c>
      <c r="F103" t="s">
        <v>5355</v>
      </c>
      <c r="G103" t="s">
        <v>5136</v>
      </c>
      <c r="H103" t="s">
        <v>5098</v>
      </c>
      <c r="I103" t="s">
        <v>42</v>
      </c>
      <c r="J103" t="s">
        <v>44</v>
      </c>
      <c r="K103" s="20">
        <v>43685</v>
      </c>
      <c r="L103" t="s">
        <v>5113</v>
      </c>
      <c r="M103" t="s">
        <v>154</v>
      </c>
      <c r="N103" t="s">
        <v>154</v>
      </c>
    </row>
    <row r="104" spans="1:14" x14ac:dyDescent="0.25">
      <c r="A104" t="s">
        <v>766</v>
      </c>
      <c r="B104" t="s">
        <v>5356</v>
      </c>
      <c r="C104" t="s">
        <v>5115</v>
      </c>
      <c r="D104" s="20">
        <v>25204</v>
      </c>
      <c r="E104">
        <v>9747219705</v>
      </c>
      <c r="F104" t="s">
        <v>5357</v>
      </c>
      <c r="G104" t="s">
        <v>5142</v>
      </c>
      <c r="H104" t="s">
        <v>5103</v>
      </c>
      <c r="I104" t="s">
        <v>38</v>
      </c>
      <c r="J104" t="s">
        <v>44</v>
      </c>
      <c r="K104" s="20">
        <v>44988</v>
      </c>
      <c r="L104" t="s">
        <v>5152</v>
      </c>
      <c r="M104" t="s">
        <v>154</v>
      </c>
      <c r="N104" t="s">
        <v>154</v>
      </c>
    </row>
    <row r="105" spans="1:14" x14ac:dyDescent="0.25">
      <c r="A105" t="s">
        <v>3315</v>
      </c>
      <c r="B105" t="s">
        <v>5358</v>
      </c>
      <c r="C105" t="s">
        <v>5115</v>
      </c>
      <c r="D105" s="20">
        <v>29751</v>
      </c>
      <c r="E105">
        <v>9168740903</v>
      </c>
      <c r="F105" t="s">
        <v>5359</v>
      </c>
      <c r="G105" t="s">
        <v>5177</v>
      </c>
      <c r="H105" t="s">
        <v>5112</v>
      </c>
      <c r="I105" t="s">
        <v>38</v>
      </c>
      <c r="J105" t="s">
        <v>41</v>
      </c>
      <c r="K105" s="20">
        <v>44385</v>
      </c>
      <c r="L105" t="s">
        <v>5094</v>
      </c>
      <c r="M105" t="s">
        <v>154</v>
      </c>
      <c r="N105" t="s">
        <v>154</v>
      </c>
    </row>
    <row r="106" spans="1:14" x14ac:dyDescent="0.25">
      <c r="A106" t="s">
        <v>2910</v>
      </c>
      <c r="B106" t="s">
        <v>5360</v>
      </c>
      <c r="C106" t="s">
        <v>5115</v>
      </c>
      <c r="D106" s="20">
        <v>29900</v>
      </c>
      <c r="E106">
        <v>9715778711</v>
      </c>
      <c r="F106" t="s">
        <v>5361</v>
      </c>
      <c r="G106" t="s">
        <v>5257</v>
      </c>
      <c r="H106" t="s">
        <v>5093</v>
      </c>
      <c r="I106" t="s">
        <v>40</v>
      </c>
      <c r="J106" t="s">
        <v>44</v>
      </c>
      <c r="K106" s="20">
        <v>44014</v>
      </c>
      <c r="L106" t="s">
        <v>5127</v>
      </c>
      <c r="M106" t="s">
        <v>154</v>
      </c>
      <c r="N106" t="s">
        <v>154</v>
      </c>
    </row>
    <row r="107" spans="1:14" x14ac:dyDescent="0.25">
      <c r="A107" t="s">
        <v>1196</v>
      </c>
      <c r="B107" t="s">
        <v>5362</v>
      </c>
      <c r="C107" t="s">
        <v>5090</v>
      </c>
      <c r="D107" s="20">
        <v>27011</v>
      </c>
      <c r="E107">
        <v>9737147082</v>
      </c>
      <c r="F107" t="s">
        <v>5363</v>
      </c>
      <c r="G107" t="s">
        <v>5145</v>
      </c>
      <c r="H107" t="s">
        <v>5098</v>
      </c>
      <c r="I107" t="s">
        <v>42</v>
      </c>
      <c r="J107" t="s">
        <v>43</v>
      </c>
      <c r="K107" s="20">
        <v>44503</v>
      </c>
      <c r="L107" t="s">
        <v>5099</v>
      </c>
      <c r="M107" t="s">
        <v>154</v>
      </c>
      <c r="N107" t="s">
        <v>154</v>
      </c>
    </row>
    <row r="108" spans="1:14" x14ac:dyDescent="0.25">
      <c r="A108" t="s">
        <v>1097</v>
      </c>
      <c r="B108" t="s">
        <v>5364</v>
      </c>
      <c r="C108" t="s">
        <v>5115</v>
      </c>
      <c r="D108" s="20">
        <v>33052</v>
      </c>
      <c r="E108">
        <v>9673030644</v>
      </c>
      <c r="F108" t="s">
        <v>5365</v>
      </c>
      <c r="G108" t="s">
        <v>5366</v>
      </c>
      <c r="H108" t="s">
        <v>5103</v>
      </c>
      <c r="I108" t="s">
        <v>38</v>
      </c>
      <c r="J108" t="s">
        <v>44</v>
      </c>
      <c r="K108" s="20">
        <v>43356</v>
      </c>
      <c r="L108" t="s">
        <v>5094</v>
      </c>
      <c r="M108" t="s">
        <v>154</v>
      </c>
      <c r="N108" t="s">
        <v>154</v>
      </c>
    </row>
    <row r="109" spans="1:14" x14ac:dyDescent="0.25">
      <c r="A109" t="s">
        <v>1694</v>
      </c>
      <c r="B109" t="s">
        <v>5367</v>
      </c>
      <c r="C109" t="s">
        <v>5115</v>
      </c>
      <c r="D109" s="20">
        <v>30379</v>
      </c>
      <c r="E109">
        <v>9834201654</v>
      </c>
      <c r="F109" t="s">
        <v>5368</v>
      </c>
      <c r="G109" t="s">
        <v>5369</v>
      </c>
      <c r="H109" t="s">
        <v>5103</v>
      </c>
      <c r="I109" t="s">
        <v>38</v>
      </c>
      <c r="J109" t="s">
        <v>44</v>
      </c>
      <c r="K109" s="20">
        <v>44950</v>
      </c>
      <c r="L109" t="s">
        <v>5131</v>
      </c>
      <c r="M109" t="s">
        <v>154</v>
      </c>
      <c r="N109" t="s">
        <v>154</v>
      </c>
    </row>
    <row r="110" spans="1:14" x14ac:dyDescent="0.25">
      <c r="A110" t="s">
        <v>2550</v>
      </c>
      <c r="B110" t="s">
        <v>5370</v>
      </c>
      <c r="C110" t="s">
        <v>5115</v>
      </c>
      <c r="D110" s="20">
        <v>31533</v>
      </c>
      <c r="E110">
        <v>9960893199</v>
      </c>
      <c r="F110" t="s">
        <v>5371</v>
      </c>
      <c r="G110" t="s">
        <v>5271</v>
      </c>
      <c r="H110" t="s">
        <v>5112</v>
      </c>
      <c r="I110" t="s">
        <v>38</v>
      </c>
      <c r="J110" t="s">
        <v>44</v>
      </c>
      <c r="K110" s="20">
        <v>44890</v>
      </c>
      <c r="L110" t="s">
        <v>5094</v>
      </c>
      <c r="M110" t="s">
        <v>154</v>
      </c>
      <c r="N110" t="s">
        <v>154</v>
      </c>
    </row>
    <row r="111" spans="1:14" x14ac:dyDescent="0.25">
      <c r="A111" t="s">
        <v>2595</v>
      </c>
      <c r="B111" t="s">
        <v>5372</v>
      </c>
      <c r="C111" t="s">
        <v>5115</v>
      </c>
      <c r="D111" s="20">
        <v>26208</v>
      </c>
      <c r="E111">
        <v>9648072791</v>
      </c>
      <c r="F111" t="s">
        <v>5373</v>
      </c>
      <c r="G111" t="s">
        <v>5155</v>
      </c>
      <c r="H111" t="s">
        <v>5098</v>
      </c>
      <c r="I111" t="s">
        <v>42</v>
      </c>
      <c r="J111" t="s">
        <v>39</v>
      </c>
      <c r="K111" s="20">
        <v>44397</v>
      </c>
      <c r="L111" t="s">
        <v>5211</v>
      </c>
      <c r="M111" t="s">
        <v>154</v>
      </c>
      <c r="N111" t="s">
        <v>154</v>
      </c>
    </row>
    <row r="112" spans="1:14" x14ac:dyDescent="0.25">
      <c r="A112" t="s">
        <v>2133</v>
      </c>
      <c r="B112" t="s">
        <v>5374</v>
      </c>
      <c r="C112" t="s">
        <v>5115</v>
      </c>
      <c r="D112" s="20">
        <v>35153</v>
      </c>
      <c r="E112">
        <v>9533905504</v>
      </c>
      <c r="F112" t="s">
        <v>5375</v>
      </c>
      <c r="G112" t="s">
        <v>5177</v>
      </c>
      <c r="H112" t="s">
        <v>5112</v>
      </c>
      <c r="I112" t="s">
        <v>38</v>
      </c>
      <c r="J112" t="s">
        <v>43</v>
      </c>
      <c r="K112" s="20">
        <v>44647</v>
      </c>
      <c r="L112" t="s">
        <v>5208</v>
      </c>
      <c r="M112" t="s">
        <v>154</v>
      </c>
      <c r="N112" t="s">
        <v>154</v>
      </c>
    </row>
    <row r="113" spans="1:14" x14ac:dyDescent="0.25">
      <c r="A113" t="s">
        <v>3277</v>
      </c>
      <c r="B113" t="s">
        <v>5376</v>
      </c>
      <c r="C113" t="s">
        <v>5090</v>
      </c>
      <c r="D113" s="20">
        <v>34374</v>
      </c>
      <c r="E113">
        <v>9685127652</v>
      </c>
      <c r="F113" t="s">
        <v>5377</v>
      </c>
      <c r="G113" t="s">
        <v>5107</v>
      </c>
      <c r="H113" t="s">
        <v>5098</v>
      </c>
      <c r="I113" t="s">
        <v>42</v>
      </c>
      <c r="J113" t="s">
        <v>39</v>
      </c>
      <c r="K113" s="20">
        <v>44543</v>
      </c>
      <c r="L113" t="s">
        <v>5158</v>
      </c>
      <c r="M113" t="s">
        <v>154</v>
      </c>
      <c r="N113" t="s">
        <v>154</v>
      </c>
    </row>
    <row r="114" spans="1:14" x14ac:dyDescent="0.25">
      <c r="A114" t="s">
        <v>2497</v>
      </c>
      <c r="B114" t="s">
        <v>5378</v>
      </c>
      <c r="C114" t="s">
        <v>5090</v>
      </c>
      <c r="D114" s="20">
        <v>29994</v>
      </c>
      <c r="E114">
        <v>9111096179</v>
      </c>
      <c r="F114" t="s">
        <v>5379</v>
      </c>
      <c r="G114" t="s">
        <v>5117</v>
      </c>
      <c r="H114" t="s">
        <v>5118</v>
      </c>
      <c r="I114" t="s">
        <v>40</v>
      </c>
      <c r="J114" t="s">
        <v>41</v>
      </c>
      <c r="K114" s="20">
        <v>45642</v>
      </c>
      <c r="L114" t="s">
        <v>5211</v>
      </c>
      <c r="M114" t="s">
        <v>154</v>
      </c>
      <c r="N114" t="s">
        <v>154</v>
      </c>
    </row>
    <row r="115" spans="1:14" x14ac:dyDescent="0.25">
      <c r="A115" t="s">
        <v>791</v>
      </c>
      <c r="B115" t="s">
        <v>5380</v>
      </c>
      <c r="C115" t="s">
        <v>5115</v>
      </c>
      <c r="D115" s="20">
        <v>33265</v>
      </c>
      <c r="E115">
        <v>9786137157</v>
      </c>
      <c r="F115" t="s">
        <v>5381</v>
      </c>
      <c r="G115" t="s">
        <v>5369</v>
      </c>
      <c r="H115" t="s">
        <v>5103</v>
      </c>
      <c r="I115" t="s">
        <v>38</v>
      </c>
      <c r="J115" t="s">
        <v>44</v>
      </c>
      <c r="K115" s="20">
        <v>43968</v>
      </c>
      <c r="L115" t="s">
        <v>5178</v>
      </c>
      <c r="M115" t="s">
        <v>154</v>
      </c>
      <c r="N115" t="s">
        <v>154</v>
      </c>
    </row>
    <row r="116" spans="1:14" x14ac:dyDescent="0.25">
      <c r="A116" t="s">
        <v>1851</v>
      </c>
      <c r="B116" t="s">
        <v>5382</v>
      </c>
      <c r="C116" t="s">
        <v>5090</v>
      </c>
      <c r="D116" s="20">
        <v>29881</v>
      </c>
      <c r="E116">
        <v>9630600025</v>
      </c>
      <c r="F116" t="s">
        <v>5383</v>
      </c>
      <c r="G116" t="s">
        <v>5384</v>
      </c>
      <c r="H116" t="s">
        <v>5093</v>
      </c>
      <c r="I116" t="s">
        <v>40</v>
      </c>
      <c r="J116" t="s">
        <v>43</v>
      </c>
      <c r="K116" s="20">
        <v>44184</v>
      </c>
      <c r="L116" t="s">
        <v>5113</v>
      </c>
      <c r="M116" t="s">
        <v>154</v>
      </c>
      <c r="N116" t="s">
        <v>154</v>
      </c>
    </row>
    <row r="117" spans="1:14" x14ac:dyDescent="0.25">
      <c r="A117" t="s">
        <v>2791</v>
      </c>
      <c r="B117" t="s">
        <v>5385</v>
      </c>
      <c r="C117" t="s">
        <v>5090</v>
      </c>
      <c r="D117" s="20">
        <v>26535</v>
      </c>
      <c r="E117">
        <v>9960962626</v>
      </c>
      <c r="F117" t="s">
        <v>5386</v>
      </c>
      <c r="G117" t="s">
        <v>5181</v>
      </c>
      <c r="H117" t="s">
        <v>5112</v>
      </c>
      <c r="I117" t="s">
        <v>38</v>
      </c>
      <c r="J117" t="s">
        <v>43</v>
      </c>
      <c r="K117" s="20">
        <v>44704</v>
      </c>
      <c r="L117" t="s">
        <v>5208</v>
      </c>
      <c r="M117" t="s">
        <v>154</v>
      </c>
      <c r="N117" t="s">
        <v>154</v>
      </c>
    </row>
    <row r="118" spans="1:14" x14ac:dyDescent="0.25">
      <c r="A118" t="s">
        <v>1119</v>
      </c>
      <c r="B118" t="s">
        <v>5387</v>
      </c>
      <c r="C118" t="s">
        <v>5090</v>
      </c>
      <c r="D118" s="20">
        <v>25374</v>
      </c>
      <c r="E118">
        <v>9482531106</v>
      </c>
      <c r="F118" t="s">
        <v>5388</v>
      </c>
      <c r="G118" t="s">
        <v>5384</v>
      </c>
      <c r="H118" t="s">
        <v>5093</v>
      </c>
      <c r="I118" t="s">
        <v>40</v>
      </c>
      <c r="J118" t="s">
        <v>43</v>
      </c>
      <c r="K118" s="20">
        <v>45464</v>
      </c>
      <c r="L118" t="s">
        <v>5127</v>
      </c>
      <c r="M118" t="s">
        <v>154</v>
      </c>
      <c r="N118" t="s">
        <v>154</v>
      </c>
    </row>
    <row r="119" spans="1:14" x14ac:dyDescent="0.25">
      <c r="A119" t="s">
        <v>1136</v>
      </c>
      <c r="B119" t="s">
        <v>5389</v>
      </c>
      <c r="C119" t="s">
        <v>5090</v>
      </c>
      <c r="D119" s="20">
        <v>33869</v>
      </c>
      <c r="E119">
        <v>9752334383</v>
      </c>
      <c r="F119" t="s">
        <v>5390</v>
      </c>
      <c r="G119" t="s">
        <v>5111</v>
      </c>
      <c r="H119" t="s">
        <v>5112</v>
      </c>
      <c r="I119" t="s">
        <v>38</v>
      </c>
      <c r="J119" t="s">
        <v>41</v>
      </c>
      <c r="K119" s="20">
        <v>43204</v>
      </c>
      <c r="L119" t="s">
        <v>5182</v>
      </c>
      <c r="M119" t="s">
        <v>154</v>
      </c>
      <c r="N119" t="s">
        <v>154</v>
      </c>
    </row>
    <row r="120" spans="1:14" x14ac:dyDescent="0.25">
      <c r="A120" t="s">
        <v>3448</v>
      </c>
      <c r="B120" t="s">
        <v>5391</v>
      </c>
      <c r="C120" t="s">
        <v>5090</v>
      </c>
      <c r="D120" s="20">
        <v>25102</v>
      </c>
      <c r="E120">
        <v>9179112442</v>
      </c>
      <c r="F120" t="s">
        <v>5392</v>
      </c>
      <c r="G120" t="s">
        <v>5301</v>
      </c>
      <c r="H120" t="s">
        <v>5093</v>
      </c>
      <c r="I120" t="s">
        <v>40</v>
      </c>
      <c r="J120" t="s">
        <v>41</v>
      </c>
      <c r="K120" s="20">
        <v>45474</v>
      </c>
      <c r="L120" t="s">
        <v>5211</v>
      </c>
      <c r="M120" t="s">
        <v>154</v>
      </c>
      <c r="N120" t="s">
        <v>154</v>
      </c>
    </row>
    <row r="121" spans="1:14" x14ac:dyDescent="0.25">
      <c r="A121" t="s">
        <v>2491</v>
      </c>
      <c r="B121" t="s">
        <v>5393</v>
      </c>
      <c r="C121" t="s">
        <v>5115</v>
      </c>
      <c r="D121" s="20">
        <v>30145</v>
      </c>
      <c r="E121">
        <v>9713665722</v>
      </c>
      <c r="F121" t="s">
        <v>5394</v>
      </c>
      <c r="G121" t="s">
        <v>5102</v>
      </c>
      <c r="H121" t="s">
        <v>5103</v>
      </c>
      <c r="I121" t="s">
        <v>38</v>
      </c>
      <c r="J121" t="s">
        <v>44</v>
      </c>
      <c r="K121" s="20">
        <v>44795</v>
      </c>
      <c r="L121" t="s">
        <v>5104</v>
      </c>
      <c r="M121" t="s">
        <v>154</v>
      </c>
      <c r="N121" t="s">
        <v>154</v>
      </c>
    </row>
    <row r="122" spans="1:14" x14ac:dyDescent="0.25">
      <c r="A122" t="s">
        <v>192</v>
      </c>
      <c r="B122" t="s">
        <v>5395</v>
      </c>
      <c r="C122" t="s">
        <v>5115</v>
      </c>
      <c r="D122" s="20">
        <v>34084</v>
      </c>
      <c r="E122">
        <v>9799802841</v>
      </c>
      <c r="F122" t="s">
        <v>5396</v>
      </c>
      <c r="G122" t="s">
        <v>5177</v>
      </c>
      <c r="H122" t="s">
        <v>5112</v>
      </c>
      <c r="I122" t="s">
        <v>38</v>
      </c>
      <c r="J122" t="s">
        <v>43</v>
      </c>
      <c r="K122" s="20">
        <v>44505</v>
      </c>
      <c r="L122" t="s">
        <v>5094</v>
      </c>
      <c r="M122" t="s">
        <v>154</v>
      </c>
      <c r="N122" t="s">
        <v>154</v>
      </c>
    </row>
    <row r="123" spans="1:14" x14ac:dyDescent="0.25">
      <c r="A123" t="s">
        <v>4047</v>
      </c>
      <c r="B123" t="s">
        <v>5397</v>
      </c>
      <c r="C123" t="s">
        <v>5090</v>
      </c>
      <c r="D123" s="20">
        <v>32229</v>
      </c>
      <c r="E123">
        <v>9305231244</v>
      </c>
      <c r="F123" t="s">
        <v>5398</v>
      </c>
      <c r="G123" t="s">
        <v>5177</v>
      </c>
      <c r="H123" t="s">
        <v>5112</v>
      </c>
      <c r="I123" t="s">
        <v>38</v>
      </c>
      <c r="J123" t="s">
        <v>43</v>
      </c>
      <c r="K123" s="20">
        <v>44595</v>
      </c>
      <c r="L123" t="s">
        <v>5211</v>
      </c>
      <c r="M123" t="s">
        <v>154</v>
      </c>
      <c r="N123" t="s">
        <v>154</v>
      </c>
    </row>
    <row r="124" spans="1:14" x14ac:dyDescent="0.25">
      <c r="A124" t="s">
        <v>4749</v>
      </c>
      <c r="B124" t="s">
        <v>5399</v>
      </c>
      <c r="C124" t="s">
        <v>5115</v>
      </c>
      <c r="D124" s="20">
        <v>35344</v>
      </c>
      <c r="E124">
        <v>9863423461</v>
      </c>
      <c r="F124" t="s">
        <v>5400</v>
      </c>
      <c r="G124" t="s">
        <v>5271</v>
      </c>
      <c r="H124" t="s">
        <v>5112</v>
      </c>
      <c r="I124" t="s">
        <v>38</v>
      </c>
      <c r="J124" t="s">
        <v>43</v>
      </c>
      <c r="K124" s="20">
        <v>45131</v>
      </c>
      <c r="L124" t="s">
        <v>5131</v>
      </c>
      <c r="M124" t="s">
        <v>154</v>
      </c>
      <c r="N124" t="s">
        <v>154</v>
      </c>
    </row>
    <row r="125" spans="1:14" x14ac:dyDescent="0.25">
      <c r="A125" t="s">
        <v>2034</v>
      </c>
      <c r="B125" t="s">
        <v>5401</v>
      </c>
      <c r="C125" t="s">
        <v>5090</v>
      </c>
      <c r="D125" s="20">
        <v>36753</v>
      </c>
      <c r="E125">
        <v>9945919663</v>
      </c>
      <c r="F125" t="s">
        <v>5402</v>
      </c>
      <c r="G125" t="s">
        <v>5196</v>
      </c>
      <c r="H125" t="s">
        <v>5093</v>
      </c>
      <c r="I125" t="s">
        <v>40</v>
      </c>
      <c r="J125" t="s">
        <v>39</v>
      </c>
      <c r="K125" s="20">
        <v>44928</v>
      </c>
      <c r="L125" t="s">
        <v>5131</v>
      </c>
      <c r="M125" t="s">
        <v>154</v>
      </c>
      <c r="N125" t="s">
        <v>154</v>
      </c>
    </row>
    <row r="126" spans="1:14" x14ac:dyDescent="0.25">
      <c r="A126" t="s">
        <v>2945</v>
      </c>
      <c r="B126" t="s">
        <v>5403</v>
      </c>
      <c r="C126" t="s">
        <v>5115</v>
      </c>
      <c r="D126" s="20">
        <v>26483</v>
      </c>
      <c r="E126">
        <v>9985601256</v>
      </c>
      <c r="F126" t="s">
        <v>5404</v>
      </c>
      <c r="G126" t="s">
        <v>5231</v>
      </c>
      <c r="H126" t="s">
        <v>5103</v>
      </c>
      <c r="I126" t="s">
        <v>38</v>
      </c>
      <c r="J126" t="s">
        <v>43</v>
      </c>
      <c r="K126" s="20">
        <v>44779</v>
      </c>
      <c r="L126" t="s">
        <v>5113</v>
      </c>
      <c r="M126" t="s">
        <v>154</v>
      </c>
      <c r="N126" t="s">
        <v>154</v>
      </c>
    </row>
    <row r="127" spans="1:14" x14ac:dyDescent="0.25">
      <c r="A127" t="s">
        <v>739</v>
      </c>
      <c r="B127" t="s">
        <v>5405</v>
      </c>
      <c r="C127" t="s">
        <v>5115</v>
      </c>
      <c r="D127" s="20">
        <v>34506</v>
      </c>
      <c r="E127">
        <v>9050537953</v>
      </c>
      <c r="F127" t="s">
        <v>5406</v>
      </c>
      <c r="G127" t="s">
        <v>5126</v>
      </c>
      <c r="H127" t="s">
        <v>5118</v>
      </c>
      <c r="I127" t="s">
        <v>40</v>
      </c>
      <c r="J127" t="s">
        <v>43</v>
      </c>
      <c r="K127" s="20">
        <v>44388</v>
      </c>
      <c r="L127" t="s">
        <v>5211</v>
      </c>
      <c r="M127" t="s">
        <v>154</v>
      </c>
      <c r="N127" t="s">
        <v>154</v>
      </c>
    </row>
    <row r="128" spans="1:14" x14ac:dyDescent="0.25">
      <c r="A128" t="s">
        <v>653</v>
      </c>
      <c r="B128" t="s">
        <v>5407</v>
      </c>
      <c r="C128" t="s">
        <v>5115</v>
      </c>
      <c r="D128" s="20">
        <v>27219</v>
      </c>
      <c r="E128">
        <v>9196655330</v>
      </c>
      <c r="F128" t="s">
        <v>5408</v>
      </c>
      <c r="G128" t="s">
        <v>5243</v>
      </c>
      <c r="H128" t="s">
        <v>5112</v>
      </c>
      <c r="I128" t="s">
        <v>38</v>
      </c>
      <c r="J128" t="s">
        <v>43</v>
      </c>
      <c r="K128" s="20">
        <v>44239</v>
      </c>
      <c r="L128" t="s">
        <v>5099</v>
      </c>
      <c r="M128" t="s">
        <v>154</v>
      </c>
      <c r="N128" t="s">
        <v>154</v>
      </c>
    </row>
    <row r="129" spans="1:14" x14ac:dyDescent="0.25">
      <c r="A129" t="s">
        <v>1010</v>
      </c>
      <c r="B129" t="s">
        <v>5409</v>
      </c>
      <c r="C129" t="s">
        <v>5115</v>
      </c>
      <c r="D129" s="20">
        <v>25696</v>
      </c>
      <c r="E129">
        <v>9639040907</v>
      </c>
      <c r="F129" t="s">
        <v>5410</v>
      </c>
      <c r="G129" t="s">
        <v>5102</v>
      </c>
      <c r="H129" t="s">
        <v>5103</v>
      </c>
      <c r="I129" t="s">
        <v>38</v>
      </c>
      <c r="J129" t="s">
        <v>43</v>
      </c>
      <c r="K129" s="20">
        <v>44439</v>
      </c>
      <c r="L129" t="s">
        <v>5108</v>
      </c>
      <c r="M129" t="s">
        <v>154</v>
      </c>
      <c r="N129" t="s">
        <v>154</v>
      </c>
    </row>
    <row r="130" spans="1:14" x14ac:dyDescent="0.25">
      <c r="A130" t="s">
        <v>1571</v>
      </c>
      <c r="B130" t="s">
        <v>5411</v>
      </c>
      <c r="C130" t="s">
        <v>5115</v>
      </c>
      <c r="D130" s="20">
        <v>38420</v>
      </c>
      <c r="E130">
        <v>9716445561</v>
      </c>
      <c r="F130" t="s">
        <v>5412</v>
      </c>
      <c r="G130" t="s">
        <v>5189</v>
      </c>
      <c r="H130" t="s">
        <v>5112</v>
      </c>
      <c r="I130" t="s">
        <v>38</v>
      </c>
      <c r="J130" t="s">
        <v>43</v>
      </c>
      <c r="K130" s="20">
        <v>43167</v>
      </c>
      <c r="L130" t="s">
        <v>5104</v>
      </c>
      <c r="M130" t="s">
        <v>154</v>
      </c>
      <c r="N130" t="s">
        <v>154</v>
      </c>
    </row>
    <row r="131" spans="1:14" x14ac:dyDescent="0.25">
      <c r="A131" t="s">
        <v>465</v>
      </c>
      <c r="B131" t="s">
        <v>5413</v>
      </c>
      <c r="C131" t="s">
        <v>5090</v>
      </c>
      <c r="D131" s="20">
        <v>24514</v>
      </c>
      <c r="E131">
        <v>9159103002</v>
      </c>
      <c r="F131" t="s">
        <v>5414</v>
      </c>
      <c r="G131" t="s">
        <v>5145</v>
      </c>
      <c r="H131" t="s">
        <v>5098</v>
      </c>
      <c r="I131" t="s">
        <v>42</v>
      </c>
      <c r="J131" t="s">
        <v>44</v>
      </c>
      <c r="K131" s="20">
        <v>44962</v>
      </c>
      <c r="L131" t="s">
        <v>5137</v>
      </c>
      <c r="M131" t="s">
        <v>154</v>
      </c>
      <c r="N131" t="s">
        <v>154</v>
      </c>
    </row>
    <row r="132" spans="1:14" x14ac:dyDescent="0.25">
      <c r="A132" t="s">
        <v>493</v>
      </c>
      <c r="B132" t="s">
        <v>5387</v>
      </c>
      <c r="C132" t="s">
        <v>5090</v>
      </c>
      <c r="D132" s="20">
        <v>26531</v>
      </c>
      <c r="E132">
        <v>9004010414</v>
      </c>
      <c r="F132" t="s">
        <v>5415</v>
      </c>
      <c r="G132" t="s">
        <v>5151</v>
      </c>
      <c r="H132" t="s">
        <v>5103</v>
      </c>
      <c r="I132" t="s">
        <v>38</v>
      </c>
      <c r="J132" t="s">
        <v>44</v>
      </c>
      <c r="K132" s="20">
        <v>44611</v>
      </c>
      <c r="L132" t="s">
        <v>5158</v>
      </c>
      <c r="M132" t="s">
        <v>154</v>
      </c>
      <c r="N132" t="s">
        <v>154</v>
      </c>
    </row>
    <row r="133" spans="1:14" x14ac:dyDescent="0.25">
      <c r="A133" t="s">
        <v>1121</v>
      </c>
      <c r="B133" t="s">
        <v>5416</v>
      </c>
      <c r="C133" t="s">
        <v>5090</v>
      </c>
      <c r="D133" s="20">
        <v>35189</v>
      </c>
      <c r="E133">
        <v>9529671883</v>
      </c>
      <c r="F133" t="s">
        <v>5417</v>
      </c>
      <c r="G133" t="s">
        <v>5238</v>
      </c>
      <c r="H133" t="s">
        <v>5093</v>
      </c>
      <c r="I133" t="s">
        <v>40</v>
      </c>
      <c r="J133" t="s">
        <v>41</v>
      </c>
      <c r="K133" s="20">
        <v>43592</v>
      </c>
      <c r="L133" t="s">
        <v>5182</v>
      </c>
      <c r="M133" t="s">
        <v>154</v>
      </c>
      <c r="N133" t="s">
        <v>154</v>
      </c>
    </row>
    <row r="134" spans="1:14" x14ac:dyDescent="0.25">
      <c r="A134" t="s">
        <v>2483</v>
      </c>
      <c r="B134" t="s">
        <v>5418</v>
      </c>
      <c r="C134" t="s">
        <v>5115</v>
      </c>
      <c r="D134" s="20">
        <v>29017</v>
      </c>
      <c r="E134">
        <v>9583311703</v>
      </c>
      <c r="F134" t="s">
        <v>5419</v>
      </c>
      <c r="G134" t="s">
        <v>5155</v>
      </c>
      <c r="H134" t="s">
        <v>5098</v>
      </c>
      <c r="I134" t="s">
        <v>42</v>
      </c>
      <c r="J134" t="s">
        <v>43</v>
      </c>
      <c r="K134" s="20">
        <v>44314</v>
      </c>
      <c r="L134" t="s">
        <v>5104</v>
      </c>
      <c r="M134" t="s">
        <v>154</v>
      </c>
      <c r="N134" t="s">
        <v>154</v>
      </c>
    </row>
    <row r="135" spans="1:14" x14ac:dyDescent="0.25">
      <c r="A135" t="s">
        <v>4876</v>
      </c>
      <c r="B135" t="s">
        <v>5420</v>
      </c>
      <c r="C135" t="s">
        <v>5090</v>
      </c>
      <c r="D135" s="20">
        <v>26821</v>
      </c>
      <c r="E135">
        <v>9854728123</v>
      </c>
      <c r="F135" t="s">
        <v>5421</v>
      </c>
      <c r="G135" t="s">
        <v>5136</v>
      </c>
      <c r="H135" t="s">
        <v>5098</v>
      </c>
      <c r="I135" t="s">
        <v>42</v>
      </c>
      <c r="J135" t="s">
        <v>39</v>
      </c>
      <c r="K135" s="20">
        <v>45519</v>
      </c>
      <c r="L135" t="s">
        <v>5186</v>
      </c>
      <c r="M135" t="s">
        <v>154</v>
      </c>
      <c r="N135" t="s">
        <v>154</v>
      </c>
    </row>
    <row r="136" spans="1:14" x14ac:dyDescent="0.25">
      <c r="A136" t="s">
        <v>4207</v>
      </c>
      <c r="B136" t="s">
        <v>5422</v>
      </c>
      <c r="C136" t="s">
        <v>5115</v>
      </c>
      <c r="D136" s="20">
        <v>32155</v>
      </c>
      <c r="E136">
        <v>9249127113</v>
      </c>
      <c r="F136" t="s">
        <v>5423</v>
      </c>
      <c r="G136" t="s">
        <v>5257</v>
      </c>
      <c r="H136" t="s">
        <v>5093</v>
      </c>
      <c r="I136" t="s">
        <v>40</v>
      </c>
      <c r="J136" t="s">
        <v>43</v>
      </c>
      <c r="K136" s="20">
        <v>44239</v>
      </c>
      <c r="L136" t="s">
        <v>5131</v>
      </c>
      <c r="M136" t="s">
        <v>154</v>
      </c>
      <c r="N136" t="s">
        <v>154</v>
      </c>
    </row>
    <row r="137" spans="1:14" x14ac:dyDescent="0.25">
      <c r="A137" t="s">
        <v>311</v>
      </c>
      <c r="B137" t="s">
        <v>5424</v>
      </c>
      <c r="C137" t="s">
        <v>5090</v>
      </c>
      <c r="D137" s="20">
        <v>24211</v>
      </c>
      <c r="E137">
        <v>9181563268</v>
      </c>
      <c r="F137" t="s">
        <v>5425</v>
      </c>
      <c r="G137" t="s">
        <v>5097</v>
      </c>
      <c r="H137" t="s">
        <v>5098</v>
      </c>
      <c r="I137" t="s">
        <v>42</v>
      </c>
      <c r="J137" t="s">
        <v>39</v>
      </c>
      <c r="K137" s="20">
        <v>44542</v>
      </c>
      <c r="L137" t="s">
        <v>5152</v>
      </c>
      <c r="M137" t="s">
        <v>154</v>
      </c>
      <c r="N137" t="s">
        <v>154</v>
      </c>
    </row>
    <row r="138" spans="1:14" x14ac:dyDescent="0.25">
      <c r="A138" t="s">
        <v>657</v>
      </c>
      <c r="B138" t="s">
        <v>5426</v>
      </c>
      <c r="C138" t="s">
        <v>5090</v>
      </c>
      <c r="D138" s="20">
        <v>28209</v>
      </c>
      <c r="E138">
        <v>9343629489</v>
      </c>
      <c r="F138" t="s">
        <v>5427</v>
      </c>
      <c r="G138" t="s">
        <v>5201</v>
      </c>
      <c r="H138" t="s">
        <v>5118</v>
      </c>
      <c r="I138" t="s">
        <v>40</v>
      </c>
      <c r="J138" t="s">
        <v>43</v>
      </c>
      <c r="K138" s="20">
        <v>44667</v>
      </c>
      <c r="L138" t="s">
        <v>5131</v>
      </c>
      <c r="M138" t="s">
        <v>154</v>
      </c>
      <c r="N138" t="s">
        <v>154</v>
      </c>
    </row>
    <row r="139" spans="1:14" x14ac:dyDescent="0.25">
      <c r="A139" t="s">
        <v>2941</v>
      </c>
      <c r="B139" t="s">
        <v>5428</v>
      </c>
      <c r="C139" t="s">
        <v>5090</v>
      </c>
      <c r="D139" s="20">
        <v>34332</v>
      </c>
      <c r="E139">
        <v>9943181439</v>
      </c>
      <c r="F139" t="s">
        <v>5429</v>
      </c>
      <c r="G139" t="s">
        <v>5122</v>
      </c>
      <c r="H139" t="s">
        <v>5093</v>
      </c>
      <c r="I139" t="s">
        <v>40</v>
      </c>
      <c r="J139" t="s">
        <v>43</v>
      </c>
      <c r="K139" s="20">
        <v>43318</v>
      </c>
      <c r="L139" t="s">
        <v>5123</v>
      </c>
      <c r="M139" t="s">
        <v>154</v>
      </c>
      <c r="N139" t="s">
        <v>154</v>
      </c>
    </row>
    <row r="140" spans="1:14" x14ac:dyDescent="0.25">
      <c r="A140" t="s">
        <v>5430</v>
      </c>
      <c r="B140" t="s">
        <v>5431</v>
      </c>
      <c r="C140" t="s">
        <v>5115</v>
      </c>
      <c r="D140" s="20">
        <v>35767</v>
      </c>
      <c r="E140">
        <v>9494012897</v>
      </c>
      <c r="F140" t="s">
        <v>5432</v>
      </c>
      <c r="G140" t="s">
        <v>5117</v>
      </c>
      <c r="H140" t="s">
        <v>5118</v>
      </c>
      <c r="I140" t="s">
        <v>40</v>
      </c>
      <c r="J140" t="s">
        <v>43</v>
      </c>
      <c r="K140" s="20">
        <v>43934</v>
      </c>
      <c r="L140" t="s">
        <v>5094</v>
      </c>
      <c r="M140" t="s">
        <v>154</v>
      </c>
      <c r="N140" t="s">
        <v>154</v>
      </c>
    </row>
    <row r="141" spans="1:14" x14ac:dyDescent="0.25">
      <c r="A141" t="s">
        <v>2207</v>
      </c>
      <c r="B141" t="s">
        <v>5433</v>
      </c>
      <c r="C141" t="s">
        <v>5090</v>
      </c>
      <c r="D141" s="20">
        <v>28905</v>
      </c>
      <c r="E141">
        <v>9283143598</v>
      </c>
      <c r="F141" t="s">
        <v>5434</v>
      </c>
      <c r="G141" t="s">
        <v>5142</v>
      </c>
      <c r="H141" t="s">
        <v>5103</v>
      </c>
      <c r="I141" t="s">
        <v>38</v>
      </c>
      <c r="J141" t="s">
        <v>43</v>
      </c>
      <c r="K141" s="20">
        <v>44965</v>
      </c>
      <c r="L141" t="s">
        <v>5182</v>
      </c>
      <c r="M141" t="s">
        <v>184</v>
      </c>
      <c r="N141" t="s">
        <v>154</v>
      </c>
    </row>
    <row r="142" spans="1:14" x14ac:dyDescent="0.25">
      <c r="A142" t="s">
        <v>1994</v>
      </c>
      <c r="B142" t="s">
        <v>5435</v>
      </c>
      <c r="C142" t="s">
        <v>5090</v>
      </c>
      <c r="D142" s="20">
        <v>23759</v>
      </c>
      <c r="E142">
        <v>9943882211</v>
      </c>
      <c r="F142" t="s">
        <v>5436</v>
      </c>
      <c r="G142" t="s">
        <v>5155</v>
      </c>
      <c r="H142" t="s">
        <v>5098</v>
      </c>
      <c r="I142" t="s">
        <v>42</v>
      </c>
      <c r="J142" t="s">
        <v>39</v>
      </c>
      <c r="K142" s="20">
        <v>43286</v>
      </c>
      <c r="L142" t="s">
        <v>5119</v>
      </c>
      <c r="M142" t="s">
        <v>154</v>
      </c>
      <c r="N142" t="s">
        <v>154</v>
      </c>
    </row>
    <row r="143" spans="1:14" x14ac:dyDescent="0.25">
      <c r="A143" t="s">
        <v>878</v>
      </c>
      <c r="B143" t="s">
        <v>5437</v>
      </c>
      <c r="C143" t="s">
        <v>5090</v>
      </c>
      <c r="D143" s="20">
        <v>31782</v>
      </c>
      <c r="E143">
        <v>9570545897</v>
      </c>
      <c r="F143" t="s">
        <v>5438</v>
      </c>
      <c r="G143" t="s">
        <v>5276</v>
      </c>
      <c r="H143" t="s">
        <v>5118</v>
      </c>
      <c r="I143" t="s">
        <v>40</v>
      </c>
      <c r="J143" t="s">
        <v>43</v>
      </c>
      <c r="K143" s="20">
        <v>45093</v>
      </c>
      <c r="L143" t="s">
        <v>5152</v>
      </c>
      <c r="M143" t="s">
        <v>154</v>
      </c>
      <c r="N143" t="s">
        <v>154</v>
      </c>
    </row>
    <row r="144" spans="1:14" x14ac:dyDescent="0.25">
      <c r="A144" t="s">
        <v>2168</v>
      </c>
      <c r="B144" t="s">
        <v>5439</v>
      </c>
      <c r="C144" t="s">
        <v>5115</v>
      </c>
      <c r="D144" s="20">
        <v>26166</v>
      </c>
      <c r="E144">
        <v>9703965313</v>
      </c>
      <c r="F144" t="s">
        <v>5440</v>
      </c>
      <c r="G144" t="s">
        <v>5155</v>
      </c>
      <c r="H144" t="s">
        <v>5098</v>
      </c>
      <c r="I144" t="s">
        <v>42</v>
      </c>
      <c r="J144" t="s">
        <v>44</v>
      </c>
      <c r="K144" s="20">
        <v>43681</v>
      </c>
      <c r="L144" t="s">
        <v>5094</v>
      </c>
      <c r="M144" t="s">
        <v>154</v>
      </c>
      <c r="N144" t="s">
        <v>154</v>
      </c>
    </row>
    <row r="145" spans="1:14" x14ac:dyDescent="0.25">
      <c r="A145" t="s">
        <v>3407</v>
      </c>
      <c r="B145" t="s">
        <v>5441</v>
      </c>
      <c r="C145" t="s">
        <v>5090</v>
      </c>
      <c r="D145" s="20">
        <v>38475</v>
      </c>
      <c r="E145">
        <v>9696443098</v>
      </c>
      <c r="F145" t="s">
        <v>5442</v>
      </c>
      <c r="G145" t="s">
        <v>5292</v>
      </c>
      <c r="H145" t="s">
        <v>5098</v>
      </c>
      <c r="I145" t="s">
        <v>42</v>
      </c>
      <c r="J145" t="s">
        <v>43</v>
      </c>
      <c r="K145" s="20">
        <v>44529</v>
      </c>
      <c r="L145" t="s">
        <v>5168</v>
      </c>
      <c r="M145" t="s">
        <v>154</v>
      </c>
      <c r="N145" t="s">
        <v>154</v>
      </c>
    </row>
    <row r="146" spans="1:14" x14ac:dyDescent="0.25">
      <c r="A146" t="s">
        <v>1346</v>
      </c>
      <c r="B146" t="s">
        <v>5443</v>
      </c>
      <c r="C146" t="s">
        <v>5090</v>
      </c>
      <c r="D146" s="20">
        <v>36773</v>
      </c>
      <c r="E146">
        <v>9107272849</v>
      </c>
      <c r="F146" t="s">
        <v>5444</v>
      </c>
      <c r="G146" t="s">
        <v>5292</v>
      </c>
      <c r="H146" t="s">
        <v>5098</v>
      </c>
      <c r="I146" t="s">
        <v>42</v>
      </c>
      <c r="J146" t="s">
        <v>44</v>
      </c>
      <c r="K146" s="20">
        <v>44522</v>
      </c>
      <c r="L146" t="s">
        <v>5113</v>
      </c>
      <c r="M146" t="s">
        <v>154</v>
      </c>
      <c r="N146" t="s">
        <v>154</v>
      </c>
    </row>
    <row r="147" spans="1:14" x14ac:dyDescent="0.25">
      <c r="A147" t="s">
        <v>229</v>
      </c>
      <c r="B147" t="s">
        <v>5445</v>
      </c>
      <c r="C147" t="s">
        <v>5090</v>
      </c>
      <c r="D147" s="20">
        <v>28465</v>
      </c>
      <c r="E147">
        <v>9491074065</v>
      </c>
      <c r="F147" t="s">
        <v>5446</v>
      </c>
      <c r="G147" t="s">
        <v>5369</v>
      </c>
      <c r="H147" t="s">
        <v>5103</v>
      </c>
      <c r="I147" t="s">
        <v>38</v>
      </c>
      <c r="J147" t="s">
        <v>43</v>
      </c>
      <c r="K147" s="20">
        <v>43268</v>
      </c>
      <c r="L147" t="s">
        <v>5208</v>
      </c>
      <c r="M147" t="s">
        <v>154</v>
      </c>
      <c r="N147" t="s">
        <v>154</v>
      </c>
    </row>
    <row r="148" spans="1:14" x14ac:dyDescent="0.25">
      <c r="A148" t="s">
        <v>3611</v>
      </c>
      <c r="B148" t="s">
        <v>5447</v>
      </c>
      <c r="C148" t="s">
        <v>5115</v>
      </c>
      <c r="D148" s="20">
        <v>38139</v>
      </c>
      <c r="E148">
        <v>9142369143</v>
      </c>
      <c r="F148" t="s">
        <v>5448</v>
      </c>
      <c r="G148" t="s">
        <v>5276</v>
      </c>
      <c r="H148" t="s">
        <v>5118</v>
      </c>
      <c r="I148" t="s">
        <v>40</v>
      </c>
      <c r="J148" t="s">
        <v>44</v>
      </c>
      <c r="K148" s="20">
        <v>45397</v>
      </c>
      <c r="L148" t="s">
        <v>5182</v>
      </c>
      <c r="M148" t="s">
        <v>154</v>
      </c>
      <c r="N148" t="s">
        <v>154</v>
      </c>
    </row>
    <row r="149" spans="1:14" x14ac:dyDescent="0.25">
      <c r="A149" t="s">
        <v>1548</v>
      </c>
      <c r="B149" t="s">
        <v>5449</v>
      </c>
      <c r="C149" t="s">
        <v>5115</v>
      </c>
      <c r="D149" s="20">
        <v>37042</v>
      </c>
      <c r="E149">
        <v>9494296592</v>
      </c>
      <c r="F149" t="s">
        <v>5450</v>
      </c>
      <c r="G149" t="s">
        <v>5107</v>
      </c>
      <c r="H149" t="s">
        <v>5098</v>
      </c>
      <c r="I149" t="s">
        <v>42</v>
      </c>
      <c r="J149" t="s">
        <v>39</v>
      </c>
      <c r="K149" s="20">
        <v>43502</v>
      </c>
      <c r="L149" t="s">
        <v>5152</v>
      </c>
      <c r="M149" t="s">
        <v>154</v>
      </c>
      <c r="N149" t="s">
        <v>154</v>
      </c>
    </row>
    <row r="150" spans="1:14" x14ac:dyDescent="0.25">
      <c r="A150" t="s">
        <v>2677</v>
      </c>
      <c r="B150" t="s">
        <v>5451</v>
      </c>
      <c r="C150" t="s">
        <v>5115</v>
      </c>
      <c r="D150" s="20">
        <v>27011</v>
      </c>
      <c r="E150">
        <v>9826612875</v>
      </c>
      <c r="F150" t="s">
        <v>5452</v>
      </c>
      <c r="G150" t="s">
        <v>5126</v>
      </c>
      <c r="H150" t="s">
        <v>5118</v>
      </c>
      <c r="I150" t="s">
        <v>40</v>
      </c>
      <c r="J150" t="s">
        <v>43</v>
      </c>
      <c r="K150" s="20">
        <v>45422</v>
      </c>
      <c r="L150" t="s">
        <v>5146</v>
      </c>
      <c r="M150" t="s">
        <v>154</v>
      </c>
      <c r="N150" t="s">
        <v>154</v>
      </c>
    </row>
    <row r="151" spans="1:14" x14ac:dyDescent="0.25">
      <c r="A151" t="s">
        <v>2883</v>
      </c>
      <c r="B151" t="s">
        <v>5453</v>
      </c>
      <c r="C151" t="s">
        <v>5090</v>
      </c>
      <c r="D151" s="20">
        <v>29546</v>
      </c>
      <c r="E151">
        <v>9080612943</v>
      </c>
      <c r="F151" t="s">
        <v>5454</v>
      </c>
      <c r="G151" t="s">
        <v>5107</v>
      </c>
      <c r="H151" t="s">
        <v>5098</v>
      </c>
      <c r="I151" t="s">
        <v>42</v>
      </c>
      <c r="J151" t="s">
        <v>39</v>
      </c>
      <c r="K151" s="20">
        <v>44781</v>
      </c>
      <c r="L151" t="s">
        <v>5146</v>
      </c>
      <c r="M151" t="s">
        <v>154</v>
      </c>
      <c r="N151" t="s">
        <v>154</v>
      </c>
    </row>
    <row r="152" spans="1:14" x14ac:dyDescent="0.25">
      <c r="A152" t="s">
        <v>4756</v>
      </c>
      <c r="B152" t="s">
        <v>5455</v>
      </c>
      <c r="C152" t="s">
        <v>5090</v>
      </c>
      <c r="D152" s="20">
        <v>32643</v>
      </c>
      <c r="E152">
        <v>9607870104</v>
      </c>
      <c r="F152" t="s">
        <v>5456</v>
      </c>
      <c r="G152" t="s">
        <v>5304</v>
      </c>
      <c r="H152" t="s">
        <v>5112</v>
      </c>
      <c r="I152" t="s">
        <v>38</v>
      </c>
      <c r="J152" t="s">
        <v>43</v>
      </c>
      <c r="K152" s="20">
        <v>44709</v>
      </c>
      <c r="L152" t="s">
        <v>5182</v>
      </c>
      <c r="M152" t="s">
        <v>154</v>
      </c>
      <c r="N152" t="s">
        <v>154</v>
      </c>
    </row>
    <row r="153" spans="1:14" x14ac:dyDescent="0.25">
      <c r="A153" t="s">
        <v>1998</v>
      </c>
      <c r="B153" t="s">
        <v>5457</v>
      </c>
      <c r="C153" t="s">
        <v>5115</v>
      </c>
      <c r="D153" s="20">
        <v>33007</v>
      </c>
      <c r="E153">
        <v>9980382872</v>
      </c>
      <c r="F153" t="s">
        <v>5458</v>
      </c>
      <c r="G153" t="s">
        <v>5097</v>
      </c>
      <c r="H153" t="s">
        <v>5098</v>
      </c>
      <c r="I153" t="s">
        <v>42</v>
      </c>
      <c r="J153" t="s">
        <v>39</v>
      </c>
      <c r="K153" s="20">
        <v>43350</v>
      </c>
      <c r="L153" t="s">
        <v>5211</v>
      </c>
      <c r="M153" t="s">
        <v>154</v>
      </c>
      <c r="N153" t="s">
        <v>154</v>
      </c>
    </row>
    <row r="154" spans="1:14" x14ac:dyDescent="0.25">
      <c r="A154" t="s">
        <v>1655</v>
      </c>
      <c r="B154" t="s">
        <v>5459</v>
      </c>
      <c r="C154" t="s">
        <v>5090</v>
      </c>
      <c r="D154" s="20">
        <v>34036</v>
      </c>
      <c r="E154">
        <v>9110291813</v>
      </c>
      <c r="F154" t="s">
        <v>5460</v>
      </c>
      <c r="G154" t="s">
        <v>5201</v>
      </c>
      <c r="H154" t="s">
        <v>5118</v>
      </c>
      <c r="I154" t="s">
        <v>40</v>
      </c>
      <c r="J154" t="s">
        <v>44</v>
      </c>
      <c r="K154" s="20">
        <v>45655</v>
      </c>
      <c r="L154" t="s">
        <v>5208</v>
      </c>
      <c r="M154" t="s">
        <v>154</v>
      </c>
      <c r="N154" t="s">
        <v>154</v>
      </c>
    </row>
    <row r="155" spans="1:14" x14ac:dyDescent="0.25">
      <c r="A155" t="s">
        <v>1718</v>
      </c>
      <c r="B155" t="s">
        <v>5461</v>
      </c>
      <c r="C155" t="s">
        <v>5115</v>
      </c>
      <c r="D155" s="20">
        <v>31014</v>
      </c>
      <c r="E155">
        <v>9723849791</v>
      </c>
      <c r="F155" t="s">
        <v>5462</v>
      </c>
      <c r="G155" t="s">
        <v>5136</v>
      </c>
      <c r="H155" t="s">
        <v>5098</v>
      </c>
      <c r="I155" t="s">
        <v>42</v>
      </c>
      <c r="J155" t="s">
        <v>44</v>
      </c>
      <c r="K155" s="20">
        <v>44329</v>
      </c>
      <c r="L155" t="s">
        <v>5127</v>
      </c>
      <c r="M155" t="s">
        <v>154</v>
      </c>
      <c r="N155" t="s">
        <v>154</v>
      </c>
    </row>
    <row r="156" spans="1:14" x14ac:dyDescent="0.25">
      <c r="A156" t="s">
        <v>2631</v>
      </c>
      <c r="B156" t="s">
        <v>5463</v>
      </c>
      <c r="C156" t="s">
        <v>5115</v>
      </c>
      <c r="D156" s="20">
        <v>26064</v>
      </c>
      <c r="E156">
        <v>9774419754</v>
      </c>
      <c r="F156" t="s">
        <v>5464</v>
      </c>
      <c r="G156" t="s">
        <v>5238</v>
      </c>
      <c r="H156" t="s">
        <v>5093</v>
      </c>
      <c r="I156" t="s">
        <v>40</v>
      </c>
      <c r="J156" t="s">
        <v>39</v>
      </c>
      <c r="K156" s="20">
        <v>45340</v>
      </c>
      <c r="L156" t="s">
        <v>5208</v>
      </c>
      <c r="M156" t="s">
        <v>154</v>
      </c>
      <c r="N156" t="s">
        <v>154</v>
      </c>
    </row>
    <row r="157" spans="1:14" x14ac:dyDescent="0.25">
      <c r="A157" t="s">
        <v>1355</v>
      </c>
      <c r="B157" t="s">
        <v>5465</v>
      </c>
      <c r="C157" t="s">
        <v>5115</v>
      </c>
      <c r="D157" s="20">
        <v>30573</v>
      </c>
      <c r="E157">
        <v>9960940970</v>
      </c>
      <c r="F157" t="s">
        <v>5466</v>
      </c>
      <c r="G157" t="s">
        <v>5155</v>
      </c>
      <c r="H157" t="s">
        <v>5098</v>
      </c>
      <c r="I157" t="s">
        <v>42</v>
      </c>
      <c r="J157" t="s">
        <v>43</v>
      </c>
      <c r="K157" s="20">
        <v>44973</v>
      </c>
      <c r="L157" t="s">
        <v>5211</v>
      </c>
      <c r="M157" t="s">
        <v>154</v>
      </c>
      <c r="N157" t="s">
        <v>154</v>
      </c>
    </row>
    <row r="158" spans="1:14" x14ac:dyDescent="0.25">
      <c r="A158" t="s">
        <v>1144</v>
      </c>
      <c r="B158" t="s">
        <v>5467</v>
      </c>
      <c r="C158" t="s">
        <v>5090</v>
      </c>
      <c r="D158" s="20">
        <v>28279</v>
      </c>
      <c r="E158">
        <v>9586812259</v>
      </c>
      <c r="F158" t="s">
        <v>5468</v>
      </c>
      <c r="G158" t="s">
        <v>5142</v>
      </c>
      <c r="H158" t="s">
        <v>5103</v>
      </c>
      <c r="I158" t="s">
        <v>38</v>
      </c>
      <c r="J158" t="s">
        <v>39</v>
      </c>
      <c r="K158" s="20">
        <v>45162</v>
      </c>
      <c r="L158" t="s">
        <v>5208</v>
      </c>
      <c r="M158" t="s">
        <v>154</v>
      </c>
      <c r="N158" t="s">
        <v>154</v>
      </c>
    </row>
    <row r="159" spans="1:14" x14ac:dyDescent="0.25">
      <c r="A159" t="s">
        <v>3720</v>
      </c>
      <c r="B159" t="s">
        <v>5469</v>
      </c>
      <c r="C159" t="s">
        <v>5115</v>
      </c>
      <c r="D159" s="20">
        <v>36603</v>
      </c>
      <c r="E159">
        <v>9792988425</v>
      </c>
      <c r="F159" t="s">
        <v>5470</v>
      </c>
      <c r="G159" t="s">
        <v>5117</v>
      </c>
      <c r="H159" t="s">
        <v>5118</v>
      </c>
      <c r="I159" t="s">
        <v>40</v>
      </c>
      <c r="J159" t="s">
        <v>43</v>
      </c>
      <c r="K159" s="20">
        <v>45082</v>
      </c>
      <c r="L159" t="s">
        <v>5127</v>
      </c>
      <c r="M159" t="s">
        <v>154</v>
      </c>
      <c r="N159" t="s">
        <v>154</v>
      </c>
    </row>
    <row r="160" spans="1:14" x14ac:dyDescent="0.25">
      <c r="A160" t="s">
        <v>2328</v>
      </c>
      <c r="B160" t="s">
        <v>5471</v>
      </c>
      <c r="C160" t="s">
        <v>5090</v>
      </c>
      <c r="D160" s="20">
        <v>33859</v>
      </c>
      <c r="E160">
        <v>9117753312</v>
      </c>
      <c r="F160" t="s">
        <v>5472</v>
      </c>
      <c r="G160" t="s">
        <v>5136</v>
      </c>
      <c r="H160" t="s">
        <v>5098</v>
      </c>
      <c r="I160" t="s">
        <v>42</v>
      </c>
      <c r="J160" t="s">
        <v>43</v>
      </c>
      <c r="K160" s="20">
        <v>43752</v>
      </c>
      <c r="L160" t="s">
        <v>5178</v>
      </c>
      <c r="M160" t="s">
        <v>154</v>
      </c>
      <c r="N160" t="s">
        <v>154</v>
      </c>
    </row>
    <row r="161" spans="1:14" x14ac:dyDescent="0.25">
      <c r="A161" t="s">
        <v>4377</v>
      </c>
      <c r="B161" t="s">
        <v>5473</v>
      </c>
      <c r="C161" t="s">
        <v>5090</v>
      </c>
      <c r="D161" s="20">
        <v>24757</v>
      </c>
      <c r="E161">
        <v>9590251762</v>
      </c>
      <c r="F161" t="s">
        <v>5474</v>
      </c>
      <c r="G161" t="s">
        <v>5304</v>
      </c>
      <c r="H161" t="s">
        <v>5112</v>
      </c>
      <c r="I161" t="s">
        <v>38</v>
      </c>
      <c r="J161" t="s">
        <v>43</v>
      </c>
      <c r="K161" s="20">
        <v>43399</v>
      </c>
      <c r="L161" t="s">
        <v>5146</v>
      </c>
      <c r="M161" t="s">
        <v>154</v>
      </c>
      <c r="N161" t="s">
        <v>154</v>
      </c>
    </row>
    <row r="162" spans="1:14" x14ac:dyDescent="0.25">
      <c r="A162" t="s">
        <v>5475</v>
      </c>
      <c r="B162" t="s">
        <v>5476</v>
      </c>
      <c r="C162" t="s">
        <v>5090</v>
      </c>
      <c r="D162" s="20">
        <v>31789</v>
      </c>
      <c r="E162">
        <v>9683190130</v>
      </c>
      <c r="F162" t="s">
        <v>5477</v>
      </c>
      <c r="G162" t="s">
        <v>5097</v>
      </c>
      <c r="H162" t="s">
        <v>5098</v>
      </c>
      <c r="I162" t="s">
        <v>42</v>
      </c>
      <c r="J162" t="s">
        <v>43</v>
      </c>
      <c r="K162" s="20">
        <v>43925</v>
      </c>
      <c r="L162" t="s">
        <v>5165</v>
      </c>
      <c r="M162" t="s">
        <v>154</v>
      </c>
      <c r="N162" t="s">
        <v>154</v>
      </c>
    </row>
    <row r="163" spans="1:14" x14ac:dyDescent="0.25">
      <c r="A163" t="s">
        <v>209</v>
      </c>
      <c r="B163" t="s">
        <v>5478</v>
      </c>
      <c r="C163" t="s">
        <v>5090</v>
      </c>
      <c r="D163" s="20">
        <v>33053</v>
      </c>
      <c r="E163">
        <v>9733978559</v>
      </c>
      <c r="F163" t="s">
        <v>5479</v>
      </c>
      <c r="G163" t="s">
        <v>5177</v>
      </c>
      <c r="H163" t="s">
        <v>5112</v>
      </c>
      <c r="I163" t="s">
        <v>38</v>
      </c>
      <c r="J163" t="s">
        <v>43</v>
      </c>
      <c r="K163" s="20">
        <v>43860</v>
      </c>
      <c r="L163" t="s">
        <v>5186</v>
      </c>
      <c r="M163" t="s">
        <v>154</v>
      </c>
      <c r="N163" t="s">
        <v>154</v>
      </c>
    </row>
    <row r="164" spans="1:14" x14ac:dyDescent="0.25">
      <c r="A164" t="s">
        <v>2931</v>
      </c>
      <c r="B164" t="s">
        <v>5480</v>
      </c>
      <c r="C164" t="s">
        <v>5090</v>
      </c>
      <c r="D164" s="20">
        <v>30747</v>
      </c>
      <c r="E164">
        <v>9411730985</v>
      </c>
      <c r="F164" t="s">
        <v>5481</v>
      </c>
      <c r="G164" t="s">
        <v>5136</v>
      </c>
      <c r="H164" t="s">
        <v>5098</v>
      </c>
      <c r="I164" t="s">
        <v>42</v>
      </c>
      <c r="J164" t="s">
        <v>41</v>
      </c>
      <c r="K164" s="20">
        <v>43621</v>
      </c>
      <c r="L164" t="s">
        <v>5186</v>
      </c>
      <c r="M164" t="s">
        <v>154</v>
      </c>
      <c r="N164" t="s">
        <v>154</v>
      </c>
    </row>
    <row r="165" spans="1:14" x14ac:dyDescent="0.25">
      <c r="A165" t="s">
        <v>2360</v>
      </c>
      <c r="B165" t="s">
        <v>5482</v>
      </c>
      <c r="C165" t="s">
        <v>5115</v>
      </c>
      <c r="D165" s="20">
        <v>30139</v>
      </c>
      <c r="E165">
        <v>9189389846</v>
      </c>
      <c r="F165" t="s">
        <v>5483</v>
      </c>
      <c r="G165" t="s">
        <v>5201</v>
      </c>
      <c r="H165" t="s">
        <v>5118</v>
      </c>
      <c r="I165" t="s">
        <v>40</v>
      </c>
      <c r="J165" t="s">
        <v>44</v>
      </c>
      <c r="K165" s="20">
        <v>43747</v>
      </c>
      <c r="L165" t="s">
        <v>5113</v>
      </c>
      <c r="M165" t="s">
        <v>154</v>
      </c>
      <c r="N165" t="s">
        <v>154</v>
      </c>
    </row>
    <row r="166" spans="1:14" x14ac:dyDescent="0.25">
      <c r="A166" t="s">
        <v>1919</v>
      </c>
      <c r="B166" t="s">
        <v>5484</v>
      </c>
      <c r="C166" t="s">
        <v>5115</v>
      </c>
      <c r="D166" s="20">
        <v>31459</v>
      </c>
      <c r="E166">
        <v>9350238503</v>
      </c>
      <c r="F166" t="s">
        <v>5485</v>
      </c>
      <c r="G166" t="s">
        <v>5201</v>
      </c>
      <c r="H166" t="s">
        <v>5118</v>
      </c>
      <c r="I166" t="s">
        <v>40</v>
      </c>
      <c r="J166" t="s">
        <v>43</v>
      </c>
      <c r="K166" s="20">
        <v>44827</v>
      </c>
      <c r="L166" t="s">
        <v>5152</v>
      </c>
      <c r="M166" t="s">
        <v>154</v>
      </c>
      <c r="N166" t="s">
        <v>154</v>
      </c>
    </row>
    <row r="167" spans="1:14" x14ac:dyDescent="0.25">
      <c r="A167" t="s">
        <v>642</v>
      </c>
      <c r="B167" t="s">
        <v>5486</v>
      </c>
      <c r="C167" t="s">
        <v>5115</v>
      </c>
      <c r="D167" s="20">
        <v>24902</v>
      </c>
      <c r="E167">
        <v>9724010783</v>
      </c>
      <c r="F167" t="s">
        <v>5487</v>
      </c>
      <c r="G167" t="s">
        <v>5292</v>
      </c>
      <c r="H167" t="s">
        <v>5098</v>
      </c>
      <c r="I167" t="s">
        <v>42</v>
      </c>
      <c r="J167" t="s">
        <v>44</v>
      </c>
      <c r="K167" s="20">
        <v>43431</v>
      </c>
      <c r="L167" t="s">
        <v>5158</v>
      </c>
      <c r="M167" t="s">
        <v>154</v>
      </c>
      <c r="N167" t="s">
        <v>154</v>
      </c>
    </row>
    <row r="168" spans="1:14" x14ac:dyDescent="0.25">
      <c r="A168" t="s">
        <v>2639</v>
      </c>
      <c r="B168" t="s">
        <v>5488</v>
      </c>
      <c r="C168" t="s">
        <v>5115</v>
      </c>
      <c r="D168" s="20">
        <v>24094</v>
      </c>
      <c r="E168">
        <v>9960870662</v>
      </c>
      <c r="F168" t="s">
        <v>5489</v>
      </c>
      <c r="G168" t="s">
        <v>5214</v>
      </c>
      <c r="H168" t="s">
        <v>5103</v>
      </c>
      <c r="I168" t="s">
        <v>38</v>
      </c>
      <c r="J168" t="s">
        <v>44</v>
      </c>
      <c r="K168" s="20">
        <v>43904</v>
      </c>
      <c r="L168" t="s">
        <v>5158</v>
      </c>
      <c r="M168" t="s">
        <v>154</v>
      </c>
      <c r="N168" t="s">
        <v>154</v>
      </c>
    </row>
    <row r="169" spans="1:14" x14ac:dyDescent="0.25">
      <c r="A169" t="s">
        <v>2858</v>
      </c>
      <c r="B169" t="s">
        <v>5490</v>
      </c>
      <c r="C169" t="s">
        <v>5090</v>
      </c>
      <c r="D169" s="20">
        <v>30918</v>
      </c>
      <c r="E169">
        <v>9356033190</v>
      </c>
      <c r="F169" t="s">
        <v>5491</v>
      </c>
      <c r="G169" t="s">
        <v>5366</v>
      </c>
      <c r="H169" t="s">
        <v>5103</v>
      </c>
      <c r="I169" t="s">
        <v>38</v>
      </c>
      <c r="J169" t="s">
        <v>44</v>
      </c>
      <c r="K169" s="20">
        <v>44607</v>
      </c>
      <c r="L169" t="s">
        <v>5094</v>
      </c>
      <c r="M169" t="s">
        <v>154</v>
      </c>
      <c r="N169" t="s">
        <v>154</v>
      </c>
    </row>
    <row r="170" spans="1:14" x14ac:dyDescent="0.25">
      <c r="A170" t="s">
        <v>4050</v>
      </c>
      <c r="B170" t="s">
        <v>5492</v>
      </c>
      <c r="C170" t="s">
        <v>5115</v>
      </c>
      <c r="D170" s="20">
        <v>24493</v>
      </c>
      <c r="E170">
        <v>9272405593</v>
      </c>
      <c r="F170" t="s">
        <v>5493</v>
      </c>
      <c r="G170" t="s">
        <v>5151</v>
      </c>
      <c r="H170" t="s">
        <v>5103</v>
      </c>
      <c r="I170" t="s">
        <v>38</v>
      </c>
      <c r="J170" t="s">
        <v>44</v>
      </c>
      <c r="K170" s="20">
        <v>43414</v>
      </c>
      <c r="L170" t="s">
        <v>5123</v>
      </c>
      <c r="M170" t="s">
        <v>154</v>
      </c>
      <c r="N170" t="s">
        <v>154</v>
      </c>
    </row>
    <row r="171" spans="1:14" x14ac:dyDescent="0.25">
      <c r="A171" t="s">
        <v>1556</v>
      </c>
      <c r="B171" t="s">
        <v>5494</v>
      </c>
      <c r="C171" t="s">
        <v>5115</v>
      </c>
      <c r="D171" s="20">
        <v>34516</v>
      </c>
      <c r="E171">
        <v>9753745843</v>
      </c>
      <c r="F171" t="s">
        <v>5495</v>
      </c>
      <c r="G171" t="s">
        <v>5171</v>
      </c>
      <c r="H171" t="s">
        <v>5103</v>
      </c>
      <c r="I171" t="s">
        <v>38</v>
      </c>
      <c r="J171" t="s">
        <v>43</v>
      </c>
      <c r="K171" s="20">
        <v>45327</v>
      </c>
      <c r="L171" t="s">
        <v>5208</v>
      </c>
      <c r="M171" t="s">
        <v>154</v>
      </c>
      <c r="N171" t="s">
        <v>154</v>
      </c>
    </row>
    <row r="172" spans="1:14" x14ac:dyDescent="0.25">
      <c r="A172" t="s">
        <v>5496</v>
      </c>
      <c r="B172" t="s">
        <v>5497</v>
      </c>
      <c r="C172" t="s">
        <v>5090</v>
      </c>
      <c r="D172" s="20">
        <v>31991</v>
      </c>
      <c r="E172">
        <v>9741328348</v>
      </c>
      <c r="F172" t="s">
        <v>5498</v>
      </c>
      <c r="G172" t="s">
        <v>5214</v>
      </c>
      <c r="H172" t="s">
        <v>5103</v>
      </c>
      <c r="I172" t="s">
        <v>38</v>
      </c>
      <c r="J172" t="s">
        <v>39</v>
      </c>
      <c r="K172" s="20">
        <v>44783</v>
      </c>
      <c r="L172" t="s">
        <v>5099</v>
      </c>
      <c r="M172" t="s">
        <v>154</v>
      </c>
      <c r="N172" t="s">
        <v>154</v>
      </c>
    </row>
    <row r="173" spans="1:14" x14ac:dyDescent="0.25">
      <c r="A173" t="s">
        <v>3684</v>
      </c>
      <c r="B173" t="s">
        <v>5499</v>
      </c>
      <c r="C173" t="s">
        <v>5115</v>
      </c>
      <c r="D173" s="20">
        <v>27594</v>
      </c>
      <c r="E173">
        <v>9704496410</v>
      </c>
      <c r="F173" t="s">
        <v>5500</v>
      </c>
      <c r="G173" t="s">
        <v>5097</v>
      </c>
      <c r="H173" t="s">
        <v>5098</v>
      </c>
      <c r="I173" t="s">
        <v>42</v>
      </c>
      <c r="J173" t="s">
        <v>44</v>
      </c>
      <c r="K173" s="20">
        <v>43568</v>
      </c>
      <c r="L173" t="s">
        <v>5119</v>
      </c>
      <c r="M173" t="s">
        <v>154</v>
      </c>
      <c r="N173" t="s">
        <v>154</v>
      </c>
    </row>
    <row r="174" spans="1:14" x14ac:dyDescent="0.25">
      <c r="A174" t="s">
        <v>1022</v>
      </c>
      <c r="B174" t="s">
        <v>5501</v>
      </c>
      <c r="C174" t="s">
        <v>5090</v>
      </c>
      <c r="D174" s="20">
        <v>24051</v>
      </c>
      <c r="E174">
        <v>9626804085</v>
      </c>
      <c r="F174" t="s">
        <v>5502</v>
      </c>
      <c r="G174" t="s">
        <v>5107</v>
      </c>
      <c r="H174" t="s">
        <v>5098</v>
      </c>
      <c r="I174" t="s">
        <v>42</v>
      </c>
      <c r="J174" t="s">
        <v>39</v>
      </c>
      <c r="K174" s="20">
        <v>44020</v>
      </c>
      <c r="L174" t="s">
        <v>5208</v>
      </c>
      <c r="M174" t="s">
        <v>154</v>
      </c>
      <c r="N174" t="s">
        <v>154</v>
      </c>
    </row>
    <row r="175" spans="1:14" x14ac:dyDescent="0.25">
      <c r="A175" t="s">
        <v>1006</v>
      </c>
      <c r="B175" t="s">
        <v>5503</v>
      </c>
      <c r="C175" t="s">
        <v>5090</v>
      </c>
      <c r="D175" s="20">
        <v>37018</v>
      </c>
      <c r="E175">
        <v>9660186487</v>
      </c>
      <c r="F175" t="s">
        <v>5504</v>
      </c>
      <c r="G175" t="s">
        <v>5243</v>
      </c>
      <c r="H175" t="s">
        <v>5112</v>
      </c>
      <c r="I175" t="s">
        <v>38</v>
      </c>
      <c r="J175" t="s">
        <v>44</v>
      </c>
      <c r="K175" s="20">
        <v>44497</v>
      </c>
      <c r="L175" t="s">
        <v>5099</v>
      </c>
      <c r="M175" t="s">
        <v>154</v>
      </c>
      <c r="N175" t="s">
        <v>154</v>
      </c>
    </row>
    <row r="176" spans="1:14" x14ac:dyDescent="0.25">
      <c r="A176" t="s">
        <v>1331</v>
      </c>
      <c r="B176" t="s">
        <v>5505</v>
      </c>
      <c r="C176" t="s">
        <v>5090</v>
      </c>
      <c r="D176" s="20">
        <v>26406</v>
      </c>
      <c r="E176">
        <v>9044138459</v>
      </c>
      <c r="F176" t="s">
        <v>5506</v>
      </c>
      <c r="G176" t="s">
        <v>5107</v>
      </c>
      <c r="H176" t="s">
        <v>5098</v>
      </c>
      <c r="I176" t="s">
        <v>42</v>
      </c>
      <c r="J176" t="s">
        <v>44</v>
      </c>
      <c r="K176" s="20">
        <v>44076</v>
      </c>
      <c r="L176" t="s">
        <v>5182</v>
      </c>
      <c r="M176" t="s">
        <v>154</v>
      </c>
      <c r="N176" t="s">
        <v>154</v>
      </c>
    </row>
    <row r="177" spans="1:14" x14ac:dyDescent="0.25">
      <c r="A177" t="s">
        <v>3651</v>
      </c>
      <c r="B177" t="s">
        <v>5507</v>
      </c>
      <c r="C177" t="s">
        <v>5115</v>
      </c>
      <c r="D177" s="20">
        <v>28146</v>
      </c>
      <c r="E177">
        <v>9542770707</v>
      </c>
      <c r="F177" t="s">
        <v>5508</v>
      </c>
      <c r="G177" t="s">
        <v>5276</v>
      </c>
      <c r="H177" t="s">
        <v>5118</v>
      </c>
      <c r="I177" t="s">
        <v>40</v>
      </c>
      <c r="J177" t="s">
        <v>43</v>
      </c>
      <c r="K177" s="20">
        <v>44358</v>
      </c>
      <c r="L177" t="s">
        <v>5108</v>
      </c>
      <c r="M177" t="s">
        <v>154</v>
      </c>
      <c r="N177" t="s">
        <v>154</v>
      </c>
    </row>
    <row r="178" spans="1:14" x14ac:dyDescent="0.25">
      <c r="A178" t="s">
        <v>3631</v>
      </c>
      <c r="B178" t="s">
        <v>5509</v>
      </c>
      <c r="C178" t="s">
        <v>5090</v>
      </c>
      <c r="D178" s="20">
        <v>27312</v>
      </c>
      <c r="E178">
        <v>9985172444</v>
      </c>
      <c r="F178" t="s">
        <v>5510</v>
      </c>
      <c r="G178" t="s">
        <v>5136</v>
      </c>
      <c r="H178" t="s">
        <v>5098</v>
      </c>
      <c r="I178" t="s">
        <v>42</v>
      </c>
      <c r="J178" t="s">
        <v>41</v>
      </c>
      <c r="K178" s="20">
        <v>43426</v>
      </c>
      <c r="L178" t="s">
        <v>5152</v>
      </c>
      <c r="M178" t="s">
        <v>154</v>
      </c>
      <c r="N178" t="s">
        <v>154</v>
      </c>
    </row>
    <row r="179" spans="1:14" x14ac:dyDescent="0.25">
      <c r="A179" t="s">
        <v>1263</v>
      </c>
      <c r="B179" t="s">
        <v>5511</v>
      </c>
      <c r="C179" t="s">
        <v>5115</v>
      </c>
      <c r="D179" s="20">
        <v>38017</v>
      </c>
      <c r="E179">
        <v>9287950830</v>
      </c>
      <c r="F179" t="s">
        <v>5512</v>
      </c>
      <c r="G179" t="s">
        <v>5271</v>
      </c>
      <c r="H179" t="s">
        <v>5112</v>
      </c>
      <c r="I179" t="s">
        <v>38</v>
      </c>
      <c r="J179" t="s">
        <v>43</v>
      </c>
      <c r="K179" s="20">
        <v>43569</v>
      </c>
      <c r="L179" t="s">
        <v>5123</v>
      </c>
      <c r="M179" t="s">
        <v>154</v>
      </c>
      <c r="N179" t="s">
        <v>154</v>
      </c>
    </row>
    <row r="180" spans="1:14" x14ac:dyDescent="0.25">
      <c r="A180" t="s">
        <v>3043</v>
      </c>
      <c r="B180" t="s">
        <v>5513</v>
      </c>
      <c r="C180" t="s">
        <v>5090</v>
      </c>
      <c r="D180" s="20">
        <v>32597</v>
      </c>
      <c r="E180">
        <v>9871813359</v>
      </c>
      <c r="F180" t="s">
        <v>5514</v>
      </c>
      <c r="G180" t="s">
        <v>5366</v>
      </c>
      <c r="H180" t="s">
        <v>5103</v>
      </c>
      <c r="I180" t="s">
        <v>38</v>
      </c>
      <c r="J180" t="s">
        <v>43</v>
      </c>
      <c r="K180" s="20">
        <v>43548</v>
      </c>
      <c r="L180" t="s">
        <v>5104</v>
      </c>
      <c r="M180" t="s">
        <v>154</v>
      </c>
      <c r="N180" t="s">
        <v>154</v>
      </c>
    </row>
    <row r="181" spans="1:14" x14ac:dyDescent="0.25">
      <c r="A181" t="s">
        <v>3221</v>
      </c>
      <c r="B181" t="s">
        <v>5473</v>
      </c>
      <c r="C181" t="s">
        <v>5090</v>
      </c>
      <c r="D181" s="20">
        <v>34259</v>
      </c>
      <c r="E181">
        <v>9556574902</v>
      </c>
      <c r="F181" t="s">
        <v>5515</v>
      </c>
      <c r="G181" t="s">
        <v>5145</v>
      </c>
      <c r="H181" t="s">
        <v>5098</v>
      </c>
      <c r="I181" t="s">
        <v>42</v>
      </c>
      <c r="J181" t="s">
        <v>43</v>
      </c>
      <c r="K181" s="20">
        <v>44438</v>
      </c>
      <c r="L181" t="s">
        <v>5099</v>
      </c>
      <c r="M181" t="s">
        <v>154</v>
      </c>
      <c r="N181" t="s">
        <v>154</v>
      </c>
    </row>
    <row r="182" spans="1:14" x14ac:dyDescent="0.25">
      <c r="A182" t="s">
        <v>4424</v>
      </c>
      <c r="B182" t="s">
        <v>5516</v>
      </c>
      <c r="C182" t="s">
        <v>5115</v>
      </c>
      <c r="D182" s="20">
        <v>24161</v>
      </c>
      <c r="E182">
        <v>9895369026</v>
      </c>
      <c r="F182" t="s">
        <v>5517</v>
      </c>
      <c r="G182" t="s">
        <v>5366</v>
      </c>
      <c r="H182" t="s">
        <v>5103</v>
      </c>
      <c r="I182" t="s">
        <v>38</v>
      </c>
      <c r="J182" t="s">
        <v>43</v>
      </c>
      <c r="K182" s="20">
        <v>44383</v>
      </c>
      <c r="L182" t="s">
        <v>5186</v>
      </c>
      <c r="M182" t="s">
        <v>154</v>
      </c>
      <c r="N182" t="s">
        <v>154</v>
      </c>
    </row>
    <row r="183" spans="1:14" x14ac:dyDescent="0.25">
      <c r="A183" t="s">
        <v>2420</v>
      </c>
      <c r="B183" t="s">
        <v>5518</v>
      </c>
      <c r="C183" t="s">
        <v>5090</v>
      </c>
      <c r="D183" s="20">
        <v>31992</v>
      </c>
      <c r="E183">
        <v>9180978875</v>
      </c>
      <c r="F183" t="s">
        <v>5519</v>
      </c>
      <c r="G183" t="s">
        <v>5271</v>
      </c>
      <c r="H183" t="s">
        <v>5112</v>
      </c>
      <c r="I183" t="s">
        <v>38</v>
      </c>
      <c r="J183" t="s">
        <v>39</v>
      </c>
      <c r="K183" s="20">
        <v>44813</v>
      </c>
      <c r="L183" t="s">
        <v>5158</v>
      </c>
      <c r="M183" t="s">
        <v>154</v>
      </c>
      <c r="N183" t="s">
        <v>154</v>
      </c>
    </row>
    <row r="184" spans="1:14" x14ac:dyDescent="0.25">
      <c r="A184" t="s">
        <v>3366</v>
      </c>
      <c r="B184" t="s">
        <v>5520</v>
      </c>
      <c r="C184" t="s">
        <v>5115</v>
      </c>
      <c r="D184" s="20">
        <v>29128</v>
      </c>
      <c r="E184">
        <v>9376515881</v>
      </c>
      <c r="F184" t="s">
        <v>5521</v>
      </c>
      <c r="G184" t="s">
        <v>5174</v>
      </c>
      <c r="H184" t="s">
        <v>5093</v>
      </c>
      <c r="I184" t="s">
        <v>40</v>
      </c>
      <c r="J184" t="s">
        <v>43</v>
      </c>
      <c r="K184" s="20">
        <v>44390</v>
      </c>
      <c r="L184" t="s">
        <v>5211</v>
      </c>
      <c r="M184" t="s">
        <v>154</v>
      </c>
      <c r="N184" t="s">
        <v>154</v>
      </c>
    </row>
    <row r="185" spans="1:14" x14ac:dyDescent="0.25">
      <c r="A185" t="s">
        <v>332</v>
      </c>
      <c r="B185" t="s">
        <v>5522</v>
      </c>
      <c r="C185" t="s">
        <v>5090</v>
      </c>
      <c r="D185" s="20">
        <v>36625</v>
      </c>
      <c r="E185">
        <v>9369294455</v>
      </c>
      <c r="F185" t="s">
        <v>5523</v>
      </c>
      <c r="G185" t="s">
        <v>5155</v>
      </c>
      <c r="H185" t="s">
        <v>5098</v>
      </c>
      <c r="I185" t="s">
        <v>42</v>
      </c>
      <c r="J185" t="s">
        <v>41</v>
      </c>
      <c r="K185" s="20">
        <v>43614</v>
      </c>
      <c r="L185" t="s">
        <v>5158</v>
      </c>
      <c r="M185" t="s">
        <v>154</v>
      </c>
      <c r="N185" t="s">
        <v>154</v>
      </c>
    </row>
    <row r="186" spans="1:14" x14ac:dyDescent="0.25">
      <c r="A186" t="s">
        <v>2561</v>
      </c>
      <c r="B186" t="s">
        <v>5524</v>
      </c>
      <c r="C186" t="s">
        <v>5115</v>
      </c>
      <c r="D186" s="20">
        <v>26174</v>
      </c>
      <c r="E186">
        <v>9702164871</v>
      </c>
      <c r="F186" t="s">
        <v>5525</v>
      </c>
      <c r="G186" t="s">
        <v>5181</v>
      </c>
      <c r="H186" t="s">
        <v>5112</v>
      </c>
      <c r="I186" t="s">
        <v>38</v>
      </c>
      <c r="J186" t="s">
        <v>41</v>
      </c>
      <c r="K186" s="20">
        <v>43912</v>
      </c>
      <c r="L186" t="s">
        <v>5165</v>
      </c>
      <c r="M186" t="s">
        <v>154</v>
      </c>
      <c r="N186" t="s">
        <v>154</v>
      </c>
    </row>
    <row r="187" spans="1:14" x14ac:dyDescent="0.25">
      <c r="A187" t="s">
        <v>3377</v>
      </c>
      <c r="B187" t="s">
        <v>5526</v>
      </c>
      <c r="C187" t="s">
        <v>5090</v>
      </c>
      <c r="D187" s="20">
        <v>35048</v>
      </c>
      <c r="E187">
        <v>9652683415</v>
      </c>
      <c r="F187" t="s">
        <v>5527</v>
      </c>
      <c r="G187" t="s">
        <v>5122</v>
      </c>
      <c r="H187" t="s">
        <v>5093</v>
      </c>
      <c r="I187" t="s">
        <v>40</v>
      </c>
      <c r="J187" t="s">
        <v>43</v>
      </c>
      <c r="K187" s="20">
        <v>45269</v>
      </c>
      <c r="L187" t="s">
        <v>5127</v>
      </c>
      <c r="M187" t="s">
        <v>154</v>
      </c>
      <c r="N187" t="s">
        <v>154</v>
      </c>
    </row>
    <row r="188" spans="1:14" x14ac:dyDescent="0.25">
      <c r="A188" t="s">
        <v>1334</v>
      </c>
      <c r="B188" t="s">
        <v>5528</v>
      </c>
      <c r="C188" t="s">
        <v>5090</v>
      </c>
      <c r="D188" s="20">
        <v>24951</v>
      </c>
      <c r="E188">
        <v>9647229812</v>
      </c>
      <c r="F188" t="s">
        <v>5529</v>
      </c>
      <c r="G188" t="s">
        <v>5117</v>
      </c>
      <c r="H188" t="s">
        <v>5118</v>
      </c>
      <c r="I188" t="s">
        <v>40</v>
      </c>
      <c r="J188" t="s">
        <v>44</v>
      </c>
      <c r="K188" s="20">
        <v>45684</v>
      </c>
      <c r="L188" t="s">
        <v>5146</v>
      </c>
      <c r="M188" t="s">
        <v>154</v>
      </c>
      <c r="N188" t="s">
        <v>154</v>
      </c>
    </row>
    <row r="189" spans="1:14" x14ac:dyDescent="0.25">
      <c r="A189" t="s">
        <v>1481</v>
      </c>
      <c r="B189" t="s">
        <v>5530</v>
      </c>
      <c r="C189" t="s">
        <v>5090</v>
      </c>
      <c r="D189" s="20">
        <v>29958</v>
      </c>
      <c r="E189">
        <v>9134750988</v>
      </c>
      <c r="F189" t="s">
        <v>5531</v>
      </c>
      <c r="G189" t="s">
        <v>5117</v>
      </c>
      <c r="H189" t="s">
        <v>5118</v>
      </c>
      <c r="I189" t="s">
        <v>40</v>
      </c>
      <c r="J189" t="s">
        <v>43</v>
      </c>
      <c r="K189" s="20">
        <v>45509</v>
      </c>
      <c r="L189" t="s">
        <v>5152</v>
      </c>
      <c r="M189" t="s">
        <v>154</v>
      </c>
      <c r="N189" t="s">
        <v>154</v>
      </c>
    </row>
    <row r="190" spans="1:14" x14ac:dyDescent="0.25">
      <c r="A190" t="s">
        <v>284</v>
      </c>
      <c r="B190" t="s">
        <v>5532</v>
      </c>
      <c r="C190" t="s">
        <v>5090</v>
      </c>
      <c r="D190" s="20">
        <v>29031</v>
      </c>
      <c r="E190">
        <v>9368499515</v>
      </c>
      <c r="F190" t="s">
        <v>5533</v>
      </c>
      <c r="G190" t="s">
        <v>5145</v>
      </c>
      <c r="H190" t="s">
        <v>5098</v>
      </c>
      <c r="I190" t="s">
        <v>42</v>
      </c>
      <c r="J190" t="s">
        <v>44</v>
      </c>
      <c r="K190" s="20">
        <v>43687</v>
      </c>
      <c r="L190" t="s">
        <v>5123</v>
      </c>
      <c r="M190" t="s">
        <v>154</v>
      </c>
      <c r="N190" t="s">
        <v>154</v>
      </c>
    </row>
    <row r="191" spans="1:14" x14ac:dyDescent="0.25">
      <c r="A191" t="s">
        <v>2135</v>
      </c>
      <c r="B191" t="s">
        <v>5534</v>
      </c>
      <c r="C191" t="s">
        <v>5115</v>
      </c>
      <c r="D191" s="20">
        <v>31716</v>
      </c>
      <c r="E191">
        <v>9913421388</v>
      </c>
      <c r="F191" t="s">
        <v>5535</v>
      </c>
      <c r="G191" t="s">
        <v>5155</v>
      </c>
      <c r="H191" t="s">
        <v>5098</v>
      </c>
      <c r="I191" t="s">
        <v>42</v>
      </c>
      <c r="J191" t="s">
        <v>44</v>
      </c>
      <c r="K191" s="20">
        <v>44282</v>
      </c>
      <c r="L191" t="s">
        <v>5152</v>
      </c>
      <c r="M191" t="s">
        <v>154</v>
      </c>
      <c r="N191" t="s">
        <v>154</v>
      </c>
    </row>
    <row r="192" spans="1:14" x14ac:dyDescent="0.25">
      <c r="A192" t="s">
        <v>1933</v>
      </c>
      <c r="B192" t="s">
        <v>5536</v>
      </c>
      <c r="C192" t="s">
        <v>5115</v>
      </c>
      <c r="D192" s="20">
        <v>32556</v>
      </c>
      <c r="E192">
        <v>9349678274</v>
      </c>
      <c r="F192" t="s">
        <v>5537</v>
      </c>
      <c r="G192" t="s">
        <v>5301</v>
      </c>
      <c r="H192" t="s">
        <v>5093</v>
      </c>
      <c r="I192" t="s">
        <v>40</v>
      </c>
      <c r="J192" t="s">
        <v>39</v>
      </c>
      <c r="K192" s="20">
        <v>43206</v>
      </c>
      <c r="L192" t="s">
        <v>5094</v>
      </c>
      <c r="M192" t="s">
        <v>154</v>
      </c>
      <c r="N192" t="s">
        <v>154</v>
      </c>
    </row>
    <row r="193" spans="1:14" x14ac:dyDescent="0.25">
      <c r="A193" t="s">
        <v>3352</v>
      </c>
      <c r="B193" t="s">
        <v>5538</v>
      </c>
      <c r="C193" t="s">
        <v>5090</v>
      </c>
      <c r="D193" s="20">
        <v>38306</v>
      </c>
      <c r="E193">
        <v>9151315285</v>
      </c>
      <c r="F193" t="s">
        <v>5539</v>
      </c>
      <c r="G193" t="s">
        <v>5107</v>
      </c>
      <c r="H193" t="s">
        <v>5098</v>
      </c>
      <c r="I193" t="s">
        <v>42</v>
      </c>
      <c r="J193" t="s">
        <v>43</v>
      </c>
      <c r="K193" s="20">
        <v>43661</v>
      </c>
      <c r="L193" t="s">
        <v>5152</v>
      </c>
      <c r="M193" t="s">
        <v>154</v>
      </c>
      <c r="N193" t="s">
        <v>154</v>
      </c>
    </row>
    <row r="194" spans="1:14" x14ac:dyDescent="0.25">
      <c r="A194" t="s">
        <v>2174</v>
      </c>
      <c r="B194" t="s">
        <v>5540</v>
      </c>
      <c r="C194" t="s">
        <v>5115</v>
      </c>
      <c r="D194" s="20">
        <v>35323</v>
      </c>
      <c r="E194">
        <v>9380032963</v>
      </c>
      <c r="F194" t="s">
        <v>5541</v>
      </c>
      <c r="G194" t="s">
        <v>5201</v>
      </c>
      <c r="H194" t="s">
        <v>5118</v>
      </c>
      <c r="I194" t="s">
        <v>40</v>
      </c>
      <c r="J194" t="s">
        <v>39</v>
      </c>
      <c r="K194" s="20">
        <v>45236</v>
      </c>
      <c r="L194" t="s">
        <v>5168</v>
      </c>
      <c r="M194" t="s">
        <v>154</v>
      </c>
      <c r="N194" t="s">
        <v>154</v>
      </c>
    </row>
    <row r="195" spans="1:14" x14ac:dyDescent="0.25">
      <c r="A195" t="s">
        <v>1834</v>
      </c>
      <c r="B195" t="s">
        <v>5542</v>
      </c>
      <c r="C195" t="s">
        <v>5115</v>
      </c>
      <c r="D195" s="20">
        <v>37077</v>
      </c>
      <c r="E195">
        <v>9830617893</v>
      </c>
      <c r="F195" t="s">
        <v>5543</v>
      </c>
      <c r="G195" t="s">
        <v>5196</v>
      </c>
      <c r="H195" t="s">
        <v>5093</v>
      </c>
      <c r="I195" t="s">
        <v>40</v>
      </c>
      <c r="J195" t="s">
        <v>43</v>
      </c>
      <c r="K195" s="20">
        <v>43914</v>
      </c>
      <c r="L195" t="s">
        <v>5104</v>
      </c>
      <c r="M195" t="s">
        <v>154</v>
      </c>
      <c r="N195" t="s">
        <v>154</v>
      </c>
    </row>
    <row r="196" spans="1:14" x14ac:dyDescent="0.25">
      <c r="A196" t="s">
        <v>3982</v>
      </c>
      <c r="B196" t="s">
        <v>5544</v>
      </c>
      <c r="C196" t="s">
        <v>5115</v>
      </c>
      <c r="D196" s="20">
        <v>29973</v>
      </c>
      <c r="E196">
        <v>9243477695</v>
      </c>
      <c r="F196" t="s">
        <v>5545</v>
      </c>
      <c r="G196" t="s">
        <v>5243</v>
      </c>
      <c r="H196" t="s">
        <v>5112</v>
      </c>
      <c r="I196" t="s">
        <v>38</v>
      </c>
      <c r="J196" t="s">
        <v>41</v>
      </c>
      <c r="K196" s="20">
        <v>45084</v>
      </c>
      <c r="L196" t="s">
        <v>5186</v>
      </c>
      <c r="M196" t="s">
        <v>154</v>
      </c>
      <c r="N196" t="s">
        <v>154</v>
      </c>
    </row>
    <row r="197" spans="1:14" x14ac:dyDescent="0.25">
      <c r="A197" t="s">
        <v>605</v>
      </c>
      <c r="B197" t="s">
        <v>5431</v>
      </c>
      <c r="C197" t="s">
        <v>5115</v>
      </c>
      <c r="D197" s="20">
        <v>25584</v>
      </c>
      <c r="E197">
        <v>9612751562</v>
      </c>
      <c r="F197" t="s">
        <v>5546</v>
      </c>
      <c r="G197" t="s">
        <v>5117</v>
      </c>
      <c r="H197" t="s">
        <v>5118</v>
      </c>
      <c r="I197" t="s">
        <v>40</v>
      </c>
      <c r="J197" t="s">
        <v>44</v>
      </c>
      <c r="K197" s="20">
        <v>44433</v>
      </c>
      <c r="L197" t="s">
        <v>5178</v>
      </c>
      <c r="M197" t="s">
        <v>154</v>
      </c>
      <c r="N197" t="s">
        <v>154</v>
      </c>
    </row>
    <row r="198" spans="1:14" x14ac:dyDescent="0.25">
      <c r="A198" t="s">
        <v>3453</v>
      </c>
      <c r="B198" t="s">
        <v>5547</v>
      </c>
      <c r="C198" t="s">
        <v>5090</v>
      </c>
      <c r="D198" s="20">
        <v>30493</v>
      </c>
      <c r="E198">
        <v>9608545667</v>
      </c>
      <c r="F198" t="s">
        <v>5548</v>
      </c>
      <c r="G198" t="s">
        <v>5301</v>
      </c>
      <c r="H198" t="s">
        <v>5093</v>
      </c>
      <c r="I198" t="s">
        <v>40</v>
      </c>
      <c r="J198" t="s">
        <v>43</v>
      </c>
      <c r="K198" s="20">
        <v>45179</v>
      </c>
      <c r="L198" t="s">
        <v>5208</v>
      </c>
      <c r="M198" t="s">
        <v>154</v>
      </c>
      <c r="N198" t="s">
        <v>154</v>
      </c>
    </row>
    <row r="199" spans="1:14" x14ac:dyDescent="0.25">
      <c r="A199" t="s">
        <v>3323</v>
      </c>
      <c r="B199" t="s">
        <v>5549</v>
      </c>
      <c r="C199" t="s">
        <v>5115</v>
      </c>
      <c r="D199" s="20">
        <v>31697</v>
      </c>
      <c r="E199">
        <v>9763928319</v>
      </c>
      <c r="F199" t="s">
        <v>5550</v>
      </c>
      <c r="G199" t="s">
        <v>5174</v>
      </c>
      <c r="H199" t="s">
        <v>5093</v>
      </c>
      <c r="I199" t="s">
        <v>40</v>
      </c>
      <c r="J199" t="s">
        <v>41</v>
      </c>
      <c r="K199" s="20">
        <v>43287</v>
      </c>
      <c r="L199" t="s">
        <v>5113</v>
      </c>
      <c r="M199" t="s">
        <v>154</v>
      </c>
      <c r="N199" t="s">
        <v>154</v>
      </c>
    </row>
    <row r="200" spans="1:14" x14ac:dyDescent="0.25">
      <c r="A200" t="s">
        <v>3037</v>
      </c>
      <c r="B200" t="s">
        <v>5551</v>
      </c>
      <c r="C200" t="s">
        <v>5115</v>
      </c>
      <c r="D200" s="20">
        <v>35575</v>
      </c>
      <c r="E200">
        <v>9810835832</v>
      </c>
      <c r="F200" t="s">
        <v>5552</v>
      </c>
      <c r="G200" t="s">
        <v>5248</v>
      </c>
      <c r="H200" t="s">
        <v>5103</v>
      </c>
      <c r="I200" t="s">
        <v>38</v>
      </c>
      <c r="J200" t="s">
        <v>43</v>
      </c>
      <c r="K200" s="20">
        <v>44466</v>
      </c>
      <c r="L200" t="s">
        <v>5094</v>
      </c>
      <c r="M200" t="s">
        <v>154</v>
      </c>
      <c r="N200" t="s">
        <v>154</v>
      </c>
    </row>
    <row r="201" spans="1:14" x14ac:dyDescent="0.25">
      <c r="A201" t="s">
        <v>1459</v>
      </c>
      <c r="B201" t="s">
        <v>5553</v>
      </c>
      <c r="C201" t="s">
        <v>5115</v>
      </c>
      <c r="D201" s="20">
        <v>36871</v>
      </c>
      <c r="E201">
        <v>9300081867</v>
      </c>
      <c r="F201" t="s">
        <v>5554</v>
      </c>
      <c r="G201" t="s">
        <v>5174</v>
      </c>
      <c r="H201" t="s">
        <v>5093</v>
      </c>
      <c r="I201" t="s">
        <v>40</v>
      </c>
      <c r="J201" t="s">
        <v>39</v>
      </c>
      <c r="K201" s="20">
        <v>43984</v>
      </c>
      <c r="L201" t="s">
        <v>5158</v>
      </c>
      <c r="M201" t="s">
        <v>154</v>
      </c>
      <c r="N201" t="s">
        <v>154</v>
      </c>
    </row>
    <row r="202" spans="1:14" x14ac:dyDescent="0.25">
      <c r="A202" t="s">
        <v>3181</v>
      </c>
      <c r="B202" t="s">
        <v>5555</v>
      </c>
      <c r="C202" t="s">
        <v>5115</v>
      </c>
      <c r="D202" s="20">
        <v>27511</v>
      </c>
      <c r="E202">
        <v>9624111860</v>
      </c>
      <c r="F202" t="s">
        <v>5556</v>
      </c>
      <c r="G202" t="s">
        <v>5301</v>
      </c>
      <c r="H202" t="s">
        <v>5093</v>
      </c>
      <c r="I202" t="s">
        <v>40</v>
      </c>
      <c r="J202" t="s">
        <v>43</v>
      </c>
      <c r="K202" s="20">
        <v>43607</v>
      </c>
      <c r="L202" t="s">
        <v>5127</v>
      </c>
      <c r="M202" t="s">
        <v>154</v>
      </c>
      <c r="N202" t="s">
        <v>154</v>
      </c>
    </row>
    <row r="203" spans="1:14" x14ac:dyDescent="0.25">
      <c r="A203" t="s">
        <v>2373</v>
      </c>
      <c r="B203" t="s">
        <v>5557</v>
      </c>
      <c r="C203" t="s">
        <v>5090</v>
      </c>
      <c r="D203" s="20">
        <v>38799</v>
      </c>
      <c r="E203">
        <v>9945680447</v>
      </c>
      <c r="F203" t="s">
        <v>5558</v>
      </c>
      <c r="G203" t="s">
        <v>5122</v>
      </c>
      <c r="H203" t="s">
        <v>5093</v>
      </c>
      <c r="I203" t="s">
        <v>40</v>
      </c>
      <c r="J203" t="s">
        <v>44</v>
      </c>
      <c r="K203" s="20">
        <v>44703</v>
      </c>
      <c r="L203" t="s">
        <v>5208</v>
      </c>
      <c r="M203" t="s">
        <v>154</v>
      </c>
      <c r="N203" t="s">
        <v>154</v>
      </c>
    </row>
    <row r="204" spans="1:14" x14ac:dyDescent="0.25">
      <c r="A204" t="s">
        <v>1573</v>
      </c>
      <c r="B204" t="s">
        <v>5559</v>
      </c>
      <c r="C204" t="s">
        <v>5115</v>
      </c>
      <c r="D204" s="20">
        <v>28514</v>
      </c>
      <c r="E204">
        <v>9474883607</v>
      </c>
      <c r="F204" t="s">
        <v>5560</v>
      </c>
      <c r="G204" t="s">
        <v>5136</v>
      </c>
      <c r="H204" t="s">
        <v>5098</v>
      </c>
      <c r="I204" t="s">
        <v>42</v>
      </c>
      <c r="J204" t="s">
        <v>43</v>
      </c>
      <c r="K204" s="20">
        <v>44765</v>
      </c>
      <c r="L204" t="s">
        <v>5158</v>
      </c>
      <c r="M204" t="s">
        <v>154</v>
      </c>
      <c r="N204" t="s">
        <v>154</v>
      </c>
    </row>
    <row r="205" spans="1:14" x14ac:dyDescent="0.25">
      <c r="A205" t="s">
        <v>3526</v>
      </c>
      <c r="B205" t="s">
        <v>5561</v>
      </c>
      <c r="C205" t="s">
        <v>5090</v>
      </c>
      <c r="D205" s="20">
        <v>31152</v>
      </c>
      <c r="E205">
        <v>9579145211</v>
      </c>
      <c r="F205" t="s">
        <v>5562</v>
      </c>
      <c r="G205" t="s">
        <v>5301</v>
      </c>
      <c r="H205" t="s">
        <v>5093</v>
      </c>
      <c r="I205" t="s">
        <v>40</v>
      </c>
      <c r="J205" t="s">
        <v>39</v>
      </c>
      <c r="K205" s="20">
        <v>44051</v>
      </c>
      <c r="L205" t="s">
        <v>5146</v>
      </c>
      <c r="M205" t="s">
        <v>154</v>
      </c>
      <c r="N205" t="s">
        <v>154</v>
      </c>
    </row>
    <row r="206" spans="1:14" x14ac:dyDescent="0.25">
      <c r="A206" t="s">
        <v>3012</v>
      </c>
      <c r="B206" t="s">
        <v>5563</v>
      </c>
      <c r="C206" t="s">
        <v>5115</v>
      </c>
      <c r="D206" s="20">
        <v>27838</v>
      </c>
      <c r="E206">
        <v>9930746452</v>
      </c>
      <c r="F206" t="s">
        <v>5564</v>
      </c>
      <c r="G206" t="s">
        <v>5142</v>
      </c>
      <c r="H206" t="s">
        <v>5103</v>
      </c>
      <c r="I206" t="s">
        <v>38</v>
      </c>
      <c r="J206" t="s">
        <v>39</v>
      </c>
      <c r="K206" s="20">
        <v>45040</v>
      </c>
      <c r="L206" t="s">
        <v>5186</v>
      </c>
      <c r="M206" t="s">
        <v>154</v>
      </c>
      <c r="N206" t="s">
        <v>154</v>
      </c>
    </row>
    <row r="207" spans="1:14" x14ac:dyDescent="0.25">
      <c r="A207" t="s">
        <v>762</v>
      </c>
      <c r="B207" t="s">
        <v>5565</v>
      </c>
      <c r="C207" t="s">
        <v>5115</v>
      </c>
      <c r="D207" s="20">
        <v>28136</v>
      </c>
      <c r="E207">
        <v>9535778811</v>
      </c>
      <c r="F207" t="s">
        <v>5566</v>
      </c>
      <c r="G207" t="s">
        <v>5384</v>
      </c>
      <c r="H207" t="s">
        <v>5093</v>
      </c>
      <c r="I207" t="s">
        <v>40</v>
      </c>
      <c r="J207" t="s">
        <v>44</v>
      </c>
      <c r="K207" s="20">
        <v>45335</v>
      </c>
      <c r="L207" t="s">
        <v>5137</v>
      </c>
      <c r="M207" t="s">
        <v>184</v>
      </c>
      <c r="N207" t="s">
        <v>154</v>
      </c>
    </row>
    <row r="208" spans="1:14" x14ac:dyDescent="0.25">
      <c r="A208" t="s">
        <v>2537</v>
      </c>
      <c r="B208" t="s">
        <v>5567</v>
      </c>
      <c r="C208" t="s">
        <v>5090</v>
      </c>
      <c r="D208" s="20">
        <v>36143</v>
      </c>
      <c r="E208">
        <v>9371067287</v>
      </c>
      <c r="F208" t="s">
        <v>5568</v>
      </c>
      <c r="G208" t="s">
        <v>5142</v>
      </c>
      <c r="H208" t="s">
        <v>5103</v>
      </c>
      <c r="I208" t="s">
        <v>38</v>
      </c>
      <c r="J208" t="s">
        <v>39</v>
      </c>
      <c r="K208" s="20">
        <v>43598</v>
      </c>
      <c r="L208" t="s">
        <v>5165</v>
      </c>
      <c r="M208" t="s">
        <v>154</v>
      </c>
      <c r="N208" t="s">
        <v>154</v>
      </c>
    </row>
    <row r="209" spans="1:14" x14ac:dyDescent="0.25">
      <c r="A209" t="s">
        <v>2013</v>
      </c>
      <c r="B209" t="s">
        <v>5569</v>
      </c>
      <c r="C209" t="s">
        <v>5090</v>
      </c>
      <c r="D209" s="20">
        <v>23894</v>
      </c>
      <c r="E209">
        <v>9859592248</v>
      </c>
      <c r="F209" t="s">
        <v>5570</v>
      </c>
      <c r="G209" t="s">
        <v>5201</v>
      </c>
      <c r="H209" t="s">
        <v>5118</v>
      </c>
      <c r="I209" t="s">
        <v>40</v>
      </c>
      <c r="J209" t="s">
        <v>39</v>
      </c>
      <c r="K209" s="20">
        <v>44306</v>
      </c>
      <c r="L209" t="s">
        <v>5152</v>
      </c>
      <c r="M209" t="s">
        <v>154</v>
      </c>
      <c r="N209" t="s">
        <v>154</v>
      </c>
    </row>
    <row r="210" spans="1:14" x14ac:dyDescent="0.25">
      <c r="A210" t="s">
        <v>235</v>
      </c>
      <c r="B210" t="s">
        <v>5571</v>
      </c>
      <c r="C210" t="s">
        <v>5090</v>
      </c>
      <c r="D210" s="20">
        <v>33647</v>
      </c>
      <c r="E210">
        <v>9287056227</v>
      </c>
      <c r="F210" t="s">
        <v>5572</v>
      </c>
      <c r="G210" t="s">
        <v>5117</v>
      </c>
      <c r="H210" t="s">
        <v>5118</v>
      </c>
      <c r="I210" t="s">
        <v>40</v>
      </c>
      <c r="J210" t="s">
        <v>39</v>
      </c>
      <c r="K210" s="20">
        <v>44453</v>
      </c>
      <c r="L210" t="s">
        <v>5182</v>
      </c>
      <c r="M210" t="s">
        <v>154</v>
      </c>
      <c r="N210" t="s">
        <v>154</v>
      </c>
    </row>
    <row r="211" spans="1:14" x14ac:dyDescent="0.25">
      <c r="A211" t="s">
        <v>505</v>
      </c>
      <c r="B211" t="s">
        <v>5573</v>
      </c>
      <c r="C211" t="s">
        <v>5090</v>
      </c>
      <c r="D211" s="20">
        <v>35235</v>
      </c>
      <c r="E211">
        <v>9510979215</v>
      </c>
      <c r="F211" t="s">
        <v>5574</v>
      </c>
      <c r="G211" t="s">
        <v>5185</v>
      </c>
      <c r="H211" t="s">
        <v>5093</v>
      </c>
      <c r="I211" t="s">
        <v>40</v>
      </c>
      <c r="J211" t="s">
        <v>44</v>
      </c>
      <c r="K211" s="20">
        <v>45303</v>
      </c>
      <c r="L211" t="s">
        <v>5146</v>
      </c>
      <c r="M211" t="s">
        <v>154</v>
      </c>
      <c r="N211" t="s">
        <v>154</v>
      </c>
    </row>
    <row r="212" spans="1:14" x14ac:dyDescent="0.25">
      <c r="A212" t="s">
        <v>1341</v>
      </c>
      <c r="B212" t="s">
        <v>5575</v>
      </c>
      <c r="C212" t="s">
        <v>5090</v>
      </c>
      <c r="D212" s="20">
        <v>38945</v>
      </c>
      <c r="E212">
        <v>9459648831</v>
      </c>
      <c r="F212" t="s">
        <v>5576</v>
      </c>
      <c r="G212" t="s">
        <v>5092</v>
      </c>
      <c r="H212" t="s">
        <v>5093</v>
      </c>
      <c r="I212" t="s">
        <v>40</v>
      </c>
      <c r="J212" t="s">
        <v>43</v>
      </c>
      <c r="K212" s="20">
        <v>44846</v>
      </c>
      <c r="L212" t="s">
        <v>5108</v>
      </c>
      <c r="M212" t="s">
        <v>154</v>
      </c>
      <c r="N212" t="s">
        <v>154</v>
      </c>
    </row>
    <row r="213" spans="1:14" x14ac:dyDescent="0.25">
      <c r="A213" t="s">
        <v>2212</v>
      </c>
      <c r="B213" t="s">
        <v>5577</v>
      </c>
      <c r="C213" t="s">
        <v>5115</v>
      </c>
      <c r="D213" s="20">
        <v>26664</v>
      </c>
      <c r="E213">
        <v>9659994973</v>
      </c>
      <c r="F213" t="s">
        <v>5578</v>
      </c>
      <c r="G213" t="s">
        <v>5276</v>
      </c>
      <c r="H213" t="s">
        <v>5118</v>
      </c>
      <c r="I213" t="s">
        <v>40</v>
      </c>
      <c r="J213" t="s">
        <v>43</v>
      </c>
      <c r="K213" s="20">
        <v>45240</v>
      </c>
      <c r="L213" t="s">
        <v>5108</v>
      </c>
      <c r="M213" t="s">
        <v>154</v>
      </c>
      <c r="N213" t="s">
        <v>154</v>
      </c>
    </row>
    <row r="214" spans="1:14" x14ac:dyDescent="0.25">
      <c r="A214" t="s">
        <v>1114</v>
      </c>
      <c r="B214" t="s">
        <v>5579</v>
      </c>
      <c r="C214" t="s">
        <v>5115</v>
      </c>
      <c r="D214" s="20">
        <v>25239</v>
      </c>
      <c r="E214">
        <v>9510287675</v>
      </c>
      <c r="F214" t="s">
        <v>5580</v>
      </c>
      <c r="G214" t="s">
        <v>5243</v>
      </c>
      <c r="H214" t="s">
        <v>5112</v>
      </c>
      <c r="I214" t="s">
        <v>38</v>
      </c>
      <c r="J214" t="s">
        <v>43</v>
      </c>
      <c r="K214" s="20">
        <v>45048</v>
      </c>
      <c r="L214" t="s">
        <v>5119</v>
      </c>
      <c r="M214" t="s">
        <v>154</v>
      </c>
      <c r="N214" t="s">
        <v>154</v>
      </c>
    </row>
    <row r="215" spans="1:14" x14ac:dyDescent="0.25">
      <c r="A215" t="s">
        <v>2045</v>
      </c>
      <c r="B215" t="s">
        <v>5581</v>
      </c>
      <c r="C215" t="s">
        <v>5090</v>
      </c>
      <c r="D215" s="20">
        <v>32920</v>
      </c>
      <c r="E215">
        <v>9485819324</v>
      </c>
      <c r="F215" t="s">
        <v>5582</v>
      </c>
      <c r="G215" t="s">
        <v>5107</v>
      </c>
      <c r="H215" t="s">
        <v>5098</v>
      </c>
      <c r="I215" t="s">
        <v>42</v>
      </c>
      <c r="J215" t="s">
        <v>44</v>
      </c>
      <c r="K215" s="20">
        <v>45044</v>
      </c>
      <c r="L215" t="s">
        <v>5094</v>
      </c>
      <c r="M215" t="s">
        <v>154</v>
      </c>
      <c r="N215" t="s">
        <v>154</v>
      </c>
    </row>
    <row r="216" spans="1:14" x14ac:dyDescent="0.25">
      <c r="A216" t="s">
        <v>1800</v>
      </c>
      <c r="B216" t="s">
        <v>5583</v>
      </c>
      <c r="C216" t="s">
        <v>5090</v>
      </c>
      <c r="D216" s="20">
        <v>35131</v>
      </c>
      <c r="E216">
        <v>9205756398</v>
      </c>
      <c r="F216" t="s">
        <v>5584</v>
      </c>
      <c r="G216" t="s">
        <v>5201</v>
      </c>
      <c r="H216" t="s">
        <v>5118</v>
      </c>
      <c r="I216" t="s">
        <v>40</v>
      </c>
      <c r="J216" t="s">
        <v>41</v>
      </c>
      <c r="K216" s="20">
        <v>44884</v>
      </c>
      <c r="L216" t="s">
        <v>5094</v>
      </c>
      <c r="M216" t="s">
        <v>154</v>
      </c>
      <c r="N216" t="s">
        <v>154</v>
      </c>
    </row>
    <row r="217" spans="1:14" x14ac:dyDescent="0.25">
      <c r="A217" t="s">
        <v>586</v>
      </c>
      <c r="B217" t="s">
        <v>5585</v>
      </c>
      <c r="C217" t="s">
        <v>5115</v>
      </c>
      <c r="D217" s="20">
        <v>26951</v>
      </c>
      <c r="E217">
        <v>9451548094</v>
      </c>
      <c r="F217" t="s">
        <v>5586</v>
      </c>
      <c r="G217" t="s">
        <v>5145</v>
      </c>
      <c r="H217" t="s">
        <v>5098</v>
      </c>
      <c r="I217" t="s">
        <v>42</v>
      </c>
      <c r="J217" t="s">
        <v>39</v>
      </c>
      <c r="K217" s="20">
        <v>43123</v>
      </c>
      <c r="L217" t="s">
        <v>5108</v>
      </c>
      <c r="M217" t="s">
        <v>154</v>
      </c>
      <c r="N217" t="s">
        <v>154</v>
      </c>
    </row>
    <row r="218" spans="1:14" x14ac:dyDescent="0.25">
      <c r="A218" t="s">
        <v>3482</v>
      </c>
      <c r="B218" t="s">
        <v>5587</v>
      </c>
      <c r="C218" t="s">
        <v>5090</v>
      </c>
      <c r="D218" s="20">
        <v>24462</v>
      </c>
      <c r="E218">
        <v>9797727810</v>
      </c>
      <c r="F218" t="s">
        <v>5588</v>
      </c>
      <c r="G218" t="s">
        <v>5126</v>
      </c>
      <c r="H218" t="s">
        <v>5118</v>
      </c>
      <c r="I218" t="s">
        <v>40</v>
      </c>
      <c r="J218" t="s">
        <v>41</v>
      </c>
      <c r="K218" s="20">
        <v>45444</v>
      </c>
      <c r="L218" t="s">
        <v>5119</v>
      </c>
      <c r="M218" t="s">
        <v>184</v>
      </c>
      <c r="N218" t="s">
        <v>154</v>
      </c>
    </row>
    <row r="219" spans="1:14" x14ac:dyDescent="0.25">
      <c r="A219" t="s">
        <v>2407</v>
      </c>
      <c r="B219" t="s">
        <v>5589</v>
      </c>
      <c r="C219" t="s">
        <v>5115</v>
      </c>
      <c r="D219" s="20">
        <v>38012</v>
      </c>
      <c r="E219">
        <v>9705184390</v>
      </c>
      <c r="F219" t="s">
        <v>5590</v>
      </c>
      <c r="G219" t="s">
        <v>5122</v>
      </c>
      <c r="H219" t="s">
        <v>5093</v>
      </c>
      <c r="I219" t="s">
        <v>40</v>
      </c>
      <c r="J219" t="s">
        <v>39</v>
      </c>
      <c r="K219" s="20">
        <v>43590</v>
      </c>
      <c r="L219" t="s">
        <v>5123</v>
      </c>
      <c r="M219" t="s">
        <v>154</v>
      </c>
      <c r="N219" t="s">
        <v>154</v>
      </c>
    </row>
    <row r="220" spans="1:14" x14ac:dyDescent="0.25">
      <c r="A220" t="s">
        <v>3178</v>
      </c>
      <c r="B220" t="s">
        <v>5591</v>
      </c>
      <c r="C220" t="s">
        <v>5090</v>
      </c>
      <c r="D220" s="20">
        <v>38582</v>
      </c>
      <c r="E220">
        <v>9660138241</v>
      </c>
      <c r="F220" t="s">
        <v>5592</v>
      </c>
      <c r="G220" t="s">
        <v>5271</v>
      </c>
      <c r="H220" t="s">
        <v>5112</v>
      </c>
      <c r="I220" t="s">
        <v>38</v>
      </c>
      <c r="J220" t="s">
        <v>44</v>
      </c>
      <c r="K220" s="20">
        <v>45215</v>
      </c>
      <c r="L220" t="s">
        <v>5119</v>
      </c>
      <c r="M220" t="s">
        <v>154</v>
      </c>
      <c r="N220" t="s">
        <v>154</v>
      </c>
    </row>
    <row r="221" spans="1:14" x14ac:dyDescent="0.25">
      <c r="A221" t="s">
        <v>3634</v>
      </c>
      <c r="B221" t="s">
        <v>5593</v>
      </c>
      <c r="C221" t="s">
        <v>5115</v>
      </c>
      <c r="D221" s="20">
        <v>26998</v>
      </c>
      <c r="E221">
        <v>9485157919</v>
      </c>
      <c r="F221" t="s">
        <v>5594</v>
      </c>
      <c r="G221" t="s">
        <v>5181</v>
      </c>
      <c r="H221" t="s">
        <v>5112</v>
      </c>
      <c r="I221" t="s">
        <v>38</v>
      </c>
      <c r="J221" t="s">
        <v>43</v>
      </c>
      <c r="K221" s="20">
        <v>43114</v>
      </c>
      <c r="L221" t="s">
        <v>5113</v>
      </c>
      <c r="M221" t="s">
        <v>154</v>
      </c>
      <c r="N221" t="s">
        <v>154</v>
      </c>
    </row>
    <row r="222" spans="1:14" x14ac:dyDescent="0.25">
      <c r="A222" t="s">
        <v>2487</v>
      </c>
      <c r="B222" t="s">
        <v>5595</v>
      </c>
      <c r="C222" t="s">
        <v>5115</v>
      </c>
      <c r="D222" s="20">
        <v>35695</v>
      </c>
      <c r="E222">
        <v>9203571343</v>
      </c>
      <c r="F222" t="s">
        <v>5596</v>
      </c>
      <c r="G222" t="s">
        <v>5142</v>
      </c>
      <c r="H222" t="s">
        <v>5103</v>
      </c>
      <c r="I222" t="s">
        <v>38</v>
      </c>
      <c r="J222" t="s">
        <v>39</v>
      </c>
      <c r="K222" s="20">
        <v>45667</v>
      </c>
      <c r="L222" t="s">
        <v>5119</v>
      </c>
      <c r="M222" t="s">
        <v>154</v>
      </c>
      <c r="N222" t="s">
        <v>154</v>
      </c>
    </row>
    <row r="223" spans="1:14" x14ac:dyDescent="0.25">
      <c r="A223" t="s">
        <v>400</v>
      </c>
      <c r="B223" t="s">
        <v>5597</v>
      </c>
      <c r="C223" t="s">
        <v>5115</v>
      </c>
      <c r="D223" s="20">
        <v>26659</v>
      </c>
      <c r="E223">
        <v>9343244741</v>
      </c>
      <c r="F223" t="s">
        <v>5598</v>
      </c>
      <c r="G223" t="s">
        <v>5331</v>
      </c>
      <c r="H223" t="s">
        <v>5118</v>
      </c>
      <c r="I223" t="s">
        <v>40</v>
      </c>
      <c r="J223" t="s">
        <v>41</v>
      </c>
      <c r="K223" s="20">
        <v>44796</v>
      </c>
      <c r="L223" t="s">
        <v>5178</v>
      </c>
      <c r="M223" t="s">
        <v>154</v>
      </c>
      <c r="N223" t="s">
        <v>154</v>
      </c>
    </row>
    <row r="224" spans="1:14" x14ac:dyDescent="0.25">
      <c r="A224" t="s">
        <v>1562</v>
      </c>
      <c r="B224" t="s">
        <v>5356</v>
      </c>
      <c r="C224" t="s">
        <v>5115</v>
      </c>
      <c r="D224" s="20">
        <v>36397</v>
      </c>
      <c r="E224">
        <v>9962893654</v>
      </c>
      <c r="F224" t="s">
        <v>5599</v>
      </c>
      <c r="G224" t="s">
        <v>5181</v>
      </c>
      <c r="H224" t="s">
        <v>5112</v>
      </c>
      <c r="I224" t="s">
        <v>38</v>
      </c>
      <c r="J224" t="s">
        <v>44</v>
      </c>
      <c r="K224" s="20">
        <v>43799</v>
      </c>
      <c r="L224" t="s">
        <v>5123</v>
      </c>
      <c r="M224" t="s">
        <v>154</v>
      </c>
      <c r="N224" t="s">
        <v>154</v>
      </c>
    </row>
    <row r="225" spans="1:14" x14ac:dyDescent="0.25">
      <c r="A225" t="s">
        <v>3164</v>
      </c>
      <c r="B225" t="s">
        <v>5600</v>
      </c>
      <c r="C225" t="s">
        <v>5115</v>
      </c>
      <c r="D225" s="20">
        <v>37339</v>
      </c>
      <c r="E225">
        <v>9374018272</v>
      </c>
      <c r="F225" t="s">
        <v>5601</v>
      </c>
      <c r="G225" t="s">
        <v>5201</v>
      </c>
      <c r="H225" t="s">
        <v>5118</v>
      </c>
      <c r="I225" t="s">
        <v>40</v>
      </c>
      <c r="J225" t="s">
        <v>39</v>
      </c>
      <c r="K225" s="20">
        <v>43964</v>
      </c>
      <c r="L225" t="s">
        <v>5152</v>
      </c>
      <c r="M225" t="s">
        <v>154</v>
      </c>
      <c r="N225" t="s">
        <v>154</v>
      </c>
    </row>
    <row r="226" spans="1:14" x14ac:dyDescent="0.25">
      <c r="A226" t="s">
        <v>2099</v>
      </c>
      <c r="B226" t="s">
        <v>5602</v>
      </c>
      <c r="C226" t="s">
        <v>5090</v>
      </c>
      <c r="D226" s="20">
        <v>29934</v>
      </c>
      <c r="E226">
        <v>9026755125</v>
      </c>
      <c r="F226" t="s">
        <v>5603</v>
      </c>
      <c r="G226" t="s">
        <v>5111</v>
      </c>
      <c r="H226" t="s">
        <v>5112</v>
      </c>
      <c r="I226" t="s">
        <v>38</v>
      </c>
      <c r="J226" t="s">
        <v>39</v>
      </c>
      <c r="K226" s="20">
        <v>43529</v>
      </c>
      <c r="L226" t="s">
        <v>5094</v>
      </c>
      <c r="M226" t="s">
        <v>154</v>
      </c>
      <c r="N226" t="s">
        <v>154</v>
      </c>
    </row>
    <row r="227" spans="1:14" x14ac:dyDescent="0.25">
      <c r="A227" t="s">
        <v>1418</v>
      </c>
      <c r="B227" t="s">
        <v>5604</v>
      </c>
      <c r="C227" t="s">
        <v>5115</v>
      </c>
      <c r="D227" s="20">
        <v>36064</v>
      </c>
      <c r="E227">
        <v>9966734595</v>
      </c>
      <c r="F227" t="s">
        <v>5605</v>
      </c>
      <c r="G227" t="s">
        <v>5102</v>
      </c>
      <c r="H227" t="s">
        <v>5103</v>
      </c>
      <c r="I227" t="s">
        <v>38</v>
      </c>
      <c r="J227" t="s">
        <v>44</v>
      </c>
      <c r="K227" s="20">
        <v>44970</v>
      </c>
      <c r="L227" t="s">
        <v>5108</v>
      </c>
      <c r="M227" t="s">
        <v>154</v>
      </c>
      <c r="N227" t="s">
        <v>154</v>
      </c>
    </row>
    <row r="228" spans="1:14" x14ac:dyDescent="0.25">
      <c r="A228" t="s">
        <v>3519</v>
      </c>
      <c r="B228" t="s">
        <v>5606</v>
      </c>
      <c r="C228" t="s">
        <v>5090</v>
      </c>
      <c r="D228" s="20">
        <v>38963</v>
      </c>
      <c r="E228">
        <v>9969028249</v>
      </c>
      <c r="F228" t="s">
        <v>5607</v>
      </c>
      <c r="G228" t="s">
        <v>5384</v>
      </c>
      <c r="H228" t="s">
        <v>5093</v>
      </c>
      <c r="I228" t="s">
        <v>40</v>
      </c>
      <c r="J228" t="s">
        <v>43</v>
      </c>
      <c r="K228" s="20">
        <v>44845</v>
      </c>
      <c r="L228" t="s">
        <v>5152</v>
      </c>
      <c r="M228" t="s">
        <v>154</v>
      </c>
      <c r="N228" t="s">
        <v>154</v>
      </c>
    </row>
    <row r="229" spans="1:14" x14ac:dyDescent="0.25">
      <c r="A229" t="s">
        <v>2439</v>
      </c>
      <c r="B229" t="s">
        <v>5608</v>
      </c>
      <c r="C229" t="s">
        <v>5115</v>
      </c>
      <c r="D229" s="20">
        <v>34612</v>
      </c>
      <c r="E229">
        <v>9576270232</v>
      </c>
      <c r="F229" t="s">
        <v>5609</v>
      </c>
      <c r="G229" t="s">
        <v>5201</v>
      </c>
      <c r="H229" t="s">
        <v>5118</v>
      </c>
      <c r="I229" t="s">
        <v>40</v>
      </c>
      <c r="J229" t="s">
        <v>44</v>
      </c>
      <c r="K229" s="20">
        <v>44367</v>
      </c>
      <c r="L229" t="s">
        <v>5182</v>
      </c>
      <c r="M229" t="s">
        <v>154</v>
      </c>
      <c r="N229" t="s">
        <v>154</v>
      </c>
    </row>
    <row r="230" spans="1:14" x14ac:dyDescent="0.25">
      <c r="A230" t="s">
        <v>1652</v>
      </c>
      <c r="B230" t="s">
        <v>5610</v>
      </c>
      <c r="C230" t="s">
        <v>5115</v>
      </c>
      <c r="D230" s="20">
        <v>37796</v>
      </c>
      <c r="E230">
        <v>9850725178</v>
      </c>
      <c r="F230" t="s">
        <v>5611</v>
      </c>
      <c r="G230" t="s">
        <v>5257</v>
      </c>
      <c r="H230" t="s">
        <v>5093</v>
      </c>
      <c r="I230" t="s">
        <v>40</v>
      </c>
      <c r="J230" t="s">
        <v>43</v>
      </c>
      <c r="K230" s="20">
        <v>44103</v>
      </c>
      <c r="L230" t="s">
        <v>5182</v>
      </c>
      <c r="M230" t="s">
        <v>154</v>
      </c>
      <c r="N230" t="s">
        <v>154</v>
      </c>
    </row>
    <row r="231" spans="1:14" x14ac:dyDescent="0.25">
      <c r="A231" t="s">
        <v>454</v>
      </c>
      <c r="B231" t="s">
        <v>5612</v>
      </c>
      <c r="C231" t="s">
        <v>5090</v>
      </c>
      <c r="D231" s="20">
        <v>37363</v>
      </c>
      <c r="E231">
        <v>9252654696</v>
      </c>
      <c r="F231" t="s">
        <v>5613</v>
      </c>
      <c r="G231" t="s">
        <v>5097</v>
      </c>
      <c r="H231" t="s">
        <v>5098</v>
      </c>
      <c r="I231" t="s">
        <v>42</v>
      </c>
      <c r="J231" t="s">
        <v>43</v>
      </c>
      <c r="K231" s="20">
        <v>43493</v>
      </c>
      <c r="L231" t="s">
        <v>5127</v>
      </c>
      <c r="M231" t="s">
        <v>154</v>
      </c>
      <c r="N231" t="s">
        <v>154</v>
      </c>
    </row>
    <row r="232" spans="1:14" x14ac:dyDescent="0.25">
      <c r="A232" t="s">
        <v>1916</v>
      </c>
      <c r="B232" t="s">
        <v>5563</v>
      </c>
      <c r="C232" t="s">
        <v>5115</v>
      </c>
      <c r="D232" s="20">
        <v>24183</v>
      </c>
      <c r="E232">
        <v>9580996132</v>
      </c>
      <c r="F232" t="s">
        <v>5614</v>
      </c>
      <c r="G232" t="s">
        <v>5238</v>
      </c>
      <c r="H232" t="s">
        <v>5093</v>
      </c>
      <c r="I232" t="s">
        <v>40</v>
      </c>
      <c r="J232" t="s">
        <v>44</v>
      </c>
      <c r="K232" s="20">
        <v>44612</v>
      </c>
      <c r="L232" t="s">
        <v>5094</v>
      </c>
      <c r="M232" t="s">
        <v>154</v>
      </c>
      <c r="N232" t="s">
        <v>154</v>
      </c>
    </row>
    <row r="233" spans="1:14" x14ac:dyDescent="0.25">
      <c r="A233" t="s">
        <v>2698</v>
      </c>
      <c r="B233" t="s">
        <v>5615</v>
      </c>
      <c r="C233" t="s">
        <v>5115</v>
      </c>
      <c r="D233" s="20">
        <v>30876</v>
      </c>
      <c r="E233">
        <v>9244670462</v>
      </c>
      <c r="F233" t="s">
        <v>5616</v>
      </c>
      <c r="G233" t="s">
        <v>5130</v>
      </c>
      <c r="H233" t="s">
        <v>5103</v>
      </c>
      <c r="I233" t="s">
        <v>38</v>
      </c>
      <c r="J233" t="s">
        <v>39</v>
      </c>
      <c r="K233" s="20">
        <v>43837</v>
      </c>
      <c r="L233" t="s">
        <v>5131</v>
      </c>
      <c r="M233" t="s">
        <v>154</v>
      </c>
      <c r="N233" t="s">
        <v>154</v>
      </c>
    </row>
    <row r="234" spans="1:14" x14ac:dyDescent="0.25">
      <c r="A234" t="s">
        <v>1040</v>
      </c>
      <c r="B234" t="s">
        <v>5617</v>
      </c>
      <c r="C234" t="s">
        <v>5115</v>
      </c>
      <c r="D234" s="20">
        <v>31360</v>
      </c>
      <c r="E234">
        <v>9025298670</v>
      </c>
      <c r="F234" t="s">
        <v>5618</v>
      </c>
      <c r="G234" t="s">
        <v>5130</v>
      </c>
      <c r="H234" t="s">
        <v>5103</v>
      </c>
      <c r="I234" t="s">
        <v>38</v>
      </c>
      <c r="J234" t="s">
        <v>44</v>
      </c>
      <c r="K234" s="20">
        <v>43516</v>
      </c>
      <c r="L234" t="s">
        <v>5127</v>
      </c>
      <c r="M234" t="s">
        <v>154</v>
      </c>
      <c r="N234" t="s">
        <v>154</v>
      </c>
    </row>
    <row r="235" spans="1:14" x14ac:dyDescent="0.25">
      <c r="A235" t="s">
        <v>576</v>
      </c>
      <c r="B235" t="s">
        <v>5619</v>
      </c>
      <c r="C235" t="s">
        <v>5090</v>
      </c>
      <c r="D235" s="20">
        <v>36380</v>
      </c>
      <c r="E235">
        <v>9978575851</v>
      </c>
      <c r="F235" t="s">
        <v>5620</v>
      </c>
      <c r="G235" t="s">
        <v>5369</v>
      </c>
      <c r="H235" t="s">
        <v>5103</v>
      </c>
      <c r="I235" t="s">
        <v>38</v>
      </c>
      <c r="J235" t="s">
        <v>39</v>
      </c>
      <c r="K235" s="20">
        <v>45698</v>
      </c>
      <c r="L235" t="s">
        <v>5211</v>
      </c>
      <c r="M235" t="s">
        <v>154</v>
      </c>
      <c r="N235" t="s">
        <v>154</v>
      </c>
    </row>
    <row r="236" spans="1:14" x14ac:dyDescent="0.25">
      <c r="A236" t="s">
        <v>4574</v>
      </c>
      <c r="B236" t="s">
        <v>5621</v>
      </c>
      <c r="C236" t="s">
        <v>5090</v>
      </c>
      <c r="D236" s="20">
        <v>38002</v>
      </c>
      <c r="E236">
        <v>9389760740</v>
      </c>
      <c r="F236" t="s">
        <v>5622</v>
      </c>
      <c r="G236" t="s">
        <v>5142</v>
      </c>
      <c r="H236" t="s">
        <v>5103</v>
      </c>
      <c r="I236" t="s">
        <v>38</v>
      </c>
      <c r="J236" t="s">
        <v>43</v>
      </c>
      <c r="K236" s="20">
        <v>45518</v>
      </c>
      <c r="L236" t="s">
        <v>5152</v>
      </c>
      <c r="M236" t="s">
        <v>154</v>
      </c>
      <c r="N236" t="s">
        <v>154</v>
      </c>
    </row>
    <row r="237" spans="1:14" x14ac:dyDescent="0.25">
      <c r="A237" t="s">
        <v>2002</v>
      </c>
      <c r="B237" t="s">
        <v>5623</v>
      </c>
      <c r="C237" t="s">
        <v>5090</v>
      </c>
      <c r="D237" s="20">
        <v>24563</v>
      </c>
      <c r="E237">
        <v>9408424560</v>
      </c>
      <c r="F237" t="s">
        <v>5624</v>
      </c>
      <c r="G237" t="s">
        <v>5271</v>
      </c>
      <c r="H237" t="s">
        <v>5112</v>
      </c>
      <c r="I237" t="s">
        <v>38</v>
      </c>
      <c r="J237" t="s">
        <v>39</v>
      </c>
      <c r="K237" s="20">
        <v>44844</v>
      </c>
      <c r="L237" t="s">
        <v>5168</v>
      </c>
      <c r="M237" t="s">
        <v>154</v>
      </c>
      <c r="N237" t="s">
        <v>154</v>
      </c>
    </row>
    <row r="238" spans="1:14" x14ac:dyDescent="0.25">
      <c r="A238" t="s">
        <v>853</v>
      </c>
      <c r="B238" t="s">
        <v>5625</v>
      </c>
      <c r="C238" t="s">
        <v>5115</v>
      </c>
      <c r="D238" s="20">
        <v>25572</v>
      </c>
      <c r="E238">
        <v>9218122764</v>
      </c>
      <c r="F238" t="s">
        <v>5626</v>
      </c>
      <c r="G238" t="s">
        <v>5201</v>
      </c>
      <c r="H238" t="s">
        <v>5118</v>
      </c>
      <c r="I238" t="s">
        <v>40</v>
      </c>
      <c r="J238" t="s">
        <v>39</v>
      </c>
      <c r="K238" s="20">
        <v>44723</v>
      </c>
      <c r="L238" t="s">
        <v>5178</v>
      </c>
      <c r="M238" t="s">
        <v>154</v>
      </c>
      <c r="N238" t="s">
        <v>154</v>
      </c>
    </row>
    <row r="239" spans="1:14" x14ac:dyDescent="0.25">
      <c r="A239" t="s">
        <v>219</v>
      </c>
      <c r="B239" t="s">
        <v>5627</v>
      </c>
      <c r="C239" t="s">
        <v>5090</v>
      </c>
      <c r="D239" s="20">
        <v>33066</v>
      </c>
      <c r="E239">
        <v>9291681546</v>
      </c>
      <c r="F239" t="s">
        <v>5628</v>
      </c>
      <c r="G239" t="s">
        <v>5136</v>
      </c>
      <c r="H239" t="s">
        <v>5098</v>
      </c>
      <c r="I239" t="s">
        <v>42</v>
      </c>
      <c r="J239" t="s">
        <v>43</v>
      </c>
      <c r="K239" s="20">
        <v>44627</v>
      </c>
      <c r="L239" t="s">
        <v>5123</v>
      </c>
      <c r="M239" t="s">
        <v>154</v>
      </c>
      <c r="N239" t="s">
        <v>154</v>
      </c>
    </row>
    <row r="240" spans="1:14" x14ac:dyDescent="0.25">
      <c r="A240" t="s">
        <v>2921</v>
      </c>
      <c r="B240" t="s">
        <v>5629</v>
      </c>
      <c r="C240" t="s">
        <v>5115</v>
      </c>
      <c r="D240" s="20">
        <v>37454</v>
      </c>
      <c r="E240">
        <v>9498830597</v>
      </c>
      <c r="F240" t="s">
        <v>5630</v>
      </c>
      <c r="G240" t="s">
        <v>5136</v>
      </c>
      <c r="H240" t="s">
        <v>5098</v>
      </c>
      <c r="I240" t="s">
        <v>42</v>
      </c>
      <c r="J240" t="s">
        <v>44</v>
      </c>
      <c r="K240" s="20">
        <v>45439</v>
      </c>
      <c r="L240" t="s">
        <v>5152</v>
      </c>
      <c r="M240" t="s">
        <v>154</v>
      </c>
      <c r="N240" t="s">
        <v>154</v>
      </c>
    </row>
    <row r="241" spans="1:14" x14ac:dyDescent="0.25">
      <c r="A241" t="s">
        <v>3554</v>
      </c>
      <c r="B241" t="s">
        <v>5631</v>
      </c>
      <c r="C241" t="s">
        <v>5090</v>
      </c>
      <c r="D241" s="20">
        <v>35979</v>
      </c>
      <c r="E241">
        <v>9624406306</v>
      </c>
      <c r="F241" t="s">
        <v>5632</v>
      </c>
      <c r="G241" t="s">
        <v>5092</v>
      </c>
      <c r="H241" t="s">
        <v>5093</v>
      </c>
      <c r="I241" t="s">
        <v>40</v>
      </c>
      <c r="J241" t="s">
        <v>39</v>
      </c>
      <c r="K241" s="20">
        <v>43288</v>
      </c>
      <c r="L241" t="s">
        <v>5099</v>
      </c>
      <c r="M241" t="s">
        <v>154</v>
      </c>
      <c r="N241" t="s">
        <v>154</v>
      </c>
    </row>
    <row r="242" spans="1:14" x14ac:dyDescent="0.25">
      <c r="A242" t="s">
        <v>3837</v>
      </c>
      <c r="B242" t="s">
        <v>5633</v>
      </c>
      <c r="C242" t="s">
        <v>5115</v>
      </c>
      <c r="D242" s="20">
        <v>36690</v>
      </c>
      <c r="E242">
        <v>9319497969</v>
      </c>
      <c r="F242" t="s">
        <v>5634</v>
      </c>
      <c r="G242" t="s">
        <v>5201</v>
      </c>
      <c r="H242" t="s">
        <v>5118</v>
      </c>
      <c r="I242" t="s">
        <v>40</v>
      </c>
      <c r="J242" t="s">
        <v>43</v>
      </c>
      <c r="K242" s="20">
        <v>43175</v>
      </c>
      <c r="L242" t="s">
        <v>5168</v>
      </c>
      <c r="M242" t="s">
        <v>154</v>
      </c>
      <c r="N242" t="s">
        <v>154</v>
      </c>
    </row>
    <row r="243" spans="1:14" x14ac:dyDescent="0.25">
      <c r="A243" t="s">
        <v>2722</v>
      </c>
      <c r="B243" t="s">
        <v>5635</v>
      </c>
      <c r="C243" t="s">
        <v>5090</v>
      </c>
      <c r="D243" s="20">
        <v>23948</v>
      </c>
      <c r="E243">
        <v>9773826460</v>
      </c>
      <c r="F243" t="s">
        <v>5636</v>
      </c>
      <c r="G243" t="s">
        <v>5126</v>
      </c>
      <c r="H243" t="s">
        <v>5118</v>
      </c>
      <c r="I243" t="s">
        <v>40</v>
      </c>
      <c r="J243" t="s">
        <v>39</v>
      </c>
      <c r="K243" s="20">
        <v>44921</v>
      </c>
      <c r="L243" t="s">
        <v>5182</v>
      </c>
      <c r="M243" t="s">
        <v>154</v>
      </c>
      <c r="N243" t="s">
        <v>154</v>
      </c>
    </row>
    <row r="244" spans="1:14" x14ac:dyDescent="0.25">
      <c r="A244" t="s">
        <v>4340</v>
      </c>
      <c r="B244" t="s">
        <v>5637</v>
      </c>
      <c r="C244" t="s">
        <v>5090</v>
      </c>
      <c r="D244" s="20">
        <v>29400</v>
      </c>
      <c r="E244">
        <v>9445770299</v>
      </c>
      <c r="F244" t="s">
        <v>5638</v>
      </c>
      <c r="G244" t="s">
        <v>5151</v>
      </c>
      <c r="H244" t="s">
        <v>5103</v>
      </c>
      <c r="I244" t="s">
        <v>38</v>
      </c>
      <c r="J244" t="s">
        <v>44</v>
      </c>
      <c r="K244" s="20">
        <v>45270</v>
      </c>
      <c r="L244" t="s">
        <v>5094</v>
      </c>
      <c r="M244" t="s">
        <v>154</v>
      </c>
      <c r="N244" t="s">
        <v>154</v>
      </c>
    </row>
    <row r="245" spans="1:14" x14ac:dyDescent="0.25">
      <c r="A245" t="s">
        <v>3932</v>
      </c>
      <c r="B245" t="s">
        <v>5639</v>
      </c>
      <c r="C245" t="s">
        <v>5090</v>
      </c>
      <c r="D245" s="20">
        <v>36275</v>
      </c>
      <c r="E245">
        <v>9682691163</v>
      </c>
      <c r="F245" t="s">
        <v>5640</v>
      </c>
      <c r="G245" t="s">
        <v>5369</v>
      </c>
      <c r="H245" t="s">
        <v>5103</v>
      </c>
      <c r="I245" t="s">
        <v>38</v>
      </c>
      <c r="J245" t="s">
        <v>41</v>
      </c>
      <c r="K245" s="20">
        <v>45111</v>
      </c>
      <c r="L245" t="s">
        <v>5178</v>
      </c>
      <c r="M245" t="s">
        <v>154</v>
      </c>
      <c r="N245" t="s">
        <v>154</v>
      </c>
    </row>
    <row r="246" spans="1:14" x14ac:dyDescent="0.25">
      <c r="A246" t="s">
        <v>2602</v>
      </c>
      <c r="B246" t="s">
        <v>5641</v>
      </c>
      <c r="C246" t="s">
        <v>5090</v>
      </c>
      <c r="D246" s="20">
        <v>37913</v>
      </c>
      <c r="E246">
        <v>9694551588</v>
      </c>
      <c r="F246" t="s">
        <v>5642</v>
      </c>
      <c r="G246" t="s">
        <v>5257</v>
      </c>
      <c r="H246" t="s">
        <v>5093</v>
      </c>
      <c r="I246" t="s">
        <v>40</v>
      </c>
      <c r="J246" t="s">
        <v>41</v>
      </c>
      <c r="K246" s="20">
        <v>44542</v>
      </c>
      <c r="L246" t="s">
        <v>5208</v>
      </c>
      <c r="M246" t="s">
        <v>154</v>
      </c>
      <c r="N246" t="s">
        <v>154</v>
      </c>
    </row>
    <row r="247" spans="1:14" x14ac:dyDescent="0.25">
      <c r="A247" t="s">
        <v>1368</v>
      </c>
      <c r="B247" t="s">
        <v>5643</v>
      </c>
      <c r="C247" t="s">
        <v>5115</v>
      </c>
      <c r="D247" s="20">
        <v>36142</v>
      </c>
      <c r="E247">
        <v>9264085721</v>
      </c>
      <c r="F247" t="s">
        <v>5644</v>
      </c>
      <c r="G247" t="s">
        <v>5145</v>
      </c>
      <c r="H247" t="s">
        <v>5098</v>
      </c>
      <c r="I247" t="s">
        <v>42</v>
      </c>
      <c r="J247" t="s">
        <v>44</v>
      </c>
      <c r="K247" s="20">
        <v>44941</v>
      </c>
      <c r="L247" t="s">
        <v>5165</v>
      </c>
      <c r="M247" t="s">
        <v>154</v>
      </c>
      <c r="N247" t="s">
        <v>154</v>
      </c>
    </row>
    <row r="248" spans="1:14" x14ac:dyDescent="0.25">
      <c r="A248" t="s">
        <v>3248</v>
      </c>
      <c r="B248" t="s">
        <v>5645</v>
      </c>
      <c r="C248" t="s">
        <v>5090</v>
      </c>
      <c r="D248" s="20">
        <v>30465</v>
      </c>
      <c r="E248">
        <v>9981996059</v>
      </c>
      <c r="F248" t="s">
        <v>5646</v>
      </c>
      <c r="G248" t="s">
        <v>5301</v>
      </c>
      <c r="H248" t="s">
        <v>5093</v>
      </c>
      <c r="I248" t="s">
        <v>40</v>
      </c>
      <c r="J248" t="s">
        <v>41</v>
      </c>
      <c r="K248" s="20">
        <v>43668</v>
      </c>
      <c r="L248" t="s">
        <v>5099</v>
      </c>
      <c r="M248" t="s">
        <v>154</v>
      </c>
      <c r="N248" t="s">
        <v>154</v>
      </c>
    </row>
    <row r="249" spans="1:14" x14ac:dyDescent="0.25">
      <c r="A249" t="s">
        <v>1173</v>
      </c>
      <c r="B249" t="s">
        <v>5647</v>
      </c>
      <c r="C249" t="s">
        <v>5115</v>
      </c>
      <c r="D249" s="20">
        <v>29809</v>
      </c>
      <c r="E249">
        <v>9832753273</v>
      </c>
      <c r="F249" t="s">
        <v>5648</v>
      </c>
      <c r="G249" t="s">
        <v>5366</v>
      </c>
      <c r="H249" t="s">
        <v>5103</v>
      </c>
      <c r="I249" t="s">
        <v>38</v>
      </c>
      <c r="J249" t="s">
        <v>44</v>
      </c>
      <c r="K249" s="20">
        <v>44695</v>
      </c>
      <c r="L249" t="s">
        <v>5158</v>
      </c>
      <c r="M249" t="s">
        <v>154</v>
      </c>
      <c r="N249" t="s">
        <v>154</v>
      </c>
    </row>
    <row r="250" spans="1:14" x14ac:dyDescent="0.25">
      <c r="A250" t="s">
        <v>2131</v>
      </c>
      <c r="B250" t="s">
        <v>5649</v>
      </c>
      <c r="C250" t="s">
        <v>5115</v>
      </c>
      <c r="D250" s="20">
        <v>27134</v>
      </c>
      <c r="E250">
        <v>9327819523</v>
      </c>
      <c r="F250" t="s">
        <v>5650</v>
      </c>
      <c r="G250" t="s">
        <v>5181</v>
      </c>
      <c r="H250" t="s">
        <v>5112</v>
      </c>
      <c r="I250" t="s">
        <v>38</v>
      </c>
      <c r="J250" t="s">
        <v>39</v>
      </c>
      <c r="K250" s="20">
        <v>45571</v>
      </c>
      <c r="L250" t="s">
        <v>5146</v>
      </c>
      <c r="M250" t="s">
        <v>154</v>
      </c>
      <c r="N250" t="s">
        <v>154</v>
      </c>
    </row>
    <row r="251" spans="1:14" x14ac:dyDescent="0.25">
      <c r="A251" t="s">
        <v>1607</v>
      </c>
      <c r="B251" t="s">
        <v>5651</v>
      </c>
      <c r="C251" t="s">
        <v>5090</v>
      </c>
      <c r="D251" s="20">
        <v>36008</v>
      </c>
      <c r="E251">
        <v>9164819807</v>
      </c>
      <c r="F251" t="s">
        <v>5652</v>
      </c>
      <c r="G251" t="s">
        <v>5248</v>
      </c>
      <c r="H251" t="s">
        <v>5103</v>
      </c>
      <c r="I251" t="s">
        <v>38</v>
      </c>
      <c r="J251" t="s">
        <v>44</v>
      </c>
      <c r="K251" s="20">
        <v>45026</v>
      </c>
      <c r="L251" t="s">
        <v>5127</v>
      </c>
      <c r="M251" t="s">
        <v>154</v>
      </c>
      <c r="N251" t="s">
        <v>154</v>
      </c>
    </row>
    <row r="252" spans="1:14" x14ac:dyDescent="0.25">
      <c r="A252" t="s">
        <v>2300</v>
      </c>
      <c r="B252" t="s">
        <v>5653</v>
      </c>
      <c r="C252" t="s">
        <v>5090</v>
      </c>
      <c r="D252" s="20">
        <v>37041</v>
      </c>
      <c r="E252">
        <v>9876112491</v>
      </c>
      <c r="F252" t="s">
        <v>5654</v>
      </c>
      <c r="G252" t="s">
        <v>5097</v>
      </c>
      <c r="H252" t="s">
        <v>5098</v>
      </c>
      <c r="I252" t="s">
        <v>42</v>
      </c>
      <c r="J252" t="s">
        <v>44</v>
      </c>
      <c r="K252" s="20">
        <v>44589</v>
      </c>
      <c r="L252" t="s">
        <v>5127</v>
      </c>
      <c r="M252" t="s">
        <v>154</v>
      </c>
      <c r="N252" t="s">
        <v>154</v>
      </c>
    </row>
    <row r="253" spans="1:14" x14ac:dyDescent="0.25">
      <c r="A253" t="s">
        <v>2204</v>
      </c>
      <c r="B253" t="s">
        <v>5655</v>
      </c>
      <c r="C253" t="s">
        <v>5115</v>
      </c>
      <c r="D253" s="20">
        <v>38701</v>
      </c>
      <c r="E253">
        <v>9177345475</v>
      </c>
      <c r="F253" t="s">
        <v>5656</v>
      </c>
      <c r="G253" t="s">
        <v>5196</v>
      </c>
      <c r="H253" t="s">
        <v>5093</v>
      </c>
      <c r="I253" t="s">
        <v>40</v>
      </c>
      <c r="J253" t="s">
        <v>43</v>
      </c>
      <c r="K253" s="20">
        <v>43498</v>
      </c>
      <c r="L253" t="s">
        <v>5168</v>
      </c>
      <c r="M253" t="s">
        <v>154</v>
      </c>
      <c r="N253" t="s">
        <v>154</v>
      </c>
    </row>
    <row r="254" spans="1:14" x14ac:dyDescent="0.25">
      <c r="A254" t="s">
        <v>1507</v>
      </c>
      <c r="B254" t="s">
        <v>5657</v>
      </c>
      <c r="C254" t="s">
        <v>5090</v>
      </c>
      <c r="D254" s="20">
        <v>24328</v>
      </c>
      <c r="E254">
        <v>9595442947</v>
      </c>
      <c r="F254" t="s">
        <v>5658</v>
      </c>
      <c r="G254" t="s">
        <v>5238</v>
      </c>
      <c r="H254" t="s">
        <v>5093</v>
      </c>
      <c r="I254" t="s">
        <v>40</v>
      </c>
      <c r="J254" t="s">
        <v>39</v>
      </c>
      <c r="K254" s="20">
        <v>43207</v>
      </c>
      <c r="L254" t="s">
        <v>5178</v>
      </c>
      <c r="M254" t="s">
        <v>154</v>
      </c>
      <c r="N254" t="s">
        <v>154</v>
      </c>
    </row>
    <row r="255" spans="1:14" x14ac:dyDescent="0.25">
      <c r="A255" t="s">
        <v>5659</v>
      </c>
      <c r="B255" t="s">
        <v>5660</v>
      </c>
      <c r="C255" t="s">
        <v>5090</v>
      </c>
      <c r="D255" s="20">
        <v>26143</v>
      </c>
      <c r="E255">
        <v>9039429045</v>
      </c>
      <c r="F255" t="s">
        <v>5661</v>
      </c>
      <c r="G255" t="s">
        <v>5304</v>
      </c>
      <c r="H255" t="s">
        <v>5112</v>
      </c>
      <c r="I255" t="s">
        <v>38</v>
      </c>
      <c r="J255" t="s">
        <v>44</v>
      </c>
      <c r="K255" s="20">
        <v>44154</v>
      </c>
      <c r="L255" t="s">
        <v>5178</v>
      </c>
      <c r="M255" t="s">
        <v>154</v>
      </c>
      <c r="N255" t="s">
        <v>154</v>
      </c>
    </row>
    <row r="256" spans="1:14" x14ac:dyDescent="0.25">
      <c r="A256" t="s">
        <v>1501</v>
      </c>
      <c r="B256" t="s">
        <v>5662</v>
      </c>
      <c r="C256" t="s">
        <v>5090</v>
      </c>
      <c r="D256" s="20">
        <v>31557</v>
      </c>
      <c r="E256">
        <v>9858567287</v>
      </c>
      <c r="F256" t="s">
        <v>5663</v>
      </c>
      <c r="G256" t="s">
        <v>5243</v>
      </c>
      <c r="H256" t="s">
        <v>5112</v>
      </c>
      <c r="I256" t="s">
        <v>38</v>
      </c>
      <c r="J256" t="s">
        <v>44</v>
      </c>
      <c r="K256" s="20">
        <v>43739</v>
      </c>
      <c r="L256" t="s">
        <v>5108</v>
      </c>
      <c r="M256" t="s">
        <v>154</v>
      </c>
      <c r="N256" t="s">
        <v>154</v>
      </c>
    </row>
    <row r="257" spans="1:14" x14ac:dyDescent="0.25">
      <c r="A257" t="s">
        <v>2542</v>
      </c>
      <c r="B257" t="s">
        <v>5664</v>
      </c>
      <c r="C257" t="s">
        <v>5115</v>
      </c>
      <c r="D257" s="20">
        <v>34699</v>
      </c>
      <c r="E257">
        <v>9249135779</v>
      </c>
      <c r="F257" t="s">
        <v>5665</v>
      </c>
      <c r="G257" t="s">
        <v>5130</v>
      </c>
      <c r="H257" t="s">
        <v>5103</v>
      </c>
      <c r="I257" t="s">
        <v>38</v>
      </c>
      <c r="J257" t="s">
        <v>43</v>
      </c>
      <c r="K257" s="20">
        <v>43946</v>
      </c>
      <c r="L257" t="s">
        <v>5178</v>
      </c>
      <c r="M257" t="s">
        <v>154</v>
      </c>
      <c r="N257" t="s">
        <v>154</v>
      </c>
    </row>
    <row r="258" spans="1:14" x14ac:dyDescent="0.25">
      <c r="A258" t="s">
        <v>1613</v>
      </c>
      <c r="B258" t="s">
        <v>5666</v>
      </c>
      <c r="C258" t="s">
        <v>5090</v>
      </c>
      <c r="D258" s="20">
        <v>35889</v>
      </c>
      <c r="E258">
        <v>9581488810</v>
      </c>
      <c r="F258" t="s">
        <v>5667</v>
      </c>
      <c r="G258" t="s">
        <v>5174</v>
      </c>
      <c r="H258" t="s">
        <v>5093</v>
      </c>
      <c r="I258" t="s">
        <v>40</v>
      </c>
      <c r="J258" t="s">
        <v>44</v>
      </c>
      <c r="K258" s="20">
        <v>44733</v>
      </c>
      <c r="L258" t="s">
        <v>5211</v>
      </c>
      <c r="M258" t="s">
        <v>154</v>
      </c>
      <c r="N258" t="s">
        <v>154</v>
      </c>
    </row>
    <row r="259" spans="1:14" x14ac:dyDescent="0.25">
      <c r="A259" t="s">
        <v>2053</v>
      </c>
      <c r="B259" t="s">
        <v>5668</v>
      </c>
      <c r="C259" t="s">
        <v>5090</v>
      </c>
      <c r="D259" s="20">
        <v>27938</v>
      </c>
      <c r="E259">
        <v>9094841312</v>
      </c>
      <c r="F259" t="s">
        <v>5669</v>
      </c>
      <c r="G259" t="s">
        <v>5185</v>
      </c>
      <c r="H259" t="s">
        <v>5093</v>
      </c>
      <c r="I259" t="s">
        <v>40</v>
      </c>
      <c r="J259" t="s">
        <v>43</v>
      </c>
      <c r="K259" s="20">
        <v>44969</v>
      </c>
      <c r="L259" t="s">
        <v>5165</v>
      </c>
      <c r="M259" t="s">
        <v>154</v>
      </c>
      <c r="N259" t="s">
        <v>154</v>
      </c>
    </row>
    <row r="260" spans="1:14" x14ac:dyDescent="0.25">
      <c r="A260" t="s">
        <v>2522</v>
      </c>
      <c r="B260" t="s">
        <v>5670</v>
      </c>
      <c r="C260" t="s">
        <v>5115</v>
      </c>
      <c r="D260" s="20">
        <v>27739</v>
      </c>
      <c r="E260">
        <v>9805137171</v>
      </c>
      <c r="F260" t="s">
        <v>5671</v>
      </c>
      <c r="G260" t="s">
        <v>5177</v>
      </c>
      <c r="H260" t="s">
        <v>5112</v>
      </c>
      <c r="I260" t="s">
        <v>38</v>
      </c>
      <c r="J260" t="s">
        <v>41</v>
      </c>
      <c r="K260" s="20">
        <v>45002</v>
      </c>
      <c r="L260" t="s">
        <v>5211</v>
      </c>
      <c r="M260" t="s">
        <v>154</v>
      </c>
      <c r="N260" t="s">
        <v>154</v>
      </c>
    </row>
    <row r="261" spans="1:14" x14ac:dyDescent="0.25">
      <c r="A261" t="s">
        <v>3556</v>
      </c>
      <c r="B261" t="s">
        <v>5672</v>
      </c>
      <c r="C261" t="s">
        <v>5115</v>
      </c>
      <c r="D261" s="20">
        <v>27265</v>
      </c>
      <c r="E261">
        <v>9617399704</v>
      </c>
      <c r="F261" t="s">
        <v>5673</v>
      </c>
      <c r="G261" t="s">
        <v>5181</v>
      </c>
      <c r="H261" t="s">
        <v>5112</v>
      </c>
      <c r="I261" t="s">
        <v>38</v>
      </c>
      <c r="J261" t="s">
        <v>43</v>
      </c>
      <c r="K261" s="20">
        <v>43140</v>
      </c>
      <c r="L261" t="s">
        <v>5108</v>
      </c>
      <c r="M261" t="s">
        <v>154</v>
      </c>
      <c r="N261" t="s">
        <v>154</v>
      </c>
    </row>
    <row r="262" spans="1:14" x14ac:dyDescent="0.25">
      <c r="A262" t="s">
        <v>1181</v>
      </c>
      <c r="B262" t="s">
        <v>5674</v>
      </c>
      <c r="C262" t="s">
        <v>5090</v>
      </c>
      <c r="D262" s="20">
        <v>29127</v>
      </c>
      <c r="E262">
        <v>9835488471</v>
      </c>
      <c r="F262" t="s">
        <v>5675</v>
      </c>
      <c r="G262" t="s">
        <v>5181</v>
      </c>
      <c r="H262" t="s">
        <v>5112</v>
      </c>
      <c r="I262" t="s">
        <v>38</v>
      </c>
      <c r="J262" t="s">
        <v>39</v>
      </c>
      <c r="K262" s="20">
        <v>44328</v>
      </c>
      <c r="L262" t="s">
        <v>5152</v>
      </c>
      <c r="M262" t="s">
        <v>154</v>
      </c>
      <c r="N262" t="s">
        <v>154</v>
      </c>
    </row>
    <row r="263" spans="1:14" x14ac:dyDescent="0.25">
      <c r="A263" t="s">
        <v>2683</v>
      </c>
      <c r="B263" t="s">
        <v>5676</v>
      </c>
      <c r="C263" t="s">
        <v>5115</v>
      </c>
      <c r="D263" s="20">
        <v>31451</v>
      </c>
      <c r="E263">
        <v>9175823133</v>
      </c>
      <c r="F263" t="s">
        <v>5677</v>
      </c>
      <c r="G263" t="s">
        <v>5155</v>
      </c>
      <c r="H263" t="s">
        <v>5098</v>
      </c>
      <c r="I263" t="s">
        <v>42</v>
      </c>
      <c r="J263" t="s">
        <v>43</v>
      </c>
      <c r="K263" s="20">
        <v>44870</v>
      </c>
      <c r="L263" t="s">
        <v>5113</v>
      </c>
      <c r="M263" t="s">
        <v>154</v>
      </c>
      <c r="N263" t="s">
        <v>154</v>
      </c>
    </row>
    <row r="264" spans="1:14" x14ac:dyDescent="0.25">
      <c r="A264" t="s">
        <v>1447</v>
      </c>
      <c r="B264" t="s">
        <v>5678</v>
      </c>
      <c r="C264" t="s">
        <v>5090</v>
      </c>
      <c r="D264" s="20">
        <v>31474</v>
      </c>
      <c r="E264">
        <v>9252362292</v>
      </c>
      <c r="F264" t="s">
        <v>5679</v>
      </c>
      <c r="G264" t="s">
        <v>5369</v>
      </c>
      <c r="H264" t="s">
        <v>5103</v>
      </c>
      <c r="I264" t="s">
        <v>38</v>
      </c>
      <c r="J264" t="s">
        <v>44</v>
      </c>
      <c r="K264" s="20">
        <v>43962</v>
      </c>
      <c r="L264" t="s">
        <v>5108</v>
      </c>
      <c r="M264" t="s">
        <v>154</v>
      </c>
      <c r="N264" t="s">
        <v>154</v>
      </c>
    </row>
    <row r="265" spans="1:14" x14ac:dyDescent="0.25">
      <c r="A265" t="s">
        <v>1094</v>
      </c>
      <c r="B265" t="s">
        <v>5680</v>
      </c>
      <c r="C265" t="s">
        <v>5090</v>
      </c>
      <c r="D265" s="20">
        <v>36665</v>
      </c>
      <c r="E265">
        <v>9452455574</v>
      </c>
      <c r="F265" t="s">
        <v>5681</v>
      </c>
      <c r="G265" t="s">
        <v>5097</v>
      </c>
      <c r="H265" t="s">
        <v>5098</v>
      </c>
      <c r="I265" t="s">
        <v>42</v>
      </c>
      <c r="J265" t="s">
        <v>43</v>
      </c>
      <c r="K265" s="20">
        <v>44177</v>
      </c>
      <c r="L265" t="s">
        <v>5137</v>
      </c>
      <c r="M265" t="s">
        <v>154</v>
      </c>
      <c r="N265" t="s">
        <v>184</v>
      </c>
    </row>
    <row r="266" spans="1:14" x14ac:dyDescent="0.25">
      <c r="A266" t="s">
        <v>2686</v>
      </c>
      <c r="B266" t="s">
        <v>5682</v>
      </c>
      <c r="C266" t="s">
        <v>5090</v>
      </c>
      <c r="D266" s="20">
        <v>36231</v>
      </c>
      <c r="E266">
        <v>9740334450</v>
      </c>
      <c r="F266" t="s">
        <v>5683</v>
      </c>
      <c r="G266" t="s">
        <v>5136</v>
      </c>
      <c r="H266" t="s">
        <v>5098</v>
      </c>
      <c r="I266" t="s">
        <v>42</v>
      </c>
      <c r="J266" t="s">
        <v>44</v>
      </c>
      <c r="K266" s="20">
        <v>44549</v>
      </c>
      <c r="L266" t="s">
        <v>5182</v>
      </c>
      <c r="M266" t="s">
        <v>154</v>
      </c>
      <c r="N266" t="s">
        <v>154</v>
      </c>
    </row>
    <row r="267" spans="1:14" x14ac:dyDescent="0.25">
      <c r="A267" t="s">
        <v>1471</v>
      </c>
      <c r="B267" t="s">
        <v>5684</v>
      </c>
      <c r="C267" t="s">
        <v>5115</v>
      </c>
      <c r="D267" s="20">
        <v>32886</v>
      </c>
      <c r="E267">
        <v>9874113257</v>
      </c>
      <c r="F267" t="s">
        <v>5685</v>
      </c>
      <c r="G267" t="s">
        <v>5271</v>
      </c>
      <c r="H267" t="s">
        <v>5112</v>
      </c>
      <c r="I267" t="s">
        <v>38</v>
      </c>
      <c r="J267" t="s">
        <v>43</v>
      </c>
      <c r="K267" s="20">
        <v>43981</v>
      </c>
      <c r="L267" t="s">
        <v>5099</v>
      </c>
      <c r="M267" t="s">
        <v>154</v>
      </c>
      <c r="N267" t="s">
        <v>154</v>
      </c>
    </row>
    <row r="268" spans="1:14" x14ac:dyDescent="0.25">
      <c r="A268" t="s">
        <v>2501</v>
      </c>
      <c r="B268" t="s">
        <v>5686</v>
      </c>
      <c r="C268" t="s">
        <v>5115</v>
      </c>
      <c r="D268" s="20">
        <v>35011</v>
      </c>
      <c r="E268">
        <v>9601054857</v>
      </c>
      <c r="F268" t="s">
        <v>5687</v>
      </c>
      <c r="G268" t="s">
        <v>5155</v>
      </c>
      <c r="H268" t="s">
        <v>5098</v>
      </c>
      <c r="I268" t="s">
        <v>42</v>
      </c>
      <c r="J268" t="s">
        <v>43</v>
      </c>
      <c r="K268" s="20">
        <v>45586</v>
      </c>
      <c r="L268" t="s">
        <v>5108</v>
      </c>
      <c r="M268" t="s">
        <v>154</v>
      </c>
      <c r="N268" t="s">
        <v>154</v>
      </c>
    </row>
    <row r="269" spans="1:14" x14ac:dyDescent="0.25">
      <c r="A269" t="s">
        <v>2041</v>
      </c>
      <c r="B269" t="s">
        <v>5688</v>
      </c>
      <c r="C269" t="s">
        <v>5115</v>
      </c>
      <c r="D269" s="20">
        <v>29060</v>
      </c>
      <c r="E269">
        <v>9938173598</v>
      </c>
      <c r="F269" t="s">
        <v>5689</v>
      </c>
      <c r="G269" t="s">
        <v>5155</v>
      </c>
      <c r="H269" t="s">
        <v>5098</v>
      </c>
      <c r="I269" t="s">
        <v>42</v>
      </c>
      <c r="J269" t="s">
        <v>44</v>
      </c>
      <c r="K269" s="20">
        <v>45516</v>
      </c>
      <c r="L269" t="s">
        <v>5113</v>
      </c>
      <c r="M269" t="s">
        <v>154</v>
      </c>
      <c r="N269" t="s">
        <v>154</v>
      </c>
    </row>
    <row r="270" spans="1:14" x14ac:dyDescent="0.25">
      <c r="A270" t="s">
        <v>1711</v>
      </c>
      <c r="B270" t="s">
        <v>5690</v>
      </c>
      <c r="C270" t="s">
        <v>5090</v>
      </c>
      <c r="D270" s="20">
        <v>26044</v>
      </c>
      <c r="E270">
        <v>9325737553</v>
      </c>
      <c r="F270" t="s">
        <v>5691</v>
      </c>
      <c r="G270" t="s">
        <v>5130</v>
      </c>
      <c r="H270" t="s">
        <v>5103</v>
      </c>
      <c r="I270" t="s">
        <v>38</v>
      </c>
      <c r="J270" t="s">
        <v>44</v>
      </c>
      <c r="K270" s="20">
        <v>44580</v>
      </c>
      <c r="L270" t="s">
        <v>5146</v>
      </c>
      <c r="M270" t="s">
        <v>154</v>
      </c>
      <c r="N270" t="s">
        <v>154</v>
      </c>
    </row>
    <row r="271" spans="1:14" x14ac:dyDescent="0.25">
      <c r="A271" t="s">
        <v>366</v>
      </c>
      <c r="B271" t="s">
        <v>5692</v>
      </c>
      <c r="C271" t="s">
        <v>5115</v>
      </c>
      <c r="D271" s="20">
        <v>25695</v>
      </c>
      <c r="E271">
        <v>9808509608</v>
      </c>
      <c r="F271" t="s">
        <v>5693</v>
      </c>
      <c r="G271" t="s">
        <v>5107</v>
      </c>
      <c r="H271" t="s">
        <v>5098</v>
      </c>
      <c r="I271" t="s">
        <v>42</v>
      </c>
      <c r="J271" t="s">
        <v>39</v>
      </c>
      <c r="K271" s="20">
        <v>45093</v>
      </c>
      <c r="L271" t="s">
        <v>5123</v>
      </c>
      <c r="M271" t="s">
        <v>154</v>
      </c>
      <c r="N271" t="s">
        <v>154</v>
      </c>
    </row>
    <row r="272" spans="1:14" x14ac:dyDescent="0.25">
      <c r="A272" t="s">
        <v>432</v>
      </c>
      <c r="B272" t="s">
        <v>5694</v>
      </c>
      <c r="C272" t="s">
        <v>5090</v>
      </c>
      <c r="D272" s="20">
        <v>33160</v>
      </c>
      <c r="E272">
        <v>9818281979</v>
      </c>
      <c r="F272" t="s">
        <v>5695</v>
      </c>
      <c r="G272" t="s">
        <v>5201</v>
      </c>
      <c r="H272" t="s">
        <v>5118</v>
      </c>
      <c r="I272" t="s">
        <v>40</v>
      </c>
      <c r="J272" t="s">
        <v>44</v>
      </c>
      <c r="K272" s="20">
        <v>45416</v>
      </c>
      <c r="L272" t="s">
        <v>5104</v>
      </c>
      <c r="M272" t="s">
        <v>154</v>
      </c>
      <c r="N272" t="s">
        <v>154</v>
      </c>
    </row>
    <row r="273" spans="1:14" x14ac:dyDescent="0.25">
      <c r="A273" t="s">
        <v>2495</v>
      </c>
      <c r="B273" t="s">
        <v>5631</v>
      </c>
      <c r="C273" t="s">
        <v>5090</v>
      </c>
      <c r="D273" s="20">
        <v>31373</v>
      </c>
      <c r="E273">
        <v>9295786069</v>
      </c>
      <c r="F273" t="s">
        <v>5696</v>
      </c>
      <c r="G273" t="s">
        <v>5097</v>
      </c>
      <c r="H273" t="s">
        <v>5098</v>
      </c>
      <c r="I273" t="s">
        <v>42</v>
      </c>
      <c r="J273" t="s">
        <v>43</v>
      </c>
      <c r="K273" s="20">
        <v>44454</v>
      </c>
      <c r="L273" t="s">
        <v>5104</v>
      </c>
      <c r="M273" t="s">
        <v>154</v>
      </c>
      <c r="N273" t="s">
        <v>154</v>
      </c>
    </row>
    <row r="274" spans="1:14" x14ac:dyDescent="0.25">
      <c r="A274" t="s">
        <v>1867</v>
      </c>
      <c r="B274" t="s">
        <v>5317</v>
      </c>
      <c r="C274" t="s">
        <v>5115</v>
      </c>
      <c r="D274" s="20">
        <v>23882</v>
      </c>
      <c r="E274">
        <v>9958739592</v>
      </c>
      <c r="F274" t="s">
        <v>5697</v>
      </c>
      <c r="G274" t="s">
        <v>5174</v>
      </c>
      <c r="H274" t="s">
        <v>5093</v>
      </c>
      <c r="I274" t="s">
        <v>40</v>
      </c>
      <c r="J274" t="s">
        <v>39</v>
      </c>
      <c r="K274" s="20">
        <v>44161</v>
      </c>
      <c r="L274" t="s">
        <v>5178</v>
      </c>
      <c r="M274" t="s">
        <v>154</v>
      </c>
      <c r="N274" t="s">
        <v>154</v>
      </c>
    </row>
    <row r="275" spans="1:14" x14ac:dyDescent="0.25">
      <c r="A275" t="s">
        <v>1935</v>
      </c>
      <c r="B275" t="s">
        <v>5698</v>
      </c>
      <c r="C275" t="s">
        <v>5090</v>
      </c>
      <c r="D275" s="20">
        <v>26718</v>
      </c>
      <c r="E275">
        <v>9851553334</v>
      </c>
      <c r="F275" t="s">
        <v>5699</v>
      </c>
      <c r="G275" t="s">
        <v>5214</v>
      </c>
      <c r="H275" t="s">
        <v>5103</v>
      </c>
      <c r="I275" t="s">
        <v>38</v>
      </c>
      <c r="J275" t="s">
        <v>39</v>
      </c>
      <c r="K275" s="20">
        <v>43262</v>
      </c>
      <c r="L275" t="s">
        <v>5182</v>
      </c>
      <c r="M275" t="s">
        <v>154</v>
      </c>
      <c r="N275" t="s">
        <v>154</v>
      </c>
    </row>
    <row r="276" spans="1:14" x14ac:dyDescent="0.25">
      <c r="A276" t="s">
        <v>2451</v>
      </c>
      <c r="B276" t="s">
        <v>5700</v>
      </c>
      <c r="C276" t="s">
        <v>5115</v>
      </c>
      <c r="D276" s="20">
        <v>38814</v>
      </c>
      <c r="E276">
        <v>9607360776</v>
      </c>
      <c r="F276" t="s">
        <v>5701</v>
      </c>
      <c r="G276" t="s">
        <v>5174</v>
      </c>
      <c r="H276" t="s">
        <v>5093</v>
      </c>
      <c r="I276" t="s">
        <v>40</v>
      </c>
      <c r="J276" t="s">
        <v>43</v>
      </c>
      <c r="K276" s="20">
        <v>44901</v>
      </c>
      <c r="L276" t="s">
        <v>5211</v>
      </c>
      <c r="M276" t="s">
        <v>154</v>
      </c>
      <c r="N276" t="s">
        <v>154</v>
      </c>
    </row>
    <row r="277" spans="1:14" x14ac:dyDescent="0.25">
      <c r="A277" t="s">
        <v>1580</v>
      </c>
      <c r="B277" t="s">
        <v>5702</v>
      </c>
      <c r="C277" t="s">
        <v>5115</v>
      </c>
      <c r="D277" s="20">
        <v>37087</v>
      </c>
      <c r="E277">
        <v>9812317955</v>
      </c>
      <c r="F277" t="s">
        <v>5703</v>
      </c>
      <c r="G277" t="s">
        <v>5171</v>
      </c>
      <c r="H277" t="s">
        <v>5103</v>
      </c>
      <c r="I277" t="s">
        <v>38</v>
      </c>
      <c r="J277" t="s">
        <v>44</v>
      </c>
      <c r="K277" s="20">
        <v>45176</v>
      </c>
      <c r="L277" t="s">
        <v>5108</v>
      </c>
      <c r="M277" t="s">
        <v>154</v>
      </c>
      <c r="N277" t="s">
        <v>154</v>
      </c>
    </row>
    <row r="278" spans="1:14" x14ac:dyDescent="0.25">
      <c r="A278" t="s">
        <v>1489</v>
      </c>
      <c r="B278" t="s">
        <v>5704</v>
      </c>
      <c r="C278" t="s">
        <v>5115</v>
      </c>
      <c r="D278" s="20">
        <v>29638</v>
      </c>
      <c r="E278">
        <v>9066615541</v>
      </c>
      <c r="F278" t="s">
        <v>5705</v>
      </c>
      <c r="G278" t="s">
        <v>5145</v>
      </c>
      <c r="H278" t="s">
        <v>5098</v>
      </c>
      <c r="I278" t="s">
        <v>42</v>
      </c>
      <c r="J278" t="s">
        <v>39</v>
      </c>
      <c r="K278" s="20">
        <v>44972</v>
      </c>
      <c r="L278" t="s">
        <v>5119</v>
      </c>
      <c r="M278" t="s">
        <v>154</v>
      </c>
      <c r="N278" t="s">
        <v>154</v>
      </c>
    </row>
    <row r="279" spans="1:14" x14ac:dyDescent="0.25">
      <c r="A279" t="s">
        <v>2529</v>
      </c>
      <c r="B279" t="s">
        <v>5706</v>
      </c>
      <c r="C279" t="s">
        <v>5090</v>
      </c>
      <c r="D279" s="20">
        <v>35231</v>
      </c>
      <c r="E279">
        <v>9502329028</v>
      </c>
      <c r="F279" t="s">
        <v>5707</v>
      </c>
      <c r="G279" t="s">
        <v>5248</v>
      </c>
      <c r="H279" t="s">
        <v>5103</v>
      </c>
      <c r="I279" t="s">
        <v>38</v>
      </c>
      <c r="J279" t="s">
        <v>44</v>
      </c>
      <c r="K279" s="20">
        <v>43165</v>
      </c>
      <c r="L279" t="s">
        <v>5152</v>
      </c>
      <c r="M279" t="s">
        <v>154</v>
      </c>
      <c r="N279" t="s">
        <v>154</v>
      </c>
    </row>
    <row r="280" spans="1:14" x14ac:dyDescent="0.25">
      <c r="A280" t="s">
        <v>5708</v>
      </c>
      <c r="B280" t="s">
        <v>5709</v>
      </c>
      <c r="C280" t="s">
        <v>5115</v>
      </c>
      <c r="D280" s="20">
        <v>24745</v>
      </c>
      <c r="E280">
        <v>9962622822</v>
      </c>
      <c r="F280" t="s">
        <v>5710</v>
      </c>
      <c r="G280" t="s">
        <v>5177</v>
      </c>
      <c r="H280" t="s">
        <v>5112</v>
      </c>
      <c r="I280" t="s">
        <v>38</v>
      </c>
      <c r="J280" t="s">
        <v>43</v>
      </c>
      <c r="K280" s="20">
        <v>44301</v>
      </c>
      <c r="L280" t="s">
        <v>5094</v>
      </c>
      <c r="M280" t="s">
        <v>154</v>
      </c>
      <c r="N280" t="s">
        <v>154</v>
      </c>
    </row>
    <row r="281" spans="1:14" x14ac:dyDescent="0.25">
      <c r="A281" t="s">
        <v>4499</v>
      </c>
      <c r="B281" t="s">
        <v>5711</v>
      </c>
      <c r="C281" t="s">
        <v>5090</v>
      </c>
      <c r="D281" s="20">
        <v>24234</v>
      </c>
      <c r="E281">
        <v>9495005070</v>
      </c>
      <c r="F281" t="s">
        <v>5712</v>
      </c>
      <c r="G281" t="s">
        <v>5155</v>
      </c>
      <c r="H281" t="s">
        <v>5098</v>
      </c>
      <c r="I281" t="s">
        <v>42</v>
      </c>
      <c r="J281" t="s">
        <v>39</v>
      </c>
      <c r="K281" s="20">
        <v>45662</v>
      </c>
      <c r="L281" t="s">
        <v>5094</v>
      </c>
      <c r="M281" t="s">
        <v>154</v>
      </c>
      <c r="N281" t="s">
        <v>154</v>
      </c>
    </row>
    <row r="282" spans="1:14" x14ac:dyDescent="0.25">
      <c r="A282" t="s">
        <v>1189</v>
      </c>
      <c r="B282" t="s">
        <v>5713</v>
      </c>
      <c r="C282" t="s">
        <v>5090</v>
      </c>
      <c r="D282" s="20">
        <v>29920</v>
      </c>
      <c r="E282">
        <v>9053161177</v>
      </c>
      <c r="F282" t="s">
        <v>5714</v>
      </c>
      <c r="G282" t="s">
        <v>5271</v>
      </c>
      <c r="H282" t="s">
        <v>5112</v>
      </c>
      <c r="I282" t="s">
        <v>38</v>
      </c>
      <c r="J282" t="s">
        <v>39</v>
      </c>
      <c r="K282" s="20">
        <v>43748</v>
      </c>
      <c r="L282" t="s">
        <v>5211</v>
      </c>
      <c r="M282" t="s">
        <v>154</v>
      </c>
      <c r="N282" t="s">
        <v>154</v>
      </c>
    </row>
    <row r="283" spans="1:14" x14ac:dyDescent="0.25">
      <c r="A283" t="s">
        <v>338</v>
      </c>
      <c r="B283" t="s">
        <v>5715</v>
      </c>
      <c r="C283" t="s">
        <v>5090</v>
      </c>
      <c r="D283" s="20">
        <v>25945</v>
      </c>
      <c r="E283">
        <v>9742585917</v>
      </c>
      <c r="F283" t="s">
        <v>5716</v>
      </c>
      <c r="G283" t="s">
        <v>5177</v>
      </c>
      <c r="H283" t="s">
        <v>5112</v>
      </c>
      <c r="I283" t="s">
        <v>38</v>
      </c>
      <c r="J283" t="s">
        <v>41</v>
      </c>
      <c r="K283" s="20">
        <v>44376</v>
      </c>
      <c r="L283" t="s">
        <v>5137</v>
      </c>
      <c r="M283" t="s">
        <v>154</v>
      </c>
      <c r="N283" t="s">
        <v>154</v>
      </c>
    </row>
    <row r="284" spans="1:14" x14ac:dyDescent="0.25">
      <c r="A284" t="s">
        <v>3009</v>
      </c>
      <c r="B284" t="s">
        <v>5717</v>
      </c>
      <c r="C284" t="s">
        <v>5090</v>
      </c>
      <c r="D284" s="20">
        <v>27336</v>
      </c>
      <c r="E284">
        <v>9116491334</v>
      </c>
      <c r="F284" t="s">
        <v>5718</v>
      </c>
      <c r="G284" t="s">
        <v>5243</v>
      </c>
      <c r="H284" t="s">
        <v>5112</v>
      </c>
      <c r="I284" t="s">
        <v>38</v>
      </c>
      <c r="J284" t="s">
        <v>44</v>
      </c>
      <c r="K284" s="20">
        <v>43685</v>
      </c>
      <c r="L284" t="s">
        <v>5178</v>
      </c>
      <c r="M284" t="s">
        <v>154</v>
      </c>
      <c r="N284" t="s">
        <v>154</v>
      </c>
    </row>
    <row r="285" spans="1:14" x14ac:dyDescent="0.25">
      <c r="A285" t="s">
        <v>1503</v>
      </c>
      <c r="B285" t="s">
        <v>5719</v>
      </c>
      <c r="C285" t="s">
        <v>5090</v>
      </c>
      <c r="D285" s="20">
        <v>35383</v>
      </c>
      <c r="E285">
        <v>9425652906</v>
      </c>
      <c r="F285" t="s">
        <v>5720</v>
      </c>
      <c r="G285" t="s">
        <v>5097</v>
      </c>
      <c r="H285" t="s">
        <v>5098</v>
      </c>
      <c r="I285" t="s">
        <v>42</v>
      </c>
      <c r="J285" t="s">
        <v>41</v>
      </c>
      <c r="K285" s="20">
        <v>45218</v>
      </c>
      <c r="L285" t="s">
        <v>5108</v>
      </c>
      <c r="M285" t="s">
        <v>154</v>
      </c>
      <c r="N285" t="s">
        <v>154</v>
      </c>
    </row>
    <row r="286" spans="1:14" x14ac:dyDescent="0.25">
      <c r="A286" t="s">
        <v>844</v>
      </c>
      <c r="B286" t="s">
        <v>5721</v>
      </c>
      <c r="C286" t="s">
        <v>5090</v>
      </c>
      <c r="D286" s="20">
        <v>26085</v>
      </c>
      <c r="E286">
        <v>9977539673</v>
      </c>
      <c r="F286" t="s">
        <v>5722</v>
      </c>
      <c r="G286" t="s">
        <v>5151</v>
      </c>
      <c r="H286" t="s">
        <v>5103</v>
      </c>
      <c r="I286" t="s">
        <v>38</v>
      </c>
      <c r="J286" t="s">
        <v>43</v>
      </c>
      <c r="K286" s="20">
        <v>44422</v>
      </c>
      <c r="L286" t="s">
        <v>5119</v>
      </c>
      <c r="M286" t="s">
        <v>154</v>
      </c>
      <c r="N286" t="s">
        <v>154</v>
      </c>
    </row>
    <row r="287" spans="1:14" x14ac:dyDescent="0.25">
      <c r="A287" t="s">
        <v>1778</v>
      </c>
      <c r="B287" t="s">
        <v>5723</v>
      </c>
      <c r="C287" t="s">
        <v>5090</v>
      </c>
      <c r="D287" s="20">
        <v>25673</v>
      </c>
      <c r="E287">
        <v>9457871584</v>
      </c>
      <c r="F287" t="s">
        <v>5724</v>
      </c>
      <c r="G287" t="s">
        <v>5276</v>
      </c>
      <c r="H287" t="s">
        <v>5118</v>
      </c>
      <c r="I287" t="s">
        <v>40</v>
      </c>
      <c r="J287" t="s">
        <v>44</v>
      </c>
      <c r="K287" s="20">
        <v>44482</v>
      </c>
      <c r="L287" t="s">
        <v>5165</v>
      </c>
      <c r="M287" t="s">
        <v>154</v>
      </c>
      <c r="N287" t="s">
        <v>154</v>
      </c>
    </row>
    <row r="288" spans="1:14" x14ac:dyDescent="0.25">
      <c r="A288" t="s">
        <v>5725</v>
      </c>
      <c r="B288" t="s">
        <v>5726</v>
      </c>
      <c r="C288" t="s">
        <v>5090</v>
      </c>
      <c r="D288" s="20">
        <v>32644</v>
      </c>
      <c r="E288">
        <v>9184254768</v>
      </c>
      <c r="F288" t="s">
        <v>5727</v>
      </c>
      <c r="G288" t="s">
        <v>5122</v>
      </c>
      <c r="H288" t="s">
        <v>5093</v>
      </c>
      <c r="I288" t="s">
        <v>40</v>
      </c>
      <c r="J288" t="s">
        <v>43</v>
      </c>
      <c r="K288" s="20">
        <v>44974</v>
      </c>
      <c r="L288" t="s">
        <v>5211</v>
      </c>
      <c r="M288" t="s">
        <v>154</v>
      </c>
      <c r="N288" t="s">
        <v>154</v>
      </c>
    </row>
    <row r="289" spans="1:14" x14ac:dyDescent="0.25">
      <c r="A289" t="s">
        <v>1961</v>
      </c>
      <c r="B289" t="s">
        <v>5728</v>
      </c>
      <c r="C289" t="s">
        <v>5090</v>
      </c>
      <c r="D289" s="20">
        <v>30256</v>
      </c>
      <c r="E289">
        <v>9358929880</v>
      </c>
      <c r="F289" t="s">
        <v>5729</v>
      </c>
      <c r="G289" t="s">
        <v>5243</v>
      </c>
      <c r="H289" t="s">
        <v>5112</v>
      </c>
      <c r="I289" t="s">
        <v>38</v>
      </c>
      <c r="J289" t="s">
        <v>43</v>
      </c>
      <c r="K289" s="20">
        <v>44009</v>
      </c>
      <c r="L289" t="s">
        <v>5119</v>
      </c>
      <c r="M289" t="s">
        <v>154</v>
      </c>
      <c r="N289" t="s">
        <v>154</v>
      </c>
    </row>
    <row r="290" spans="1:14" x14ac:dyDescent="0.25">
      <c r="A290" t="s">
        <v>1398</v>
      </c>
      <c r="B290" t="s">
        <v>5730</v>
      </c>
      <c r="C290" t="s">
        <v>5115</v>
      </c>
      <c r="D290" s="20">
        <v>26475</v>
      </c>
      <c r="E290">
        <v>9328963406</v>
      </c>
      <c r="F290" t="s">
        <v>5731</v>
      </c>
      <c r="G290" t="s">
        <v>5331</v>
      </c>
      <c r="H290" t="s">
        <v>5118</v>
      </c>
      <c r="I290" t="s">
        <v>40</v>
      </c>
      <c r="J290" t="s">
        <v>43</v>
      </c>
      <c r="K290" s="20">
        <v>43779</v>
      </c>
      <c r="L290" t="s">
        <v>5099</v>
      </c>
      <c r="M290" t="s">
        <v>154</v>
      </c>
      <c r="N290" t="s">
        <v>154</v>
      </c>
    </row>
    <row r="291" spans="1:14" x14ac:dyDescent="0.25">
      <c r="A291" t="s">
        <v>2011</v>
      </c>
      <c r="B291" t="s">
        <v>5732</v>
      </c>
      <c r="C291" t="s">
        <v>5115</v>
      </c>
      <c r="D291" s="20">
        <v>38386</v>
      </c>
      <c r="E291">
        <v>9148439910</v>
      </c>
      <c r="F291" t="s">
        <v>5733</v>
      </c>
      <c r="G291" t="s">
        <v>5107</v>
      </c>
      <c r="H291" t="s">
        <v>5098</v>
      </c>
      <c r="I291" t="s">
        <v>42</v>
      </c>
      <c r="J291" t="s">
        <v>39</v>
      </c>
      <c r="K291" s="20">
        <v>44329</v>
      </c>
      <c r="L291" t="s">
        <v>5119</v>
      </c>
      <c r="M291" t="s">
        <v>154</v>
      </c>
      <c r="N291" t="s">
        <v>154</v>
      </c>
    </row>
    <row r="292" spans="1:14" x14ac:dyDescent="0.25">
      <c r="A292" t="s">
        <v>4367</v>
      </c>
      <c r="B292" t="s">
        <v>5734</v>
      </c>
      <c r="C292" t="s">
        <v>5115</v>
      </c>
      <c r="D292" s="20">
        <v>36270</v>
      </c>
      <c r="E292">
        <v>9933513426</v>
      </c>
      <c r="F292" t="s">
        <v>5735</v>
      </c>
      <c r="G292" t="s">
        <v>5257</v>
      </c>
      <c r="H292" t="s">
        <v>5093</v>
      </c>
      <c r="I292" t="s">
        <v>40</v>
      </c>
      <c r="J292" t="s">
        <v>44</v>
      </c>
      <c r="K292" s="20">
        <v>44817</v>
      </c>
      <c r="L292" t="s">
        <v>5127</v>
      </c>
      <c r="M292" t="s">
        <v>154</v>
      </c>
      <c r="N292" t="s">
        <v>154</v>
      </c>
    </row>
    <row r="293" spans="1:14" x14ac:dyDescent="0.25">
      <c r="A293" t="s">
        <v>3192</v>
      </c>
      <c r="B293" t="s">
        <v>5736</v>
      </c>
      <c r="C293" t="s">
        <v>5090</v>
      </c>
      <c r="D293" s="20">
        <v>31007</v>
      </c>
      <c r="E293">
        <v>9848197374</v>
      </c>
      <c r="F293" t="s">
        <v>5737</v>
      </c>
      <c r="G293" t="s">
        <v>5092</v>
      </c>
      <c r="H293" t="s">
        <v>5093</v>
      </c>
      <c r="I293" t="s">
        <v>40</v>
      </c>
      <c r="J293" t="s">
        <v>44</v>
      </c>
      <c r="K293" s="20">
        <v>43145</v>
      </c>
      <c r="L293" t="s">
        <v>5211</v>
      </c>
      <c r="M293" t="s">
        <v>154</v>
      </c>
      <c r="N293" t="s">
        <v>154</v>
      </c>
    </row>
    <row r="294" spans="1:14" x14ac:dyDescent="0.25">
      <c r="A294" t="s">
        <v>1812</v>
      </c>
      <c r="B294" t="s">
        <v>5738</v>
      </c>
      <c r="C294" t="s">
        <v>5090</v>
      </c>
      <c r="D294" s="20">
        <v>24896</v>
      </c>
      <c r="E294">
        <v>9417692743</v>
      </c>
      <c r="F294" t="s">
        <v>5739</v>
      </c>
      <c r="G294" t="s">
        <v>5126</v>
      </c>
      <c r="H294" t="s">
        <v>5118</v>
      </c>
      <c r="I294" t="s">
        <v>40</v>
      </c>
      <c r="J294" t="s">
        <v>44</v>
      </c>
      <c r="K294" s="20">
        <v>43268</v>
      </c>
      <c r="L294" t="s">
        <v>5127</v>
      </c>
      <c r="M294" t="s">
        <v>154</v>
      </c>
      <c r="N294" t="s">
        <v>154</v>
      </c>
    </row>
    <row r="295" spans="1:14" x14ac:dyDescent="0.25">
      <c r="A295" t="s">
        <v>1783</v>
      </c>
      <c r="B295" t="s">
        <v>5740</v>
      </c>
      <c r="C295" t="s">
        <v>5115</v>
      </c>
      <c r="D295" s="20">
        <v>37986</v>
      </c>
      <c r="E295">
        <v>9144485645</v>
      </c>
      <c r="F295" t="s">
        <v>5741</v>
      </c>
      <c r="G295" t="s">
        <v>5097</v>
      </c>
      <c r="H295" t="s">
        <v>5098</v>
      </c>
      <c r="I295" t="s">
        <v>42</v>
      </c>
      <c r="J295" t="s">
        <v>44</v>
      </c>
      <c r="K295" s="20">
        <v>44828</v>
      </c>
      <c r="L295" t="s">
        <v>5123</v>
      </c>
      <c r="M295" t="s">
        <v>154</v>
      </c>
      <c r="N295" t="s">
        <v>154</v>
      </c>
    </row>
    <row r="296" spans="1:14" x14ac:dyDescent="0.25">
      <c r="A296" t="s">
        <v>1441</v>
      </c>
      <c r="B296" t="s">
        <v>5742</v>
      </c>
      <c r="C296" t="s">
        <v>5115</v>
      </c>
      <c r="D296" s="20">
        <v>33340</v>
      </c>
      <c r="E296">
        <v>9789969860</v>
      </c>
      <c r="F296" t="s">
        <v>5743</v>
      </c>
      <c r="G296" t="s">
        <v>5155</v>
      </c>
      <c r="H296" t="s">
        <v>5098</v>
      </c>
      <c r="I296" t="s">
        <v>42</v>
      </c>
      <c r="J296" t="s">
        <v>41</v>
      </c>
      <c r="K296" s="20">
        <v>44189</v>
      </c>
      <c r="L296" t="s">
        <v>5211</v>
      </c>
      <c r="M296" t="s">
        <v>154</v>
      </c>
      <c r="N296" t="s">
        <v>154</v>
      </c>
    </row>
    <row r="297" spans="1:14" x14ac:dyDescent="0.25">
      <c r="A297" t="s">
        <v>2115</v>
      </c>
      <c r="B297" t="s">
        <v>5744</v>
      </c>
      <c r="C297" t="s">
        <v>5115</v>
      </c>
      <c r="D297" s="20">
        <v>25298</v>
      </c>
      <c r="E297">
        <v>9605779806</v>
      </c>
      <c r="F297" t="s">
        <v>5745</v>
      </c>
      <c r="G297" t="s">
        <v>5151</v>
      </c>
      <c r="H297" t="s">
        <v>5103</v>
      </c>
      <c r="I297" t="s">
        <v>38</v>
      </c>
      <c r="J297" t="s">
        <v>39</v>
      </c>
      <c r="K297" s="20">
        <v>45574</v>
      </c>
      <c r="L297" t="s">
        <v>5131</v>
      </c>
      <c r="M297" t="s">
        <v>154</v>
      </c>
      <c r="N297" t="s">
        <v>154</v>
      </c>
    </row>
    <row r="298" spans="1:14" x14ac:dyDescent="0.25">
      <c r="A298" t="s">
        <v>2240</v>
      </c>
      <c r="B298" t="s">
        <v>5746</v>
      </c>
      <c r="C298" t="s">
        <v>5090</v>
      </c>
      <c r="D298" s="20">
        <v>33031</v>
      </c>
      <c r="E298">
        <v>9460745553</v>
      </c>
      <c r="F298" t="s">
        <v>5747</v>
      </c>
      <c r="G298" t="s">
        <v>5301</v>
      </c>
      <c r="H298" t="s">
        <v>5093</v>
      </c>
      <c r="I298" t="s">
        <v>40</v>
      </c>
      <c r="J298" t="s">
        <v>41</v>
      </c>
      <c r="K298" s="20">
        <v>44448</v>
      </c>
      <c r="L298" t="s">
        <v>5211</v>
      </c>
      <c r="M298" t="s">
        <v>154</v>
      </c>
      <c r="N298" t="s">
        <v>154</v>
      </c>
    </row>
    <row r="299" spans="1:14" x14ac:dyDescent="0.25">
      <c r="A299" t="s">
        <v>1536</v>
      </c>
      <c r="B299" t="s">
        <v>5748</v>
      </c>
      <c r="C299" t="s">
        <v>5115</v>
      </c>
      <c r="D299" s="20">
        <v>31250</v>
      </c>
      <c r="E299">
        <v>9652715598</v>
      </c>
      <c r="F299" t="s">
        <v>5749</v>
      </c>
      <c r="G299" t="s">
        <v>5331</v>
      </c>
      <c r="H299" t="s">
        <v>5118</v>
      </c>
      <c r="I299" t="s">
        <v>40</v>
      </c>
      <c r="J299" t="s">
        <v>43</v>
      </c>
      <c r="K299" s="20">
        <v>45342</v>
      </c>
      <c r="L299" t="s">
        <v>5168</v>
      </c>
      <c r="M299" t="s">
        <v>154</v>
      </c>
      <c r="N299" t="s">
        <v>154</v>
      </c>
    </row>
    <row r="300" spans="1:14" x14ac:dyDescent="0.25">
      <c r="A300" t="s">
        <v>621</v>
      </c>
      <c r="B300" t="s">
        <v>5750</v>
      </c>
      <c r="C300" t="s">
        <v>5115</v>
      </c>
      <c r="D300" s="20">
        <v>38720</v>
      </c>
      <c r="E300">
        <v>9634755752</v>
      </c>
      <c r="F300" t="s">
        <v>5751</v>
      </c>
      <c r="G300" t="s">
        <v>5248</v>
      </c>
      <c r="H300" t="s">
        <v>5103</v>
      </c>
      <c r="I300" t="s">
        <v>38</v>
      </c>
      <c r="J300" t="s">
        <v>39</v>
      </c>
      <c r="K300" s="20">
        <v>45137</v>
      </c>
      <c r="L300" t="s">
        <v>5165</v>
      </c>
      <c r="M300" t="s">
        <v>154</v>
      </c>
      <c r="N300" t="s">
        <v>154</v>
      </c>
    </row>
    <row r="301" spans="1:14" x14ac:dyDescent="0.25">
      <c r="A301" t="s">
        <v>5752</v>
      </c>
      <c r="B301" t="s">
        <v>5753</v>
      </c>
      <c r="C301" t="s">
        <v>5115</v>
      </c>
      <c r="D301" s="20">
        <v>33275</v>
      </c>
      <c r="E301">
        <v>9882691311</v>
      </c>
      <c r="F301" t="s">
        <v>5754</v>
      </c>
      <c r="G301" t="s">
        <v>5276</v>
      </c>
      <c r="H301" t="s">
        <v>5118</v>
      </c>
      <c r="I301" t="s">
        <v>40</v>
      </c>
      <c r="J301" t="s">
        <v>44</v>
      </c>
      <c r="K301" s="20">
        <v>45396</v>
      </c>
      <c r="L301" t="s">
        <v>5113</v>
      </c>
      <c r="M301" t="s">
        <v>154</v>
      </c>
      <c r="N301" t="s">
        <v>154</v>
      </c>
    </row>
    <row r="302" spans="1:14" x14ac:dyDescent="0.25">
      <c r="A302" t="s">
        <v>459</v>
      </c>
      <c r="B302" t="s">
        <v>5755</v>
      </c>
      <c r="C302" t="s">
        <v>5090</v>
      </c>
      <c r="D302" s="20">
        <v>26131</v>
      </c>
      <c r="E302">
        <v>9149915370</v>
      </c>
      <c r="F302" t="s">
        <v>5756</v>
      </c>
      <c r="G302" t="s">
        <v>5276</v>
      </c>
      <c r="H302" t="s">
        <v>5118</v>
      </c>
      <c r="I302" t="s">
        <v>40</v>
      </c>
      <c r="J302" t="s">
        <v>39</v>
      </c>
      <c r="K302" s="20">
        <v>43645</v>
      </c>
      <c r="L302" t="s">
        <v>5127</v>
      </c>
      <c r="M302" t="s">
        <v>154</v>
      </c>
      <c r="N302" t="s">
        <v>154</v>
      </c>
    </row>
    <row r="303" spans="1:14" x14ac:dyDescent="0.25">
      <c r="A303" t="s">
        <v>2873</v>
      </c>
      <c r="B303" t="s">
        <v>5757</v>
      </c>
      <c r="C303" t="s">
        <v>5090</v>
      </c>
      <c r="D303" s="20">
        <v>31844</v>
      </c>
      <c r="E303">
        <v>9320430977</v>
      </c>
      <c r="F303" t="s">
        <v>5758</v>
      </c>
      <c r="G303" t="s">
        <v>5185</v>
      </c>
      <c r="H303" t="s">
        <v>5093</v>
      </c>
      <c r="I303" t="s">
        <v>40</v>
      </c>
      <c r="J303" t="s">
        <v>43</v>
      </c>
      <c r="K303" s="20">
        <v>44026</v>
      </c>
      <c r="L303" t="s">
        <v>5146</v>
      </c>
      <c r="M303" t="s">
        <v>154</v>
      </c>
      <c r="N303" t="s">
        <v>154</v>
      </c>
    </row>
    <row r="304" spans="1:14" x14ac:dyDescent="0.25">
      <c r="A304" t="s">
        <v>411</v>
      </c>
      <c r="B304" t="s">
        <v>5759</v>
      </c>
      <c r="C304" t="s">
        <v>5090</v>
      </c>
      <c r="D304" s="20">
        <v>26791</v>
      </c>
      <c r="E304">
        <v>9454655358</v>
      </c>
      <c r="F304" t="s">
        <v>5760</v>
      </c>
      <c r="G304" t="s">
        <v>5189</v>
      </c>
      <c r="H304" t="s">
        <v>5112</v>
      </c>
      <c r="I304" t="s">
        <v>38</v>
      </c>
      <c r="J304" t="s">
        <v>39</v>
      </c>
      <c r="K304" s="20">
        <v>45458</v>
      </c>
      <c r="L304" t="s">
        <v>5127</v>
      </c>
      <c r="M304" t="s">
        <v>154</v>
      </c>
      <c r="N304" t="s">
        <v>154</v>
      </c>
    </row>
    <row r="305" spans="1:14" x14ac:dyDescent="0.25">
      <c r="A305" t="s">
        <v>2325</v>
      </c>
      <c r="B305" t="s">
        <v>5761</v>
      </c>
      <c r="C305" t="s">
        <v>5115</v>
      </c>
      <c r="D305" s="20">
        <v>37832</v>
      </c>
      <c r="E305">
        <v>9785193583</v>
      </c>
      <c r="F305" t="s">
        <v>5762</v>
      </c>
      <c r="G305" t="s">
        <v>5384</v>
      </c>
      <c r="H305" t="s">
        <v>5093</v>
      </c>
      <c r="I305" t="s">
        <v>40</v>
      </c>
      <c r="J305" t="s">
        <v>41</v>
      </c>
      <c r="K305" s="20">
        <v>43496</v>
      </c>
      <c r="L305" t="s">
        <v>5186</v>
      </c>
      <c r="M305" t="s">
        <v>154</v>
      </c>
      <c r="N305" t="s">
        <v>154</v>
      </c>
    </row>
    <row r="306" spans="1:14" x14ac:dyDescent="0.25">
      <c r="A306" t="s">
        <v>726</v>
      </c>
      <c r="B306" t="s">
        <v>5763</v>
      </c>
      <c r="C306" t="s">
        <v>5115</v>
      </c>
      <c r="D306" s="20">
        <v>33881</v>
      </c>
      <c r="E306">
        <v>9087805721</v>
      </c>
      <c r="F306" t="s">
        <v>5764</v>
      </c>
      <c r="G306" t="s">
        <v>5107</v>
      </c>
      <c r="H306" t="s">
        <v>5098</v>
      </c>
      <c r="I306" t="s">
        <v>42</v>
      </c>
      <c r="J306" t="s">
        <v>41</v>
      </c>
      <c r="K306" s="20">
        <v>43365</v>
      </c>
      <c r="L306" t="s">
        <v>5165</v>
      </c>
      <c r="M306" t="s">
        <v>154</v>
      </c>
      <c r="N306" t="s">
        <v>154</v>
      </c>
    </row>
    <row r="307" spans="1:14" x14ac:dyDescent="0.25">
      <c r="A307" t="s">
        <v>710</v>
      </c>
      <c r="B307" t="s">
        <v>5765</v>
      </c>
      <c r="C307" t="s">
        <v>5115</v>
      </c>
      <c r="D307" s="20">
        <v>27871</v>
      </c>
      <c r="E307">
        <v>9374845398</v>
      </c>
      <c r="F307" t="s">
        <v>5766</v>
      </c>
      <c r="G307" t="s">
        <v>5366</v>
      </c>
      <c r="H307" t="s">
        <v>5103</v>
      </c>
      <c r="I307" t="s">
        <v>38</v>
      </c>
      <c r="J307" t="s">
        <v>39</v>
      </c>
      <c r="K307" s="20">
        <v>43647</v>
      </c>
      <c r="L307" t="s">
        <v>5127</v>
      </c>
      <c r="M307" t="s">
        <v>154</v>
      </c>
      <c r="N307" t="s">
        <v>154</v>
      </c>
    </row>
    <row r="308" spans="1:14" x14ac:dyDescent="0.25">
      <c r="A308" t="s">
        <v>2036</v>
      </c>
      <c r="B308" t="s">
        <v>5672</v>
      </c>
      <c r="C308" t="s">
        <v>5115</v>
      </c>
      <c r="D308" s="20">
        <v>28895</v>
      </c>
      <c r="E308">
        <v>9119186233</v>
      </c>
      <c r="F308" t="s">
        <v>5767</v>
      </c>
      <c r="G308" t="s">
        <v>5366</v>
      </c>
      <c r="H308" t="s">
        <v>5103</v>
      </c>
      <c r="I308" t="s">
        <v>38</v>
      </c>
      <c r="J308" t="s">
        <v>43</v>
      </c>
      <c r="K308" s="20">
        <v>44568</v>
      </c>
      <c r="L308" t="s">
        <v>5108</v>
      </c>
      <c r="M308" t="s">
        <v>154</v>
      </c>
      <c r="N308" t="s">
        <v>154</v>
      </c>
    </row>
    <row r="309" spans="1:14" x14ac:dyDescent="0.25">
      <c r="A309" t="s">
        <v>676</v>
      </c>
      <c r="B309" t="s">
        <v>5768</v>
      </c>
      <c r="C309" t="s">
        <v>5090</v>
      </c>
      <c r="D309" s="20">
        <v>24226</v>
      </c>
      <c r="E309">
        <v>9696667252</v>
      </c>
      <c r="F309" t="s">
        <v>5769</v>
      </c>
      <c r="G309" t="s">
        <v>5097</v>
      </c>
      <c r="H309" t="s">
        <v>5098</v>
      </c>
      <c r="I309" t="s">
        <v>42</v>
      </c>
      <c r="J309" t="s">
        <v>43</v>
      </c>
      <c r="K309" s="20">
        <v>43465</v>
      </c>
      <c r="L309" t="s">
        <v>5211</v>
      </c>
      <c r="M309" t="s">
        <v>154</v>
      </c>
      <c r="N309" t="s">
        <v>154</v>
      </c>
    </row>
    <row r="310" spans="1:14" x14ac:dyDescent="0.25">
      <c r="A310" t="s">
        <v>776</v>
      </c>
      <c r="B310" t="s">
        <v>5770</v>
      </c>
      <c r="C310" t="s">
        <v>5115</v>
      </c>
      <c r="D310" s="20">
        <v>38145</v>
      </c>
      <c r="E310">
        <v>9335157184</v>
      </c>
      <c r="F310" t="s">
        <v>5771</v>
      </c>
      <c r="G310" t="s">
        <v>5117</v>
      </c>
      <c r="H310" t="s">
        <v>5118</v>
      </c>
      <c r="I310" t="s">
        <v>40</v>
      </c>
      <c r="J310" t="s">
        <v>43</v>
      </c>
      <c r="K310" s="20">
        <v>44168</v>
      </c>
      <c r="L310" t="s">
        <v>5127</v>
      </c>
      <c r="M310" t="s">
        <v>154</v>
      </c>
      <c r="N310" t="s">
        <v>154</v>
      </c>
    </row>
    <row r="311" spans="1:14" x14ac:dyDescent="0.25">
      <c r="A311" t="s">
        <v>528</v>
      </c>
      <c r="B311" t="s">
        <v>5772</v>
      </c>
      <c r="C311" t="s">
        <v>5090</v>
      </c>
      <c r="D311" s="20">
        <v>24712</v>
      </c>
      <c r="E311">
        <v>9056409951</v>
      </c>
      <c r="F311" t="s">
        <v>5773</v>
      </c>
      <c r="G311" t="s">
        <v>5201</v>
      </c>
      <c r="H311" t="s">
        <v>5118</v>
      </c>
      <c r="I311" t="s">
        <v>40</v>
      </c>
      <c r="J311" t="s">
        <v>43</v>
      </c>
      <c r="K311" s="20">
        <v>45268</v>
      </c>
      <c r="L311" t="s">
        <v>5119</v>
      </c>
      <c r="M311" t="s">
        <v>154</v>
      </c>
      <c r="N311" t="s">
        <v>154</v>
      </c>
    </row>
    <row r="312" spans="1:14" x14ac:dyDescent="0.25">
      <c r="A312" t="s">
        <v>3331</v>
      </c>
      <c r="B312" t="s">
        <v>5774</v>
      </c>
      <c r="C312" t="s">
        <v>5115</v>
      </c>
      <c r="D312" s="20">
        <v>32511</v>
      </c>
      <c r="E312">
        <v>9592728270</v>
      </c>
      <c r="F312" t="s">
        <v>5775</v>
      </c>
      <c r="G312" t="s">
        <v>5174</v>
      </c>
      <c r="H312" t="s">
        <v>5093</v>
      </c>
      <c r="I312" t="s">
        <v>40</v>
      </c>
      <c r="J312" t="s">
        <v>43</v>
      </c>
      <c r="K312" s="20">
        <v>43734</v>
      </c>
      <c r="L312" t="s">
        <v>5099</v>
      </c>
      <c r="M312" t="s">
        <v>154</v>
      </c>
      <c r="N312" t="s">
        <v>154</v>
      </c>
    </row>
    <row r="313" spans="1:14" x14ac:dyDescent="0.25">
      <c r="A313" t="s">
        <v>3937</v>
      </c>
      <c r="B313" t="s">
        <v>5776</v>
      </c>
      <c r="C313" t="s">
        <v>5115</v>
      </c>
      <c r="D313" s="20">
        <v>36968</v>
      </c>
      <c r="E313">
        <v>9821739295</v>
      </c>
      <c r="F313" t="s">
        <v>5777</v>
      </c>
      <c r="G313" t="s">
        <v>5126</v>
      </c>
      <c r="H313" t="s">
        <v>5118</v>
      </c>
      <c r="I313" t="s">
        <v>40</v>
      </c>
      <c r="J313" t="s">
        <v>43</v>
      </c>
      <c r="K313" s="20">
        <v>43839</v>
      </c>
      <c r="L313" t="s">
        <v>5108</v>
      </c>
      <c r="M313" t="s">
        <v>154</v>
      </c>
      <c r="N313" t="s">
        <v>154</v>
      </c>
    </row>
    <row r="314" spans="1:14" x14ac:dyDescent="0.25">
      <c r="A314" t="s">
        <v>2276</v>
      </c>
      <c r="B314" t="s">
        <v>5778</v>
      </c>
      <c r="C314" t="s">
        <v>5090</v>
      </c>
      <c r="D314" s="20">
        <v>25649</v>
      </c>
      <c r="E314">
        <v>9373605079</v>
      </c>
      <c r="F314" t="s">
        <v>5779</v>
      </c>
      <c r="G314" t="s">
        <v>5111</v>
      </c>
      <c r="H314" t="s">
        <v>5112</v>
      </c>
      <c r="I314" t="s">
        <v>38</v>
      </c>
      <c r="J314" t="s">
        <v>39</v>
      </c>
      <c r="K314" s="20">
        <v>44598</v>
      </c>
      <c r="L314" t="s">
        <v>5182</v>
      </c>
      <c r="M314" t="s">
        <v>154</v>
      </c>
      <c r="N314" t="s">
        <v>154</v>
      </c>
    </row>
    <row r="315" spans="1:14" x14ac:dyDescent="0.25">
      <c r="A315" t="s">
        <v>3151</v>
      </c>
      <c r="B315" t="s">
        <v>5780</v>
      </c>
      <c r="C315" t="s">
        <v>5090</v>
      </c>
      <c r="D315" s="20">
        <v>38683</v>
      </c>
      <c r="E315">
        <v>9683452734</v>
      </c>
      <c r="F315" t="s">
        <v>5781</v>
      </c>
      <c r="G315" t="s">
        <v>5189</v>
      </c>
      <c r="H315" t="s">
        <v>5112</v>
      </c>
      <c r="I315" t="s">
        <v>38</v>
      </c>
      <c r="J315" t="s">
        <v>41</v>
      </c>
      <c r="K315" s="20">
        <v>45279</v>
      </c>
      <c r="L315" t="s">
        <v>5186</v>
      </c>
      <c r="M315" t="s">
        <v>154</v>
      </c>
      <c r="N315" t="s">
        <v>154</v>
      </c>
    </row>
    <row r="316" spans="1:14" x14ac:dyDescent="0.25">
      <c r="A316" t="s">
        <v>1940</v>
      </c>
      <c r="B316" t="s">
        <v>5782</v>
      </c>
      <c r="C316" t="s">
        <v>5115</v>
      </c>
      <c r="D316" s="20">
        <v>31778</v>
      </c>
      <c r="E316">
        <v>9964740803</v>
      </c>
      <c r="F316" t="s">
        <v>5783</v>
      </c>
      <c r="G316" t="s">
        <v>5102</v>
      </c>
      <c r="H316" t="s">
        <v>5103</v>
      </c>
      <c r="I316" t="s">
        <v>38</v>
      </c>
      <c r="J316" t="s">
        <v>43</v>
      </c>
      <c r="K316" s="20">
        <v>45399</v>
      </c>
      <c r="L316" t="s">
        <v>5137</v>
      </c>
      <c r="M316" t="s">
        <v>154</v>
      </c>
      <c r="N316" t="s">
        <v>154</v>
      </c>
    </row>
    <row r="317" spans="1:14" x14ac:dyDescent="0.25">
      <c r="A317" t="s">
        <v>266</v>
      </c>
      <c r="B317" t="s">
        <v>5604</v>
      </c>
      <c r="C317" t="s">
        <v>5115</v>
      </c>
      <c r="D317" s="20">
        <v>34244</v>
      </c>
      <c r="E317">
        <v>9635806882</v>
      </c>
      <c r="F317" t="s">
        <v>5784</v>
      </c>
      <c r="G317" t="s">
        <v>5201</v>
      </c>
      <c r="H317" t="s">
        <v>5118</v>
      </c>
      <c r="I317" t="s">
        <v>40</v>
      </c>
      <c r="J317" t="s">
        <v>39</v>
      </c>
      <c r="K317" s="20">
        <v>43294</v>
      </c>
      <c r="L317" t="s">
        <v>5113</v>
      </c>
      <c r="M317" t="s">
        <v>154</v>
      </c>
      <c r="N317" t="s">
        <v>154</v>
      </c>
    </row>
    <row r="318" spans="1:14" x14ac:dyDescent="0.25">
      <c r="A318" t="s">
        <v>3203</v>
      </c>
      <c r="B318" t="s">
        <v>5785</v>
      </c>
      <c r="C318" t="s">
        <v>5115</v>
      </c>
      <c r="D318" s="20">
        <v>25359</v>
      </c>
      <c r="E318">
        <v>9373990063</v>
      </c>
      <c r="F318" t="s">
        <v>5786</v>
      </c>
      <c r="G318" t="s">
        <v>5155</v>
      </c>
      <c r="H318" t="s">
        <v>5098</v>
      </c>
      <c r="I318" t="s">
        <v>42</v>
      </c>
      <c r="J318" t="s">
        <v>44</v>
      </c>
      <c r="K318" s="20">
        <v>44412</v>
      </c>
      <c r="L318" t="s">
        <v>5104</v>
      </c>
      <c r="M318" t="s">
        <v>154</v>
      </c>
      <c r="N318" t="s">
        <v>154</v>
      </c>
    </row>
    <row r="319" spans="1:14" x14ac:dyDescent="0.25">
      <c r="A319" t="s">
        <v>1082</v>
      </c>
      <c r="B319" t="s">
        <v>5787</v>
      </c>
      <c r="C319" t="s">
        <v>5090</v>
      </c>
      <c r="D319" s="20">
        <v>34549</v>
      </c>
      <c r="E319">
        <v>9602293946</v>
      </c>
      <c r="F319" t="s">
        <v>5788</v>
      </c>
      <c r="G319" t="s">
        <v>5331</v>
      </c>
      <c r="H319" t="s">
        <v>5118</v>
      </c>
      <c r="I319" t="s">
        <v>40</v>
      </c>
      <c r="J319" t="s">
        <v>44</v>
      </c>
      <c r="K319" s="20">
        <v>44036</v>
      </c>
      <c r="L319" t="s">
        <v>5094</v>
      </c>
      <c r="M319" t="s">
        <v>154</v>
      </c>
      <c r="N319" t="s">
        <v>154</v>
      </c>
    </row>
    <row r="320" spans="1:14" x14ac:dyDescent="0.25">
      <c r="A320" t="s">
        <v>611</v>
      </c>
      <c r="B320" t="s">
        <v>5789</v>
      </c>
      <c r="C320" t="s">
        <v>5090</v>
      </c>
      <c r="D320" s="20">
        <v>38139</v>
      </c>
      <c r="E320">
        <v>9643749060</v>
      </c>
      <c r="F320" t="s">
        <v>5790</v>
      </c>
      <c r="G320" t="s">
        <v>5117</v>
      </c>
      <c r="H320" t="s">
        <v>5118</v>
      </c>
      <c r="I320" t="s">
        <v>40</v>
      </c>
      <c r="J320" t="s">
        <v>44</v>
      </c>
      <c r="K320" s="20">
        <v>44804</v>
      </c>
      <c r="L320" t="s">
        <v>5131</v>
      </c>
      <c r="M320" t="s">
        <v>154</v>
      </c>
      <c r="N320" t="s">
        <v>154</v>
      </c>
    </row>
    <row r="321" spans="1:14" x14ac:dyDescent="0.25">
      <c r="A321" t="s">
        <v>1241</v>
      </c>
      <c r="B321" t="s">
        <v>5791</v>
      </c>
      <c r="C321" t="s">
        <v>5115</v>
      </c>
      <c r="D321" s="20">
        <v>34189</v>
      </c>
      <c r="E321">
        <v>9285246484</v>
      </c>
      <c r="F321" t="s">
        <v>5792</v>
      </c>
      <c r="G321" t="s">
        <v>5171</v>
      </c>
      <c r="H321" t="s">
        <v>5103</v>
      </c>
      <c r="I321" t="s">
        <v>38</v>
      </c>
      <c r="J321" t="s">
        <v>43</v>
      </c>
      <c r="K321" s="20">
        <v>45102</v>
      </c>
      <c r="L321" t="s">
        <v>5104</v>
      </c>
      <c r="M321" t="s">
        <v>154</v>
      </c>
      <c r="N321" t="s">
        <v>154</v>
      </c>
    </row>
    <row r="322" spans="1:14" x14ac:dyDescent="0.25">
      <c r="A322" t="s">
        <v>1635</v>
      </c>
      <c r="B322" t="s">
        <v>5793</v>
      </c>
      <c r="C322" t="s">
        <v>5090</v>
      </c>
      <c r="D322" s="20">
        <v>36211</v>
      </c>
      <c r="E322">
        <v>9873280771</v>
      </c>
      <c r="F322" t="s">
        <v>5794</v>
      </c>
      <c r="G322" t="s">
        <v>5248</v>
      </c>
      <c r="H322" t="s">
        <v>5103</v>
      </c>
      <c r="I322" t="s">
        <v>38</v>
      </c>
      <c r="J322" t="s">
        <v>44</v>
      </c>
      <c r="K322" s="20">
        <v>43928</v>
      </c>
      <c r="L322" t="s">
        <v>5104</v>
      </c>
      <c r="M322" t="s">
        <v>154</v>
      </c>
      <c r="N322" t="s">
        <v>154</v>
      </c>
    </row>
    <row r="323" spans="1:14" x14ac:dyDescent="0.25">
      <c r="A323" t="s">
        <v>1366</v>
      </c>
      <c r="B323" t="s">
        <v>5795</v>
      </c>
      <c r="C323" t="s">
        <v>5115</v>
      </c>
      <c r="D323" s="20">
        <v>25112</v>
      </c>
      <c r="E323">
        <v>9279083350</v>
      </c>
      <c r="F323" t="s">
        <v>5796</v>
      </c>
      <c r="G323" t="s">
        <v>5151</v>
      </c>
      <c r="H323" t="s">
        <v>5103</v>
      </c>
      <c r="I323" t="s">
        <v>38</v>
      </c>
      <c r="J323" t="s">
        <v>39</v>
      </c>
      <c r="K323" s="20">
        <v>44620</v>
      </c>
      <c r="L323" t="s">
        <v>5146</v>
      </c>
      <c r="M323" t="s">
        <v>154</v>
      </c>
      <c r="N323" t="s">
        <v>154</v>
      </c>
    </row>
    <row r="324" spans="1:14" x14ac:dyDescent="0.25">
      <c r="A324" t="s">
        <v>2934</v>
      </c>
      <c r="B324" t="s">
        <v>5797</v>
      </c>
      <c r="C324" t="s">
        <v>5115</v>
      </c>
      <c r="D324" s="20">
        <v>37824</v>
      </c>
      <c r="E324">
        <v>9662481323</v>
      </c>
      <c r="F324" t="s">
        <v>5798</v>
      </c>
      <c r="G324" t="s">
        <v>5331</v>
      </c>
      <c r="H324" t="s">
        <v>5118</v>
      </c>
      <c r="I324" t="s">
        <v>40</v>
      </c>
      <c r="J324" t="s">
        <v>39</v>
      </c>
      <c r="K324" s="20">
        <v>43922</v>
      </c>
      <c r="L324" t="s">
        <v>5123</v>
      </c>
      <c r="M324" t="s">
        <v>154</v>
      </c>
      <c r="N324" t="s">
        <v>154</v>
      </c>
    </row>
    <row r="325" spans="1:14" x14ac:dyDescent="0.25">
      <c r="A325" t="s">
        <v>2936</v>
      </c>
      <c r="B325" t="s">
        <v>5799</v>
      </c>
      <c r="C325" t="s">
        <v>5090</v>
      </c>
      <c r="D325" s="20">
        <v>38018</v>
      </c>
      <c r="E325">
        <v>9482285011</v>
      </c>
      <c r="F325" t="s">
        <v>5800</v>
      </c>
      <c r="G325" t="s">
        <v>5136</v>
      </c>
      <c r="H325" t="s">
        <v>5098</v>
      </c>
      <c r="I325" t="s">
        <v>42</v>
      </c>
      <c r="J325" t="s">
        <v>44</v>
      </c>
      <c r="K325" s="20">
        <v>45565</v>
      </c>
      <c r="L325" t="s">
        <v>5186</v>
      </c>
      <c r="M325" t="s">
        <v>154</v>
      </c>
      <c r="N325" t="s">
        <v>154</v>
      </c>
    </row>
    <row r="326" spans="1:14" x14ac:dyDescent="0.25">
      <c r="A326" t="s">
        <v>1629</v>
      </c>
      <c r="B326" t="s">
        <v>5801</v>
      </c>
      <c r="C326" t="s">
        <v>5090</v>
      </c>
      <c r="D326" s="20">
        <v>35547</v>
      </c>
      <c r="E326">
        <v>9306090691</v>
      </c>
      <c r="F326" t="s">
        <v>5802</v>
      </c>
      <c r="G326" t="s">
        <v>5174</v>
      </c>
      <c r="H326" t="s">
        <v>5093</v>
      </c>
      <c r="I326" t="s">
        <v>40</v>
      </c>
      <c r="J326" t="s">
        <v>39</v>
      </c>
      <c r="K326" s="20">
        <v>43688</v>
      </c>
      <c r="L326" t="s">
        <v>5211</v>
      </c>
      <c r="M326" t="s">
        <v>154</v>
      </c>
      <c r="N326" t="s">
        <v>154</v>
      </c>
    </row>
    <row r="327" spans="1:14" x14ac:dyDescent="0.25">
      <c r="A327" t="s">
        <v>544</v>
      </c>
      <c r="B327" t="s">
        <v>5803</v>
      </c>
      <c r="C327" t="s">
        <v>5090</v>
      </c>
      <c r="D327" s="20">
        <v>32681</v>
      </c>
      <c r="E327">
        <v>9649673794</v>
      </c>
      <c r="F327" t="s">
        <v>5804</v>
      </c>
      <c r="G327" t="s">
        <v>5214</v>
      </c>
      <c r="H327" t="s">
        <v>5103</v>
      </c>
      <c r="I327" t="s">
        <v>38</v>
      </c>
      <c r="J327" t="s">
        <v>41</v>
      </c>
      <c r="K327" s="20">
        <v>45052</v>
      </c>
      <c r="L327" t="s">
        <v>5108</v>
      </c>
      <c r="M327" t="s">
        <v>154</v>
      </c>
      <c r="N327" t="s">
        <v>154</v>
      </c>
    </row>
    <row r="328" spans="1:14" x14ac:dyDescent="0.25">
      <c r="A328" t="s">
        <v>804</v>
      </c>
      <c r="B328" t="s">
        <v>5805</v>
      </c>
      <c r="C328" t="s">
        <v>5090</v>
      </c>
      <c r="D328" s="20">
        <v>38806</v>
      </c>
      <c r="E328">
        <v>9242642506</v>
      </c>
      <c r="F328" t="s">
        <v>5806</v>
      </c>
      <c r="G328" t="s">
        <v>5196</v>
      </c>
      <c r="H328" t="s">
        <v>5093</v>
      </c>
      <c r="I328" t="s">
        <v>40</v>
      </c>
      <c r="J328" t="s">
        <v>39</v>
      </c>
      <c r="K328" s="20">
        <v>44576</v>
      </c>
      <c r="L328" t="s">
        <v>5178</v>
      </c>
      <c r="M328" t="s">
        <v>154</v>
      </c>
      <c r="N328" t="s">
        <v>154</v>
      </c>
    </row>
    <row r="329" spans="1:14" x14ac:dyDescent="0.25">
      <c r="A329" t="s">
        <v>561</v>
      </c>
      <c r="B329" t="s">
        <v>5807</v>
      </c>
      <c r="C329" t="s">
        <v>5115</v>
      </c>
      <c r="D329" s="20">
        <v>35386</v>
      </c>
      <c r="E329">
        <v>9536667776</v>
      </c>
      <c r="F329" t="s">
        <v>5808</v>
      </c>
      <c r="G329" t="s">
        <v>5177</v>
      </c>
      <c r="H329" t="s">
        <v>5112</v>
      </c>
      <c r="I329" t="s">
        <v>38</v>
      </c>
      <c r="J329" t="s">
        <v>43</v>
      </c>
      <c r="K329" s="20">
        <v>44748</v>
      </c>
      <c r="L329" t="s">
        <v>5182</v>
      </c>
      <c r="M329" t="s">
        <v>154</v>
      </c>
      <c r="N329" t="s">
        <v>154</v>
      </c>
    </row>
    <row r="330" spans="1:14" x14ac:dyDescent="0.25">
      <c r="A330" t="s">
        <v>350</v>
      </c>
      <c r="B330" t="s">
        <v>5809</v>
      </c>
      <c r="C330" t="s">
        <v>5115</v>
      </c>
      <c r="D330" s="20">
        <v>25923</v>
      </c>
      <c r="E330">
        <v>9395786543</v>
      </c>
      <c r="F330" t="s">
        <v>5810</v>
      </c>
      <c r="G330" t="s">
        <v>5243</v>
      </c>
      <c r="H330" t="s">
        <v>5112</v>
      </c>
      <c r="I330" t="s">
        <v>38</v>
      </c>
      <c r="J330" t="s">
        <v>43</v>
      </c>
      <c r="K330" s="20">
        <v>43883</v>
      </c>
      <c r="L330" t="s">
        <v>5108</v>
      </c>
      <c r="M330" t="s">
        <v>154</v>
      </c>
      <c r="N330" t="s">
        <v>154</v>
      </c>
    </row>
    <row r="331" spans="1:14" x14ac:dyDescent="0.25">
      <c r="A331" t="s">
        <v>2797</v>
      </c>
      <c r="B331" t="s">
        <v>5811</v>
      </c>
      <c r="C331" t="s">
        <v>5115</v>
      </c>
      <c r="D331" s="20">
        <v>34429</v>
      </c>
      <c r="E331">
        <v>9033582686</v>
      </c>
      <c r="F331" t="s">
        <v>5812</v>
      </c>
      <c r="G331" t="s">
        <v>5145</v>
      </c>
      <c r="H331" t="s">
        <v>5098</v>
      </c>
      <c r="I331" t="s">
        <v>42</v>
      </c>
      <c r="J331" t="s">
        <v>44</v>
      </c>
      <c r="K331" s="20">
        <v>45655</v>
      </c>
      <c r="L331" t="s">
        <v>5131</v>
      </c>
      <c r="M331" t="s">
        <v>154</v>
      </c>
      <c r="N331" t="s">
        <v>154</v>
      </c>
    </row>
    <row r="332" spans="1:14" x14ac:dyDescent="0.25">
      <c r="A332" t="s">
        <v>1380</v>
      </c>
      <c r="B332" t="s">
        <v>5746</v>
      </c>
      <c r="C332" t="s">
        <v>5090</v>
      </c>
      <c r="D332" s="20">
        <v>30066</v>
      </c>
      <c r="E332">
        <v>9693265732</v>
      </c>
      <c r="F332" t="s">
        <v>5813</v>
      </c>
      <c r="G332" t="s">
        <v>5271</v>
      </c>
      <c r="H332" t="s">
        <v>5112</v>
      </c>
      <c r="I332" t="s">
        <v>38</v>
      </c>
      <c r="J332" t="s">
        <v>43</v>
      </c>
      <c r="K332" s="20">
        <v>45408</v>
      </c>
      <c r="L332" t="s">
        <v>5182</v>
      </c>
      <c r="M332" t="s">
        <v>154</v>
      </c>
      <c r="N332" t="s">
        <v>154</v>
      </c>
    </row>
    <row r="333" spans="1:14" x14ac:dyDescent="0.25">
      <c r="A333" t="s">
        <v>2391</v>
      </c>
      <c r="B333" t="s">
        <v>5814</v>
      </c>
      <c r="C333" t="s">
        <v>5115</v>
      </c>
      <c r="D333" s="20">
        <v>34821</v>
      </c>
      <c r="E333">
        <v>9515532341</v>
      </c>
      <c r="F333" t="s">
        <v>5815</v>
      </c>
      <c r="G333" t="s">
        <v>5171</v>
      </c>
      <c r="H333" t="s">
        <v>5103</v>
      </c>
      <c r="I333" t="s">
        <v>38</v>
      </c>
      <c r="J333" t="s">
        <v>43</v>
      </c>
      <c r="K333" s="20">
        <v>43136</v>
      </c>
      <c r="L333" t="s">
        <v>5123</v>
      </c>
      <c r="M333" t="s">
        <v>154</v>
      </c>
      <c r="N333" t="s">
        <v>154</v>
      </c>
    </row>
    <row r="334" spans="1:14" x14ac:dyDescent="0.25">
      <c r="A334" t="s">
        <v>1883</v>
      </c>
      <c r="B334" t="s">
        <v>5816</v>
      </c>
      <c r="C334" t="s">
        <v>5090</v>
      </c>
      <c r="D334" s="20">
        <v>38562</v>
      </c>
      <c r="E334">
        <v>9418222618</v>
      </c>
      <c r="F334" t="s">
        <v>5817</v>
      </c>
      <c r="G334" t="s">
        <v>5107</v>
      </c>
      <c r="H334" t="s">
        <v>5098</v>
      </c>
      <c r="I334" t="s">
        <v>42</v>
      </c>
      <c r="J334" t="s">
        <v>39</v>
      </c>
      <c r="K334" s="20">
        <v>43818</v>
      </c>
      <c r="L334" t="s">
        <v>5113</v>
      </c>
      <c r="M334" t="s">
        <v>154</v>
      </c>
      <c r="N334" t="s">
        <v>154</v>
      </c>
    </row>
    <row r="335" spans="1:14" x14ac:dyDescent="0.25">
      <c r="A335" t="s">
        <v>1268</v>
      </c>
      <c r="B335" t="s">
        <v>5818</v>
      </c>
      <c r="C335" t="s">
        <v>5115</v>
      </c>
      <c r="D335" s="20">
        <v>35047</v>
      </c>
      <c r="E335">
        <v>9102676720</v>
      </c>
      <c r="F335" t="s">
        <v>5819</v>
      </c>
      <c r="G335" t="s">
        <v>5122</v>
      </c>
      <c r="H335" t="s">
        <v>5093</v>
      </c>
      <c r="I335" t="s">
        <v>40</v>
      </c>
      <c r="J335" t="s">
        <v>44</v>
      </c>
      <c r="K335" s="20">
        <v>43701</v>
      </c>
      <c r="L335" t="s">
        <v>5146</v>
      </c>
      <c r="M335" t="s">
        <v>154</v>
      </c>
      <c r="N335" t="s">
        <v>154</v>
      </c>
    </row>
    <row r="336" spans="1:14" x14ac:dyDescent="0.25">
      <c r="A336" t="s">
        <v>898</v>
      </c>
      <c r="B336" t="s">
        <v>5820</v>
      </c>
      <c r="C336" t="s">
        <v>5090</v>
      </c>
      <c r="D336" s="20">
        <v>33325</v>
      </c>
      <c r="E336">
        <v>9955151229</v>
      </c>
      <c r="F336" t="s">
        <v>5821</v>
      </c>
      <c r="G336" t="s">
        <v>5243</v>
      </c>
      <c r="H336" t="s">
        <v>5112</v>
      </c>
      <c r="I336" t="s">
        <v>38</v>
      </c>
      <c r="J336" t="s">
        <v>39</v>
      </c>
      <c r="K336" s="20">
        <v>43182</v>
      </c>
      <c r="L336" t="s">
        <v>5137</v>
      </c>
      <c r="M336" t="s">
        <v>154</v>
      </c>
      <c r="N336" t="s">
        <v>154</v>
      </c>
    </row>
    <row r="337" spans="1:14" x14ac:dyDescent="0.25">
      <c r="A337" t="s">
        <v>3018</v>
      </c>
      <c r="B337" t="s">
        <v>5822</v>
      </c>
      <c r="C337" t="s">
        <v>5090</v>
      </c>
      <c r="D337" s="20">
        <v>39062</v>
      </c>
      <c r="E337">
        <v>9970996254</v>
      </c>
      <c r="F337" t="s">
        <v>5823</v>
      </c>
      <c r="G337" t="s">
        <v>5174</v>
      </c>
      <c r="H337" t="s">
        <v>5093</v>
      </c>
      <c r="I337" t="s">
        <v>40</v>
      </c>
      <c r="J337" t="s">
        <v>43</v>
      </c>
      <c r="K337" s="20">
        <v>43441</v>
      </c>
      <c r="L337" t="s">
        <v>5094</v>
      </c>
      <c r="M337" t="s">
        <v>154</v>
      </c>
      <c r="N337" t="s">
        <v>154</v>
      </c>
    </row>
    <row r="338" spans="1:14" x14ac:dyDescent="0.25">
      <c r="A338" t="s">
        <v>1155</v>
      </c>
      <c r="B338" t="s">
        <v>5824</v>
      </c>
      <c r="C338" t="s">
        <v>5090</v>
      </c>
      <c r="D338" s="20">
        <v>31764</v>
      </c>
      <c r="E338">
        <v>9476504715</v>
      </c>
      <c r="F338" t="s">
        <v>5825</v>
      </c>
      <c r="G338" t="s">
        <v>5331</v>
      </c>
      <c r="H338" t="s">
        <v>5118</v>
      </c>
      <c r="I338" t="s">
        <v>40</v>
      </c>
      <c r="J338" t="s">
        <v>43</v>
      </c>
      <c r="K338" s="20">
        <v>44079</v>
      </c>
      <c r="L338" t="s">
        <v>5113</v>
      </c>
      <c r="M338" t="s">
        <v>154</v>
      </c>
      <c r="N338" t="s">
        <v>154</v>
      </c>
    </row>
    <row r="339" spans="1:14" x14ac:dyDescent="0.25">
      <c r="A339" t="s">
        <v>497</v>
      </c>
      <c r="B339" t="s">
        <v>5826</v>
      </c>
      <c r="C339" t="s">
        <v>5115</v>
      </c>
      <c r="D339" s="20">
        <v>24057</v>
      </c>
      <c r="E339">
        <v>9155426097</v>
      </c>
      <c r="F339" t="s">
        <v>5827</v>
      </c>
      <c r="G339" t="s">
        <v>5117</v>
      </c>
      <c r="H339" t="s">
        <v>5118</v>
      </c>
      <c r="I339" t="s">
        <v>40</v>
      </c>
      <c r="J339" t="s">
        <v>43</v>
      </c>
      <c r="K339" s="20">
        <v>45026</v>
      </c>
      <c r="L339" t="s">
        <v>5127</v>
      </c>
      <c r="M339" t="s">
        <v>184</v>
      </c>
      <c r="N339" t="s">
        <v>154</v>
      </c>
    </row>
    <row r="340" spans="1:14" x14ac:dyDescent="0.25">
      <c r="A340" t="s">
        <v>3379</v>
      </c>
      <c r="B340" t="s">
        <v>5828</v>
      </c>
      <c r="C340" t="s">
        <v>5115</v>
      </c>
      <c r="D340" s="20">
        <v>32793</v>
      </c>
      <c r="E340">
        <v>9158102131</v>
      </c>
      <c r="F340" t="s">
        <v>5829</v>
      </c>
      <c r="G340" t="s">
        <v>5196</v>
      </c>
      <c r="H340" t="s">
        <v>5093</v>
      </c>
      <c r="I340" t="s">
        <v>40</v>
      </c>
      <c r="J340" t="s">
        <v>43</v>
      </c>
      <c r="K340" s="20">
        <v>43442</v>
      </c>
      <c r="L340" t="s">
        <v>5146</v>
      </c>
      <c r="M340" t="s">
        <v>154</v>
      </c>
      <c r="N340" t="s">
        <v>154</v>
      </c>
    </row>
    <row r="341" spans="1:14" x14ac:dyDescent="0.25">
      <c r="A341" t="s">
        <v>779</v>
      </c>
      <c r="B341" t="s">
        <v>5830</v>
      </c>
      <c r="C341" t="s">
        <v>5115</v>
      </c>
      <c r="D341" s="20">
        <v>36874</v>
      </c>
      <c r="E341">
        <v>9591297519</v>
      </c>
      <c r="F341" t="s">
        <v>5831</v>
      </c>
      <c r="G341" t="s">
        <v>5122</v>
      </c>
      <c r="H341" t="s">
        <v>5093</v>
      </c>
      <c r="I341" t="s">
        <v>40</v>
      </c>
      <c r="J341" t="s">
        <v>44</v>
      </c>
      <c r="K341" s="20">
        <v>43140</v>
      </c>
      <c r="L341" t="s">
        <v>5119</v>
      </c>
      <c r="M341" t="s">
        <v>154</v>
      </c>
      <c r="N341" t="s">
        <v>154</v>
      </c>
    </row>
    <row r="342" spans="1:14" x14ac:dyDescent="0.25">
      <c r="A342" t="s">
        <v>943</v>
      </c>
      <c r="B342" t="s">
        <v>5832</v>
      </c>
      <c r="C342" t="s">
        <v>5115</v>
      </c>
      <c r="D342" s="20">
        <v>38783</v>
      </c>
      <c r="E342">
        <v>9633016583</v>
      </c>
      <c r="F342" t="s">
        <v>5833</v>
      </c>
      <c r="G342" t="s">
        <v>5142</v>
      </c>
      <c r="H342" t="s">
        <v>5103</v>
      </c>
      <c r="I342" t="s">
        <v>38</v>
      </c>
      <c r="J342" t="s">
        <v>43</v>
      </c>
      <c r="K342" s="20">
        <v>43476</v>
      </c>
      <c r="L342" t="s">
        <v>5119</v>
      </c>
      <c r="M342" t="s">
        <v>154</v>
      </c>
      <c r="N342" t="s">
        <v>154</v>
      </c>
    </row>
    <row r="343" spans="1:14" x14ac:dyDescent="0.25">
      <c r="A343" t="s">
        <v>4337</v>
      </c>
      <c r="B343" t="s">
        <v>5834</v>
      </c>
      <c r="C343" t="s">
        <v>5090</v>
      </c>
      <c r="D343" s="20">
        <v>35314</v>
      </c>
      <c r="E343">
        <v>9728012342</v>
      </c>
      <c r="F343" t="s">
        <v>5835</v>
      </c>
      <c r="G343" t="s">
        <v>5196</v>
      </c>
      <c r="H343" t="s">
        <v>5093</v>
      </c>
      <c r="I343" t="s">
        <v>40</v>
      </c>
      <c r="J343" t="s">
        <v>43</v>
      </c>
      <c r="K343" s="20">
        <v>45525</v>
      </c>
      <c r="L343" t="s">
        <v>5123</v>
      </c>
      <c r="M343" t="s">
        <v>154</v>
      </c>
      <c r="N343" t="s">
        <v>154</v>
      </c>
    </row>
    <row r="344" spans="1:14" x14ac:dyDescent="0.25">
      <c r="A344" t="s">
        <v>971</v>
      </c>
      <c r="B344" t="s">
        <v>5836</v>
      </c>
      <c r="C344" t="s">
        <v>5090</v>
      </c>
      <c r="D344" s="20">
        <v>35258</v>
      </c>
      <c r="E344">
        <v>9269496843</v>
      </c>
      <c r="F344" t="s">
        <v>5837</v>
      </c>
      <c r="G344" t="s">
        <v>5151</v>
      </c>
      <c r="H344" t="s">
        <v>5103</v>
      </c>
      <c r="I344" t="s">
        <v>38</v>
      </c>
      <c r="J344" t="s">
        <v>43</v>
      </c>
      <c r="K344" s="20">
        <v>44417</v>
      </c>
      <c r="L344" t="s">
        <v>5178</v>
      </c>
      <c r="M344" t="s">
        <v>154</v>
      </c>
      <c r="N344" t="s">
        <v>154</v>
      </c>
    </row>
    <row r="345" spans="1:14" x14ac:dyDescent="0.25">
      <c r="A345" t="s">
        <v>1043</v>
      </c>
      <c r="B345" t="s">
        <v>5838</v>
      </c>
      <c r="C345" t="s">
        <v>5115</v>
      </c>
      <c r="D345" s="20">
        <v>32435</v>
      </c>
      <c r="E345">
        <v>9017509617</v>
      </c>
      <c r="F345" t="s">
        <v>5839</v>
      </c>
      <c r="G345" t="s">
        <v>5369</v>
      </c>
      <c r="H345" t="s">
        <v>5103</v>
      </c>
      <c r="I345" t="s">
        <v>38</v>
      </c>
      <c r="J345" t="s">
        <v>43</v>
      </c>
      <c r="K345" s="20">
        <v>43761</v>
      </c>
      <c r="L345" t="s">
        <v>5104</v>
      </c>
      <c r="M345" t="s">
        <v>154</v>
      </c>
      <c r="N345" t="s">
        <v>154</v>
      </c>
    </row>
    <row r="346" spans="1:14" x14ac:dyDescent="0.25">
      <c r="A346" t="s">
        <v>548</v>
      </c>
      <c r="B346" t="s">
        <v>5780</v>
      </c>
      <c r="C346" t="s">
        <v>5090</v>
      </c>
      <c r="D346" s="20">
        <v>33379</v>
      </c>
      <c r="E346">
        <v>9457575747</v>
      </c>
      <c r="F346" t="s">
        <v>5840</v>
      </c>
      <c r="G346" t="s">
        <v>5276</v>
      </c>
      <c r="H346" t="s">
        <v>5118</v>
      </c>
      <c r="I346" t="s">
        <v>40</v>
      </c>
      <c r="J346" t="s">
        <v>44</v>
      </c>
      <c r="K346" s="20">
        <v>43370</v>
      </c>
      <c r="L346" t="s">
        <v>5108</v>
      </c>
      <c r="M346" t="s">
        <v>154</v>
      </c>
      <c r="N346" t="s">
        <v>154</v>
      </c>
    </row>
    <row r="347" spans="1:14" x14ac:dyDescent="0.25">
      <c r="A347" t="s">
        <v>2855</v>
      </c>
      <c r="B347" t="s">
        <v>5841</v>
      </c>
      <c r="C347" t="s">
        <v>5090</v>
      </c>
      <c r="D347" s="20">
        <v>33364</v>
      </c>
      <c r="E347">
        <v>9756777226</v>
      </c>
      <c r="F347" t="s">
        <v>5842</v>
      </c>
      <c r="G347" t="s">
        <v>5301</v>
      </c>
      <c r="H347" t="s">
        <v>5093</v>
      </c>
      <c r="I347" t="s">
        <v>40</v>
      </c>
      <c r="J347" t="s">
        <v>44</v>
      </c>
      <c r="K347" s="20">
        <v>44779</v>
      </c>
      <c r="L347" t="s">
        <v>5146</v>
      </c>
      <c r="M347" t="s">
        <v>154</v>
      </c>
      <c r="N347" t="s">
        <v>154</v>
      </c>
    </row>
    <row r="348" spans="1:14" x14ac:dyDescent="0.25">
      <c r="A348" t="s">
        <v>1100</v>
      </c>
      <c r="B348" t="s">
        <v>5843</v>
      </c>
      <c r="C348" t="s">
        <v>5090</v>
      </c>
      <c r="D348" s="20">
        <v>29992</v>
      </c>
      <c r="E348">
        <v>9292310672</v>
      </c>
      <c r="F348" t="s">
        <v>5844</v>
      </c>
      <c r="G348" t="s">
        <v>5257</v>
      </c>
      <c r="H348" t="s">
        <v>5093</v>
      </c>
      <c r="I348" t="s">
        <v>40</v>
      </c>
      <c r="J348" t="s">
        <v>39</v>
      </c>
      <c r="K348" s="20">
        <v>44880</v>
      </c>
      <c r="L348" t="s">
        <v>5165</v>
      </c>
      <c r="M348" t="s">
        <v>154</v>
      </c>
      <c r="N348" t="s">
        <v>154</v>
      </c>
    </row>
    <row r="349" spans="1:14" x14ac:dyDescent="0.25">
      <c r="A349" t="s">
        <v>3232</v>
      </c>
      <c r="B349" t="s">
        <v>5845</v>
      </c>
      <c r="C349" t="s">
        <v>5115</v>
      </c>
      <c r="D349" s="20">
        <v>30169</v>
      </c>
      <c r="E349">
        <v>9337976627</v>
      </c>
      <c r="F349" t="s">
        <v>5846</v>
      </c>
      <c r="G349" t="s">
        <v>5092</v>
      </c>
      <c r="H349" t="s">
        <v>5093</v>
      </c>
      <c r="I349" t="s">
        <v>40</v>
      </c>
      <c r="J349" t="s">
        <v>44</v>
      </c>
      <c r="K349" s="20">
        <v>45351</v>
      </c>
      <c r="L349" t="s">
        <v>5152</v>
      </c>
      <c r="M349" t="s">
        <v>154</v>
      </c>
      <c r="N349" t="s">
        <v>154</v>
      </c>
    </row>
    <row r="350" spans="1:14" x14ac:dyDescent="0.25">
      <c r="A350" t="s">
        <v>2735</v>
      </c>
      <c r="B350" t="s">
        <v>5847</v>
      </c>
      <c r="C350" t="s">
        <v>5115</v>
      </c>
      <c r="D350" s="20">
        <v>29039</v>
      </c>
      <c r="E350">
        <v>9736704254</v>
      </c>
      <c r="F350" t="s">
        <v>5848</v>
      </c>
      <c r="G350" t="s">
        <v>5292</v>
      </c>
      <c r="H350" t="s">
        <v>5098</v>
      </c>
      <c r="I350" t="s">
        <v>42</v>
      </c>
      <c r="J350" t="s">
        <v>43</v>
      </c>
      <c r="K350" s="20">
        <v>44064</v>
      </c>
      <c r="L350" t="s">
        <v>5186</v>
      </c>
      <c r="M350" t="s">
        <v>154</v>
      </c>
      <c r="N350" t="s">
        <v>154</v>
      </c>
    </row>
    <row r="351" spans="1:14" x14ac:dyDescent="0.25">
      <c r="A351" t="s">
        <v>1410</v>
      </c>
      <c r="B351" t="s">
        <v>5849</v>
      </c>
      <c r="C351" t="s">
        <v>5115</v>
      </c>
      <c r="D351" s="20">
        <v>25863</v>
      </c>
      <c r="E351">
        <v>9597107563</v>
      </c>
      <c r="F351" t="s">
        <v>5850</v>
      </c>
      <c r="G351" t="s">
        <v>5304</v>
      </c>
      <c r="H351" t="s">
        <v>5112</v>
      </c>
      <c r="I351" t="s">
        <v>38</v>
      </c>
      <c r="J351" t="s">
        <v>39</v>
      </c>
      <c r="K351" s="20">
        <v>44630</v>
      </c>
      <c r="L351" t="s">
        <v>5182</v>
      </c>
      <c r="M351" t="s">
        <v>154</v>
      </c>
      <c r="N351" t="s">
        <v>154</v>
      </c>
    </row>
    <row r="352" spans="1:14" x14ac:dyDescent="0.25">
      <c r="A352" t="s">
        <v>1386</v>
      </c>
      <c r="B352" t="s">
        <v>5851</v>
      </c>
      <c r="C352" t="s">
        <v>5090</v>
      </c>
      <c r="D352" s="20">
        <v>34128</v>
      </c>
      <c r="E352">
        <v>9325939933</v>
      </c>
      <c r="F352" t="s">
        <v>5852</v>
      </c>
      <c r="G352" t="s">
        <v>5145</v>
      </c>
      <c r="H352" t="s">
        <v>5098</v>
      </c>
      <c r="I352" t="s">
        <v>42</v>
      </c>
      <c r="J352" t="s">
        <v>41</v>
      </c>
      <c r="K352" s="20">
        <v>45465</v>
      </c>
      <c r="L352" t="s">
        <v>5168</v>
      </c>
      <c r="M352" t="s">
        <v>154</v>
      </c>
      <c r="N352" t="s">
        <v>154</v>
      </c>
    </row>
    <row r="353" spans="1:14" x14ac:dyDescent="0.25">
      <c r="A353" t="s">
        <v>375</v>
      </c>
      <c r="B353" t="s">
        <v>5853</v>
      </c>
      <c r="C353" t="s">
        <v>5090</v>
      </c>
      <c r="D353" s="20">
        <v>32114</v>
      </c>
      <c r="E353">
        <v>9187794176</v>
      </c>
      <c r="F353" t="s">
        <v>5854</v>
      </c>
      <c r="G353" t="s">
        <v>5248</v>
      </c>
      <c r="H353" t="s">
        <v>5103</v>
      </c>
      <c r="I353" t="s">
        <v>38</v>
      </c>
      <c r="J353" t="s">
        <v>44</v>
      </c>
      <c r="K353" s="20">
        <v>45655</v>
      </c>
      <c r="L353" t="s">
        <v>5168</v>
      </c>
      <c r="M353" t="s">
        <v>154</v>
      </c>
      <c r="N353" t="s">
        <v>154</v>
      </c>
    </row>
    <row r="354" spans="1:14" x14ac:dyDescent="0.25">
      <c r="A354" t="s">
        <v>743</v>
      </c>
      <c r="B354" t="s">
        <v>5855</v>
      </c>
      <c r="C354" t="s">
        <v>5090</v>
      </c>
      <c r="D354" s="20">
        <v>29703</v>
      </c>
      <c r="E354">
        <v>9559782457</v>
      </c>
      <c r="F354" t="s">
        <v>5856</v>
      </c>
      <c r="G354" t="s">
        <v>5102</v>
      </c>
      <c r="H354" t="s">
        <v>5103</v>
      </c>
      <c r="I354" t="s">
        <v>38</v>
      </c>
      <c r="J354" t="s">
        <v>43</v>
      </c>
      <c r="K354" s="20">
        <v>45694</v>
      </c>
      <c r="L354" t="s">
        <v>5119</v>
      </c>
      <c r="M354" t="s">
        <v>154</v>
      </c>
      <c r="N354" t="s">
        <v>154</v>
      </c>
    </row>
    <row r="355" spans="1:14" x14ac:dyDescent="0.25">
      <c r="A355" t="s">
        <v>637</v>
      </c>
      <c r="B355" t="s">
        <v>5857</v>
      </c>
      <c r="C355" t="s">
        <v>5090</v>
      </c>
      <c r="D355" s="20">
        <v>37245</v>
      </c>
      <c r="E355">
        <v>9884366044</v>
      </c>
      <c r="F355" t="s">
        <v>5858</v>
      </c>
      <c r="G355" t="s">
        <v>5122</v>
      </c>
      <c r="H355" t="s">
        <v>5093</v>
      </c>
      <c r="I355" t="s">
        <v>40</v>
      </c>
      <c r="J355" t="s">
        <v>43</v>
      </c>
      <c r="K355" s="20">
        <v>43349</v>
      </c>
      <c r="L355" t="s">
        <v>5208</v>
      </c>
      <c r="M355" t="s">
        <v>154</v>
      </c>
      <c r="N355" t="s">
        <v>154</v>
      </c>
    </row>
    <row r="356" spans="1:14" x14ac:dyDescent="0.25">
      <c r="A356" t="s">
        <v>2846</v>
      </c>
      <c r="B356" t="s">
        <v>5859</v>
      </c>
      <c r="C356" t="s">
        <v>5115</v>
      </c>
      <c r="D356" s="20">
        <v>34419</v>
      </c>
      <c r="E356">
        <v>9682975147</v>
      </c>
      <c r="F356" t="s">
        <v>5860</v>
      </c>
      <c r="G356" t="s">
        <v>5136</v>
      </c>
      <c r="H356" t="s">
        <v>5098</v>
      </c>
      <c r="I356" t="s">
        <v>42</v>
      </c>
      <c r="J356" t="s">
        <v>39</v>
      </c>
      <c r="K356" s="20">
        <v>43705</v>
      </c>
      <c r="L356" t="s">
        <v>5146</v>
      </c>
      <c r="M356" t="s">
        <v>154</v>
      </c>
      <c r="N356" t="s">
        <v>154</v>
      </c>
    </row>
    <row r="357" spans="1:14" x14ac:dyDescent="0.25">
      <c r="A357" t="s">
        <v>1793</v>
      </c>
      <c r="B357" t="s">
        <v>5861</v>
      </c>
      <c r="C357" t="s">
        <v>5115</v>
      </c>
      <c r="D357" s="20">
        <v>26411</v>
      </c>
      <c r="E357">
        <v>9058752568</v>
      </c>
      <c r="F357" t="s">
        <v>5862</v>
      </c>
      <c r="G357" t="s">
        <v>5243</v>
      </c>
      <c r="H357" t="s">
        <v>5112</v>
      </c>
      <c r="I357" t="s">
        <v>38</v>
      </c>
      <c r="J357" t="s">
        <v>39</v>
      </c>
      <c r="K357" s="20">
        <v>43170</v>
      </c>
      <c r="L357" t="s">
        <v>5211</v>
      </c>
      <c r="M357" t="s">
        <v>154</v>
      </c>
      <c r="N357" t="s">
        <v>154</v>
      </c>
    </row>
    <row r="358" spans="1:14" x14ac:dyDescent="0.25">
      <c r="A358" t="s">
        <v>1988</v>
      </c>
      <c r="B358" t="s">
        <v>5863</v>
      </c>
      <c r="C358" t="s">
        <v>5090</v>
      </c>
      <c r="D358" s="20">
        <v>26659</v>
      </c>
      <c r="E358">
        <v>9599080271</v>
      </c>
      <c r="F358" t="s">
        <v>5864</v>
      </c>
      <c r="G358" t="s">
        <v>5276</v>
      </c>
      <c r="H358" t="s">
        <v>5118</v>
      </c>
      <c r="I358" t="s">
        <v>40</v>
      </c>
      <c r="J358" t="s">
        <v>44</v>
      </c>
      <c r="K358" s="20">
        <v>43242</v>
      </c>
      <c r="L358" t="s">
        <v>5113</v>
      </c>
      <c r="M358" t="s">
        <v>154</v>
      </c>
      <c r="N358" t="s">
        <v>154</v>
      </c>
    </row>
    <row r="359" spans="1:14" x14ac:dyDescent="0.25">
      <c r="A359" t="s">
        <v>1255</v>
      </c>
      <c r="B359" t="s">
        <v>5865</v>
      </c>
      <c r="C359" t="s">
        <v>5115</v>
      </c>
      <c r="D359" s="20">
        <v>26419</v>
      </c>
      <c r="E359">
        <v>9165176808</v>
      </c>
      <c r="F359" t="s">
        <v>5866</v>
      </c>
      <c r="G359" t="s">
        <v>5122</v>
      </c>
      <c r="H359" t="s">
        <v>5093</v>
      </c>
      <c r="I359" t="s">
        <v>40</v>
      </c>
      <c r="J359" t="s">
        <v>44</v>
      </c>
      <c r="K359" s="20">
        <v>44563</v>
      </c>
      <c r="L359" t="s">
        <v>5168</v>
      </c>
      <c r="M359" t="s">
        <v>154</v>
      </c>
      <c r="N359" t="s">
        <v>154</v>
      </c>
    </row>
    <row r="360" spans="1:14" x14ac:dyDescent="0.25">
      <c r="A360" t="s">
        <v>747</v>
      </c>
      <c r="B360" t="s">
        <v>5313</v>
      </c>
      <c r="C360" t="s">
        <v>5090</v>
      </c>
      <c r="D360" s="20">
        <v>32723</v>
      </c>
      <c r="E360">
        <v>9330800370</v>
      </c>
      <c r="F360" t="s">
        <v>5867</v>
      </c>
      <c r="G360" t="s">
        <v>5151</v>
      </c>
      <c r="H360" t="s">
        <v>5103</v>
      </c>
      <c r="I360" t="s">
        <v>38</v>
      </c>
      <c r="J360" t="s">
        <v>39</v>
      </c>
      <c r="K360" s="20">
        <v>43573</v>
      </c>
      <c r="L360" t="s">
        <v>5152</v>
      </c>
      <c r="M360" t="s">
        <v>154</v>
      </c>
      <c r="N360" t="s">
        <v>154</v>
      </c>
    </row>
    <row r="361" spans="1:14" x14ac:dyDescent="0.25">
      <c r="A361" t="s">
        <v>3706</v>
      </c>
      <c r="B361" t="s">
        <v>5868</v>
      </c>
      <c r="C361" t="s">
        <v>5115</v>
      </c>
      <c r="D361" s="20">
        <v>38004</v>
      </c>
      <c r="E361">
        <v>9084706810</v>
      </c>
      <c r="F361" t="s">
        <v>5869</v>
      </c>
      <c r="G361" t="s">
        <v>5384</v>
      </c>
      <c r="H361" t="s">
        <v>5093</v>
      </c>
      <c r="I361" t="s">
        <v>40</v>
      </c>
      <c r="J361" t="s">
        <v>39</v>
      </c>
      <c r="K361" s="20">
        <v>44688</v>
      </c>
      <c r="L361" t="s">
        <v>5127</v>
      </c>
      <c r="M361" t="s">
        <v>154</v>
      </c>
      <c r="N361" t="s">
        <v>154</v>
      </c>
    </row>
    <row r="362" spans="1:14" x14ac:dyDescent="0.25">
      <c r="A362" t="s">
        <v>2021</v>
      </c>
      <c r="B362" t="s">
        <v>5870</v>
      </c>
      <c r="C362" t="s">
        <v>5090</v>
      </c>
      <c r="D362" s="20">
        <v>33290</v>
      </c>
      <c r="E362">
        <v>9582632809</v>
      </c>
      <c r="F362" t="s">
        <v>5871</v>
      </c>
      <c r="G362" t="s">
        <v>5136</v>
      </c>
      <c r="H362" t="s">
        <v>5098</v>
      </c>
      <c r="I362" t="s">
        <v>42</v>
      </c>
      <c r="J362" t="s">
        <v>39</v>
      </c>
      <c r="K362" s="20">
        <v>43431</v>
      </c>
      <c r="L362" t="s">
        <v>5108</v>
      </c>
      <c r="M362" t="s">
        <v>154</v>
      </c>
      <c r="N362" t="s">
        <v>154</v>
      </c>
    </row>
    <row r="363" spans="1:14" x14ac:dyDescent="0.25">
      <c r="A363" t="s">
        <v>2125</v>
      </c>
      <c r="B363" t="s">
        <v>5872</v>
      </c>
      <c r="C363" t="s">
        <v>5115</v>
      </c>
      <c r="D363" s="20">
        <v>30106</v>
      </c>
      <c r="E363">
        <v>9354614707</v>
      </c>
      <c r="F363" t="s">
        <v>5873</v>
      </c>
      <c r="G363" t="s">
        <v>5185</v>
      </c>
      <c r="H363" t="s">
        <v>5093</v>
      </c>
      <c r="I363" t="s">
        <v>40</v>
      </c>
      <c r="J363" t="s">
        <v>44</v>
      </c>
      <c r="K363" s="20">
        <v>44150</v>
      </c>
      <c r="L363" t="s">
        <v>5168</v>
      </c>
      <c r="M363" t="s">
        <v>154</v>
      </c>
      <c r="N363" t="s">
        <v>154</v>
      </c>
    </row>
    <row r="364" spans="1:14" x14ac:dyDescent="0.25">
      <c r="A364" t="s">
        <v>553</v>
      </c>
      <c r="B364" t="s">
        <v>5874</v>
      </c>
      <c r="C364" t="s">
        <v>5090</v>
      </c>
      <c r="D364" s="20">
        <v>27095</v>
      </c>
      <c r="E364">
        <v>9394394570</v>
      </c>
      <c r="F364" t="s">
        <v>5875</v>
      </c>
      <c r="G364" t="s">
        <v>5122</v>
      </c>
      <c r="H364" t="s">
        <v>5093</v>
      </c>
      <c r="I364" t="s">
        <v>40</v>
      </c>
      <c r="J364" t="s">
        <v>43</v>
      </c>
      <c r="K364" s="20">
        <v>43538</v>
      </c>
      <c r="L364" t="s">
        <v>5208</v>
      </c>
      <c r="M364" t="s">
        <v>154</v>
      </c>
      <c r="N364" t="s">
        <v>154</v>
      </c>
    </row>
    <row r="365" spans="1:14" x14ac:dyDescent="0.25">
      <c r="A365" t="s">
        <v>1959</v>
      </c>
      <c r="B365" t="s">
        <v>5876</v>
      </c>
      <c r="C365" t="s">
        <v>5090</v>
      </c>
      <c r="D365" s="20">
        <v>32116</v>
      </c>
      <c r="E365">
        <v>9376576927</v>
      </c>
      <c r="F365" t="s">
        <v>5877</v>
      </c>
      <c r="G365" t="s">
        <v>5369</v>
      </c>
      <c r="H365" t="s">
        <v>5103</v>
      </c>
      <c r="I365" t="s">
        <v>38</v>
      </c>
      <c r="J365" t="s">
        <v>43</v>
      </c>
      <c r="K365" s="20">
        <v>43842</v>
      </c>
      <c r="L365" t="s">
        <v>5168</v>
      </c>
      <c r="M365" t="s">
        <v>154</v>
      </c>
      <c r="N365" t="s">
        <v>154</v>
      </c>
    </row>
    <row r="366" spans="1:14" x14ac:dyDescent="0.25">
      <c r="A366" t="s">
        <v>2341</v>
      </c>
      <c r="B366" t="s">
        <v>5878</v>
      </c>
      <c r="C366" t="s">
        <v>5090</v>
      </c>
      <c r="D366" s="20">
        <v>25015</v>
      </c>
      <c r="E366">
        <v>9004047692</v>
      </c>
      <c r="F366" t="s">
        <v>5879</v>
      </c>
      <c r="G366" t="s">
        <v>5111</v>
      </c>
      <c r="H366" t="s">
        <v>5112</v>
      </c>
      <c r="I366" t="s">
        <v>38</v>
      </c>
      <c r="J366" t="s">
        <v>44</v>
      </c>
      <c r="K366" s="20">
        <v>43228</v>
      </c>
      <c r="L366" t="s">
        <v>5099</v>
      </c>
      <c r="M366" t="s">
        <v>154</v>
      </c>
      <c r="N366" t="s">
        <v>154</v>
      </c>
    </row>
    <row r="367" spans="1:14" x14ac:dyDescent="0.25">
      <c r="A367" t="s">
        <v>4102</v>
      </c>
      <c r="B367" t="s">
        <v>5880</v>
      </c>
      <c r="C367" t="s">
        <v>5115</v>
      </c>
      <c r="D367" s="20">
        <v>30676</v>
      </c>
      <c r="E367">
        <v>9014247310</v>
      </c>
      <c r="F367" t="s">
        <v>5881</v>
      </c>
      <c r="G367" t="s">
        <v>5201</v>
      </c>
      <c r="H367" t="s">
        <v>5118</v>
      </c>
      <c r="I367" t="s">
        <v>40</v>
      </c>
      <c r="J367" t="s">
        <v>43</v>
      </c>
      <c r="K367" s="20">
        <v>43192</v>
      </c>
      <c r="L367" t="s">
        <v>5113</v>
      </c>
      <c r="M367" t="s">
        <v>154</v>
      </c>
      <c r="N367" t="s">
        <v>154</v>
      </c>
    </row>
    <row r="368" spans="1:14" x14ac:dyDescent="0.25">
      <c r="A368" t="s">
        <v>2315</v>
      </c>
      <c r="B368" t="s">
        <v>5882</v>
      </c>
      <c r="C368" t="s">
        <v>5115</v>
      </c>
      <c r="D368" s="20">
        <v>35618</v>
      </c>
      <c r="E368">
        <v>9440971231</v>
      </c>
      <c r="F368" t="s">
        <v>5883</v>
      </c>
      <c r="G368" t="s">
        <v>5196</v>
      </c>
      <c r="H368" t="s">
        <v>5093</v>
      </c>
      <c r="I368" t="s">
        <v>40</v>
      </c>
      <c r="J368" t="s">
        <v>44</v>
      </c>
      <c r="K368" s="20">
        <v>45475</v>
      </c>
      <c r="L368" t="s">
        <v>5158</v>
      </c>
      <c r="M368" t="s">
        <v>154</v>
      </c>
      <c r="N368" t="s">
        <v>154</v>
      </c>
    </row>
    <row r="369" spans="1:14" x14ac:dyDescent="0.25">
      <c r="A369" t="s">
        <v>5884</v>
      </c>
      <c r="B369" t="s">
        <v>5885</v>
      </c>
      <c r="C369" t="s">
        <v>5090</v>
      </c>
      <c r="D369" s="20">
        <v>31892</v>
      </c>
      <c r="E369">
        <v>9014473404</v>
      </c>
      <c r="F369" t="s">
        <v>5886</v>
      </c>
      <c r="G369" t="s">
        <v>5107</v>
      </c>
      <c r="H369" t="s">
        <v>5098</v>
      </c>
      <c r="I369" t="s">
        <v>42</v>
      </c>
      <c r="J369" t="s">
        <v>39</v>
      </c>
      <c r="K369" s="20">
        <v>43155</v>
      </c>
      <c r="L369" t="s">
        <v>5108</v>
      </c>
      <c r="M369" t="s">
        <v>154</v>
      </c>
      <c r="N369" t="s">
        <v>154</v>
      </c>
    </row>
    <row r="370" spans="1:14" x14ac:dyDescent="0.25">
      <c r="A370" t="s">
        <v>2838</v>
      </c>
      <c r="B370" t="s">
        <v>5887</v>
      </c>
      <c r="C370" t="s">
        <v>5115</v>
      </c>
      <c r="D370" s="20">
        <v>34395</v>
      </c>
      <c r="E370">
        <v>9730451957</v>
      </c>
      <c r="F370" t="s">
        <v>5888</v>
      </c>
      <c r="G370" t="s">
        <v>5366</v>
      </c>
      <c r="H370" t="s">
        <v>5103</v>
      </c>
      <c r="I370" t="s">
        <v>38</v>
      </c>
      <c r="J370" t="s">
        <v>44</v>
      </c>
      <c r="K370" s="20">
        <v>44884</v>
      </c>
      <c r="L370" t="s">
        <v>5158</v>
      </c>
      <c r="M370" t="s">
        <v>154</v>
      </c>
      <c r="N370" t="s">
        <v>154</v>
      </c>
    </row>
    <row r="371" spans="1:14" x14ac:dyDescent="0.25">
      <c r="A371" t="s">
        <v>4718</v>
      </c>
      <c r="B371" t="s">
        <v>5889</v>
      </c>
      <c r="C371" t="s">
        <v>5090</v>
      </c>
      <c r="D371" s="20">
        <v>35641</v>
      </c>
      <c r="E371">
        <v>9296575427</v>
      </c>
      <c r="F371" t="s">
        <v>5890</v>
      </c>
      <c r="G371" t="s">
        <v>5189</v>
      </c>
      <c r="H371" t="s">
        <v>5112</v>
      </c>
      <c r="I371" t="s">
        <v>38</v>
      </c>
      <c r="J371" t="s">
        <v>43</v>
      </c>
      <c r="K371" s="20">
        <v>44521</v>
      </c>
      <c r="L371" t="s">
        <v>5131</v>
      </c>
      <c r="M371" t="s">
        <v>154</v>
      </c>
      <c r="N371" t="s">
        <v>154</v>
      </c>
    </row>
    <row r="372" spans="1:14" x14ac:dyDescent="0.25">
      <c r="A372" t="s">
        <v>3576</v>
      </c>
      <c r="B372" t="s">
        <v>5891</v>
      </c>
      <c r="C372" t="s">
        <v>5115</v>
      </c>
      <c r="D372" s="20">
        <v>33608</v>
      </c>
      <c r="E372">
        <v>9782058295</v>
      </c>
      <c r="F372" t="s">
        <v>5892</v>
      </c>
      <c r="G372" t="s">
        <v>5331</v>
      </c>
      <c r="H372" t="s">
        <v>5118</v>
      </c>
      <c r="I372" t="s">
        <v>40</v>
      </c>
      <c r="J372" t="s">
        <v>39</v>
      </c>
      <c r="K372" s="20">
        <v>44570</v>
      </c>
      <c r="L372" t="s">
        <v>5146</v>
      </c>
      <c r="M372" t="s">
        <v>154</v>
      </c>
      <c r="N372" t="s">
        <v>154</v>
      </c>
    </row>
    <row r="373" spans="1:14" x14ac:dyDescent="0.25">
      <c r="A373" t="s">
        <v>1624</v>
      </c>
      <c r="B373" t="s">
        <v>5893</v>
      </c>
      <c r="C373" t="s">
        <v>5090</v>
      </c>
      <c r="D373" s="20">
        <v>26028</v>
      </c>
      <c r="E373">
        <v>9880819048</v>
      </c>
      <c r="F373" t="s">
        <v>5894</v>
      </c>
      <c r="G373" t="s">
        <v>5257</v>
      </c>
      <c r="H373" t="s">
        <v>5093</v>
      </c>
      <c r="I373" t="s">
        <v>40</v>
      </c>
      <c r="J373" t="s">
        <v>43</v>
      </c>
      <c r="K373" s="20">
        <v>44817</v>
      </c>
      <c r="L373" t="s">
        <v>5211</v>
      </c>
      <c r="M373" t="s">
        <v>154</v>
      </c>
      <c r="N373" t="s">
        <v>154</v>
      </c>
    </row>
    <row r="374" spans="1:14" x14ac:dyDescent="0.25">
      <c r="A374" t="s">
        <v>707</v>
      </c>
      <c r="B374" t="s">
        <v>5895</v>
      </c>
      <c r="C374" t="s">
        <v>5090</v>
      </c>
      <c r="D374" s="20">
        <v>25658</v>
      </c>
      <c r="E374">
        <v>9639561372</v>
      </c>
      <c r="F374" t="s">
        <v>5896</v>
      </c>
      <c r="G374" t="s">
        <v>5126</v>
      </c>
      <c r="H374" t="s">
        <v>5118</v>
      </c>
      <c r="I374" t="s">
        <v>40</v>
      </c>
      <c r="J374" t="s">
        <v>39</v>
      </c>
      <c r="K374" s="20">
        <v>44718</v>
      </c>
      <c r="L374" t="s">
        <v>5186</v>
      </c>
      <c r="M374" t="s">
        <v>154</v>
      </c>
      <c r="N374" t="s">
        <v>154</v>
      </c>
    </row>
    <row r="375" spans="1:14" x14ac:dyDescent="0.25">
      <c r="A375" t="s">
        <v>1473</v>
      </c>
      <c r="B375" t="s">
        <v>5897</v>
      </c>
      <c r="C375" t="s">
        <v>5090</v>
      </c>
      <c r="D375" s="20">
        <v>31856</v>
      </c>
      <c r="E375">
        <v>9643813000</v>
      </c>
      <c r="F375" t="s">
        <v>5898</v>
      </c>
      <c r="G375" t="s">
        <v>5122</v>
      </c>
      <c r="H375" t="s">
        <v>5093</v>
      </c>
      <c r="I375" t="s">
        <v>40</v>
      </c>
      <c r="J375" t="s">
        <v>44</v>
      </c>
      <c r="K375" s="20">
        <v>44356</v>
      </c>
      <c r="L375" t="s">
        <v>5178</v>
      </c>
      <c r="M375" t="s">
        <v>154</v>
      </c>
      <c r="N375" t="s">
        <v>154</v>
      </c>
    </row>
    <row r="376" spans="1:14" x14ac:dyDescent="0.25">
      <c r="A376" t="s">
        <v>1515</v>
      </c>
      <c r="B376" t="s">
        <v>5899</v>
      </c>
      <c r="C376" t="s">
        <v>5115</v>
      </c>
      <c r="D376" s="20">
        <v>24841</v>
      </c>
      <c r="E376">
        <v>9609456534</v>
      </c>
      <c r="F376" t="s">
        <v>5900</v>
      </c>
      <c r="G376" t="s">
        <v>5117</v>
      </c>
      <c r="H376" t="s">
        <v>5118</v>
      </c>
      <c r="I376" t="s">
        <v>40</v>
      </c>
      <c r="J376" t="s">
        <v>44</v>
      </c>
      <c r="K376" s="20">
        <v>44829</v>
      </c>
      <c r="L376" t="s">
        <v>5094</v>
      </c>
      <c r="M376" t="s">
        <v>154</v>
      </c>
      <c r="N376" t="s">
        <v>154</v>
      </c>
    </row>
    <row r="377" spans="1:14" x14ac:dyDescent="0.25">
      <c r="A377" t="s">
        <v>3697</v>
      </c>
      <c r="B377" t="s">
        <v>5901</v>
      </c>
      <c r="C377" t="s">
        <v>5090</v>
      </c>
      <c r="D377" s="20">
        <v>33464</v>
      </c>
      <c r="E377">
        <v>9504768169</v>
      </c>
      <c r="F377" t="s">
        <v>5902</v>
      </c>
      <c r="G377" t="s">
        <v>5102</v>
      </c>
      <c r="H377" t="s">
        <v>5103</v>
      </c>
      <c r="I377" t="s">
        <v>38</v>
      </c>
      <c r="J377" t="s">
        <v>44</v>
      </c>
      <c r="K377" s="20">
        <v>45148</v>
      </c>
      <c r="L377" t="s">
        <v>5168</v>
      </c>
      <c r="M377" t="s">
        <v>154</v>
      </c>
      <c r="N377" t="s">
        <v>154</v>
      </c>
    </row>
    <row r="378" spans="1:14" x14ac:dyDescent="0.25">
      <c r="A378" t="s">
        <v>3404</v>
      </c>
      <c r="B378" t="s">
        <v>5903</v>
      </c>
      <c r="C378" t="s">
        <v>5090</v>
      </c>
      <c r="D378" s="20">
        <v>29968</v>
      </c>
      <c r="E378">
        <v>9481131765</v>
      </c>
      <c r="F378" t="s">
        <v>5904</v>
      </c>
      <c r="G378" t="s">
        <v>5102</v>
      </c>
      <c r="H378" t="s">
        <v>5103</v>
      </c>
      <c r="I378" t="s">
        <v>38</v>
      </c>
      <c r="J378" t="s">
        <v>44</v>
      </c>
      <c r="K378" s="20">
        <v>43456</v>
      </c>
      <c r="L378" t="s">
        <v>5137</v>
      </c>
      <c r="M378" t="s">
        <v>154</v>
      </c>
      <c r="N378" t="s">
        <v>154</v>
      </c>
    </row>
    <row r="379" spans="1:14" x14ac:dyDescent="0.25">
      <c r="A379" t="s">
        <v>3503</v>
      </c>
      <c r="B379" t="s">
        <v>5905</v>
      </c>
      <c r="C379" t="s">
        <v>5090</v>
      </c>
      <c r="D379" s="20">
        <v>29032</v>
      </c>
      <c r="E379">
        <v>9961029087</v>
      </c>
      <c r="F379" t="s">
        <v>5906</v>
      </c>
      <c r="G379" t="s">
        <v>5276</v>
      </c>
      <c r="H379" t="s">
        <v>5118</v>
      </c>
      <c r="I379" t="s">
        <v>40</v>
      </c>
      <c r="J379" t="s">
        <v>44</v>
      </c>
      <c r="K379" s="20">
        <v>44949</v>
      </c>
      <c r="L379" t="s">
        <v>5208</v>
      </c>
      <c r="M379" t="s">
        <v>154</v>
      </c>
      <c r="N379" t="s">
        <v>154</v>
      </c>
    </row>
    <row r="380" spans="1:14" x14ac:dyDescent="0.25">
      <c r="A380" t="s">
        <v>3643</v>
      </c>
      <c r="B380" t="s">
        <v>5907</v>
      </c>
      <c r="C380" t="s">
        <v>5090</v>
      </c>
      <c r="D380" s="20">
        <v>35164</v>
      </c>
      <c r="E380">
        <v>9491872742</v>
      </c>
      <c r="F380" t="s">
        <v>5908</v>
      </c>
      <c r="G380" t="s">
        <v>5181</v>
      </c>
      <c r="H380" t="s">
        <v>5112</v>
      </c>
      <c r="I380" t="s">
        <v>38</v>
      </c>
      <c r="J380" t="s">
        <v>44</v>
      </c>
      <c r="K380" s="20">
        <v>45295</v>
      </c>
      <c r="L380" t="s">
        <v>5123</v>
      </c>
      <c r="M380" t="s">
        <v>154</v>
      </c>
      <c r="N380" t="s">
        <v>154</v>
      </c>
    </row>
    <row r="381" spans="1:14" x14ac:dyDescent="0.25">
      <c r="A381" t="s">
        <v>716</v>
      </c>
      <c r="B381" t="s">
        <v>5909</v>
      </c>
      <c r="C381" t="s">
        <v>5115</v>
      </c>
      <c r="D381" s="20">
        <v>25539</v>
      </c>
      <c r="E381">
        <v>9062604235</v>
      </c>
      <c r="F381" t="s">
        <v>5910</v>
      </c>
      <c r="G381" t="s">
        <v>5122</v>
      </c>
      <c r="H381" t="s">
        <v>5093</v>
      </c>
      <c r="I381" t="s">
        <v>40</v>
      </c>
      <c r="J381" t="s">
        <v>43</v>
      </c>
      <c r="K381" s="20">
        <v>45092</v>
      </c>
      <c r="L381" t="s">
        <v>5178</v>
      </c>
      <c r="M381" t="s">
        <v>154</v>
      </c>
      <c r="N381" t="s">
        <v>154</v>
      </c>
    </row>
    <row r="382" spans="1:14" x14ac:dyDescent="0.25">
      <c r="A382" t="s">
        <v>2766</v>
      </c>
      <c r="B382" t="s">
        <v>5522</v>
      </c>
      <c r="C382" t="s">
        <v>5090</v>
      </c>
      <c r="D382" s="20">
        <v>36988</v>
      </c>
      <c r="E382">
        <v>9907756085</v>
      </c>
      <c r="F382" t="s">
        <v>5911</v>
      </c>
      <c r="G382" t="s">
        <v>5171</v>
      </c>
      <c r="H382" t="s">
        <v>5103</v>
      </c>
      <c r="I382" t="s">
        <v>38</v>
      </c>
      <c r="J382" t="s">
        <v>43</v>
      </c>
      <c r="K382" s="20">
        <v>43641</v>
      </c>
      <c r="L382" t="s">
        <v>5099</v>
      </c>
      <c r="M382" t="s">
        <v>154</v>
      </c>
      <c r="N382" t="s">
        <v>154</v>
      </c>
    </row>
    <row r="383" spans="1:14" x14ac:dyDescent="0.25">
      <c r="A383" t="s">
        <v>295</v>
      </c>
      <c r="B383" t="s">
        <v>5709</v>
      </c>
      <c r="C383" t="s">
        <v>5115</v>
      </c>
      <c r="D383" s="20">
        <v>28312</v>
      </c>
      <c r="E383">
        <v>9145768321</v>
      </c>
      <c r="F383" t="s">
        <v>5912</v>
      </c>
      <c r="G383" t="s">
        <v>5292</v>
      </c>
      <c r="H383" t="s">
        <v>5098</v>
      </c>
      <c r="I383" t="s">
        <v>42</v>
      </c>
      <c r="J383" t="s">
        <v>44</v>
      </c>
      <c r="K383" s="20">
        <v>43375</v>
      </c>
      <c r="L383" t="s">
        <v>5104</v>
      </c>
      <c r="M383" t="s">
        <v>154</v>
      </c>
      <c r="N383" t="s">
        <v>154</v>
      </c>
    </row>
    <row r="384" spans="1:14" x14ac:dyDescent="0.25">
      <c r="A384" t="s">
        <v>684</v>
      </c>
      <c r="B384" t="s">
        <v>5913</v>
      </c>
      <c r="C384" t="s">
        <v>5115</v>
      </c>
      <c r="D384" s="20">
        <v>31051</v>
      </c>
      <c r="E384">
        <v>9296180332</v>
      </c>
      <c r="F384" t="s">
        <v>5914</v>
      </c>
      <c r="G384" t="s">
        <v>5304</v>
      </c>
      <c r="H384" t="s">
        <v>5112</v>
      </c>
      <c r="I384" t="s">
        <v>38</v>
      </c>
      <c r="J384" t="s">
        <v>41</v>
      </c>
      <c r="K384" s="20">
        <v>45058</v>
      </c>
      <c r="L384" t="s">
        <v>5104</v>
      </c>
      <c r="M384" t="s">
        <v>154</v>
      </c>
      <c r="N384" t="s">
        <v>154</v>
      </c>
    </row>
    <row r="385" spans="1:14" x14ac:dyDescent="0.25">
      <c r="A385" t="s">
        <v>2463</v>
      </c>
      <c r="B385" t="s">
        <v>5915</v>
      </c>
      <c r="C385" t="s">
        <v>5115</v>
      </c>
      <c r="D385" s="20">
        <v>29835</v>
      </c>
      <c r="E385">
        <v>9498042537</v>
      </c>
      <c r="F385" t="s">
        <v>5916</v>
      </c>
      <c r="G385" t="s">
        <v>5231</v>
      </c>
      <c r="H385" t="s">
        <v>5103</v>
      </c>
      <c r="I385" t="s">
        <v>38</v>
      </c>
      <c r="J385" t="s">
        <v>44</v>
      </c>
      <c r="K385" s="20">
        <v>43562</v>
      </c>
      <c r="L385" t="s">
        <v>5186</v>
      </c>
      <c r="M385" t="s">
        <v>154</v>
      </c>
      <c r="N385" t="s">
        <v>154</v>
      </c>
    </row>
    <row r="386" spans="1:14" x14ac:dyDescent="0.25">
      <c r="A386" t="s">
        <v>3026</v>
      </c>
      <c r="B386" t="s">
        <v>5917</v>
      </c>
      <c r="C386" t="s">
        <v>5115</v>
      </c>
      <c r="D386" s="20">
        <v>31586</v>
      </c>
      <c r="E386">
        <v>9122821781</v>
      </c>
      <c r="F386" t="s">
        <v>5918</v>
      </c>
      <c r="G386" t="s">
        <v>5122</v>
      </c>
      <c r="H386" t="s">
        <v>5093</v>
      </c>
      <c r="I386" t="s">
        <v>40</v>
      </c>
      <c r="J386" t="s">
        <v>43</v>
      </c>
      <c r="K386" s="20">
        <v>45366</v>
      </c>
      <c r="L386" t="s">
        <v>5158</v>
      </c>
      <c r="M386" t="s">
        <v>154</v>
      </c>
      <c r="N386" t="s">
        <v>154</v>
      </c>
    </row>
    <row r="387" spans="1:14" x14ac:dyDescent="0.25">
      <c r="A387" t="s">
        <v>2711</v>
      </c>
      <c r="B387" t="s">
        <v>5919</v>
      </c>
      <c r="C387" t="s">
        <v>5115</v>
      </c>
      <c r="D387" s="20">
        <v>27435</v>
      </c>
      <c r="E387">
        <v>9560356793</v>
      </c>
      <c r="F387" t="s">
        <v>5920</v>
      </c>
      <c r="G387" t="s">
        <v>5117</v>
      </c>
      <c r="H387" t="s">
        <v>5118</v>
      </c>
      <c r="I387" t="s">
        <v>40</v>
      </c>
      <c r="J387" t="s">
        <v>43</v>
      </c>
      <c r="K387" s="20">
        <v>44869</v>
      </c>
      <c r="L387" t="s">
        <v>5123</v>
      </c>
      <c r="M387" t="s">
        <v>154</v>
      </c>
      <c r="N387" t="s">
        <v>154</v>
      </c>
    </row>
    <row r="388" spans="1:14" x14ac:dyDescent="0.25">
      <c r="A388" t="s">
        <v>3299</v>
      </c>
      <c r="B388" t="s">
        <v>5921</v>
      </c>
      <c r="C388" t="s">
        <v>5115</v>
      </c>
      <c r="D388" s="20">
        <v>34327</v>
      </c>
      <c r="E388">
        <v>9169061812</v>
      </c>
      <c r="F388" t="s">
        <v>5922</v>
      </c>
      <c r="G388" t="s">
        <v>5185</v>
      </c>
      <c r="H388" t="s">
        <v>5093</v>
      </c>
      <c r="I388" t="s">
        <v>40</v>
      </c>
      <c r="J388" t="s">
        <v>41</v>
      </c>
      <c r="K388" s="20">
        <v>44279</v>
      </c>
      <c r="L388" t="s">
        <v>5137</v>
      </c>
      <c r="M388" t="s">
        <v>154</v>
      </c>
      <c r="N388" t="s">
        <v>154</v>
      </c>
    </row>
    <row r="389" spans="1:14" x14ac:dyDescent="0.25">
      <c r="A389" t="s">
        <v>4652</v>
      </c>
      <c r="B389" t="s">
        <v>5923</v>
      </c>
      <c r="C389" t="s">
        <v>5115</v>
      </c>
      <c r="D389" s="20">
        <v>31353</v>
      </c>
      <c r="E389">
        <v>9478769899</v>
      </c>
      <c r="F389" t="s">
        <v>5924</v>
      </c>
      <c r="G389" t="s">
        <v>5126</v>
      </c>
      <c r="H389" t="s">
        <v>5118</v>
      </c>
      <c r="I389" t="s">
        <v>40</v>
      </c>
      <c r="J389" t="s">
        <v>44</v>
      </c>
      <c r="K389" s="20">
        <v>45580</v>
      </c>
      <c r="L389" t="s">
        <v>5168</v>
      </c>
      <c r="M389" t="s">
        <v>154</v>
      </c>
      <c r="N389" t="s">
        <v>154</v>
      </c>
    </row>
    <row r="390" spans="1:14" x14ac:dyDescent="0.25">
      <c r="A390" t="s">
        <v>3790</v>
      </c>
      <c r="B390" t="s">
        <v>5925</v>
      </c>
      <c r="C390" t="s">
        <v>5115</v>
      </c>
      <c r="D390" s="20">
        <v>35071</v>
      </c>
      <c r="E390">
        <v>9444498355</v>
      </c>
      <c r="F390" t="s">
        <v>5926</v>
      </c>
      <c r="G390" t="s">
        <v>5145</v>
      </c>
      <c r="H390" t="s">
        <v>5098</v>
      </c>
      <c r="I390" t="s">
        <v>42</v>
      </c>
      <c r="J390" t="s">
        <v>39</v>
      </c>
      <c r="K390" s="20">
        <v>45625</v>
      </c>
      <c r="L390" t="s">
        <v>5104</v>
      </c>
      <c r="M390" t="s">
        <v>154</v>
      </c>
      <c r="N390" t="s">
        <v>154</v>
      </c>
    </row>
    <row r="391" spans="1:14" x14ac:dyDescent="0.25">
      <c r="A391" t="s">
        <v>884</v>
      </c>
      <c r="B391" t="s">
        <v>5927</v>
      </c>
      <c r="C391" t="s">
        <v>5090</v>
      </c>
      <c r="D391" s="20">
        <v>26886</v>
      </c>
      <c r="E391">
        <v>9963924358</v>
      </c>
      <c r="F391" t="s">
        <v>5928</v>
      </c>
      <c r="G391" t="s">
        <v>5276</v>
      </c>
      <c r="H391" t="s">
        <v>5118</v>
      </c>
      <c r="I391" t="s">
        <v>40</v>
      </c>
      <c r="J391" t="s">
        <v>44</v>
      </c>
      <c r="K391" s="20">
        <v>44241</v>
      </c>
      <c r="L391" t="s">
        <v>5152</v>
      </c>
      <c r="M391" t="s">
        <v>154</v>
      </c>
      <c r="N391" t="s">
        <v>154</v>
      </c>
    </row>
    <row r="392" spans="1:14" x14ac:dyDescent="0.25">
      <c r="A392" t="s">
        <v>3259</v>
      </c>
      <c r="B392" t="s">
        <v>5929</v>
      </c>
      <c r="C392" t="s">
        <v>5115</v>
      </c>
      <c r="D392" s="20">
        <v>32264</v>
      </c>
      <c r="E392">
        <v>9535778811</v>
      </c>
      <c r="F392" t="s">
        <v>5930</v>
      </c>
      <c r="G392" t="s">
        <v>5122</v>
      </c>
      <c r="H392" t="s">
        <v>5093</v>
      </c>
      <c r="I392" t="s">
        <v>40</v>
      </c>
      <c r="J392" t="s">
        <v>44</v>
      </c>
      <c r="K392" s="20">
        <v>44294</v>
      </c>
      <c r="L392" t="s">
        <v>5178</v>
      </c>
      <c r="M392" t="s">
        <v>184</v>
      </c>
      <c r="N392" t="s">
        <v>154</v>
      </c>
    </row>
    <row r="393" spans="1:14" x14ac:dyDescent="0.25">
      <c r="A393" t="s">
        <v>4595</v>
      </c>
      <c r="B393" t="s">
        <v>5931</v>
      </c>
      <c r="C393" t="s">
        <v>5090</v>
      </c>
      <c r="D393" s="20">
        <v>29336</v>
      </c>
      <c r="E393">
        <v>9686013477</v>
      </c>
      <c r="F393" t="s">
        <v>5932</v>
      </c>
      <c r="G393" t="s">
        <v>5092</v>
      </c>
      <c r="H393" t="s">
        <v>5093</v>
      </c>
      <c r="I393" t="s">
        <v>40</v>
      </c>
      <c r="J393" t="s">
        <v>41</v>
      </c>
      <c r="K393" s="20">
        <v>44135</v>
      </c>
      <c r="L393" t="s">
        <v>5211</v>
      </c>
      <c r="M393" t="s">
        <v>154</v>
      </c>
      <c r="N393" t="s">
        <v>154</v>
      </c>
    </row>
    <row r="394" spans="1:14" x14ac:dyDescent="0.25">
      <c r="A394" t="s">
        <v>2708</v>
      </c>
      <c r="B394" t="s">
        <v>5933</v>
      </c>
      <c r="C394" t="s">
        <v>5090</v>
      </c>
      <c r="D394" s="20">
        <v>33040</v>
      </c>
      <c r="E394">
        <v>9917665122</v>
      </c>
      <c r="F394" t="s">
        <v>5934</v>
      </c>
      <c r="G394" t="s">
        <v>5155</v>
      </c>
      <c r="H394" t="s">
        <v>5098</v>
      </c>
      <c r="I394" t="s">
        <v>42</v>
      </c>
      <c r="J394" t="s">
        <v>43</v>
      </c>
      <c r="K394" s="20">
        <v>44852</v>
      </c>
      <c r="L394" t="s">
        <v>5137</v>
      </c>
      <c r="M394" t="s">
        <v>154</v>
      </c>
      <c r="N394" t="s">
        <v>154</v>
      </c>
    </row>
    <row r="395" spans="1:14" x14ac:dyDescent="0.25">
      <c r="A395" t="s">
        <v>4249</v>
      </c>
      <c r="B395" t="s">
        <v>5935</v>
      </c>
      <c r="C395" t="s">
        <v>5115</v>
      </c>
      <c r="D395" s="20">
        <v>37623</v>
      </c>
      <c r="E395">
        <v>9216309001</v>
      </c>
      <c r="F395" t="s">
        <v>5936</v>
      </c>
      <c r="G395" t="s">
        <v>5369</v>
      </c>
      <c r="H395" t="s">
        <v>5103</v>
      </c>
      <c r="I395" t="s">
        <v>38</v>
      </c>
      <c r="J395" t="s">
        <v>43</v>
      </c>
      <c r="K395" s="20">
        <v>45293</v>
      </c>
      <c r="L395" t="s">
        <v>5152</v>
      </c>
      <c r="M395" t="s">
        <v>154</v>
      </c>
      <c r="N395" t="s">
        <v>154</v>
      </c>
    </row>
    <row r="396" spans="1:14" x14ac:dyDescent="0.25">
      <c r="A396" t="s">
        <v>2830</v>
      </c>
      <c r="B396" t="s">
        <v>5937</v>
      </c>
      <c r="C396" t="s">
        <v>5090</v>
      </c>
      <c r="D396" s="20">
        <v>30784</v>
      </c>
      <c r="E396">
        <v>9485320895</v>
      </c>
      <c r="F396" t="s">
        <v>5938</v>
      </c>
      <c r="G396" t="s">
        <v>5185</v>
      </c>
      <c r="H396" t="s">
        <v>5093</v>
      </c>
      <c r="I396" t="s">
        <v>40</v>
      </c>
      <c r="J396" t="s">
        <v>43</v>
      </c>
      <c r="K396" s="20">
        <v>45573</v>
      </c>
      <c r="L396" t="s">
        <v>5108</v>
      </c>
      <c r="M396" t="s">
        <v>154</v>
      </c>
      <c r="N396" t="s">
        <v>154</v>
      </c>
    </row>
    <row r="397" spans="1:14" x14ac:dyDescent="0.25">
      <c r="A397" t="s">
        <v>3513</v>
      </c>
      <c r="B397" t="s">
        <v>5939</v>
      </c>
      <c r="C397" t="s">
        <v>5115</v>
      </c>
      <c r="D397" s="20">
        <v>32618</v>
      </c>
      <c r="E397">
        <v>9947113633</v>
      </c>
      <c r="F397" t="s">
        <v>5940</v>
      </c>
      <c r="G397" t="s">
        <v>5111</v>
      </c>
      <c r="H397" t="s">
        <v>5112</v>
      </c>
      <c r="I397" t="s">
        <v>38</v>
      </c>
      <c r="J397" t="s">
        <v>44</v>
      </c>
      <c r="K397" s="20">
        <v>43474</v>
      </c>
      <c r="L397" t="s">
        <v>5108</v>
      </c>
      <c r="M397" t="s">
        <v>154</v>
      </c>
      <c r="N397" t="s">
        <v>154</v>
      </c>
    </row>
    <row r="398" spans="1:14" x14ac:dyDescent="0.25">
      <c r="A398" t="s">
        <v>847</v>
      </c>
      <c r="B398" t="s">
        <v>5941</v>
      </c>
      <c r="C398" t="s">
        <v>5090</v>
      </c>
      <c r="D398" s="20">
        <v>28321</v>
      </c>
      <c r="E398">
        <v>9996733116</v>
      </c>
      <c r="F398" t="s">
        <v>5942</v>
      </c>
      <c r="G398" t="s">
        <v>5214</v>
      </c>
      <c r="H398" t="s">
        <v>5103</v>
      </c>
      <c r="I398" t="s">
        <v>38</v>
      </c>
      <c r="J398" t="s">
        <v>43</v>
      </c>
      <c r="K398" s="20">
        <v>44364</v>
      </c>
      <c r="L398" t="s">
        <v>5131</v>
      </c>
      <c r="M398" t="s">
        <v>154</v>
      </c>
      <c r="N398" t="s">
        <v>154</v>
      </c>
    </row>
    <row r="399" spans="1:14" x14ac:dyDescent="0.25">
      <c r="A399" t="s">
        <v>5943</v>
      </c>
      <c r="B399" t="s">
        <v>5944</v>
      </c>
      <c r="C399" t="s">
        <v>5115</v>
      </c>
      <c r="D399" s="20">
        <v>36042</v>
      </c>
      <c r="E399">
        <v>9768550789</v>
      </c>
      <c r="F399" t="s">
        <v>5945</v>
      </c>
      <c r="G399" t="s">
        <v>5136</v>
      </c>
      <c r="H399" t="s">
        <v>5098</v>
      </c>
      <c r="I399" t="s">
        <v>42</v>
      </c>
      <c r="J399" t="s">
        <v>39</v>
      </c>
      <c r="K399" s="20">
        <v>44213</v>
      </c>
      <c r="L399" t="s">
        <v>5208</v>
      </c>
      <c r="M399" t="s">
        <v>154</v>
      </c>
      <c r="N399" t="s">
        <v>154</v>
      </c>
    </row>
    <row r="400" spans="1:14" x14ac:dyDescent="0.25">
      <c r="A400" t="s">
        <v>2789</v>
      </c>
      <c r="B400" t="s">
        <v>5946</v>
      </c>
      <c r="C400" t="s">
        <v>5090</v>
      </c>
      <c r="D400" s="20">
        <v>26110</v>
      </c>
      <c r="E400">
        <v>9633556434</v>
      </c>
      <c r="F400" t="s">
        <v>5947</v>
      </c>
      <c r="G400" t="s">
        <v>5366</v>
      </c>
      <c r="H400" t="s">
        <v>5103</v>
      </c>
      <c r="I400" t="s">
        <v>38</v>
      </c>
      <c r="J400" t="s">
        <v>44</v>
      </c>
      <c r="K400" s="20">
        <v>44647</v>
      </c>
      <c r="L400" t="s">
        <v>5165</v>
      </c>
      <c r="M400" t="s">
        <v>154</v>
      </c>
      <c r="N400" t="s">
        <v>154</v>
      </c>
    </row>
    <row r="401" spans="1:14" x14ac:dyDescent="0.25">
      <c r="A401" t="s">
        <v>385</v>
      </c>
      <c r="B401" t="s">
        <v>5948</v>
      </c>
      <c r="C401" t="s">
        <v>5115</v>
      </c>
      <c r="D401" s="20">
        <v>34990</v>
      </c>
      <c r="E401">
        <v>9069556076</v>
      </c>
      <c r="F401" t="s">
        <v>5949</v>
      </c>
      <c r="G401" t="s">
        <v>5243</v>
      </c>
      <c r="H401" t="s">
        <v>5112</v>
      </c>
      <c r="I401" t="s">
        <v>38</v>
      </c>
      <c r="J401" t="s">
        <v>41</v>
      </c>
      <c r="K401" s="20">
        <v>43365</v>
      </c>
      <c r="L401" t="s">
        <v>5146</v>
      </c>
      <c r="M401" t="s">
        <v>154</v>
      </c>
      <c r="N401" t="s">
        <v>154</v>
      </c>
    </row>
    <row r="402" spans="1:14" x14ac:dyDescent="0.25">
      <c r="A402" t="s">
        <v>3345</v>
      </c>
      <c r="B402" t="s">
        <v>5950</v>
      </c>
      <c r="C402" t="s">
        <v>5090</v>
      </c>
      <c r="D402" s="20">
        <v>27919</v>
      </c>
      <c r="E402">
        <v>9223989830</v>
      </c>
      <c r="F402" t="s">
        <v>5951</v>
      </c>
      <c r="G402" t="s">
        <v>5331</v>
      </c>
      <c r="H402" t="s">
        <v>5118</v>
      </c>
      <c r="I402" t="s">
        <v>40</v>
      </c>
      <c r="J402" t="s">
        <v>43</v>
      </c>
      <c r="K402" s="20">
        <v>44165</v>
      </c>
      <c r="L402" t="s">
        <v>5137</v>
      </c>
      <c r="M402" t="s">
        <v>154</v>
      </c>
      <c r="N402" t="s">
        <v>154</v>
      </c>
    </row>
    <row r="403" spans="1:14" x14ac:dyDescent="0.25">
      <c r="A403" t="s">
        <v>1033</v>
      </c>
      <c r="B403" t="s">
        <v>5952</v>
      </c>
      <c r="C403" t="s">
        <v>5115</v>
      </c>
      <c r="D403" s="20">
        <v>35328</v>
      </c>
      <c r="E403">
        <v>9418472426</v>
      </c>
      <c r="F403" t="s">
        <v>5953</v>
      </c>
      <c r="G403" t="s">
        <v>5122</v>
      </c>
      <c r="H403" t="s">
        <v>5093</v>
      </c>
      <c r="I403" t="s">
        <v>40</v>
      </c>
      <c r="J403" t="s">
        <v>41</v>
      </c>
      <c r="K403" s="20">
        <v>45365</v>
      </c>
      <c r="L403" t="s">
        <v>5123</v>
      </c>
      <c r="M403" t="s">
        <v>154</v>
      </c>
      <c r="N403" t="s">
        <v>154</v>
      </c>
    </row>
    <row r="404" spans="1:14" x14ac:dyDescent="0.25">
      <c r="A404" t="s">
        <v>394</v>
      </c>
      <c r="B404" t="s">
        <v>5954</v>
      </c>
      <c r="C404" t="s">
        <v>5090</v>
      </c>
      <c r="D404" s="20">
        <v>30451</v>
      </c>
      <c r="E404">
        <v>9909248762</v>
      </c>
      <c r="F404" t="s">
        <v>5955</v>
      </c>
      <c r="G404" t="s">
        <v>5331</v>
      </c>
      <c r="H404" t="s">
        <v>5118</v>
      </c>
      <c r="I404" t="s">
        <v>40</v>
      </c>
      <c r="J404" t="s">
        <v>39</v>
      </c>
      <c r="K404" s="20">
        <v>44050</v>
      </c>
      <c r="L404" t="s">
        <v>5104</v>
      </c>
      <c r="M404" t="s">
        <v>154</v>
      </c>
      <c r="N404" t="s">
        <v>154</v>
      </c>
    </row>
    <row r="405" spans="1:14" x14ac:dyDescent="0.25">
      <c r="A405" t="s">
        <v>358</v>
      </c>
      <c r="B405" t="s">
        <v>5956</v>
      </c>
      <c r="C405" t="s">
        <v>5115</v>
      </c>
      <c r="D405" s="20">
        <v>35417</v>
      </c>
      <c r="E405">
        <v>9817852282</v>
      </c>
      <c r="F405" t="s">
        <v>5957</v>
      </c>
      <c r="G405" t="s">
        <v>5171</v>
      </c>
      <c r="H405" t="s">
        <v>5103</v>
      </c>
      <c r="I405" t="s">
        <v>38</v>
      </c>
      <c r="J405" t="s">
        <v>44</v>
      </c>
      <c r="K405" s="20">
        <v>44203</v>
      </c>
      <c r="L405" t="s">
        <v>5165</v>
      </c>
      <c r="M405" t="s">
        <v>154</v>
      </c>
      <c r="N405" t="s">
        <v>154</v>
      </c>
    </row>
    <row r="406" spans="1:14" x14ac:dyDescent="0.25">
      <c r="A406" t="s">
        <v>5958</v>
      </c>
      <c r="B406" t="s">
        <v>5959</v>
      </c>
      <c r="C406" t="s">
        <v>5090</v>
      </c>
      <c r="D406" s="20">
        <v>36298</v>
      </c>
      <c r="E406">
        <v>9062207223</v>
      </c>
      <c r="F406" t="s">
        <v>5960</v>
      </c>
      <c r="G406" t="s">
        <v>5276</v>
      </c>
      <c r="H406" t="s">
        <v>5118</v>
      </c>
      <c r="I406" t="s">
        <v>40</v>
      </c>
      <c r="J406" t="s">
        <v>44</v>
      </c>
      <c r="K406" s="20">
        <v>45152</v>
      </c>
      <c r="L406" t="s">
        <v>5186</v>
      </c>
      <c r="M406" t="s">
        <v>154</v>
      </c>
      <c r="N406" t="s">
        <v>154</v>
      </c>
    </row>
    <row r="407" spans="1:14" x14ac:dyDescent="0.25">
      <c r="A407" t="s">
        <v>173</v>
      </c>
      <c r="B407" t="s">
        <v>5961</v>
      </c>
      <c r="C407" t="s">
        <v>5090</v>
      </c>
      <c r="D407" s="20">
        <v>27770</v>
      </c>
      <c r="E407">
        <v>9901620478</v>
      </c>
      <c r="F407" t="s">
        <v>5962</v>
      </c>
      <c r="G407" t="s">
        <v>5155</v>
      </c>
      <c r="H407" t="s">
        <v>5098</v>
      </c>
      <c r="I407" t="s">
        <v>42</v>
      </c>
      <c r="J407" t="s">
        <v>44</v>
      </c>
      <c r="K407" s="20">
        <v>44117</v>
      </c>
      <c r="L407" t="s">
        <v>5165</v>
      </c>
      <c r="M407" t="s">
        <v>154</v>
      </c>
      <c r="N407" t="s">
        <v>154</v>
      </c>
    </row>
    <row r="408" spans="1:14" x14ac:dyDescent="0.25">
      <c r="A408" t="s">
        <v>4530</v>
      </c>
      <c r="B408" t="s">
        <v>5963</v>
      </c>
      <c r="C408" t="s">
        <v>5090</v>
      </c>
      <c r="D408" s="20">
        <v>32614</v>
      </c>
      <c r="E408">
        <v>9996486287</v>
      </c>
      <c r="F408" t="s">
        <v>5964</v>
      </c>
      <c r="G408" t="s">
        <v>5292</v>
      </c>
      <c r="H408" t="s">
        <v>5098</v>
      </c>
      <c r="I408" t="s">
        <v>42</v>
      </c>
      <c r="J408" t="s">
        <v>39</v>
      </c>
      <c r="K408" s="20">
        <v>45229</v>
      </c>
      <c r="L408" t="s">
        <v>5094</v>
      </c>
      <c r="M408" t="s">
        <v>154</v>
      </c>
      <c r="N408" t="s">
        <v>154</v>
      </c>
    </row>
    <row r="409" spans="1:14" x14ac:dyDescent="0.25">
      <c r="A409" t="s">
        <v>1001</v>
      </c>
      <c r="B409" t="s">
        <v>5965</v>
      </c>
      <c r="C409" t="s">
        <v>5090</v>
      </c>
      <c r="D409" s="20">
        <v>33570</v>
      </c>
      <c r="E409">
        <v>9645057303</v>
      </c>
      <c r="F409" t="s">
        <v>5966</v>
      </c>
      <c r="G409" t="s">
        <v>5126</v>
      </c>
      <c r="H409" t="s">
        <v>5118</v>
      </c>
      <c r="I409" t="s">
        <v>40</v>
      </c>
      <c r="J409" t="s">
        <v>43</v>
      </c>
      <c r="K409" s="20">
        <v>44790</v>
      </c>
      <c r="L409" t="s">
        <v>5127</v>
      </c>
      <c r="M409" t="s">
        <v>154</v>
      </c>
      <c r="N409" t="s">
        <v>154</v>
      </c>
    </row>
    <row r="410" spans="1:14" x14ac:dyDescent="0.25">
      <c r="A410" t="s">
        <v>4922</v>
      </c>
      <c r="B410" t="s">
        <v>5967</v>
      </c>
      <c r="C410" t="s">
        <v>5090</v>
      </c>
      <c r="D410" s="20">
        <v>37918</v>
      </c>
      <c r="E410">
        <v>9632037476</v>
      </c>
      <c r="F410" t="s">
        <v>5968</v>
      </c>
      <c r="G410" t="s">
        <v>5177</v>
      </c>
      <c r="H410" t="s">
        <v>5112</v>
      </c>
      <c r="I410" t="s">
        <v>38</v>
      </c>
      <c r="J410" t="s">
        <v>44</v>
      </c>
      <c r="K410" s="20">
        <v>43673</v>
      </c>
      <c r="L410" t="s">
        <v>5113</v>
      </c>
      <c r="M410" t="s">
        <v>154</v>
      </c>
      <c r="N410" t="s">
        <v>154</v>
      </c>
    </row>
    <row r="411" spans="1:14" x14ac:dyDescent="0.25">
      <c r="A411" t="s">
        <v>1534</v>
      </c>
      <c r="B411" t="s">
        <v>5969</v>
      </c>
      <c r="C411" t="s">
        <v>5090</v>
      </c>
      <c r="D411" s="20">
        <v>31333</v>
      </c>
      <c r="E411">
        <v>9145057661</v>
      </c>
      <c r="F411" t="s">
        <v>5970</v>
      </c>
      <c r="G411" t="s">
        <v>5257</v>
      </c>
      <c r="H411" t="s">
        <v>5093</v>
      </c>
      <c r="I411" t="s">
        <v>40</v>
      </c>
      <c r="J411" t="s">
        <v>44</v>
      </c>
      <c r="K411" s="20">
        <v>44106</v>
      </c>
      <c r="L411" t="s">
        <v>5182</v>
      </c>
      <c r="M411" t="s">
        <v>154</v>
      </c>
      <c r="N411" t="s">
        <v>154</v>
      </c>
    </row>
    <row r="412" spans="1:14" x14ac:dyDescent="0.25">
      <c r="A412" t="s">
        <v>1049</v>
      </c>
      <c r="B412" t="s">
        <v>5971</v>
      </c>
      <c r="C412" t="s">
        <v>5115</v>
      </c>
      <c r="D412" s="20">
        <v>31559</v>
      </c>
      <c r="E412">
        <v>9482012840</v>
      </c>
      <c r="F412" t="s">
        <v>5972</v>
      </c>
      <c r="G412" t="s">
        <v>5102</v>
      </c>
      <c r="H412" t="s">
        <v>5103</v>
      </c>
      <c r="I412" t="s">
        <v>38</v>
      </c>
      <c r="J412" t="s">
        <v>43</v>
      </c>
      <c r="K412" s="20">
        <v>44458</v>
      </c>
      <c r="L412" t="s">
        <v>5208</v>
      </c>
      <c r="M412" t="s">
        <v>154</v>
      </c>
      <c r="N412" t="s">
        <v>154</v>
      </c>
    </row>
    <row r="413" spans="1:14" x14ac:dyDescent="0.25">
      <c r="A413" t="s">
        <v>2826</v>
      </c>
      <c r="B413" t="s">
        <v>5973</v>
      </c>
      <c r="C413" t="s">
        <v>5090</v>
      </c>
      <c r="D413" s="20">
        <v>24138</v>
      </c>
      <c r="E413">
        <v>9595450891</v>
      </c>
      <c r="F413" t="s">
        <v>5974</v>
      </c>
      <c r="G413" t="s">
        <v>5107</v>
      </c>
      <c r="H413" t="s">
        <v>5098</v>
      </c>
      <c r="I413" t="s">
        <v>42</v>
      </c>
      <c r="J413" t="s">
        <v>39</v>
      </c>
      <c r="K413" s="20">
        <v>45611</v>
      </c>
      <c r="L413" t="s">
        <v>5146</v>
      </c>
      <c r="M413" t="s">
        <v>154</v>
      </c>
      <c r="N413" t="s">
        <v>154</v>
      </c>
    </row>
    <row r="414" spans="1:14" x14ac:dyDescent="0.25">
      <c r="A414" t="s">
        <v>2031</v>
      </c>
      <c r="B414" t="s">
        <v>5975</v>
      </c>
      <c r="C414" t="s">
        <v>5090</v>
      </c>
      <c r="D414" s="20">
        <v>24335</v>
      </c>
      <c r="E414">
        <v>9265742231</v>
      </c>
      <c r="F414" t="s">
        <v>5976</v>
      </c>
      <c r="G414" t="s">
        <v>5271</v>
      </c>
      <c r="H414" t="s">
        <v>5112</v>
      </c>
      <c r="I414" t="s">
        <v>38</v>
      </c>
      <c r="J414" t="s">
        <v>44</v>
      </c>
      <c r="K414" s="20">
        <v>45173</v>
      </c>
      <c r="L414" t="s">
        <v>5104</v>
      </c>
      <c r="M414" t="s">
        <v>154</v>
      </c>
      <c r="N414" t="s">
        <v>154</v>
      </c>
    </row>
    <row r="415" spans="1:14" x14ac:dyDescent="0.25">
      <c r="A415" t="s">
        <v>2557</v>
      </c>
      <c r="B415" t="s">
        <v>5977</v>
      </c>
      <c r="C415" t="s">
        <v>5115</v>
      </c>
      <c r="D415" s="20">
        <v>24429</v>
      </c>
      <c r="E415">
        <v>9693626894</v>
      </c>
      <c r="F415" t="s">
        <v>5978</v>
      </c>
      <c r="G415" t="s">
        <v>5369</v>
      </c>
      <c r="H415" t="s">
        <v>5103</v>
      </c>
      <c r="I415" t="s">
        <v>38</v>
      </c>
      <c r="J415" t="s">
        <v>43</v>
      </c>
      <c r="K415" s="20">
        <v>43645</v>
      </c>
      <c r="L415" t="s">
        <v>5208</v>
      </c>
      <c r="M415" t="s">
        <v>154</v>
      </c>
      <c r="N415" t="s">
        <v>184</v>
      </c>
    </row>
    <row r="416" spans="1:14" x14ac:dyDescent="0.25">
      <c r="A416" t="s">
        <v>2662</v>
      </c>
      <c r="B416" t="s">
        <v>5979</v>
      </c>
      <c r="C416" t="s">
        <v>5115</v>
      </c>
      <c r="D416" s="20">
        <v>37814</v>
      </c>
      <c r="E416">
        <v>9727117595</v>
      </c>
      <c r="F416" t="s">
        <v>5980</v>
      </c>
      <c r="G416" t="s">
        <v>5369</v>
      </c>
      <c r="H416" t="s">
        <v>5103</v>
      </c>
      <c r="I416" t="s">
        <v>38</v>
      </c>
      <c r="J416" t="s">
        <v>44</v>
      </c>
      <c r="K416" s="20">
        <v>43371</v>
      </c>
      <c r="L416" t="s">
        <v>5178</v>
      </c>
      <c r="M416" t="s">
        <v>154</v>
      </c>
      <c r="N416" t="s">
        <v>154</v>
      </c>
    </row>
    <row r="417" spans="1:14" x14ac:dyDescent="0.25">
      <c r="A417" t="s">
        <v>1465</v>
      </c>
      <c r="B417" t="s">
        <v>5981</v>
      </c>
      <c r="C417" t="s">
        <v>5090</v>
      </c>
      <c r="D417" s="20">
        <v>32894</v>
      </c>
      <c r="E417">
        <v>9797727810</v>
      </c>
      <c r="F417" t="s">
        <v>5982</v>
      </c>
      <c r="G417" t="s">
        <v>5177</v>
      </c>
      <c r="H417" t="s">
        <v>5112</v>
      </c>
      <c r="I417" t="s">
        <v>38</v>
      </c>
      <c r="J417" t="s">
        <v>44</v>
      </c>
      <c r="K417" s="20">
        <v>45687</v>
      </c>
      <c r="L417" t="s">
        <v>5168</v>
      </c>
      <c r="M417" t="s">
        <v>184</v>
      </c>
      <c r="N417" t="s">
        <v>154</v>
      </c>
    </row>
    <row r="418" spans="1:14" x14ac:dyDescent="0.25">
      <c r="A418" t="s">
        <v>1599</v>
      </c>
      <c r="B418" t="s">
        <v>5983</v>
      </c>
      <c r="C418" t="s">
        <v>5115</v>
      </c>
      <c r="D418" s="20">
        <v>28667</v>
      </c>
      <c r="E418">
        <v>9441283337</v>
      </c>
      <c r="F418" t="s">
        <v>5984</v>
      </c>
      <c r="G418" t="s">
        <v>5097</v>
      </c>
      <c r="H418" t="s">
        <v>5098</v>
      </c>
      <c r="I418" t="s">
        <v>42</v>
      </c>
      <c r="J418" t="s">
        <v>44</v>
      </c>
      <c r="K418" s="20">
        <v>43311</v>
      </c>
      <c r="L418" t="s">
        <v>5108</v>
      </c>
      <c r="M418" t="s">
        <v>154</v>
      </c>
      <c r="N418" t="s">
        <v>154</v>
      </c>
    </row>
    <row r="419" spans="1:14" x14ac:dyDescent="0.25">
      <c r="A419" t="s">
        <v>3925</v>
      </c>
      <c r="B419" t="s">
        <v>5985</v>
      </c>
      <c r="C419" t="s">
        <v>5090</v>
      </c>
      <c r="D419" s="20">
        <v>29690</v>
      </c>
      <c r="E419">
        <v>9413297150</v>
      </c>
      <c r="F419" t="s">
        <v>5986</v>
      </c>
      <c r="G419" t="s">
        <v>5097</v>
      </c>
      <c r="H419" t="s">
        <v>5098</v>
      </c>
      <c r="I419" t="s">
        <v>42</v>
      </c>
      <c r="J419" t="s">
        <v>39</v>
      </c>
      <c r="K419" s="20">
        <v>45421</v>
      </c>
      <c r="L419" t="s">
        <v>5168</v>
      </c>
      <c r="M419" t="s">
        <v>154</v>
      </c>
      <c r="N419" t="s">
        <v>154</v>
      </c>
    </row>
    <row r="420" spans="1:14" x14ac:dyDescent="0.25">
      <c r="A420" t="s">
        <v>2812</v>
      </c>
      <c r="B420" t="s">
        <v>5987</v>
      </c>
      <c r="C420" t="s">
        <v>5115</v>
      </c>
      <c r="D420" s="20">
        <v>30529</v>
      </c>
      <c r="E420">
        <v>9437769366</v>
      </c>
      <c r="F420" t="s">
        <v>5988</v>
      </c>
      <c r="G420" t="s">
        <v>5136</v>
      </c>
      <c r="H420" t="s">
        <v>5098</v>
      </c>
      <c r="I420" t="s">
        <v>42</v>
      </c>
      <c r="J420" t="s">
        <v>39</v>
      </c>
      <c r="K420" s="20">
        <v>44618</v>
      </c>
      <c r="L420" t="s">
        <v>5211</v>
      </c>
      <c r="M420" t="s">
        <v>154</v>
      </c>
      <c r="N420" t="s">
        <v>154</v>
      </c>
    </row>
    <row r="421" spans="1:14" x14ac:dyDescent="0.25">
      <c r="A421" t="s">
        <v>3602</v>
      </c>
      <c r="B421" t="s">
        <v>5989</v>
      </c>
      <c r="C421" t="s">
        <v>5115</v>
      </c>
      <c r="D421" s="20">
        <v>26351</v>
      </c>
      <c r="E421">
        <v>9110286712</v>
      </c>
      <c r="F421" t="s">
        <v>5990</v>
      </c>
      <c r="G421" t="s">
        <v>5304</v>
      </c>
      <c r="H421" t="s">
        <v>5112</v>
      </c>
      <c r="I421" t="s">
        <v>38</v>
      </c>
      <c r="J421" t="s">
        <v>41</v>
      </c>
      <c r="K421" s="20">
        <v>43440</v>
      </c>
      <c r="L421" t="s">
        <v>5211</v>
      </c>
      <c r="M421" t="s">
        <v>154</v>
      </c>
      <c r="N421" t="s">
        <v>154</v>
      </c>
    </row>
    <row r="422" spans="1:14" x14ac:dyDescent="0.25">
      <c r="A422" t="s">
        <v>2780</v>
      </c>
      <c r="B422" t="s">
        <v>5991</v>
      </c>
      <c r="C422" t="s">
        <v>5115</v>
      </c>
      <c r="D422" s="20">
        <v>25929</v>
      </c>
      <c r="E422">
        <v>9102451091</v>
      </c>
      <c r="F422" t="s">
        <v>5992</v>
      </c>
      <c r="G422" t="s">
        <v>5126</v>
      </c>
      <c r="H422" t="s">
        <v>5118</v>
      </c>
      <c r="I422" t="s">
        <v>40</v>
      </c>
      <c r="J422" t="s">
        <v>44</v>
      </c>
      <c r="K422" s="20">
        <v>44564</v>
      </c>
      <c r="L422" t="s">
        <v>5108</v>
      </c>
      <c r="M422" t="s">
        <v>154</v>
      </c>
      <c r="N422" t="s">
        <v>154</v>
      </c>
    </row>
    <row r="423" spans="1:14" x14ac:dyDescent="0.25">
      <c r="A423" t="s">
        <v>485</v>
      </c>
      <c r="B423" t="s">
        <v>5993</v>
      </c>
      <c r="C423" t="s">
        <v>5090</v>
      </c>
      <c r="D423" s="20">
        <v>38440</v>
      </c>
      <c r="E423">
        <v>9981942179</v>
      </c>
      <c r="F423" t="s">
        <v>5994</v>
      </c>
      <c r="G423" t="s">
        <v>5107</v>
      </c>
      <c r="H423" t="s">
        <v>5098</v>
      </c>
      <c r="I423" t="s">
        <v>42</v>
      </c>
      <c r="J423" t="s">
        <v>43</v>
      </c>
      <c r="K423" s="20">
        <v>45531</v>
      </c>
      <c r="L423" t="s">
        <v>5113</v>
      </c>
      <c r="M423" t="s">
        <v>154</v>
      </c>
      <c r="N423" t="s">
        <v>154</v>
      </c>
    </row>
    <row r="424" spans="1:14" x14ac:dyDescent="0.25">
      <c r="A424" t="s">
        <v>4535</v>
      </c>
      <c r="B424" t="s">
        <v>5995</v>
      </c>
      <c r="C424" t="s">
        <v>5115</v>
      </c>
      <c r="D424" s="20">
        <v>31876</v>
      </c>
      <c r="E424">
        <v>9527758446</v>
      </c>
      <c r="F424" t="s">
        <v>5996</v>
      </c>
      <c r="G424" t="s">
        <v>5243</v>
      </c>
      <c r="H424" t="s">
        <v>5112</v>
      </c>
      <c r="I424" t="s">
        <v>38</v>
      </c>
      <c r="J424" t="s">
        <v>44</v>
      </c>
      <c r="K424" s="20">
        <v>43232</v>
      </c>
      <c r="L424" t="s">
        <v>5127</v>
      </c>
      <c r="M424" t="s">
        <v>154</v>
      </c>
      <c r="N424" t="s">
        <v>154</v>
      </c>
    </row>
    <row r="425" spans="1:14" x14ac:dyDescent="0.25">
      <c r="A425" t="s">
        <v>2426</v>
      </c>
      <c r="B425" t="s">
        <v>5997</v>
      </c>
      <c r="C425" t="s">
        <v>5090</v>
      </c>
      <c r="D425" s="20">
        <v>34658</v>
      </c>
      <c r="E425">
        <v>9010912172</v>
      </c>
      <c r="F425" t="s">
        <v>5998</v>
      </c>
      <c r="G425" t="s">
        <v>5331</v>
      </c>
      <c r="H425" t="s">
        <v>5118</v>
      </c>
      <c r="I425" t="s">
        <v>40</v>
      </c>
      <c r="J425" t="s">
        <v>43</v>
      </c>
      <c r="K425" s="20">
        <v>43710</v>
      </c>
      <c r="L425" t="s">
        <v>5182</v>
      </c>
      <c r="M425" t="s">
        <v>154</v>
      </c>
      <c r="N425" t="s">
        <v>154</v>
      </c>
    </row>
    <row r="426" spans="1:14" x14ac:dyDescent="0.25">
      <c r="A426" t="s">
        <v>3724</v>
      </c>
      <c r="B426" t="s">
        <v>5999</v>
      </c>
      <c r="C426" t="s">
        <v>5090</v>
      </c>
      <c r="D426" s="20">
        <v>35010</v>
      </c>
      <c r="E426">
        <v>9618943705</v>
      </c>
      <c r="F426" t="s">
        <v>6000</v>
      </c>
      <c r="G426" t="s">
        <v>5276</v>
      </c>
      <c r="H426" t="s">
        <v>5118</v>
      </c>
      <c r="I426" t="s">
        <v>40</v>
      </c>
      <c r="J426" t="s">
        <v>43</v>
      </c>
      <c r="K426" s="20">
        <v>45073</v>
      </c>
      <c r="L426" t="s">
        <v>5131</v>
      </c>
      <c r="M426" t="s">
        <v>154</v>
      </c>
      <c r="N426" t="s">
        <v>154</v>
      </c>
    </row>
    <row r="427" spans="1:14" x14ac:dyDescent="0.25">
      <c r="A427" t="s">
        <v>733</v>
      </c>
      <c r="B427" t="s">
        <v>6001</v>
      </c>
      <c r="C427" t="s">
        <v>5115</v>
      </c>
      <c r="D427" s="20">
        <v>24544</v>
      </c>
      <c r="E427">
        <v>9657256592</v>
      </c>
      <c r="F427" t="s">
        <v>6002</v>
      </c>
      <c r="G427" t="s">
        <v>5369</v>
      </c>
      <c r="H427" t="s">
        <v>5103</v>
      </c>
      <c r="I427" t="s">
        <v>38</v>
      </c>
      <c r="J427" t="s">
        <v>39</v>
      </c>
      <c r="K427" s="20">
        <v>45139</v>
      </c>
      <c r="L427" t="s">
        <v>5146</v>
      </c>
      <c r="M427" t="s">
        <v>154</v>
      </c>
      <c r="N427" t="s">
        <v>154</v>
      </c>
    </row>
    <row r="428" spans="1:14" x14ac:dyDescent="0.25">
      <c r="A428" t="s">
        <v>2444</v>
      </c>
      <c r="B428" t="s">
        <v>6003</v>
      </c>
      <c r="C428" t="s">
        <v>5090</v>
      </c>
      <c r="D428" s="20">
        <v>30555</v>
      </c>
      <c r="E428">
        <v>9023897432</v>
      </c>
      <c r="F428" t="s">
        <v>6004</v>
      </c>
      <c r="G428" t="s">
        <v>5102</v>
      </c>
      <c r="H428" t="s">
        <v>5103</v>
      </c>
      <c r="I428" t="s">
        <v>38</v>
      </c>
      <c r="J428" t="s">
        <v>44</v>
      </c>
      <c r="K428" s="20">
        <v>44471</v>
      </c>
      <c r="L428" t="s">
        <v>5182</v>
      </c>
      <c r="M428" t="s">
        <v>154</v>
      </c>
      <c r="N428" t="s">
        <v>154</v>
      </c>
    </row>
    <row r="429" spans="1:14" x14ac:dyDescent="0.25">
      <c r="A429" t="s">
        <v>6005</v>
      </c>
      <c r="B429" t="s">
        <v>6006</v>
      </c>
      <c r="C429" t="s">
        <v>5115</v>
      </c>
      <c r="D429" s="20">
        <v>35398</v>
      </c>
      <c r="E429">
        <v>9783325848</v>
      </c>
      <c r="F429" t="s">
        <v>6007</v>
      </c>
      <c r="G429" t="s">
        <v>5276</v>
      </c>
      <c r="H429" t="s">
        <v>5118</v>
      </c>
      <c r="I429" t="s">
        <v>40</v>
      </c>
      <c r="J429" t="s">
        <v>39</v>
      </c>
      <c r="K429" s="20">
        <v>43112</v>
      </c>
      <c r="L429" t="s">
        <v>5211</v>
      </c>
      <c r="M429" t="s">
        <v>154</v>
      </c>
      <c r="N429" t="s">
        <v>154</v>
      </c>
    </row>
    <row r="430" spans="1:14" x14ac:dyDescent="0.25">
      <c r="A430" t="s">
        <v>204</v>
      </c>
      <c r="B430" t="s">
        <v>6008</v>
      </c>
      <c r="C430" t="s">
        <v>5090</v>
      </c>
      <c r="D430" s="20">
        <v>36353</v>
      </c>
      <c r="E430">
        <v>9487045069</v>
      </c>
      <c r="F430" t="s">
        <v>6009</v>
      </c>
      <c r="G430" t="s">
        <v>5102</v>
      </c>
      <c r="H430" t="s">
        <v>5103</v>
      </c>
      <c r="I430" t="s">
        <v>38</v>
      </c>
      <c r="J430" t="s">
        <v>44</v>
      </c>
      <c r="K430" s="20">
        <v>45521</v>
      </c>
      <c r="L430" t="s">
        <v>5158</v>
      </c>
      <c r="M430" t="s">
        <v>154</v>
      </c>
      <c r="N430" t="s">
        <v>154</v>
      </c>
    </row>
    <row r="431" spans="1:14" x14ac:dyDescent="0.25">
      <c r="A431" t="s">
        <v>3131</v>
      </c>
      <c r="B431" t="s">
        <v>6010</v>
      </c>
      <c r="C431" t="s">
        <v>5115</v>
      </c>
      <c r="D431" s="20">
        <v>38719</v>
      </c>
      <c r="E431">
        <v>9374403946</v>
      </c>
      <c r="F431" t="s">
        <v>6011</v>
      </c>
      <c r="G431" t="s">
        <v>5189</v>
      </c>
      <c r="H431" t="s">
        <v>5112</v>
      </c>
      <c r="I431" t="s">
        <v>38</v>
      </c>
      <c r="J431" t="s">
        <v>43</v>
      </c>
      <c r="K431" s="20">
        <v>44391</v>
      </c>
      <c r="L431" t="s">
        <v>5108</v>
      </c>
      <c r="M431" t="s">
        <v>154</v>
      </c>
      <c r="N431" t="s">
        <v>154</v>
      </c>
    </row>
    <row r="432" spans="1:14" x14ac:dyDescent="0.25">
      <c r="A432" t="s">
        <v>984</v>
      </c>
      <c r="B432" t="s">
        <v>6012</v>
      </c>
      <c r="C432" t="s">
        <v>5115</v>
      </c>
      <c r="D432" s="20">
        <v>27376</v>
      </c>
      <c r="E432">
        <v>9148860849</v>
      </c>
      <c r="F432" t="s">
        <v>6013</v>
      </c>
      <c r="G432" t="s">
        <v>5155</v>
      </c>
      <c r="H432" t="s">
        <v>5098</v>
      </c>
      <c r="I432" t="s">
        <v>42</v>
      </c>
      <c r="J432" t="s">
        <v>39</v>
      </c>
      <c r="K432" s="20">
        <v>44862</v>
      </c>
      <c r="L432" t="s">
        <v>5123</v>
      </c>
      <c r="M432" t="s">
        <v>154</v>
      </c>
      <c r="N432" t="s">
        <v>154</v>
      </c>
    </row>
    <row r="433" spans="1:14" x14ac:dyDescent="0.25">
      <c r="A433" t="s">
        <v>250</v>
      </c>
      <c r="B433" t="s">
        <v>6014</v>
      </c>
      <c r="C433" t="s">
        <v>5115</v>
      </c>
      <c r="D433" s="20">
        <v>34577</v>
      </c>
      <c r="E433">
        <v>9852830615</v>
      </c>
      <c r="F433" t="s">
        <v>6015</v>
      </c>
      <c r="G433" t="s">
        <v>5304</v>
      </c>
      <c r="H433" t="s">
        <v>5112</v>
      </c>
      <c r="I433" t="s">
        <v>38</v>
      </c>
      <c r="J433" t="s">
        <v>44</v>
      </c>
      <c r="K433" s="20">
        <v>44062</v>
      </c>
      <c r="L433" t="s">
        <v>5127</v>
      </c>
      <c r="M433" t="s">
        <v>154</v>
      </c>
      <c r="N433" t="s">
        <v>154</v>
      </c>
    </row>
    <row r="434" spans="1:14" x14ac:dyDescent="0.25">
      <c r="A434" t="s">
        <v>940</v>
      </c>
      <c r="B434" t="s">
        <v>6016</v>
      </c>
      <c r="C434" t="s">
        <v>5090</v>
      </c>
      <c r="D434" s="20">
        <v>25870</v>
      </c>
      <c r="E434">
        <v>9263251448</v>
      </c>
      <c r="F434" t="s">
        <v>6017</v>
      </c>
      <c r="G434" t="s">
        <v>5331</v>
      </c>
      <c r="H434" t="s">
        <v>5118</v>
      </c>
      <c r="I434" t="s">
        <v>40</v>
      </c>
      <c r="J434" t="s">
        <v>44</v>
      </c>
      <c r="K434" s="20">
        <v>44154</v>
      </c>
      <c r="L434" t="s">
        <v>5131</v>
      </c>
      <c r="M434" t="s">
        <v>154</v>
      </c>
      <c r="N434" t="s">
        <v>154</v>
      </c>
    </row>
    <row r="435" spans="1:14" x14ac:dyDescent="0.25">
      <c r="A435" t="s">
        <v>428</v>
      </c>
      <c r="B435" t="s">
        <v>6018</v>
      </c>
      <c r="C435" t="s">
        <v>5090</v>
      </c>
      <c r="D435" s="20">
        <v>38049</v>
      </c>
      <c r="E435">
        <v>9217518878</v>
      </c>
      <c r="F435" t="s">
        <v>6019</v>
      </c>
      <c r="G435" t="s">
        <v>5214</v>
      </c>
      <c r="H435" t="s">
        <v>5103</v>
      </c>
      <c r="I435" t="s">
        <v>38</v>
      </c>
      <c r="J435" t="s">
        <v>44</v>
      </c>
      <c r="K435" s="20">
        <v>43371</v>
      </c>
      <c r="L435" t="s">
        <v>5152</v>
      </c>
      <c r="M435" t="s">
        <v>154</v>
      </c>
      <c r="N435" t="s">
        <v>154</v>
      </c>
    </row>
    <row r="436" spans="1:14" x14ac:dyDescent="0.25">
      <c r="A436" t="s">
        <v>1450</v>
      </c>
      <c r="B436" t="s">
        <v>6020</v>
      </c>
      <c r="C436" t="s">
        <v>5115</v>
      </c>
      <c r="D436" s="20">
        <v>29579</v>
      </c>
      <c r="E436">
        <v>9409112252</v>
      </c>
      <c r="F436" t="s">
        <v>6021</v>
      </c>
      <c r="G436" t="s">
        <v>5130</v>
      </c>
      <c r="H436" t="s">
        <v>5103</v>
      </c>
      <c r="I436" t="s">
        <v>38</v>
      </c>
      <c r="J436" t="s">
        <v>43</v>
      </c>
      <c r="K436" s="20">
        <v>43876</v>
      </c>
      <c r="L436" t="s">
        <v>5158</v>
      </c>
      <c r="M436" t="s">
        <v>154</v>
      </c>
      <c r="N436" t="s">
        <v>154</v>
      </c>
    </row>
    <row r="437" spans="1:14" x14ac:dyDescent="0.25">
      <c r="A437" t="s">
        <v>2165</v>
      </c>
      <c r="B437" t="s">
        <v>5857</v>
      </c>
      <c r="C437" t="s">
        <v>5090</v>
      </c>
      <c r="D437" s="20">
        <v>31585</v>
      </c>
      <c r="E437">
        <v>9186323979</v>
      </c>
      <c r="F437" t="s">
        <v>6022</v>
      </c>
      <c r="G437" t="s">
        <v>5201</v>
      </c>
      <c r="H437" t="s">
        <v>5118</v>
      </c>
      <c r="I437" t="s">
        <v>40</v>
      </c>
      <c r="J437" t="s">
        <v>39</v>
      </c>
      <c r="K437" s="20">
        <v>44695</v>
      </c>
      <c r="L437" t="s">
        <v>5131</v>
      </c>
      <c r="M437" t="s">
        <v>154</v>
      </c>
      <c r="N437" t="s">
        <v>154</v>
      </c>
    </row>
    <row r="438" spans="1:14" x14ac:dyDescent="0.25">
      <c r="A438" t="s">
        <v>1952</v>
      </c>
      <c r="B438" t="s">
        <v>6023</v>
      </c>
      <c r="C438" t="s">
        <v>5090</v>
      </c>
      <c r="D438" s="20">
        <v>32876</v>
      </c>
      <c r="E438">
        <v>9007309505</v>
      </c>
      <c r="F438" t="s">
        <v>6024</v>
      </c>
      <c r="G438" t="s">
        <v>5107</v>
      </c>
      <c r="H438" t="s">
        <v>5098</v>
      </c>
      <c r="I438" t="s">
        <v>42</v>
      </c>
      <c r="J438" t="s">
        <v>39</v>
      </c>
      <c r="K438" s="20">
        <v>44611</v>
      </c>
      <c r="L438" t="s">
        <v>5208</v>
      </c>
      <c r="M438" t="s">
        <v>154</v>
      </c>
      <c r="N438" t="s">
        <v>154</v>
      </c>
    </row>
    <row r="439" spans="1:14" x14ac:dyDescent="0.25">
      <c r="A439" t="s">
        <v>3090</v>
      </c>
      <c r="B439" t="s">
        <v>6025</v>
      </c>
      <c r="C439" t="s">
        <v>5115</v>
      </c>
      <c r="D439" s="20">
        <v>37866</v>
      </c>
      <c r="E439">
        <v>9881927788</v>
      </c>
      <c r="F439" t="s">
        <v>6026</v>
      </c>
      <c r="G439" t="s">
        <v>5136</v>
      </c>
      <c r="H439" t="s">
        <v>5098</v>
      </c>
      <c r="I439" t="s">
        <v>42</v>
      </c>
      <c r="J439" t="s">
        <v>43</v>
      </c>
      <c r="K439" s="20">
        <v>43494</v>
      </c>
      <c r="L439" t="s">
        <v>5099</v>
      </c>
      <c r="M439" t="s">
        <v>154</v>
      </c>
      <c r="N439" t="s">
        <v>154</v>
      </c>
    </row>
    <row r="440" spans="1:14" x14ac:dyDescent="0.25">
      <c r="A440" t="s">
        <v>692</v>
      </c>
      <c r="B440" t="s">
        <v>6027</v>
      </c>
      <c r="C440" t="s">
        <v>5115</v>
      </c>
      <c r="D440" s="20">
        <v>27774</v>
      </c>
      <c r="E440">
        <v>9104246245</v>
      </c>
      <c r="F440" t="s">
        <v>6028</v>
      </c>
      <c r="G440" t="s">
        <v>5276</v>
      </c>
      <c r="H440" t="s">
        <v>5118</v>
      </c>
      <c r="I440" t="s">
        <v>40</v>
      </c>
      <c r="J440" t="s">
        <v>44</v>
      </c>
      <c r="K440" s="20">
        <v>44302</v>
      </c>
      <c r="L440" t="s">
        <v>5123</v>
      </c>
      <c r="M440" t="s">
        <v>154</v>
      </c>
      <c r="N440" t="s">
        <v>154</v>
      </c>
    </row>
    <row r="441" spans="1:14" x14ac:dyDescent="0.25">
      <c r="A441" t="s">
        <v>6029</v>
      </c>
      <c r="B441" t="s">
        <v>6030</v>
      </c>
      <c r="C441" t="s">
        <v>5090</v>
      </c>
      <c r="D441" s="20">
        <v>24973</v>
      </c>
      <c r="E441">
        <v>9045212899</v>
      </c>
      <c r="F441" t="s">
        <v>6031</v>
      </c>
      <c r="G441" t="s">
        <v>5145</v>
      </c>
      <c r="H441" t="s">
        <v>5098</v>
      </c>
      <c r="I441" t="s">
        <v>42</v>
      </c>
      <c r="J441" t="s">
        <v>44</v>
      </c>
      <c r="K441" s="20">
        <v>44767</v>
      </c>
      <c r="L441" t="s">
        <v>5119</v>
      </c>
      <c r="M441" t="s">
        <v>154</v>
      </c>
      <c r="N441" t="s">
        <v>154</v>
      </c>
    </row>
    <row r="442" spans="1:14" x14ac:dyDescent="0.25">
      <c r="A442" t="s">
        <v>3595</v>
      </c>
      <c r="B442" t="s">
        <v>6032</v>
      </c>
      <c r="C442" t="s">
        <v>5115</v>
      </c>
      <c r="D442" s="20">
        <v>36325</v>
      </c>
      <c r="E442">
        <v>9391304488</v>
      </c>
      <c r="F442" t="s">
        <v>6033</v>
      </c>
      <c r="G442" t="s">
        <v>5126</v>
      </c>
      <c r="H442" t="s">
        <v>5118</v>
      </c>
      <c r="I442" t="s">
        <v>40</v>
      </c>
      <c r="J442" t="s">
        <v>44</v>
      </c>
      <c r="K442" s="20">
        <v>43849</v>
      </c>
      <c r="L442" t="s">
        <v>5108</v>
      </c>
      <c r="M442" t="s">
        <v>154</v>
      </c>
      <c r="N442" t="s">
        <v>154</v>
      </c>
    </row>
    <row r="443" spans="1:14" x14ac:dyDescent="0.25">
      <c r="A443" t="s">
        <v>1990</v>
      </c>
      <c r="B443" t="s">
        <v>6034</v>
      </c>
      <c r="C443" t="s">
        <v>5090</v>
      </c>
      <c r="D443" s="20">
        <v>38592</v>
      </c>
      <c r="E443">
        <v>9461540211</v>
      </c>
      <c r="F443" t="s">
        <v>6035</v>
      </c>
      <c r="G443" t="s">
        <v>5271</v>
      </c>
      <c r="H443" t="s">
        <v>5112</v>
      </c>
      <c r="I443" t="s">
        <v>38</v>
      </c>
      <c r="J443" t="s">
        <v>43</v>
      </c>
      <c r="K443" s="20">
        <v>44754</v>
      </c>
      <c r="L443" t="s">
        <v>5123</v>
      </c>
      <c r="M443" t="s">
        <v>154</v>
      </c>
      <c r="N443" t="s">
        <v>154</v>
      </c>
    </row>
    <row r="444" spans="1:14" x14ac:dyDescent="0.25">
      <c r="A444" t="s">
        <v>2078</v>
      </c>
      <c r="B444" t="s">
        <v>6036</v>
      </c>
      <c r="C444" t="s">
        <v>5115</v>
      </c>
      <c r="D444" s="20">
        <v>31430</v>
      </c>
      <c r="E444">
        <v>9983152291</v>
      </c>
      <c r="F444" t="s">
        <v>6037</v>
      </c>
      <c r="G444" t="s">
        <v>5117</v>
      </c>
      <c r="H444" t="s">
        <v>5118</v>
      </c>
      <c r="I444" t="s">
        <v>40</v>
      </c>
      <c r="J444" t="s">
        <v>39</v>
      </c>
      <c r="K444" s="20">
        <v>44183</v>
      </c>
      <c r="L444" t="s">
        <v>5165</v>
      </c>
      <c r="M444" t="s">
        <v>154</v>
      </c>
      <c r="N444" t="s">
        <v>154</v>
      </c>
    </row>
    <row r="445" spans="1:14" x14ac:dyDescent="0.25">
      <c r="A445" t="s">
        <v>2733</v>
      </c>
      <c r="B445" t="s">
        <v>6038</v>
      </c>
      <c r="C445" t="s">
        <v>5115</v>
      </c>
      <c r="D445" s="20">
        <v>35832</v>
      </c>
      <c r="E445">
        <v>9493783063</v>
      </c>
      <c r="F445" t="s">
        <v>6039</v>
      </c>
      <c r="G445" t="s">
        <v>5243</v>
      </c>
      <c r="H445" t="s">
        <v>5112</v>
      </c>
      <c r="I445" t="s">
        <v>38</v>
      </c>
      <c r="J445" t="s">
        <v>44</v>
      </c>
      <c r="K445" s="20">
        <v>43122</v>
      </c>
      <c r="L445" t="s">
        <v>5186</v>
      </c>
      <c r="M445" t="s">
        <v>154</v>
      </c>
      <c r="N445" t="s">
        <v>154</v>
      </c>
    </row>
    <row r="446" spans="1:14" x14ac:dyDescent="0.25">
      <c r="A446" t="s">
        <v>2322</v>
      </c>
      <c r="B446" t="s">
        <v>6040</v>
      </c>
      <c r="C446" t="s">
        <v>5090</v>
      </c>
      <c r="D446" s="20">
        <v>28538</v>
      </c>
      <c r="E446">
        <v>9944391649</v>
      </c>
      <c r="F446" t="s">
        <v>6041</v>
      </c>
      <c r="G446" t="s">
        <v>5331</v>
      </c>
      <c r="H446" t="s">
        <v>5118</v>
      </c>
      <c r="I446" t="s">
        <v>40</v>
      </c>
      <c r="J446" t="s">
        <v>39</v>
      </c>
      <c r="K446" s="20">
        <v>45520</v>
      </c>
      <c r="L446" t="s">
        <v>5131</v>
      </c>
      <c r="M446" t="s">
        <v>154</v>
      </c>
      <c r="N446" t="s">
        <v>154</v>
      </c>
    </row>
    <row r="447" spans="1:14" x14ac:dyDescent="0.25">
      <c r="A447" t="s">
        <v>437</v>
      </c>
      <c r="B447" t="s">
        <v>6042</v>
      </c>
      <c r="C447" t="s">
        <v>5115</v>
      </c>
      <c r="D447" s="20">
        <v>33421</v>
      </c>
      <c r="E447">
        <v>9913203301</v>
      </c>
      <c r="F447" t="s">
        <v>6043</v>
      </c>
      <c r="G447" t="s">
        <v>5092</v>
      </c>
      <c r="H447" t="s">
        <v>5093</v>
      </c>
      <c r="I447" t="s">
        <v>40</v>
      </c>
      <c r="J447" t="s">
        <v>44</v>
      </c>
      <c r="K447" s="20">
        <v>45462</v>
      </c>
      <c r="L447" t="s">
        <v>5165</v>
      </c>
      <c r="M447" t="s">
        <v>154</v>
      </c>
      <c r="N447" t="s">
        <v>154</v>
      </c>
    </row>
    <row r="448" spans="1:14" x14ac:dyDescent="0.25">
      <c r="A448" t="s">
        <v>2096</v>
      </c>
      <c r="B448" t="s">
        <v>5577</v>
      </c>
      <c r="C448" t="s">
        <v>5115</v>
      </c>
      <c r="D448" s="20">
        <v>25588</v>
      </c>
      <c r="E448">
        <v>9615372215</v>
      </c>
      <c r="F448" t="s">
        <v>6044</v>
      </c>
      <c r="G448" t="s">
        <v>5111</v>
      </c>
      <c r="H448" t="s">
        <v>5112</v>
      </c>
      <c r="I448" t="s">
        <v>38</v>
      </c>
      <c r="J448" t="s">
        <v>44</v>
      </c>
      <c r="K448" s="20">
        <v>43554</v>
      </c>
      <c r="L448" t="s">
        <v>5119</v>
      </c>
      <c r="M448" t="s">
        <v>154</v>
      </c>
      <c r="N448" t="s">
        <v>154</v>
      </c>
    </row>
    <row r="449" spans="1:14" x14ac:dyDescent="0.25">
      <c r="A449" t="s">
        <v>3236</v>
      </c>
      <c r="B449" t="s">
        <v>6045</v>
      </c>
      <c r="C449" t="s">
        <v>5090</v>
      </c>
      <c r="D449" s="20">
        <v>34889</v>
      </c>
      <c r="E449">
        <v>9365337746</v>
      </c>
      <c r="F449" t="s">
        <v>6046</v>
      </c>
      <c r="G449" t="s">
        <v>5117</v>
      </c>
      <c r="H449" t="s">
        <v>5118</v>
      </c>
      <c r="I449" t="s">
        <v>40</v>
      </c>
      <c r="J449" t="s">
        <v>44</v>
      </c>
      <c r="K449" s="20">
        <v>45702</v>
      </c>
      <c r="L449" t="s">
        <v>5182</v>
      </c>
      <c r="M449" t="s">
        <v>154</v>
      </c>
      <c r="N449" t="s">
        <v>154</v>
      </c>
    </row>
    <row r="450" spans="1:14" x14ac:dyDescent="0.25">
      <c r="A450" t="s">
        <v>2692</v>
      </c>
      <c r="B450" t="s">
        <v>6047</v>
      </c>
      <c r="C450" t="s">
        <v>5115</v>
      </c>
      <c r="D450" s="20">
        <v>26341</v>
      </c>
      <c r="E450">
        <v>9361424426</v>
      </c>
      <c r="F450" t="s">
        <v>6048</v>
      </c>
      <c r="G450" t="s">
        <v>5214</v>
      </c>
      <c r="H450" t="s">
        <v>5103</v>
      </c>
      <c r="I450" t="s">
        <v>38</v>
      </c>
      <c r="J450" t="s">
        <v>44</v>
      </c>
      <c r="K450" s="20">
        <v>45248</v>
      </c>
      <c r="L450" t="s">
        <v>5113</v>
      </c>
      <c r="M450" t="s">
        <v>154</v>
      </c>
      <c r="N450" t="s">
        <v>154</v>
      </c>
    </row>
    <row r="451" spans="1:14" x14ac:dyDescent="0.25">
      <c r="A451" t="s">
        <v>6049</v>
      </c>
      <c r="B451" t="s">
        <v>6050</v>
      </c>
      <c r="C451" t="s">
        <v>5115</v>
      </c>
      <c r="D451" s="20">
        <v>33351</v>
      </c>
      <c r="E451">
        <v>9347642737</v>
      </c>
      <c r="F451" t="s">
        <v>6051</v>
      </c>
      <c r="G451" t="s">
        <v>5145</v>
      </c>
      <c r="H451" t="s">
        <v>5098</v>
      </c>
      <c r="I451" t="s">
        <v>42</v>
      </c>
      <c r="J451" t="s">
        <v>39</v>
      </c>
      <c r="K451" s="20">
        <v>44019</v>
      </c>
      <c r="L451" t="s">
        <v>5146</v>
      </c>
      <c r="M451" t="s">
        <v>154</v>
      </c>
      <c r="N451" t="s">
        <v>154</v>
      </c>
    </row>
    <row r="452" spans="1:14" x14ac:dyDescent="0.25">
      <c r="A452" t="s">
        <v>1610</v>
      </c>
      <c r="B452" t="s">
        <v>6052</v>
      </c>
      <c r="C452" t="s">
        <v>5115</v>
      </c>
      <c r="D452" s="20">
        <v>30043</v>
      </c>
      <c r="E452">
        <v>9458414846</v>
      </c>
      <c r="F452" t="s">
        <v>6053</v>
      </c>
      <c r="G452" t="s">
        <v>5384</v>
      </c>
      <c r="H452" t="s">
        <v>5093</v>
      </c>
      <c r="I452" t="s">
        <v>40</v>
      </c>
      <c r="J452" t="s">
        <v>39</v>
      </c>
      <c r="K452" s="20">
        <v>43693</v>
      </c>
      <c r="L452" t="s">
        <v>5211</v>
      </c>
      <c r="M452" t="s">
        <v>154</v>
      </c>
      <c r="N452" t="s">
        <v>154</v>
      </c>
    </row>
    <row r="453" spans="1:14" x14ac:dyDescent="0.25">
      <c r="A453" t="s">
        <v>895</v>
      </c>
      <c r="B453" t="s">
        <v>6054</v>
      </c>
      <c r="C453" t="s">
        <v>5115</v>
      </c>
      <c r="D453" s="20">
        <v>38468</v>
      </c>
      <c r="E453">
        <v>9982780205</v>
      </c>
      <c r="F453" t="s">
        <v>6055</v>
      </c>
      <c r="G453" t="s">
        <v>5126</v>
      </c>
      <c r="H453" t="s">
        <v>5118</v>
      </c>
      <c r="I453" t="s">
        <v>40</v>
      </c>
      <c r="J453" t="s">
        <v>44</v>
      </c>
      <c r="K453" s="20">
        <v>45378</v>
      </c>
      <c r="L453" t="s">
        <v>5099</v>
      </c>
      <c r="M453" t="s">
        <v>154</v>
      </c>
      <c r="N453" t="s">
        <v>154</v>
      </c>
    </row>
    <row r="454" spans="1:14" x14ac:dyDescent="0.25">
      <c r="A454" t="s">
        <v>1739</v>
      </c>
      <c r="B454" t="s">
        <v>6056</v>
      </c>
      <c r="C454" t="s">
        <v>5115</v>
      </c>
      <c r="D454" s="20">
        <v>31624</v>
      </c>
      <c r="E454">
        <v>9449369995</v>
      </c>
      <c r="F454" t="s">
        <v>6057</v>
      </c>
      <c r="G454" t="s">
        <v>5238</v>
      </c>
      <c r="H454" t="s">
        <v>5093</v>
      </c>
      <c r="I454" t="s">
        <v>40</v>
      </c>
      <c r="J454" t="s">
        <v>43</v>
      </c>
      <c r="K454" s="20">
        <v>44355</v>
      </c>
      <c r="L454" t="s">
        <v>5131</v>
      </c>
      <c r="M454" t="s">
        <v>154</v>
      </c>
      <c r="N454" t="s">
        <v>154</v>
      </c>
    </row>
    <row r="455" spans="1:14" x14ac:dyDescent="0.25">
      <c r="A455" t="s">
        <v>591</v>
      </c>
      <c r="B455" t="s">
        <v>6058</v>
      </c>
      <c r="C455" t="s">
        <v>5115</v>
      </c>
      <c r="D455" s="20">
        <v>29063</v>
      </c>
      <c r="E455">
        <v>9573680119</v>
      </c>
      <c r="F455" t="s">
        <v>6059</v>
      </c>
      <c r="G455" t="s">
        <v>5130</v>
      </c>
      <c r="H455" t="s">
        <v>5103</v>
      </c>
      <c r="I455" t="s">
        <v>38</v>
      </c>
      <c r="J455" t="s">
        <v>39</v>
      </c>
      <c r="K455" s="20">
        <v>44088</v>
      </c>
      <c r="L455" t="s">
        <v>5158</v>
      </c>
      <c r="M455" t="s">
        <v>154</v>
      </c>
      <c r="N455" t="s">
        <v>184</v>
      </c>
    </row>
    <row r="456" spans="1:14" x14ac:dyDescent="0.25">
      <c r="A456" t="s">
        <v>1361</v>
      </c>
      <c r="B456" t="s">
        <v>5785</v>
      </c>
      <c r="C456" t="s">
        <v>5115</v>
      </c>
      <c r="D456" s="20">
        <v>31395</v>
      </c>
      <c r="E456">
        <v>9872333510</v>
      </c>
      <c r="F456" t="s">
        <v>6060</v>
      </c>
      <c r="G456" t="s">
        <v>5292</v>
      </c>
      <c r="H456" t="s">
        <v>5098</v>
      </c>
      <c r="I456" t="s">
        <v>42</v>
      </c>
      <c r="J456" t="s">
        <v>44</v>
      </c>
      <c r="K456" s="20">
        <v>43398</v>
      </c>
      <c r="L456" t="s">
        <v>5211</v>
      </c>
      <c r="M456" t="s">
        <v>154</v>
      </c>
      <c r="N456" t="s">
        <v>154</v>
      </c>
    </row>
    <row r="457" spans="1:14" x14ac:dyDescent="0.25">
      <c r="A457" t="s">
        <v>1680</v>
      </c>
      <c r="B457" t="s">
        <v>6061</v>
      </c>
      <c r="C457" t="s">
        <v>5115</v>
      </c>
      <c r="D457" s="20">
        <v>28337</v>
      </c>
      <c r="E457">
        <v>9391149830</v>
      </c>
      <c r="F457" t="s">
        <v>6062</v>
      </c>
      <c r="G457" t="s">
        <v>5181</v>
      </c>
      <c r="H457" t="s">
        <v>5112</v>
      </c>
      <c r="I457" t="s">
        <v>38</v>
      </c>
      <c r="J457" t="s">
        <v>44</v>
      </c>
      <c r="K457" s="20">
        <v>43483</v>
      </c>
      <c r="L457" t="s">
        <v>5168</v>
      </c>
      <c r="M457" t="s">
        <v>154</v>
      </c>
      <c r="N457" t="s">
        <v>154</v>
      </c>
    </row>
    <row r="458" spans="1:14" x14ac:dyDescent="0.25">
      <c r="A458" t="s">
        <v>2466</v>
      </c>
      <c r="B458" t="s">
        <v>6063</v>
      </c>
      <c r="C458" t="s">
        <v>5090</v>
      </c>
      <c r="D458" s="20">
        <v>34512</v>
      </c>
      <c r="E458">
        <v>9511893940</v>
      </c>
      <c r="F458" t="s">
        <v>6064</v>
      </c>
      <c r="G458" t="s">
        <v>5102</v>
      </c>
      <c r="H458" t="s">
        <v>5103</v>
      </c>
      <c r="I458" t="s">
        <v>38</v>
      </c>
      <c r="J458" t="s">
        <v>44</v>
      </c>
      <c r="K458" s="20">
        <v>43987</v>
      </c>
      <c r="L458" t="s">
        <v>5131</v>
      </c>
      <c r="M458" t="s">
        <v>154</v>
      </c>
      <c r="N458" t="s">
        <v>154</v>
      </c>
    </row>
    <row r="459" spans="1:14" x14ac:dyDescent="0.25">
      <c r="A459" t="s">
        <v>2471</v>
      </c>
      <c r="B459" t="s">
        <v>6065</v>
      </c>
      <c r="C459" t="s">
        <v>5090</v>
      </c>
      <c r="D459" s="20">
        <v>32857</v>
      </c>
      <c r="E459">
        <v>9043223023</v>
      </c>
      <c r="F459" t="s">
        <v>6066</v>
      </c>
      <c r="G459" t="s">
        <v>5301</v>
      </c>
      <c r="H459" t="s">
        <v>5093</v>
      </c>
      <c r="I459" t="s">
        <v>40</v>
      </c>
      <c r="J459" t="s">
        <v>44</v>
      </c>
      <c r="K459" s="20">
        <v>45670</v>
      </c>
      <c r="L459" t="s">
        <v>5108</v>
      </c>
      <c r="M459" t="s">
        <v>154</v>
      </c>
      <c r="N459" t="s">
        <v>154</v>
      </c>
    </row>
    <row r="460" spans="1:14" x14ac:dyDescent="0.25">
      <c r="A460" t="s">
        <v>3032</v>
      </c>
      <c r="B460" t="s">
        <v>6067</v>
      </c>
      <c r="C460" t="s">
        <v>5115</v>
      </c>
      <c r="D460" s="20">
        <v>24746</v>
      </c>
      <c r="E460">
        <v>9354621276</v>
      </c>
      <c r="F460" t="s">
        <v>6068</v>
      </c>
      <c r="G460" t="s">
        <v>5155</v>
      </c>
      <c r="H460" t="s">
        <v>5098</v>
      </c>
      <c r="I460" t="s">
        <v>42</v>
      </c>
      <c r="J460" t="s">
        <v>41</v>
      </c>
      <c r="K460" s="20">
        <v>43229</v>
      </c>
      <c r="L460" t="s">
        <v>5211</v>
      </c>
      <c r="M460" t="s">
        <v>154</v>
      </c>
      <c r="N460" t="s">
        <v>154</v>
      </c>
    </row>
    <row r="461" spans="1:14" x14ac:dyDescent="0.25">
      <c r="A461" t="s">
        <v>788</v>
      </c>
      <c r="B461" t="s">
        <v>6069</v>
      </c>
      <c r="C461" t="s">
        <v>5115</v>
      </c>
      <c r="D461" s="20">
        <v>26611</v>
      </c>
      <c r="E461">
        <v>9126163248</v>
      </c>
      <c r="F461" t="s">
        <v>6070</v>
      </c>
      <c r="G461" t="s">
        <v>5136</v>
      </c>
      <c r="H461" t="s">
        <v>5098</v>
      </c>
      <c r="I461" t="s">
        <v>42</v>
      </c>
      <c r="J461" t="s">
        <v>43</v>
      </c>
      <c r="K461" s="20">
        <v>43746</v>
      </c>
      <c r="L461" t="s">
        <v>5208</v>
      </c>
      <c r="M461" t="s">
        <v>154</v>
      </c>
      <c r="N461" t="s">
        <v>154</v>
      </c>
    </row>
    <row r="462" spans="1:14" x14ac:dyDescent="0.25">
      <c r="A462" t="s">
        <v>519</v>
      </c>
      <c r="B462" t="s">
        <v>6071</v>
      </c>
      <c r="C462" t="s">
        <v>5090</v>
      </c>
      <c r="D462" s="20">
        <v>38471</v>
      </c>
      <c r="E462">
        <v>9893762974</v>
      </c>
      <c r="F462" t="s">
        <v>6072</v>
      </c>
      <c r="G462" t="s">
        <v>5304</v>
      </c>
      <c r="H462" t="s">
        <v>5112</v>
      </c>
      <c r="I462" t="s">
        <v>38</v>
      </c>
      <c r="J462" t="s">
        <v>44</v>
      </c>
      <c r="K462" s="20">
        <v>43745</v>
      </c>
      <c r="L462" t="s">
        <v>5099</v>
      </c>
      <c r="M462" t="s">
        <v>154</v>
      </c>
      <c r="N462" t="s">
        <v>154</v>
      </c>
    </row>
    <row r="463" spans="1:14" x14ac:dyDescent="0.25">
      <c r="A463" t="s">
        <v>2215</v>
      </c>
      <c r="B463" t="s">
        <v>6073</v>
      </c>
      <c r="C463" t="s">
        <v>5115</v>
      </c>
      <c r="D463" s="20">
        <v>26958</v>
      </c>
      <c r="E463">
        <v>9191203818</v>
      </c>
      <c r="F463" t="s">
        <v>6074</v>
      </c>
      <c r="G463" t="s">
        <v>5145</v>
      </c>
      <c r="H463" t="s">
        <v>5098</v>
      </c>
      <c r="I463" t="s">
        <v>42</v>
      </c>
      <c r="J463" t="s">
        <v>39</v>
      </c>
      <c r="K463" s="20">
        <v>45294</v>
      </c>
      <c r="L463" t="s">
        <v>5146</v>
      </c>
      <c r="M463" t="s">
        <v>154</v>
      </c>
      <c r="N463" t="s">
        <v>154</v>
      </c>
    </row>
    <row r="464" spans="1:14" x14ac:dyDescent="0.25">
      <c r="A464" t="s">
        <v>156</v>
      </c>
      <c r="B464" t="s">
        <v>6075</v>
      </c>
      <c r="C464" t="s">
        <v>5115</v>
      </c>
      <c r="D464" s="20">
        <v>32229</v>
      </c>
      <c r="E464">
        <v>9089813881</v>
      </c>
      <c r="F464" t="s">
        <v>6076</v>
      </c>
      <c r="G464" t="s">
        <v>5384</v>
      </c>
      <c r="H464" t="s">
        <v>5093</v>
      </c>
      <c r="I464" t="s">
        <v>40</v>
      </c>
      <c r="J464" t="s">
        <v>44</v>
      </c>
      <c r="K464" s="20">
        <v>43618</v>
      </c>
      <c r="L464" t="s">
        <v>5178</v>
      </c>
      <c r="M464" t="s">
        <v>154</v>
      </c>
      <c r="N464" t="s">
        <v>154</v>
      </c>
    </row>
    <row r="465" spans="1:14" x14ac:dyDescent="0.25">
      <c r="A465" t="s">
        <v>1752</v>
      </c>
      <c r="B465" t="s">
        <v>6077</v>
      </c>
      <c r="C465" t="s">
        <v>5090</v>
      </c>
      <c r="D465" s="20">
        <v>28021</v>
      </c>
      <c r="E465">
        <v>9673231829</v>
      </c>
      <c r="F465" t="s">
        <v>6078</v>
      </c>
      <c r="G465" t="s">
        <v>5276</v>
      </c>
      <c r="H465" t="s">
        <v>5118</v>
      </c>
      <c r="I465" t="s">
        <v>40</v>
      </c>
      <c r="J465" t="s">
        <v>43</v>
      </c>
      <c r="K465" s="20">
        <v>43831</v>
      </c>
      <c r="L465" t="s">
        <v>5123</v>
      </c>
      <c r="M465" t="s">
        <v>154</v>
      </c>
      <c r="N465" t="s">
        <v>154</v>
      </c>
    </row>
    <row r="466" spans="1:14" x14ac:dyDescent="0.25">
      <c r="A466" t="s">
        <v>881</v>
      </c>
      <c r="B466" t="s">
        <v>6079</v>
      </c>
      <c r="C466" t="s">
        <v>5115</v>
      </c>
      <c r="D466" s="20">
        <v>35830</v>
      </c>
      <c r="E466">
        <v>9000000152</v>
      </c>
      <c r="F466" t="s">
        <v>6080</v>
      </c>
      <c r="G466" t="s">
        <v>5117</v>
      </c>
      <c r="H466" t="s">
        <v>5118</v>
      </c>
      <c r="I466" t="s">
        <v>40</v>
      </c>
      <c r="J466" t="s">
        <v>43</v>
      </c>
      <c r="K466" s="20">
        <v>44232</v>
      </c>
      <c r="L466" t="s">
        <v>5168</v>
      </c>
      <c r="M466" t="s">
        <v>154</v>
      </c>
      <c r="N466" t="s">
        <v>154</v>
      </c>
    </row>
    <row r="467" spans="1:14" x14ac:dyDescent="0.25">
      <c r="A467" t="s">
        <v>168</v>
      </c>
      <c r="B467" t="s">
        <v>6081</v>
      </c>
      <c r="C467" t="s">
        <v>5115</v>
      </c>
      <c r="D467" s="20">
        <v>36938</v>
      </c>
      <c r="E467">
        <v>9090255618</v>
      </c>
      <c r="F467" t="s">
        <v>6082</v>
      </c>
      <c r="G467" t="s">
        <v>5102</v>
      </c>
      <c r="H467" t="s">
        <v>5103</v>
      </c>
      <c r="I467" t="s">
        <v>38</v>
      </c>
      <c r="J467" t="s">
        <v>44</v>
      </c>
      <c r="K467" s="20">
        <v>45308</v>
      </c>
      <c r="L467" t="s">
        <v>5094</v>
      </c>
      <c r="M467" t="s">
        <v>154</v>
      </c>
      <c r="N467" t="s">
        <v>154</v>
      </c>
    </row>
    <row r="468" spans="1:14" x14ac:dyDescent="0.25">
      <c r="A468" t="s">
        <v>1676</v>
      </c>
      <c r="B468" t="s">
        <v>6083</v>
      </c>
      <c r="C468" t="s">
        <v>5090</v>
      </c>
      <c r="D468" s="20">
        <v>25136</v>
      </c>
      <c r="E468">
        <v>9747812248</v>
      </c>
      <c r="F468" t="s">
        <v>6084</v>
      </c>
      <c r="G468" t="s">
        <v>5177</v>
      </c>
      <c r="H468" t="s">
        <v>5112</v>
      </c>
      <c r="I468" t="s">
        <v>38</v>
      </c>
      <c r="J468" t="s">
        <v>43</v>
      </c>
      <c r="K468" s="20">
        <v>45461</v>
      </c>
      <c r="L468" t="s">
        <v>5158</v>
      </c>
      <c r="M468" t="s">
        <v>154</v>
      </c>
      <c r="N468" t="s">
        <v>154</v>
      </c>
    </row>
    <row r="469" spans="1:14" x14ac:dyDescent="0.25">
      <c r="A469" t="s">
        <v>6085</v>
      </c>
      <c r="B469" t="s">
        <v>6086</v>
      </c>
      <c r="C469" t="s">
        <v>5090</v>
      </c>
      <c r="D469" s="20">
        <v>31425</v>
      </c>
      <c r="E469">
        <v>9900436551</v>
      </c>
      <c r="F469" t="s">
        <v>6087</v>
      </c>
      <c r="G469" t="s">
        <v>5231</v>
      </c>
      <c r="H469" t="s">
        <v>5103</v>
      </c>
      <c r="I469" t="s">
        <v>38</v>
      </c>
      <c r="J469" t="s">
        <v>39</v>
      </c>
      <c r="K469" s="20">
        <v>43208</v>
      </c>
      <c r="L469" t="s">
        <v>5123</v>
      </c>
      <c r="M469" t="s">
        <v>154</v>
      </c>
      <c r="N469" t="s">
        <v>154</v>
      </c>
    </row>
    <row r="470" spans="1:14" x14ac:dyDescent="0.25">
      <c r="A470" t="s">
        <v>1193</v>
      </c>
      <c r="B470" t="s">
        <v>6088</v>
      </c>
      <c r="C470" t="s">
        <v>5090</v>
      </c>
      <c r="D470" s="20">
        <v>26199</v>
      </c>
      <c r="E470">
        <v>9248355054</v>
      </c>
      <c r="F470" t="s">
        <v>6089</v>
      </c>
      <c r="G470" t="s">
        <v>5107</v>
      </c>
      <c r="H470" t="s">
        <v>5098</v>
      </c>
      <c r="I470" t="s">
        <v>42</v>
      </c>
      <c r="J470" t="s">
        <v>41</v>
      </c>
      <c r="K470" s="20">
        <v>44066</v>
      </c>
      <c r="L470" t="s">
        <v>5131</v>
      </c>
      <c r="M470" t="s">
        <v>154</v>
      </c>
      <c r="N470" t="s">
        <v>154</v>
      </c>
    </row>
    <row r="471" spans="1:14" x14ac:dyDescent="0.25">
      <c r="A471" t="s">
        <v>933</v>
      </c>
      <c r="B471" t="s">
        <v>6090</v>
      </c>
      <c r="C471" t="s">
        <v>5090</v>
      </c>
      <c r="D471" s="20">
        <v>32795</v>
      </c>
      <c r="E471">
        <v>9699879509</v>
      </c>
      <c r="F471" t="s">
        <v>6091</v>
      </c>
      <c r="G471" t="s">
        <v>5102</v>
      </c>
      <c r="H471" t="s">
        <v>5103</v>
      </c>
      <c r="I471" t="s">
        <v>38</v>
      </c>
      <c r="J471" t="s">
        <v>43</v>
      </c>
      <c r="K471" s="20">
        <v>43952</v>
      </c>
      <c r="L471" t="s">
        <v>5178</v>
      </c>
      <c r="M471" t="s">
        <v>154</v>
      </c>
      <c r="N471" t="s">
        <v>154</v>
      </c>
    </row>
    <row r="472" spans="1:14" x14ac:dyDescent="0.25">
      <c r="A472" t="s">
        <v>3334</v>
      </c>
      <c r="B472" t="s">
        <v>6092</v>
      </c>
      <c r="C472" t="s">
        <v>5115</v>
      </c>
      <c r="D472" s="20">
        <v>28130</v>
      </c>
      <c r="E472">
        <v>9188044287</v>
      </c>
      <c r="F472" t="s">
        <v>6093</v>
      </c>
      <c r="G472" t="s">
        <v>5171</v>
      </c>
      <c r="H472" t="s">
        <v>5103</v>
      </c>
      <c r="I472" t="s">
        <v>38</v>
      </c>
      <c r="J472" t="s">
        <v>44</v>
      </c>
      <c r="K472" s="20">
        <v>44136</v>
      </c>
      <c r="L472" t="s">
        <v>5186</v>
      </c>
      <c r="M472" t="s">
        <v>154</v>
      </c>
      <c r="N472" t="s">
        <v>154</v>
      </c>
    </row>
    <row r="473" spans="1:14" x14ac:dyDescent="0.25">
      <c r="A473" t="s">
        <v>557</v>
      </c>
      <c r="B473" t="s">
        <v>5627</v>
      </c>
      <c r="C473" t="s">
        <v>5090</v>
      </c>
      <c r="D473" s="20">
        <v>26919</v>
      </c>
      <c r="E473">
        <v>9643212694</v>
      </c>
      <c r="F473" t="s">
        <v>6094</v>
      </c>
      <c r="G473" t="s">
        <v>5097</v>
      </c>
      <c r="H473" t="s">
        <v>5098</v>
      </c>
      <c r="I473" t="s">
        <v>42</v>
      </c>
      <c r="J473" t="s">
        <v>44</v>
      </c>
      <c r="K473" s="20">
        <v>45265</v>
      </c>
      <c r="L473" t="s">
        <v>5104</v>
      </c>
      <c r="M473" t="s">
        <v>154</v>
      </c>
      <c r="N473" t="s">
        <v>154</v>
      </c>
    </row>
    <row r="474" spans="1:14" x14ac:dyDescent="0.25">
      <c r="A474" t="s">
        <v>3620</v>
      </c>
      <c r="B474" t="s">
        <v>6095</v>
      </c>
      <c r="C474" t="s">
        <v>5090</v>
      </c>
      <c r="D474" s="20">
        <v>28618</v>
      </c>
      <c r="E474">
        <v>9586314417</v>
      </c>
      <c r="F474" t="s">
        <v>6096</v>
      </c>
      <c r="G474" t="s">
        <v>5301</v>
      </c>
      <c r="H474" t="s">
        <v>5093</v>
      </c>
      <c r="I474" t="s">
        <v>40</v>
      </c>
      <c r="J474" t="s">
        <v>43</v>
      </c>
      <c r="K474" s="20">
        <v>44820</v>
      </c>
      <c r="L474" t="s">
        <v>5182</v>
      </c>
      <c r="M474" t="s">
        <v>154</v>
      </c>
      <c r="N474" t="s">
        <v>154</v>
      </c>
    </row>
    <row r="475" spans="1:14" x14ac:dyDescent="0.25">
      <c r="A475" t="s">
        <v>6097</v>
      </c>
      <c r="B475" t="s">
        <v>6098</v>
      </c>
      <c r="C475" t="s">
        <v>5090</v>
      </c>
      <c r="D475" s="20">
        <v>26309</v>
      </c>
      <c r="E475">
        <v>9635582430</v>
      </c>
      <c r="F475" t="s">
        <v>6099</v>
      </c>
      <c r="G475" t="s">
        <v>5126</v>
      </c>
      <c r="H475" t="s">
        <v>5118</v>
      </c>
      <c r="I475" t="s">
        <v>40</v>
      </c>
      <c r="J475" t="s">
        <v>44</v>
      </c>
      <c r="K475" s="20">
        <v>43274</v>
      </c>
      <c r="L475" t="s">
        <v>5165</v>
      </c>
      <c r="M475" t="s">
        <v>154</v>
      </c>
      <c r="N475" t="s">
        <v>154</v>
      </c>
    </row>
    <row r="476" spans="1:14" x14ac:dyDescent="0.25">
      <c r="A476" t="s">
        <v>2236</v>
      </c>
      <c r="B476" t="s">
        <v>6100</v>
      </c>
      <c r="C476" t="s">
        <v>5115</v>
      </c>
      <c r="D476" s="20">
        <v>36720</v>
      </c>
      <c r="E476">
        <v>9031538882</v>
      </c>
      <c r="F476" t="s">
        <v>6101</v>
      </c>
      <c r="G476" t="s">
        <v>5126</v>
      </c>
      <c r="H476" t="s">
        <v>5118</v>
      </c>
      <c r="I476" t="s">
        <v>40</v>
      </c>
      <c r="J476" t="s">
        <v>39</v>
      </c>
      <c r="K476" s="20">
        <v>45273</v>
      </c>
      <c r="L476" t="s">
        <v>5186</v>
      </c>
      <c r="M476" t="s">
        <v>154</v>
      </c>
      <c r="N476" t="s">
        <v>154</v>
      </c>
    </row>
    <row r="477" spans="1:14" x14ac:dyDescent="0.25">
      <c r="A477" t="s">
        <v>1046</v>
      </c>
      <c r="B477" t="s">
        <v>6102</v>
      </c>
      <c r="C477" t="s">
        <v>5115</v>
      </c>
      <c r="D477" s="20">
        <v>33738</v>
      </c>
      <c r="E477">
        <v>9333353849</v>
      </c>
      <c r="F477" t="s">
        <v>6103</v>
      </c>
      <c r="G477" t="s">
        <v>5130</v>
      </c>
      <c r="H477" t="s">
        <v>5103</v>
      </c>
      <c r="I477" t="s">
        <v>38</v>
      </c>
      <c r="J477" t="s">
        <v>43</v>
      </c>
      <c r="K477" s="20">
        <v>43336</v>
      </c>
      <c r="L477" t="s">
        <v>5113</v>
      </c>
      <c r="M477" t="s">
        <v>154</v>
      </c>
      <c r="N477" t="s">
        <v>154</v>
      </c>
    </row>
    <row r="478" spans="1:14" x14ac:dyDescent="0.25">
      <c r="A478" t="s">
        <v>1008</v>
      </c>
      <c r="B478" t="s">
        <v>6104</v>
      </c>
      <c r="C478" t="s">
        <v>5090</v>
      </c>
      <c r="D478" s="20">
        <v>35677</v>
      </c>
      <c r="E478">
        <v>9978718093</v>
      </c>
      <c r="F478" t="s">
        <v>6105</v>
      </c>
      <c r="G478" t="s">
        <v>5238</v>
      </c>
      <c r="H478" t="s">
        <v>5093</v>
      </c>
      <c r="I478" t="s">
        <v>40</v>
      </c>
      <c r="J478" t="s">
        <v>44</v>
      </c>
      <c r="K478" s="20">
        <v>43469</v>
      </c>
      <c r="L478" t="s">
        <v>5211</v>
      </c>
      <c r="M478" t="s">
        <v>154</v>
      </c>
      <c r="N478" t="s">
        <v>154</v>
      </c>
    </row>
    <row r="479" spans="1:14" x14ac:dyDescent="0.25">
      <c r="A479" t="s">
        <v>3040</v>
      </c>
      <c r="B479" t="s">
        <v>6106</v>
      </c>
      <c r="C479" t="s">
        <v>5090</v>
      </c>
      <c r="D479" s="20">
        <v>27294</v>
      </c>
      <c r="E479">
        <v>9601198756</v>
      </c>
      <c r="F479" t="s">
        <v>6107</v>
      </c>
      <c r="G479" t="s">
        <v>5257</v>
      </c>
      <c r="H479" t="s">
        <v>5093</v>
      </c>
      <c r="I479" t="s">
        <v>40</v>
      </c>
      <c r="J479" t="s">
        <v>41</v>
      </c>
      <c r="K479" s="20">
        <v>44025</v>
      </c>
      <c r="L479" t="s">
        <v>5123</v>
      </c>
      <c r="M479" t="s">
        <v>154</v>
      </c>
      <c r="N479" t="s">
        <v>154</v>
      </c>
    </row>
    <row r="480" spans="1:14" x14ac:dyDescent="0.25">
      <c r="A480" t="s">
        <v>406</v>
      </c>
      <c r="B480" t="s">
        <v>6108</v>
      </c>
      <c r="C480" t="s">
        <v>5115</v>
      </c>
      <c r="D480" s="20">
        <v>36504</v>
      </c>
      <c r="E480">
        <v>9230091561</v>
      </c>
      <c r="F480" t="s">
        <v>6109</v>
      </c>
      <c r="G480" t="s">
        <v>5271</v>
      </c>
      <c r="H480" t="s">
        <v>5112</v>
      </c>
      <c r="I480" t="s">
        <v>38</v>
      </c>
      <c r="J480" t="s">
        <v>44</v>
      </c>
      <c r="K480" s="20">
        <v>43135</v>
      </c>
      <c r="L480" t="s">
        <v>5119</v>
      </c>
      <c r="M480" t="s">
        <v>154</v>
      </c>
      <c r="N480" t="s">
        <v>154</v>
      </c>
    </row>
    <row r="481" spans="1:14" x14ac:dyDescent="0.25">
      <c r="A481" t="s">
        <v>2437</v>
      </c>
      <c r="B481" t="s">
        <v>6110</v>
      </c>
      <c r="C481" t="s">
        <v>5115</v>
      </c>
      <c r="D481" s="20">
        <v>27747</v>
      </c>
      <c r="E481">
        <v>9491609365</v>
      </c>
      <c r="F481" t="s">
        <v>6111</v>
      </c>
      <c r="G481" t="s">
        <v>5145</v>
      </c>
      <c r="H481" t="s">
        <v>5098</v>
      </c>
      <c r="I481" t="s">
        <v>42</v>
      </c>
      <c r="J481" t="s">
        <v>39</v>
      </c>
      <c r="K481" s="20">
        <v>45138</v>
      </c>
      <c r="L481" t="s">
        <v>5152</v>
      </c>
      <c r="M481" t="s">
        <v>154</v>
      </c>
      <c r="N481" t="s">
        <v>154</v>
      </c>
    </row>
    <row r="482" spans="1:14" x14ac:dyDescent="0.25">
      <c r="A482" t="s">
        <v>1546</v>
      </c>
      <c r="B482" t="s">
        <v>6112</v>
      </c>
      <c r="C482" t="s">
        <v>5090</v>
      </c>
      <c r="D482" s="20">
        <v>24992</v>
      </c>
      <c r="E482">
        <v>9941843368</v>
      </c>
      <c r="F482" t="s">
        <v>6113</v>
      </c>
      <c r="G482" t="s">
        <v>5276</v>
      </c>
      <c r="H482" t="s">
        <v>5118</v>
      </c>
      <c r="I482" t="s">
        <v>40</v>
      </c>
      <c r="J482" t="s">
        <v>43</v>
      </c>
      <c r="K482" s="20">
        <v>43605</v>
      </c>
      <c r="L482" t="s">
        <v>5186</v>
      </c>
      <c r="M482" t="s">
        <v>154</v>
      </c>
      <c r="N482" t="s">
        <v>154</v>
      </c>
    </row>
    <row r="483" spans="1:14" x14ac:dyDescent="0.25">
      <c r="A483" t="s">
        <v>1484</v>
      </c>
      <c r="B483" t="s">
        <v>6114</v>
      </c>
      <c r="C483" t="s">
        <v>5115</v>
      </c>
      <c r="D483" s="20">
        <v>26025</v>
      </c>
      <c r="E483">
        <v>9998213745</v>
      </c>
      <c r="F483" t="s">
        <v>6115</v>
      </c>
      <c r="G483" t="s">
        <v>5155</v>
      </c>
      <c r="H483" t="s">
        <v>5098</v>
      </c>
      <c r="I483" t="s">
        <v>42</v>
      </c>
      <c r="J483" t="s">
        <v>43</v>
      </c>
      <c r="K483" s="20">
        <v>43746</v>
      </c>
      <c r="L483" t="s">
        <v>5208</v>
      </c>
      <c r="M483" t="s">
        <v>154</v>
      </c>
      <c r="N483" t="s">
        <v>154</v>
      </c>
    </row>
    <row r="484" spans="1:14" x14ac:dyDescent="0.25">
      <c r="A484" t="s">
        <v>1880</v>
      </c>
      <c r="B484" t="s">
        <v>6116</v>
      </c>
      <c r="C484" t="s">
        <v>5115</v>
      </c>
      <c r="D484" s="20">
        <v>39042</v>
      </c>
      <c r="E484">
        <v>9050537666</v>
      </c>
      <c r="F484" t="s">
        <v>6117</v>
      </c>
      <c r="G484" t="s">
        <v>5369</v>
      </c>
      <c r="H484" t="s">
        <v>5103</v>
      </c>
      <c r="I484" t="s">
        <v>38</v>
      </c>
      <c r="J484" t="s">
        <v>43</v>
      </c>
      <c r="K484" s="20">
        <v>45296</v>
      </c>
      <c r="L484" t="s">
        <v>5131</v>
      </c>
      <c r="M484" t="s">
        <v>154</v>
      </c>
      <c r="N484" t="s">
        <v>154</v>
      </c>
    </row>
    <row r="485" spans="1:14" x14ac:dyDescent="0.25">
      <c r="A485" t="s">
        <v>4371</v>
      </c>
      <c r="B485" t="s">
        <v>6118</v>
      </c>
      <c r="C485" t="s">
        <v>5090</v>
      </c>
      <c r="D485" s="20">
        <v>35971</v>
      </c>
      <c r="E485">
        <v>9308356691</v>
      </c>
      <c r="F485" t="s">
        <v>6119</v>
      </c>
      <c r="G485" t="s">
        <v>5257</v>
      </c>
      <c r="H485" t="s">
        <v>5093</v>
      </c>
      <c r="I485" t="s">
        <v>40</v>
      </c>
      <c r="J485" t="s">
        <v>44</v>
      </c>
      <c r="K485" s="20">
        <v>43174</v>
      </c>
      <c r="L485" t="s">
        <v>5123</v>
      </c>
      <c r="M485" t="s">
        <v>154</v>
      </c>
      <c r="N485" t="s">
        <v>154</v>
      </c>
    </row>
    <row r="486" spans="1:14" x14ac:dyDescent="0.25">
      <c r="A486" t="s">
        <v>720</v>
      </c>
      <c r="B486" t="s">
        <v>6120</v>
      </c>
      <c r="C486" t="s">
        <v>5115</v>
      </c>
      <c r="D486" s="20">
        <v>28992</v>
      </c>
      <c r="E486">
        <v>9550688269</v>
      </c>
      <c r="F486" t="s">
        <v>6121</v>
      </c>
      <c r="G486" t="s">
        <v>5122</v>
      </c>
      <c r="H486" t="s">
        <v>5093</v>
      </c>
      <c r="I486" t="s">
        <v>40</v>
      </c>
      <c r="J486" t="s">
        <v>44</v>
      </c>
      <c r="K486" s="20">
        <v>43996</v>
      </c>
      <c r="L486" t="s">
        <v>5152</v>
      </c>
      <c r="M486" t="s">
        <v>154</v>
      </c>
      <c r="N486" t="s">
        <v>154</v>
      </c>
    </row>
    <row r="487" spans="1:14" x14ac:dyDescent="0.25">
      <c r="A487" t="s">
        <v>3214</v>
      </c>
      <c r="B487" t="s">
        <v>6122</v>
      </c>
      <c r="C487" t="s">
        <v>5115</v>
      </c>
      <c r="D487" s="20">
        <v>36244</v>
      </c>
      <c r="E487">
        <v>9844013480</v>
      </c>
      <c r="F487" t="s">
        <v>6123</v>
      </c>
      <c r="G487" t="s">
        <v>5271</v>
      </c>
      <c r="H487" t="s">
        <v>5112</v>
      </c>
      <c r="I487" t="s">
        <v>38</v>
      </c>
      <c r="J487" t="s">
        <v>44</v>
      </c>
      <c r="K487" s="20">
        <v>45645</v>
      </c>
      <c r="L487" t="s">
        <v>5208</v>
      </c>
      <c r="M487" t="s">
        <v>154</v>
      </c>
      <c r="N487" t="s">
        <v>154</v>
      </c>
    </row>
    <row r="488" spans="1:14" x14ac:dyDescent="0.25">
      <c r="A488" t="s">
        <v>4317</v>
      </c>
      <c r="B488" t="s">
        <v>6124</v>
      </c>
      <c r="C488" t="s">
        <v>5090</v>
      </c>
      <c r="D488" s="20">
        <v>28632</v>
      </c>
      <c r="E488">
        <v>9260335910</v>
      </c>
      <c r="F488" t="s">
        <v>6125</v>
      </c>
      <c r="G488" t="s">
        <v>5196</v>
      </c>
      <c r="H488" t="s">
        <v>5093</v>
      </c>
      <c r="I488" t="s">
        <v>40</v>
      </c>
      <c r="J488" t="s">
        <v>44</v>
      </c>
      <c r="K488" s="20">
        <v>45354</v>
      </c>
      <c r="L488" t="s">
        <v>5186</v>
      </c>
      <c r="M488" t="s">
        <v>154</v>
      </c>
      <c r="N488" t="s">
        <v>154</v>
      </c>
    </row>
    <row r="489" spans="1:14" x14ac:dyDescent="0.25">
      <c r="A489" t="s">
        <v>2412</v>
      </c>
      <c r="B489" t="s">
        <v>6126</v>
      </c>
      <c r="C489" t="s">
        <v>5090</v>
      </c>
      <c r="D489" s="20">
        <v>33666</v>
      </c>
      <c r="E489">
        <v>9144920749</v>
      </c>
      <c r="F489" t="s">
        <v>6127</v>
      </c>
      <c r="G489" t="s">
        <v>5231</v>
      </c>
      <c r="H489" t="s">
        <v>5103</v>
      </c>
      <c r="I489" t="s">
        <v>38</v>
      </c>
      <c r="J489" t="s">
        <v>39</v>
      </c>
      <c r="K489" s="20">
        <v>45413</v>
      </c>
      <c r="L489" t="s">
        <v>5108</v>
      </c>
      <c r="M489" t="s">
        <v>154</v>
      </c>
      <c r="N489" t="s">
        <v>154</v>
      </c>
    </row>
    <row r="490" spans="1:14" x14ac:dyDescent="0.25">
      <c r="A490" t="s">
        <v>2743</v>
      </c>
      <c r="B490" t="s">
        <v>6128</v>
      </c>
      <c r="C490" t="s">
        <v>5115</v>
      </c>
      <c r="D490" s="20">
        <v>33126</v>
      </c>
      <c r="E490">
        <v>9971842859</v>
      </c>
      <c r="F490" t="s">
        <v>6129</v>
      </c>
      <c r="G490" t="s">
        <v>5097</v>
      </c>
      <c r="H490" t="s">
        <v>5098</v>
      </c>
      <c r="I490" t="s">
        <v>42</v>
      </c>
      <c r="J490" t="s">
        <v>43</v>
      </c>
      <c r="K490" s="20">
        <v>45364</v>
      </c>
      <c r="L490" t="s">
        <v>5099</v>
      </c>
      <c r="M490" t="s">
        <v>154</v>
      </c>
      <c r="N490" t="s">
        <v>154</v>
      </c>
    </row>
    <row r="491" spans="1:14" x14ac:dyDescent="0.25">
      <c r="A491" t="s">
        <v>874</v>
      </c>
      <c r="B491" t="s">
        <v>6130</v>
      </c>
      <c r="C491" t="s">
        <v>5090</v>
      </c>
      <c r="D491" s="20">
        <v>29155</v>
      </c>
      <c r="E491">
        <v>9993231234</v>
      </c>
      <c r="F491" t="s">
        <v>6131</v>
      </c>
      <c r="G491" t="s">
        <v>5111</v>
      </c>
      <c r="H491" t="s">
        <v>5112</v>
      </c>
      <c r="I491" t="s">
        <v>38</v>
      </c>
      <c r="J491" t="s">
        <v>43</v>
      </c>
      <c r="K491" s="20">
        <v>45150</v>
      </c>
      <c r="L491" t="s">
        <v>5113</v>
      </c>
      <c r="M491" t="s">
        <v>154</v>
      </c>
      <c r="N491" t="s">
        <v>154</v>
      </c>
    </row>
    <row r="492" spans="1:14" x14ac:dyDescent="0.25">
      <c r="A492" t="s">
        <v>1253</v>
      </c>
      <c r="B492" t="s">
        <v>6132</v>
      </c>
      <c r="C492" t="s">
        <v>5090</v>
      </c>
      <c r="D492" s="20">
        <v>32982</v>
      </c>
      <c r="E492">
        <v>9726176072</v>
      </c>
      <c r="F492" t="s">
        <v>6133</v>
      </c>
      <c r="G492" t="s">
        <v>5111</v>
      </c>
      <c r="H492" t="s">
        <v>5112</v>
      </c>
      <c r="I492" t="s">
        <v>38</v>
      </c>
      <c r="J492" t="s">
        <v>39</v>
      </c>
      <c r="K492" s="20">
        <v>43195</v>
      </c>
      <c r="L492" t="s">
        <v>5158</v>
      </c>
      <c r="M492" t="s">
        <v>154</v>
      </c>
      <c r="N492" t="s">
        <v>154</v>
      </c>
    </row>
    <row r="493" spans="1:14" x14ac:dyDescent="0.25">
      <c r="A493" t="s">
        <v>324</v>
      </c>
      <c r="B493" t="s">
        <v>5730</v>
      </c>
      <c r="C493" t="s">
        <v>5115</v>
      </c>
      <c r="D493" s="20">
        <v>33683</v>
      </c>
      <c r="E493">
        <v>9382804056</v>
      </c>
      <c r="F493" t="s">
        <v>6134</v>
      </c>
      <c r="G493" t="s">
        <v>5174</v>
      </c>
      <c r="H493" t="s">
        <v>5093</v>
      </c>
      <c r="I493" t="s">
        <v>40</v>
      </c>
      <c r="J493" t="s">
        <v>44</v>
      </c>
      <c r="K493" s="20">
        <v>45568</v>
      </c>
      <c r="L493" t="s">
        <v>5094</v>
      </c>
      <c r="M493" t="s">
        <v>154</v>
      </c>
      <c r="N493" t="s">
        <v>154</v>
      </c>
    </row>
    <row r="494" spans="1:14" x14ac:dyDescent="0.25">
      <c r="A494" t="s">
        <v>3976</v>
      </c>
      <c r="B494" t="s">
        <v>6135</v>
      </c>
      <c r="C494" t="s">
        <v>5090</v>
      </c>
      <c r="D494" s="20">
        <v>24233</v>
      </c>
      <c r="E494">
        <v>9958264186</v>
      </c>
      <c r="F494" t="s">
        <v>6136</v>
      </c>
      <c r="G494" t="s">
        <v>5177</v>
      </c>
      <c r="H494" t="s">
        <v>5112</v>
      </c>
      <c r="I494" t="s">
        <v>38</v>
      </c>
      <c r="J494" t="s">
        <v>44</v>
      </c>
      <c r="K494" s="20">
        <v>43704</v>
      </c>
      <c r="L494" t="s">
        <v>5127</v>
      </c>
      <c r="M494" t="s">
        <v>154</v>
      </c>
      <c r="N494" t="s">
        <v>154</v>
      </c>
    </row>
    <row r="495" spans="1:14" x14ac:dyDescent="0.25">
      <c r="A495" t="s">
        <v>328</v>
      </c>
      <c r="B495" t="s">
        <v>6137</v>
      </c>
      <c r="C495" t="s">
        <v>5115</v>
      </c>
      <c r="D495" s="20">
        <v>38872</v>
      </c>
      <c r="E495">
        <v>9238595143</v>
      </c>
      <c r="F495" t="s">
        <v>6138</v>
      </c>
      <c r="G495" t="s">
        <v>5301</v>
      </c>
      <c r="H495" t="s">
        <v>5093</v>
      </c>
      <c r="I495" t="s">
        <v>40</v>
      </c>
      <c r="J495" t="s">
        <v>41</v>
      </c>
      <c r="K495" s="20">
        <v>44845</v>
      </c>
      <c r="L495" t="s">
        <v>5211</v>
      </c>
      <c r="M495" t="s">
        <v>154</v>
      </c>
      <c r="N495" t="s">
        <v>154</v>
      </c>
    </row>
    <row r="496" spans="1:14" x14ac:dyDescent="0.25">
      <c r="A496" t="s">
        <v>2362</v>
      </c>
      <c r="B496" t="s">
        <v>6139</v>
      </c>
      <c r="C496" t="s">
        <v>5115</v>
      </c>
      <c r="D496" s="20">
        <v>33370</v>
      </c>
      <c r="E496">
        <v>9273008696</v>
      </c>
      <c r="F496" t="s">
        <v>6140</v>
      </c>
      <c r="G496" t="s">
        <v>5276</v>
      </c>
      <c r="H496" t="s">
        <v>5118</v>
      </c>
      <c r="I496" t="s">
        <v>40</v>
      </c>
      <c r="J496" t="s">
        <v>43</v>
      </c>
      <c r="K496" s="20">
        <v>43267</v>
      </c>
      <c r="L496" t="s">
        <v>5119</v>
      </c>
      <c r="M496" t="s">
        <v>154</v>
      </c>
      <c r="N496" t="s">
        <v>154</v>
      </c>
    </row>
    <row r="497" spans="1:14" x14ac:dyDescent="0.25">
      <c r="A497" t="s">
        <v>2292</v>
      </c>
      <c r="B497" t="s">
        <v>6141</v>
      </c>
      <c r="C497" t="s">
        <v>5115</v>
      </c>
      <c r="D497" s="20">
        <v>37402</v>
      </c>
      <c r="E497">
        <v>9950016809</v>
      </c>
      <c r="F497" t="s">
        <v>6142</v>
      </c>
      <c r="G497" t="s">
        <v>5292</v>
      </c>
      <c r="H497" t="s">
        <v>5098</v>
      </c>
      <c r="I497" t="s">
        <v>42</v>
      </c>
      <c r="J497" t="s">
        <v>43</v>
      </c>
      <c r="K497" s="20">
        <v>43433</v>
      </c>
      <c r="L497" t="s">
        <v>5208</v>
      </c>
      <c r="M497" t="s">
        <v>154</v>
      </c>
      <c r="N497" t="s">
        <v>154</v>
      </c>
    </row>
    <row r="498" spans="1:14" x14ac:dyDescent="0.25">
      <c r="A498" t="s">
        <v>772</v>
      </c>
      <c r="B498" t="s">
        <v>6143</v>
      </c>
      <c r="C498" t="s">
        <v>5115</v>
      </c>
      <c r="D498" s="20">
        <v>24633</v>
      </c>
      <c r="E498">
        <v>9397620534</v>
      </c>
      <c r="F498" t="s">
        <v>6144</v>
      </c>
      <c r="G498" t="s">
        <v>5107</v>
      </c>
      <c r="H498" t="s">
        <v>5098</v>
      </c>
      <c r="I498" t="s">
        <v>42</v>
      </c>
      <c r="J498" t="s">
        <v>44</v>
      </c>
      <c r="K498" s="20">
        <v>45679</v>
      </c>
      <c r="L498" t="s">
        <v>5186</v>
      </c>
      <c r="M498" t="s">
        <v>154</v>
      </c>
      <c r="N498" t="s">
        <v>154</v>
      </c>
    </row>
    <row r="499" spans="1:14" x14ac:dyDescent="0.25">
      <c r="A499" t="s">
        <v>688</v>
      </c>
      <c r="B499" t="s">
        <v>6145</v>
      </c>
      <c r="C499" t="s">
        <v>5115</v>
      </c>
      <c r="D499" s="20">
        <v>30996</v>
      </c>
      <c r="E499">
        <v>9266292508</v>
      </c>
      <c r="F499" t="s">
        <v>6146</v>
      </c>
      <c r="G499" t="s">
        <v>5304</v>
      </c>
      <c r="H499" t="s">
        <v>5112</v>
      </c>
      <c r="I499" t="s">
        <v>38</v>
      </c>
      <c r="J499" t="s">
        <v>39</v>
      </c>
      <c r="K499" s="20">
        <v>43339</v>
      </c>
      <c r="L499" t="s">
        <v>5146</v>
      </c>
      <c r="M499" t="s">
        <v>154</v>
      </c>
      <c r="N499" t="s">
        <v>154</v>
      </c>
    </row>
    <row r="500" spans="1:14" x14ac:dyDescent="0.25">
      <c r="A500" t="s">
        <v>1893</v>
      </c>
      <c r="B500" t="s">
        <v>6147</v>
      </c>
      <c r="C500" t="s">
        <v>5090</v>
      </c>
      <c r="D500" s="20">
        <v>38862</v>
      </c>
      <c r="E500">
        <v>9140688413</v>
      </c>
      <c r="F500" t="s">
        <v>6148</v>
      </c>
      <c r="G500" t="s">
        <v>5136</v>
      </c>
      <c r="H500" t="s">
        <v>5098</v>
      </c>
      <c r="I500" t="s">
        <v>42</v>
      </c>
      <c r="J500" t="s">
        <v>44</v>
      </c>
      <c r="K500" s="20">
        <v>45416</v>
      </c>
      <c r="L500" t="s">
        <v>5099</v>
      </c>
      <c r="M500" t="s">
        <v>154</v>
      </c>
      <c r="N500" t="s">
        <v>154</v>
      </c>
    </row>
    <row r="501" spans="1:14" x14ac:dyDescent="0.25">
      <c r="A501" t="s">
        <v>2927</v>
      </c>
      <c r="B501" t="s">
        <v>5952</v>
      </c>
      <c r="C501" t="s">
        <v>5115</v>
      </c>
      <c r="D501" s="20">
        <v>25916</v>
      </c>
      <c r="E501">
        <v>9561781703</v>
      </c>
      <c r="F501" t="s">
        <v>6149</v>
      </c>
      <c r="G501" t="s">
        <v>5126</v>
      </c>
      <c r="H501" t="s">
        <v>5118</v>
      </c>
      <c r="I501" t="s">
        <v>40</v>
      </c>
      <c r="J501" t="s">
        <v>44</v>
      </c>
      <c r="K501" s="20">
        <v>43802</v>
      </c>
      <c r="L501" t="s">
        <v>5208</v>
      </c>
      <c r="M501" t="s">
        <v>154</v>
      </c>
      <c r="N501" t="s">
        <v>154</v>
      </c>
    </row>
    <row r="502" spans="1:14" x14ac:dyDescent="0.25">
      <c r="A502" t="s">
        <v>1704</v>
      </c>
      <c r="B502" t="s">
        <v>6150</v>
      </c>
      <c r="C502" t="s">
        <v>5090</v>
      </c>
      <c r="D502" s="20">
        <v>26419</v>
      </c>
      <c r="E502">
        <v>9852778956</v>
      </c>
      <c r="F502" t="s">
        <v>6151</v>
      </c>
      <c r="G502" t="s">
        <v>5248</v>
      </c>
      <c r="H502" t="s">
        <v>5103</v>
      </c>
      <c r="I502" t="s">
        <v>38</v>
      </c>
      <c r="J502" t="s">
        <v>43</v>
      </c>
      <c r="K502" s="20">
        <v>44829</v>
      </c>
      <c r="L502" t="s">
        <v>5178</v>
      </c>
      <c r="M502" t="s">
        <v>154</v>
      </c>
      <c r="N502" t="s">
        <v>154</v>
      </c>
    </row>
    <row r="503" spans="1:14" x14ac:dyDescent="0.25">
      <c r="A503" t="s">
        <v>3676</v>
      </c>
      <c r="B503" t="s">
        <v>6152</v>
      </c>
      <c r="C503" t="s">
        <v>5115</v>
      </c>
      <c r="D503" s="20">
        <v>38347</v>
      </c>
      <c r="E503">
        <v>9295026480</v>
      </c>
      <c r="F503" t="s">
        <v>6153</v>
      </c>
      <c r="G503" t="s">
        <v>5304</v>
      </c>
      <c r="H503" t="s">
        <v>5112</v>
      </c>
      <c r="I503" t="s">
        <v>38</v>
      </c>
      <c r="J503" t="s">
        <v>39</v>
      </c>
      <c r="K503" s="20">
        <v>45528</v>
      </c>
      <c r="L503" t="s">
        <v>5123</v>
      </c>
      <c r="M503" t="s">
        <v>154</v>
      </c>
      <c r="N503" t="s">
        <v>154</v>
      </c>
    </row>
    <row r="504" spans="1:14" x14ac:dyDescent="0.25">
      <c r="A504" t="s">
        <v>1732</v>
      </c>
      <c r="B504" t="s">
        <v>6154</v>
      </c>
      <c r="C504" t="s">
        <v>5115</v>
      </c>
      <c r="D504" s="20">
        <v>27617</v>
      </c>
      <c r="E504">
        <v>9781277822</v>
      </c>
      <c r="F504" t="s">
        <v>6155</v>
      </c>
      <c r="G504" t="s">
        <v>5155</v>
      </c>
      <c r="H504" t="s">
        <v>5098</v>
      </c>
      <c r="I504" t="s">
        <v>42</v>
      </c>
      <c r="J504" t="s">
        <v>44</v>
      </c>
      <c r="K504" s="20">
        <v>43517</v>
      </c>
      <c r="L504" t="s">
        <v>5127</v>
      </c>
      <c r="M504" t="s">
        <v>154</v>
      </c>
      <c r="N504" t="s">
        <v>154</v>
      </c>
    </row>
    <row r="505" spans="1:14" x14ac:dyDescent="0.25">
      <c r="A505" t="s">
        <v>976</v>
      </c>
      <c r="B505" t="s">
        <v>6156</v>
      </c>
      <c r="C505" t="s">
        <v>5115</v>
      </c>
      <c r="D505" s="20">
        <v>38131</v>
      </c>
      <c r="E505">
        <v>9348629857</v>
      </c>
      <c r="F505" t="s">
        <v>6157</v>
      </c>
      <c r="G505" t="s">
        <v>5292</v>
      </c>
      <c r="H505" t="s">
        <v>5098</v>
      </c>
      <c r="I505" t="s">
        <v>42</v>
      </c>
      <c r="J505" t="s">
        <v>39</v>
      </c>
      <c r="K505" s="20">
        <v>43848</v>
      </c>
      <c r="L505" t="s">
        <v>5211</v>
      </c>
      <c r="M505" t="s">
        <v>154</v>
      </c>
      <c r="N505" t="s">
        <v>154</v>
      </c>
    </row>
    <row r="506" spans="1:14" x14ac:dyDescent="0.25">
      <c r="A506" t="s">
        <v>1277</v>
      </c>
      <c r="B506" t="s">
        <v>6158</v>
      </c>
      <c r="C506" t="s">
        <v>5115</v>
      </c>
      <c r="D506" s="20">
        <v>38074</v>
      </c>
      <c r="E506">
        <v>9856053970</v>
      </c>
      <c r="F506" t="s">
        <v>6159</v>
      </c>
      <c r="G506" t="s">
        <v>5243</v>
      </c>
      <c r="H506" t="s">
        <v>5112</v>
      </c>
      <c r="I506" t="s">
        <v>38</v>
      </c>
      <c r="J506" t="s">
        <v>44</v>
      </c>
      <c r="K506" s="20">
        <v>45211</v>
      </c>
      <c r="L506" t="s">
        <v>5165</v>
      </c>
      <c r="M506" t="s">
        <v>154</v>
      </c>
      <c r="N506" t="s">
        <v>154</v>
      </c>
    </row>
    <row r="507" spans="1:14" x14ac:dyDescent="0.25">
      <c r="A507" t="s">
        <v>1147</v>
      </c>
      <c r="B507" t="s">
        <v>5378</v>
      </c>
      <c r="C507" t="s">
        <v>5090</v>
      </c>
      <c r="D507" s="20">
        <v>30342</v>
      </c>
      <c r="E507">
        <v>9736820506</v>
      </c>
      <c r="F507" t="s">
        <v>6160</v>
      </c>
      <c r="G507" t="s">
        <v>5102</v>
      </c>
      <c r="H507" t="s">
        <v>5103</v>
      </c>
      <c r="I507" t="s">
        <v>38</v>
      </c>
      <c r="J507" t="s">
        <v>39</v>
      </c>
      <c r="K507" s="20">
        <v>43351</v>
      </c>
      <c r="L507" t="s">
        <v>5127</v>
      </c>
      <c r="M507" t="s">
        <v>154</v>
      </c>
      <c r="N507" t="s">
        <v>154</v>
      </c>
    </row>
    <row r="508" spans="1:14" x14ac:dyDescent="0.25">
      <c r="A508" t="s">
        <v>419</v>
      </c>
      <c r="B508" t="s">
        <v>6161</v>
      </c>
      <c r="C508" t="s">
        <v>5115</v>
      </c>
      <c r="D508" s="20">
        <v>27411</v>
      </c>
      <c r="E508">
        <v>9505871469</v>
      </c>
      <c r="F508" t="s">
        <v>6162</v>
      </c>
      <c r="G508" t="s">
        <v>5126</v>
      </c>
      <c r="H508" t="s">
        <v>5118</v>
      </c>
      <c r="I508" t="s">
        <v>40</v>
      </c>
      <c r="J508" t="s">
        <v>44</v>
      </c>
      <c r="K508" s="20">
        <v>43454</v>
      </c>
      <c r="L508" t="s">
        <v>5127</v>
      </c>
      <c r="M508" t="s">
        <v>154</v>
      </c>
      <c r="N508" t="s">
        <v>154</v>
      </c>
    </row>
    <row r="509" spans="1:14" x14ac:dyDescent="0.25">
      <c r="A509" t="s">
        <v>1029</v>
      </c>
      <c r="B509" t="s">
        <v>6163</v>
      </c>
      <c r="C509" t="s">
        <v>5090</v>
      </c>
      <c r="D509" s="20">
        <v>24934</v>
      </c>
      <c r="E509">
        <v>9908984369</v>
      </c>
      <c r="F509" t="s">
        <v>6164</v>
      </c>
      <c r="G509" t="s">
        <v>5243</v>
      </c>
      <c r="H509" t="s">
        <v>5112</v>
      </c>
      <c r="I509" t="s">
        <v>38</v>
      </c>
      <c r="J509" t="s">
        <v>39</v>
      </c>
      <c r="K509" s="20">
        <v>44730</v>
      </c>
      <c r="L509" t="s">
        <v>5146</v>
      </c>
      <c r="M509" t="s">
        <v>154</v>
      </c>
      <c r="N509" t="s">
        <v>154</v>
      </c>
    </row>
    <row r="510" spans="1:14" x14ac:dyDescent="0.25">
      <c r="A510" t="s">
        <v>3282</v>
      </c>
      <c r="B510" t="s">
        <v>6165</v>
      </c>
      <c r="C510" t="s">
        <v>5090</v>
      </c>
      <c r="D510" s="20">
        <v>26337</v>
      </c>
      <c r="E510">
        <v>9386948424</v>
      </c>
      <c r="F510" t="s">
        <v>6166</v>
      </c>
      <c r="G510" t="s">
        <v>5301</v>
      </c>
      <c r="H510" t="s">
        <v>5093</v>
      </c>
      <c r="I510" t="s">
        <v>40</v>
      </c>
      <c r="J510" t="s">
        <v>44</v>
      </c>
      <c r="K510" s="20">
        <v>43239</v>
      </c>
      <c r="L510" t="s">
        <v>5099</v>
      </c>
      <c r="M510" t="s">
        <v>154</v>
      </c>
      <c r="N510" t="s">
        <v>154</v>
      </c>
    </row>
    <row r="511" spans="1:14" x14ac:dyDescent="0.25">
      <c r="A511" t="s">
        <v>3100</v>
      </c>
      <c r="B511" t="s">
        <v>5971</v>
      </c>
      <c r="C511" t="s">
        <v>5115</v>
      </c>
      <c r="D511" s="20">
        <v>34056</v>
      </c>
      <c r="E511">
        <v>9870715238</v>
      </c>
      <c r="F511" t="s">
        <v>6167</v>
      </c>
      <c r="G511" t="s">
        <v>5171</v>
      </c>
      <c r="H511" t="s">
        <v>5103</v>
      </c>
      <c r="I511" t="s">
        <v>38</v>
      </c>
      <c r="J511" t="s">
        <v>43</v>
      </c>
      <c r="K511" s="20">
        <v>44951</v>
      </c>
      <c r="L511" t="s">
        <v>5158</v>
      </c>
      <c r="M511" t="s">
        <v>154</v>
      </c>
      <c r="N511" t="s">
        <v>154</v>
      </c>
    </row>
    <row r="512" spans="1:14" x14ac:dyDescent="0.25">
      <c r="A512" t="s">
        <v>837</v>
      </c>
      <c r="B512" t="s">
        <v>6168</v>
      </c>
      <c r="C512" t="s">
        <v>5115</v>
      </c>
      <c r="D512" s="20">
        <v>32578</v>
      </c>
      <c r="E512">
        <v>9619177987</v>
      </c>
      <c r="F512" t="s">
        <v>6169</v>
      </c>
      <c r="G512" t="s">
        <v>5301</v>
      </c>
      <c r="H512" t="s">
        <v>5093</v>
      </c>
      <c r="I512" t="s">
        <v>40</v>
      </c>
      <c r="J512" t="s">
        <v>44</v>
      </c>
      <c r="K512" s="20">
        <v>44952</v>
      </c>
      <c r="L512" t="s">
        <v>5152</v>
      </c>
      <c r="M512" t="s">
        <v>154</v>
      </c>
      <c r="N512" t="s">
        <v>154</v>
      </c>
    </row>
    <row r="513" spans="1:14" x14ac:dyDescent="0.25">
      <c r="A513" t="s">
        <v>4688</v>
      </c>
      <c r="B513" t="s">
        <v>5975</v>
      </c>
      <c r="C513" t="s">
        <v>5090</v>
      </c>
      <c r="D513" s="20">
        <v>31889</v>
      </c>
      <c r="E513">
        <v>9708580623</v>
      </c>
      <c r="F513" t="s">
        <v>6170</v>
      </c>
      <c r="G513" t="s">
        <v>5238</v>
      </c>
      <c r="H513" t="s">
        <v>5093</v>
      </c>
      <c r="I513" t="s">
        <v>40</v>
      </c>
      <c r="J513" t="s">
        <v>39</v>
      </c>
      <c r="K513" s="20">
        <v>45463</v>
      </c>
      <c r="L513" t="s">
        <v>5208</v>
      </c>
      <c r="M513" t="s">
        <v>154</v>
      </c>
      <c r="N513" t="s">
        <v>154</v>
      </c>
    </row>
    <row r="514" spans="1:14" x14ac:dyDescent="0.25">
      <c r="A514" t="s">
        <v>730</v>
      </c>
      <c r="B514" t="s">
        <v>6171</v>
      </c>
      <c r="C514" t="s">
        <v>5115</v>
      </c>
      <c r="D514" s="20">
        <v>34614</v>
      </c>
      <c r="E514">
        <v>9790012482</v>
      </c>
      <c r="F514" t="s">
        <v>6172</v>
      </c>
      <c r="G514" t="s">
        <v>5117</v>
      </c>
      <c r="H514" t="s">
        <v>5118</v>
      </c>
      <c r="I514" t="s">
        <v>40</v>
      </c>
      <c r="J514" t="s">
        <v>39</v>
      </c>
      <c r="K514" s="20">
        <v>45638</v>
      </c>
      <c r="L514" t="s">
        <v>5168</v>
      </c>
      <c r="M514" t="s">
        <v>154</v>
      </c>
      <c r="N514" t="s">
        <v>154</v>
      </c>
    </row>
    <row r="515" spans="1:14" x14ac:dyDescent="0.25">
      <c r="A515" t="s">
        <v>1358</v>
      </c>
      <c r="B515" t="s">
        <v>6173</v>
      </c>
      <c r="C515" t="s">
        <v>5090</v>
      </c>
      <c r="D515" s="20">
        <v>26733</v>
      </c>
      <c r="E515">
        <v>9259423289</v>
      </c>
      <c r="F515" t="s">
        <v>6174</v>
      </c>
      <c r="G515" t="s">
        <v>5181</v>
      </c>
      <c r="H515" t="s">
        <v>5112</v>
      </c>
      <c r="I515" t="s">
        <v>38</v>
      </c>
      <c r="J515" t="s">
        <v>39</v>
      </c>
      <c r="K515" s="20">
        <v>44715</v>
      </c>
      <c r="L515" t="s">
        <v>5208</v>
      </c>
      <c r="M515" t="s">
        <v>154</v>
      </c>
      <c r="N515" t="s">
        <v>154</v>
      </c>
    </row>
    <row r="516" spans="1:14" x14ac:dyDescent="0.25">
      <c r="A516" t="s">
        <v>1227</v>
      </c>
      <c r="B516" t="s">
        <v>6175</v>
      </c>
      <c r="C516" t="s">
        <v>5090</v>
      </c>
      <c r="D516" s="20">
        <v>32691</v>
      </c>
      <c r="E516">
        <v>9152857256</v>
      </c>
      <c r="F516" t="s">
        <v>6176</v>
      </c>
      <c r="G516" t="s">
        <v>5111</v>
      </c>
      <c r="H516" t="s">
        <v>5112</v>
      </c>
      <c r="I516" t="s">
        <v>38</v>
      </c>
      <c r="J516" t="s">
        <v>39</v>
      </c>
      <c r="K516" s="20">
        <v>43774</v>
      </c>
      <c r="L516" t="s">
        <v>5152</v>
      </c>
      <c r="M516" t="s">
        <v>154</v>
      </c>
      <c r="N516" t="s">
        <v>154</v>
      </c>
    </row>
    <row r="517" spans="1:14" x14ac:dyDescent="0.25">
      <c r="A517" t="s">
        <v>3431</v>
      </c>
      <c r="B517" t="s">
        <v>6177</v>
      </c>
      <c r="C517" t="s">
        <v>5090</v>
      </c>
      <c r="D517" s="20">
        <v>33395</v>
      </c>
      <c r="E517">
        <v>9138186550</v>
      </c>
      <c r="F517" t="s">
        <v>6178</v>
      </c>
      <c r="G517" t="s">
        <v>5185</v>
      </c>
      <c r="H517" t="s">
        <v>5093</v>
      </c>
      <c r="I517" t="s">
        <v>40</v>
      </c>
      <c r="J517" t="s">
        <v>39</v>
      </c>
      <c r="K517" s="20">
        <v>45591</v>
      </c>
      <c r="L517" t="s">
        <v>5094</v>
      </c>
      <c r="M517" t="s">
        <v>154</v>
      </c>
      <c r="N517" t="s">
        <v>154</v>
      </c>
    </row>
    <row r="518" spans="1:14" x14ac:dyDescent="0.25">
      <c r="A518" t="s">
        <v>974</v>
      </c>
      <c r="B518" t="s">
        <v>6179</v>
      </c>
      <c r="C518" t="s">
        <v>5090</v>
      </c>
      <c r="D518" s="20">
        <v>29057</v>
      </c>
      <c r="E518">
        <v>9430349189</v>
      </c>
      <c r="F518" t="s">
        <v>6180</v>
      </c>
      <c r="G518" t="s">
        <v>5366</v>
      </c>
      <c r="H518" t="s">
        <v>5103</v>
      </c>
      <c r="I518" t="s">
        <v>38</v>
      </c>
      <c r="J518" t="s">
        <v>39</v>
      </c>
      <c r="K518" s="20">
        <v>45098</v>
      </c>
      <c r="L518" t="s">
        <v>5113</v>
      </c>
      <c r="M518" t="s">
        <v>154</v>
      </c>
      <c r="N518" t="s">
        <v>154</v>
      </c>
    </row>
    <row r="519" spans="1:14" x14ac:dyDescent="0.25">
      <c r="A519" t="s">
        <v>3438</v>
      </c>
      <c r="B519" t="s">
        <v>6181</v>
      </c>
      <c r="C519" t="s">
        <v>5090</v>
      </c>
      <c r="D519" s="20">
        <v>33557</v>
      </c>
      <c r="E519">
        <v>9934015364</v>
      </c>
      <c r="F519" t="s">
        <v>6182</v>
      </c>
      <c r="G519" t="s">
        <v>5155</v>
      </c>
      <c r="H519" t="s">
        <v>5098</v>
      </c>
      <c r="I519" t="s">
        <v>42</v>
      </c>
      <c r="J519" t="s">
        <v>43</v>
      </c>
      <c r="K519" s="20">
        <v>45237</v>
      </c>
      <c r="L519" t="s">
        <v>5168</v>
      </c>
      <c r="M519" t="s">
        <v>154</v>
      </c>
      <c r="N519" t="s">
        <v>154</v>
      </c>
    </row>
    <row r="520" spans="1:14" x14ac:dyDescent="0.25">
      <c r="A520" t="s">
        <v>625</v>
      </c>
      <c r="B520" t="s">
        <v>6183</v>
      </c>
      <c r="C520" t="s">
        <v>5115</v>
      </c>
      <c r="D520" s="20">
        <v>29096</v>
      </c>
      <c r="E520">
        <v>9936781367</v>
      </c>
      <c r="F520" t="s">
        <v>6184</v>
      </c>
      <c r="G520" t="s">
        <v>5331</v>
      </c>
      <c r="H520" t="s">
        <v>5118</v>
      </c>
      <c r="I520" t="s">
        <v>40</v>
      </c>
      <c r="J520" t="s">
        <v>43</v>
      </c>
      <c r="K520" s="20">
        <v>43811</v>
      </c>
      <c r="L520" t="s">
        <v>5094</v>
      </c>
      <c r="M520" t="s">
        <v>154</v>
      </c>
      <c r="N520" t="s">
        <v>154</v>
      </c>
    </row>
    <row r="521" spans="1:14" x14ac:dyDescent="0.25">
      <c r="A521" t="s">
        <v>2117</v>
      </c>
      <c r="B521" t="s">
        <v>6185</v>
      </c>
      <c r="C521" t="s">
        <v>5115</v>
      </c>
      <c r="D521" s="20">
        <v>35164</v>
      </c>
      <c r="E521">
        <v>9527698198</v>
      </c>
      <c r="F521" t="s">
        <v>6186</v>
      </c>
      <c r="G521" t="s">
        <v>5369</v>
      </c>
      <c r="H521" t="s">
        <v>5103</v>
      </c>
      <c r="I521" t="s">
        <v>38</v>
      </c>
      <c r="J521" t="s">
        <v>44</v>
      </c>
      <c r="K521" s="20">
        <v>43457</v>
      </c>
      <c r="L521" t="s">
        <v>5123</v>
      </c>
      <c r="M521" t="s">
        <v>154</v>
      </c>
      <c r="N521" t="s">
        <v>154</v>
      </c>
    </row>
    <row r="522" spans="1:14" x14ac:dyDescent="0.25">
      <c r="A522" t="s">
        <v>3580</v>
      </c>
      <c r="B522" t="s">
        <v>6187</v>
      </c>
      <c r="C522" t="s">
        <v>5090</v>
      </c>
      <c r="D522" s="20">
        <v>23853</v>
      </c>
      <c r="E522">
        <v>9856225866</v>
      </c>
      <c r="F522" t="s">
        <v>6188</v>
      </c>
      <c r="G522" t="s">
        <v>5126</v>
      </c>
      <c r="H522" t="s">
        <v>5118</v>
      </c>
      <c r="I522" t="s">
        <v>40</v>
      </c>
      <c r="J522" t="s">
        <v>43</v>
      </c>
      <c r="K522" s="20">
        <v>45207</v>
      </c>
      <c r="L522" t="s">
        <v>5186</v>
      </c>
      <c r="M522" t="s">
        <v>154</v>
      </c>
      <c r="N522" t="s">
        <v>154</v>
      </c>
    </row>
    <row r="523" spans="1:14" x14ac:dyDescent="0.25">
      <c r="A523" t="s">
        <v>3524</v>
      </c>
      <c r="B523" t="s">
        <v>6189</v>
      </c>
      <c r="C523" t="s">
        <v>5090</v>
      </c>
      <c r="D523" s="20">
        <v>36723</v>
      </c>
      <c r="E523">
        <v>9275854859</v>
      </c>
      <c r="F523" t="s">
        <v>6190</v>
      </c>
      <c r="G523" t="s">
        <v>5292</v>
      </c>
      <c r="H523" t="s">
        <v>5098</v>
      </c>
      <c r="I523" t="s">
        <v>42</v>
      </c>
      <c r="J523" t="s">
        <v>39</v>
      </c>
      <c r="K523" s="20">
        <v>44324</v>
      </c>
      <c r="L523" t="s">
        <v>5165</v>
      </c>
      <c r="M523" t="s">
        <v>154</v>
      </c>
      <c r="N523" t="s">
        <v>154</v>
      </c>
    </row>
    <row r="524" spans="1:14" x14ac:dyDescent="0.25">
      <c r="A524" t="s">
        <v>2627</v>
      </c>
      <c r="B524" t="s">
        <v>6191</v>
      </c>
      <c r="C524" t="s">
        <v>5090</v>
      </c>
      <c r="D524" s="20">
        <v>28462</v>
      </c>
      <c r="E524">
        <v>9165020002</v>
      </c>
      <c r="F524" t="s">
        <v>6192</v>
      </c>
      <c r="G524" t="s">
        <v>5384</v>
      </c>
      <c r="H524" t="s">
        <v>5093</v>
      </c>
      <c r="I524" t="s">
        <v>40</v>
      </c>
      <c r="J524" t="s">
        <v>43</v>
      </c>
      <c r="K524" s="20">
        <v>45617</v>
      </c>
      <c r="L524" t="s">
        <v>5211</v>
      </c>
      <c r="M524" t="s">
        <v>154</v>
      </c>
      <c r="N524" t="s">
        <v>154</v>
      </c>
    </row>
    <row r="525" spans="1:14" x14ac:dyDescent="0.25">
      <c r="A525" t="s">
        <v>3158</v>
      </c>
      <c r="B525" t="s">
        <v>6193</v>
      </c>
      <c r="C525" t="s">
        <v>5115</v>
      </c>
      <c r="D525" s="20">
        <v>34349</v>
      </c>
      <c r="E525">
        <v>9551305570</v>
      </c>
      <c r="F525" t="s">
        <v>6194</v>
      </c>
      <c r="G525" t="s">
        <v>5122</v>
      </c>
      <c r="H525" t="s">
        <v>5093</v>
      </c>
      <c r="I525" t="s">
        <v>40</v>
      </c>
      <c r="J525" t="s">
        <v>44</v>
      </c>
      <c r="K525" s="20">
        <v>43638</v>
      </c>
      <c r="L525" t="s">
        <v>5211</v>
      </c>
      <c r="M525" t="s">
        <v>154</v>
      </c>
      <c r="N525" t="s">
        <v>154</v>
      </c>
    </row>
    <row r="526" spans="1:14" x14ac:dyDescent="0.25">
      <c r="A526" t="s">
        <v>1213</v>
      </c>
      <c r="B526" t="s">
        <v>6195</v>
      </c>
      <c r="C526" t="s">
        <v>5115</v>
      </c>
      <c r="D526" s="20">
        <v>35836</v>
      </c>
      <c r="E526">
        <v>9896699727</v>
      </c>
      <c r="F526" t="s">
        <v>6196</v>
      </c>
      <c r="G526" t="s">
        <v>5122</v>
      </c>
      <c r="H526" t="s">
        <v>5093</v>
      </c>
      <c r="I526" t="s">
        <v>40</v>
      </c>
      <c r="J526" t="s">
        <v>43</v>
      </c>
      <c r="K526" s="20">
        <v>44265</v>
      </c>
      <c r="L526" t="s">
        <v>5186</v>
      </c>
      <c r="M526" t="s">
        <v>154</v>
      </c>
      <c r="N526" t="s">
        <v>154</v>
      </c>
    </row>
    <row r="527" spans="1:14" x14ac:dyDescent="0.25">
      <c r="A527" t="s">
        <v>1389</v>
      </c>
      <c r="B527" t="s">
        <v>6197</v>
      </c>
      <c r="C527" t="s">
        <v>5115</v>
      </c>
      <c r="D527" s="20">
        <v>34280</v>
      </c>
      <c r="E527">
        <v>9825431832</v>
      </c>
      <c r="F527" t="s">
        <v>6198</v>
      </c>
      <c r="G527" t="s">
        <v>5155</v>
      </c>
      <c r="H527" t="s">
        <v>5098</v>
      </c>
      <c r="I527" t="s">
        <v>42</v>
      </c>
      <c r="J527" t="s">
        <v>44</v>
      </c>
      <c r="K527" s="20">
        <v>43632</v>
      </c>
      <c r="L527" t="s">
        <v>5094</v>
      </c>
      <c r="M527" t="s">
        <v>154</v>
      </c>
      <c r="N527" t="s">
        <v>154</v>
      </c>
    </row>
    <row r="528" spans="1:14" x14ac:dyDescent="0.25">
      <c r="A528" t="s">
        <v>3156</v>
      </c>
      <c r="B528" t="s">
        <v>6199</v>
      </c>
      <c r="C528" t="s">
        <v>5090</v>
      </c>
      <c r="D528" s="20">
        <v>26862</v>
      </c>
      <c r="E528">
        <v>9491060183</v>
      </c>
      <c r="F528" t="s">
        <v>6200</v>
      </c>
      <c r="G528" t="s">
        <v>5142</v>
      </c>
      <c r="H528" t="s">
        <v>5103</v>
      </c>
      <c r="I528" t="s">
        <v>38</v>
      </c>
      <c r="J528" t="s">
        <v>43</v>
      </c>
      <c r="K528" s="20">
        <v>43687</v>
      </c>
      <c r="L528" t="s">
        <v>5119</v>
      </c>
      <c r="M528" t="s">
        <v>154</v>
      </c>
      <c r="N528" t="s">
        <v>154</v>
      </c>
    </row>
    <row r="529" spans="1:14" x14ac:dyDescent="0.25">
      <c r="A529" t="s">
        <v>1766</v>
      </c>
      <c r="B529" t="s">
        <v>6201</v>
      </c>
      <c r="C529" t="s">
        <v>5115</v>
      </c>
      <c r="D529" s="20">
        <v>35499</v>
      </c>
      <c r="E529">
        <v>9768172257</v>
      </c>
      <c r="F529" t="s">
        <v>6202</v>
      </c>
      <c r="G529" t="s">
        <v>5181</v>
      </c>
      <c r="H529" t="s">
        <v>5112</v>
      </c>
      <c r="I529" t="s">
        <v>38</v>
      </c>
      <c r="J529" t="s">
        <v>39</v>
      </c>
      <c r="K529" s="20">
        <v>45282</v>
      </c>
      <c r="L529" t="s">
        <v>5165</v>
      </c>
      <c r="M529" t="s">
        <v>154</v>
      </c>
      <c r="N529" t="s">
        <v>154</v>
      </c>
    </row>
    <row r="530" spans="1:14" x14ac:dyDescent="0.25">
      <c r="A530" t="s">
        <v>3264</v>
      </c>
      <c r="B530" t="s">
        <v>6203</v>
      </c>
      <c r="C530" t="s">
        <v>5115</v>
      </c>
      <c r="D530" s="20">
        <v>34027</v>
      </c>
      <c r="E530">
        <v>9052918768</v>
      </c>
      <c r="F530" t="s">
        <v>6204</v>
      </c>
      <c r="G530" t="s">
        <v>5117</v>
      </c>
      <c r="H530" t="s">
        <v>5118</v>
      </c>
      <c r="I530" t="s">
        <v>40</v>
      </c>
      <c r="J530" t="s">
        <v>43</v>
      </c>
      <c r="K530" s="20">
        <v>43734</v>
      </c>
      <c r="L530" t="s">
        <v>5108</v>
      </c>
      <c r="M530" t="s">
        <v>154</v>
      </c>
      <c r="N530" t="s">
        <v>154</v>
      </c>
    </row>
    <row r="531" spans="1:14" x14ac:dyDescent="0.25">
      <c r="A531" t="s">
        <v>4905</v>
      </c>
      <c r="B531" t="s">
        <v>6205</v>
      </c>
      <c r="C531" t="s">
        <v>5090</v>
      </c>
      <c r="D531" s="20">
        <v>32743</v>
      </c>
      <c r="E531">
        <v>9173373992</v>
      </c>
      <c r="F531" t="s">
        <v>6206</v>
      </c>
      <c r="G531" t="s">
        <v>5196</v>
      </c>
      <c r="H531" t="s">
        <v>5093</v>
      </c>
      <c r="I531" t="s">
        <v>40</v>
      </c>
      <c r="J531" t="s">
        <v>44</v>
      </c>
      <c r="K531" s="20">
        <v>45021</v>
      </c>
      <c r="L531" t="s">
        <v>5165</v>
      </c>
      <c r="M531" t="s">
        <v>154</v>
      </c>
      <c r="N531" t="s">
        <v>154</v>
      </c>
    </row>
    <row r="532" spans="1:14" x14ac:dyDescent="0.25">
      <c r="A532" t="s">
        <v>2140</v>
      </c>
      <c r="B532" t="s">
        <v>5511</v>
      </c>
      <c r="C532" t="s">
        <v>5115</v>
      </c>
      <c r="D532" s="20">
        <v>33190</v>
      </c>
      <c r="E532">
        <v>9165914388</v>
      </c>
      <c r="F532" t="s">
        <v>6207</v>
      </c>
      <c r="G532" t="s">
        <v>5189</v>
      </c>
      <c r="H532" t="s">
        <v>5112</v>
      </c>
      <c r="I532" t="s">
        <v>38</v>
      </c>
      <c r="J532" t="s">
        <v>43</v>
      </c>
      <c r="K532" s="20">
        <v>44788</v>
      </c>
      <c r="L532" t="s">
        <v>5165</v>
      </c>
      <c r="M532" t="s">
        <v>154</v>
      </c>
      <c r="N532" t="s">
        <v>154</v>
      </c>
    </row>
    <row r="533" spans="1:14" x14ac:dyDescent="0.25">
      <c r="A533" t="s">
        <v>1487</v>
      </c>
      <c r="B533" t="s">
        <v>6208</v>
      </c>
      <c r="C533" t="s">
        <v>5115</v>
      </c>
      <c r="D533" s="20">
        <v>34446</v>
      </c>
      <c r="E533">
        <v>9584461777</v>
      </c>
      <c r="F533" t="s">
        <v>6209</v>
      </c>
      <c r="G533" t="s">
        <v>5331</v>
      </c>
      <c r="H533" t="s">
        <v>5118</v>
      </c>
      <c r="I533" t="s">
        <v>40</v>
      </c>
      <c r="J533" t="s">
        <v>44</v>
      </c>
      <c r="K533" s="20">
        <v>45313</v>
      </c>
      <c r="L533" t="s">
        <v>5208</v>
      </c>
      <c r="M533" t="s">
        <v>154</v>
      </c>
      <c r="N533" t="s">
        <v>154</v>
      </c>
    </row>
    <row r="534" spans="1:14" x14ac:dyDescent="0.25">
      <c r="A534" t="s">
        <v>2446</v>
      </c>
      <c r="B534" t="s">
        <v>6210</v>
      </c>
      <c r="C534" t="s">
        <v>5115</v>
      </c>
      <c r="D534" s="20">
        <v>27792</v>
      </c>
      <c r="E534">
        <v>9791279970</v>
      </c>
      <c r="F534" t="s">
        <v>6211</v>
      </c>
      <c r="G534" t="s">
        <v>5366</v>
      </c>
      <c r="H534" t="s">
        <v>5103</v>
      </c>
      <c r="I534" t="s">
        <v>38</v>
      </c>
      <c r="J534" t="s">
        <v>39</v>
      </c>
      <c r="K534" s="20">
        <v>44140</v>
      </c>
      <c r="L534" t="s">
        <v>5108</v>
      </c>
      <c r="M534" t="s">
        <v>154</v>
      </c>
      <c r="N534" t="s">
        <v>154</v>
      </c>
    </row>
    <row r="535" spans="1:14" x14ac:dyDescent="0.25">
      <c r="A535" t="s">
        <v>4059</v>
      </c>
      <c r="B535" t="s">
        <v>6212</v>
      </c>
      <c r="C535" t="s">
        <v>5090</v>
      </c>
      <c r="D535" s="20">
        <v>26398</v>
      </c>
      <c r="E535">
        <v>9871375298</v>
      </c>
      <c r="F535" t="s">
        <v>6213</v>
      </c>
      <c r="G535" t="s">
        <v>5130</v>
      </c>
      <c r="H535" t="s">
        <v>5103</v>
      </c>
      <c r="I535" t="s">
        <v>38</v>
      </c>
      <c r="J535" t="s">
        <v>43</v>
      </c>
      <c r="K535" s="20">
        <v>45541</v>
      </c>
      <c r="L535" t="s">
        <v>5146</v>
      </c>
      <c r="M535" t="s">
        <v>154</v>
      </c>
      <c r="N535" t="s">
        <v>154</v>
      </c>
    </row>
    <row r="536" spans="1:14" x14ac:dyDescent="0.25">
      <c r="A536" t="s">
        <v>6214</v>
      </c>
      <c r="B536" t="s">
        <v>6215</v>
      </c>
      <c r="C536" t="s">
        <v>5115</v>
      </c>
      <c r="D536" s="20">
        <v>37052</v>
      </c>
      <c r="E536">
        <v>9832004879</v>
      </c>
      <c r="F536" t="s">
        <v>6216</v>
      </c>
      <c r="G536" t="s">
        <v>5142</v>
      </c>
      <c r="H536" t="s">
        <v>5103</v>
      </c>
      <c r="I536" t="s">
        <v>38</v>
      </c>
      <c r="J536" t="s">
        <v>44</v>
      </c>
      <c r="K536" s="20">
        <v>44727</v>
      </c>
      <c r="L536" t="s">
        <v>5123</v>
      </c>
      <c r="M536" t="s">
        <v>154</v>
      </c>
      <c r="N536" t="s">
        <v>154</v>
      </c>
    </row>
    <row r="537" spans="1:14" x14ac:dyDescent="0.25">
      <c r="A537" t="s">
        <v>2820</v>
      </c>
      <c r="B537" t="s">
        <v>6217</v>
      </c>
      <c r="C537" t="s">
        <v>5090</v>
      </c>
      <c r="D537" s="20">
        <v>30925</v>
      </c>
      <c r="E537">
        <v>9352595332</v>
      </c>
      <c r="F537" t="s">
        <v>6218</v>
      </c>
      <c r="G537" t="s">
        <v>5331</v>
      </c>
      <c r="H537" t="s">
        <v>5118</v>
      </c>
      <c r="I537" t="s">
        <v>40</v>
      </c>
      <c r="J537" t="s">
        <v>44</v>
      </c>
      <c r="K537" s="20">
        <v>44625</v>
      </c>
      <c r="L537" t="s">
        <v>5186</v>
      </c>
      <c r="M537" t="s">
        <v>184</v>
      </c>
      <c r="N537" t="s">
        <v>154</v>
      </c>
    </row>
    <row r="538" spans="1:14" x14ac:dyDescent="0.25">
      <c r="A538" t="s">
        <v>887</v>
      </c>
      <c r="B538" t="s">
        <v>6219</v>
      </c>
      <c r="C538" t="s">
        <v>5090</v>
      </c>
      <c r="D538" s="20">
        <v>34317</v>
      </c>
      <c r="E538">
        <v>9171523910</v>
      </c>
      <c r="F538" t="s">
        <v>6220</v>
      </c>
      <c r="G538" t="s">
        <v>5366</v>
      </c>
      <c r="H538" t="s">
        <v>5103</v>
      </c>
      <c r="I538" t="s">
        <v>38</v>
      </c>
      <c r="J538" t="s">
        <v>44</v>
      </c>
      <c r="K538" s="20">
        <v>45451</v>
      </c>
      <c r="L538" t="s">
        <v>5168</v>
      </c>
      <c r="M538" t="s">
        <v>154</v>
      </c>
      <c r="N538" t="s">
        <v>154</v>
      </c>
    </row>
    <row r="539" spans="1:14" x14ac:dyDescent="0.25">
      <c r="A539" t="s">
        <v>3245</v>
      </c>
      <c r="B539" t="s">
        <v>6221</v>
      </c>
      <c r="C539" t="s">
        <v>5090</v>
      </c>
      <c r="D539" s="20">
        <v>36019</v>
      </c>
      <c r="E539">
        <v>9483093096</v>
      </c>
      <c r="F539" t="s">
        <v>6222</v>
      </c>
      <c r="G539" t="s">
        <v>5201</v>
      </c>
      <c r="H539" t="s">
        <v>5118</v>
      </c>
      <c r="I539" t="s">
        <v>40</v>
      </c>
      <c r="J539" t="s">
        <v>43</v>
      </c>
      <c r="K539" s="20">
        <v>43915</v>
      </c>
      <c r="L539" t="s">
        <v>5137</v>
      </c>
      <c r="M539" t="s">
        <v>154</v>
      </c>
      <c r="N539" t="s">
        <v>154</v>
      </c>
    </row>
    <row r="540" spans="1:14" x14ac:dyDescent="0.25">
      <c r="A540" t="s">
        <v>679</v>
      </c>
      <c r="B540" t="s">
        <v>6223</v>
      </c>
      <c r="C540" t="s">
        <v>5115</v>
      </c>
      <c r="D540" s="20">
        <v>33715</v>
      </c>
      <c r="E540">
        <v>9213217672</v>
      </c>
      <c r="F540" t="s">
        <v>6224</v>
      </c>
      <c r="G540" t="s">
        <v>5142</v>
      </c>
      <c r="H540" t="s">
        <v>5103</v>
      </c>
      <c r="I540" t="s">
        <v>38</v>
      </c>
      <c r="J540" t="s">
        <v>39</v>
      </c>
      <c r="K540" s="20">
        <v>45694</v>
      </c>
      <c r="L540" t="s">
        <v>5182</v>
      </c>
      <c r="M540" t="s">
        <v>154</v>
      </c>
      <c r="N540" t="s">
        <v>154</v>
      </c>
    </row>
    <row r="541" spans="1:14" x14ac:dyDescent="0.25">
      <c r="A541" t="s">
        <v>240</v>
      </c>
      <c r="B541" t="s">
        <v>6225</v>
      </c>
      <c r="C541" t="s">
        <v>5115</v>
      </c>
      <c r="D541" s="20">
        <v>25589</v>
      </c>
      <c r="E541">
        <v>9190725873</v>
      </c>
      <c r="F541" t="s">
        <v>6226</v>
      </c>
      <c r="G541" t="s">
        <v>5107</v>
      </c>
      <c r="H541" t="s">
        <v>5098</v>
      </c>
      <c r="I541" t="s">
        <v>42</v>
      </c>
      <c r="J541" t="s">
        <v>43</v>
      </c>
      <c r="K541" s="20">
        <v>43841</v>
      </c>
      <c r="L541" t="s">
        <v>5123</v>
      </c>
      <c r="M541" t="s">
        <v>154</v>
      </c>
      <c r="N541" t="s">
        <v>154</v>
      </c>
    </row>
    <row r="542" spans="1:14" x14ac:dyDescent="0.25">
      <c r="A542" t="s">
        <v>3052</v>
      </c>
      <c r="B542" t="s">
        <v>6227</v>
      </c>
      <c r="C542" t="s">
        <v>5090</v>
      </c>
      <c r="D542" s="20">
        <v>28553</v>
      </c>
      <c r="E542">
        <v>9802748124</v>
      </c>
      <c r="F542" t="s">
        <v>6228</v>
      </c>
      <c r="G542" t="s">
        <v>5243</v>
      </c>
      <c r="H542" t="s">
        <v>5112</v>
      </c>
      <c r="I542" t="s">
        <v>38</v>
      </c>
      <c r="J542" t="s">
        <v>39</v>
      </c>
      <c r="K542" s="20">
        <v>44482</v>
      </c>
      <c r="L542" t="s">
        <v>5208</v>
      </c>
      <c r="M542" t="s">
        <v>154</v>
      </c>
      <c r="N542" t="s">
        <v>154</v>
      </c>
    </row>
    <row r="543" spans="1:14" x14ac:dyDescent="0.25">
      <c r="A543" t="s">
        <v>1434</v>
      </c>
      <c r="B543" t="s">
        <v>6229</v>
      </c>
      <c r="C543" t="s">
        <v>5115</v>
      </c>
      <c r="D543" s="20">
        <v>36683</v>
      </c>
      <c r="E543">
        <v>9509522946</v>
      </c>
      <c r="F543" t="s">
        <v>6230</v>
      </c>
      <c r="G543" t="s">
        <v>5271</v>
      </c>
      <c r="H543" t="s">
        <v>5112</v>
      </c>
      <c r="I543" t="s">
        <v>38</v>
      </c>
      <c r="J543" t="s">
        <v>39</v>
      </c>
      <c r="K543" s="20">
        <v>45250</v>
      </c>
      <c r="L543" t="s">
        <v>5182</v>
      </c>
      <c r="M543" t="s">
        <v>154</v>
      </c>
      <c r="N543" t="s">
        <v>154</v>
      </c>
    </row>
    <row r="544" spans="1:14" x14ac:dyDescent="0.25">
      <c r="A544" t="s">
        <v>3073</v>
      </c>
      <c r="B544" t="s">
        <v>6231</v>
      </c>
      <c r="C544" t="s">
        <v>5115</v>
      </c>
      <c r="D544" s="20">
        <v>29476</v>
      </c>
      <c r="E544">
        <v>9995297013</v>
      </c>
      <c r="F544" t="s">
        <v>6232</v>
      </c>
      <c r="G544" t="s">
        <v>5136</v>
      </c>
      <c r="H544" t="s">
        <v>5098</v>
      </c>
      <c r="I544" t="s">
        <v>42</v>
      </c>
      <c r="J544" t="s">
        <v>44</v>
      </c>
      <c r="K544" s="20">
        <v>43106</v>
      </c>
      <c r="L544" t="s">
        <v>5208</v>
      </c>
      <c r="M544" t="s">
        <v>154</v>
      </c>
      <c r="N544" t="s">
        <v>154</v>
      </c>
    </row>
    <row r="545" spans="1:14" x14ac:dyDescent="0.25">
      <c r="A545" t="s">
        <v>4736</v>
      </c>
      <c r="B545" t="s">
        <v>6233</v>
      </c>
      <c r="C545" t="s">
        <v>5115</v>
      </c>
      <c r="D545" s="20">
        <v>30687</v>
      </c>
      <c r="E545">
        <v>9423041202</v>
      </c>
      <c r="F545" t="s">
        <v>6234</v>
      </c>
      <c r="G545" t="s">
        <v>5276</v>
      </c>
      <c r="H545" t="s">
        <v>5118</v>
      </c>
      <c r="I545" t="s">
        <v>40</v>
      </c>
      <c r="J545" t="s">
        <v>39</v>
      </c>
      <c r="K545" s="20">
        <v>44602</v>
      </c>
      <c r="L545" t="s">
        <v>5127</v>
      </c>
      <c r="M545" t="s">
        <v>154</v>
      </c>
      <c r="N545" t="s">
        <v>154</v>
      </c>
    </row>
    <row r="546" spans="1:14" x14ac:dyDescent="0.25">
      <c r="A546" t="s">
        <v>2761</v>
      </c>
      <c r="B546" t="s">
        <v>6235</v>
      </c>
      <c r="C546" t="s">
        <v>5090</v>
      </c>
      <c r="D546" s="20">
        <v>29671</v>
      </c>
      <c r="E546">
        <v>9402990716</v>
      </c>
      <c r="F546" t="s">
        <v>6236</v>
      </c>
      <c r="G546" t="s">
        <v>5243</v>
      </c>
      <c r="H546" t="s">
        <v>5112</v>
      </c>
      <c r="I546" t="s">
        <v>38</v>
      </c>
      <c r="J546" t="s">
        <v>39</v>
      </c>
      <c r="K546" s="20">
        <v>45384</v>
      </c>
      <c r="L546" t="s">
        <v>5137</v>
      </c>
      <c r="M546" t="s">
        <v>154</v>
      </c>
      <c r="N546" t="s">
        <v>154</v>
      </c>
    </row>
    <row r="547" spans="1:14" x14ac:dyDescent="0.25">
      <c r="A547" t="s">
        <v>1013</v>
      </c>
      <c r="B547" t="s">
        <v>6237</v>
      </c>
      <c r="C547" t="s">
        <v>5090</v>
      </c>
      <c r="D547" s="20">
        <v>27481</v>
      </c>
      <c r="E547">
        <v>9554203403</v>
      </c>
      <c r="F547" t="s">
        <v>6238</v>
      </c>
      <c r="G547" t="s">
        <v>5238</v>
      </c>
      <c r="H547" t="s">
        <v>5093</v>
      </c>
      <c r="I547" t="s">
        <v>40</v>
      </c>
      <c r="J547" t="s">
        <v>44</v>
      </c>
      <c r="K547" s="20">
        <v>45276</v>
      </c>
      <c r="L547" t="s">
        <v>5211</v>
      </c>
      <c r="M547" t="s">
        <v>154</v>
      </c>
      <c r="N547" t="s">
        <v>154</v>
      </c>
    </row>
    <row r="548" spans="1:14" x14ac:dyDescent="0.25">
      <c r="A548" t="s">
        <v>2310</v>
      </c>
      <c r="B548" t="s">
        <v>6239</v>
      </c>
      <c r="C548" t="s">
        <v>5115</v>
      </c>
      <c r="D548" s="20">
        <v>31875</v>
      </c>
      <c r="E548">
        <v>9491579554</v>
      </c>
      <c r="F548" t="s">
        <v>6240</v>
      </c>
      <c r="G548" t="s">
        <v>5177</v>
      </c>
      <c r="H548" t="s">
        <v>5112</v>
      </c>
      <c r="I548" t="s">
        <v>38</v>
      </c>
      <c r="J548" t="s">
        <v>41</v>
      </c>
      <c r="K548" s="20">
        <v>44610</v>
      </c>
      <c r="L548" t="s">
        <v>5131</v>
      </c>
      <c r="M548" t="s">
        <v>154</v>
      </c>
      <c r="N548" t="s">
        <v>154</v>
      </c>
    </row>
    <row r="549" spans="1:14" x14ac:dyDescent="0.25">
      <c r="A549" t="s">
        <v>4015</v>
      </c>
      <c r="B549" t="s">
        <v>6241</v>
      </c>
      <c r="C549" t="s">
        <v>5090</v>
      </c>
      <c r="D549" s="20">
        <v>31600</v>
      </c>
      <c r="E549">
        <v>9601080181</v>
      </c>
      <c r="F549" t="s">
        <v>6242</v>
      </c>
      <c r="G549" t="s">
        <v>5142</v>
      </c>
      <c r="H549" t="s">
        <v>5103</v>
      </c>
      <c r="I549" t="s">
        <v>38</v>
      </c>
      <c r="J549" t="s">
        <v>44</v>
      </c>
      <c r="K549" s="20">
        <v>44129</v>
      </c>
      <c r="L549" t="s">
        <v>5146</v>
      </c>
      <c r="M549" t="s">
        <v>154</v>
      </c>
      <c r="N549" t="s">
        <v>154</v>
      </c>
    </row>
    <row r="550" spans="1:14" x14ac:dyDescent="0.25">
      <c r="A550" t="s">
        <v>3311</v>
      </c>
      <c r="B550" t="s">
        <v>6243</v>
      </c>
      <c r="C550" t="s">
        <v>5115</v>
      </c>
      <c r="D550" s="20">
        <v>27508</v>
      </c>
      <c r="E550">
        <v>9268080815</v>
      </c>
      <c r="F550" t="s">
        <v>6244</v>
      </c>
      <c r="G550" t="s">
        <v>5102</v>
      </c>
      <c r="H550" t="s">
        <v>5103</v>
      </c>
      <c r="I550" t="s">
        <v>38</v>
      </c>
      <c r="J550" t="s">
        <v>39</v>
      </c>
      <c r="K550" s="20">
        <v>43469</v>
      </c>
      <c r="L550" t="s">
        <v>5137</v>
      </c>
      <c r="M550" t="s">
        <v>154</v>
      </c>
      <c r="N550" t="s">
        <v>154</v>
      </c>
    </row>
    <row r="551" spans="1:14" x14ac:dyDescent="0.25">
      <c r="A551" t="s">
        <v>1207</v>
      </c>
      <c r="B551" t="s">
        <v>6245</v>
      </c>
      <c r="C551" t="s">
        <v>5115</v>
      </c>
      <c r="D551" s="20">
        <v>29358</v>
      </c>
      <c r="E551">
        <v>9671307351</v>
      </c>
      <c r="F551" t="s">
        <v>6246</v>
      </c>
      <c r="G551" t="s">
        <v>5102</v>
      </c>
      <c r="H551" t="s">
        <v>5103</v>
      </c>
      <c r="I551" t="s">
        <v>38</v>
      </c>
      <c r="J551" t="s">
        <v>43</v>
      </c>
      <c r="K551" s="20">
        <v>45183</v>
      </c>
      <c r="L551" t="s">
        <v>5123</v>
      </c>
      <c r="M551" t="s">
        <v>154</v>
      </c>
      <c r="N551" t="s">
        <v>154</v>
      </c>
    </row>
    <row r="552" spans="1:14" x14ac:dyDescent="0.25">
      <c r="A552" t="s">
        <v>3340</v>
      </c>
      <c r="B552" t="s">
        <v>6247</v>
      </c>
      <c r="C552" t="s">
        <v>5090</v>
      </c>
      <c r="D552" s="20">
        <v>32437</v>
      </c>
      <c r="E552">
        <v>9130096258</v>
      </c>
      <c r="F552" t="s">
        <v>6248</v>
      </c>
      <c r="G552" t="s">
        <v>5117</v>
      </c>
      <c r="H552" t="s">
        <v>5118</v>
      </c>
      <c r="I552" t="s">
        <v>40</v>
      </c>
      <c r="J552" t="s">
        <v>39</v>
      </c>
      <c r="K552" s="20">
        <v>44741</v>
      </c>
      <c r="L552" t="s">
        <v>5165</v>
      </c>
      <c r="M552" t="s">
        <v>154</v>
      </c>
      <c r="N552" t="s">
        <v>154</v>
      </c>
    </row>
    <row r="553" spans="1:14" x14ac:dyDescent="0.25">
      <c r="A553" t="s">
        <v>347</v>
      </c>
      <c r="B553" t="s">
        <v>6249</v>
      </c>
      <c r="C553" t="s">
        <v>5090</v>
      </c>
      <c r="D553" s="20">
        <v>35267</v>
      </c>
      <c r="E553">
        <v>9180533962</v>
      </c>
      <c r="F553" t="s">
        <v>6250</v>
      </c>
      <c r="G553" t="s">
        <v>5292</v>
      </c>
      <c r="H553" t="s">
        <v>5098</v>
      </c>
      <c r="I553" t="s">
        <v>42</v>
      </c>
      <c r="J553" t="s">
        <v>43</v>
      </c>
      <c r="K553" s="20">
        <v>43222</v>
      </c>
      <c r="L553" t="s">
        <v>5208</v>
      </c>
      <c r="M553" t="s">
        <v>154</v>
      </c>
      <c r="N553" t="s">
        <v>154</v>
      </c>
    </row>
    <row r="554" spans="1:14" x14ac:dyDescent="0.25">
      <c r="A554" t="s">
        <v>2366</v>
      </c>
      <c r="B554" t="s">
        <v>6132</v>
      </c>
      <c r="C554" t="s">
        <v>5090</v>
      </c>
      <c r="D554" s="20">
        <v>30899</v>
      </c>
      <c r="E554">
        <v>9327000466</v>
      </c>
      <c r="F554" t="s">
        <v>6251</v>
      </c>
      <c r="G554" t="s">
        <v>5122</v>
      </c>
      <c r="H554" t="s">
        <v>5093</v>
      </c>
      <c r="I554" t="s">
        <v>40</v>
      </c>
      <c r="J554" t="s">
        <v>39</v>
      </c>
      <c r="K554" s="20">
        <v>43363</v>
      </c>
      <c r="L554" t="s">
        <v>5186</v>
      </c>
      <c r="M554" t="s">
        <v>154</v>
      </c>
      <c r="N554" t="s">
        <v>154</v>
      </c>
    </row>
    <row r="555" spans="1:14" x14ac:dyDescent="0.25">
      <c r="A555" t="s">
        <v>371</v>
      </c>
      <c r="B555" t="s">
        <v>6252</v>
      </c>
      <c r="C555" t="s">
        <v>5115</v>
      </c>
      <c r="D555" s="20">
        <v>24151</v>
      </c>
      <c r="E555">
        <v>9714004938</v>
      </c>
      <c r="F555" t="s">
        <v>6253</v>
      </c>
      <c r="G555" t="s">
        <v>5171</v>
      </c>
      <c r="H555" t="s">
        <v>5103</v>
      </c>
      <c r="I555" t="s">
        <v>38</v>
      </c>
      <c r="J555" t="s">
        <v>43</v>
      </c>
      <c r="K555" s="20">
        <v>45511</v>
      </c>
      <c r="L555" t="s">
        <v>5137</v>
      </c>
      <c r="M555" t="s">
        <v>154</v>
      </c>
      <c r="N555" t="s">
        <v>154</v>
      </c>
    </row>
    <row r="556" spans="1:14" x14ac:dyDescent="0.25">
      <c r="A556" t="s">
        <v>3006</v>
      </c>
      <c r="B556" t="s">
        <v>6254</v>
      </c>
      <c r="C556" t="s">
        <v>5115</v>
      </c>
      <c r="D556" s="20">
        <v>23792</v>
      </c>
      <c r="E556">
        <v>9204998094</v>
      </c>
      <c r="F556" t="s">
        <v>6255</v>
      </c>
      <c r="G556" t="s">
        <v>5331</v>
      </c>
      <c r="H556" t="s">
        <v>5118</v>
      </c>
      <c r="I556" t="s">
        <v>40</v>
      </c>
      <c r="J556" t="s">
        <v>44</v>
      </c>
      <c r="K556" s="20">
        <v>43370</v>
      </c>
      <c r="L556" t="s">
        <v>5168</v>
      </c>
      <c r="M556" t="s">
        <v>154</v>
      </c>
      <c r="N556" t="s">
        <v>154</v>
      </c>
    </row>
    <row r="557" spans="1:14" x14ac:dyDescent="0.25">
      <c r="A557" t="s">
        <v>4623</v>
      </c>
      <c r="B557" t="s">
        <v>6256</v>
      </c>
      <c r="C557" t="s">
        <v>5090</v>
      </c>
      <c r="D557" s="20">
        <v>32413</v>
      </c>
      <c r="E557">
        <v>9797166984</v>
      </c>
      <c r="F557" t="s">
        <v>6257</v>
      </c>
      <c r="G557" t="s">
        <v>5097</v>
      </c>
      <c r="H557" t="s">
        <v>5098</v>
      </c>
      <c r="I557" t="s">
        <v>42</v>
      </c>
      <c r="J557" t="s">
        <v>43</v>
      </c>
      <c r="K557" s="20">
        <v>43367</v>
      </c>
      <c r="L557" t="s">
        <v>5208</v>
      </c>
      <c r="M557" t="s">
        <v>154</v>
      </c>
      <c r="N557" t="s">
        <v>154</v>
      </c>
    </row>
    <row r="558" spans="1:14" x14ac:dyDescent="0.25">
      <c r="A558" t="s">
        <v>2917</v>
      </c>
      <c r="B558" t="s">
        <v>6258</v>
      </c>
      <c r="C558" t="s">
        <v>5115</v>
      </c>
      <c r="D558" s="20">
        <v>26175</v>
      </c>
      <c r="E558">
        <v>9794332562</v>
      </c>
      <c r="F558" t="s">
        <v>6259</v>
      </c>
      <c r="G558" t="s">
        <v>5196</v>
      </c>
      <c r="H558" t="s">
        <v>5093</v>
      </c>
      <c r="I558" t="s">
        <v>40</v>
      </c>
      <c r="J558" t="s">
        <v>43</v>
      </c>
      <c r="K558" s="20">
        <v>43302</v>
      </c>
      <c r="L558" t="s">
        <v>5137</v>
      </c>
      <c r="M558" t="s">
        <v>154</v>
      </c>
      <c r="N558" t="s">
        <v>154</v>
      </c>
    </row>
    <row r="559" spans="1:14" x14ac:dyDescent="0.25">
      <c r="A559" t="s">
        <v>826</v>
      </c>
      <c r="B559" t="s">
        <v>6260</v>
      </c>
      <c r="C559" t="s">
        <v>5090</v>
      </c>
      <c r="D559" s="20">
        <v>33493</v>
      </c>
      <c r="E559">
        <v>9701426203</v>
      </c>
      <c r="F559" t="s">
        <v>6261</v>
      </c>
      <c r="G559" t="s">
        <v>5276</v>
      </c>
      <c r="H559" t="s">
        <v>5118</v>
      </c>
      <c r="I559" t="s">
        <v>40</v>
      </c>
      <c r="J559" t="s">
        <v>41</v>
      </c>
      <c r="K559" s="20">
        <v>43567</v>
      </c>
      <c r="L559" t="s">
        <v>5099</v>
      </c>
      <c r="M559" t="s">
        <v>154</v>
      </c>
      <c r="N559" t="s">
        <v>154</v>
      </c>
    </row>
    <row r="560" spans="1:14" x14ac:dyDescent="0.25">
      <c r="A560" t="s">
        <v>1742</v>
      </c>
      <c r="B560" t="s">
        <v>6262</v>
      </c>
      <c r="C560" t="s">
        <v>5115</v>
      </c>
      <c r="D560" s="20">
        <v>37575</v>
      </c>
      <c r="E560">
        <v>9041813599</v>
      </c>
      <c r="F560" t="s">
        <v>6263</v>
      </c>
      <c r="G560" t="s">
        <v>5122</v>
      </c>
      <c r="H560" t="s">
        <v>5093</v>
      </c>
      <c r="I560" t="s">
        <v>40</v>
      </c>
      <c r="J560" t="s">
        <v>43</v>
      </c>
      <c r="K560" s="20">
        <v>43325</v>
      </c>
      <c r="L560" t="s">
        <v>5165</v>
      </c>
      <c r="M560" t="s">
        <v>154</v>
      </c>
      <c r="N560" t="s">
        <v>184</v>
      </c>
    </row>
    <row r="561" spans="1:14" x14ac:dyDescent="0.25">
      <c r="A561" t="s">
        <v>272</v>
      </c>
      <c r="B561" t="s">
        <v>6264</v>
      </c>
      <c r="C561" t="s">
        <v>5090</v>
      </c>
      <c r="D561" s="20">
        <v>38446</v>
      </c>
      <c r="E561">
        <v>9894801864</v>
      </c>
      <c r="F561" t="s">
        <v>6265</v>
      </c>
      <c r="G561" t="s">
        <v>5171</v>
      </c>
      <c r="H561" t="s">
        <v>5103</v>
      </c>
      <c r="I561" t="s">
        <v>38</v>
      </c>
      <c r="J561" t="s">
        <v>44</v>
      </c>
      <c r="K561" s="20">
        <v>43192</v>
      </c>
      <c r="L561" t="s">
        <v>5158</v>
      </c>
      <c r="M561" t="s">
        <v>154</v>
      </c>
      <c r="N561" t="s">
        <v>154</v>
      </c>
    </row>
    <row r="562" spans="1:14" x14ac:dyDescent="0.25">
      <c r="A562" t="s">
        <v>441</v>
      </c>
      <c r="B562" t="s">
        <v>6266</v>
      </c>
      <c r="C562" t="s">
        <v>5090</v>
      </c>
      <c r="D562" s="20">
        <v>31136</v>
      </c>
      <c r="E562">
        <v>9785708200</v>
      </c>
      <c r="F562" t="s">
        <v>6267</v>
      </c>
      <c r="G562" t="s">
        <v>5276</v>
      </c>
      <c r="H562" t="s">
        <v>5118</v>
      </c>
      <c r="I562" t="s">
        <v>40</v>
      </c>
      <c r="J562" t="s">
        <v>39</v>
      </c>
      <c r="K562" s="20">
        <v>44055</v>
      </c>
      <c r="L562" t="s">
        <v>5108</v>
      </c>
      <c r="M562" t="s">
        <v>154</v>
      </c>
      <c r="N562" t="s">
        <v>154</v>
      </c>
    </row>
    <row r="563" spans="1:14" x14ac:dyDescent="0.25">
      <c r="A563" t="s">
        <v>2510</v>
      </c>
      <c r="B563" t="s">
        <v>6268</v>
      </c>
      <c r="C563" t="s">
        <v>5090</v>
      </c>
      <c r="D563" s="20">
        <v>28989</v>
      </c>
      <c r="E563">
        <v>9691496112</v>
      </c>
      <c r="F563" t="s">
        <v>6269</v>
      </c>
      <c r="G563" t="s">
        <v>5097</v>
      </c>
      <c r="H563" t="s">
        <v>5098</v>
      </c>
      <c r="I563" t="s">
        <v>42</v>
      </c>
      <c r="J563" t="s">
        <v>43</v>
      </c>
      <c r="K563" s="20">
        <v>43837</v>
      </c>
      <c r="L563" t="s">
        <v>5208</v>
      </c>
      <c r="M563" t="s">
        <v>154</v>
      </c>
      <c r="N563" t="s">
        <v>154</v>
      </c>
    </row>
    <row r="564" spans="1:14" x14ac:dyDescent="0.25">
      <c r="A564" t="s">
        <v>2253</v>
      </c>
      <c r="B564" t="s">
        <v>6270</v>
      </c>
      <c r="C564" t="s">
        <v>5090</v>
      </c>
      <c r="D564" s="20">
        <v>33571</v>
      </c>
      <c r="E564">
        <v>9697040953</v>
      </c>
      <c r="F564" t="s">
        <v>6271</v>
      </c>
      <c r="G564" t="s">
        <v>5292</v>
      </c>
      <c r="H564" t="s">
        <v>5098</v>
      </c>
      <c r="I564" t="s">
        <v>42</v>
      </c>
      <c r="J564" t="s">
        <v>44</v>
      </c>
      <c r="K564" s="20">
        <v>43717</v>
      </c>
      <c r="L564" t="s">
        <v>5146</v>
      </c>
      <c r="M564" t="s">
        <v>154</v>
      </c>
      <c r="N564" t="s">
        <v>154</v>
      </c>
    </row>
    <row r="565" spans="1:14" x14ac:dyDescent="0.25">
      <c r="A565" t="s">
        <v>904</v>
      </c>
      <c r="B565" t="s">
        <v>6272</v>
      </c>
      <c r="C565" t="s">
        <v>5115</v>
      </c>
      <c r="D565" s="20">
        <v>30681</v>
      </c>
      <c r="E565">
        <v>9327488356</v>
      </c>
      <c r="F565" t="s">
        <v>6273</v>
      </c>
      <c r="G565" t="s">
        <v>5130</v>
      </c>
      <c r="H565" t="s">
        <v>5103</v>
      </c>
      <c r="I565" t="s">
        <v>38</v>
      </c>
      <c r="J565" t="s">
        <v>39</v>
      </c>
      <c r="K565" s="20">
        <v>45125</v>
      </c>
      <c r="L565" t="s">
        <v>5158</v>
      </c>
      <c r="M565" t="s">
        <v>154</v>
      </c>
      <c r="N565" t="s">
        <v>154</v>
      </c>
    </row>
    <row r="566" spans="1:14" x14ac:dyDescent="0.25">
      <c r="A566" t="s">
        <v>260</v>
      </c>
      <c r="B566" t="s">
        <v>6274</v>
      </c>
      <c r="C566" t="s">
        <v>5115</v>
      </c>
      <c r="D566" s="20">
        <v>36815</v>
      </c>
      <c r="E566">
        <v>9649668349</v>
      </c>
      <c r="F566" t="s">
        <v>6275</v>
      </c>
      <c r="G566" t="s">
        <v>5155</v>
      </c>
      <c r="H566" t="s">
        <v>5098</v>
      </c>
      <c r="I566" t="s">
        <v>42</v>
      </c>
      <c r="J566" t="s">
        <v>43</v>
      </c>
      <c r="K566" s="20">
        <v>43286</v>
      </c>
      <c r="L566" t="s">
        <v>5099</v>
      </c>
      <c r="M566" t="s">
        <v>154</v>
      </c>
      <c r="N566" t="s">
        <v>154</v>
      </c>
    </row>
    <row r="567" spans="1:14" x14ac:dyDescent="0.25">
      <c r="A567" t="s">
        <v>2062</v>
      </c>
      <c r="B567" t="s">
        <v>6276</v>
      </c>
      <c r="C567" t="s">
        <v>5115</v>
      </c>
      <c r="D567" s="20">
        <v>28861</v>
      </c>
      <c r="E567">
        <v>9516225936</v>
      </c>
      <c r="F567" t="s">
        <v>6277</v>
      </c>
      <c r="G567" t="s">
        <v>5122</v>
      </c>
      <c r="H567" t="s">
        <v>5093</v>
      </c>
      <c r="I567" t="s">
        <v>40</v>
      </c>
      <c r="J567" t="s">
        <v>39</v>
      </c>
      <c r="K567" s="20">
        <v>43727</v>
      </c>
      <c r="L567" t="s">
        <v>5158</v>
      </c>
      <c r="M567" t="s">
        <v>154</v>
      </c>
      <c r="N567" t="s">
        <v>154</v>
      </c>
    </row>
    <row r="568" spans="1:14" x14ac:dyDescent="0.25">
      <c r="A568" t="s">
        <v>3969</v>
      </c>
      <c r="B568" t="s">
        <v>6278</v>
      </c>
      <c r="C568" t="s">
        <v>5090</v>
      </c>
      <c r="D568" s="20">
        <v>31976</v>
      </c>
      <c r="E568">
        <v>9688390624</v>
      </c>
      <c r="F568" t="s">
        <v>6279</v>
      </c>
      <c r="G568" t="s">
        <v>5177</v>
      </c>
      <c r="H568" t="s">
        <v>5112</v>
      </c>
      <c r="I568" t="s">
        <v>38</v>
      </c>
      <c r="J568" t="s">
        <v>44</v>
      </c>
      <c r="K568" s="20">
        <v>44190</v>
      </c>
      <c r="L568" t="s">
        <v>5158</v>
      </c>
      <c r="M568" t="s">
        <v>154</v>
      </c>
      <c r="N568" t="s">
        <v>154</v>
      </c>
    </row>
    <row r="569" spans="1:14" x14ac:dyDescent="0.25">
      <c r="A569" t="s">
        <v>1708</v>
      </c>
      <c r="B569" t="s">
        <v>6280</v>
      </c>
      <c r="C569" t="s">
        <v>5115</v>
      </c>
      <c r="D569" s="20">
        <v>33605</v>
      </c>
      <c r="E569">
        <v>9141319359</v>
      </c>
      <c r="F569" t="s">
        <v>6281</v>
      </c>
      <c r="G569" t="s">
        <v>5111</v>
      </c>
      <c r="H569" t="s">
        <v>5112</v>
      </c>
      <c r="I569" t="s">
        <v>38</v>
      </c>
      <c r="J569" t="s">
        <v>39</v>
      </c>
      <c r="K569" s="20">
        <v>45653</v>
      </c>
      <c r="L569" t="s">
        <v>5104</v>
      </c>
      <c r="M569" t="s">
        <v>154</v>
      </c>
      <c r="N569" t="s">
        <v>154</v>
      </c>
    </row>
    <row r="570" spans="1:14" x14ac:dyDescent="0.25">
      <c r="A570" t="s">
        <v>818</v>
      </c>
      <c r="B570" t="s">
        <v>6282</v>
      </c>
      <c r="C570" t="s">
        <v>5090</v>
      </c>
      <c r="D570" s="20">
        <v>25511</v>
      </c>
      <c r="E570">
        <v>9523045881</v>
      </c>
      <c r="F570" t="s">
        <v>6283</v>
      </c>
      <c r="G570" t="s">
        <v>5185</v>
      </c>
      <c r="H570" t="s">
        <v>5093</v>
      </c>
      <c r="I570" t="s">
        <v>40</v>
      </c>
      <c r="J570" t="s">
        <v>39</v>
      </c>
      <c r="K570" s="20">
        <v>44770</v>
      </c>
      <c r="L570" t="s">
        <v>5119</v>
      </c>
      <c r="M570" t="s">
        <v>154</v>
      </c>
      <c r="N570" t="s">
        <v>154</v>
      </c>
    </row>
    <row r="571" spans="1:14" x14ac:dyDescent="0.25">
      <c r="A571" t="s">
        <v>4002</v>
      </c>
      <c r="B571" t="s">
        <v>6284</v>
      </c>
      <c r="C571" t="s">
        <v>5115</v>
      </c>
      <c r="D571" s="20">
        <v>29646</v>
      </c>
      <c r="E571">
        <v>9916503440</v>
      </c>
      <c r="F571" t="s">
        <v>6285</v>
      </c>
      <c r="G571" t="s">
        <v>5126</v>
      </c>
      <c r="H571" t="s">
        <v>5118</v>
      </c>
      <c r="I571" t="s">
        <v>40</v>
      </c>
      <c r="J571" t="s">
        <v>39</v>
      </c>
      <c r="K571" s="20">
        <v>44174</v>
      </c>
      <c r="L571" t="s">
        <v>5211</v>
      </c>
      <c r="M571" t="s">
        <v>154</v>
      </c>
      <c r="N571" t="s">
        <v>154</v>
      </c>
    </row>
    <row r="572" spans="1:14" x14ac:dyDescent="0.25">
      <c r="A572" t="s">
        <v>2657</v>
      </c>
      <c r="B572" t="s">
        <v>6286</v>
      </c>
      <c r="C572" t="s">
        <v>5115</v>
      </c>
      <c r="D572" s="20">
        <v>36122</v>
      </c>
      <c r="E572">
        <v>9498980880</v>
      </c>
      <c r="F572" t="s">
        <v>6287</v>
      </c>
      <c r="G572" t="s">
        <v>5097</v>
      </c>
      <c r="H572" t="s">
        <v>5098</v>
      </c>
      <c r="I572" t="s">
        <v>42</v>
      </c>
      <c r="J572" t="s">
        <v>43</v>
      </c>
      <c r="K572" s="20">
        <v>45213</v>
      </c>
      <c r="L572" t="s">
        <v>5182</v>
      </c>
      <c r="M572" t="s">
        <v>154</v>
      </c>
      <c r="N572" t="s">
        <v>154</v>
      </c>
    </row>
    <row r="573" spans="1:14" x14ac:dyDescent="0.25">
      <c r="A573" t="s">
        <v>1927</v>
      </c>
      <c r="B573" t="s">
        <v>6288</v>
      </c>
      <c r="C573" t="s">
        <v>5115</v>
      </c>
      <c r="D573" s="20">
        <v>28191</v>
      </c>
      <c r="E573">
        <v>9359266486</v>
      </c>
      <c r="F573" t="s">
        <v>6289</v>
      </c>
      <c r="G573" t="s">
        <v>5102</v>
      </c>
      <c r="H573" t="s">
        <v>5103</v>
      </c>
      <c r="I573" t="s">
        <v>38</v>
      </c>
      <c r="J573" t="s">
        <v>43</v>
      </c>
      <c r="K573" s="20">
        <v>45218</v>
      </c>
      <c r="L573" t="s">
        <v>5211</v>
      </c>
      <c r="M573" t="s">
        <v>154</v>
      </c>
      <c r="N573" t="s">
        <v>154</v>
      </c>
    </row>
    <row r="574" spans="1:14" x14ac:dyDescent="0.25">
      <c r="A574" t="s">
        <v>2608</v>
      </c>
      <c r="B574" t="s">
        <v>6290</v>
      </c>
      <c r="C574" t="s">
        <v>5090</v>
      </c>
      <c r="D574" s="20">
        <v>30228</v>
      </c>
      <c r="E574">
        <v>9941559450</v>
      </c>
      <c r="F574" t="s">
        <v>6291</v>
      </c>
      <c r="G574" t="s">
        <v>5189</v>
      </c>
      <c r="H574" t="s">
        <v>5112</v>
      </c>
      <c r="I574" t="s">
        <v>38</v>
      </c>
      <c r="J574" t="s">
        <v>39</v>
      </c>
      <c r="K574" s="20">
        <v>45176</v>
      </c>
      <c r="L574" t="s">
        <v>5127</v>
      </c>
      <c r="M574" t="s">
        <v>154</v>
      </c>
      <c r="N574" t="s">
        <v>154</v>
      </c>
    </row>
    <row r="575" spans="1:14" x14ac:dyDescent="0.25">
      <c r="A575" t="s">
        <v>952</v>
      </c>
      <c r="B575" t="s">
        <v>6292</v>
      </c>
      <c r="C575" t="s">
        <v>5115</v>
      </c>
      <c r="D575" s="20">
        <v>34876</v>
      </c>
      <c r="E575">
        <v>9360511716</v>
      </c>
      <c r="F575" t="s">
        <v>6293</v>
      </c>
      <c r="G575" t="s">
        <v>5301</v>
      </c>
      <c r="H575" t="s">
        <v>5093</v>
      </c>
      <c r="I575" t="s">
        <v>40</v>
      </c>
      <c r="J575" t="s">
        <v>44</v>
      </c>
      <c r="K575" s="20">
        <v>45057</v>
      </c>
      <c r="L575" t="s">
        <v>5094</v>
      </c>
      <c r="M575" t="s">
        <v>154</v>
      </c>
      <c r="N575" t="s">
        <v>154</v>
      </c>
    </row>
    <row r="576" spans="1:14" x14ac:dyDescent="0.25">
      <c r="A576" t="s">
        <v>6294</v>
      </c>
      <c r="B576" t="s">
        <v>6295</v>
      </c>
      <c r="C576" t="s">
        <v>5115</v>
      </c>
      <c r="D576" s="20">
        <v>36973</v>
      </c>
      <c r="E576">
        <v>9218945590</v>
      </c>
      <c r="F576" t="s">
        <v>6296</v>
      </c>
      <c r="G576" t="s">
        <v>5155</v>
      </c>
      <c r="H576" t="s">
        <v>5098</v>
      </c>
      <c r="I576" t="s">
        <v>42</v>
      </c>
      <c r="J576" t="s">
        <v>39</v>
      </c>
      <c r="K576" s="20">
        <v>44119</v>
      </c>
      <c r="L576" t="s">
        <v>5131</v>
      </c>
      <c r="M576" t="s">
        <v>154</v>
      </c>
      <c r="N576" t="s">
        <v>154</v>
      </c>
    </row>
    <row r="577" spans="1:14" x14ac:dyDescent="0.25">
      <c r="A577" t="s">
        <v>3434</v>
      </c>
      <c r="B577" t="s">
        <v>6297</v>
      </c>
      <c r="C577" t="s">
        <v>5115</v>
      </c>
      <c r="D577" s="20">
        <v>33477</v>
      </c>
      <c r="E577">
        <v>9942046648</v>
      </c>
      <c r="F577" t="s">
        <v>6298</v>
      </c>
      <c r="G577" t="s">
        <v>5304</v>
      </c>
      <c r="H577" t="s">
        <v>5112</v>
      </c>
      <c r="I577" t="s">
        <v>38</v>
      </c>
      <c r="J577" t="s">
        <v>44</v>
      </c>
      <c r="K577" s="20">
        <v>44324</v>
      </c>
      <c r="L577" t="s">
        <v>5186</v>
      </c>
      <c r="M577" t="s">
        <v>154</v>
      </c>
      <c r="N577" t="s">
        <v>154</v>
      </c>
    </row>
    <row r="578" spans="1:14" x14ac:dyDescent="0.25">
      <c r="A578" t="s">
        <v>1199</v>
      </c>
      <c r="B578" t="s">
        <v>6299</v>
      </c>
      <c r="C578" t="s">
        <v>5115</v>
      </c>
      <c r="D578" s="20">
        <v>24562</v>
      </c>
      <c r="E578">
        <v>9565775809</v>
      </c>
      <c r="F578" t="s">
        <v>6300</v>
      </c>
      <c r="G578" t="s">
        <v>5117</v>
      </c>
      <c r="H578" t="s">
        <v>5118</v>
      </c>
      <c r="I578" t="s">
        <v>40</v>
      </c>
      <c r="J578" t="s">
        <v>43</v>
      </c>
      <c r="K578" s="20">
        <v>43159</v>
      </c>
      <c r="L578" t="s">
        <v>5113</v>
      </c>
      <c r="M578" t="s">
        <v>154</v>
      </c>
      <c r="N578" t="s">
        <v>154</v>
      </c>
    </row>
    <row r="579" spans="1:14" x14ac:dyDescent="0.25">
      <c r="A579" t="s">
        <v>1559</v>
      </c>
      <c r="B579" t="s">
        <v>6301</v>
      </c>
      <c r="C579" t="s">
        <v>5090</v>
      </c>
      <c r="D579" s="20">
        <v>27359</v>
      </c>
      <c r="E579">
        <v>9235466226</v>
      </c>
      <c r="F579" t="s">
        <v>6302</v>
      </c>
      <c r="G579" t="s">
        <v>5384</v>
      </c>
      <c r="H579" t="s">
        <v>5093</v>
      </c>
      <c r="I579" t="s">
        <v>40</v>
      </c>
      <c r="J579" t="s">
        <v>44</v>
      </c>
      <c r="K579" s="20">
        <v>43219</v>
      </c>
      <c r="L579" t="s">
        <v>5131</v>
      </c>
      <c r="M579" t="s">
        <v>154</v>
      </c>
      <c r="N579" t="s">
        <v>154</v>
      </c>
    </row>
    <row r="580" spans="1:14" x14ac:dyDescent="0.25">
      <c r="A580" t="s">
        <v>1403</v>
      </c>
      <c r="B580" t="s">
        <v>6303</v>
      </c>
      <c r="C580" t="s">
        <v>5090</v>
      </c>
      <c r="D580" s="20">
        <v>30239</v>
      </c>
      <c r="E580">
        <v>9062212242</v>
      </c>
      <c r="F580" t="s">
        <v>6304</v>
      </c>
      <c r="G580" t="s">
        <v>5276</v>
      </c>
      <c r="H580" t="s">
        <v>5118</v>
      </c>
      <c r="I580" t="s">
        <v>40</v>
      </c>
      <c r="J580" t="s">
        <v>41</v>
      </c>
      <c r="K580" s="20">
        <v>44038</v>
      </c>
      <c r="L580" t="s">
        <v>5123</v>
      </c>
      <c r="M580" t="s">
        <v>154</v>
      </c>
      <c r="N580" t="s">
        <v>154</v>
      </c>
    </row>
    <row r="581" spans="1:14" x14ac:dyDescent="0.25">
      <c r="A581" t="s">
        <v>3170</v>
      </c>
      <c r="B581" t="s">
        <v>6305</v>
      </c>
      <c r="C581" t="s">
        <v>5115</v>
      </c>
      <c r="D581" s="20">
        <v>28832</v>
      </c>
      <c r="E581">
        <v>9601124115</v>
      </c>
      <c r="F581" t="s">
        <v>6306</v>
      </c>
      <c r="G581" t="s">
        <v>5155</v>
      </c>
      <c r="H581" t="s">
        <v>5098</v>
      </c>
      <c r="I581" t="s">
        <v>42</v>
      </c>
      <c r="J581" t="s">
        <v>44</v>
      </c>
      <c r="K581" s="20">
        <v>45612</v>
      </c>
      <c r="L581" t="s">
        <v>5104</v>
      </c>
      <c r="M581" t="s">
        <v>154</v>
      </c>
      <c r="N581" t="s">
        <v>154</v>
      </c>
    </row>
    <row r="582" spans="1:14" x14ac:dyDescent="0.25">
      <c r="A582" t="s">
        <v>6307</v>
      </c>
      <c r="B582" t="s">
        <v>6308</v>
      </c>
      <c r="C582" t="s">
        <v>5090</v>
      </c>
      <c r="D582" s="20">
        <v>36799</v>
      </c>
      <c r="E582">
        <v>9801798677</v>
      </c>
      <c r="F582" t="s">
        <v>6309</v>
      </c>
      <c r="G582" t="s">
        <v>5271</v>
      </c>
      <c r="H582" t="s">
        <v>5112</v>
      </c>
      <c r="I582" t="s">
        <v>38</v>
      </c>
      <c r="J582" t="s">
        <v>39</v>
      </c>
      <c r="K582" s="20">
        <v>43346</v>
      </c>
      <c r="L582" t="s">
        <v>5119</v>
      </c>
      <c r="M582" t="s">
        <v>154</v>
      </c>
      <c r="N582" t="s">
        <v>154</v>
      </c>
    </row>
    <row r="583" spans="1:14" x14ac:dyDescent="0.25">
      <c r="A583" t="s">
        <v>1605</v>
      </c>
      <c r="B583" t="s">
        <v>6310</v>
      </c>
      <c r="C583" t="s">
        <v>5115</v>
      </c>
      <c r="D583" s="20">
        <v>33210</v>
      </c>
      <c r="E583">
        <v>9726426121</v>
      </c>
      <c r="F583" t="s">
        <v>6311</v>
      </c>
      <c r="G583" t="s">
        <v>5304</v>
      </c>
      <c r="H583" t="s">
        <v>5112</v>
      </c>
      <c r="I583" t="s">
        <v>38</v>
      </c>
      <c r="J583" t="s">
        <v>39</v>
      </c>
      <c r="K583" s="20">
        <v>43156</v>
      </c>
      <c r="L583" t="s">
        <v>5152</v>
      </c>
      <c r="M583" t="s">
        <v>154</v>
      </c>
      <c r="N583" t="s">
        <v>154</v>
      </c>
    </row>
    <row r="584" spans="1:14" x14ac:dyDescent="0.25">
      <c r="A584" t="s">
        <v>480</v>
      </c>
      <c r="B584" t="s">
        <v>6312</v>
      </c>
      <c r="C584" t="s">
        <v>5115</v>
      </c>
      <c r="D584" s="20">
        <v>27491</v>
      </c>
      <c r="E584">
        <v>9680785254</v>
      </c>
      <c r="F584" t="s">
        <v>6313</v>
      </c>
      <c r="G584" t="s">
        <v>5145</v>
      </c>
      <c r="H584" t="s">
        <v>5098</v>
      </c>
      <c r="I584" t="s">
        <v>42</v>
      </c>
      <c r="J584" t="s">
        <v>43</v>
      </c>
      <c r="K584" s="20">
        <v>44517</v>
      </c>
      <c r="L584" t="s">
        <v>5108</v>
      </c>
      <c r="M584" t="s">
        <v>154</v>
      </c>
      <c r="N584" t="s">
        <v>154</v>
      </c>
    </row>
    <row r="585" spans="1:14" x14ac:dyDescent="0.25">
      <c r="A585" t="s">
        <v>316</v>
      </c>
      <c r="B585" t="s">
        <v>6314</v>
      </c>
      <c r="C585" t="s">
        <v>5115</v>
      </c>
      <c r="D585" s="20">
        <v>34748</v>
      </c>
      <c r="E585">
        <v>9454006445</v>
      </c>
      <c r="F585" t="s">
        <v>6315</v>
      </c>
      <c r="G585" t="s">
        <v>5271</v>
      </c>
      <c r="H585" t="s">
        <v>5112</v>
      </c>
      <c r="I585" t="s">
        <v>38</v>
      </c>
      <c r="J585" t="s">
        <v>44</v>
      </c>
      <c r="K585" s="20">
        <v>45163</v>
      </c>
      <c r="L585" t="s">
        <v>5168</v>
      </c>
      <c r="M585" t="s">
        <v>154</v>
      </c>
      <c r="N585" t="s">
        <v>154</v>
      </c>
    </row>
    <row r="586" spans="1:14" x14ac:dyDescent="0.25">
      <c r="A586" t="s">
        <v>2559</v>
      </c>
      <c r="B586" t="s">
        <v>6316</v>
      </c>
      <c r="C586" t="s">
        <v>5090</v>
      </c>
      <c r="D586" s="20">
        <v>37994</v>
      </c>
      <c r="E586">
        <v>9748979177</v>
      </c>
      <c r="F586" t="s">
        <v>6317</v>
      </c>
      <c r="G586" t="s">
        <v>5122</v>
      </c>
      <c r="H586" t="s">
        <v>5093</v>
      </c>
      <c r="I586" t="s">
        <v>40</v>
      </c>
      <c r="J586" t="s">
        <v>43</v>
      </c>
      <c r="K586" s="20">
        <v>43893</v>
      </c>
      <c r="L586" t="s">
        <v>5182</v>
      </c>
      <c r="M586" t="s">
        <v>154</v>
      </c>
      <c r="N586" t="s">
        <v>154</v>
      </c>
    </row>
    <row r="587" spans="1:14" x14ac:dyDescent="0.25">
      <c r="A587" t="s">
        <v>2154</v>
      </c>
      <c r="B587" t="s">
        <v>6318</v>
      </c>
      <c r="C587" t="s">
        <v>5090</v>
      </c>
      <c r="D587" s="20">
        <v>34311</v>
      </c>
      <c r="E587">
        <v>9862175080</v>
      </c>
      <c r="F587" t="s">
        <v>6319</v>
      </c>
      <c r="G587" t="s">
        <v>5196</v>
      </c>
      <c r="H587" t="s">
        <v>5093</v>
      </c>
      <c r="I587" t="s">
        <v>40</v>
      </c>
      <c r="J587" t="s">
        <v>43</v>
      </c>
      <c r="K587" s="20">
        <v>43885</v>
      </c>
      <c r="L587" t="s">
        <v>5158</v>
      </c>
      <c r="M587" t="s">
        <v>154</v>
      </c>
      <c r="N587" t="s">
        <v>154</v>
      </c>
    </row>
    <row r="588" spans="1:14" x14ac:dyDescent="0.25">
      <c r="A588" t="s">
        <v>1621</v>
      </c>
      <c r="B588" t="s">
        <v>6320</v>
      </c>
      <c r="C588" t="s">
        <v>5090</v>
      </c>
      <c r="D588" s="20">
        <v>37287</v>
      </c>
      <c r="E588">
        <v>9069358824</v>
      </c>
      <c r="F588" t="s">
        <v>6321</v>
      </c>
      <c r="G588" t="s">
        <v>5369</v>
      </c>
      <c r="H588" t="s">
        <v>5103</v>
      </c>
      <c r="I588" t="s">
        <v>38</v>
      </c>
      <c r="J588" t="s">
        <v>39</v>
      </c>
      <c r="K588" s="20">
        <v>45703</v>
      </c>
      <c r="L588" t="s">
        <v>5208</v>
      </c>
      <c r="M588" t="s">
        <v>154</v>
      </c>
      <c r="N588" t="s">
        <v>154</v>
      </c>
    </row>
    <row r="589" spans="1:14" x14ac:dyDescent="0.25">
      <c r="A589" t="s">
        <v>1406</v>
      </c>
      <c r="B589" t="s">
        <v>6322</v>
      </c>
      <c r="C589" t="s">
        <v>5090</v>
      </c>
      <c r="D589" s="20">
        <v>38178</v>
      </c>
      <c r="E589">
        <v>9816778481</v>
      </c>
      <c r="F589" t="s">
        <v>6323</v>
      </c>
      <c r="G589" t="s">
        <v>5201</v>
      </c>
      <c r="H589" t="s">
        <v>5118</v>
      </c>
      <c r="I589" t="s">
        <v>40</v>
      </c>
      <c r="J589" t="s">
        <v>43</v>
      </c>
      <c r="K589" s="20">
        <v>45699</v>
      </c>
      <c r="L589" t="s">
        <v>5211</v>
      </c>
      <c r="M589" t="s">
        <v>154</v>
      </c>
      <c r="N589" t="s">
        <v>154</v>
      </c>
    </row>
    <row r="590" spans="1:14" x14ac:dyDescent="0.25">
      <c r="A590" t="s">
        <v>2172</v>
      </c>
      <c r="B590" t="s">
        <v>6324</v>
      </c>
      <c r="C590" t="s">
        <v>5115</v>
      </c>
      <c r="D590" s="20">
        <v>27906</v>
      </c>
      <c r="E590">
        <v>9838517993</v>
      </c>
      <c r="F590" t="s">
        <v>6325</v>
      </c>
      <c r="G590" t="s">
        <v>5126</v>
      </c>
      <c r="H590" t="s">
        <v>5118</v>
      </c>
      <c r="I590" t="s">
        <v>40</v>
      </c>
      <c r="J590" t="s">
        <v>43</v>
      </c>
      <c r="K590" s="20">
        <v>44852</v>
      </c>
      <c r="L590" t="s">
        <v>5123</v>
      </c>
      <c r="M590" t="s">
        <v>154</v>
      </c>
      <c r="N590" t="s">
        <v>154</v>
      </c>
    </row>
    <row r="591" spans="1:14" x14ac:dyDescent="0.25">
      <c r="A591" t="s">
        <v>2671</v>
      </c>
      <c r="B591" t="s">
        <v>6326</v>
      </c>
      <c r="C591" t="s">
        <v>5090</v>
      </c>
      <c r="D591" s="20">
        <v>34258</v>
      </c>
      <c r="E591">
        <v>9878848699</v>
      </c>
      <c r="F591" t="s">
        <v>6327</v>
      </c>
      <c r="G591" t="s">
        <v>5331</v>
      </c>
      <c r="H591" t="s">
        <v>5118</v>
      </c>
      <c r="I591" t="s">
        <v>40</v>
      </c>
      <c r="J591" t="s">
        <v>41</v>
      </c>
      <c r="K591" s="20">
        <v>43606</v>
      </c>
      <c r="L591" t="s">
        <v>5182</v>
      </c>
      <c r="M591" t="s">
        <v>154</v>
      </c>
      <c r="N591" t="s">
        <v>154</v>
      </c>
    </row>
    <row r="592" spans="1:14" x14ac:dyDescent="0.25">
      <c r="A592" t="s">
        <v>1124</v>
      </c>
      <c r="B592" t="s">
        <v>6328</v>
      </c>
      <c r="C592" t="s">
        <v>5115</v>
      </c>
      <c r="D592" s="20">
        <v>36463</v>
      </c>
      <c r="E592">
        <v>9927147246</v>
      </c>
      <c r="F592" t="s">
        <v>6329</v>
      </c>
      <c r="G592" t="s">
        <v>5301</v>
      </c>
      <c r="H592" t="s">
        <v>5093</v>
      </c>
      <c r="I592" t="s">
        <v>40</v>
      </c>
      <c r="J592" t="s">
        <v>39</v>
      </c>
      <c r="K592" s="20">
        <v>44389</v>
      </c>
      <c r="L592" t="s">
        <v>5137</v>
      </c>
      <c r="M592" t="s">
        <v>154</v>
      </c>
      <c r="N592" t="s">
        <v>154</v>
      </c>
    </row>
    <row r="593" spans="1:14" x14ac:dyDescent="0.25">
      <c r="A593" t="s">
        <v>1183</v>
      </c>
      <c r="B593" t="s">
        <v>6330</v>
      </c>
      <c r="C593" t="s">
        <v>5115</v>
      </c>
      <c r="D593" s="20">
        <v>32597</v>
      </c>
      <c r="E593">
        <v>9383972833</v>
      </c>
      <c r="F593" t="s">
        <v>6331</v>
      </c>
      <c r="G593" t="s">
        <v>5097</v>
      </c>
      <c r="H593" t="s">
        <v>5098</v>
      </c>
      <c r="I593" t="s">
        <v>42</v>
      </c>
      <c r="J593" t="s">
        <v>43</v>
      </c>
      <c r="K593" s="20">
        <v>44197</v>
      </c>
      <c r="L593" t="s">
        <v>5182</v>
      </c>
      <c r="M593" t="s">
        <v>154</v>
      </c>
      <c r="N593" t="s">
        <v>154</v>
      </c>
    </row>
    <row r="594" spans="1:14" x14ac:dyDescent="0.25">
      <c r="A594" t="s">
        <v>946</v>
      </c>
      <c r="B594" t="s">
        <v>5822</v>
      </c>
      <c r="C594" t="s">
        <v>5090</v>
      </c>
      <c r="D594" s="20">
        <v>34328</v>
      </c>
      <c r="E594">
        <v>9328809832</v>
      </c>
      <c r="F594" t="s">
        <v>6332</v>
      </c>
      <c r="G594" t="s">
        <v>5181</v>
      </c>
      <c r="H594" t="s">
        <v>5112</v>
      </c>
      <c r="I594" t="s">
        <v>38</v>
      </c>
      <c r="J594" t="s">
        <v>43</v>
      </c>
      <c r="K594" s="20">
        <v>43744</v>
      </c>
      <c r="L594" t="s">
        <v>5108</v>
      </c>
      <c r="M594" t="s">
        <v>154</v>
      </c>
      <c r="N594" t="s">
        <v>154</v>
      </c>
    </row>
    <row r="595" spans="1:14" x14ac:dyDescent="0.25">
      <c r="A595" t="s">
        <v>4360</v>
      </c>
      <c r="B595" t="s">
        <v>6333</v>
      </c>
      <c r="C595" t="s">
        <v>5115</v>
      </c>
      <c r="D595" s="20">
        <v>26775</v>
      </c>
      <c r="E595">
        <v>9867661008</v>
      </c>
      <c r="F595" t="s">
        <v>6334</v>
      </c>
      <c r="G595" t="s">
        <v>5238</v>
      </c>
      <c r="H595" t="s">
        <v>5093</v>
      </c>
      <c r="I595" t="s">
        <v>40</v>
      </c>
      <c r="J595" t="s">
        <v>44</v>
      </c>
      <c r="K595" s="20">
        <v>43167</v>
      </c>
      <c r="L595" t="s">
        <v>5104</v>
      </c>
      <c r="M595" t="s">
        <v>154</v>
      </c>
      <c r="N595" t="s">
        <v>154</v>
      </c>
    </row>
    <row r="596" spans="1:14" x14ac:dyDescent="0.25">
      <c r="A596" t="s">
        <v>582</v>
      </c>
      <c r="B596" t="s">
        <v>6335</v>
      </c>
      <c r="C596" t="s">
        <v>5090</v>
      </c>
      <c r="D596" s="20">
        <v>25736</v>
      </c>
      <c r="E596">
        <v>9561403845</v>
      </c>
      <c r="F596" t="s">
        <v>6336</v>
      </c>
      <c r="G596" t="s">
        <v>5231</v>
      </c>
      <c r="H596" t="s">
        <v>5103</v>
      </c>
      <c r="I596" t="s">
        <v>38</v>
      </c>
      <c r="J596" t="s">
        <v>43</v>
      </c>
      <c r="K596" s="20">
        <v>44311</v>
      </c>
      <c r="L596" t="s">
        <v>5208</v>
      </c>
      <c r="M596" t="s">
        <v>154</v>
      </c>
      <c r="N596" t="s">
        <v>154</v>
      </c>
    </row>
    <row r="597" spans="1:14" x14ac:dyDescent="0.25">
      <c r="A597" t="s">
        <v>1700</v>
      </c>
      <c r="B597" t="s">
        <v>6337</v>
      </c>
      <c r="C597" t="s">
        <v>5090</v>
      </c>
      <c r="D597" s="20">
        <v>32104</v>
      </c>
      <c r="E597">
        <v>9354695100</v>
      </c>
      <c r="F597" t="s">
        <v>6338</v>
      </c>
      <c r="G597" t="s">
        <v>5102</v>
      </c>
      <c r="H597" t="s">
        <v>5103</v>
      </c>
      <c r="I597" t="s">
        <v>38</v>
      </c>
      <c r="J597" t="s">
        <v>43</v>
      </c>
      <c r="K597" s="20">
        <v>45355</v>
      </c>
      <c r="L597" t="s">
        <v>5182</v>
      </c>
      <c r="M597" t="s">
        <v>154</v>
      </c>
      <c r="N597" t="s">
        <v>154</v>
      </c>
    </row>
    <row r="598" spans="1:14" x14ac:dyDescent="0.25">
      <c r="A598" t="s">
        <v>3820</v>
      </c>
      <c r="B598" t="s">
        <v>6339</v>
      </c>
      <c r="C598" t="s">
        <v>5090</v>
      </c>
      <c r="D598" s="20">
        <v>37428</v>
      </c>
      <c r="E598">
        <v>9967150066</v>
      </c>
      <c r="F598" t="s">
        <v>6340</v>
      </c>
      <c r="G598" t="s">
        <v>5155</v>
      </c>
      <c r="H598" t="s">
        <v>5098</v>
      </c>
      <c r="I598" t="s">
        <v>42</v>
      </c>
      <c r="J598" t="s">
        <v>43</v>
      </c>
      <c r="K598" s="20">
        <v>44243</v>
      </c>
      <c r="L598" t="s">
        <v>5168</v>
      </c>
      <c r="M598" t="s">
        <v>154</v>
      </c>
      <c r="N598" t="s">
        <v>154</v>
      </c>
    </row>
    <row r="599" spans="1:14" x14ac:dyDescent="0.25">
      <c r="A599" t="s">
        <v>2305</v>
      </c>
      <c r="B599" t="s">
        <v>6341</v>
      </c>
      <c r="C599" t="s">
        <v>5115</v>
      </c>
      <c r="D599" s="20">
        <v>23956</v>
      </c>
      <c r="E599">
        <v>9340785169</v>
      </c>
      <c r="F599" t="s">
        <v>6342</v>
      </c>
      <c r="G599" t="s">
        <v>5145</v>
      </c>
      <c r="H599" t="s">
        <v>5098</v>
      </c>
      <c r="I599" t="s">
        <v>42</v>
      </c>
      <c r="J599" t="s">
        <v>43</v>
      </c>
      <c r="K599" s="20">
        <v>43455</v>
      </c>
      <c r="L599" t="s">
        <v>5104</v>
      </c>
      <c r="M599" t="s">
        <v>154</v>
      </c>
      <c r="N599" t="s">
        <v>154</v>
      </c>
    </row>
    <row r="600" spans="1:14" x14ac:dyDescent="0.25">
      <c r="A600" t="s">
        <v>901</v>
      </c>
      <c r="B600" t="s">
        <v>5709</v>
      </c>
      <c r="C600" t="s">
        <v>5115</v>
      </c>
      <c r="D600" s="20">
        <v>32308</v>
      </c>
      <c r="E600">
        <v>9668348268</v>
      </c>
      <c r="F600" t="s">
        <v>6343</v>
      </c>
      <c r="G600" t="s">
        <v>5111</v>
      </c>
      <c r="H600" t="s">
        <v>5112</v>
      </c>
      <c r="I600" t="s">
        <v>38</v>
      </c>
      <c r="J600" t="s">
        <v>39</v>
      </c>
      <c r="K600" s="20">
        <v>45401</v>
      </c>
      <c r="L600" t="s">
        <v>5208</v>
      </c>
      <c r="M600" t="s">
        <v>154</v>
      </c>
      <c r="N600" t="s">
        <v>154</v>
      </c>
    </row>
    <row r="601" spans="1:14" x14ac:dyDescent="0.25">
      <c r="A601" t="s">
        <v>3061</v>
      </c>
      <c r="B601" t="s">
        <v>6344</v>
      </c>
      <c r="C601" t="s">
        <v>5090</v>
      </c>
      <c r="D601" s="20">
        <v>30106</v>
      </c>
      <c r="E601">
        <v>9868889178</v>
      </c>
      <c r="F601" t="s">
        <v>6345</v>
      </c>
      <c r="G601" t="s">
        <v>5181</v>
      </c>
      <c r="H601" t="s">
        <v>5112</v>
      </c>
      <c r="I601" t="s">
        <v>38</v>
      </c>
      <c r="J601" t="s">
        <v>44</v>
      </c>
      <c r="K601" s="20">
        <v>45263</v>
      </c>
      <c r="L601" t="s">
        <v>5178</v>
      </c>
      <c r="M601" t="s">
        <v>154</v>
      </c>
      <c r="N601" t="s">
        <v>154</v>
      </c>
    </row>
    <row r="602" spans="1:14" x14ac:dyDescent="0.25">
      <c r="A602" t="s">
        <v>2122</v>
      </c>
      <c r="B602" t="s">
        <v>6346</v>
      </c>
      <c r="C602" t="s">
        <v>5090</v>
      </c>
      <c r="D602" s="20">
        <v>24244</v>
      </c>
      <c r="E602">
        <v>9197609320</v>
      </c>
      <c r="F602" t="s">
        <v>6347</v>
      </c>
      <c r="G602" t="s">
        <v>5276</v>
      </c>
      <c r="H602" t="s">
        <v>5118</v>
      </c>
      <c r="I602" t="s">
        <v>40</v>
      </c>
      <c r="J602" t="s">
        <v>39</v>
      </c>
      <c r="K602" s="20">
        <v>44587</v>
      </c>
      <c r="L602" t="s">
        <v>5146</v>
      </c>
      <c r="M602" t="s">
        <v>154</v>
      </c>
      <c r="N602" t="s">
        <v>154</v>
      </c>
    </row>
    <row r="603" spans="1:14" x14ac:dyDescent="0.25">
      <c r="A603" t="s">
        <v>834</v>
      </c>
      <c r="B603" t="s">
        <v>6348</v>
      </c>
      <c r="C603" t="s">
        <v>5115</v>
      </c>
      <c r="D603" s="20">
        <v>37657</v>
      </c>
      <c r="E603">
        <v>9041809521</v>
      </c>
      <c r="F603" t="s">
        <v>6349</v>
      </c>
      <c r="G603" t="s">
        <v>5189</v>
      </c>
      <c r="H603" t="s">
        <v>5112</v>
      </c>
      <c r="I603" t="s">
        <v>38</v>
      </c>
      <c r="J603" t="s">
        <v>41</v>
      </c>
      <c r="K603" s="20">
        <v>43866</v>
      </c>
      <c r="L603" t="s">
        <v>5127</v>
      </c>
      <c r="M603" t="s">
        <v>154</v>
      </c>
      <c r="N603" t="s">
        <v>154</v>
      </c>
    </row>
    <row r="604" spans="1:14" x14ac:dyDescent="0.25">
      <c r="A604" t="s">
        <v>3045</v>
      </c>
      <c r="B604" t="s">
        <v>6350</v>
      </c>
      <c r="C604" t="s">
        <v>5115</v>
      </c>
      <c r="D604" s="20">
        <v>25672</v>
      </c>
      <c r="E604">
        <v>9746921188</v>
      </c>
      <c r="F604" t="s">
        <v>6351</v>
      </c>
      <c r="G604" t="s">
        <v>5107</v>
      </c>
      <c r="H604" t="s">
        <v>5098</v>
      </c>
      <c r="I604" t="s">
        <v>42</v>
      </c>
      <c r="J604" t="s">
        <v>39</v>
      </c>
      <c r="K604" s="20">
        <v>43470</v>
      </c>
      <c r="L604" t="s">
        <v>5182</v>
      </c>
      <c r="M604" t="s">
        <v>154</v>
      </c>
      <c r="N604" t="s">
        <v>154</v>
      </c>
    </row>
    <row r="605" spans="1:14" x14ac:dyDescent="0.25">
      <c r="A605" t="s">
        <v>2757</v>
      </c>
      <c r="B605" t="s">
        <v>5217</v>
      </c>
      <c r="C605" t="s">
        <v>5115</v>
      </c>
      <c r="D605" s="20">
        <v>30882</v>
      </c>
      <c r="E605">
        <v>9589170454</v>
      </c>
      <c r="F605" t="s">
        <v>6352</v>
      </c>
      <c r="G605" t="s">
        <v>5331</v>
      </c>
      <c r="H605" t="s">
        <v>5118</v>
      </c>
      <c r="I605" t="s">
        <v>40</v>
      </c>
      <c r="J605" t="s">
        <v>43</v>
      </c>
      <c r="K605" s="20">
        <v>45571</v>
      </c>
      <c r="L605" t="s">
        <v>5137</v>
      </c>
      <c r="M605" t="s">
        <v>154</v>
      </c>
      <c r="N605" t="s">
        <v>154</v>
      </c>
    </row>
    <row r="606" spans="1:14" x14ac:dyDescent="0.25">
      <c r="A606" t="s">
        <v>1067</v>
      </c>
      <c r="B606" t="s">
        <v>6353</v>
      </c>
      <c r="C606" t="s">
        <v>5115</v>
      </c>
      <c r="D606" s="20">
        <v>29851</v>
      </c>
      <c r="E606">
        <v>9092257090</v>
      </c>
      <c r="F606" t="s">
        <v>6354</v>
      </c>
      <c r="G606" t="s">
        <v>5136</v>
      </c>
      <c r="H606" t="s">
        <v>5098</v>
      </c>
      <c r="I606" t="s">
        <v>42</v>
      </c>
      <c r="J606" t="s">
        <v>39</v>
      </c>
      <c r="K606" s="20">
        <v>45172</v>
      </c>
      <c r="L606" t="s">
        <v>5182</v>
      </c>
      <c r="M606" t="s">
        <v>154</v>
      </c>
      <c r="N606" t="s">
        <v>154</v>
      </c>
    </row>
    <row r="607" spans="1:14" x14ac:dyDescent="0.25">
      <c r="A607" t="s">
        <v>1589</v>
      </c>
      <c r="B607" t="s">
        <v>6355</v>
      </c>
      <c r="C607" t="s">
        <v>5115</v>
      </c>
      <c r="D607" s="20">
        <v>38903</v>
      </c>
      <c r="E607">
        <v>9232472828</v>
      </c>
      <c r="F607" t="s">
        <v>6356</v>
      </c>
      <c r="G607" t="s">
        <v>5117</v>
      </c>
      <c r="H607" t="s">
        <v>5118</v>
      </c>
      <c r="I607" t="s">
        <v>40</v>
      </c>
      <c r="J607" t="s">
        <v>43</v>
      </c>
      <c r="K607" s="20">
        <v>43317</v>
      </c>
      <c r="L607" t="s">
        <v>5146</v>
      </c>
      <c r="M607" t="s">
        <v>154</v>
      </c>
      <c r="N607" t="s">
        <v>154</v>
      </c>
    </row>
    <row r="608" spans="1:14" x14ac:dyDescent="0.25">
      <c r="A608" t="s">
        <v>2795</v>
      </c>
      <c r="B608" t="s">
        <v>6357</v>
      </c>
      <c r="C608" t="s">
        <v>5115</v>
      </c>
      <c r="D608" s="20">
        <v>24700</v>
      </c>
      <c r="E608">
        <v>9247312616</v>
      </c>
      <c r="F608" t="s">
        <v>6358</v>
      </c>
      <c r="G608" t="s">
        <v>5102</v>
      </c>
      <c r="H608" t="s">
        <v>5103</v>
      </c>
      <c r="I608" t="s">
        <v>38</v>
      </c>
      <c r="J608" t="s">
        <v>39</v>
      </c>
      <c r="K608" s="20">
        <v>45217</v>
      </c>
      <c r="L608" t="s">
        <v>5165</v>
      </c>
      <c r="M608" t="s">
        <v>154</v>
      </c>
      <c r="N608" t="s">
        <v>154</v>
      </c>
    </row>
    <row r="609" spans="1:14" x14ac:dyDescent="0.25">
      <c r="A609" t="s">
        <v>1913</v>
      </c>
      <c r="B609" t="s">
        <v>6359</v>
      </c>
      <c r="C609" t="s">
        <v>5090</v>
      </c>
      <c r="D609" s="20">
        <v>31631</v>
      </c>
      <c r="E609">
        <v>9119509271</v>
      </c>
      <c r="F609" t="s">
        <v>6360</v>
      </c>
      <c r="G609" t="s">
        <v>5214</v>
      </c>
      <c r="H609" t="s">
        <v>5103</v>
      </c>
      <c r="I609" t="s">
        <v>38</v>
      </c>
      <c r="J609" t="s">
        <v>44</v>
      </c>
      <c r="K609" s="20">
        <v>45404</v>
      </c>
      <c r="L609" t="s">
        <v>5123</v>
      </c>
      <c r="M609" t="s">
        <v>154</v>
      </c>
      <c r="N609" t="s">
        <v>154</v>
      </c>
    </row>
    <row r="610" spans="1:14" x14ac:dyDescent="0.25">
      <c r="A610" t="s">
        <v>2067</v>
      </c>
      <c r="B610" t="s">
        <v>6361</v>
      </c>
      <c r="C610" t="s">
        <v>5115</v>
      </c>
      <c r="D610" s="20">
        <v>35990</v>
      </c>
      <c r="E610">
        <v>9923007169</v>
      </c>
      <c r="F610" t="s">
        <v>6362</v>
      </c>
      <c r="G610" t="s">
        <v>5130</v>
      </c>
      <c r="H610" t="s">
        <v>5103</v>
      </c>
      <c r="I610" t="s">
        <v>38</v>
      </c>
      <c r="J610" t="s">
        <v>43</v>
      </c>
      <c r="K610" s="20">
        <v>44905</v>
      </c>
      <c r="L610" t="s">
        <v>5123</v>
      </c>
      <c r="M610" t="s">
        <v>154</v>
      </c>
      <c r="N610" t="s">
        <v>154</v>
      </c>
    </row>
    <row r="611" spans="1:14" x14ac:dyDescent="0.25">
      <c r="A611" t="s">
        <v>2405</v>
      </c>
      <c r="B611" t="s">
        <v>6363</v>
      </c>
      <c r="C611" t="s">
        <v>5090</v>
      </c>
      <c r="D611" s="20">
        <v>27944</v>
      </c>
      <c r="E611">
        <v>9543298769</v>
      </c>
      <c r="F611" t="s">
        <v>6364</v>
      </c>
      <c r="G611" t="s">
        <v>5231</v>
      </c>
      <c r="H611" t="s">
        <v>5103</v>
      </c>
      <c r="I611" t="s">
        <v>38</v>
      </c>
      <c r="J611" t="s">
        <v>41</v>
      </c>
      <c r="K611" s="20">
        <v>44380</v>
      </c>
      <c r="L611" t="s">
        <v>5158</v>
      </c>
      <c r="M611" t="s">
        <v>154</v>
      </c>
      <c r="N611" t="s">
        <v>154</v>
      </c>
    </row>
    <row r="612" spans="1:14" x14ac:dyDescent="0.25">
      <c r="A612" t="s">
        <v>3030</v>
      </c>
      <c r="B612" t="s">
        <v>6365</v>
      </c>
      <c r="C612" t="s">
        <v>5090</v>
      </c>
      <c r="D612" s="20">
        <v>25897</v>
      </c>
      <c r="E612">
        <v>9619827348</v>
      </c>
      <c r="F612" t="s">
        <v>6366</v>
      </c>
      <c r="G612" t="s">
        <v>5304</v>
      </c>
      <c r="H612" t="s">
        <v>5112</v>
      </c>
      <c r="I612" t="s">
        <v>38</v>
      </c>
      <c r="J612" t="s">
        <v>43</v>
      </c>
      <c r="K612" s="20">
        <v>45035</v>
      </c>
      <c r="L612" t="s">
        <v>5211</v>
      </c>
      <c r="M612" t="s">
        <v>154</v>
      </c>
      <c r="N612" t="s">
        <v>154</v>
      </c>
    </row>
    <row r="613" spans="1:14" x14ac:dyDescent="0.25">
      <c r="A613" t="s">
        <v>6367</v>
      </c>
      <c r="B613" t="s">
        <v>6368</v>
      </c>
      <c r="C613" t="s">
        <v>5115</v>
      </c>
      <c r="D613" s="20">
        <v>27967</v>
      </c>
      <c r="E613">
        <v>9632174357</v>
      </c>
      <c r="F613" t="s">
        <v>6369</v>
      </c>
      <c r="G613" t="s">
        <v>5201</v>
      </c>
      <c r="H613" t="s">
        <v>5118</v>
      </c>
      <c r="I613" t="s">
        <v>40</v>
      </c>
      <c r="J613" t="s">
        <v>43</v>
      </c>
      <c r="K613" s="20">
        <v>45400</v>
      </c>
      <c r="L613" t="s">
        <v>5099</v>
      </c>
      <c r="M613" t="s">
        <v>154</v>
      </c>
      <c r="N613" t="s">
        <v>154</v>
      </c>
    </row>
    <row r="614" spans="1:14" x14ac:dyDescent="0.25">
      <c r="A614" t="s">
        <v>488</v>
      </c>
      <c r="B614" t="s">
        <v>6370</v>
      </c>
      <c r="C614" t="s">
        <v>5090</v>
      </c>
      <c r="D614" s="20">
        <v>38019</v>
      </c>
      <c r="E614">
        <v>9860673983</v>
      </c>
      <c r="F614" t="s">
        <v>6371</v>
      </c>
      <c r="G614" t="s">
        <v>5257</v>
      </c>
      <c r="H614" t="s">
        <v>5093</v>
      </c>
      <c r="I614" t="s">
        <v>40</v>
      </c>
      <c r="J614" t="s">
        <v>39</v>
      </c>
      <c r="K614" s="20">
        <v>44762</v>
      </c>
      <c r="L614" t="s">
        <v>5152</v>
      </c>
      <c r="M614" t="s">
        <v>154</v>
      </c>
      <c r="N614" t="s">
        <v>154</v>
      </c>
    </row>
    <row r="615" spans="1:14" x14ac:dyDescent="0.25">
      <c r="A615" t="s">
        <v>809</v>
      </c>
      <c r="B615" t="s">
        <v>5985</v>
      </c>
      <c r="C615" t="s">
        <v>5090</v>
      </c>
      <c r="D615" s="20">
        <v>26941</v>
      </c>
      <c r="E615">
        <v>9646280550</v>
      </c>
      <c r="F615" t="s">
        <v>6372</v>
      </c>
      <c r="G615" t="s">
        <v>5304</v>
      </c>
      <c r="H615" t="s">
        <v>5112</v>
      </c>
      <c r="I615" t="s">
        <v>38</v>
      </c>
      <c r="J615" t="s">
        <v>44</v>
      </c>
      <c r="K615" s="20">
        <v>44403</v>
      </c>
      <c r="L615" t="s">
        <v>5178</v>
      </c>
      <c r="M615" t="s">
        <v>154</v>
      </c>
      <c r="N615" t="s">
        <v>154</v>
      </c>
    </row>
    <row r="616" spans="1:14" x14ac:dyDescent="0.25">
      <c r="A616" t="s">
        <v>1861</v>
      </c>
      <c r="B616" t="s">
        <v>6373</v>
      </c>
      <c r="C616" t="s">
        <v>5090</v>
      </c>
      <c r="D616" s="20">
        <v>30189</v>
      </c>
      <c r="E616">
        <v>9562392090</v>
      </c>
      <c r="F616" t="s">
        <v>6374</v>
      </c>
      <c r="G616" t="s">
        <v>5117</v>
      </c>
      <c r="H616" t="s">
        <v>5118</v>
      </c>
      <c r="I616" t="s">
        <v>40</v>
      </c>
      <c r="J616" t="s">
        <v>41</v>
      </c>
      <c r="K616" s="20">
        <v>44544</v>
      </c>
      <c r="L616" t="s">
        <v>5104</v>
      </c>
      <c r="M616" t="s">
        <v>154</v>
      </c>
      <c r="N616" t="s">
        <v>154</v>
      </c>
    </row>
    <row r="617" spans="1:14" x14ac:dyDescent="0.25">
      <c r="A617" t="s">
        <v>2807</v>
      </c>
      <c r="B617" t="s">
        <v>6375</v>
      </c>
      <c r="C617" t="s">
        <v>5090</v>
      </c>
      <c r="D617" s="20">
        <v>24439</v>
      </c>
      <c r="E617">
        <v>9131117861</v>
      </c>
      <c r="F617" t="s">
        <v>6376</v>
      </c>
      <c r="G617" t="s">
        <v>5097</v>
      </c>
      <c r="H617" t="s">
        <v>5098</v>
      </c>
      <c r="I617" t="s">
        <v>42</v>
      </c>
      <c r="J617" t="s">
        <v>44</v>
      </c>
      <c r="K617" s="20">
        <v>43213</v>
      </c>
      <c r="L617" t="s">
        <v>5099</v>
      </c>
      <c r="M617" t="s">
        <v>154</v>
      </c>
      <c r="N617" t="s">
        <v>154</v>
      </c>
    </row>
    <row r="618" spans="1:14" x14ac:dyDescent="0.25">
      <c r="A618" t="s">
        <v>3224</v>
      </c>
      <c r="B618" t="s">
        <v>6377</v>
      </c>
      <c r="C618" t="s">
        <v>5090</v>
      </c>
      <c r="D618" s="20">
        <v>29125</v>
      </c>
      <c r="E618">
        <v>9206953541</v>
      </c>
      <c r="F618" t="s">
        <v>6378</v>
      </c>
      <c r="G618" t="s">
        <v>5117</v>
      </c>
      <c r="H618" t="s">
        <v>5118</v>
      </c>
      <c r="I618" t="s">
        <v>40</v>
      </c>
      <c r="J618" t="s">
        <v>44</v>
      </c>
      <c r="K618" s="20">
        <v>43322</v>
      </c>
      <c r="L618" t="s">
        <v>5165</v>
      </c>
      <c r="M618" t="s">
        <v>154</v>
      </c>
      <c r="N618" t="s">
        <v>154</v>
      </c>
    </row>
    <row r="619" spans="1:14" x14ac:dyDescent="0.25">
      <c r="A619" t="s">
        <v>6379</v>
      </c>
      <c r="B619" t="s">
        <v>6380</v>
      </c>
      <c r="C619" t="s">
        <v>5090</v>
      </c>
      <c r="D619" s="20">
        <v>26728</v>
      </c>
      <c r="E619">
        <v>9002601515</v>
      </c>
      <c r="F619" t="s">
        <v>6381</v>
      </c>
      <c r="G619" t="s">
        <v>5145</v>
      </c>
      <c r="H619" t="s">
        <v>5098</v>
      </c>
      <c r="I619" t="s">
        <v>42</v>
      </c>
      <c r="J619" t="s">
        <v>44</v>
      </c>
      <c r="K619" s="20">
        <v>45418</v>
      </c>
      <c r="L619" t="s">
        <v>5094</v>
      </c>
      <c r="M619" t="s">
        <v>154</v>
      </c>
      <c r="N619" t="s">
        <v>154</v>
      </c>
    </row>
    <row r="620" spans="1:14" x14ac:dyDescent="0.25">
      <c r="A620" t="s">
        <v>857</v>
      </c>
      <c r="B620" t="s">
        <v>6382</v>
      </c>
      <c r="C620" t="s">
        <v>5090</v>
      </c>
      <c r="D620" s="20">
        <v>36816</v>
      </c>
      <c r="E620">
        <v>9074071732</v>
      </c>
      <c r="F620" t="s">
        <v>6383</v>
      </c>
      <c r="G620" t="s">
        <v>5304</v>
      </c>
      <c r="H620" t="s">
        <v>5112</v>
      </c>
      <c r="I620" t="s">
        <v>38</v>
      </c>
      <c r="J620" t="s">
        <v>39</v>
      </c>
      <c r="K620" s="20">
        <v>45630</v>
      </c>
      <c r="L620" t="s">
        <v>5168</v>
      </c>
      <c r="M620" t="s">
        <v>154</v>
      </c>
      <c r="N620" t="s">
        <v>154</v>
      </c>
    </row>
    <row r="621" spans="1:14" x14ac:dyDescent="0.25">
      <c r="A621" t="s">
        <v>2534</v>
      </c>
      <c r="B621" t="s">
        <v>6384</v>
      </c>
      <c r="C621" t="s">
        <v>5090</v>
      </c>
      <c r="D621" s="20">
        <v>35347</v>
      </c>
      <c r="E621">
        <v>9100649340</v>
      </c>
      <c r="F621" t="s">
        <v>6385</v>
      </c>
      <c r="G621" t="s">
        <v>5271</v>
      </c>
      <c r="H621" t="s">
        <v>5112</v>
      </c>
      <c r="I621" t="s">
        <v>38</v>
      </c>
      <c r="J621" t="s">
        <v>39</v>
      </c>
      <c r="K621" s="20">
        <v>43215</v>
      </c>
      <c r="L621" t="s">
        <v>5178</v>
      </c>
      <c r="M621" t="s">
        <v>154</v>
      </c>
      <c r="N621" t="s">
        <v>154</v>
      </c>
    </row>
    <row r="622" spans="1:14" x14ac:dyDescent="0.25">
      <c r="A622" t="s">
        <v>1251</v>
      </c>
      <c r="B622" t="s">
        <v>6386</v>
      </c>
      <c r="C622" t="s">
        <v>5090</v>
      </c>
      <c r="D622" s="20">
        <v>28288</v>
      </c>
      <c r="E622">
        <v>9089411849</v>
      </c>
      <c r="F622" t="s">
        <v>6387</v>
      </c>
      <c r="G622" t="s">
        <v>5331</v>
      </c>
      <c r="H622" t="s">
        <v>5118</v>
      </c>
      <c r="I622" t="s">
        <v>40</v>
      </c>
      <c r="J622" t="s">
        <v>44</v>
      </c>
      <c r="K622" s="20">
        <v>43979</v>
      </c>
      <c r="L622" t="s">
        <v>5131</v>
      </c>
      <c r="M622" t="s">
        <v>154</v>
      </c>
      <c r="N622" t="s">
        <v>154</v>
      </c>
    </row>
    <row r="623" spans="1:14" x14ac:dyDescent="0.25">
      <c r="A623" t="s">
        <v>2050</v>
      </c>
      <c r="B623" t="s">
        <v>6388</v>
      </c>
      <c r="C623" t="s">
        <v>5090</v>
      </c>
      <c r="D623" s="20">
        <v>33845</v>
      </c>
      <c r="E623">
        <v>9952056100</v>
      </c>
      <c r="F623" t="s">
        <v>6389</v>
      </c>
      <c r="G623" t="s">
        <v>5384</v>
      </c>
      <c r="H623" t="s">
        <v>5093</v>
      </c>
      <c r="I623" t="s">
        <v>40</v>
      </c>
      <c r="J623" t="s">
        <v>39</v>
      </c>
      <c r="K623" s="20">
        <v>44098</v>
      </c>
      <c r="L623" t="s">
        <v>5094</v>
      </c>
      <c r="M623" t="s">
        <v>154</v>
      </c>
      <c r="N623" t="s">
        <v>154</v>
      </c>
    </row>
    <row r="624" spans="1:14" x14ac:dyDescent="0.25">
      <c r="A624" t="s">
        <v>2776</v>
      </c>
      <c r="B624" t="s">
        <v>6390</v>
      </c>
      <c r="C624" t="s">
        <v>5090</v>
      </c>
      <c r="D624" s="20">
        <v>30260</v>
      </c>
      <c r="E624">
        <v>9186774037</v>
      </c>
      <c r="F624" t="s">
        <v>6391</v>
      </c>
      <c r="G624" t="s">
        <v>5181</v>
      </c>
      <c r="H624" t="s">
        <v>5112</v>
      </c>
      <c r="I624" t="s">
        <v>38</v>
      </c>
      <c r="J624" t="s">
        <v>44</v>
      </c>
      <c r="K624" s="20">
        <v>45343</v>
      </c>
      <c r="L624" t="s">
        <v>5123</v>
      </c>
      <c r="M624" t="s">
        <v>154</v>
      </c>
      <c r="N624" t="s">
        <v>154</v>
      </c>
    </row>
    <row r="625" spans="1:14" x14ac:dyDescent="0.25">
      <c r="A625" t="s">
        <v>1980</v>
      </c>
      <c r="B625" t="s">
        <v>6392</v>
      </c>
      <c r="C625" t="s">
        <v>5115</v>
      </c>
      <c r="D625" s="20">
        <v>34592</v>
      </c>
      <c r="E625">
        <v>9006776255</v>
      </c>
      <c r="F625" t="s">
        <v>6393</v>
      </c>
      <c r="G625" t="s">
        <v>5092</v>
      </c>
      <c r="H625" t="s">
        <v>5093</v>
      </c>
      <c r="I625" t="s">
        <v>40</v>
      </c>
      <c r="J625" t="s">
        <v>39</v>
      </c>
      <c r="K625" s="20">
        <v>44636</v>
      </c>
      <c r="L625" t="s">
        <v>5178</v>
      </c>
      <c r="M625" t="s">
        <v>154</v>
      </c>
      <c r="N625" t="s">
        <v>154</v>
      </c>
    </row>
    <row r="626" spans="1:14" x14ac:dyDescent="0.25">
      <c r="A626" t="s">
        <v>2800</v>
      </c>
      <c r="B626" t="s">
        <v>6394</v>
      </c>
      <c r="C626" t="s">
        <v>5115</v>
      </c>
      <c r="D626" s="20">
        <v>24937</v>
      </c>
      <c r="E626">
        <v>9262417842</v>
      </c>
      <c r="F626" t="s">
        <v>6395</v>
      </c>
      <c r="G626" t="s">
        <v>5155</v>
      </c>
      <c r="H626" t="s">
        <v>5098</v>
      </c>
      <c r="I626" t="s">
        <v>42</v>
      </c>
      <c r="J626" t="s">
        <v>44</v>
      </c>
      <c r="K626" s="20">
        <v>44383</v>
      </c>
      <c r="L626" t="s">
        <v>5152</v>
      </c>
      <c r="M626" t="s">
        <v>154</v>
      </c>
      <c r="N626" t="s">
        <v>154</v>
      </c>
    </row>
    <row r="627" spans="1:14" x14ac:dyDescent="0.25">
      <c r="A627" t="s">
        <v>909</v>
      </c>
      <c r="B627" t="s">
        <v>6396</v>
      </c>
      <c r="C627" t="s">
        <v>5115</v>
      </c>
      <c r="D627" s="20">
        <v>35252</v>
      </c>
      <c r="E627">
        <v>9110090605</v>
      </c>
      <c r="F627" t="s">
        <v>6397</v>
      </c>
      <c r="G627" t="s">
        <v>5185</v>
      </c>
      <c r="H627" t="s">
        <v>5093</v>
      </c>
      <c r="I627" t="s">
        <v>40</v>
      </c>
      <c r="J627" t="s">
        <v>44</v>
      </c>
      <c r="K627" s="20">
        <v>44361</v>
      </c>
      <c r="L627" t="s">
        <v>5168</v>
      </c>
      <c r="M627" t="s">
        <v>154</v>
      </c>
      <c r="N627" t="s">
        <v>154</v>
      </c>
    </row>
    <row r="628" spans="1:14" x14ac:dyDescent="0.25">
      <c r="A628" t="s">
        <v>2201</v>
      </c>
      <c r="B628" t="s">
        <v>6398</v>
      </c>
      <c r="C628" t="s">
        <v>5115</v>
      </c>
      <c r="D628" s="20">
        <v>38710</v>
      </c>
      <c r="E628">
        <v>9116673290</v>
      </c>
      <c r="F628" t="s">
        <v>6399</v>
      </c>
      <c r="G628" t="s">
        <v>5292</v>
      </c>
      <c r="H628" t="s">
        <v>5098</v>
      </c>
      <c r="I628" t="s">
        <v>42</v>
      </c>
      <c r="J628" t="s">
        <v>43</v>
      </c>
      <c r="K628" s="20">
        <v>43158</v>
      </c>
      <c r="L628" t="s">
        <v>5182</v>
      </c>
      <c r="M628" t="s">
        <v>154</v>
      </c>
      <c r="N628" t="s">
        <v>154</v>
      </c>
    </row>
    <row r="629" spans="1:14" x14ac:dyDescent="0.25">
      <c r="A629" t="s">
        <v>2416</v>
      </c>
      <c r="B629" t="s">
        <v>6400</v>
      </c>
      <c r="C629" t="s">
        <v>5090</v>
      </c>
      <c r="D629" s="20">
        <v>29216</v>
      </c>
      <c r="E629">
        <v>9592129964</v>
      </c>
      <c r="F629" t="s">
        <v>6401</v>
      </c>
      <c r="G629" t="s">
        <v>5189</v>
      </c>
      <c r="H629" t="s">
        <v>5112</v>
      </c>
      <c r="I629" t="s">
        <v>38</v>
      </c>
      <c r="J629" t="s">
        <v>44</v>
      </c>
      <c r="K629" s="20">
        <v>45325</v>
      </c>
      <c r="L629" t="s">
        <v>5146</v>
      </c>
      <c r="M629" t="s">
        <v>154</v>
      </c>
      <c r="N629" t="s">
        <v>154</v>
      </c>
    </row>
    <row r="630" spans="1:14" x14ac:dyDescent="0.25">
      <c r="A630" t="s">
        <v>2199</v>
      </c>
      <c r="B630" t="s">
        <v>6402</v>
      </c>
      <c r="C630" t="s">
        <v>5115</v>
      </c>
      <c r="D630" s="20">
        <v>30609</v>
      </c>
      <c r="E630">
        <v>9558214770</v>
      </c>
      <c r="F630" t="s">
        <v>6403</v>
      </c>
      <c r="G630" t="s">
        <v>5301</v>
      </c>
      <c r="H630" t="s">
        <v>5093</v>
      </c>
      <c r="I630" t="s">
        <v>40</v>
      </c>
      <c r="J630" t="s">
        <v>44</v>
      </c>
      <c r="K630" s="20">
        <v>43680</v>
      </c>
      <c r="L630" t="s">
        <v>5146</v>
      </c>
      <c r="M630" t="s">
        <v>154</v>
      </c>
      <c r="N630" t="s">
        <v>154</v>
      </c>
    </row>
    <row r="631" spans="1:14" x14ac:dyDescent="0.25">
      <c r="A631" t="s">
        <v>661</v>
      </c>
      <c r="B631" t="s">
        <v>6404</v>
      </c>
      <c r="C631" t="s">
        <v>5115</v>
      </c>
      <c r="D631" s="20">
        <v>25231</v>
      </c>
      <c r="E631">
        <v>9236219215</v>
      </c>
      <c r="F631" t="s">
        <v>6405</v>
      </c>
      <c r="G631" t="s">
        <v>5331</v>
      </c>
      <c r="H631" t="s">
        <v>5118</v>
      </c>
      <c r="I631" t="s">
        <v>40</v>
      </c>
      <c r="J631" t="s">
        <v>43</v>
      </c>
      <c r="K631" s="20">
        <v>45356</v>
      </c>
      <c r="L631" t="s">
        <v>5119</v>
      </c>
      <c r="M631" t="s">
        <v>154</v>
      </c>
      <c r="N631" t="s">
        <v>154</v>
      </c>
    </row>
    <row r="632" spans="1:14" x14ac:dyDescent="0.25">
      <c r="A632" t="s">
        <v>1597</v>
      </c>
      <c r="B632" t="s">
        <v>6406</v>
      </c>
      <c r="C632" t="s">
        <v>5090</v>
      </c>
      <c r="D632" s="20">
        <v>38650</v>
      </c>
      <c r="E632">
        <v>9161186385</v>
      </c>
      <c r="F632" t="s">
        <v>6407</v>
      </c>
      <c r="G632" t="s">
        <v>5097</v>
      </c>
      <c r="H632" t="s">
        <v>5098</v>
      </c>
      <c r="I632" t="s">
        <v>42</v>
      </c>
      <c r="J632" t="s">
        <v>43</v>
      </c>
      <c r="K632" s="20">
        <v>44600</v>
      </c>
      <c r="L632" t="s">
        <v>5108</v>
      </c>
      <c r="M632" t="s">
        <v>154</v>
      </c>
      <c r="N632" t="s">
        <v>154</v>
      </c>
    </row>
    <row r="633" spans="1:14" x14ac:dyDescent="0.25">
      <c r="A633" t="s">
        <v>3419</v>
      </c>
      <c r="B633" t="s">
        <v>6337</v>
      </c>
      <c r="C633" t="s">
        <v>5090</v>
      </c>
      <c r="D633" s="20">
        <v>38172</v>
      </c>
      <c r="E633">
        <v>9168800537</v>
      </c>
      <c r="F633" t="s">
        <v>6408</v>
      </c>
      <c r="G633" t="s">
        <v>5276</v>
      </c>
      <c r="H633" t="s">
        <v>5118</v>
      </c>
      <c r="I633" t="s">
        <v>40</v>
      </c>
      <c r="J633" t="s">
        <v>44</v>
      </c>
      <c r="K633" s="20">
        <v>45027</v>
      </c>
      <c r="L633" t="s">
        <v>5165</v>
      </c>
      <c r="M633" t="s">
        <v>154</v>
      </c>
      <c r="N633" t="s">
        <v>154</v>
      </c>
    </row>
    <row r="634" spans="1:14" x14ac:dyDescent="0.25">
      <c r="A634" t="s">
        <v>1602</v>
      </c>
      <c r="B634" t="s">
        <v>6409</v>
      </c>
      <c r="C634" t="s">
        <v>5090</v>
      </c>
      <c r="D634" s="20">
        <v>32713</v>
      </c>
      <c r="E634">
        <v>9728454018</v>
      </c>
      <c r="F634" t="s">
        <v>6410</v>
      </c>
      <c r="G634" t="s">
        <v>5292</v>
      </c>
      <c r="H634" t="s">
        <v>5098</v>
      </c>
      <c r="I634" t="s">
        <v>42</v>
      </c>
      <c r="J634" t="s">
        <v>44</v>
      </c>
      <c r="K634" s="20">
        <v>45183</v>
      </c>
      <c r="L634" t="s">
        <v>5108</v>
      </c>
      <c r="M634" t="s">
        <v>154</v>
      </c>
      <c r="N634" t="s">
        <v>154</v>
      </c>
    </row>
    <row r="635" spans="1:14" x14ac:dyDescent="0.25">
      <c r="A635" t="s">
        <v>2750</v>
      </c>
      <c r="B635" t="s">
        <v>5734</v>
      </c>
      <c r="C635" t="s">
        <v>5115</v>
      </c>
      <c r="D635" s="20">
        <v>23762</v>
      </c>
      <c r="E635">
        <v>9823220414</v>
      </c>
      <c r="F635" t="s">
        <v>6411</v>
      </c>
      <c r="G635" t="s">
        <v>5142</v>
      </c>
      <c r="H635" t="s">
        <v>5103</v>
      </c>
      <c r="I635" t="s">
        <v>38</v>
      </c>
      <c r="J635" t="s">
        <v>41</v>
      </c>
      <c r="K635" s="20">
        <v>45620</v>
      </c>
      <c r="L635" t="s">
        <v>5113</v>
      </c>
      <c r="M635" t="s">
        <v>154</v>
      </c>
      <c r="N635" t="s">
        <v>154</v>
      </c>
    </row>
    <row r="636" spans="1:14" x14ac:dyDescent="0.25">
      <c r="A636" t="s">
        <v>1127</v>
      </c>
      <c r="B636" t="s">
        <v>6412</v>
      </c>
      <c r="C636" t="s">
        <v>5115</v>
      </c>
      <c r="D636" s="20">
        <v>35722</v>
      </c>
      <c r="E636">
        <v>9599302020</v>
      </c>
      <c r="F636" t="s">
        <v>6413</v>
      </c>
      <c r="G636" t="s">
        <v>5384</v>
      </c>
      <c r="H636" t="s">
        <v>5093</v>
      </c>
      <c r="I636" t="s">
        <v>40</v>
      </c>
      <c r="J636" t="s">
        <v>44</v>
      </c>
      <c r="K636" s="20">
        <v>43371</v>
      </c>
      <c r="L636" t="s">
        <v>5131</v>
      </c>
      <c r="M636" t="s">
        <v>154</v>
      </c>
      <c r="N636" t="s">
        <v>154</v>
      </c>
    </row>
    <row r="637" spans="1:14" x14ac:dyDescent="0.25">
      <c r="A637" t="s">
        <v>514</v>
      </c>
      <c r="B637" t="s">
        <v>5855</v>
      </c>
      <c r="C637" t="s">
        <v>5090</v>
      </c>
      <c r="D637" s="20">
        <v>27331</v>
      </c>
      <c r="E637">
        <v>9213530281</v>
      </c>
      <c r="F637" t="s">
        <v>6414</v>
      </c>
      <c r="G637" t="s">
        <v>5238</v>
      </c>
      <c r="H637" t="s">
        <v>5093</v>
      </c>
      <c r="I637" t="s">
        <v>40</v>
      </c>
      <c r="J637" t="s">
        <v>44</v>
      </c>
      <c r="K637" s="20">
        <v>45140</v>
      </c>
      <c r="L637" t="s">
        <v>5094</v>
      </c>
      <c r="M637" t="s">
        <v>154</v>
      </c>
      <c r="N637" t="s">
        <v>154</v>
      </c>
    </row>
    <row r="638" spans="1:14" x14ac:dyDescent="0.25">
      <c r="A638" t="s">
        <v>2448</v>
      </c>
      <c r="B638" t="s">
        <v>6415</v>
      </c>
      <c r="C638" t="s">
        <v>5115</v>
      </c>
      <c r="D638" s="20">
        <v>27895</v>
      </c>
      <c r="E638">
        <v>9937775691</v>
      </c>
      <c r="F638" t="s">
        <v>6416</v>
      </c>
      <c r="G638" t="s">
        <v>5155</v>
      </c>
      <c r="H638" t="s">
        <v>5098</v>
      </c>
      <c r="I638" t="s">
        <v>42</v>
      </c>
      <c r="J638" t="s">
        <v>43</v>
      </c>
      <c r="K638" s="20">
        <v>43336</v>
      </c>
      <c r="L638" t="s">
        <v>5094</v>
      </c>
      <c r="M638" t="s">
        <v>154</v>
      </c>
      <c r="N638" t="s">
        <v>154</v>
      </c>
    </row>
    <row r="639" spans="1:14" x14ac:dyDescent="0.25">
      <c r="A639" t="s">
        <v>572</v>
      </c>
      <c r="B639" t="s">
        <v>6417</v>
      </c>
      <c r="C639" t="s">
        <v>5090</v>
      </c>
      <c r="D639" s="20">
        <v>34946</v>
      </c>
      <c r="E639">
        <v>9174690298</v>
      </c>
      <c r="F639" t="s">
        <v>6418</v>
      </c>
      <c r="G639" t="s">
        <v>5142</v>
      </c>
      <c r="H639" t="s">
        <v>5103</v>
      </c>
      <c r="I639" t="s">
        <v>38</v>
      </c>
      <c r="J639" t="s">
        <v>44</v>
      </c>
      <c r="K639" s="20">
        <v>43468</v>
      </c>
      <c r="L639" t="s">
        <v>5131</v>
      </c>
      <c r="M639" t="s">
        <v>154</v>
      </c>
      <c r="N639" t="s">
        <v>154</v>
      </c>
    </row>
    <row r="640" spans="1:14" x14ac:dyDescent="0.25">
      <c r="A640" t="s">
        <v>4599</v>
      </c>
      <c r="B640" t="s">
        <v>6419</v>
      </c>
      <c r="C640" t="s">
        <v>5115</v>
      </c>
      <c r="D640" s="20">
        <v>27805</v>
      </c>
      <c r="E640">
        <v>9622913167</v>
      </c>
      <c r="F640" t="s">
        <v>6420</v>
      </c>
      <c r="G640" t="s">
        <v>5177</v>
      </c>
      <c r="H640" t="s">
        <v>5112</v>
      </c>
      <c r="I640" t="s">
        <v>38</v>
      </c>
      <c r="J640" t="s">
        <v>43</v>
      </c>
      <c r="K640" s="20">
        <v>45640</v>
      </c>
      <c r="L640" t="s">
        <v>5127</v>
      </c>
      <c r="M640" t="s">
        <v>154</v>
      </c>
      <c r="N640" t="s">
        <v>154</v>
      </c>
    </row>
    <row r="641" spans="1:14" x14ac:dyDescent="0.25">
      <c r="A641" t="s">
        <v>1819</v>
      </c>
      <c r="B641" t="s">
        <v>6421</v>
      </c>
      <c r="C641" t="s">
        <v>5090</v>
      </c>
      <c r="D641" s="20">
        <v>32871</v>
      </c>
      <c r="E641">
        <v>9063621986</v>
      </c>
      <c r="F641" t="s">
        <v>6422</v>
      </c>
      <c r="G641" t="s">
        <v>5117</v>
      </c>
      <c r="H641" t="s">
        <v>5118</v>
      </c>
      <c r="I641" t="s">
        <v>40</v>
      </c>
      <c r="J641" t="s">
        <v>44</v>
      </c>
      <c r="K641" s="20">
        <v>44711</v>
      </c>
      <c r="L641" t="s">
        <v>5146</v>
      </c>
      <c r="M641" t="s">
        <v>154</v>
      </c>
      <c r="N641" t="s">
        <v>154</v>
      </c>
    </row>
    <row r="642" spans="1:14" x14ac:dyDescent="0.25">
      <c r="A642" t="s">
        <v>713</v>
      </c>
      <c r="B642" t="s">
        <v>6423</v>
      </c>
      <c r="C642" t="s">
        <v>5115</v>
      </c>
      <c r="D642" s="20">
        <v>28444</v>
      </c>
      <c r="E642">
        <v>9634933965</v>
      </c>
      <c r="F642" t="s">
        <v>6424</v>
      </c>
      <c r="G642" t="s">
        <v>5126</v>
      </c>
      <c r="H642" t="s">
        <v>5118</v>
      </c>
      <c r="I642" t="s">
        <v>40</v>
      </c>
      <c r="J642" t="s">
        <v>44</v>
      </c>
      <c r="K642" s="20">
        <v>44907</v>
      </c>
      <c r="L642" t="s">
        <v>5131</v>
      </c>
      <c r="M642" t="s">
        <v>154</v>
      </c>
      <c r="N642" t="s">
        <v>154</v>
      </c>
    </row>
    <row r="643" spans="1:14" x14ac:dyDescent="0.25">
      <c r="A643" t="s">
        <v>3547</v>
      </c>
      <c r="B643" t="s">
        <v>6425</v>
      </c>
      <c r="C643" t="s">
        <v>5115</v>
      </c>
      <c r="D643" s="20">
        <v>31175</v>
      </c>
      <c r="E643">
        <v>9611424362</v>
      </c>
      <c r="F643" t="s">
        <v>6426</v>
      </c>
      <c r="G643" t="s">
        <v>5238</v>
      </c>
      <c r="H643" t="s">
        <v>5093</v>
      </c>
      <c r="I643" t="s">
        <v>40</v>
      </c>
      <c r="J643" t="s">
        <v>44</v>
      </c>
      <c r="K643" s="20">
        <v>44679</v>
      </c>
      <c r="L643" t="s">
        <v>5182</v>
      </c>
      <c r="M643" t="s">
        <v>154</v>
      </c>
      <c r="N643" t="s">
        <v>154</v>
      </c>
    </row>
    <row r="644" spans="1:14" x14ac:dyDescent="0.25">
      <c r="A644" t="s">
        <v>863</v>
      </c>
      <c r="B644" t="s">
        <v>6427</v>
      </c>
      <c r="C644" t="s">
        <v>5090</v>
      </c>
      <c r="D644" s="20">
        <v>34777</v>
      </c>
      <c r="E644">
        <v>9879919623</v>
      </c>
      <c r="F644" t="s">
        <v>6428</v>
      </c>
      <c r="G644" t="s">
        <v>5122</v>
      </c>
      <c r="H644" t="s">
        <v>5093</v>
      </c>
      <c r="I644" t="s">
        <v>40</v>
      </c>
      <c r="J644" t="s">
        <v>44</v>
      </c>
      <c r="K644" s="20">
        <v>45203</v>
      </c>
      <c r="L644" t="s">
        <v>5123</v>
      </c>
      <c r="M644" t="s">
        <v>154</v>
      </c>
      <c r="N644" t="s">
        <v>154</v>
      </c>
    </row>
    <row r="645" spans="1:14" x14ac:dyDescent="0.25">
      <c r="A645" t="s">
        <v>2089</v>
      </c>
      <c r="B645" t="s">
        <v>6150</v>
      </c>
      <c r="C645" t="s">
        <v>5090</v>
      </c>
      <c r="D645" s="20">
        <v>33096</v>
      </c>
      <c r="E645">
        <v>9324725058</v>
      </c>
      <c r="F645" t="s">
        <v>6429</v>
      </c>
      <c r="G645" t="s">
        <v>5145</v>
      </c>
      <c r="H645" t="s">
        <v>5098</v>
      </c>
      <c r="I645" t="s">
        <v>42</v>
      </c>
      <c r="J645" t="s">
        <v>43</v>
      </c>
      <c r="K645" s="20">
        <v>45393</v>
      </c>
      <c r="L645" t="s">
        <v>5168</v>
      </c>
      <c r="M645" t="s">
        <v>154</v>
      </c>
      <c r="N645" t="s">
        <v>154</v>
      </c>
    </row>
    <row r="646" spans="1:14" x14ac:dyDescent="0.25">
      <c r="A646" t="s">
        <v>1383</v>
      </c>
      <c r="B646" t="s">
        <v>6430</v>
      </c>
      <c r="C646" t="s">
        <v>5115</v>
      </c>
      <c r="D646" s="20">
        <v>37099</v>
      </c>
      <c r="E646">
        <v>9760545769</v>
      </c>
      <c r="F646" t="s">
        <v>6431</v>
      </c>
      <c r="G646" t="s">
        <v>5151</v>
      </c>
      <c r="H646" t="s">
        <v>5103</v>
      </c>
      <c r="I646" t="s">
        <v>38</v>
      </c>
      <c r="J646" t="s">
        <v>43</v>
      </c>
      <c r="K646" s="20">
        <v>44599</v>
      </c>
      <c r="L646" t="s">
        <v>5186</v>
      </c>
      <c r="M646" t="s">
        <v>154</v>
      </c>
      <c r="N646" t="s">
        <v>154</v>
      </c>
    </row>
    <row r="647" spans="1:14" x14ac:dyDescent="0.25">
      <c r="A647" t="s">
        <v>3190</v>
      </c>
      <c r="B647" t="s">
        <v>6432</v>
      </c>
      <c r="C647" t="s">
        <v>5115</v>
      </c>
      <c r="D647" s="20">
        <v>33357</v>
      </c>
      <c r="E647">
        <v>9659746698</v>
      </c>
      <c r="F647" t="s">
        <v>6433</v>
      </c>
      <c r="G647" t="s">
        <v>5126</v>
      </c>
      <c r="H647" t="s">
        <v>5118</v>
      </c>
      <c r="I647" t="s">
        <v>40</v>
      </c>
      <c r="J647" t="s">
        <v>44</v>
      </c>
      <c r="K647" s="20">
        <v>44577</v>
      </c>
      <c r="L647" t="s">
        <v>5178</v>
      </c>
      <c r="M647" t="s">
        <v>154</v>
      </c>
      <c r="N647" t="s">
        <v>154</v>
      </c>
    </row>
    <row r="648" spans="1:14" x14ac:dyDescent="0.25">
      <c r="A648" t="s">
        <v>6434</v>
      </c>
      <c r="B648" t="s">
        <v>6435</v>
      </c>
      <c r="C648" t="s">
        <v>5090</v>
      </c>
      <c r="D648" s="20">
        <v>27161</v>
      </c>
      <c r="E648">
        <v>9508095948</v>
      </c>
      <c r="F648" t="s">
        <v>6436</v>
      </c>
      <c r="G648" t="s">
        <v>5331</v>
      </c>
      <c r="H648" t="s">
        <v>5118</v>
      </c>
      <c r="I648" t="s">
        <v>40</v>
      </c>
      <c r="J648" t="s">
        <v>43</v>
      </c>
      <c r="K648" s="20">
        <v>44506</v>
      </c>
      <c r="L648" t="s">
        <v>5113</v>
      </c>
      <c r="M648" t="s">
        <v>154</v>
      </c>
      <c r="N648" t="s">
        <v>154</v>
      </c>
    </row>
    <row r="649" spans="1:14" x14ac:dyDescent="0.25">
      <c r="A649" t="s">
        <v>4582</v>
      </c>
      <c r="B649" t="s">
        <v>6437</v>
      </c>
      <c r="C649" t="s">
        <v>5090</v>
      </c>
      <c r="D649" s="20">
        <v>33506</v>
      </c>
      <c r="E649">
        <v>9664721307</v>
      </c>
      <c r="F649" t="s">
        <v>6438</v>
      </c>
      <c r="G649" t="s">
        <v>5174</v>
      </c>
      <c r="H649" t="s">
        <v>5093</v>
      </c>
      <c r="I649" t="s">
        <v>40</v>
      </c>
      <c r="J649" t="s">
        <v>44</v>
      </c>
      <c r="K649" s="20">
        <v>44621</v>
      </c>
      <c r="L649" t="s">
        <v>5108</v>
      </c>
      <c r="M649" t="s">
        <v>154</v>
      </c>
      <c r="N649" t="s">
        <v>154</v>
      </c>
    </row>
    <row r="650" spans="1:14" x14ac:dyDescent="0.25">
      <c r="A650" t="s">
        <v>1510</v>
      </c>
      <c r="B650" t="s">
        <v>6439</v>
      </c>
      <c r="C650" t="s">
        <v>5115</v>
      </c>
      <c r="D650" s="20">
        <v>25687</v>
      </c>
      <c r="E650">
        <v>9489332614</v>
      </c>
      <c r="F650" t="s">
        <v>6440</v>
      </c>
      <c r="G650" t="s">
        <v>5331</v>
      </c>
      <c r="H650" t="s">
        <v>5118</v>
      </c>
      <c r="I650" t="s">
        <v>40</v>
      </c>
      <c r="J650" t="s">
        <v>39</v>
      </c>
      <c r="K650" s="20">
        <v>44272</v>
      </c>
      <c r="L650" t="s">
        <v>5123</v>
      </c>
      <c r="M650" t="s">
        <v>154</v>
      </c>
      <c r="N650" t="s">
        <v>154</v>
      </c>
    </row>
    <row r="651" spans="1:14" x14ac:dyDescent="0.25">
      <c r="A651" t="s">
        <v>4028</v>
      </c>
      <c r="B651" t="s">
        <v>6441</v>
      </c>
      <c r="C651" t="s">
        <v>5090</v>
      </c>
      <c r="D651" s="20">
        <v>31161</v>
      </c>
      <c r="E651">
        <v>9100817852</v>
      </c>
      <c r="F651" t="s">
        <v>6442</v>
      </c>
      <c r="G651" t="s">
        <v>5181</v>
      </c>
      <c r="H651" t="s">
        <v>5112</v>
      </c>
      <c r="I651" t="s">
        <v>38</v>
      </c>
      <c r="J651" t="s">
        <v>43</v>
      </c>
      <c r="K651" s="20">
        <v>44976</v>
      </c>
      <c r="L651" t="s">
        <v>5178</v>
      </c>
      <c r="M651" t="s">
        <v>154</v>
      </c>
      <c r="N651" t="s">
        <v>154</v>
      </c>
    </row>
    <row r="652" spans="1:14" x14ac:dyDescent="0.25">
      <c r="A652" t="s">
        <v>4635</v>
      </c>
      <c r="B652" t="s">
        <v>6443</v>
      </c>
      <c r="C652" t="s">
        <v>5090</v>
      </c>
      <c r="D652" s="20">
        <v>35701</v>
      </c>
      <c r="E652">
        <v>9523542687</v>
      </c>
      <c r="F652" t="s">
        <v>6444</v>
      </c>
      <c r="G652" t="s">
        <v>5181</v>
      </c>
      <c r="H652" t="s">
        <v>5112</v>
      </c>
      <c r="I652" t="s">
        <v>38</v>
      </c>
      <c r="J652" t="s">
        <v>43</v>
      </c>
      <c r="K652" s="20">
        <v>45382</v>
      </c>
      <c r="L652" t="s">
        <v>5152</v>
      </c>
      <c r="M652" t="s">
        <v>154</v>
      </c>
      <c r="N652" t="s">
        <v>154</v>
      </c>
    </row>
    <row r="653" spans="1:14" x14ac:dyDescent="0.25">
      <c r="A653" t="s">
        <v>1315</v>
      </c>
      <c r="B653" t="s">
        <v>6445</v>
      </c>
      <c r="C653" t="s">
        <v>5115</v>
      </c>
      <c r="D653" s="20">
        <v>25585</v>
      </c>
      <c r="E653">
        <v>9865237772</v>
      </c>
      <c r="F653" t="s">
        <v>6446</v>
      </c>
      <c r="G653" t="s">
        <v>5155</v>
      </c>
      <c r="H653" t="s">
        <v>5098</v>
      </c>
      <c r="I653" t="s">
        <v>42</v>
      </c>
      <c r="J653" t="s">
        <v>41</v>
      </c>
      <c r="K653" s="20">
        <v>43771</v>
      </c>
      <c r="L653" t="s">
        <v>5119</v>
      </c>
      <c r="M653" t="s">
        <v>154</v>
      </c>
      <c r="N653" t="s">
        <v>154</v>
      </c>
    </row>
    <row r="654" spans="1:14" x14ac:dyDescent="0.25">
      <c r="A654" t="s">
        <v>2455</v>
      </c>
      <c r="B654" t="s">
        <v>6447</v>
      </c>
      <c r="C654" t="s">
        <v>5115</v>
      </c>
      <c r="D654" s="20">
        <v>26828</v>
      </c>
      <c r="E654">
        <v>9052781055</v>
      </c>
      <c r="F654" t="s">
        <v>6448</v>
      </c>
      <c r="G654" t="s">
        <v>5196</v>
      </c>
      <c r="H654" t="s">
        <v>5093</v>
      </c>
      <c r="I654" t="s">
        <v>40</v>
      </c>
      <c r="J654" t="s">
        <v>43</v>
      </c>
      <c r="K654" s="20">
        <v>44242</v>
      </c>
      <c r="L654" t="s">
        <v>5123</v>
      </c>
      <c r="M654" t="s">
        <v>154</v>
      </c>
      <c r="N654" t="s">
        <v>154</v>
      </c>
    </row>
    <row r="655" spans="1:14" x14ac:dyDescent="0.25">
      <c r="A655" t="s">
        <v>794</v>
      </c>
      <c r="B655" t="s">
        <v>6449</v>
      </c>
      <c r="C655" t="s">
        <v>5090</v>
      </c>
      <c r="D655" s="20">
        <v>24157</v>
      </c>
      <c r="E655">
        <v>9142573160</v>
      </c>
      <c r="F655" t="s">
        <v>6450</v>
      </c>
      <c r="G655" t="s">
        <v>5196</v>
      </c>
      <c r="H655" t="s">
        <v>5093</v>
      </c>
      <c r="I655" t="s">
        <v>40</v>
      </c>
      <c r="J655" t="s">
        <v>44</v>
      </c>
      <c r="K655" s="20">
        <v>43830</v>
      </c>
      <c r="L655" t="s">
        <v>5182</v>
      </c>
      <c r="M655" t="s">
        <v>154</v>
      </c>
      <c r="N655" t="s">
        <v>154</v>
      </c>
    </row>
    <row r="656" spans="1:14" x14ac:dyDescent="0.25">
      <c r="A656" t="s">
        <v>1309</v>
      </c>
      <c r="B656" t="s">
        <v>6451</v>
      </c>
      <c r="C656" t="s">
        <v>5115</v>
      </c>
      <c r="D656" s="20">
        <v>36245</v>
      </c>
      <c r="E656">
        <v>9203136955</v>
      </c>
      <c r="F656" t="s">
        <v>6452</v>
      </c>
      <c r="G656" t="s">
        <v>5292</v>
      </c>
      <c r="H656" t="s">
        <v>5098</v>
      </c>
      <c r="I656" t="s">
        <v>42</v>
      </c>
      <c r="J656" t="s">
        <v>44</v>
      </c>
      <c r="K656" s="20">
        <v>43456</v>
      </c>
      <c r="L656" t="s">
        <v>5137</v>
      </c>
      <c r="M656" t="s">
        <v>154</v>
      </c>
      <c r="N656" t="s">
        <v>154</v>
      </c>
    </row>
    <row r="657" spans="1:14" x14ac:dyDescent="0.25">
      <c r="A657" t="s">
        <v>2793</v>
      </c>
      <c r="B657" t="s">
        <v>6453</v>
      </c>
      <c r="C657" t="s">
        <v>5090</v>
      </c>
      <c r="D657" s="20">
        <v>38594</v>
      </c>
      <c r="E657">
        <v>9352595332</v>
      </c>
      <c r="F657" t="s">
        <v>6454</v>
      </c>
      <c r="G657" t="s">
        <v>5366</v>
      </c>
      <c r="H657" t="s">
        <v>5103</v>
      </c>
      <c r="I657" t="s">
        <v>38</v>
      </c>
      <c r="J657" t="s">
        <v>41</v>
      </c>
      <c r="K657" s="20">
        <v>45458</v>
      </c>
      <c r="L657" t="s">
        <v>5137</v>
      </c>
      <c r="M657" t="s">
        <v>184</v>
      </c>
      <c r="N657" t="s">
        <v>154</v>
      </c>
    </row>
    <row r="658" spans="1:14" x14ac:dyDescent="0.25">
      <c r="A658" t="s">
        <v>2888</v>
      </c>
      <c r="B658" t="s">
        <v>6455</v>
      </c>
      <c r="C658" t="s">
        <v>5115</v>
      </c>
      <c r="D658" s="20">
        <v>35200</v>
      </c>
      <c r="E658">
        <v>9204573532</v>
      </c>
      <c r="F658" t="s">
        <v>6456</v>
      </c>
      <c r="G658" t="s">
        <v>5243</v>
      </c>
      <c r="H658" t="s">
        <v>5112</v>
      </c>
      <c r="I658" t="s">
        <v>38</v>
      </c>
      <c r="J658" t="s">
        <v>44</v>
      </c>
      <c r="K658" s="20">
        <v>45572</v>
      </c>
      <c r="L658" t="s">
        <v>5099</v>
      </c>
      <c r="M658" t="s">
        <v>154</v>
      </c>
      <c r="N658" t="s">
        <v>154</v>
      </c>
    </row>
    <row r="659" spans="1:14" x14ac:dyDescent="0.25">
      <c r="A659" t="s">
        <v>509</v>
      </c>
      <c r="B659" t="s">
        <v>5704</v>
      </c>
      <c r="C659" t="s">
        <v>5115</v>
      </c>
      <c r="D659" s="20">
        <v>29477</v>
      </c>
      <c r="E659">
        <v>9708269718</v>
      </c>
      <c r="F659" t="s">
        <v>6457</v>
      </c>
      <c r="G659" t="s">
        <v>5102</v>
      </c>
      <c r="H659" t="s">
        <v>5103</v>
      </c>
      <c r="I659" t="s">
        <v>38</v>
      </c>
      <c r="J659" t="s">
        <v>39</v>
      </c>
      <c r="K659" s="20">
        <v>43301</v>
      </c>
      <c r="L659" t="s">
        <v>5158</v>
      </c>
      <c r="M659" t="s">
        <v>154</v>
      </c>
      <c r="N659" t="s">
        <v>154</v>
      </c>
    </row>
    <row r="660" spans="1:14" x14ac:dyDescent="0.25">
      <c r="A660" t="s">
        <v>535</v>
      </c>
      <c r="B660" t="s">
        <v>6458</v>
      </c>
      <c r="C660" t="s">
        <v>5090</v>
      </c>
      <c r="D660" s="20">
        <v>24375</v>
      </c>
      <c r="E660">
        <v>9158388217</v>
      </c>
      <c r="F660" t="s">
        <v>6459</v>
      </c>
      <c r="G660" t="s">
        <v>5214</v>
      </c>
      <c r="H660" t="s">
        <v>5103</v>
      </c>
      <c r="I660" t="s">
        <v>38</v>
      </c>
      <c r="J660" t="s">
        <v>39</v>
      </c>
      <c r="K660" s="20">
        <v>43739</v>
      </c>
      <c r="L660" t="s">
        <v>5127</v>
      </c>
      <c r="M660" t="s">
        <v>154</v>
      </c>
      <c r="N660" t="s">
        <v>154</v>
      </c>
    </row>
    <row r="661" spans="1:14" x14ac:dyDescent="0.25">
      <c r="A661" t="s">
        <v>1554</v>
      </c>
      <c r="B661" t="s">
        <v>6460</v>
      </c>
      <c r="C661" t="s">
        <v>5090</v>
      </c>
      <c r="D661" s="20">
        <v>37825</v>
      </c>
      <c r="E661">
        <v>9422332228</v>
      </c>
      <c r="F661" t="s">
        <v>6461</v>
      </c>
      <c r="G661" t="s">
        <v>5117</v>
      </c>
      <c r="H661" t="s">
        <v>5118</v>
      </c>
      <c r="I661" t="s">
        <v>40</v>
      </c>
      <c r="J661" t="s">
        <v>39</v>
      </c>
      <c r="K661" s="20">
        <v>44429</v>
      </c>
      <c r="L661" t="s">
        <v>5146</v>
      </c>
      <c r="M661" t="s">
        <v>154</v>
      </c>
      <c r="N661" t="s">
        <v>154</v>
      </c>
    </row>
    <row r="662" spans="1:14" x14ac:dyDescent="0.25">
      <c r="A662" t="s">
        <v>2386</v>
      </c>
      <c r="B662" t="s">
        <v>6462</v>
      </c>
      <c r="C662" t="s">
        <v>5090</v>
      </c>
      <c r="D662" s="20">
        <v>26265</v>
      </c>
      <c r="E662">
        <v>9225606295</v>
      </c>
      <c r="F662" t="s">
        <v>6463</v>
      </c>
      <c r="G662" t="s">
        <v>5276</v>
      </c>
      <c r="H662" t="s">
        <v>5118</v>
      </c>
      <c r="I662" t="s">
        <v>40</v>
      </c>
      <c r="J662" t="s">
        <v>44</v>
      </c>
      <c r="K662" s="20">
        <v>45419</v>
      </c>
      <c r="L662" t="s">
        <v>5182</v>
      </c>
      <c r="M662" t="s">
        <v>154</v>
      </c>
      <c r="N662" t="s">
        <v>154</v>
      </c>
    </row>
    <row r="663" spans="1:14" x14ac:dyDescent="0.25">
      <c r="A663" t="s">
        <v>1203</v>
      </c>
      <c r="B663" t="s">
        <v>6464</v>
      </c>
      <c r="C663" t="s">
        <v>5115</v>
      </c>
      <c r="D663" s="20">
        <v>27711</v>
      </c>
      <c r="E663">
        <v>9046741307</v>
      </c>
      <c r="F663" t="s">
        <v>6465</v>
      </c>
      <c r="G663" t="s">
        <v>5155</v>
      </c>
      <c r="H663" t="s">
        <v>5098</v>
      </c>
      <c r="I663" t="s">
        <v>42</v>
      </c>
      <c r="J663" t="s">
        <v>43</v>
      </c>
      <c r="K663" s="20">
        <v>43570</v>
      </c>
      <c r="L663" t="s">
        <v>5158</v>
      </c>
      <c r="M663" t="s">
        <v>154</v>
      </c>
      <c r="N663" t="s">
        <v>154</v>
      </c>
    </row>
    <row r="664" spans="1:14" x14ac:dyDescent="0.25">
      <c r="A664" t="s">
        <v>696</v>
      </c>
      <c r="B664" t="s">
        <v>6466</v>
      </c>
      <c r="C664" t="s">
        <v>5115</v>
      </c>
      <c r="D664" s="20">
        <v>34445</v>
      </c>
      <c r="E664">
        <v>9626084639</v>
      </c>
      <c r="F664" t="s">
        <v>6467</v>
      </c>
      <c r="G664" t="s">
        <v>5304</v>
      </c>
      <c r="H664" t="s">
        <v>5112</v>
      </c>
      <c r="I664" t="s">
        <v>38</v>
      </c>
      <c r="J664" t="s">
        <v>43</v>
      </c>
      <c r="K664" s="20">
        <v>43394</v>
      </c>
      <c r="L664" t="s">
        <v>5178</v>
      </c>
      <c r="M664" t="s">
        <v>154</v>
      </c>
      <c r="N664" t="s">
        <v>154</v>
      </c>
    </row>
    <row r="665" spans="1:14" x14ac:dyDescent="0.25">
      <c r="A665" t="s">
        <v>2194</v>
      </c>
      <c r="B665" t="s">
        <v>6468</v>
      </c>
      <c r="C665" t="s">
        <v>5090</v>
      </c>
      <c r="D665" s="20">
        <v>28884</v>
      </c>
      <c r="E665">
        <v>9912151641</v>
      </c>
      <c r="F665" t="s">
        <v>6469</v>
      </c>
      <c r="G665" t="s">
        <v>5117</v>
      </c>
      <c r="H665" t="s">
        <v>5118</v>
      </c>
      <c r="I665" t="s">
        <v>40</v>
      </c>
      <c r="J665" t="s">
        <v>43</v>
      </c>
      <c r="K665" s="20">
        <v>44405</v>
      </c>
      <c r="L665" t="s">
        <v>5152</v>
      </c>
      <c r="M665" t="s">
        <v>154</v>
      </c>
      <c r="N665" t="s">
        <v>154</v>
      </c>
    </row>
    <row r="666" spans="1:14" x14ac:dyDescent="0.25">
      <c r="A666" t="s">
        <v>1091</v>
      </c>
      <c r="B666" t="s">
        <v>6470</v>
      </c>
      <c r="C666" t="s">
        <v>5090</v>
      </c>
      <c r="D666" s="20">
        <v>30759</v>
      </c>
      <c r="E666">
        <v>9693957875</v>
      </c>
      <c r="F666" t="s">
        <v>6471</v>
      </c>
      <c r="G666" t="s">
        <v>5201</v>
      </c>
      <c r="H666" t="s">
        <v>5118</v>
      </c>
      <c r="I666" t="s">
        <v>40</v>
      </c>
      <c r="J666" t="s">
        <v>41</v>
      </c>
      <c r="K666" s="20">
        <v>43475</v>
      </c>
      <c r="L666" t="s">
        <v>5108</v>
      </c>
      <c r="M666" t="s">
        <v>154</v>
      </c>
      <c r="N666" t="s">
        <v>154</v>
      </c>
    </row>
    <row r="667" spans="1:14" x14ac:dyDescent="0.25">
      <c r="A667" t="s">
        <v>2246</v>
      </c>
      <c r="B667" t="s">
        <v>6472</v>
      </c>
      <c r="C667" t="s">
        <v>5115</v>
      </c>
      <c r="D667" s="20">
        <v>24040</v>
      </c>
      <c r="E667">
        <v>9197121241</v>
      </c>
      <c r="F667" t="s">
        <v>6473</v>
      </c>
      <c r="G667" t="s">
        <v>5331</v>
      </c>
      <c r="H667" t="s">
        <v>5118</v>
      </c>
      <c r="I667" t="s">
        <v>40</v>
      </c>
      <c r="J667" t="s">
        <v>39</v>
      </c>
      <c r="K667" s="20">
        <v>43749</v>
      </c>
      <c r="L667" t="s">
        <v>5119</v>
      </c>
      <c r="M667" t="s">
        <v>154</v>
      </c>
      <c r="N667" t="s">
        <v>154</v>
      </c>
    </row>
    <row r="668" spans="1:14" x14ac:dyDescent="0.25">
      <c r="A668" t="s">
        <v>3319</v>
      </c>
      <c r="B668" t="s">
        <v>6474</v>
      </c>
      <c r="C668" t="s">
        <v>5090</v>
      </c>
      <c r="D668" s="20">
        <v>30354</v>
      </c>
      <c r="E668">
        <v>9098731267</v>
      </c>
      <c r="F668" t="s">
        <v>6475</v>
      </c>
      <c r="G668" t="s">
        <v>5292</v>
      </c>
      <c r="H668" t="s">
        <v>5098</v>
      </c>
      <c r="I668" t="s">
        <v>42</v>
      </c>
      <c r="J668" t="s">
        <v>41</v>
      </c>
      <c r="K668" s="20">
        <v>44960</v>
      </c>
      <c r="L668" t="s">
        <v>5127</v>
      </c>
      <c r="M668" t="s">
        <v>154</v>
      </c>
      <c r="N668" t="s">
        <v>154</v>
      </c>
    </row>
    <row r="669" spans="1:14" x14ac:dyDescent="0.25">
      <c r="A669" t="s">
        <v>3269</v>
      </c>
      <c r="B669" t="s">
        <v>6476</v>
      </c>
      <c r="C669" t="s">
        <v>5115</v>
      </c>
      <c r="D669" s="20">
        <v>30916</v>
      </c>
      <c r="E669">
        <v>9988978653</v>
      </c>
      <c r="F669" t="s">
        <v>6477</v>
      </c>
      <c r="G669" t="s">
        <v>5097</v>
      </c>
      <c r="H669" t="s">
        <v>5098</v>
      </c>
      <c r="I669" t="s">
        <v>42</v>
      </c>
      <c r="J669" t="s">
        <v>44</v>
      </c>
      <c r="K669" s="20">
        <v>44986</v>
      </c>
      <c r="L669" t="s">
        <v>5168</v>
      </c>
      <c r="M669" t="s">
        <v>154</v>
      </c>
      <c r="N669" t="s">
        <v>154</v>
      </c>
    </row>
    <row r="670" spans="1:14" x14ac:dyDescent="0.25">
      <c r="A670" t="s">
        <v>2320</v>
      </c>
      <c r="B670" t="s">
        <v>6478</v>
      </c>
      <c r="C670" t="s">
        <v>5090</v>
      </c>
      <c r="D670" s="20">
        <v>25631</v>
      </c>
      <c r="E670">
        <v>9430895231</v>
      </c>
      <c r="F670" t="s">
        <v>6479</v>
      </c>
      <c r="G670" t="s">
        <v>5111</v>
      </c>
      <c r="H670" t="s">
        <v>5112</v>
      </c>
      <c r="I670" t="s">
        <v>38</v>
      </c>
      <c r="J670" t="s">
        <v>41</v>
      </c>
      <c r="K670" s="20">
        <v>44666</v>
      </c>
      <c r="L670" t="s">
        <v>5168</v>
      </c>
      <c r="M670" t="s">
        <v>154</v>
      </c>
      <c r="N670" t="s">
        <v>154</v>
      </c>
    </row>
    <row r="671" spans="1:14" x14ac:dyDescent="0.25">
      <c r="A671" t="s">
        <v>1594</v>
      </c>
      <c r="B671" t="s">
        <v>6480</v>
      </c>
      <c r="C671" t="s">
        <v>5115</v>
      </c>
      <c r="D671" s="20">
        <v>24877</v>
      </c>
      <c r="E671">
        <v>9449747000</v>
      </c>
      <c r="F671" t="s">
        <v>6481</v>
      </c>
      <c r="G671" t="s">
        <v>5201</v>
      </c>
      <c r="H671" t="s">
        <v>5118</v>
      </c>
      <c r="I671" t="s">
        <v>40</v>
      </c>
      <c r="J671" t="s">
        <v>44</v>
      </c>
      <c r="K671" s="20">
        <v>45092</v>
      </c>
      <c r="L671" t="s">
        <v>5127</v>
      </c>
      <c r="M671" t="s">
        <v>154</v>
      </c>
      <c r="N671" t="s">
        <v>154</v>
      </c>
    </row>
    <row r="672" spans="1:14" x14ac:dyDescent="0.25">
      <c r="A672" t="s">
        <v>1234</v>
      </c>
      <c r="B672" t="s">
        <v>6482</v>
      </c>
      <c r="C672" t="s">
        <v>5115</v>
      </c>
      <c r="D672" s="20">
        <v>28759</v>
      </c>
      <c r="E672">
        <v>9649797416</v>
      </c>
      <c r="F672" t="s">
        <v>6483</v>
      </c>
      <c r="G672" t="s">
        <v>5276</v>
      </c>
      <c r="H672" t="s">
        <v>5118</v>
      </c>
      <c r="I672" t="s">
        <v>40</v>
      </c>
      <c r="J672" t="s">
        <v>44</v>
      </c>
      <c r="K672" s="20">
        <v>44883</v>
      </c>
      <c r="L672" t="s">
        <v>5137</v>
      </c>
      <c r="M672" t="s">
        <v>154</v>
      </c>
      <c r="N672" t="s">
        <v>154</v>
      </c>
    </row>
    <row r="673" spans="1:14" x14ac:dyDescent="0.25">
      <c r="A673" t="s">
        <v>4625</v>
      </c>
      <c r="B673" t="s">
        <v>6484</v>
      </c>
      <c r="C673" t="s">
        <v>5115</v>
      </c>
      <c r="D673" s="20">
        <v>35058</v>
      </c>
      <c r="E673">
        <v>9635537309</v>
      </c>
      <c r="F673" t="s">
        <v>6485</v>
      </c>
      <c r="G673" t="s">
        <v>5369</v>
      </c>
      <c r="H673" t="s">
        <v>5103</v>
      </c>
      <c r="I673" t="s">
        <v>38</v>
      </c>
      <c r="J673" t="s">
        <v>44</v>
      </c>
      <c r="K673" s="20">
        <v>43236</v>
      </c>
      <c r="L673" t="s">
        <v>5119</v>
      </c>
      <c r="M673" t="s">
        <v>154</v>
      </c>
      <c r="N673" t="s">
        <v>154</v>
      </c>
    </row>
    <row r="674" spans="1:14" x14ac:dyDescent="0.25">
      <c r="A674" t="s">
        <v>1159</v>
      </c>
      <c r="B674" t="s">
        <v>6486</v>
      </c>
      <c r="C674" t="s">
        <v>5090</v>
      </c>
      <c r="D674" s="20">
        <v>26798</v>
      </c>
      <c r="E674">
        <v>9529635305</v>
      </c>
      <c r="F674" t="s">
        <v>6487</v>
      </c>
      <c r="G674" t="s">
        <v>5107</v>
      </c>
      <c r="H674" t="s">
        <v>5098</v>
      </c>
      <c r="I674" t="s">
        <v>42</v>
      </c>
      <c r="J674" t="s">
        <v>43</v>
      </c>
      <c r="K674" s="20">
        <v>45701</v>
      </c>
      <c r="L674" t="s">
        <v>5108</v>
      </c>
      <c r="M674" t="s">
        <v>154</v>
      </c>
      <c r="N674" t="s">
        <v>154</v>
      </c>
    </row>
    <row r="675" spans="1:14" x14ac:dyDescent="0.25">
      <c r="A675" t="s">
        <v>289</v>
      </c>
      <c r="B675" t="s">
        <v>6488</v>
      </c>
      <c r="C675" t="s">
        <v>5115</v>
      </c>
      <c r="D675" s="20">
        <v>29772</v>
      </c>
      <c r="E675">
        <v>9636431594</v>
      </c>
      <c r="F675" t="s">
        <v>6489</v>
      </c>
      <c r="G675" t="s">
        <v>5201</v>
      </c>
      <c r="H675" t="s">
        <v>5118</v>
      </c>
      <c r="I675" t="s">
        <v>40</v>
      </c>
      <c r="J675" t="s">
        <v>43</v>
      </c>
      <c r="K675" s="20">
        <v>43760</v>
      </c>
      <c r="L675" t="s">
        <v>5146</v>
      </c>
      <c r="M675" t="s">
        <v>154</v>
      </c>
      <c r="N675" t="s">
        <v>154</v>
      </c>
    </row>
    <row r="676" spans="1:14" x14ac:dyDescent="0.25">
      <c r="A676" t="s">
        <v>1291</v>
      </c>
      <c r="B676" t="s">
        <v>6490</v>
      </c>
      <c r="C676" t="s">
        <v>5090</v>
      </c>
      <c r="D676" s="20">
        <v>30189</v>
      </c>
      <c r="E676">
        <v>9454434414</v>
      </c>
      <c r="F676" t="s">
        <v>6491</v>
      </c>
      <c r="G676" t="s">
        <v>5126</v>
      </c>
      <c r="H676" t="s">
        <v>5118</v>
      </c>
      <c r="I676" t="s">
        <v>40</v>
      </c>
      <c r="J676" t="s">
        <v>39</v>
      </c>
      <c r="K676" s="20">
        <v>44881</v>
      </c>
      <c r="L676" t="s">
        <v>5178</v>
      </c>
      <c r="M676" t="s">
        <v>154</v>
      </c>
      <c r="N676" t="s">
        <v>154</v>
      </c>
    </row>
    <row r="677" spans="1:14" x14ac:dyDescent="0.25">
      <c r="A677" t="s">
        <v>797</v>
      </c>
      <c r="B677" t="s">
        <v>6492</v>
      </c>
      <c r="C677" t="s">
        <v>5115</v>
      </c>
      <c r="D677" s="20">
        <v>27715</v>
      </c>
      <c r="E677">
        <v>9946408822</v>
      </c>
      <c r="F677" t="s">
        <v>6493</v>
      </c>
      <c r="G677" t="s">
        <v>5126</v>
      </c>
      <c r="H677" t="s">
        <v>5118</v>
      </c>
      <c r="I677" t="s">
        <v>40</v>
      </c>
      <c r="J677" t="s">
        <v>41</v>
      </c>
      <c r="K677" s="20">
        <v>44268</v>
      </c>
      <c r="L677" t="s">
        <v>5178</v>
      </c>
      <c r="M677" t="s">
        <v>154</v>
      </c>
      <c r="N677" t="s">
        <v>154</v>
      </c>
    </row>
    <row r="678" spans="1:14" x14ac:dyDescent="0.25">
      <c r="A678" t="s">
        <v>2244</v>
      </c>
      <c r="B678" t="s">
        <v>5983</v>
      </c>
      <c r="C678" t="s">
        <v>5115</v>
      </c>
      <c r="D678" s="20">
        <v>30626</v>
      </c>
      <c r="E678">
        <v>9889413210</v>
      </c>
      <c r="F678" t="s">
        <v>6494</v>
      </c>
      <c r="G678" t="s">
        <v>5196</v>
      </c>
      <c r="H678" t="s">
        <v>5093</v>
      </c>
      <c r="I678" t="s">
        <v>40</v>
      </c>
      <c r="J678" t="s">
        <v>44</v>
      </c>
      <c r="K678" s="20">
        <v>43996</v>
      </c>
      <c r="L678" t="s">
        <v>5108</v>
      </c>
      <c r="M678" t="s">
        <v>154</v>
      </c>
      <c r="N678" t="s">
        <v>154</v>
      </c>
    </row>
    <row r="679" spans="1:14" x14ac:dyDescent="0.25">
      <c r="A679" t="s">
        <v>1395</v>
      </c>
      <c r="B679" t="s">
        <v>6495</v>
      </c>
      <c r="C679" t="s">
        <v>5115</v>
      </c>
      <c r="D679" s="20">
        <v>25629</v>
      </c>
      <c r="E679">
        <v>9534655792</v>
      </c>
      <c r="F679" t="s">
        <v>6496</v>
      </c>
      <c r="G679" t="s">
        <v>5136</v>
      </c>
      <c r="H679" t="s">
        <v>5098</v>
      </c>
      <c r="I679" t="s">
        <v>42</v>
      </c>
      <c r="J679" t="s">
        <v>39</v>
      </c>
      <c r="K679" s="20">
        <v>44335</v>
      </c>
      <c r="L679" t="s">
        <v>5186</v>
      </c>
      <c r="M679" t="s">
        <v>154</v>
      </c>
      <c r="N679" t="s">
        <v>154</v>
      </c>
    </row>
    <row r="680" spans="1:14" x14ac:dyDescent="0.25">
      <c r="A680" t="s">
        <v>602</v>
      </c>
      <c r="B680" t="s">
        <v>6497</v>
      </c>
      <c r="C680" t="s">
        <v>5115</v>
      </c>
      <c r="D680" s="20">
        <v>28687</v>
      </c>
      <c r="E680">
        <v>9129390025</v>
      </c>
      <c r="F680" t="s">
        <v>6498</v>
      </c>
      <c r="G680" t="s">
        <v>5276</v>
      </c>
      <c r="H680" t="s">
        <v>5118</v>
      </c>
      <c r="I680" t="s">
        <v>40</v>
      </c>
      <c r="J680" t="s">
        <v>39</v>
      </c>
      <c r="K680" s="20">
        <v>44347</v>
      </c>
      <c r="L680" t="s">
        <v>5127</v>
      </c>
      <c r="M680" t="s">
        <v>154</v>
      </c>
      <c r="N680" t="s">
        <v>154</v>
      </c>
    </row>
    <row r="681" spans="1:14" x14ac:dyDescent="0.25">
      <c r="A681" t="s">
        <v>1803</v>
      </c>
      <c r="B681" t="s">
        <v>6499</v>
      </c>
      <c r="C681" t="s">
        <v>5115</v>
      </c>
      <c r="D681" s="20">
        <v>35766</v>
      </c>
      <c r="E681">
        <v>9963595708</v>
      </c>
      <c r="F681" t="s">
        <v>6500</v>
      </c>
      <c r="G681" t="s">
        <v>5145</v>
      </c>
      <c r="H681" t="s">
        <v>5098</v>
      </c>
      <c r="I681" t="s">
        <v>42</v>
      </c>
      <c r="J681" t="s">
        <v>44</v>
      </c>
      <c r="K681" s="20">
        <v>44560</v>
      </c>
      <c r="L681" t="s">
        <v>5186</v>
      </c>
      <c r="M681" t="s">
        <v>154</v>
      </c>
      <c r="N681" t="s">
        <v>154</v>
      </c>
    </row>
    <row r="682" spans="1:14" x14ac:dyDescent="0.25">
      <c r="A682" t="s">
        <v>704</v>
      </c>
      <c r="B682" t="s">
        <v>6501</v>
      </c>
      <c r="C682" t="s">
        <v>5090</v>
      </c>
      <c r="D682" s="20">
        <v>33728</v>
      </c>
      <c r="E682">
        <v>9434566311</v>
      </c>
      <c r="F682" t="s">
        <v>6502</v>
      </c>
      <c r="G682" t="s">
        <v>5122</v>
      </c>
      <c r="H682" t="s">
        <v>5093</v>
      </c>
      <c r="I682" t="s">
        <v>40</v>
      </c>
      <c r="J682" t="s">
        <v>43</v>
      </c>
      <c r="K682" s="20">
        <v>44577</v>
      </c>
      <c r="L682" t="s">
        <v>5158</v>
      </c>
      <c r="M682" t="s">
        <v>154</v>
      </c>
      <c r="N682" t="s">
        <v>154</v>
      </c>
    </row>
    <row r="683" spans="1:14" x14ac:dyDescent="0.25">
      <c r="A683" t="s">
        <v>1295</v>
      </c>
      <c r="B683" t="s">
        <v>6503</v>
      </c>
      <c r="C683" t="s">
        <v>5090</v>
      </c>
      <c r="D683" s="20">
        <v>38243</v>
      </c>
      <c r="E683">
        <v>9220334742</v>
      </c>
      <c r="F683" t="s">
        <v>6504</v>
      </c>
      <c r="G683" t="s">
        <v>5092</v>
      </c>
      <c r="H683" t="s">
        <v>5093</v>
      </c>
      <c r="I683" t="s">
        <v>40</v>
      </c>
      <c r="J683" t="s">
        <v>44</v>
      </c>
      <c r="K683" s="20">
        <v>43881</v>
      </c>
      <c r="L683" t="s">
        <v>5131</v>
      </c>
      <c r="M683" t="s">
        <v>154</v>
      </c>
      <c r="N683" t="s">
        <v>154</v>
      </c>
    </row>
    <row r="684" spans="1:14" x14ac:dyDescent="0.25">
      <c r="A684" t="s">
        <v>1337</v>
      </c>
      <c r="B684" t="s">
        <v>6505</v>
      </c>
      <c r="C684" t="s">
        <v>5115</v>
      </c>
      <c r="D684" s="20">
        <v>28678</v>
      </c>
      <c r="E684">
        <v>9680085294</v>
      </c>
      <c r="F684" t="s">
        <v>6506</v>
      </c>
      <c r="G684" t="s">
        <v>5196</v>
      </c>
      <c r="H684" t="s">
        <v>5093</v>
      </c>
      <c r="I684" t="s">
        <v>40</v>
      </c>
      <c r="J684" t="s">
        <v>44</v>
      </c>
      <c r="K684" s="20">
        <v>44803</v>
      </c>
      <c r="L684" t="s">
        <v>5186</v>
      </c>
      <c r="M684" t="s">
        <v>154</v>
      </c>
      <c r="N684" t="s">
        <v>154</v>
      </c>
    </row>
    <row r="685" spans="1:14" x14ac:dyDescent="0.25">
      <c r="A685" t="s">
        <v>1527</v>
      </c>
      <c r="B685" t="s">
        <v>6507</v>
      </c>
      <c r="C685" t="s">
        <v>5090</v>
      </c>
      <c r="D685" s="20">
        <v>38261</v>
      </c>
      <c r="E685">
        <v>9743043502</v>
      </c>
      <c r="F685" t="s">
        <v>6508</v>
      </c>
      <c r="G685" t="s">
        <v>5102</v>
      </c>
      <c r="H685" t="s">
        <v>5103</v>
      </c>
      <c r="I685" t="s">
        <v>38</v>
      </c>
      <c r="J685" t="s">
        <v>39</v>
      </c>
      <c r="K685" s="20">
        <v>44272</v>
      </c>
      <c r="L685" t="s">
        <v>5104</v>
      </c>
      <c r="M685" t="s">
        <v>154</v>
      </c>
      <c r="N685" t="s">
        <v>154</v>
      </c>
    </row>
    <row r="686" spans="1:14" x14ac:dyDescent="0.25">
      <c r="A686" t="s">
        <v>1828</v>
      </c>
      <c r="B686" t="s">
        <v>6509</v>
      </c>
      <c r="C686" t="s">
        <v>5090</v>
      </c>
      <c r="D686" s="20">
        <v>26419</v>
      </c>
      <c r="E686">
        <v>9652752332</v>
      </c>
      <c r="F686" t="s">
        <v>6510</v>
      </c>
      <c r="G686" t="s">
        <v>5384</v>
      </c>
      <c r="H686" t="s">
        <v>5093</v>
      </c>
      <c r="I686" t="s">
        <v>40</v>
      </c>
      <c r="J686" t="s">
        <v>41</v>
      </c>
      <c r="K686" s="20">
        <v>44249</v>
      </c>
      <c r="L686" t="s">
        <v>5131</v>
      </c>
      <c r="M686" t="s">
        <v>154</v>
      </c>
      <c r="N686" t="s">
        <v>154</v>
      </c>
    </row>
    <row r="687" spans="1:14" x14ac:dyDescent="0.25">
      <c r="A687" t="s">
        <v>6511</v>
      </c>
      <c r="B687" t="s">
        <v>6512</v>
      </c>
      <c r="C687" t="s">
        <v>5090</v>
      </c>
      <c r="D687" s="20">
        <v>25976</v>
      </c>
      <c r="E687">
        <v>9330303346</v>
      </c>
      <c r="F687" t="s">
        <v>6513</v>
      </c>
      <c r="G687" t="s">
        <v>5142</v>
      </c>
      <c r="H687" t="s">
        <v>5103</v>
      </c>
      <c r="I687" t="s">
        <v>38</v>
      </c>
      <c r="J687" t="s">
        <v>39</v>
      </c>
      <c r="K687" s="20">
        <v>45450</v>
      </c>
      <c r="L687" t="s">
        <v>5211</v>
      </c>
      <c r="M687" t="s">
        <v>154</v>
      </c>
      <c r="N687" t="s">
        <v>154</v>
      </c>
    </row>
    <row r="688" spans="1:14" x14ac:dyDescent="0.25">
      <c r="A688" t="s">
        <v>2802</v>
      </c>
      <c r="B688" t="s">
        <v>6514</v>
      </c>
      <c r="C688" t="s">
        <v>5115</v>
      </c>
      <c r="D688" s="20">
        <v>36576</v>
      </c>
      <c r="E688">
        <v>9627995530</v>
      </c>
      <c r="F688" t="s">
        <v>6515</v>
      </c>
      <c r="G688" t="s">
        <v>5145</v>
      </c>
      <c r="H688" t="s">
        <v>5098</v>
      </c>
      <c r="I688" t="s">
        <v>42</v>
      </c>
      <c r="J688" t="s">
        <v>44</v>
      </c>
      <c r="K688" s="20">
        <v>43144</v>
      </c>
      <c r="L688" t="s">
        <v>5146</v>
      </c>
      <c r="M688" t="s">
        <v>154</v>
      </c>
      <c r="N688" t="s">
        <v>154</v>
      </c>
    </row>
    <row r="689" spans="1:14" x14ac:dyDescent="0.25">
      <c r="A689" t="s">
        <v>2908</v>
      </c>
      <c r="B689" t="s">
        <v>6516</v>
      </c>
      <c r="C689" t="s">
        <v>5115</v>
      </c>
      <c r="D689" s="20">
        <v>24661</v>
      </c>
      <c r="E689">
        <v>9472303420</v>
      </c>
      <c r="F689" t="s">
        <v>6517</v>
      </c>
      <c r="G689" t="s">
        <v>5142</v>
      </c>
      <c r="H689" t="s">
        <v>5103</v>
      </c>
      <c r="I689" t="s">
        <v>38</v>
      </c>
      <c r="J689" t="s">
        <v>44</v>
      </c>
      <c r="K689" s="20">
        <v>45483</v>
      </c>
      <c r="L689" t="s">
        <v>5158</v>
      </c>
      <c r="M689" t="s">
        <v>154</v>
      </c>
      <c r="N689" t="s">
        <v>154</v>
      </c>
    </row>
    <row r="690" spans="1:14" x14ac:dyDescent="0.25">
      <c r="A690" t="s">
        <v>3136</v>
      </c>
      <c r="B690" t="s">
        <v>6518</v>
      </c>
      <c r="C690" t="s">
        <v>5090</v>
      </c>
      <c r="D690" s="20">
        <v>36842</v>
      </c>
      <c r="E690">
        <v>9722240507</v>
      </c>
      <c r="F690" t="s">
        <v>6519</v>
      </c>
      <c r="G690" t="s">
        <v>5177</v>
      </c>
      <c r="H690" t="s">
        <v>5112</v>
      </c>
      <c r="I690" t="s">
        <v>38</v>
      </c>
      <c r="J690" t="s">
        <v>44</v>
      </c>
      <c r="K690" s="20">
        <v>43168</v>
      </c>
      <c r="L690" t="s">
        <v>5104</v>
      </c>
      <c r="M690" t="s">
        <v>154</v>
      </c>
      <c r="N690" t="s">
        <v>154</v>
      </c>
    </row>
    <row r="691" spans="1:14" x14ac:dyDescent="0.25">
      <c r="A691" t="s">
        <v>2270</v>
      </c>
      <c r="B691" t="s">
        <v>6460</v>
      </c>
      <c r="C691" t="s">
        <v>5090</v>
      </c>
      <c r="D691" s="20">
        <v>31321</v>
      </c>
      <c r="E691">
        <v>9461992406</v>
      </c>
      <c r="F691" t="s">
        <v>6520</v>
      </c>
      <c r="G691" t="s">
        <v>5102</v>
      </c>
      <c r="H691" t="s">
        <v>5103</v>
      </c>
      <c r="I691" t="s">
        <v>38</v>
      </c>
      <c r="J691" t="s">
        <v>41</v>
      </c>
      <c r="K691" s="20">
        <v>45129</v>
      </c>
      <c r="L691" t="s">
        <v>5168</v>
      </c>
      <c r="M691" t="s">
        <v>154</v>
      </c>
      <c r="N691" t="s">
        <v>154</v>
      </c>
    </row>
    <row r="692" spans="1:14" x14ac:dyDescent="0.25">
      <c r="A692" t="s">
        <v>992</v>
      </c>
      <c r="B692" t="s">
        <v>6521</v>
      </c>
      <c r="C692" t="s">
        <v>5090</v>
      </c>
      <c r="D692" s="20">
        <v>38036</v>
      </c>
      <c r="E692">
        <v>9581225909</v>
      </c>
      <c r="F692" t="s">
        <v>6522</v>
      </c>
      <c r="G692" t="s">
        <v>5155</v>
      </c>
      <c r="H692" t="s">
        <v>5098</v>
      </c>
      <c r="I692" t="s">
        <v>42</v>
      </c>
      <c r="J692" t="s">
        <v>44</v>
      </c>
      <c r="K692" s="20">
        <v>45022</v>
      </c>
      <c r="L692" t="s">
        <v>5182</v>
      </c>
      <c r="M692" t="s">
        <v>154</v>
      </c>
      <c r="N692" t="s">
        <v>154</v>
      </c>
    </row>
    <row r="693" spans="1:14" x14ac:dyDescent="0.25">
      <c r="A693" t="s">
        <v>1646</v>
      </c>
      <c r="B693" t="s">
        <v>6523</v>
      </c>
      <c r="C693" t="s">
        <v>5115</v>
      </c>
      <c r="D693" s="20">
        <v>35418</v>
      </c>
      <c r="E693">
        <v>9733791212</v>
      </c>
      <c r="F693" t="s">
        <v>6524</v>
      </c>
      <c r="G693" t="s">
        <v>5276</v>
      </c>
      <c r="H693" t="s">
        <v>5118</v>
      </c>
      <c r="I693" t="s">
        <v>40</v>
      </c>
      <c r="J693" t="s">
        <v>44</v>
      </c>
      <c r="K693" s="20">
        <v>43704</v>
      </c>
      <c r="L693" t="s">
        <v>5178</v>
      </c>
      <c r="M693" t="s">
        <v>154</v>
      </c>
      <c r="N693" t="s">
        <v>154</v>
      </c>
    </row>
    <row r="694" spans="1:14" x14ac:dyDescent="0.25">
      <c r="A694" t="s">
        <v>3472</v>
      </c>
      <c r="B694" t="s">
        <v>6525</v>
      </c>
      <c r="C694" t="s">
        <v>5115</v>
      </c>
      <c r="D694" s="20">
        <v>32441</v>
      </c>
      <c r="E694">
        <v>9690170740</v>
      </c>
      <c r="F694" t="s">
        <v>6526</v>
      </c>
      <c r="G694" t="s">
        <v>5292</v>
      </c>
      <c r="H694" t="s">
        <v>5098</v>
      </c>
      <c r="I694" t="s">
        <v>42</v>
      </c>
      <c r="J694" t="s">
        <v>43</v>
      </c>
      <c r="K694" s="20">
        <v>44520</v>
      </c>
      <c r="L694" t="s">
        <v>5158</v>
      </c>
      <c r="M694" t="s">
        <v>154</v>
      </c>
      <c r="N694" t="s">
        <v>154</v>
      </c>
    </row>
    <row r="695" spans="1:14" x14ac:dyDescent="0.25">
      <c r="A695" t="s">
        <v>867</v>
      </c>
      <c r="B695" t="s">
        <v>6527</v>
      </c>
      <c r="C695" t="s">
        <v>5090</v>
      </c>
      <c r="D695" s="20">
        <v>33372</v>
      </c>
      <c r="E695">
        <v>9951712227</v>
      </c>
      <c r="F695" t="s">
        <v>6528</v>
      </c>
      <c r="G695" t="s">
        <v>5189</v>
      </c>
      <c r="H695" t="s">
        <v>5112</v>
      </c>
      <c r="I695" t="s">
        <v>38</v>
      </c>
      <c r="J695" t="s">
        <v>43</v>
      </c>
      <c r="K695" s="20">
        <v>44554</v>
      </c>
      <c r="L695" t="s">
        <v>5165</v>
      </c>
      <c r="M695" t="s">
        <v>154</v>
      </c>
      <c r="N695" t="s">
        <v>154</v>
      </c>
    </row>
    <row r="696" spans="1:14" x14ac:dyDescent="0.25">
      <c r="A696" t="s">
        <v>1726</v>
      </c>
      <c r="B696" t="s">
        <v>6529</v>
      </c>
      <c r="C696" t="s">
        <v>5090</v>
      </c>
      <c r="D696" s="20">
        <v>32878</v>
      </c>
      <c r="E696">
        <v>9221626549</v>
      </c>
      <c r="F696" t="s">
        <v>6530</v>
      </c>
      <c r="G696" t="s">
        <v>5155</v>
      </c>
      <c r="H696" t="s">
        <v>5098</v>
      </c>
      <c r="I696" t="s">
        <v>42</v>
      </c>
      <c r="J696" t="s">
        <v>43</v>
      </c>
      <c r="K696" s="20">
        <v>44578</v>
      </c>
      <c r="L696" t="s">
        <v>5113</v>
      </c>
      <c r="M696" t="s">
        <v>154</v>
      </c>
      <c r="N696" t="s">
        <v>154</v>
      </c>
    </row>
    <row r="697" spans="1:14" x14ac:dyDescent="0.25">
      <c r="A697" t="s">
        <v>2610</v>
      </c>
      <c r="B697" t="s">
        <v>6531</v>
      </c>
      <c r="C697" t="s">
        <v>5090</v>
      </c>
      <c r="D697" s="20">
        <v>35867</v>
      </c>
      <c r="E697">
        <v>9447048878</v>
      </c>
      <c r="F697" t="s">
        <v>6532</v>
      </c>
      <c r="G697" t="s">
        <v>5231</v>
      </c>
      <c r="H697" t="s">
        <v>5103</v>
      </c>
      <c r="I697" t="s">
        <v>38</v>
      </c>
      <c r="J697" t="s">
        <v>44</v>
      </c>
      <c r="K697" s="20">
        <v>43929</v>
      </c>
      <c r="L697" t="s">
        <v>5113</v>
      </c>
      <c r="M697" t="s">
        <v>154</v>
      </c>
      <c r="N697" t="s">
        <v>154</v>
      </c>
    </row>
    <row r="698" spans="1:14" x14ac:dyDescent="0.25">
      <c r="A698" t="s">
        <v>2086</v>
      </c>
      <c r="B698" t="s">
        <v>6533</v>
      </c>
      <c r="C698" t="s">
        <v>5090</v>
      </c>
      <c r="D698" s="20">
        <v>28182</v>
      </c>
      <c r="E698">
        <v>9968519537</v>
      </c>
      <c r="F698" t="s">
        <v>6534</v>
      </c>
      <c r="G698" t="s">
        <v>5136</v>
      </c>
      <c r="H698" t="s">
        <v>5098</v>
      </c>
      <c r="I698" t="s">
        <v>42</v>
      </c>
      <c r="J698" t="s">
        <v>44</v>
      </c>
      <c r="K698" s="20">
        <v>43143</v>
      </c>
      <c r="L698" t="s">
        <v>5094</v>
      </c>
      <c r="M698" t="s">
        <v>154</v>
      </c>
      <c r="N698" t="s">
        <v>154</v>
      </c>
    </row>
    <row r="699" spans="1:14" x14ac:dyDescent="0.25">
      <c r="A699" t="s">
        <v>568</v>
      </c>
      <c r="B699" t="s">
        <v>6535</v>
      </c>
      <c r="C699" t="s">
        <v>5115</v>
      </c>
      <c r="D699" s="20">
        <v>30741</v>
      </c>
      <c r="E699">
        <v>9634277752</v>
      </c>
      <c r="F699" t="s">
        <v>6536</v>
      </c>
      <c r="G699" t="s">
        <v>5238</v>
      </c>
      <c r="H699" t="s">
        <v>5093</v>
      </c>
      <c r="I699" t="s">
        <v>40</v>
      </c>
      <c r="J699" t="s">
        <v>44</v>
      </c>
      <c r="K699" s="20">
        <v>45549</v>
      </c>
      <c r="L699" t="s">
        <v>5168</v>
      </c>
      <c r="M699" t="s">
        <v>154</v>
      </c>
      <c r="N699" t="s">
        <v>154</v>
      </c>
    </row>
    <row r="700" spans="1:14" x14ac:dyDescent="0.25">
      <c r="A700" t="s">
        <v>6537</v>
      </c>
      <c r="B700" t="s">
        <v>5389</v>
      </c>
      <c r="C700" t="s">
        <v>5090</v>
      </c>
      <c r="D700" s="20">
        <v>30597</v>
      </c>
      <c r="E700">
        <v>9920592294</v>
      </c>
      <c r="F700" t="s">
        <v>6538</v>
      </c>
      <c r="G700" t="s">
        <v>5248</v>
      </c>
      <c r="H700" t="s">
        <v>5103</v>
      </c>
      <c r="I700" t="s">
        <v>38</v>
      </c>
      <c r="J700" t="s">
        <v>39</v>
      </c>
      <c r="K700" s="20">
        <v>43443</v>
      </c>
      <c r="L700" t="s">
        <v>5182</v>
      </c>
      <c r="M700" t="s">
        <v>154</v>
      </c>
      <c r="N700" t="s">
        <v>154</v>
      </c>
    </row>
    <row r="701" spans="1:14" x14ac:dyDescent="0.25">
      <c r="A701" t="s">
        <v>2102</v>
      </c>
      <c r="B701" t="s">
        <v>6539</v>
      </c>
      <c r="C701" t="s">
        <v>5115</v>
      </c>
      <c r="D701" s="20">
        <v>24431</v>
      </c>
      <c r="E701">
        <v>9363726294</v>
      </c>
      <c r="F701" t="s">
        <v>6540</v>
      </c>
      <c r="G701" t="s">
        <v>5174</v>
      </c>
      <c r="H701" t="s">
        <v>5093</v>
      </c>
      <c r="I701" t="s">
        <v>40</v>
      </c>
      <c r="J701" t="s">
        <v>39</v>
      </c>
      <c r="K701" s="20">
        <v>45483</v>
      </c>
      <c r="L701" t="s">
        <v>5127</v>
      </c>
      <c r="M701" t="s">
        <v>154</v>
      </c>
      <c r="N701" t="s">
        <v>154</v>
      </c>
    </row>
    <row r="702" spans="1:14" x14ac:dyDescent="0.25">
      <c r="A702" t="s">
        <v>1170</v>
      </c>
      <c r="B702" t="s">
        <v>6541</v>
      </c>
      <c r="C702" t="s">
        <v>5115</v>
      </c>
      <c r="D702" s="20">
        <v>29235</v>
      </c>
      <c r="E702">
        <v>9133138004</v>
      </c>
      <c r="F702" t="s">
        <v>6542</v>
      </c>
      <c r="G702" t="s">
        <v>5276</v>
      </c>
      <c r="H702" t="s">
        <v>5118</v>
      </c>
      <c r="I702" t="s">
        <v>40</v>
      </c>
      <c r="J702" t="s">
        <v>39</v>
      </c>
      <c r="K702" s="20">
        <v>45358</v>
      </c>
      <c r="L702" t="s">
        <v>5168</v>
      </c>
      <c r="M702" t="s">
        <v>154</v>
      </c>
      <c r="N702" t="s">
        <v>154</v>
      </c>
    </row>
    <row r="703" spans="1:14" x14ac:dyDescent="0.25">
      <c r="A703" t="s">
        <v>245</v>
      </c>
      <c r="B703" t="s">
        <v>6543</v>
      </c>
      <c r="C703" t="s">
        <v>5090</v>
      </c>
      <c r="D703" s="20">
        <v>24795</v>
      </c>
      <c r="E703">
        <v>9154815826</v>
      </c>
      <c r="F703" t="s">
        <v>6544</v>
      </c>
      <c r="G703" t="s">
        <v>5142</v>
      </c>
      <c r="H703" t="s">
        <v>5103</v>
      </c>
      <c r="I703" t="s">
        <v>38</v>
      </c>
      <c r="J703" t="s">
        <v>44</v>
      </c>
      <c r="K703" s="20">
        <v>43487</v>
      </c>
      <c r="L703" t="s">
        <v>5165</v>
      </c>
      <c r="M703" t="s">
        <v>154</v>
      </c>
      <c r="N703" t="s">
        <v>154</v>
      </c>
    </row>
    <row r="704" spans="1:14" x14ac:dyDescent="0.25">
      <c r="A704" t="s">
        <v>1723</v>
      </c>
      <c r="B704" t="s">
        <v>6545</v>
      </c>
      <c r="C704" t="s">
        <v>5115</v>
      </c>
      <c r="D704" s="20">
        <v>28624</v>
      </c>
      <c r="E704">
        <v>9548806442</v>
      </c>
      <c r="F704" t="s">
        <v>6546</v>
      </c>
      <c r="G704" t="s">
        <v>5171</v>
      </c>
      <c r="H704" t="s">
        <v>5103</v>
      </c>
      <c r="I704" t="s">
        <v>38</v>
      </c>
      <c r="J704" t="s">
        <v>44</v>
      </c>
      <c r="K704" s="20">
        <v>43550</v>
      </c>
      <c r="L704" t="s">
        <v>5186</v>
      </c>
      <c r="M704" t="s">
        <v>154</v>
      </c>
      <c r="N704" t="s">
        <v>154</v>
      </c>
    </row>
    <row r="705" spans="1:14" x14ac:dyDescent="0.25">
      <c r="A705" t="s">
        <v>2673</v>
      </c>
      <c r="B705" t="s">
        <v>5795</v>
      </c>
      <c r="C705" t="s">
        <v>5115</v>
      </c>
      <c r="D705" s="20">
        <v>33082</v>
      </c>
      <c r="E705">
        <v>9358566464</v>
      </c>
      <c r="F705" t="s">
        <v>6547</v>
      </c>
      <c r="G705" t="s">
        <v>5181</v>
      </c>
      <c r="H705" t="s">
        <v>5112</v>
      </c>
      <c r="I705" t="s">
        <v>38</v>
      </c>
      <c r="J705" t="s">
        <v>39</v>
      </c>
      <c r="K705" s="20">
        <v>45249</v>
      </c>
      <c r="L705" t="s">
        <v>5137</v>
      </c>
      <c r="M705" t="s">
        <v>154</v>
      </c>
      <c r="N705" t="s">
        <v>154</v>
      </c>
    </row>
    <row r="706" spans="1:14" x14ac:dyDescent="0.25">
      <c r="A706" t="s">
        <v>3414</v>
      </c>
      <c r="B706" t="s">
        <v>6548</v>
      </c>
      <c r="C706" t="s">
        <v>5090</v>
      </c>
      <c r="D706" s="20">
        <v>28595</v>
      </c>
      <c r="E706">
        <v>9213204104</v>
      </c>
      <c r="F706" t="s">
        <v>6549</v>
      </c>
      <c r="G706" t="s">
        <v>5122</v>
      </c>
      <c r="H706" t="s">
        <v>5093</v>
      </c>
      <c r="I706" t="s">
        <v>40</v>
      </c>
      <c r="J706" t="s">
        <v>41</v>
      </c>
      <c r="K706" s="20">
        <v>44887</v>
      </c>
      <c r="L706" t="s">
        <v>5182</v>
      </c>
      <c r="M706" t="s">
        <v>154</v>
      </c>
      <c r="N706" t="s">
        <v>154</v>
      </c>
    </row>
    <row r="707" spans="1:14" x14ac:dyDescent="0.25">
      <c r="A707" t="s">
        <v>1660</v>
      </c>
      <c r="B707" t="s">
        <v>6550</v>
      </c>
      <c r="C707" t="s">
        <v>5090</v>
      </c>
      <c r="D707" s="20">
        <v>36782</v>
      </c>
      <c r="E707">
        <v>9117972699</v>
      </c>
      <c r="F707" t="s">
        <v>6551</v>
      </c>
      <c r="G707" t="s">
        <v>5369</v>
      </c>
      <c r="H707" t="s">
        <v>5103</v>
      </c>
      <c r="I707" t="s">
        <v>38</v>
      </c>
      <c r="J707" t="s">
        <v>44</v>
      </c>
      <c r="K707" s="20">
        <v>45194</v>
      </c>
      <c r="L707" t="s">
        <v>5108</v>
      </c>
      <c r="M707" t="s">
        <v>154</v>
      </c>
      <c r="N707" t="s">
        <v>154</v>
      </c>
    </row>
    <row r="708" spans="1:14" x14ac:dyDescent="0.25">
      <c r="A708" t="s">
        <v>1857</v>
      </c>
      <c r="B708" t="s">
        <v>6552</v>
      </c>
      <c r="C708" t="s">
        <v>5090</v>
      </c>
      <c r="D708" s="20">
        <v>35058</v>
      </c>
      <c r="E708">
        <v>9180036660</v>
      </c>
      <c r="F708" t="s">
        <v>6553</v>
      </c>
      <c r="G708" t="s">
        <v>5111</v>
      </c>
      <c r="H708" t="s">
        <v>5112</v>
      </c>
      <c r="I708" t="s">
        <v>38</v>
      </c>
      <c r="J708" t="s">
        <v>44</v>
      </c>
      <c r="K708" s="20">
        <v>45205</v>
      </c>
      <c r="L708" t="s">
        <v>5208</v>
      </c>
      <c r="M708" t="s">
        <v>154</v>
      </c>
      <c r="N708" t="s">
        <v>154</v>
      </c>
    </row>
    <row r="709" spans="1:14" x14ac:dyDescent="0.25">
      <c r="A709" t="s">
        <v>3243</v>
      </c>
      <c r="B709" t="s">
        <v>6554</v>
      </c>
      <c r="C709" t="s">
        <v>5090</v>
      </c>
      <c r="D709" s="20">
        <v>29441</v>
      </c>
      <c r="E709">
        <v>9631050524</v>
      </c>
      <c r="F709" t="s">
        <v>6555</v>
      </c>
      <c r="G709" t="s">
        <v>5238</v>
      </c>
      <c r="H709" t="s">
        <v>5093</v>
      </c>
      <c r="I709" t="s">
        <v>40</v>
      </c>
      <c r="J709" t="s">
        <v>39</v>
      </c>
      <c r="K709" s="20">
        <v>43893</v>
      </c>
      <c r="L709" t="s">
        <v>5158</v>
      </c>
      <c r="M709" t="s">
        <v>154</v>
      </c>
      <c r="N709" t="s">
        <v>154</v>
      </c>
    </row>
    <row r="710" spans="1:14" x14ac:dyDescent="0.25">
      <c r="A710" t="s">
        <v>2702</v>
      </c>
      <c r="B710" t="s">
        <v>6556</v>
      </c>
      <c r="C710" t="s">
        <v>5090</v>
      </c>
      <c r="D710" s="20">
        <v>35372</v>
      </c>
      <c r="E710">
        <v>9929900768</v>
      </c>
      <c r="F710" t="s">
        <v>6557</v>
      </c>
      <c r="G710" t="s">
        <v>5130</v>
      </c>
      <c r="H710" t="s">
        <v>5103</v>
      </c>
      <c r="I710" t="s">
        <v>38</v>
      </c>
      <c r="J710" t="s">
        <v>41</v>
      </c>
      <c r="K710" s="20">
        <v>43763</v>
      </c>
      <c r="L710" t="s">
        <v>5131</v>
      </c>
      <c r="M710" t="s">
        <v>154</v>
      </c>
      <c r="N710" t="s">
        <v>154</v>
      </c>
    </row>
    <row r="711" spans="1:14" x14ac:dyDescent="0.25">
      <c r="A711" t="s">
        <v>1770</v>
      </c>
      <c r="B711" t="s">
        <v>6558</v>
      </c>
      <c r="C711" t="s">
        <v>5115</v>
      </c>
      <c r="D711" s="20">
        <v>39038</v>
      </c>
      <c r="E711">
        <v>9896337618</v>
      </c>
      <c r="F711" t="s">
        <v>6559</v>
      </c>
      <c r="G711" t="s">
        <v>5185</v>
      </c>
      <c r="H711" t="s">
        <v>5093</v>
      </c>
      <c r="I711" t="s">
        <v>40</v>
      </c>
      <c r="J711" t="s">
        <v>43</v>
      </c>
      <c r="K711" s="20">
        <v>45377</v>
      </c>
      <c r="L711" t="s">
        <v>5208</v>
      </c>
      <c r="M711" t="s">
        <v>154</v>
      </c>
      <c r="N711" t="s">
        <v>154</v>
      </c>
    </row>
    <row r="712" spans="1:14" x14ac:dyDescent="0.25">
      <c r="A712" t="s">
        <v>163</v>
      </c>
      <c r="B712" t="s">
        <v>6560</v>
      </c>
      <c r="C712" t="s">
        <v>5090</v>
      </c>
      <c r="D712" s="20">
        <v>26643</v>
      </c>
      <c r="E712">
        <v>9410132823</v>
      </c>
      <c r="F712" t="s">
        <v>6561</v>
      </c>
      <c r="G712" t="s">
        <v>5107</v>
      </c>
      <c r="H712" t="s">
        <v>5098</v>
      </c>
      <c r="I712" t="s">
        <v>42</v>
      </c>
      <c r="J712" t="s">
        <v>43</v>
      </c>
      <c r="K712" s="20">
        <v>44878</v>
      </c>
      <c r="L712" t="s">
        <v>5158</v>
      </c>
      <c r="M712" t="s">
        <v>154</v>
      </c>
      <c r="N712" t="s">
        <v>154</v>
      </c>
    </row>
    <row r="713" spans="1:14" x14ac:dyDescent="0.25">
      <c r="A713" t="s">
        <v>2719</v>
      </c>
      <c r="B713" t="s">
        <v>6562</v>
      </c>
      <c r="C713" t="s">
        <v>5090</v>
      </c>
      <c r="D713" s="20">
        <v>34769</v>
      </c>
      <c r="E713">
        <v>9279187506</v>
      </c>
      <c r="F713" t="s">
        <v>6563</v>
      </c>
      <c r="G713" t="s">
        <v>5177</v>
      </c>
      <c r="H713" t="s">
        <v>5112</v>
      </c>
      <c r="I713" t="s">
        <v>38</v>
      </c>
      <c r="J713" t="s">
        <v>39</v>
      </c>
      <c r="K713" s="20">
        <v>44017</v>
      </c>
      <c r="L713" t="s">
        <v>5094</v>
      </c>
      <c r="M713" t="s">
        <v>154</v>
      </c>
      <c r="N713" t="s">
        <v>154</v>
      </c>
    </row>
    <row r="714" spans="1:14" x14ac:dyDescent="0.25">
      <c r="A714" t="s">
        <v>1152</v>
      </c>
      <c r="B714" t="s">
        <v>6564</v>
      </c>
      <c r="C714" t="s">
        <v>5115</v>
      </c>
      <c r="D714" s="20">
        <v>30665</v>
      </c>
      <c r="E714">
        <v>9814319279</v>
      </c>
      <c r="F714" t="s">
        <v>6565</v>
      </c>
      <c r="G714" t="s">
        <v>5276</v>
      </c>
      <c r="H714" t="s">
        <v>5118</v>
      </c>
      <c r="I714" t="s">
        <v>40</v>
      </c>
      <c r="J714" t="s">
        <v>43</v>
      </c>
      <c r="K714" s="20">
        <v>45701</v>
      </c>
      <c r="L714" t="s">
        <v>5158</v>
      </c>
      <c r="M714" t="s">
        <v>154</v>
      </c>
      <c r="N714" t="s">
        <v>154</v>
      </c>
    </row>
    <row r="715" spans="1:14" x14ac:dyDescent="0.25">
      <c r="A715" t="s">
        <v>186</v>
      </c>
      <c r="B715" t="s">
        <v>6566</v>
      </c>
      <c r="C715" t="s">
        <v>5090</v>
      </c>
      <c r="D715" s="20">
        <v>38787</v>
      </c>
      <c r="E715">
        <v>9983845720</v>
      </c>
      <c r="F715" t="s">
        <v>6567</v>
      </c>
      <c r="G715" t="s">
        <v>5271</v>
      </c>
      <c r="H715" t="s">
        <v>5112</v>
      </c>
      <c r="I715" t="s">
        <v>38</v>
      </c>
      <c r="J715" t="s">
        <v>43</v>
      </c>
      <c r="K715" s="20">
        <v>45531</v>
      </c>
      <c r="L715" t="s">
        <v>5131</v>
      </c>
      <c r="M715" t="s">
        <v>154</v>
      </c>
      <c r="N715" t="s">
        <v>154</v>
      </c>
    </row>
    <row r="716" spans="1:14" x14ac:dyDescent="0.25">
      <c r="A716" t="s">
        <v>6568</v>
      </c>
      <c r="B716" t="s">
        <v>6569</v>
      </c>
      <c r="C716" t="s">
        <v>5090</v>
      </c>
      <c r="D716" s="20">
        <v>35145</v>
      </c>
      <c r="E716">
        <v>9591257349</v>
      </c>
      <c r="F716" t="s">
        <v>6570</v>
      </c>
      <c r="G716" t="s">
        <v>5292</v>
      </c>
      <c r="H716" t="s">
        <v>5098</v>
      </c>
      <c r="I716" t="s">
        <v>42</v>
      </c>
      <c r="J716" t="s">
        <v>39</v>
      </c>
      <c r="K716" s="20">
        <v>43800</v>
      </c>
      <c r="L716" t="s">
        <v>5099</v>
      </c>
      <c r="M716" t="s">
        <v>154</v>
      </c>
      <c r="N716" t="s">
        <v>154</v>
      </c>
    </row>
    <row r="717" spans="1:14" x14ac:dyDescent="0.25">
      <c r="A717" t="s">
        <v>1420</v>
      </c>
      <c r="B717" t="s">
        <v>6571</v>
      </c>
      <c r="C717" t="s">
        <v>5090</v>
      </c>
      <c r="D717" s="20">
        <v>29086</v>
      </c>
      <c r="E717">
        <v>9742990747</v>
      </c>
      <c r="F717" t="s">
        <v>6572</v>
      </c>
      <c r="G717" t="s">
        <v>5092</v>
      </c>
      <c r="H717" t="s">
        <v>5093</v>
      </c>
      <c r="I717" t="s">
        <v>40</v>
      </c>
      <c r="J717" t="s">
        <v>44</v>
      </c>
      <c r="K717" s="20">
        <v>45674</v>
      </c>
      <c r="L717" t="s">
        <v>5119</v>
      </c>
      <c r="M717" t="s">
        <v>154</v>
      </c>
      <c r="N717" t="s">
        <v>154</v>
      </c>
    </row>
    <row r="718" spans="1:14" x14ac:dyDescent="0.25">
      <c r="A718" t="s">
        <v>4106</v>
      </c>
      <c r="B718" t="s">
        <v>6573</v>
      </c>
      <c r="C718" t="s">
        <v>5090</v>
      </c>
      <c r="D718" s="20">
        <v>33413</v>
      </c>
      <c r="E718">
        <v>9670808974</v>
      </c>
      <c r="F718" t="s">
        <v>6574</v>
      </c>
      <c r="G718" t="s">
        <v>5201</v>
      </c>
      <c r="H718" t="s">
        <v>5118</v>
      </c>
      <c r="I718" t="s">
        <v>40</v>
      </c>
      <c r="J718" t="s">
        <v>44</v>
      </c>
      <c r="K718" s="20">
        <v>45452</v>
      </c>
      <c r="L718" t="s">
        <v>5099</v>
      </c>
      <c r="M718" t="s">
        <v>154</v>
      </c>
      <c r="N718" t="s">
        <v>154</v>
      </c>
    </row>
    <row r="719" spans="1:14" x14ac:dyDescent="0.25">
      <c r="A719" t="s">
        <v>1428</v>
      </c>
      <c r="B719" t="s">
        <v>6575</v>
      </c>
      <c r="C719" t="s">
        <v>5115</v>
      </c>
      <c r="D719" s="20">
        <v>37679</v>
      </c>
      <c r="E719">
        <v>9398416734</v>
      </c>
      <c r="F719" t="s">
        <v>6576</v>
      </c>
      <c r="G719" t="s">
        <v>5304</v>
      </c>
      <c r="H719" t="s">
        <v>5112</v>
      </c>
      <c r="I719" t="s">
        <v>38</v>
      </c>
      <c r="J719" t="s">
        <v>39</v>
      </c>
      <c r="K719" s="20">
        <v>43409</v>
      </c>
      <c r="L719" t="s">
        <v>5186</v>
      </c>
      <c r="M719" t="s">
        <v>154</v>
      </c>
      <c r="N719" t="s">
        <v>154</v>
      </c>
    </row>
    <row r="720" spans="1:14" x14ac:dyDescent="0.25">
      <c r="A720" t="s">
        <v>4532</v>
      </c>
      <c r="B720" t="s">
        <v>6577</v>
      </c>
      <c r="C720" t="s">
        <v>5090</v>
      </c>
      <c r="D720" s="20">
        <v>30274</v>
      </c>
      <c r="E720">
        <v>9498044509</v>
      </c>
      <c r="F720" t="s">
        <v>6578</v>
      </c>
      <c r="G720" t="s">
        <v>5189</v>
      </c>
      <c r="H720" t="s">
        <v>5112</v>
      </c>
      <c r="I720" t="s">
        <v>38</v>
      </c>
      <c r="J720" t="s">
        <v>44</v>
      </c>
      <c r="K720" s="20">
        <v>43538</v>
      </c>
      <c r="L720" t="s">
        <v>5127</v>
      </c>
      <c r="M720" t="s">
        <v>154</v>
      </c>
      <c r="N720" t="s">
        <v>154</v>
      </c>
    </row>
    <row r="721" spans="1:14" x14ac:dyDescent="0.25">
      <c r="A721" t="s">
        <v>1585</v>
      </c>
      <c r="B721" t="s">
        <v>5874</v>
      </c>
      <c r="C721" t="s">
        <v>5090</v>
      </c>
      <c r="D721" s="20">
        <v>38092</v>
      </c>
      <c r="E721">
        <v>9262706648</v>
      </c>
      <c r="F721" t="s">
        <v>6579</v>
      </c>
      <c r="G721" t="s">
        <v>5130</v>
      </c>
      <c r="H721" t="s">
        <v>5103</v>
      </c>
      <c r="I721" t="s">
        <v>38</v>
      </c>
      <c r="J721" t="s">
        <v>44</v>
      </c>
      <c r="K721" s="20">
        <v>43585</v>
      </c>
      <c r="L721" t="s">
        <v>5123</v>
      </c>
      <c r="M721" t="s">
        <v>154</v>
      </c>
      <c r="N721" t="s">
        <v>154</v>
      </c>
    </row>
    <row r="722" spans="1:14" x14ac:dyDescent="0.25">
      <c r="A722" t="s">
        <v>501</v>
      </c>
      <c r="B722" t="s">
        <v>6580</v>
      </c>
      <c r="C722" t="s">
        <v>5090</v>
      </c>
      <c r="D722" s="20">
        <v>26678</v>
      </c>
      <c r="E722">
        <v>9130889830</v>
      </c>
      <c r="F722" t="s">
        <v>6581</v>
      </c>
      <c r="G722" t="s">
        <v>5276</v>
      </c>
      <c r="H722" t="s">
        <v>5118</v>
      </c>
      <c r="I722" t="s">
        <v>40</v>
      </c>
      <c r="J722" t="s">
        <v>44</v>
      </c>
      <c r="K722" s="20">
        <v>44569</v>
      </c>
      <c r="L722" t="s">
        <v>5186</v>
      </c>
      <c r="M722" t="s">
        <v>154</v>
      </c>
      <c r="N722" t="s">
        <v>154</v>
      </c>
    </row>
    <row r="723" spans="1:14" x14ac:dyDescent="0.25">
      <c r="A723" t="s">
        <v>1245</v>
      </c>
      <c r="B723" t="s">
        <v>6398</v>
      </c>
      <c r="C723" t="s">
        <v>5115</v>
      </c>
      <c r="D723" s="20">
        <v>27625</v>
      </c>
      <c r="E723">
        <v>9856302750</v>
      </c>
      <c r="F723" t="s">
        <v>6582</v>
      </c>
      <c r="G723" t="s">
        <v>5189</v>
      </c>
      <c r="H723" t="s">
        <v>5112</v>
      </c>
      <c r="I723" t="s">
        <v>38</v>
      </c>
      <c r="J723" t="s">
        <v>44</v>
      </c>
      <c r="K723" s="20">
        <v>44173</v>
      </c>
      <c r="L723" t="s">
        <v>5211</v>
      </c>
      <c r="M723" t="s">
        <v>154</v>
      </c>
      <c r="N723" t="s">
        <v>154</v>
      </c>
    </row>
    <row r="724" spans="1:14" x14ac:dyDescent="0.25">
      <c r="A724" t="s">
        <v>1259</v>
      </c>
      <c r="B724" t="s">
        <v>6583</v>
      </c>
      <c r="C724" t="s">
        <v>5115</v>
      </c>
      <c r="D724" s="20">
        <v>35542</v>
      </c>
      <c r="E724">
        <v>9530564184</v>
      </c>
      <c r="F724" t="s">
        <v>6584</v>
      </c>
      <c r="G724" t="s">
        <v>5097</v>
      </c>
      <c r="H724" t="s">
        <v>5098</v>
      </c>
      <c r="I724" t="s">
        <v>42</v>
      </c>
      <c r="J724" t="s">
        <v>39</v>
      </c>
      <c r="K724" s="20">
        <v>45526</v>
      </c>
      <c r="L724" t="s">
        <v>5099</v>
      </c>
      <c r="M724" t="s">
        <v>154</v>
      </c>
      <c r="N724" t="s">
        <v>154</v>
      </c>
    </row>
    <row r="725" spans="1:14" x14ac:dyDescent="0.25">
      <c r="A725" t="s">
        <v>4640</v>
      </c>
      <c r="B725" t="s">
        <v>6585</v>
      </c>
      <c r="C725" t="s">
        <v>5115</v>
      </c>
      <c r="D725" s="20">
        <v>34637</v>
      </c>
      <c r="E725">
        <v>9701872600</v>
      </c>
      <c r="F725" t="s">
        <v>6586</v>
      </c>
      <c r="G725" t="s">
        <v>5117</v>
      </c>
      <c r="H725" t="s">
        <v>5118</v>
      </c>
      <c r="I725" t="s">
        <v>40</v>
      </c>
      <c r="J725" t="s">
        <v>39</v>
      </c>
      <c r="K725" s="20">
        <v>43313</v>
      </c>
      <c r="L725" t="s">
        <v>5186</v>
      </c>
      <c r="M725" t="s">
        <v>154</v>
      </c>
      <c r="N725" t="s">
        <v>154</v>
      </c>
    </row>
    <row r="726" spans="1:14" x14ac:dyDescent="0.25">
      <c r="A726" t="s">
        <v>1377</v>
      </c>
      <c r="B726" t="s">
        <v>6587</v>
      </c>
      <c r="C726" t="s">
        <v>5090</v>
      </c>
      <c r="D726" s="20">
        <v>29843</v>
      </c>
      <c r="E726">
        <v>9429906745</v>
      </c>
      <c r="F726" t="s">
        <v>6588</v>
      </c>
      <c r="G726" t="s">
        <v>5214</v>
      </c>
      <c r="H726" t="s">
        <v>5103</v>
      </c>
      <c r="I726" t="s">
        <v>38</v>
      </c>
      <c r="J726" t="s">
        <v>43</v>
      </c>
      <c r="K726" s="20">
        <v>44311</v>
      </c>
      <c r="L726" t="s">
        <v>5113</v>
      </c>
      <c r="M726" t="s">
        <v>154</v>
      </c>
      <c r="N726" t="s">
        <v>154</v>
      </c>
    </row>
    <row r="727" spans="1:14" x14ac:dyDescent="0.25">
      <c r="A727" t="s">
        <v>1582</v>
      </c>
      <c r="B727" t="s">
        <v>6589</v>
      </c>
      <c r="C727" t="s">
        <v>5090</v>
      </c>
      <c r="D727" s="20">
        <v>26443</v>
      </c>
      <c r="E727">
        <v>9559967256</v>
      </c>
      <c r="F727" t="s">
        <v>6590</v>
      </c>
      <c r="G727" t="s">
        <v>5201</v>
      </c>
      <c r="H727" t="s">
        <v>5118</v>
      </c>
      <c r="I727" t="s">
        <v>40</v>
      </c>
      <c r="J727" t="s">
        <v>39</v>
      </c>
      <c r="K727" s="20">
        <v>43617</v>
      </c>
      <c r="L727" t="s">
        <v>5211</v>
      </c>
      <c r="M727" t="s">
        <v>154</v>
      </c>
      <c r="N727" t="s">
        <v>154</v>
      </c>
    </row>
    <row r="728" spans="1:14" x14ac:dyDescent="0.25">
      <c r="A728" t="s">
        <v>2263</v>
      </c>
      <c r="B728" t="s">
        <v>6591</v>
      </c>
      <c r="C728" t="s">
        <v>5115</v>
      </c>
      <c r="D728" s="20">
        <v>33720</v>
      </c>
      <c r="E728">
        <v>9704747648</v>
      </c>
      <c r="F728" t="s">
        <v>6592</v>
      </c>
      <c r="G728" t="s">
        <v>5130</v>
      </c>
      <c r="H728" t="s">
        <v>5103</v>
      </c>
      <c r="I728" t="s">
        <v>38</v>
      </c>
      <c r="J728" t="s">
        <v>43</v>
      </c>
      <c r="K728" s="20">
        <v>45702</v>
      </c>
      <c r="L728" t="s">
        <v>5113</v>
      </c>
      <c r="M728" t="s">
        <v>154</v>
      </c>
      <c r="N728" t="s">
        <v>154</v>
      </c>
    </row>
    <row r="729" spans="1:14" x14ac:dyDescent="0.25">
      <c r="A729" t="s">
        <v>1831</v>
      </c>
      <c r="B729" t="s">
        <v>6593</v>
      </c>
      <c r="C729" t="s">
        <v>5090</v>
      </c>
      <c r="D729" s="20">
        <v>33528</v>
      </c>
      <c r="E729">
        <v>9835071245</v>
      </c>
      <c r="F729" t="s">
        <v>6594</v>
      </c>
      <c r="G729" t="s">
        <v>5257</v>
      </c>
      <c r="H729" t="s">
        <v>5093</v>
      </c>
      <c r="I729" t="s">
        <v>40</v>
      </c>
      <c r="J729" t="s">
        <v>39</v>
      </c>
      <c r="K729" s="20">
        <v>43495</v>
      </c>
      <c r="L729" t="s">
        <v>5178</v>
      </c>
      <c r="M729" t="s">
        <v>154</v>
      </c>
      <c r="N729" t="s">
        <v>154</v>
      </c>
    </row>
    <row r="730" spans="1:14" x14ac:dyDescent="0.25">
      <c r="A730" t="s">
        <v>2330</v>
      </c>
      <c r="B730" t="s">
        <v>6595</v>
      </c>
      <c r="C730" t="s">
        <v>5115</v>
      </c>
      <c r="D730" s="20">
        <v>24666</v>
      </c>
      <c r="E730">
        <v>9173277264</v>
      </c>
      <c r="F730" t="s">
        <v>6596</v>
      </c>
      <c r="G730" t="s">
        <v>5151</v>
      </c>
      <c r="H730" t="s">
        <v>5103</v>
      </c>
      <c r="I730" t="s">
        <v>38</v>
      </c>
      <c r="J730" t="s">
        <v>39</v>
      </c>
      <c r="K730" s="20">
        <v>43858</v>
      </c>
      <c r="L730" t="s">
        <v>5104</v>
      </c>
      <c r="M730" t="s">
        <v>154</v>
      </c>
      <c r="N730" t="s">
        <v>154</v>
      </c>
    </row>
    <row r="731" spans="1:14" x14ac:dyDescent="0.25">
      <c r="A731" t="s">
        <v>1888</v>
      </c>
      <c r="B731" t="s">
        <v>6597</v>
      </c>
      <c r="C731" t="s">
        <v>5090</v>
      </c>
      <c r="D731" s="20">
        <v>29420</v>
      </c>
      <c r="E731">
        <v>9522942525</v>
      </c>
      <c r="F731" t="s">
        <v>6598</v>
      </c>
      <c r="G731" t="s">
        <v>5304</v>
      </c>
      <c r="H731" t="s">
        <v>5112</v>
      </c>
      <c r="I731" t="s">
        <v>38</v>
      </c>
      <c r="J731" t="s">
        <v>44</v>
      </c>
      <c r="K731" s="20">
        <v>44416</v>
      </c>
      <c r="L731" t="s">
        <v>5158</v>
      </c>
      <c r="M731" t="s">
        <v>154</v>
      </c>
      <c r="N731" t="s">
        <v>154</v>
      </c>
    </row>
    <row r="732" spans="1:14" x14ac:dyDescent="0.25">
      <c r="A732" t="s">
        <v>2680</v>
      </c>
      <c r="B732" t="s">
        <v>6599</v>
      </c>
      <c r="C732" t="s">
        <v>5115</v>
      </c>
      <c r="D732" s="20">
        <v>31758</v>
      </c>
      <c r="E732">
        <v>9508054914</v>
      </c>
      <c r="F732" t="s">
        <v>6600</v>
      </c>
      <c r="G732" t="s">
        <v>5276</v>
      </c>
      <c r="H732" t="s">
        <v>5118</v>
      </c>
      <c r="I732" t="s">
        <v>40</v>
      </c>
      <c r="J732" t="s">
        <v>43</v>
      </c>
      <c r="K732" s="20">
        <v>43373</v>
      </c>
      <c r="L732" t="s">
        <v>5123</v>
      </c>
      <c r="M732" t="s">
        <v>154</v>
      </c>
      <c r="N732" t="s">
        <v>154</v>
      </c>
    </row>
    <row r="733" spans="1:14" x14ac:dyDescent="0.25">
      <c r="A733" t="s">
        <v>1967</v>
      </c>
      <c r="B733" t="s">
        <v>6601</v>
      </c>
      <c r="C733" t="s">
        <v>5115</v>
      </c>
      <c r="D733" s="20">
        <v>27516</v>
      </c>
      <c r="E733">
        <v>9784171594</v>
      </c>
      <c r="F733" t="s">
        <v>6602</v>
      </c>
      <c r="G733" t="s">
        <v>5331</v>
      </c>
      <c r="H733" t="s">
        <v>5118</v>
      </c>
      <c r="I733" t="s">
        <v>40</v>
      </c>
      <c r="J733" t="s">
        <v>39</v>
      </c>
      <c r="K733" s="20">
        <v>43679</v>
      </c>
      <c r="L733" t="s">
        <v>5113</v>
      </c>
      <c r="M733" t="s">
        <v>154</v>
      </c>
      <c r="N733" t="s">
        <v>154</v>
      </c>
    </row>
    <row r="734" spans="1:14" x14ac:dyDescent="0.25">
      <c r="A734" t="s">
        <v>2338</v>
      </c>
      <c r="B734" t="s">
        <v>6603</v>
      </c>
      <c r="C734" t="s">
        <v>5115</v>
      </c>
      <c r="D734" s="20">
        <v>37626</v>
      </c>
      <c r="E734">
        <v>9880331836</v>
      </c>
      <c r="F734" t="s">
        <v>6604</v>
      </c>
      <c r="G734" t="s">
        <v>5243</v>
      </c>
      <c r="H734" t="s">
        <v>5112</v>
      </c>
      <c r="I734" t="s">
        <v>38</v>
      </c>
      <c r="J734" t="s">
        <v>43</v>
      </c>
      <c r="K734" s="20">
        <v>44048</v>
      </c>
      <c r="L734" t="s">
        <v>5137</v>
      </c>
      <c r="M734" t="s">
        <v>154</v>
      </c>
      <c r="N734" t="s">
        <v>154</v>
      </c>
    </row>
    <row r="735" spans="1:14" x14ac:dyDescent="0.25">
      <c r="A735" t="s">
        <v>3798</v>
      </c>
      <c r="B735" t="s">
        <v>6605</v>
      </c>
      <c r="C735" t="s">
        <v>5090</v>
      </c>
      <c r="D735" s="20">
        <v>27669</v>
      </c>
      <c r="E735">
        <v>9878828152</v>
      </c>
      <c r="F735" t="s">
        <v>6606</v>
      </c>
      <c r="G735" t="s">
        <v>5189</v>
      </c>
      <c r="H735" t="s">
        <v>5112</v>
      </c>
      <c r="I735" t="s">
        <v>38</v>
      </c>
      <c r="J735" t="s">
        <v>44</v>
      </c>
      <c r="K735" s="20">
        <v>44850</v>
      </c>
      <c r="L735" t="s">
        <v>5123</v>
      </c>
      <c r="M735" t="s">
        <v>154</v>
      </c>
      <c r="N735" t="s">
        <v>154</v>
      </c>
    </row>
    <row r="736" spans="1:14" x14ac:dyDescent="0.25">
      <c r="A736" t="s">
        <v>1453</v>
      </c>
      <c r="B736" t="s">
        <v>6607</v>
      </c>
      <c r="C736" t="s">
        <v>5090</v>
      </c>
      <c r="D736" s="20">
        <v>28416</v>
      </c>
      <c r="E736">
        <v>9217465353</v>
      </c>
      <c r="F736" t="s">
        <v>6608</v>
      </c>
      <c r="G736" t="s">
        <v>5181</v>
      </c>
      <c r="H736" t="s">
        <v>5112</v>
      </c>
      <c r="I736" t="s">
        <v>38</v>
      </c>
      <c r="J736" t="s">
        <v>43</v>
      </c>
      <c r="K736" s="20">
        <v>43357</v>
      </c>
      <c r="L736" t="s">
        <v>5168</v>
      </c>
      <c r="M736" t="s">
        <v>154</v>
      </c>
      <c r="N736" t="s">
        <v>154</v>
      </c>
    </row>
    <row r="737" spans="1:14" x14ac:dyDescent="0.25">
      <c r="A737" t="s">
        <v>414</v>
      </c>
      <c r="B737" t="s">
        <v>6609</v>
      </c>
      <c r="C737" t="s">
        <v>5090</v>
      </c>
      <c r="D737" s="20">
        <v>25406</v>
      </c>
      <c r="E737">
        <v>9734467177</v>
      </c>
      <c r="F737" t="s">
        <v>6610</v>
      </c>
      <c r="G737" t="s">
        <v>5189</v>
      </c>
      <c r="H737" t="s">
        <v>5112</v>
      </c>
      <c r="I737" t="s">
        <v>38</v>
      </c>
      <c r="J737" t="s">
        <v>44</v>
      </c>
      <c r="K737" s="20">
        <v>44560</v>
      </c>
      <c r="L737" t="s">
        <v>5131</v>
      </c>
      <c r="M737" t="s">
        <v>154</v>
      </c>
      <c r="N737" t="s">
        <v>154</v>
      </c>
    </row>
    <row r="738" spans="1:14" x14ac:dyDescent="0.25">
      <c r="A738" t="s">
        <v>3423</v>
      </c>
      <c r="B738" t="s">
        <v>6611</v>
      </c>
      <c r="C738" t="s">
        <v>5090</v>
      </c>
      <c r="D738" s="20">
        <v>39015</v>
      </c>
      <c r="E738">
        <v>9999466450</v>
      </c>
      <c r="F738" t="s">
        <v>6612</v>
      </c>
      <c r="G738" t="s">
        <v>5369</v>
      </c>
      <c r="H738" t="s">
        <v>5103</v>
      </c>
      <c r="I738" t="s">
        <v>38</v>
      </c>
      <c r="J738" t="s">
        <v>43</v>
      </c>
      <c r="K738" s="20">
        <v>44723</v>
      </c>
      <c r="L738" t="s">
        <v>5182</v>
      </c>
      <c r="M738" t="s">
        <v>154</v>
      </c>
      <c r="N738" t="s">
        <v>154</v>
      </c>
    </row>
    <row r="739" spans="1:14" x14ac:dyDescent="0.25">
      <c r="A739" t="s">
        <v>840</v>
      </c>
      <c r="B739" t="s">
        <v>5885</v>
      </c>
      <c r="C739" t="s">
        <v>5090</v>
      </c>
      <c r="D739" s="20">
        <v>25580</v>
      </c>
      <c r="E739">
        <v>9390835211</v>
      </c>
      <c r="F739" t="s">
        <v>6613</v>
      </c>
      <c r="G739" t="s">
        <v>5231</v>
      </c>
      <c r="H739" t="s">
        <v>5103</v>
      </c>
      <c r="I739" t="s">
        <v>38</v>
      </c>
      <c r="J739" t="s">
        <v>41</v>
      </c>
      <c r="K739" s="20">
        <v>44494</v>
      </c>
      <c r="L739" t="s">
        <v>5137</v>
      </c>
      <c r="M739" t="s">
        <v>154</v>
      </c>
      <c r="N739" t="s">
        <v>154</v>
      </c>
    </row>
    <row r="740" spans="1:14" x14ac:dyDescent="0.25">
      <c r="A740" t="s">
        <v>1038</v>
      </c>
      <c r="B740" t="s">
        <v>6614</v>
      </c>
      <c r="C740" t="s">
        <v>5090</v>
      </c>
      <c r="D740" s="20">
        <v>38564</v>
      </c>
      <c r="E740">
        <v>9884997957</v>
      </c>
      <c r="F740" t="s">
        <v>6615</v>
      </c>
      <c r="G740" t="s">
        <v>5331</v>
      </c>
      <c r="H740" t="s">
        <v>5118</v>
      </c>
      <c r="I740" t="s">
        <v>40</v>
      </c>
      <c r="J740" t="s">
        <v>44</v>
      </c>
      <c r="K740" s="20">
        <v>44697</v>
      </c>
      <c r="L740" t="s">
        <v>5152</v>
      </c>
      <c r="M740" t="s">
        <v>154</v>
      </c>
      <c r="N740" t="s">
        <v>154</v>
      </c>
    </row>
    <row r="741" spans="1:14" x14ac:dyDescent="0.25">
      <c r="A741" t="s">
        <v>564</v>
      </c>
      <c r="B741" t="s">
        <v>6616</v>
      </c>
      <c r="C741" t="s">
        <v>5090</v>
      </c>
      <c r="D741" s="20">
        <v>29126</v>
      </c>
      <c r="E741">
        <v>9190221797</v>
      </c>
      <c r="F741" t="s">
        <v>6617</v>
      </c>
      <c r="G741" t="s">
        <v>5304</v>
      </c>
      <c r="H741" t="s">
        <v>5112</v>
      </c>
      <c r="I741" t="s">
        <v>38</v>
      </c>
      <c r="J741" t="s">
        <v>44</v>
      </c>
      <c r="K741" s="20">
        <v>43618</v>
      </c>
      <c r="L741" t="s">
        <v>5186</v>
      </c>
      <c r="M741" t="s">
        <v>154</v>
      </c>
      <c r="N741" t="s">
        <v>154</v>
      </c>
    </row>
    <row r="742" spans="1:14" x14ac:dyDescent="0.25">
      <c r="A742" t="s">
        <v>1149</v>
      </c>
      <c r="B742" t="s">
        <v>6618</v>
      </c>
      <c r="C742" t="s">
        <v>5090</v>
      </c>
      <c r="D742" s="20">
        <v>28645</v>
      </c>
      <c r="E742">
        <v>9170598445</v>
      </c>
      <c r="F742" t="s">
        <v>6619</v>
      </c>
      <c r="G742" t="s">
        <v>5189</v>
      </c>
      <c r="H742" t="s">
        <v>5112</v>
      </c>
      <c r="I742" t="s">
        <v>38</v>
      </c>
      <c r="J742" t="s">
        <v>43</v>
      </c>
      <c r="K742" s="20">
        <v>45593</v>
      </c>
      <c r="L742" t="s">
        <v>5146</v>
      </c>
      <c r="M742" t="s">
        <v>154</v>
      </c>
      <c r="N742" t="s">
        <v>154</v>
      </c>
    </row>
    <row r="743" spans="1:14" x14ac:dyDescent="0.25">
      <c r="A743" t="s">
        <v>3834</v>
      </c>
      <c r="B743" t="s">
        <v>6587</v>
      </c>
      <c r="C743" t="s">
        <v>5090</v>
      </c>
      <c r="D743" s="20">
        <v>31875</v>
      </c>
      <c r="E743">
        <v>9123038856</v>
      </c>
      <c r="F743" t="s">
        <v>6620</v>
      </c>
      <c r="G743" t="s">
        <v>5384</v>
      </c>
      <c r="H743" t="s">
        <v>5093</v>
      </c>
      <c r="I743" t="s">
        <v>40</v>
      </c>
      <c r="J743" t="s">
        <v>44</v>
      </c>
      <c r="K743" s="20">
        <v>45244</v>
      </c>
      <c r="L743" t="s">
        <v>5211</v>
      </c>
      <c r="M743" t="s">
        <v>154</v>
      </c>
      <c r="N743" t="s">
        <v>154</v>
      </c>
    </row>
    <row r="744" spans="1:14" x14ac:dyDescent="0.25">
      <c r="A744" t="s">
        <v>6621</v>
      </c>
      <c r="B744" t="s">
        <v>6622</v>
      </c>
      <c r="C744" t="s">
        <v>5115</v>
      </c>
      <c r="D744" s="20">
        <v>27769</v>
      </c>
      <c r="E744">
        <v>9590099217</v>
      </c>
      <c r="F744" t="s">
        <v>6623</v>
      </c>
      <c r="G744" t="s">
        <v>5181</v>
      </c>
      <c r="H744" t="s">
        <v>5112</v>
      </c>
      <c r="I744" t="s">
        <v>38</v>
      </c>
      <c r="J744" t="s">
        <v>44</v>
      </c>
      <c r="K744" s="20">
        <v>43427</v>
      </c>
      <c r="L744" t="s">
        <v>5152</v>
      </c>
      <c r="M744" t="s">
        <v>154</v>
      </c>
      <c r="N744" t="s">
        <v>154</v>
      </c>
    </row>
    <row r="745" spans="1:14" x14ac:dyDescent="0.25">
      <c r="A745" t="s">
        <v>4192</v>
      </c>
      <c r="B745" t="s">
        <v>5095</v>
      </c>
      <c r="C745" t="s">
        <v>5090</v>
      </c>
      <c r="D745" s="20">
        <v>26164</v>
      </c>
      <c r="E745">
        <v>9335158807</v>
      </c>
      <c r="F745" t="s">
        <v>6624</v>
      </c>
      <c r="G745" t="s">
        <v>5177</v>
      </c>
      <c r="H745" t="s">
        <v>5112</v>
      </c>
      <c r="I745" t="s">
        <v>38</v>
      </c>
      <c r="J745" t="s">
        <v>39</v>
      </c>
      <c r="K745" s="20">
        <v>44833</v>
      </c>
      <c r="L745" t="s">
        <v>5108</v>
      </c>
      <c r="M745" t="s">
        <v>154</v>
      </c>
      <c r="N745" t="s">
        <v>154</v>
      </c>
    </row>
    <row r="746" spans="1:14" x14ac:dyDescent="0.25">
      <c r="A746" t="s">
        <v>987</v>
      </c>
      <c r="B746" t="s">
        <v>6625</v>
      </c>
      <c r="C746" t="s">
        <v>5090</v>
      </c>
      <c r="D746" s="20">
        <v>25816</v>
      </c>
      <c r="E746">
        <v>9939103829</v>
      </c>
      <c r="F746" t="s">
        <v>6626</v>
      </c>
      <c r="G746" t="s">
        <v>5136</v>
      </c>
      <c r="H746" t="s">
        <v>5098</v>
      </c>
      <c r="I746" t="s">
        <v>42</v>
      </c>
      <c r="J746" t="s">
        <v>44</v>
      </c>
      <c r="K746" s="20">
        <v>43598</v>
      </c>
      <c r="L746" t="s">
        <v>5211</v>
      </c>
      <c r="M746" t="s">
        <v>154</v>
      </c>
      <c r="N746" t="s">
        <v>154</v>
      </c>
    </row>
    <row r="747" spans="1:14" x14ac:dyDescent="0.25">
      <c r="A747" t="s">
        <v>476</v>
      </c>
      <c r="B747" t="s">
        <v>6627</v>
      </c>
      <c r="C747" t="s">
        <v>5115</v>
      </c>
      <c r="D747" s="20">
        <v>25729</v>
      </c>
      <c r="E747">
        <v>9581810450</v>
      </c>
      <c r="F747" t="s">
        <v>6628</v>
      </c>
      <c r="G747" t="s">
        <v>5257</v>
      </c>
      <c r="H747" t="s">
        <v>5093</v>
      </c>
      <c r="I747" t="s">
        <v>40</v>
      </c>
      <c r="J747" t="s">
        <v>43</v>
      </c>
      <c r="K747" s="20">
        <v>43342</v>
      </c>
      <c r="L747" t="s">
        <v>5186</v>
      </c>
      <c r="M747" t="s">
        <v>154</v>
      </c>
      <c r="N747" t="s">
        <v>154</v>
      </c>
    </row>
    <row r="748" spans="1:14" x14ac:dyDescent="0.25">
      <c r="A748" t="s">
        <v>2599</v>
      </c>
      <c r="B748" t="s">
        <v>6629</v>
      </c>
      <c r="C748" t="s">
        <v>5115</v>
      </c>
      <c r="D748" s="20">
        <v>30304</v>
      </c>
      <c r="E748">
        <v>9366271358</v>
      </c>
      <c r="F748" t="s">
        <v>6630</v>
      </c>
      <c r="G748" t="s">
        <v>5130</v>
      </c>
      <c r="H748" t="s">
        <v>5103</v>
      </c>
      <c r="I748" t="s">
        <v>38</v>
      </c>
      <c r="J748" t="s">
        <v>44</v>
      </c>
      <c r="K748" s="20">
        <v>45275</v>
      </c>
      <c r="L748" t="s">
        <v>5137</v>
      </c>
      <c r="M748" t="s">
        <v>154</v>
      </c>
      <c r="N748" t="s">
        <v>154</v>
      </c>
    </row>
    <row r="749" spans="1:14" x14ac:dyDescent="0.25">
      <c r="A749" t="s">
        <v>473</v>
      </c>
      <c r="B749" t="s">
        <v>6631</v>
      </c>
      <c r="C749" t="s">
        <v>5115</v>
      </c>
      <c r="D749" s="20">
        <v>29530</v>
      </c>
      <c r="E749">
        <v>9856154731</v>
      </c>
      <c r="F749" t="s">
        <v>6632</v>
      </c>
      <c r="G749" t="s">
        <v>5301</v>
      </c>
      <c r="H749" t="s">
        <v>5093</v>
      </c>
      <c r="I749" t="s">
        <v>40</v>
      </c>
      <c r="J749" t="s">
        <v>44</v>
      </c>
      <c r="K749" s="20">
        <v>45667</v>
      </c>
      <c r="L749" t="s">
        <v>5168</v>
      </c>
      <c r="M749" t="s">
        <v>154</v>
      </c>
      <c r="N749" t="s">
        <v>154</v>
      </c>
    </row>
    <row r="750" spans="1:14" x14ac:dyDescent="0.25">
      <c r="A750" t="s">
        <v>1462</v>
      </c>
      <c r="B750" t="s">
        <v>6633</v>
      </c>
      <c r="C750" t="s">
        <v>5090</v>
      </c>
      <c r="D750" s="20">
        <v>33324</v>
      </c>
      <c r="E750">
        <v>9164369028</v>
      </c>
      <c r="F750" t="s">
        <v>6634</v>
      </c>
      <c r="G750" t="s">
        <v>5292</v>
      </c>
      <c r="H750" t="s">
        <v>5098</v>
      </c>
      <c r="I750" t="s">
        <v>42</v>
      </c>
      <c r="J750" t="s">
        <v>43</v>
      </c>
      <c r="K750" s="20">
        <v>44521</v>
      </c>
      <c r="L750" t="s">
        <v>5211</v>
      </c>
      <c r="M750" t="s">
        <v>154</v>
      </c>
      <c r="N750" t="s">
        <v>154</v>
      </c>
    </row>
    <row r="751" spans="1:14" x14ac:dyDescent="0.25">
      <c r="A751" t="s">
        <v>3455</v>
      </c>
      <c r="B751" t="s">
        <v>6635</v>
      </c>
      <c r="C751" t="s">
        <v>5115</v>
      </c>
      <c r="D751" s="20">
        <v>24204</v>
      </c>
      <c r="E751">
        <v>9053428164</v>
      </c>
      <c r="F751" t="s">
        <v>6636</v>
      </c>
      <c r="G751" t="s">
        <v>5384</v>
      </c>
      <c r="H751" t="s">
        <v>5093</v>
      </c>
      <c r="I751" t="s">
        <v>40</v>
      </c>
      <c r="J751" t="s">
        <v>41</v>
      </c>
      <c r="K751" s="20">
        <v>44650</v>
      </c>
      <c r="L751" t="s">
        <v>5131</v>
      </c>
      <c r="M751" t="s">
        <v>154</v>
      </c>
      <c r="N751" t="s">
        <v>154</v>
      </c>
    </row>
    <row r="752" spans="1:14" x14ac:dyDescent="0.25">
      <c r="A752" t="s">
        <v>1530</v>
      </c>
      <c r="B752" t="s">
        <v>6137</v>
      </c>
      <c r="C752" t="s">
        <v>5115</v>
      </c>
      <c r="D752" s="20">
        <v>24315</v>
      </c>
      <c r="E752">
        <v>9358464051</v>
      </c>
      <c r="F752" t="s">
        <v>6637</v>
      </c>
      <c r="G752" t="s">
        <v>5366</v>
      </c>
      <c r="H752" t="s">
        <v>5103</v>
      </c>
      <c r="I752" t="s">
        <v>38</v>
      </c>
      <c r="J752" t="s">
        <v>44</v>
      </c>
      <c r="K752" s="20">
        <v>44992</v>
      </c>
      <c r="L752" t="s">
        <v>5168</v>
      </c>
      <c r="M752" t="s">
        <v>154</v>
      </c>
      <c r="N752" t="s">
        <v>154</v>
      </c>
    </row>
    <row r="753" spans="1:14" x14ac:dyDescent="0.25">
      <c r="A753" t="s">
        <v>1270</v>
      </c>
      <c r="B753" t="s">
        <v>6638</v>
      </c>
      <c r="C753" t="s">
        <v>5115</v>
      </c>
      <c r="D753" s="20">
        <v>25960</v>
      </c>
      <c r="E753">
        <v>9636281444</v>
      </c>
      <c r="F753" t="s">
        <v>6639</v>
      </c>
      <c r="G753" t="s">
        <v>5155</v>
      </c>
      <c r="H753" t="s">
        <v>5098</v>
      </c>
      <c r="I753" t="s">
        <v>42</v>
      </c>
      <c r="J753" t="s">
        <v>43</v>
      </c>
      <c r="K753" s="20">
        <v>43685</v>
      </c>
      <c r="L753" t="s">
        <v>5137</v>
      </c>
      <c r="M753" t="s">
        <v>154</v>
      </c>
      <c r="N753" t="s">
        <v>154</v>
      </c>
    </row>
    <row r="754" spans="1:14" x14ac:dyDescent="0.25">
      <c r="A754" t="s">
        <v>3668</v>
      </c>
      <c r="B754" t="s">
        <v>6193</v>
      </c>
      <c r="C754" t="s">
        <v>5115</v>
      </c>
      <c r="D754" s="20">
        <v>28936</v>
      </c>
      <c r="E754">
        <v>9676490922</v>
      </c>
      <c r="F754" t="s">
        <v>6640</v>
      </c>
      <c r="G754" t="s">
        <v>5301</v>
      </c>
      <c r="H754" t="s">
        <v>5093</v>
      </c>
      <c r="I754" t="s">
        <v>40</v>
      </c>
      <c r="J754" t="s">
        <v>41</v>
      </c>
      <c r="K754" s="20">
        <v>45456</v>
      </c>
      <c r="L754" t="s">
        <v>5123</v>
      </c>
      <c r="M754" t="s">
        <v>154</v>
      </c>
      <c r="N754" t="s">
        <v>154</v>
      </c>
    </row>
    <row r="755" spans="1:14" x14ac:dyDescent="0.25">
      <c r="A755" t="s">
        <v>2739</v>
      </c>
      <c r="B755" t="s">
        <v>5169</v>
      </c>
      <c r="C755" t="s">
        <v>5090</v>
      </c>
      <c r="D755" s="20">
        <v>32084</v>
      </c>
      <c r="E755">
        <v>9358727174</v>
      </c>
      <c r="F755" t="s">
        <v>6641</v>
      </c>
      <c r="G755" t="s">
        <v>5145</v>
      </c>
      <c r="H755" t="s">
        <v>5098</v>
      </c>
      <c r="I755" t="s">
        <v>42</v>
      </c>
      <c r="J755" t="s">
        <v>44</v>
      </c>
      <c r="K755" s="20">
        <v>44537</v>
      </c>
      <c r="L755" t="s">
        <v>5211</v>
      </c>
      <c r="M755" t="s">
        <v>154</v>
      </c>
      <c r="N755" t="s">
        <v>154</v>
      </c>
    </row>
    <row r="756" spans="1:14" x14ac:dyDescent="0.25">
      <c r="A756" t="s">
        <v>2996</v>
      </c>
      <c r="B756" t="s">
        <v>6195</v>
      </c>
      <c r="C756" t="s">
        <v>5115</v>
      </c>
      <c r="D756" s="20">
        <v>32917</v>
      </c>
      <c r="E756">
        <v>9343988187</v>
      </c>
      <c r="F756" t="s">
        <v>6642</v>
      </c>
      <c r="G756" t="s">
        <v>5171</v>
      </c>
      <c r="H756" t="s">
        <v>5103</v>
      </c>
      <c r="I756" t="s">
        <v>38</v>
      </c>
      <c r="J756" t="s">
        <v>44</v>
      </c>
      <c r="K756" s="20">
        <v>44210</v>
      </c>
      <c r="L756" t="s">
        <v>5123</v>
      </c>
      <c r="M756" t="s">
        <v>154</v>
      </c>
      <c r="N756" t="s">
        <v>154</v>
      </c>
    </row>
    <row r="757" spans="1:14" x14ac:dyDescent="0.25">
      <c r="A757" t="s">
        <v>594</v>
      </c>
      <c r="B757" t="s">
        <v>6643</v>
      </c>
      <c r="C757" t="s">
        <v>5090</v>
      </c>
      <c r="D757" s="20">
        <v>32131</v>
      </c>
      <c r="E757">
        <v>9704130909</v>
      </c>
      <c r="F757" t="s">
        <v>6644</v>
      </c>
      <c r="G757" t="s">
        <v>5185</v>
      </c>
      <c r="H757" t="s">
        <v>5093</v>
      </c>
      <c r="I757" t="s">
        <v>40</v>
      </c>
      <c r="J757" t="s">
        <v>43</v>
      </c>
      <c r="K757" s="20">
        <v>44264</v>
      </c>
      <c r="L757" t="s">
        <v>5137</v>
      </c>
      <c r="M757" t="s">
        <v>154</v>
      </c>
      <c r="N757" t="s">
        <v>154</v>
      </c>
    </row>
    <row r="758" spans="1:14" x14ac:dyDescent="0.25">
      <c r="A758" t="s">
        <v>2375</v>
      </c>
      <c r="B758" t="s">
        <v>6645</v>
      </c>
      <c r="C758" t="s">
        <v>5090</v>
      </c>
      <c r="D758" s="20">
        <v>32142</v>
      </c>
      <c r="E758">
        <v>9254204123</v>
      </c>
      <c r="F758" t="s">
        <v>6646</v>
      </c>
      <c r="G758" t="s">
        <v>5136</v>
      </c>
      <c r="H758" t="s">
        <v>5098</v>
      </c>
      <c r="I758" t="s">
        <v>42</v>
      </c>
      <c r="J758" t="s">
        <v>43</v>
      </c>
      <c r="K758" s="20">
        <v>43624</v>
      </c>
      <c r="L758" t="s">
        <v>5127</v>
      </c>
      <c r="M758" t="s">
        <v>154</v>
      </c>
      <c r="N758" t="s">
        <v>154</v>
      </c>
    </row>
    <row r="759" spans="1:14" x14ac:dyDescent="0.25">
      <c r="A759" t="s">
        <v>990</v>
      </c>
      <c r="B759" t="s">
        <v>6065</v>
      </c>
      <c r="C759" t="s">
        <v>5090</v>
      </c>
      <c r="D759" s="20">
        <v>31309</v>
      </c>
      <c r="E759">
        <v>9007941932</v>
      </c>
      <c r="F759" t="s">
        <v>6647</v>
      </c>
      <c r="G759" t="s">
        <v>5301</v>
      </c>
      <c r="H759" t="s">
        <v>5093</v>
      </c>
      <c r="I759" t="s">
        <v>40</v>
      </c>
      <c r="J759" t="s">
        <v>43</v>
      </c>
      <c r="K759" s="20">
        <v>44245</v>
      </c>
      <c r="L759" t="s">
        <v>5104</v>
      </c>
      <c r="M759" t="s">
        <v>154</v>
      </c>
      <c r="N759" t="s">
        <v>154</v>
      </c>
    </row>
    <row r="760" spans="1:14" x14ac:dyDescent="0.25">
      <c r="A760" t="s">
        <v>2298</v>
      </c>
      <c r="B760" t="s">
        <v>6648</v>
      </c>
      <c r="C760" t="s">
        <v>5115</v>
      </c>
      <c r="D760" s="20">
        <v>34281</v>
      </c>
      <c r="E760">
        <v>9122487098</v>
      </c>
      <c r="F760" t="s">
        <v>6649</v>
      </c>
      <c r="G760" t="s">
        <v>5214</v>
      </c>
      <c r="H760" t="s">
        <v>5103</v>
      </c>
      <c r="I760" t="s">
        <v>38</v>
      </c>
      <c r="J760" t="s">
        <v>41</v>
      </c>
      <c r="K760" s="20">
        <v>45624</v>
      </c>
      <c r="L760" t="s">
        <v>5113</v>
      </c>
      <c r="M760" t="s">
        <v>154</v>
      </c>
      <c r="N760" t="s">
        <v>154</v>
      </c>
    </row>
    <row r="761" spans="1:14" x14ac:dyDescent="0.25">
      <c r="A761" t="s">
        <v>3134</v>
      </c>
      <c r="B761" t="s">
        <v>6650</v>
      </c>
      <c r="C761" t="s">
        <v>5115</v>
      </c>
      <c r="D761" s="20">
        <v>37924</v>
      </c>
      <c r="E761">
        <v>9174224043</v>
      </c>
      <c r="F761" t="s">
        <v>6651</v>
      </c>
      <c r="G761" t="s">
        <v>5181</v>
      </c>
      <c r="H761" t="s">
        <v>5112</v>
      </c>
      <c r="I761" t="s">
        <v>38</v>
      </c>
      <c r="J761" t="s">
        <v>43</v>
      </c>
      <c r="K761" s="20">
        <v>43827</v>
      </c>
      <c r="L761" t="s">
        <v>5094</v>
      </c>
      <c r="M761" t="s">
        <v>154</v>
      </c>
      <c r="N761" t="s">
        <v>154</v>
      </c>
    </row>
    <row r="762" spans="1:14" x14ac:dyDescent="0.25">
      <c r="A762" t="s">
        <v>628</v>
      </c>
      <c r="B762" t="s">
        <v>5811</v>
      </c>
      <c r="C762" t="s">
        <v>5115</v>
      </c>
      <c r="D762" s="20">
        <v>37316</v>
      </c>
      <c r="E762">
        <v>9861630702</v>
      </c>
      <c r="F762" t="s">
        <v>6652</v>
      </c>
      <c r="G762" t="s">
        <v>5111</v>
      </c>
      <c r="H762" t="s">
        <v>5112</v>
      </c>
      <c r="I762" t="s">
        <v>38</v>
      </c>
      <c r="J762" t="s">
        <v>43</v>
      </c>
      <c r="K762" s="20">
        <v>44352</v>
      </c>
      <c r="L762" t="s">
        <v>5127</v>
      </c>
      <c r="M762" t="s">
        <v>154</v>
      </c>
      <c r="N762" t="s">
        <v>154</v>
      </c>
    </row>
    <row r="763" spans="1:14" x14ac:dyDescent="0.25">
      <c r="A763" t="s">
        <v>1947</v>
      </c>
      <c r="B763" t="s">
        <v>6653</v>
      </c>
      <c r="C763" t="s">
        <v>5115</v>
      </c>
      <c r="D763" s="20">
        <v>39049</v>
      </c>
      <c r="E763">
        <v>9662195368</v>
      </c>
      <c r="F763" t="s">
        <v>6654</v>
      </c>
      <c r="G763" t="s">
        <v>5301</v>
      </c>
      <c r="H763" t="s">
        <v>5093</v>
      </c>
      <c r="I763" t="s">
        <v>40</v>
      </c>
      <c r="J763" t="s">
        <v>43</v>
      </c>
      <c r="K763" s="20">
        <v>44474</v>
      </c>
      <c r="L763" t="s">
        <v>5178</v>
      </c>
      <c r="M763" t="s">
        <v>154</v>
      </c>
      <c r="N763" t="s">
        <v>154</v>
      </c>
    </row>
    <row r="764" spans="1:14" x14ac:dyDescent="0.25">
      <c r="A764" t="s">
        <v>1177</v>
      </c>
      <c r="B764" t="s">
        <v>6655</v>
      </c>
      <c r="C764" t="s">
        <v>5115</v>
      </c>
      <c r="D764" s="20">
        <v>31538</v>
      </c>
      <c r="E764">
        <v>9325900739</v>
      </c>
      <c r="F764" t="s">
        <v>6656</v>
      </c>
      <c r="G764" t="s">
        <v>5304</v>
      </c>
      <c r="H764" t="s">
        <v>5112</v>
      </c>
      <c r="I764" t="s">
        <v>38</v>
      </c>
      <c r="J764" t="s">
        <v>43</v>
      </c>
      <c r="K764" s="20">
        <v>43493</v>
      </c>
      <c r="L764" t="s">
        <v>5137</v>
      </c>
      <c r="M764" t="s">
        <v>154</v>
      </c>
      <c r="N764" t="s">
        <v>154</v>
      </c>
    </row>
    <row r="765" spans="1:14" x14ac:dyDescent="0.25">
      <c r="A765" t="s">
        <v>1438</v>
      </c>
      <c r="B765" t="s">
        <v>6657</v>
      </c>
      <c r="C765" t="s">
        <v>5115</v>
      </c>
      <c r="D765" s="20">
        <v>26555</v>
      </c>
      <c r="E765">
        <v>9908716722</v>
      </c>
      <c r="F765" t="s">
        <v>6658</v>
      </c>
      <c r="G765" t="s">
        <v>5122</v>
      </c>
      <c r="H765" t="s">
        <v>5093</v>
      </c>
      <c r="I765" t="s">
        <v>40</v>
      </c>
      <c r="J765" t="s">
        <v>43</v>
      </c>
      <c r="K765" s="20">
        <v>45315</v>
      </c>
      <c r="L765" t="s">
        <v>5127</v>
      </c>
      <c r="M765" t="s">
        <v>154</v>
      </c>
      <c r="N765" t="s">
        <v>154</v>
      </c>
    </row>
    <row r="766" spans="1:14" x14ac:dyDescent="0.25">
      <c r="A766" t="s">
        <v>957</v>
      </c>
      <c r="B766" t="s">
        <v>6659</v>
      </c>
      <c r="C766" t="s">
        <v>5115</v>
      </c>
      <c r="D766" s="20">
        <v>37999</v>
      </c>
      <c r="E766">
        <v>9928170744</v>
      </c>
      <c r="F766" t="s">
        <v>6660</v>
      </c>
      <c r="G766" t="s">
        <v>5117</v>
      </c>
      <c r="H766" t="s">
        <v>5118</v>
      </c>
      <c r="I766" t="s">
        <v>40</v>
      </c>
      <c r="J766" t="s">
        <v>44</v>
      </c>
      <c r="K766" s="20">
        <v>45132</v>
      </c>
      <c r="L766" t="s">
        <v>5211</v>
      </c>
      <c r="M766" t="s">
        <v>154</v>
      </c>
      <c r="N766" t="s">
        <v>154</v>
      </c>
    </row>
    <row r="767" spans="1:14" x14ac:dyDescent="0.25">
      <c r="A767" t="s">
        <v>2890</v>
      </c>
      <c r="B767" t="s">
        <v>6661</v>
      </c>
      <c r="C767" t="s">
        <v>5115</v>
      </c>
      <c r="D767" s="20">
        <v>36187</v>
      </c>
      <c r="E767">
        <v>9521602523</v>
      </c>
      <c r="F767" t="s">
        <v>6662</v>
      </c>
      <c r="G767" t="s">
        <v>5126</v>
      </c>
      <c r="H767" t="s">
        <v>5118</v>
      </c>
      <c r="I767" t="s">
        <v>40</v>
      </c>
      <c r="J767" t="s">
        <v>44</v>
      </c>
      <c r="K767" s="20">
        <v>43640</v>
      </c>
      <c r="L767" t="s">
        <v>5165</v>
      </c>
      <c r="M767" t="s">
        <v>154</v>
      </c>
      <c r="N767" t="s">
        <v>154</v>
      </c>
    </row>
    <row r="768" spans="1:14" x14ac:dyDescent="0.25">
      <c r="A768" t="s">
        <v>1758</v>
      </c>
      <c r="B768" t="s">
        <v>6663</v>
      </c>
      <c r="C768" t="s">
        <v>5115</v>
      </c>
      <c r="D768" s="20">
        <v>35745</v>
      </c>
      <c r="E768">
        <v>9269032655</v>
      </c>
      <c r="F768" t="s">
        <v>6664</v>
      </c>
      <c r="G768" t="s">
        <v>5366</v>
      </c>
      <c r="H768" t="s">
        <v>5103</v>
      </c>
      <c r="I768" t="s">
        <v>38</v>
      </c>
      <c r="J768" t="s">
        <v>43</v>
      </c>
      <c r="K768" s="20">
        <v>44928</v>
      </c>
      <c r="L768" t="s">
        <v>5137</v>
      </c>
      <c r="M768" t="s">
        <v>154</v>
      </c>
      <c r="N768" t="s">
        <v>154</v>
      </c>
    </row>
    <row r="769" spans="1:14" x14ac:dyDescent="0.25">
      <c r="A769" t="s">
        <v>1870</v>
      </c>
      <c r="B769" t="s">
        <v>6665</v>
      </c>
      <c r="C769" t="s">
        <v>5115</v>
      </c>
      <c r="D769" s="20">
        <v>30443</v>
      </c>
      <c r="E769">
        <v>9024559851</v>
      </c>
      <c r="F769" t="s">
        <v>6666</v>
      </c>
      <c r="G769" t="s">
        <v>5102</v>
      </c>
      <c r="H769" t="s">
        <v>5103</v>
      </c>
      <c r="I769" t="s">
        <v>38</v>
      </c>
      <c r="J769" t="s">
        <v>41</v>
      </c>
      <c r="K769" s="20">
        <v>44330</v>
      </c>
      <c r="L769" t="s">
        <v>5158</v>
      </c>
      <c r="M769" t="s">
        <v>154</v>
      </c>
      <c r="N769" t="s">
        <v>154</v>
      </c>
    </row>
    <row r="770" spans="1:14" x14ac:dyDescent="0.25">
      <c r="A770" t="s">
        <v>3887</v>
      </c>
      <c r="B770" t="s">
        <v>6667</v>
      </c>
      <c r="C770" t="s">
        <v>5115</v>
      </c>
      <c r="D770" s="20">
        <v>33163</v>
      </c>
      <c r="E770">
        <v>9126864986</v>
      </c>
      <c r="F770" t="s">
        <v>6668</v>
      </c>
      <c r="G770" t="s">
        <v>5130</v>
      </c>
      <c r="H770" t="s">
        <v>5103</v>
      </c>
      <c r="I770" t="s">
        <v>38</v>
      </c>
      <c r="J770" t="s">
        <v>44</v>
      </c>
      <c r="K770" s="20">
        <v>45300</v>
      </c>
      <c r="L770" t="s">
        <v>5108</v>
      </c>
      <c r="M770" t="s">
        <v>154</v>
      </c>
      <c r="N770" t="s">
        <v>154</v>
      </c>
    </row>
    <row r="771" spans="1:14" x14ac:dyDescent="0.25">
      <c r="A771" t="s">
        <v>2458</v>
      </c>
      <c r="B771" t="s">
        <v>6669</v>
      </c>
      <c r="C771" t="s">
        <v>5115</v>
      </c>
      <c r="D771" s="20">
        <v>34793</v>
      </c>
      <c r="E771">
        <v>9088447408</v>
      </c>
      <c r="F771" t="s">
        <v>6670</v>
      </c>
      <c r="G771" t="s">
        <v>5155</v>
      </c>
      <c r="H771" t="s">
        <v>5098</v>
      </c>
      <c r="I771" t="s">
        <v>42</v>
      </c>
      <c r="J771" t="s">
        <v>43</v>
      </c>
      <c r="K771" s="20">
        <v>44654</v>
      </c>
      <c r="L771" t="s">
        <v>5123</v>
      </c>
      <c r="M771" t="s">
        <v>154</v>
      </c>
      <c r="N771" t="s">
        <v>154</v>
      </c>
    </row>
    <row r="772" spans="1:14" x14ac:dyDescent="0.25">
      <c r="A772" t="s">
        <v>2355</v>
      </c>
      <c r="B772" t="s">
        <v>6671</v>
      </c>
      <c r="C772" t="s">
        <v>5115</v>
      </c>
      <c r="D772" s="20">
        <v>25537</v>
      </c>
      <c r="E772">
        <v>9216400698</v>
      </c>
      <c r="F772" t="s">
        <v>6672</v>
      </c>
      <c r="G772" t="s">
        <v>5111</v>
      </c>
      <c r="H772" t="s">
        <v>5112</v>
      </c>
      <c r="I772" t="s">
        <v>38</v>
      </c>
      <c r="J772" t="s">
        <v>39</v>
      </c>
      <c r="K772" s="20">
        <v>45639</v>
      </c>
      <c r="L772" t="s">
        <v>5108</v>
      </c>
      <c r="M772" t="s">
        <v>154</v>
      </c>
      <c r="N772" t="s">
        <v>154</v>
      </c>
    </row>
    <row r="773" spans="1:14" x14ac:dyDescent="0.25">
      <c r="A773" t="s">
        <v>1924</v>
      </c>
      <c r="B773" t="s">
        <v>6673</v>
      </c>
      <c r="C773" t="s">
        <v>5115</v>
      </c>
      <c r="D773" s="20">
        <v>36611</v>
      </c>
      <c r="E773">
        <v>9647082139</v>
      </c>
      <c r="F773" t="s">
        <v>6674</v>
      </c>
      <c r="G773" t="s">
        <v>5331</v>
      </c>
      <c r="H773" t="s">
        <v>5118</v>
      </c>
      <c r="I773" t="s">
        <v>40</v>
      </c>
      <c r="J773" t="s">
        <v>43</v>
      </c>
      <c r="K773" s="20">
        <v>44202</v>
      </c>
      <c r="L773" t="s">
        <v>5186</v>
      </c>
      <c r="M773" t="s">
        <v>154</v>
      </c>
      <c r="N773" t="s">
        <v>154</v>
      </c>
    </row>
    <row r="774" spans="1:14" x14ac:dyDescent="0.25">
      <c r="A774" t="s">
        <v>3908</v>
      </c>
      <c r="B774" t="s">
        <v>6675</v>
      </c>
      <c r="C774" t="s">
        <v>5115</v>
      </c>
      <c r="D774" s="20">
        <v>26814</v>
      </c>
      <c r="E774">
        <v>9720550330</v>
      </c>
      <c r="F774" t="s">
        <v>6676</v>
      </c>
      <c r="G774" t="s">
        <v>5301</v>
      </c>
      <c r="H774" t="s">
        <v>5093</v>
      </c>
      <c r="I774" t="s">
        <v>40</v>
      </c>
      <c r="J774" t="s">
        <v>43</v>
      </c>
      <c r="K774" s="20">
        <v>43782</v>
      </c>
      <c r="L774" t="s">
        <v>5208</v>
      </c>
      <c r="M774" t="s">
        <v>154</v>
      </c>
      <c r="N774" t="s">
        <v>154</v>
      </c>
    </row>
    <row r="775" spans="1:14" x14ac:dyDescent="0.25">
      <c r="A775" t="s">
        <v>1210</v>
      </c>
      <c r="B775" t="s">
        <v>6677</v>
      </c>
      <c r="C775" t="s">
        <v>5115</v>
      </c>
      <c r="D775" s="20">
        <v>27817</v>
      </c>
      <c r="E775">
        <v>9900889911</v>
      </c>
      <c r="F775" t="s">
        <v>6678</v>
      </c>
      <c r="G775" t="s">
        <v>5117</v>
      </c>
      <c r="H775" t="s">
        <v>5118</v>
      </c>
      <c r="I775" t="s">
        <v>40</v>
      </c>
      <c r="J775" t="s">
        <v>39</v>
      </c>
      <c r="K775" s="20">
        <v>45532</v>
      </c>
      <c r="L775" t="s">
        <v>5211</v>
      </c>
      <c r="M775" t="s">
        <v>154</v>
      </c>
      <c r="N775" t="s">
        <v>154</v>
      </c>
    </row>
    <row r="776" spans="1:14" x14ac:dyDescent="0.25">
      <c r="A776" t="s">
        <v>4244</v>
      </c>
      <c r="B776" t="s">
        <v>6679</v>
      </c>
      <c r="C776" t="s">
        <v>5115</v>
      </c>
      <c r="D776" s="20">
        <v>33239</v>
      </c>
      <c r="E776">
        <v>9327379897</v>
      </c>
      <c r="F776" t="s">
        <v>6680</v>
      </c>
      <c r="G776" t="s">
        <v>5248</v>
      </c>
      <c r="H776" t="s">
        <v>5103</v>
      </c>
      <c r="I776" t="s">
        <v>38</v>
      </c>
      <c r="J776" t="s">
        <v>41</v>
      </c>
      <c r="K776" s="20">
        <v>45672</v>
      </c>
      <c r="L776" t="s">
        <v>5182</v>
      </c>
      <c r="M776" t="s">
        <v>154</v>
      </c>
      <c r="N776" t="s">
        <v>154</v>
      </c>
    </row>
    <row r="777" spans="1:14" x14ac:dyDescent="0.25">
      <c r="A777" t="s">
        <v>423</v>
      </c>
      <c r="B777" t="s">
        <v>6681</v>
      </c>
      <c r="C777" t="s">
        <v>5115</v>
      </c>
      <c r="D777" s="20">
        <v>36770</v>
      </c>
      <c r="E777">
        <v>9674630009</v>
      </c>
      <c r="F777" t="s">
        <v>6682</v>
      </c>
      <c r="G777" t="s">
        <v>5126</v>
      </c>
      <c r="H777" t="s">
        <v>5118</v>
      </c>
      <c r="I777" t="s">
        <v>40</v>
      </c>
      <c r="J777" t="s">
        <v>39</v>
      </c>
      <c r="K777" s="20">
        <v>43437</v>
      </c>
      <c r="L777" t="s">
        <v>5158</v>
      </c>
      <c r="M777" t="s">
        <v>154</v>
      </c>
      <c r="N777" t="s">
        <v>154</v>
      </c>
    </row>
    <row r="778" spans="1:14" x14ac:dyDescent="0.25">
      <c r="A778" t="s">
        <v>2105</v>
      </c>
      <c r="B778" t="s">
        <v>6683</v>
      </c>
      <c r="C778" t="s">
        <v>5090</v>
      </c>
      <c r="D778" s="20">
        <v>30862</v>
      </c>
      <c r="E778">
        <v>9118151985</v>
      </c>
      <c r="F778" t="s">
        <v>6684</v>
      </c>
      <c r="G778" t="s">
        <v>5171</v>
      </c>
      <c r="H778" t="s">
        <v>5103</v>
      </c>
      <c r="I778" t="s">
        <v>38</v>
      </c>
      <c r="J778" t="s">
        <v>44</v>
      </c>
      <c r="K778" s="20">
        <v>44101</v>
      </c>
      <c r="L778" t="s">
        <v>5146</v>
      </c>
      <c r="M778" t="s">
        <v>154</v>
      </c>
      <c r="N778" t="s">
        <v>154</v>
      </c>
    </row>
    <row r="779" spans="1:14" x14ac:dyDescent="0.25">
      <c r="A779" t="s">
        <v>813</v>
      </c>
      <c r="B779" t="s">
        <v>6685</v>
      </c>
      <c r="C779" t="s">
        <v>5115</v>
      </c>
      <c r="D779" s="20">
        <v>36929</v>
      </c>
      <c r="E779">
        <v>9015353466</v>
      </c>
      <c r="F779" t="s">
        <v>6686</v>
      </c>
      <c r="G779" t="s">
        <v>5331</v>
      </c>
      <c r="H779" t="s">
        <v>5118</v>
      </c>
      <c r="I779" t="s">
        <v>40</v>
      </c>
      <c r="J779" t="s">
        <v>44</v>
      </c>
      <c r="K779" s="20">
        <v>43875</v>
      </c>
      <c r="L779" t="s">
        <v>5152</v>
      </c>
      <c r="M779" t="s">
        <v>154</v>
      </c>
      <c r="N779" t="s">
        <v>154</v>
      </c>
    </row>
    <row r="780" spans="1:14" x14ac:dyDescent="0.25">
      <c r="A780" t="s">
        <v>2988</v>
      </c>
      <c r="B780" t="s">
        <v>6687</v>
      </c>
      <c r="C780" t="s">
        <v>5115</v>
      </c>
      <c r="D780" s="20">
        <v>33691</v>
      </c>
      <c r="E780">
        <v>9672010824</v>
      </c>
      <c r="F780" t="s">
        <v>6688</v>
      </c>
      <c r="G780" t="s">
        <v>5304</v>
      </c>
      <c r="H780" t="s">
        <v>5112</v>
      </c>
      <c r="I780" t="s">
        <v>38</v>
      </c>
      <c r="J780" t="s">
        <v>43</v>
      </c>
      <c r="K780" s="20">
        <v>44220</v>
      </c>
      <c r="L780" t="s">
        <v>5127</v>
      </c>
      <c r="M780" t="s">
        <v>154</v>
      </c>
      <c r="N780" t="s">
        <v>154</v>
      </c>
    </row>
    <row r="781" spans="1:14" x14ac:dyDescent="0.25">
      <c r="A781" t="s">
        <v>3813</v>
      </c>
      <c r="B781" t="s">
        <v>6689</v>
      </c>
      <c r="C781" t="s">
        <v>5090</v>
      </c>
      <c r="D781" s="20">
        <v>35026</v>
      </c>
      <c r="E781">
        <v>9794026208</v>
      </c>
      <c r="F781" t="s">
        <v>6690</v>
      </c>
      <c r="G781" t="s">
        <v>5243</v>
      </c>
      <c r="H781" t="s">
        <v>5112</v>
      </c>
      <c r="I781" t="s">
        <v>38</v>
      </c>
      <c r="J781" t="s">
        <v>44</v>
      </c>
      <c r="K781" s="20">
        <v>44012</v>
      </c>
      <c r="L781" t="s">
        <v>5186</v>
      </c>
      <c r="M781" t="s">
        <v>154</v>
      </c>
      <c r="N781" t="s">
        <v>154</v>
      </c>
    </row>
    <row r="782" spans="1:14" x14ac:dyDescent="0.25">
      <c r="A782" t="s">
        <v>1658</v>
      </c>
      <c r="B782" t="s">
        <v>6691</v>
      </c>
      <c r="C782" t="s">
        <v>5090</v>
      </c>
      <c r="D782" s="20">
        <v>28036</v>
      </c>
      <c r="E782">
        <v>9642357004</v>
      </c>
      <c r="F782" t="s">
        <v>6692</v>
      </c>
      <c r="G782" t="s">
        <v>5331</v>
      </c>
      <c r="H782" t="s">
        <v>5118</v>
      </c>
      <c r="I782" t="s">
        <v>40</v>
      </c>
      <c r="J782" t="s">
        <v>39</v>
      </c>
      <c r="K782" s="20">
        <v>44569</v>
      </c>
      <c r="L782" t="s">
        <v>5208</v>
      </c>
      <c r="M782" t="s">
        <v>154</v>
      </c>
      <c r="N782" t="s">
        <v>154</v>
      </c>
    </row>
    <row r="783" spans="1:14" x14ac:dyDescent="0.25">
      <c r="A783" t="s">
        <v>198</v>
      </c>
      <c r="B783" t="s">
        <v>6693</v>
      </c>
      <c r="C783" t="s">
        <v>5115</v>
      </c>
      <c r="D783" s="20">
        <v>26028</v>
      </c>
      <c r="E783">
        <v>9612559046</v>
      </c>
      <c r="F783" t="s">
        <v>6694</v>
      </c>
      <c r="G783" t="s">
        <v>5271</v>
      </c>
      <c r="H783" t="s">
        <v>5112</v>
      </c>
      <c r="I783" t="s">
        <v>38</v>
      </c>
      <c r="J783" t="s">
        <v>39</v>
      </c>
      <c r="K783" s="20">
        <v>45349</v>
      </c>
      <c r="L783" t="s">
        <v>5211</v>
      </c>
      <c r="M783" t="s">
        <v>154</v>
      </c>
      <c r="N783" t="s">
        <v>154</v>
      </c>
    </row>
    <row r="784" spans="1:14" x14ac:dyDescent="0.25">
      <c r="A784" t="s">
        <v>300</v>
      </c>
      <c r="B784" t="s">
        <v>6695</v>
      </c>
      <c r="C784" t="s">
        <v>5090</v>
      </c>
      <c r="D784" s="20">
        <v>33599</v>
      </c>
      <c r="E784">
        <v>9001283827</v>
      </c>
      <c r="F784" t="s">
        <v>6696</v>
      </c>
      <c r="G784" t="s">
        <v>5185</v>
      </c>
      <c r="H784" t="s">
        <v>5093</v>
      </c>
      <c r="I784" t="s">
        <v>40</v>
      </c>
      <c r="J784" t="s">
        <v>43</v>
      </c>
      <c r="K784" s="20">
        <v>44847</v>
      </c>
      <c r="L784" t="s">
        <v>5131</v>
      </c>
      <c r="M784" t="s">
        <v>154</v>
      </c>
      <c r="N784" t="s">
        <v>154</v>
      </c>
    </row>
    <row r="785" spans="1:14" x14ac:dyDescent="0.25">
      <c r="A785" t="s">
        <v>1239</v>
      </c>
      <c r="B785" t="s">
        <v>6697</v>
      </c>
      <c r="C785" t="s">
        <v>5115</v>
      </c>
      <c r="D785" s="20">
        <v>38555</v>
      </c>
      <c r="E785">
        <v>9048507665</v>
      </c>
      <c r="F785" t="s">
        <v>6698</v>
      </c>
      <c r="G785" t="s">
        <v>5257</v>
      </c>
      <c r="H785" t="s">
        <v>5093</v>
      </c>
      <c r="I785" t="s">
        <v>40</v>
      </c>
      <c r="J785" t="s">
        <v>43</v>
      </c>
      <c r="K785" s="20">
        <v>43467</v>
      </c>
      <c r="L785" t="s">
        <v>5182</v>
      </c>
      <c r="M785" t="s">
        <v>154</v>
      </c>
      <c r="N785" t="s">
        <v>154</v>
      </c>
    </row>
    <row r="786" spans="1:14" x14ac:dyDescent="0.25">
      <c r="A786" t="s">
        <v>1715</v>
      </c>
      <c r="B786" t="s">
        <v>6699</v>
      </c>
      <c r="C786" t="s">
        <v>5090</v>
      </c>
      <c r="D786" s="20">
        <v>29998</v>
      </c>
      <c r="E786">
        <v>9634601915</v>
      </c>
      <c r="F786" t="s">
        <v>6700</v>
      </c>
      <c r="G786" t="s">
        <v>5369</v>
      </c>
      <c r="H786" t="s">
        <v>5103</v>
      </c>
      <c r="I786" t="s">
        <v>38</v>
      </c>
      <c r="J786" t="s">
        <v>44</v>
      </c>
      <c r="K786" s="20">
        <v>43692</v>
      </c>
      <c r="L786" t="s">
        <v>5146</v>
      </c>
      <c r="M786" t="s">
        <v>154</v>
      </c>
      <c r="N786" t="s">
        <v>154</v>
      </c>
    </row>
    <row r="787" spans="1:14" x14ac:dyDescent="0.25">
      <c r="A787" t="s">
        <v>1764</v>
      </c>
      <c r="B787" t="s">
        <v>6701</v>
      </c>
      <c r="C787" t="s">
        <v>5115</v>
      </c>
      <c r="D787" s="20">
        <v>35734</v>
      </c>
      <c r="E787">
        <v>9586176822</v>
      </c>
      <c r="F787" t="s">
        <v>6702</v>
      </c>
      <c r="G787" t="s">
        <v>5117</v>
      </c>
      <c r="H787" t="s">
        <v>5118</v>
      </c>
      <c r="I787" t="s">
        <v>40</v>
      </c>
      <c r="J787" t="s">
        <v>44</v>
      </c>
      <c r="K787" s="20">
        <v>44163</v>
      </c>
      <c r="L787" t="s">
        <v>5178</v>
      </c>
      <c r="M787" t="s">
        <v>154</v>
      </c>
      <c r="N787" t="s">
        <v>154</v>
      </c>
    </row>
    <row r="788" spans="1:14" x14ac:dyDescent="0.25">
      <c r="A788" t="s">
        <v>3304</v>
      </c>
      <c r="B788" t="s">
        <v>6703</v>
      </c>
      <c r="C788" t="s">
        <v>5090</v>
      </c>
      <c r="D788" s="20">
        <v>34690</v>
      </c>
      <c r="E788">
        <v>9666562241</v>
      </c>
      <c r="F788" t="s">
        <v>6704</v>
      </c>
      <c r="G788" t="s">
        <v>5257</v>
      </c>
      <c r="H788" t="s">
        <v>5093</v>
      </c>
      <c r="I788" t="s">
        <v>40</v>
      </c>
      <c r="J788" t="s">
        <v>39</v>
      </c>
      <c r="K788" s="20">
        <v>43116</v>
      </c>
      <c r="L788" t="s">
        <v>5186</v>
      </c>
      <c r="M788" t="s">
        <v>154</v>
      </c>
      <c r="N788" t="s">
        <v>154</v>
      </c>
    </row>
    <row r="789" spans="1:14" x14ac:dyDescent="0.25">
      <c r="A789" t="s">
        <v>851</v>
      </c>
      <c r="B789" t="s">
        <v>6705</v>
      </c>
      <c r="C789" t="s">
        <v>5090</v>
      </c>
      <c r="D789" s="20">
        <v>30984</v>
      </c>
      <c r="E789">
        <v>9771290350</v>
      </c>
      <c r="F789" t="s">
        <v>6706</v>
      </c>
      <c r="G789" t="s">
        <v>5177</v>
      </c>
      <c r="H789" t="s">
        <v>5112</v>
      </c>
      <c r="I789" t="s">
        <v>38</v>
      </c>
      <c r="J789" t="s">
        <v>44</v>
      </c>
      <c r="K789" s="20">
        <v>45655</v>
      </c>
      <c r="L789" t="s">
        <v>5113</v>
      </c>
      <c r="M789" t="s">
        <v>154</v>
      </c>
      <c r="N789" t="s">
        <v>154</v>
      </c>
    </row>
    <row r="790" spans="1:14" x14ac:dyDescent="0.25">
      <c r="A790" t="s">
        <v>540</v>
      </c>
      <c r="B790" t="s">
        <v>5288</v>
      </c>
      <c r="C790" t="s">
        <v>5115</v>
      </c>
      <c r="D790" s="20">
        <v>28712</v>
      </c>
      <c r="E790">
        <v>9235434046</v>
      </c>
      <c r="F790" t="s">
        <v>6707</v>
      </c>
      <c r="G790" t="s">
        <v>5189</v>
      </c>
      <c r="H790" t="s">
        <v>5112</v>
      </c>
      <c r="I790" t="s">
        <v>38</v>
      </c>
      <c r="J790" t="s">
        <v>39</v>
      </c>
      <c r="K790" s="20">
        <v>44335</v>
      </c>
      <c r="L790" t="s">
        <v>5182</v>
      </c>
      <c r="M790" t="s">
        <v>154</v>
      </c>
      <c r="N790" t="s">
        <v>154</v>
      </c>
    </row>
    <row r="791" spans="1:14" x14ac:dyDescent="0.25">
      <c r="A791" t="s">
        <v>1035</v>
      </c>
      <c r="B791" t="s">
        <v>6708</v>
      </c>
      <c r="C791" t="s">
        <v>5090</v>
      </c>
      <c r="D791" s="20">
        <v>25166</v>
      </c>
      <c r="E791">
        <v>9254920644</v>
      </c>
      <c r="F791" t="s">
        <v>6709</v>
      </c>
      <c r="G791" t="s">
        <v>5117</v>
      </c>
      <c r="H791" t="s">
        <v>5118</v>
      </c>
      <c r="I791" t="s">
        <v>40</v>
      </c>
      <c r="J791" t="s">
        <v>44</v>
      </c>
      <c r="K791" s="20">
        <v>45577</v>
      </c>
      <c r="L791" t="s">
        <v>5094</v>
      </c>
      <c r="M791" t="s">
        <v>154</v>
      </c>
      <c r="N791" t="s">
        <v>154</v>
      </c>
    </row>
    <row r="792" spans="1:14" x14ac:dyDescent="0.25">
      <c r="A792" t="s">
        <v>1552</v>
      </c>
      <c r="B792" t="s">
        <v>6710</v>
      </c>
      <c r="C792" t="s">
        <v>5090</v>
      </c>
      <c r="D792" s="20">
        <v>31821</v>
      </c>
      <c r="E792">
        <v>9730634359</v>
      </c>
      <c r="F792" t="s">
        <v>6711</v>
      </c>
      <c r="G792" t="s">
        <v>5384</v>
      </c>
      <c r="H792" t="s">
        <v>5093</v>
      </c>
      <c r="I792" t="s">
        <v>40</v>
      </c>
      <c r="J792" t="s">
        <v>41</v>
      </c>
      <c r="K792" s="20">
        <v>45276</v>
      </c>
      <c r="L792" t="s">
        <v>5182</v>
      </c>
      <c r="M792" t="s">
        <v>154</v>
      </c>
      <c r="N792" t="s">
        <v>154</v>
      </c>
    </row>
    <row r="793" spans="1:14" x14ac:dyDescent="0.25">
      <c r="A793" t="s">
        <v>1413</v>
      </c>
      <c r="B793" t="s">
        <v>5728</v>
      </c>
      <c r="C793" t="s">
        <v>5090</v>
      </c>
      <c r="D793" s="20">
        <v>35605</v>
      </c>
      <c r="E793">
        <v>9806640511</v>
      </c>
      <c r="F793" t="s">
        <v>6712</v>
      </c>
      <c r="G793" t="s">
        <v>5231</v>
      </c>
      <c r="H793" t="s">
        <v>5103</v>
      </c>
      <c r="I793" t="s">
        <v>38</v>
      </c>
      <c r="J793" t="s">
        <v>39</v>
      </c>
      <c r="K793" s="20">
        <v>45504</v>
      </c>
      <c r="L793" t="s">
        <v>5131</v>
      </c>
      <c r="M793" t="s">
        <v>154</v>
      </c>
      <c r="N793" t="s">
        <v>154</v>
      </c>
    </row>
    <row r="794" spans="1:14" x14ac:dyDescent="0.25">
      <c r="A794" t="s">
        <v>1897</v>
      </c>
      <c r="B794" t="s">
        <v>6713</v>
      </c>
      <c r="C794" t="s">
        <v>5115</v>
      </c>
      <c r="D794" s="20">
        <v>28838</v>
      </c>
      <c r="E794">
        <v>9016049860</v>
      </c>
      <c r="F794" t="s">
        <v>6714</v>
      </c>
      <c r="G794" t="s">
        <v>5092</v>
      </c>
      <c r="H794" t="s">
        <v>5093</v>
      </c>
      <c r="I794" t="s">
        <v>40</v>
      </c>
      <c r="J794" t="s">
        <v>43</v>
      </c>
      <c r="K794" s="20">
        <v>43864</v>
      </c>
      <c r="L794" t="s">
        <v>5178</v>
      </c>
      <c r="M794" t="s">
        <v>154</v>
      </c>
      <c r="N794" t="s">
        <v>154</v>
      </c>
    </row>
    <row r="795" spans="1:14" x14ac:dyDescent="0.25">
      <c r="A795" t="s">
        <v>214</v>
      </c>
      <c r="B795" t="s">
        <v>6715</v>
      </c>
      <c r="C795" t="s">
        <v>5115</v>
      </c>
      <c r="D795" s="20">
        <v>30051</v>
      </c>
      <c r="E795">
        <v>9197899901</v>
      </c>
      <c r="F795" t="s">
        <v>6716</v>
      </c>
      <c r="G795" t="s">
        <v>5214</v>
      </c>
      <c r="H795" t="s">
        <v>5103</v>
      </c>
      <c r="I795" t="s">
        <v>38</v>
      </c>
      <c r="J795" t="s">
        <v>43</v>
      </c>
      <c r="K795" s="20">
        <v>43356</v>
      </c>
      <c r="L795" t="s">
        <v>5208</v>
      </c>
      <c r="M795" t="s">
        <v>154</v>
      </c>
      <c r="N795" t="s">
        <v>154</v>
      </c>
    </row>
    <row r="796" spans="1:14" x14ac:dyDescent="0.25">
      <c r="A796" t="s">
        <v>278</v>
      </c>
      <c r="B796" t="s">
        <v>6717</v>
      </c>
      <c r="C796" t="s">
        <v>5090</v>
      </c>
      <c r="D796" s="20">
        <v>27181</v>
      </c>
      <c r="E796">
        <v>9719786016</v>
      </c>
      <c r="F796" t="s">
        <v>6718</v>
      </c>
      <c r="G796" t="s">
        <v>5117</v>
      </c>
      <c r="H796" t="s">
        <v>5118</v>
      </c>
      <c r="I796" t="s">
        <v>40</v>
      </c>
      <c r="J796" t="s">
        <v>44</v>
      </c>
      <c r="K796" s="20">
        <v>44086</v>
      </c>
      <c r="L796" t="s">
        <v>5211</v>
      </c>
      <c r="M796" t="s">
        <v>154</v>
      </c>
      <c r="N796" t="s">
        <v>154</v>
      </c>
    </row>
    <row r="797" spans="1:14" x14ac:dyDescent="0.25">
      <c r="A797" t="s">
        <v>1689</v>
      </c>
      <c r="B797" t="s">
        <v>6719</v>
      </c>
      <c r="C797" t="s">
        <v>5090</v>
      </c>
      <c r="D797" s="20">
        <v>36051</v>
      </c>
      <c r="E797">
        <v>9785501137</v>
      </c>
      <c r="F797" t="s">
        <v>6720</v>
      </c>
      <c r="G797" t="s">
        <v>5231</v>
      </c>
      <c r="H797" t="s">
        <v>5103</v>
      </c>
      <c r="I797" t="s">
        <v>38</v>
      </c>
      <c r="J797" t="s">
        <v>43</v>
      </c>
      <c r="K797" s="20">
        <v>45484</v>
      </c>
      <c r="L797" t="s">
        <v>5113</v>
      </c>
      <c r="M797" t="s">
        <v>154</v>
      </c>
      <c r="N797" t="s">
        <v>154</v>
      </c>
    </row>
    <row r="798" spans="1:14" x14ac:dyDescent="0.25">
      <c r="A798" t="s">
        <v>2804</v>
      </c>
      <c r="B798" t="s">
        <v>6721</v>
      </c>
      <c r="C798" t="s">
        <v>5115</v>
      </c>
      <c r="D798" s="20">
        <v>35312</v>
      </c>
      <c r="E798">
        <v>9878072790</v>
      </c>
      <c r="F798" t="s">
        <v>6722</v>
      </c>
      <c r="G798" t="s">
        <v>5214</v>
      </c>
      <c r="H798" t="s">
        <v>5103</v>
      </c>
      <c r="I798" t="s">
        <v>38</v>
      </c>
      <c r="J798" t="s">
        <v>39</v>
      </c>
      <c r="K798" s="20">
        <v>43782</v>
      </c>
      <c r="L798" t="s">
        <v>5158</v>
      </c>
      <c r="M798" t="s">
        <v>154</v>
      </c>
      <c r="N798" t="s">
        <v>154</v>
      </c>
    </row>
    <row r="799" spans="1:14" x14ac:dyDescent="0.25">
      <c r="A799" t="s">
        <v>1274</v>
      </c>
      <c r="B799" t="s">
        <v>6723</v>
      </c>
      <c r="C799" t="s">
        <v>5115</v>
      </c>
      <c r="D799" s="20">
        <v>30734</v>
      </c>
      <c r="E799">
        <v>9722399647</v>
      </c>
      <c r="F799" t="s">
        <v>6724</v>
      </c>
      <c r="G799" t="s">
        <v>5231</v>
      </c>
      <c r="H799" t="s">
        <v>5103</v>
      </c>
      <c r="I799" t="s">
        <v>38</v>
      </c>
      <c r="J799" t="s">
        <v>44</v>
      </c>
      <c r="K799" s="20">
        <v>43555</v>
      </c>
      <c r="L799" t="s">
        <v>5099</v>
      </c>
      <c r="M799" t="s">
        <v>154</v>
      </c>
      <c r="N799" t="s">
        <v>154</v>
      </c>
    </row>
    <row r="800" spans="1:14" x14ac:dyDescent="0.25">
      <c r="A800" t="s">
        <v>3119</v>
      </c>
      <c r="B800" t="s">
        <v>5857</v>
      </c>
      <c r="C800" t="s">
        <v>5090</v>
      </c>
      <c r="D800" s="20">
        <v>31691</v>
      </c>
      <c r="E800">
        <v>9102480855</v>
      </c>
      <c r="F800" t="s">
        <v>6725</v>
      </c>
      <c r="G800" t="s">
        <v>5331</v>
      </c>
      <c r="H800" t="s">
        <v>5118</v>
      </c>
      <c r="I800" t="s">
        <v>40</v>
      </c>
      <c r="J800" t="s">
        <v>43</v>
      </c>
      <c r="K800" s="20">
        <v>44818</v>
      </c>
      <c r="L800" t="s">
        <v>5158</v>
      </c>
      <c r="M800" t="s">
        <v>154</v>
      </c>
      <c r="N800" t="s">
        <v>154</v>
      </c>
    </row>
    <row r="801" spans="1:14" x14ac:dyDescent="0.25">
      <c r="A801" t="s">
        <v>2074</v>
      </c>
      <c r="B801" t="s">
        <v>5221</v>
      </c>
      <c r="C801" t="s">
        <v>5090</v>
      </c>
      <c r="D801" s="20">
        <v>23984</v>
      </c>
      <c r="E801">
        <v>9236221690</v>
      </c>
      <c r="F801" t="s">
        <v>6726</v>
      </c>
      <c r="G801" t="s">
        <v>5092</v>
      </c>
      <c r="H801" t="s">
        <v>5093</v>
      </c>
      <c r="I801" t="s">
        <v>40</v>
      </c>
      <c r="J801" t="s">
        <v>44</v>
      </c>
      <c r="K801" s="20">
        <v>44301</v>
      </c>
      <c r="L801" t="s">
        <v>5208</v>
      </c>
      <c r="M801" t="s">
        <v>154</v>
      </c>
      <c r="N801" t="s">
        <v>154</v>
      </c>
    </row>
    <row r="802" spans="1:14" x14ac:dyDescent="0.25">
      <c r="A802" t="s">
        <v>1062</v>
      </c>
      <c r="B802" t="s">
        <v>6727</v>
      </c>
      <c r="C802" t="s">
        <v>5090</v>
      </c>
      <c r="D802" s="20">
        <v>29516</v>
      </c>
      <c r="E802">
        <v>9675169139</v>
      </c>
      <c r="F802" t="s">
        <v>6728</v>
      </c>
      <c r="G802" t="s">
        <v>5145</v>
      </c>
      <c r="H802" t="s">
        <v>5098</v>
      </c>
      <c r="I802" t="s">
        <v>42</v>
      </c>
      <c r="J802" t="s">
        <v>39</v>
      </c>
      <c r="K802" s="20">
        <v>45034</v>
      </c>
      <c r="L802" t="s">
        <v>5119</v>
      </c>
      <c r="M802" t="s">
        <v>154</v>
      </c>
      <c r="N802" t="s">
        <v>154</v>
      </c>
    </row>
    <row r="803" spans="1:14" x14ac:dyDescent="0.25">
      <c r="A803" t="s">
        <v>2842</v>
      </c>
      <c r="B803" t="s">
        <v>6729</v>
      </c>
      <c r="C803" t="s">
        <v>5090</v>
      </c>
      <c r="D803" s="20">
        <v>29016</v>
      </c>
      <c r="E803">
        <v>9610703350</v>
      </c>
      <c r="F803" t="s">
        <v>6730</v>
      </c>
      <c r="G803" t="s">
        <v>5171</v>
      </c>
      <c r="H803" t="s">
        <v>5103</v>
      </c>
      <c r="I803" t="s">
        <v>38</v>
      </c>
      <c r="J803" t="s">
        <v>44</v>
      </c>
      <c r="K803" s="20">
        <v>44322</v>
      </c>
      <c r="L803" t="s">
        <v>5182</v>
      </c>
      <c r="M803" t="s">
        <v>154</v>
      </c>
      <c r="N803" t="s">
        <v>154</v>
      </c>
    </row>
    <row r="804" spans="1:14" x14ac:dyDescent="0.25">
      <c r="A804" t="s">
        <v>6731</v>
      </c>
      <c r="B804" t="s">
        <v>6732</v>
      </c>
      <c r="C804" t="s">
        <v>5090</v>
      </c>
      <c r="D804" s="20">
        <v>37645</v>
      </c>
      <c r="E804">
        <v>9248481300</v>
      </c>
      <c r="F804" t="s">
        <v>6733</v>
      </c>
      <c r="G804" t="s">
        <v>5122</v>
      </c>
      <c r="H804" t="s">
        <v>5093</v>
      </c>
      <c r="I804" t="s">
        <v>40</v>
      </c>
      <c r="J804" t="s">
        <v>41</v>
      </c>
      <c r="K804" s="20">
        <v>44010</v>
      </c>
      <c r="L804" t="s">
        <v>5108</v>
      </c>
      <c r="M804" t="s">
        <v>154</v>
      </c>
      <c r="N804" t="s">
        <v>154</v>
      </c>
    </row>
    <row r="805" spans="1:14" x14ac:dyDescent="0.25">
      <c r="A805" t="s">
        <v>2818</v>
      </c>
      <c r="B805" t="s">
        <v>6734</v>
      </c>
      <c r="C805" t="s">
        <v>5090</v>
      </c>
      <c r="D805" s="20">
        <v>37003</v>
      </c>
      <c r="E805">
        <v>9215167586</v>
      </c>
      <c r="F805" t="s">
        <v>6735</v>
      </c>
      <c r="G805" t="s">
        <v>5214</v>
      </c>
      <c r="H805" t="s">
        <v>5103</v>
      </c>
      <c r="I805" t="s">
        <v>38</v>
      </c>
      <c r="J805" t="s">
        <v>39</v>
      </c>
      <c r="K805" s="20">
        <v>44037</v>
      </c>
      <c r="L805" t="s">
        <v>5123</v>
      </c>
      <c r="M805" t="s">
        <v>154</v>
      </c>
      <c r="N805" t="s">
        <v>154</v>
      </c>
    </row>
    <row r="806" spans="1:14" x14ac:dyDescent="0.25">
      <c r="A806" t="s">
        <v>3098</v>
      </c>
      <c r="B806" t="s">
        <v>6736</v>
      </c>
      <c r="C806" t="s">
        <v>5115</v>
      </c>
      <c r="D806" s="20">
        <v>34683</v>
      </c>
      <c r="E806">
        <v>9110501476</v>
      </c>
      <c r="F806" t="s">
        <v>6737</v>
      </c>
      <c r="G806" t="s">
        <v>5177</v>
      </c>
      <c r="H806" t="s">
        <v>5112</v>
      </c>
      <c r="I806" t="s">
        <v>38</v>
      </c>
      <c r="J806" t="s">
        <v>39</v>
      </c>
      <c r="K806" s="20">
        <v>44370</v>
      </c>
      <c r="L806" t="s">
        <v>5158</v>
      </c>
      <c r="M806" t="s">
        <v>154</v>
      </c>
      <c r="N806" t="s">
        <v>154</v>
      </c>
    </row>
    <row r="807" spans="1:14" x14ac:dyDescent="0.25">
      <c r="A807" t="s">
        <v>1077</v>
      </c>
      <c r="B807" t="s">
        <v>6738</v>
      </c>
      <c r="C807" t="s">
        <v>5090</v>
      </c>
      <c r="D807" s="20">
        <v>32026</v>
      </c>
      <c r="E807">
        <v>9738551281</v>
      </c>
      <c r="F807" t="s">
        <v>6739</v>
      </c>
      <c r="G807" t="s">
        <v>5177</v>
      </c>
      <c r="H807" t="s">
        <v>5112</v>
      </c>
      <c r="I807" t="s">
        <v>38</v>
      </c>
      <c r="J807" t="s">
        <v>39</v>
      </c>
      <c r="K807" s="20">
        <v>43601</v>
      </c>
      <c r="L807" t="s">
        <v>5168</v>
      </c>
      <c r="M807" t="s">
        <v>154</v>
      </c>
      <c r="N807" t="s">
        <v>154</v>
      </c>
    </row>
    <row r="808" spans="1:14" x14ac:dyDescent="0.25">
      <c r="A808" t="s">
        <v>1618</v>
      </c>
      <c r="B808" t="s">
        <v>6740</v>
      </c>
      <c r="C808" t="s">
        <v>5090</v>
      </c>
      <c r="D808" s="20">
        <v>25938</v>
      </c>
      <c r="E808">
        <v>9155426097</v>
      </c>
      <c r="F808" t="s">
        <v>6741</v>
      </c>
      <c r="G808" t="s">
        <v>5174</v>
      </c>
      <c r="H808" t="s">
        <v>5093</v>
      </c>
      <c r="I808" t="s">
        <v>40</v>
      </c>
      <c r="J808" t="s">
        <v>44</v>
      </c>
      <c r="K808" s="20">
        <v>45139</v>
      </c>
      <c r="L808" t="s">
        <v>5186</v>
      </c>
      <c r="M808" t="s">
        <v>184</v>
      </c>
      <c r="N808" t="s">
        <v>154</v>
      </c>
    </row>
    <row r="809" spans="1:14" x14ac:dyDescent="0.25">
      <c r="A809" t="s">
        <v>1632</v>
      </c>
      <c r="B809" t="s">
        <v>5317</v>
      </c>
      <c r="C809" t="s">
        <v>5115</v>
      </c>
      <c r="D809" s="20">
        <v>26258</v>
      </c>
      <c r="E809">
        <v>9677205171</v>
      </c>
      <c r="F809" t="s">
        <v>6742</v>
      </c>
      <c r="G809" t="s">
        <v>5126</v>
      </c>
      <c r="H809" t="s">
        <v>5118</v>
      </c>
      <c r="I809" t="s">
        <v>40</v>
      </c>
      <c r="J809" t="s">
        <v>39</v>
      </c>
      <c r="K809" s="20">
        <v>44615</v>
      </c>
      <c r="L809" t="s">
        <v>5152</v>
      </c>
      <c r="M809" t="s">
        <v>154</v>
      </c>
      <c r="N809" t="s">
        <v>154</v>
      </c>
    </row>
    <row r="810" spans="1:14" x14ac:dyDescent="0.25">
      <c r="A810" t="s">
        <v>1496</v>
      </c>
      <c r="B810" t="s">
        <v>6743</v>
      </c>
      <c r="C810" t="s">
        <v>5115</v>
      </c>
      <c r="D810" s="20">
        <v>31342</v>
      </c>
      <c r="E810">
        <v>9837031754</v>
      </c>
      <c r="F810" t="s">
        <v>6744</v>
      </c>
      <c r="G810" t="s">
        <v>5130</v>
      </c>
      <c r="H810" t="s">
        <v>5103</v>
      </c>
      <c r="I810" t="s">
        <v>38</v>
      </c>
      <c r="J810" t="s">
        <v>39</v>
      </c>
      <c r="K810" s="20">
        <v>44180</v>
      </c>
      <c r="L810" t="s">
        <v>5137</v>
      </c>
      <c r="M810" t="s">
        <v>154</v>
      </c>
      <c r="N810" t="s">
        <v>154</v>
      </c>
    </row>
    <row r="811" spans="1:14" x14ac:dyDescent="0.25">
      <c r="A811" t="s">
        <v>2433</v>
      </c>
      <c r="B811" t="s">
        <v>6745</v>
      </c>
      <c r="C811" t="s">
        <v>5090</v>
      </c>
      <c r="D811" s="20">
        <v>28600</v>
      </c>
      <c r="E811">
        <v>9260292546</v>
      </c>
      <c r="F811" t="s">
        <v>6746</v>
      </c>
      <c r="G811" t="s">
        <v>5369</v>
      </c>
      <c r="H811" t="s">
        <v>5103</v>
      </c>
      <c r="I811" t="s">
        <v>38</v>
      </c>
      <c r="J811" t="s">
        <v>39</v>
      </c>
      <c r="K811" s="20">
        <v>44429</v>
      </c>
      <c r="L811" t="s">
        <v>5146</v>
      </c>
      <c r="M811" t="s">
        <v>154</v>
      </c>
      <c r="N811" t="s">
        <v>154</v>
      </c>
    </row>
    <row r="812" spans="1:14" x14ac:dyDescent="0.25">
      <c r="A812" t="s">
        <v>1747</v>
      </c>
      <c r="B812" t="s">
        <v>6747</v>
      </c>
      <c r="C812" t="s">
        <v>5115</v>
      </c>
      <c r="D812" s="20">
        <v>26789</v>
      </c>
      <c r="E812">
        <v>9664207632</v>
      </c>
      <c r="F812" t="s">
        <v>6748</v>
      </c>
      <c r="G812" t="s">
        <v>5189</v>
      </c>
      <c r="H812" t="s">
        <v>5112</v>
      </c>
      <c r="I812" t="s">
        <v>38</v>
      </c>
      <c r="J812" t="s">
        <v>44</v>
      </c>
      <c r="K812" s="20">
        <v>43288</v>
      </c>
      <c r="L812" t="s">
        <v>5146</v>
      </c>
      <c r="M812" t="s">
        <v>154</v>
      </c>
      <c r="N812" t="s">
        <v>154</v>
      </c>
    </row>
    <row r="813" spans="1:14" x14ac:dyDescent="0.25">
      <c r="A813" t="s">
        <v>306</v>
      </c>
      <c r="B813" t="s">
        <v>6749</v>
      </c>
      <c r="C813" t="s">
        <v>5090</v>
      </c>
      <c r="D813" s="20">
        <v>27154</v>
      </c>
      <c r="E813">
        <v>9923868790</v>
      </c>
      <c r="F813" t="s">
        <v>6750</v>
      </c>
      <c r="G813" t="s">
        <v>5181</v>
      </c>
      <c r="H813" t="s">
        <v>5112</v>
      </c>
      <c r="I813" t="s">
        <v>38</v>
      </c>
      <c r="J813" t="s">
        <v>39</v>
      </c>
      <c r="K813" s="20">
        <v>43667</v>
      </c>
      <c r="L813" t="s">
        <v>5094</v>
      </c>
      <c r="M813" t="s">
        <v>154</v>
      </c>
      <c r="N813" t="s">
        <v>154</v>
      </c>
    </row>
    <row r="814" spans="1:14" x14ac:dyDescent="0.25">
      <c r="A814" t="s">
        <v>1761</v>
      </c>
      <c r="B814" t="s">
        <v>6751</v>
      </c>
      <c r="C814" t="s">
        <v>5090</v>
      </c>
      <c r="D814" s="20">
        <v>32213</v>
      </c>
      <c r="E814">
        <v>9055340508</v>
      </c>
      <c r="F814" t="s">
        <v>6752</v>
      </c>
      <c r="G814" t="s">
        <v>5181</v>
      </c>
      <c r="H814" t="s">
        <v>5112</v>
      </c>
      <c r="I814" t="s">
        <v>38</v>
      </c>
      <c r="J814" t="s">
        <v>41</v>
      </c>
      <c r="K814" s="20">
        <v>44058</v>
      </c>
      <c r="L814" t="s">
        <v>5165</v>
      </c>
      <c r="M814" t="s">
        <v>154</v>
      </c>
      <c r="N814" t="s">
        <v>154</v>
      </c>
    </row>
    <row r="815" spans="1:14" x14ac:dyDescent="0.25">
      <c r="A815" t="s">
        <v>2279</v>
      </c>
      <c r="B815" t="s">
        <v>6753</v>
      </c>
      <c r="C815" t="s">
        <v>5090</v>
      </c>
      <c r="D815" s="20">
        <v>33208</v>
      </c>
      <c r="E815">
        <v>9764053567</v>
      </c>
      <c r="F815" t="s">
        <v>6754</v>
      </c>
      <c r="G815" t="s">
        <v>5097</v>
      </c>
      <c r="H815" t="s">
        <v>5098</v>
      </c>
      <c r="I815" t="s">
        <v>42</v>
      </c>
      <c r="J815" t="s">
        <v>43</v>
      </c>
      <c r="K815" s="20">
        <v>44441</v>
      </c>
      <c r="L815" t="s">
        <v>5099</v>
      </c>
      <c r="M815" t="s">
        <v>154</v>
      </c>
      <c r="N815" t="s">
        <v>154</v>
      </c>
    </row>
    <row r="816" spans="1:14" x14ac:dyDescent="0.25">
      <c r="A816" t="s">
        <v>1400</v>
      </c>
      <c r="B816" t="s">
        <v>6755</v>
      </c>
      <c r="C816" t="s">
        <v>5090</v>
      </c>
      <c r="D816" s="20">
        <v>38190</v>
      </c>
      <c r="E816">
        <v>9261903842</v>
      </c>
      <c r="F816" t="s">
        <v>6756</v>
      </c>
      <c r="G816" t="s">
        <v>5107</v>
      </c>
      <c r="H816" t="s">
        <v>5098</v>
      </c>
      <c r="I816" t="s">
        <v>42</v>
      </c>
      <c r="J816" t="s">
        <v>44</v>
      </c>
      <c r="K816" s="20">
        <v>44511</v>
      </c>
      <c r="L816" t="s">
        <v>5152</v>
      </c>
      <c r="M816" t="s">
        <v>154</v>
      </c>
      <c r="N816" t="s">
        <v>154</v>
      </c>
    </row>
    <row r="817" spans="1:14" x14ac:dyDescent="0.25">
      <c r="A817" t="s">
        <v>3123</v>
      </c>
      <c r="B817" t="s">
        <v>5217</v>
      </c>
      <c r="C817" t="s">
        <v>5115</v>
      </c>
      <c r="D817" s="20">
        <v>31204</v>
      </c>
      <c r="E817">
        <v>9271117576</v>
      </c>
      <c r="F817" t="s">
        <v>6757</v>
      </c>
      <c r="G817" t="s">
        <v>5238</v>
      </c>
      <c r="H817" t="s">
        <v>5093</v>
      </c>
      <c r="I817" t="s">
        <v>40</v>
      </c>
      <c r="J817" t="s">
        <v>43</v>
      </c>
      <c r="K817" s="20">
        <v>43822</v>
      </c>
      <c r="L817" t="s">
        <v>5165</v>
      </c>
      <c r="M817" t="s">
        <v>154</v>
      </c>
      <c r="N817" t="s">
        <v>154</v>
      </c>
    </row>
    <row r="818" spans="1:14" x14ac:dyDescent="0.25">
      <c r="A818" t="s">
        <v>4925</v>
      </c>
      <c r="B818" t="s">
        <v>6758</v>
      </c>
      <c r="C818" t="s">
        <v>5115</v>
      </c>
      <c r="D818" s="20">
        <v>30672</v>
      </c>
      <c r="E818">
        <v>9851448698</v>
      </c>
      <c r="F818" t="s">
        <v>6759</v>
      </c>
      <c r="G818" t="s">
        <v>5301</v>
      </c>
      <c r="H818" t="s">
        <v>5093</v>
      </c>
      <c r="I818" t="s">
        <v>40</v>
      </c>
      <c r="J818" t="s">
        <v>44</v>
      </c>
      <c r="K818" s="20">
        <v>43746</v>
      </c>
      <c r="L818" t="s">
        <v>5099</v>
      </c>
      <c r="M818" t="s">
        <v>154</v>
      </c>
      <c r="N818" t="s">
        <v>154</v>
      </c>
    </row>
    <row r="819" spans="1:14" x14ac:dyDescent="0.25">
      <c r="A819" t="s">
        <v>2248</v>
      </c>
      <c r="B819" t="s">
        <v>6760</v>
      </c>
      <c r="C819" t="s">
        <v>5115</v>
      </c>
      <c r="D819" s="20">
        <v>37432</v>
      </c>
      <c r="E819">
        <v>9202698014</v>
      </c>
      <c r="F819" t="s">
        <v>6761</v>
      </c>
      <c r="G819" t="s">
        <v>5292</v>
      </c>
      <c r="H819" t="s">
        <v>5098</v>
      </c>
      <c r="I819" t="s">
        <v>42</v>
      </c>
      <c r="J819" t="s">
        <v>43</v>
      </c>
      <c r="K819" s="20">
        <v>45495</v>
      </c>
      <c r="L819" t="s">
        <v>5165</v>
      </c>
      <c r="M819" t="s">
        <v>154</v>
      </c>
      <c r="N819" t="s">
        <v>154</v>
      </c>
    </row>
    <row r="820" spans="1:14" x14ac:dyDescent="0.25">
      <c r="A820" t="s">
        <v>1790</v>
      </c>
      <c r="B820" t="s">
        <v>6762</v>
      </c>
      <c r="C820" t="s">
        <v>5090</v>
      </c>
      <c r="D820" s="20">
        <v>37322</v>
      </c>
      <c r="E820">
        <v>9770316370</v>
      </c>
      <c r="F820" t="s">
        <v>6763</v>
      </c>
      <c r="G820" t="s">
        <v>5214</v>
      </c>
      <c r="H820" t="s">
        <v>5103</v>
      </c>
      <c r="I820" t="s">
        <v>38</v>
      </c>
      <c r="J820" t="s">
        <v>39</v>
      </c>
      <c r="K820" s="20">
        <v>43204</v>
      </c>
      <c r="L820" t="s">
        <v>5104</v>
      </c>
      <c r="M820" t="s">
        <v>154</v>
      </c>
      <c r="N820" t="s">
        <v>154</v>
      </c>
    </row>
    <row r="821" spans="1:14" x14ac:dyDescent="0.25">
      <c r="A821" t="s">
        <v>1841</v>
      </c>
      <c r="B821" t="s">
        <v>6764</v>
      </c>
      <c r="C821" t="s">
        <v>5090</v>
      </c>
      <c r="D821" s="20">
        <v>33299</v>
      </c>
      <c r="E821">
        <v>9446931729</v>
      </c>
      <c r="F821" t="s">
        <v>6765</v>
      </c>
      <c r="G821" t="s">
        <v>5185</v>
      </c>
      <c r="H821" t="s">
        <v>5093</v>
      </c>
      <c r="I821" t="s">
        <v>40</v>
      </c>
      <c r="J821" t="s">
        <v>43</v>
      </c>
      <c r="K821" s="20">
        <v>44980</v>
      </c>
      <c r="L821" t="s">
        <v>5165</v>
      </c>
      <c r="M821" t="s">
        <v>154</v>
      </c>
      <c r="N821" t="s">
        <v>154</v>
      </c>
    </row>
    <row r="822" spans="1:14" x14ac:dyDescent="0.25">
      <c r="A822" t="s">
        <v>2185</v>
      </c>
      <c r="B822" t="s">
        <v>6766</v>
      </c>
      <c r="C822" t="s">
        <v>5090</v>
      </c>
      <c r="D822" s="20">
        <v>38748</v>
      </c>
      <c r="E822">
        <v>9654025998</v>
      </c>
      <c r="F822" t="s">
        <v>6767</v>
      </c>
      <c r="G822" t="s">
        <v>5111</v>
      </c>
      <c r="H822" t="s">
        <v>5112</v>
      </c>
      <c r="I822" t="s">
        <v>38</v>
      </c>
      <c r="J822" t="s">
        <v>39</v>
      </c>
      <c r="K822" s="20">
        <v>45406</v>
      </c>
      <c r="L822" t="s">
        <v>5123</v>
      </c>
      <c r="M822" t="s">
        <v>154</v>
      </c>
      <c r="N822" t="s">
        <v>154</v>
      </c>
    </row>
    <row r="823" spans="1:14" x14ac:dyDescent="0.25">
      <c r="A823" t="s">
        <v>2076</v>
      </c>
      <c r="B823" t="s">
        <v>6768</v>
      </c>
      <c r="C823" t="s">
        <v>5115</v>
      </c>
      <c r="D823" s="20">
        <v>27427</v>
      </c>
      <c r="E823">
        <v>9812916350</v>
      </c>
      <c r="F823" t="s">
        <v>6769</v>
      </c>
      <c r="G823" t="s">
        <v>5196</v>
      </c>
      <c r="H823" t="s">
        <v>5093</v>
      </c>
      <c r="I823" t="s">
        <v>40</v>
      </c>
      <c r="J823" t="s">
        <v>44</v>
      </c>
      <c r="K823" s="20">
        <v>45121</v>
      </c>
      <c r="L823" t="s">
        <v>5165</v>
      </c>
      <c r="M823" t="s">
        <v>154</v>
      </c>
      <c r="N823" t="s">
        <v>154</v>
      </c>
    </row>
    <row r="824" spans="1:14" x14ac:dyDescent="0.25">
      <c r="A824" t="s">
        <v>1885</v>
      </c>
      <c r="B824" t="s">
        <v>6770</v>
      </c>
      <c r="C824" t="s">
        <v>5090</v>
      </c>
      <c r="D824" s="20">
        <v>25798</v>
      </c>
      <c r="E824">
        <v>9272845397</v>
      </c>
      <c r="F824" t="s">
        <v>6771</v>
      </c>
      <c r="G824" t="s">
        <v>5097</v>
      </c>
      <c r="H824" t="s">
        <v>5098</v>
      </c>
      <c r="I824" t="s">
        <v>42</v>
      </c>
      <c r="J824" t="s">
        <v>39</v>
      </c>
      <c r="K824" s="20">
        <v>44719</v>
      </c>
      <c r="L824" t="s">
        <v>5168</v>
      </c>
      <c r="M824" t="s">
        <v>154</v>
      </c>
      <c r="N824" t="s">
        <v>154</v>
      </c>
    </row>
    <row r="825" spans="1:14" x14ac:dyDescent="0.25">
      <c r="A825" t="s">
        <v>3593</v>
      </c>
      <c r="B825" t="s">
        <v>6772</v>
      </c>
      <c r="C825" t="s">
        <v>5090</v>
      </c>
      <c r="D825" s="20">
        <v>31159</v>
      </c>
      <c r="E825">
        <v>9067560208</v>
      </c>
      <c r="F825" t="s">
        <v>6773</v>
      </c>
      <c r="G825" t="s">
        <v>5231</v>
      </c>
      <c r="H825" t="s">
        <v>5103</v>
      </c>
      <c r="I825" t="s">
        <v>38</v>
      </c>
      <c r="J825" t="s">
        <v>44</v>
      </c>
      <c r="K825" s="20">
        <v>44882</v>
      </c>
      <c r="L825" t="s">
        <v>5113</v>
      </c>
      <c r="M825" t="s">
        <v>154</v>
      </c>
      <c r="N825" t="s">
        <v>154</v>
      </c>
    </row>
    <row r="826" spans="1:14" x14ac:dyDescent="0.25">
      <c r="A826" t="s">
        <v>1288</v>
      </c>
      <c r="B826" t="s">
        <v>6774</v>
      </c>
      <c r="C826" t="s">
        <v>5090</v>
      </c>
      <c r="D826" s="20">
        <v>37544</v>
      </c>
      <c r="E826">
        <v>9439044890</v>
      </c>
      <c r="F826" t="s">
        <v>6775</v>
      </c>
      <c r="G826" t="s">
        <v>5301</v>
      </c>
      <c r="H826" t="s">
        <v>5093</v>
      </c>
      <c r="I826" t="s">
        <v>40</v>
      </c>
      <c r="J826" t="s">
        <v>43</v>
      </c>
      <c r="K826" s="20">
        <v>43419</v>
      </c>
      <c r="L826" t="s">
        <v>5094</v>
      </c>
      <c r="M826" t="s">
        <v>154</v>
      </c>
      <c r="N826" t="s">
        <v>154</v>
      </c>
    </row>
    <row r="827" spans="1:14" x14ac:dyDescent="0.25">
      <c r="A827" t="s">
        <v>3587</v>
      </c>
      <c r="B827" t="s">
        <v>6776</v>
      </c>
      <c r="C827" t="s">
        <v>5115</v>
      </c>
      <c r="D827" s="20">
        <v>26895</v>
      </c>
      <c r="E827">
        <v>9510255501</v>
      </c>
      <c r="F827" t="s">
        <v>6777</v>
      </c>
      <c r="G827" t="s">
        <v>5185</v>
      </c>
      <c r="H827" t="s">
        <v>5093</v>
      </c>
      <c r="I827" t="s">
        <v>40</v>
      </c>
      <c r="J827" t="s">
        <v>43</v>
      </c>
      <c r="K827" s="20">
        <v>43788</v>
      </c>
      <c r="L827" t="s">
        <v>5178</v>
      </c>
      <c r="M827" t="s">
        <v>154</v>
      </c>
      <c r="N827" t="s">
        <v>154</v>
      </c>
    </row>
    <row r="828" spans="1:14" x14ac:dyDescent="0.25">
      <c r="A828" t="s">
        <v>2614</v>
      </c>
      <c r="B828" t="s">
        <v>6778</v>
      </c>
      <c r="C828" t="s">
        <v>5090</v>
      </c>
      <c r="D828" s="20">
        <v>28390</v>
      </c>
      <c r="E828">
        <v>9888439333</v>
      </c>
      <c r="F828" t="s">
        <v>6779</v>
      </c>
      <c r="G828" t="s">
        <v>5201</v>
      </c>
      <c r="H828" t="s">
        <v>5118</v>
      </c>
      <c r="I828" t="s">
        <v>40</v>
      </c>
      <c r="J828" t="s">
        <v>43</v>
      </c>
      <c r="K828" s="20">
        <v>44759</v>
      </c>
      <c r="L828" t="s">
        <v>5108</v>
      </c>
      <c r="M828" t="s">
        <v>154</v>
      </c>
      <c r="N828" t="s">
        <v>154</v>
      </c>
    </row>
    <row r="829" spans="1:14" x14ac:dyDescent="0.25">
      <c r="A829" t="s">
        <v>4543</v>
      </c>
      <c r="B829" t="s">
        <v>6780</v>
      </c>
      <c r="C829" t="s">
        <v>5115</v>
      </c>
      <c r="D829" s="20">
        <v>38802</v>
      </c>
      <c r="E829">
        <v>9598312441</v>
      </c>
      <c r="F829" t="s">
        <v>6781</v>
      </c>
      <c r="G829" t="s">
        <v>5257</v>
      </c>
      <c r="H829" t="s">
        <v>5093</v>
      </c>
      <c r="I829" t="s">
        <v>40</v>
      </c>
      <c r="J829" t="s">
        <v>43</v>
      </c>
      <c r="K829" s="20">
        <v>45302</v>
      </c>
      <c r="L829" t="s">
        <v>5119</v>
      </c>
      <c r="M829" t="s">
        <v>154</v>
      </c>
      <c r="N829" t="s">
        <v>154</v>
      </c>
    </row>
    <row r="830" spans="1:14" x14ac:dyDescent="0.25">
      <c r="A830" t="s">
        <v>665</v>
      </c>
      <c r="B830" t="s">
        <v>6782</v>
      </c>
      <c r="C830" t="s">
        <v>5090</v>
      </c>
      <c r="D830" s="20">
        <v>36523</v>
      </c>
      <c r="E830">
        <v>9920123763</v>
      </c>
      <c r="F830" t="s">
        <v>6783</v>
      </c>
      <c r="G830" t="s">
        <v>5276</v>
      </c>
      <c r="H830" t="s">
        <v>5118</v>
      </c>
      <c r="I830" t="s">
        <v>40</v>
      </c>
      <c r="J830" t="s">
        <v>39</v>
      </c>
      <c r="K830" s="20">
        <v>45606</v>
      </c>
      <c r="L830" t="s">
        <v>5099</v>
      </c>
      <c r="M830" t="s">
        <v>154</v>
      </c>
      <c r="N830" t="s">
        <v>154</v>
      </c>
    </row>
    <row r="831" spans="1:14" x14ac:dyDescent="0.25">
      <c r="A831" t="s">
        <v>2197</v>
      </c>
      <c r="B831" t="s">
        <v>6784</v>
      </c>
      <c r="C831" t="s">
        <v>5115</v>
      </c>
      <c r="D831" s="20">
        <v>29832</v>
      </c>
      <c r="E831">
        <v>9294193759</v>
      </c>
      <c r="F831" t="s">
        <v>6785</v>
      </c>
      <c r="G831" t="s">
        <v>5331</v>
      </c>
      <c r="H831" t="s">
        <v>5118</v>
      </c>
      <c r="I831" t="s">
        <v>40</v>
      </c>
      <c r="J831" t="s">
        <v>43</v>
      </c>
      <c r="K831" s="20">
        <v>43161</v>
      </c>
      <c r="L831" t="s">
        <v>5127</v>
      </c>
      <c r="M831" t="s">
        <v>154</v>
      </c>
      <c r="N831" t="s">
        <v>154</v>
      </c>
    </row>
    <row r="832" spans="1:14" x14ac:dyDescent="0.25">
      <c r="A832" t="s">
        <v>6786</v>
      </c>
      <c r="B832" t="s">
        <v>6437</v>
      </c>
      <c r="C832" t="s">
        <v>5090</v>
      </c>
      <c r="D832" s="20">
        <v>31055</v>
      </c>
      <c r="E832">
        <v>9626475286</v>
      </c>
      <c r="F832" t="s">
        <v>6787</v>
      </c>
      <c r="G832" t="s">
        <v>5151</v>
      </c>
      <c r="H832" t="s">
        <v>5103</v>
      </c>
      <c r="I832" t="s">
        <v>38</v>
      </c>
      <c r="J832" t="s">
        <v>43</v>
      </c>
      <c r="K832" s="20">
        <v>44626</v>
      </c>
      <c r="L832" t="s">
        <v>5178</v>
      </c>
      <c r="M832" t="s">
        <v>154</v>
      </c>
      <c r="N832" t="s">
        <v>154</v>
      </c>
    </row>
    <row r="833" spans="1:14" x14ac:dyDescent="0.25">
      <c r="A833" t="s">
        <v>649</v>
      </c>
      <c r="B833" t="s">
        <v>6788</v>
      </c>
      <c r="C833" t="s">
        <v>5115</v>
      </c>
      <c r="D833" s="20">
        <v>38330</v>
      </c>
      <c r="E833">
        <v>9099284524</v>
      </c>
      <c r="F833" t="s">
        <v>6789</v>
      </c>
      <c r="G833" t="s">
        <v>5181</v>
      </c>
      <c r="H833" t="s">
        <v>5112</v>
      </c>
      <c r="I833" t="s">
        <v>38</v>
      </c>
      <c r="J833" t="s">
        <v>43</v>
      </c>
      <c r="K833" s="20">
        <v>44037</v>
      </c>
      <c r="L833" t="s">
        <v>5119</v>
      </c>
      <c r="M833" t="s">
        <v>154</v>
      </c>
      <c r="N833" t="s">
        <v>154</v>
      </c>
    </row>
    <row r="834" spans="1:14" x14ac:dyDescent="0.25">
      <c r="A834" t="s">
        <v>2399</v>
      </c>
      <c r="B834" t="s">
        <v>5847</v>
      </c>
      <c r="C834" t="s">
        <v>5115</v>
      </c>
      <c r="D834" s="20">
        <v>29540</v>
      </c>
      <c r="E834">
        <v>9432191430</v>
      </c>
      <c r="F834" t="s">
        <v>6790</v>
      </c>
      <c r="G834" t="s">
        <v>5174</v>
      </c>
      <c r="H834" t="s">
        <v>5093</v>
      </c>
      <c r="I834" t="s">
        <v>40</v>
      </c>
      <c r="J834" t="s">
        <v>39</v>
      </c>
      <c r="K834" s="20">
        <v>44402</v>
      </c>
      <c r="L834" t="s">
        <v>5211</v>
      </c>
      <c r="M834" t="s">
        <v>154</v>
      </c>
      <c r="N834" t="s">
        <v>154</v>
      </c>
    </row>
    <row r="835" spans="1:14" x14ac:dyDescent="0.25">
      <c r="A835" t="s">
        <v>3028</v>
      </c>
      <c r="B835" t="s">
        <v>6791</v>
      </c>
      <c r="C835" t="s">
        <v>5090</v>
      </c>
      <c r="D835" s="20">
        <v>31295</v>
      </c>
      <c r="E835">
        <v>9422188345</v>
      </c>
      <c r="F835" t="s">
        <v>6792</v>
      </c>
      <c r="G835" t="s">
        <v>5092</v>
      </c>
      <c r="H835" t="s">
        <v>5093</v>
      </c>
      <c r="I835" t="s">
        <v>40</v>
      </c>
      <c r="J835" t="s">
        <v>39</v>
      </c>
      <c r="K835" s="20">
        <v>43620</v>
      </c>
      <c r="L835" t="s">
        <v>5094</v>
      </c>
      <c r="M835" t="s">
        <v>154</v>
      </c>
      <c r="N835" t="s">
        <v>154</v>
      </c>
    </row>
    <row r="836" spans="1:14" x14ac:dyDescent="0.25">
      <c r="A836" t="s">
        <v>1305</v>
      </c>
      <c r="B836" t="s">
        <v>5721</v>
      </c>
      <c r="C836" t="s">
        <v>5090</v>
      </c>
      <c r="D836" s="20">
        <v>28699</v>
      </c>
      <c r="E836">
        <v>9693332998</v>
      </c>
      <c r="F836" t="s">
        <v>6793</v>
      </c>
      <c r="G836" t="s">
        <v>5181</v>
      </c>
      <c r="H836" t="s">
        <v>5112</v>
      </c>
      <c r="I836" t="s">
        <v>38</v>
      </c>
      <c r="J836" t="s">
        <v>39</v>
      </c>
      <c r="K836" s="20">
        <v>44868</v>
      </c>
      <c r="L836" t="s">
        <v>5137</v>
      </c>
      <c r="M836" t="s">
        <v>154</v>
      </c>
      <c r="N836" t="s">
        <v>154</v>
      </c>
    </row>
    <row r="837" spans="1:14" x14ac:dyDescent="0.25">
      <c r="A837" t="s">
        <v>4891</v>
      </c>
      <c r="B837" t="s">
        <v>6575</v>
      </c>
      <c r="C837" t="s">
        <v>5115</v>
      </c>
      <c r="D837" s="20">
        <v>24679</v>
      </c>
      <c r="E837">
        <v>9640858588</v>
      </c>
      <c r="F837" t="s">
        <v>6794</v>
      </c>
      <c r="G837" t="s">
        <v>5174</v>
      </c>
      <c r="H837" t="s">
        <v>5093</v>
      </c>
      <c r="I837" t="s">
        <v>40</v>
      </c>
      <c r="J837" t="s">
        <v>39</v>
      </c>
      <c r="K837" s="20">
        <v>45324</v>
      </c>
      <c r="L837" t="s">
        <v>5113</v>
      </c>
      <c r="M837" t="s">
        <v>154</v>
      </c>
      <c r="N837" t="s">
        <v>154</v>
      </c>
    </row>
    <row r="838" spans="1:14" x14ac:dyDescent="0.25">
      <c r="A838" t="s">
        <v>645</v>
      </c>
      <c r="B838" t="s">
        <v>6063</v>
      </c>
      <c r="C838" t="s">
        <v>5090</v>
      </c>
      <c r="D838" s="20">
        <v>36437</v>
      </c>
      <c r="E838">
        <v>9620846729</v>
      </c>
      <c r="F838" t="s">
        <v>6795</v>
      </c>
      <c r="G838" t="s">
        <v>5117</v>
      </c>
      <c r="H838" t="s">
        <v>5118</v>
      </c>
      <c r="I838" t="s">
        <v>40</v>
      </c>
      <c r="J838" t="s">
        <v>44</v>
      </c>
      <c r="K838" s="20">
        <v>45058</v>
      </c>
      <c r="L838" t="s">
        <v>5182</v>
      </c>
      <c r="M838" t="s">
        <v>154</v>
      </c>
      <c r="N838" t="s">
        <v>154</v>
      </c>
    </row>
    <row r="839" spans="1:14" x14ac:dyDescent="0.25">
      <c r="A839" t="s">
        <v>1430</v>
      </c>
      <c r="B839" t="s">
        <v>5364</v>
      </c>
      <c r="C839" t="s">
        <v>5115</v>
      </c>
      <c r="D839" s="20">
        <v>35819</v>
      </c>
      <c r="E839">
        <v>9822250182</v>
      </c>
      <c r="F839" t="s">
        <v>6796</v>
      </c>
      <c r="G839" t="s">
        <v>5201</v>
      </c>
      <c r="H839" t="s">
        <v>5118</v>
      </c>
      <c r="I839" t="s">
        <v>40</v>
      </c>
      <c r="J839" t="s">
        <v>44</v>
      </c>
      <c r="K839" s="20">
        <v>44705</v>
      </c>
      <c r="L839" t="s">
        <v>5165</v>
      </c>
      <c r="M839" t="s">
        <v>154</v>
      </c>
      <c r="N839" t="s">
        <v>154</v>
      </c>
    </row>
    <row r="840" spans="1:14" x14ac:dyDescent="0.25">
      <c r="A840" t="s">
        <v>616</v>
      </c>
      <c r="B840" t="s">
        <v>6344</v>
      </c>
      <c r="C840" t="s">
        <v>5090</v>
      </c>
      <c r="D840" s="20">
        <v>36144</v>
      </c>
      <c r="E840">
        <v>9942012234</v>
      </c>
      <c r="F840" t="s">
        <v>6797</v>
      </c>
      <c r="G840" t="s">
        <v>5117</v>
      </c>
      <c r="H840" t="s">
        <v>5118</v>
      </c>
      <c r="I840" t="s">
        <v>40</v>
      </c>
      <c r="J840" t="s">
        <v>43</v>
      </c>
      <c r="K840" s="20">
        <v>44785</v>
      </c>
      <c r="L840" t="s">
        <v>5208</v>
      </c>
      <c r="M840" t="s">
        <v>154</v>
      </c>
      <c r="N840" t="s">
        <v>154</v>
      </c>
    </row>
    <row r="841" spans="1:14" x14ac:dyDescent="0.25">
      <c r="A841" t="s">
        <v>1370</v>
      </c>
      <c r="B841" t="s">
        <v>6798</v>
      </c>
      <c r="C841" t="s">
        <v>5115</v>
      </c>
      <c r="D841" s="20">
        <v>23930</v>
      </c>
      <c r="E841">
        <v>9270266045</v>
      </c>
      <c r="F841" t="s">
        <v>6799</v>
      </c>
      <c r="G841" t="s">
        <v>5366</v>
      </c>
      <c r="H841" t="s">
        <v>5103</v>
      </c>
      <c r="I841" t="s">
        <v>38</v>
      </c>
      <c r="J841" t="s">
        <v>44</v>
      </c>
      <c r="K841" s="20">
        <v>44811</v>
      </c>
      <c r="L841" t="s">
        <v>5127</v>
      </c>
      <c r="M841" t="s">
        <v>154</v>
      </c>
      <c r="N841" t="s">
        <v>154</v>
      </c>
    </row>
    <row r="842" spans="1:14" x14ac:dyDescent="0.25">
      <c r="A842" t="s">
        <v>4659</v>
      </c>
      <c r="B842" t="s">
        <v>6800</v>
      </c>
      <c r="C842" t="s">
        <v>5090</v>
      </c>
      <c r="D842" s="20">
        <v>26924</v>
      </c>
      <c r="E842">
        <v>9039101933</v>
      </c>
      <c r="F842" t="s">
        <v>6801</v>
      </c>
      <c r="G842" t="s">
        <v>5122</v>
      </c>
      <c r="H842" t="s">
        <v>5093</v>
      </c>
      <c r="I842" t="s">
        <v>40</v>
      </c>
      <c r="J842" t="s">
        <v>39</v>
      </c>
      <c r="K842" s="20">
        <v>44268</v>
      </c>
      <c r="L842" t="s">
        <v>5123</v>
      </c>
      <c r="M842" t="s">
        <v>154</v>
      </c>
      <c r="N842" t="s">
        <v>154</v>
      </c>
    </row>
    <row r="843" spans="1:14" x14ac:dyDescent="0.25">
      <c r="A843" t="s">
        <v>916</v>
      </c>
      <c r="B843" t="s">
        <v>6802</v>
      </c>
      <c r="C843" t="s">
        <v>5090</v>
      </c>
      <c r="D843" s="20">
        <v>26653</v>
      </c>
      <c r="E843">
        <v>9193600608</v>
      </c>
      <c r="F843" t="s">
        <v>6803</v>
      </c>
      <c r="G843" t="s">
        <v>5238</v>
      </c>
      <c r="H843" t="s">
        <v>5093</v>
      </c>
      <c r="I843" t="s">
        <v>40</v>
      </c>
      <c r="J843" t="s">
        <v>43</v>
      </c>
      <c r="K843" s="20">
        <v>45000</v>
      </c>
      <c r="L843" t="s">
        <v>5104</v>
      </c>
      <c r="M843" t="s">
        <v>154</v>
      </c>
      <c r="N843" t="s">
        <v>154</v>
      </c>
    </row>
    <row r="844" spans="1:14" x14ac:dyDescent="0.25">
      <c r="A844" t="s">
        <v>1107</v>
      </c>
      <c r="B844" t="s">
        <v>6027</v>
      </c>
      <c r="C844" t="s">
        <v>5115</v>
      </c>
      <c r="D844" s="20">
        <v>30296</v>
      </c>
      <c r="E844">
        <v>9762643850</v>
      </c>
      <c r="F844" t="s">
        <v>6804</v>
      </c>
      <c r="G844" t="s">
        <v>5117</v>
      </c>
      <c r="H844" t="s">
        <v>5118</v>
      </c>
      <c r="I844" t="s">
        <v>40</v>
      </c>
      <c r="J844" t="s">
        <v>43</v>
      </c>
      <c r="K844" s="20">
        <v>44813</v>
      </c>
      <c r="L844" t="s">
        <v>5123</v>
      </c>
      <c r="M844" t="s">
        <v>154</v>
      </c>
      <c r="N844" t="s">
        <v>154</v>
      </c>
    </row>
    <row r="845" spans="1:14" x14ac:dyDescent="0.25">
      <c r="A845" t="s">
        <v>3852</v>
      </c>
      <c r="B845" t="s">
        <v>6805</v>
      </c>
      <c r="C845" t="s">
        <v>5090</v>
      </c>
      <c r="D845" s="20">
        <v>26585</v>
      </c>
      <c r="E845">
        <v>9231336109</v>
      </c>
      <c r="F845" t="s">
        <v>6806</v>
      </c>
      <c r="G845" t="s">
        <v>5092</v>
      </c>
      <c r="H845" t="s">
        <v>5093</v>
      </c>
      <c r="I845" t="s">
        <v>40</v>
      </c>
      <c r="J845" t="s">
        <v>39</v>
      </c>
      <c r="K845" s="20">
        <v>44922</v>
      </c>
      <c r="L845" t="s">
        <v>5131</v>
      </c>
      <c r="M845" t="s">
        <v>154</v>
      </c>
      <c r="N845" t="s">
        <v>154</v>
      </c>
    </row>
    <row r="846" spans="1:14" x14ac:dyDescent="0.25">
      <c r="A846" t="s">
        <v>2902</v>
      </c>
      <c r="B846" t="s">
        <v>6807</v>
      </c>
      <c r="C846" t="s">
        <v>5115</v>
      </c>
      <c r="D846" s="20">
        <v>28652</v>
      </c>
      <c r="E846">
        <v>9441372776</v>
      </c>
      <c r="F846" t="s">
        <v>6808</v>
      </c>
      <c r="G846" t="s">
        <v>5185</v>
      </c>
      <c r="H846" t="s">
        <v>5093</v>
      </c>
      <c r="I846" t="s">
        <v>40</v>
      </c>
      <c r="J846" t="s">
        <v>44</v>
      </c>
      <c r="K846" s="20">
        <v>44694</v>
      </c>
      <c r="L846" t="s">
        <v>5094</v>
      </c>
      <c r="M846" t="s">
        <v>154</v>
      </c>
      <c r="N846" t="s">
        <v>184</v>
      </c>
    </row>
    <row r="847" spans="1:14" x14ac:dyDescent="0.25">
      <c r="A847" t="s">
        <v>3167</v>
      </c>
      <c r="B847" t="s">
        <v>6809</v>
      </c>
      <c r="C847" t="s">
        <v>5115</v>
      </c>
      <c r="D847" s="20">
        <v>30656</v>
      </c>
      <c r="E847">
        <v>9046175518</v>
      </c>
      <c r="F847" t="s">
        <v>6810</v>
      </c>
      <c r="G847" t="s">
        <v>5092</v>
      </c>
      <c r="H847" t="s">
        <v>5093</v>
      </c>
      <c r="I847" t="s">
        <v>40</v>
      </c>
      <c r="J847" t="s">
        <v>41</v>
      </c>
      <c r="K847" s="20">
        <v>43838</v>
      </c>
      <c r="L847" t="s">
        <v>5099</v>
      </c>
      <c r="M847" t="s">
        <v>154</v>
      </c>
      <c r="N847" t="s">
        <v>154</v>
      </c>
    </row>
    <row r="848" spans="1:14" x14ac:dyDescent="0.25">
      <c r="A848" t="s">
        <v>1684</v>
      </c>
      <c r="B848" t="s">
        <v>6811</v>
      </c>
      <c r="C848" t="s">
        <v>5115</v>
      </c>
      <c r="D848" s="20">
        <v>33896</v>
      </c>
      <c r="E848">
        <v>9024837444</v>
      </c>
      <c r="F848" t="s">
        <v>6812</v>
      </c>
      <c r="G848" t="s">
        <v>5189</v>
      </c>
      <c r="H848" t="s">
        <v>5112</v>
      </c>
      <c r="I848" t="s">
        <v>38</v>
      </c>
      <c r="J848" t="s">
        <v>43</v>
      </c>
      <c r="K848" s="20">
        <v>44328</v>
      </c>
      <c r="L848" t="s">
        <v>5165</v>
      </c>
      <c r="M848" t="s">
        <v>154</v>
      </c>
      <c r="N848" t="s">
        <v>154</v>
      </c>
    </row>
    <row r="849" spans="1:14" x14ac:dyDescent="0.25">
      <c r="A849" t="s">
        <v>960</v>
      </c>
      <c r="B849" t="s">
        <v>6813</v>
      </c>
      <c r="C849" t="s">
        <v>5090</v>
      </c>
      <c r="D849" s="20">
        <v>28144</v>
      </c>
      <c r="E849">
        <v>9694790254</v>
      </c>
      <c r="F849" t="s">
        <v>6814</v>
      </c>
      <c r="G849" t="s">
        <v>5117</v>
      </c>
      <c r="H849" t="s">
        <v>5118</v>
      </c>
      <c r="I849" t="s">
        <v>40</v>
      </c>
      <c r="J849" t="s">
        <v>44</v>
      </c>
      <c r="K849" s="20">
        <v>43905</v>
      </c>
      <c r="L849" t="s">
        <v>5186</v>
      </c>
      <c r="M849" t="s">
        <v>154</v>
      </c>
      <c r="N849" t="s">
        <v>154</v>
      </c>
    </row>
    <row r="850" spans="1:14" x14ac:dyDescent="0.25">
      <c r="A850" t="s">
        <v>354</v>
      </c>
      <c r="B850" t="s">
        <v>6815</v>
      </c>
      <c r="C850" t="s">
        <v>5115</v>
      </c>
      <c r="D850" s="20">
        <v>37539</v>
      </c>
      <c r="E850">
        <v>9723864100</v>
      </c>
      <c r="F850" t="s">
        <v>6816</v>
      </c>
      <c r="G850" t="s">
        <v>5257</v>
      </c>
      <c r="H850" t="s">
        <v>5093</v>
      </c>
      <c r="I850" t="s">
        <v>40</v>
      </c>
      <c r="J850" t="s">
        <v>41</v>
      </c>
      <c r="K850" s="20">
        <v>43270</v>
      </c>
      <c r="L850" t="s">
        <v>5152</v>
      </c>
      <c r="M850" t="s">
        <v>154</v>
      </c>
      <c r="N850" t="s">
        <v>154</v>
      </c>
    </row>
    <row r="851" spans="1:14" x14ac:dyDescent="0.25">
      <c r="A851" t="s">
        <v>2110</v>
      </c>
      <c r="B851" t="s">
        <v>6817</v>
      </c>
      <c r="C851" t="s">
        <v>5115</v>
      </c>
      <c r="D851" s="20">
        <v>33996</v>
      </c>
      <c r="E851">
        <v>9164359900</v>
      </c>
      <c r="F851" t="s">
        <v>6818</v>
      </c>
      <c r="G851" t="s">
        <v>5117</v>
      </c>
      <c r="H851" t="s">
        <v>5118</v>
      </c>
      <c r="I851" t="s">
        <v>40</v>
      </c>
      <c r="J851" t="s">
        <v>44</v>
      </c>
      <c r="K851" s="20">
        <v>44198</v>
      </c>
      <c r="L851" t="s">
        <v>5165</v>
      </c>
      <c r="M851" t="s">
        <v>154</v>
      </c>
      <c r="N851" t="s">
        <v>154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5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5" width="16" customWidth="1"/>
  </cols>
  <sheetData>
    <row r="1" spans="1:15" x14ac:dyDescent="0.25">
      <c r="A1" s="19" t="s">
        <v>131</v>
      </c>
      <c r="B1" s="19" t="s">
        <v>6819</v>
      </c>
      <c r="C1" s="19" t="s">
        <v>8</v>
      </c>
      <c r="D1" s="19" t="s">
        <v>6820</v>
      </c>
      <c r="E1" s="19" t="s">
        <v>146</v>
      </c>
      <c r="F1" s="19" t="s">
        <v>6821</v>
      </c>
      <c r="G1" s="19" t="s">
        <v>6822</v>
      </c>
      <c r="H1" s="19" t="s">
        <v>6823</v>
      </c>
      <c r="I1" s="19" t="s">
        <v>103</v>
      </c>
      <c r="J1" s="19" t="s">
        <v>6824</v>
      </c>
      <c r="K1" s="19" t="s">
        <v>6825</v>
      </c>
      <c r="L1" s="19" t="s">
        <v>6826</v>
      </c>
      <c r="M1" s="19" t="s">
        <v>6827</v>
      </c>
      <c r="N1" s="19" t="s">
        <v>6828</v>
      </c>
      <c r="O1" s="19" t="s">
        <v>6829</v>
      </c>
    </row>
    <row r="2" spans="1:15" x14ac:dyDescent="0.25">
      <c r="A2" t="s">
        <v>650</v>
      </c>
      <c r="B2" t="s">
        <v>6830</v>
      </c>
      <c r="C2" t="s">
        <v>21</v>
      </c>
      <c r="D2" t="s">
        <v>6831</v>
      </c>
      <c r="E2" t="s">
        <v>6832</v>
      </c>
      <c r="F2" t="s">
        <v>6833</v>
      </c>
      <c r="G2" t="s">
        <v>6834</v>
      </c>
      <c r="H2" t="s">
        <v>6835</v>
      </c>
      <c r="I2" t="s">
        <v>6836</v>
      </c>
      <c r="J2">
        <v>1409.12</v>
      </c>
      <c r="K2">
        <v>1897.19</v>
      </c>
      <c r="L2">
        <v>2022.43</v>
      </c>
      <c r="M2" s="20">
        <v>45167</v>
      </c>
      <c r="N2" t="s">
        <v>6837</v>
      </c>
      <c r="O2" t="s">
        <v>154</v>
      </c>
    </row>
    <row r="3" spans="1:15" x14ac:dyDescent="0.25">
      <c r="A3" t="s">
        <v>307</v>
      </c>
      <c r="B3" t="s">
        <v>6838</v>
      </c>
      <c r="C3" t="s">
        <v>21</v>
      </c>
      <c r="D3" t="s">
        <v>6839</v>
      </c>
      <c r="E3" t="s">
        <v>6840</v>
      </c>
      <c r="F3" t="s">
        <v>6841</v>
      </c>
      <c r="G3" t="s">
        <v>6842</v>
      </c>
      <c r="H3" t="s">
        <v>6843</v>
      </c>
      <c r="I3" t="s">
        <v>6844</v>
      </c>
      <c r="J3">
        <v>755.06</v>
      </c>
      <c r="K3">
        <v>1140.9000000000001</v>
      </c>
      <c r="L3">
        <v>1278.3900000000001</v>
      </c>
      <c r="M3" s="20">
        <v>45452</v>
      </c>
      <c r="N3" t="s">
        <v>6837</v>
      </c>
      <c r="O3" t="s">
        <v>154</v>
      </c>
    </row>
    <row r="4" spans="1:15" x14ac:dyDescent="0.25">
      <c r="A4" t="s">
        <v>2294</v>
      </c>
      <c r="B4" t="s">
        <v>6845</v>
      </c>
      <c r="C4" t="s">
        <v>24</v>
      </c>
      <c r="D4" t="s">
        <v>6846</v>
      </c>
      <c r="E4" t="s">
        <v>6847</v>
      </c>
      <c r="F4" t="s">
        <v>6848</v>
      </c>
      <c r="G4" t="s">
        <v>6849</v>
      </c>
      <c r="H4" t="s">
        <v>6850</v>
      </c>
      <c r="I4" t="s">
        <v>6851</v>
      </c>
      <c r="J4">
        <v>1007.65</v>
      </c>
      <c r="K4">
        <v>1547.59</v>
      </c>
      <c r="L4">
        <v>1669.16</v>
      </c>
      <c r="M4" s="20">
        <v>45459</v>
      </c>
      <c r="N4" t="s">
        <v>6837</v>
      </c>
      <c r="O4" t="s">
        <v>184</v>
      </c>
    </row>
    <row r="5" spans="1:15" x14ac:dyDescent="0.25">
      <c r="A5" t="s">
        <v>1504</v>
      </c>
      <c r="B5" t="s">
        <v>6852</v>
      </c>
      <c r="C5" t="s">
        <v>16</v>
      </c>
      <c r="D5" t="s">
        <v>6853</v>
      </c>
      <c r="E5" t="s">
        <v>6847</v>
      </c>
      <c r="F5" t="s">
        <v>6854</v>
      </c>
      <c r="G5" t="s">
        <v>6855</v>
      </c>
      <c r="H5" t="s">
        <v>6856</v>
      </c>
      <c r="I5" t="s">
        <v>6857</v>
      </c>
      <c r="J5">
        <v>1144.5899999999999</v>
      </c>
      <c r="K5">
        <v>1663.91</v>
      </c>
      <c r="L5">
        <v>2062.86</v>
      </c>
      <c r="M5" s="20">
        <v>45323</v>
      </c>
      <c r="N5" t="s">
        <v>6837</v>
      </c>
      <c r="O5" t="s">
        <v>154</v>
      </c>
    </row>
    <row r="6" spans="1:15" x14ac:dyDescent="0.25">
      <c r="A6" t="s">
        <v>1511</v>
      </c>
      <c r="B6" t="s">
        <v>6858</v>
      </c>
      <c r="C6" t="s">
        <v>14</v>
      </c>
      <c r="D6" t="s">
        <v>6859</v>
      </c>
      <c r="E6" t="s">
        <v>6860</v>
      </c>
      <c r="F6" t="s">
        <v>6861</v>
      </c>
      <c r="G6" t="s">
        <v>6862</v>
      </c>
      <c r="H6" t="s">
        <v>6863</v>
      </c>
      <c r="I6" t="s">
        <v>6864</v>
      </c>
      <c r="J6">
        <v>1806.03</v>
      </c>
      <c r="K6">
        <v>2408.5300000000002</v>
      </c>
      <c r="L6">
        <v>2991.64</v>
      </c>
      <c r="M6" s="20">
        <v>44615</v>
      </c>
      <c r="N6" t="s">
        <v>6837</v>
      </c>
      <c r="O6" t="s">
        <v>154</v>
      </c>
    </row>
    <row r="7" spans="1:15" x14ac:dyDescent="0.25">
      <c r="A7" t="s">
        <v>2264</v>
      </c>
      <c r="B7" t="s">
        <v>6865</v>
      </c>
      <c r="C7" t="s">
        <v>30</v>
      </c>
      <c r="D7" t="s">
        <v>6866</v>
      </c>
      <c r="E7" t="s">
        <v>6867</v>
      </c>
      <c r="F7" t="s">
        <v>6861</v>
      </c>
      <c r="G7" t="s">
        <v>6868</v>
      </c>
      <c r="H7" t="s">
        <v>6869</v>
      </c>
      <c r="I7" t="s">
        <v>6870</v>
      </c>
      <c r="J7">
        <v>753.73</v>
      </c>
      <c r="K7">
        <v>1101.3599999999999</v>
      </c>
      <c r="L7">
        <v>1203.69</v>
      </c>
      <c r="M7" s="20">
        <v>45146</v>
      </c>
      <c r="N7" t="s">
        <v>6837</v>
      </c>
      <c r="O7" t="s">
        <v>154</v>
      </c>
    </row>
    <row r="8" spans="1:15" x14ac:dyDescent="0.25">
      <c r="A8" t="s">
        <v>1520</v>
      </c>
      <c r="B8" t="s">
        <v>6871</v>
      </c>
      <c r="C8" t="s">
        <v>12</v>
      </c>
      <c r="D8" t="s">
        <v>6872</v>
      </c>
      <c r="E8" t="s">
        <v>6873</v>
      </c>
      <c r="F8" t="s">
        <v>6833</v>
      </c>
      <c r="G8" t="s">
        <v>6874</v>
      </c>
      <c r="H8" t="s">
        <v>6875</v>
      </c>
      <c r="I8" t="s">
        <v>6851</v>
      </c>
      <c r="J8">
        <v>3236.57</v>
      </c>
      <c r="K8">
        <v>4477.8999999999996</v>
      </c>
      <c r="L8">
        <v>4780.42</v>
      </c>
      <c r="M8" s="20">
        <v>45216</v>
      </c>
      <c r="N8" t="s">
        <v>6837</v>
      </c>
      <c r="O8" t="s">
        <v>154</v>
      </c>
    </row>
    <row r="9" spans="1:15" x14ac:dyDescent="0.25">
      <c r="A9" t="s">
        <v>4141</v>
      </c>
      <c r="B9" t="s">
        <v>6876</v>
      </c>
      <c r="C9" t="s">
        <v>26</v>
      </c>
      <c r="D9" t="s">
        <v>6877</v>
      </c>
      <c r="E9" t="s">
        <v>6878</v>
      </c>
      <c r="F9" t="s">
        <v>6861</v>
      </c>
      <c r="G9" t="s">
        <v>6879</v>
      </c>
      <c r="H9" t="s">
        <v>6880</v>
      </c>
      <c r="I9" t="s">
        <v>6881</v>
      </c>
      <c r="J9">
        <v>938.61</v>
      </c>
      <c r="K9">
        <v>1370.43</v>
      </c>
      <c r="L9">
        <v>1486.67</v>
      </c>
      <c r="M9" s="20">
        <v>45302</v>
      </c>
      <c r="N9" t="s">
        <v>6837</v>
      </c>
      <c r="O9" t="s">
        <v>154</v>
      </c>
    </row>
    <row r="10" spans="1:15" x14ac:dyDescent="0.25">
      <c r="A10" t="s">
        <v>1073</v>
      </c>
      <c r="B10" t="s">
        <v>6882</v>
      </c>
      <c r="C10" t="s">
        <v>12</v>
      </c>
      <c r="D10" t="s">
        <v>6883</v>
      </c>
      <c r="E10" t="s">
        <v>6884</v>
      </c>
      <c r="F10" t="s">
        <v>6885</v>
      </c>
      <c r="G10" t="s">
        <v>6886</v>
      </c>
      <c r="H10" t="s">
        <v>6887</v>
      </c>
      <c r="I10" t="s">
        <v>6888</v>
      </c>
      <c r="J10">
        <v>2340.46</v>
      </c>
      <c r="K10">
        <v>3184.6</v>
      </c>
      <c r="L10">
        <v>3855.7</v>
      </c>
      <c r="M10" s="20">
        <v>45691</v>
      </c>
      <c r="N10" t="s">
        <v>6837</v>
      </c>
      <c r="O10" t="s">
        <v>154</v>
      </c>
    </row>
    <row r="11" spans="1:15" x14ac:dyDescent="0.25">
      <c r="A11" t="s">
        <v>841</v>
      </c>
      <c r="B11" t="s">
        <v>6889</v>
      </c>
      <c r="C11" t="s">
        <v>24</v>
      </c>
      <c r="D11" t="s">
        <v>6890</v>
      </c>
      <c r="E11" t="s">
        <v>6891</v>
      </c>
      <c r="F11" t="s">
        <v>6841</v>
      </c>
      <c r="G11" t="s">
        <v>6886</v>
      </c>
      <c r="H11" t="s">
        <v>6892</v>
      </c>
      <c r="I11" t="s">
        <v>6893</v>
      </c>
      <c r="J11">
        <v>1061.5</v>
      </c>
      <c r="K11">
        <v>1589.07</v>
      </c>
      <c r="L11">
        <v>1691.96</v>
      </c>
      <c r="M11" s="20">
        <v>45211</v>
      </c>
      <c r="N11" t="s">
        <v>6837</v>
      </c>
      <c r="O11" t="s">
        <v>154</v>
      </c>
    </row>
    <row r="12" spans="1:15" x14ac:dyDescent="0.25">
      <c r="A12" t="s">
        <v>1204</v>
      </c>
      <c r="B12" t="s">
        <v>6894</v>
      </c>
      <c r="C12" t="s">
        <v>31</v>
      </c>
      <c r="D12" t="s">
        <v>6895</v>
      </c>
      <c r="E12" t="s">
        <v>6873</v>
      </c>
      <c r="F12" t="s">
        <v>6861</v>
      </c>
      <c r="G12" t="s">
        <v>6896</v>
      </c>
      <c r="H12" t="s">
        <v>6897</v>
      </c>
      <c r="I12" t="s">
        <v>6844</v>
      </c>
      <c r="J12">
        <v>414.5</v>
      </c>
      <c r="K12">
        <v>742.76</v>
      </c>
      <c r="L12">
        <v>799.07</v>
      </c>
      <c r="M12" s="20">
        <v>45591</v>
      </c>
      <c r="N12" t="s">
        <v>6898</v>
      </c>
      <c r="O12" t="s">
        <v>154</v>
      </c>
    </row>
    <row r="13" spans="1:15" x14ac:dyDescent="0.25">
      <c r="A13" t="s">
        <v>1909</v>
      </c>
      <c r="B13" t="s">
        <v>6899</v>
      </c>
      <c r="C13" t="s">
        <v>27</v>
      </c>
      <c r="D13" t="s">
        <v>6900</v>
      </c>
      <c r="E13" t="s">
        <v>6878</v>
      </c>
      <c r="F13" t="s">
        <v>6885</v>
      </c>
      <c r="G13" t="s">
        <v>6879</v>
      </c>
      <c r="H13" t="s">
        <v>6901</v>
      </c>
      <c r="I13" t="s">
        <v>6902</v>
      </c>
      <c r="J13">
        <v>967.37</v>
      </c>
      <c r="K13">
        <v>1274.6500000000001</v>
      </c>
      <c r="L13">
        <v>1579.92</v>
      </c>
      <c r="M13" s="20">
        <v>45624</v>
      </c>
      <c r="N13" t="s">
        <v>6898</v>
      </c>
      <c r="O13" t="s">
        <v>154</v>
      </c>
    </row>
    <row r="14" spans="1:15" x14ac:dyDescent="0.25">
      <c r="A14" t="s">
        <v>236</v>
      </c>
      <c r="B14" t="s">
        <v>6903</v>
      </c>
      <c r="C14" t="s">
        <v>22</v>
      </c>
      <c r="D14" t="s">
        <v>6904</v>
      </c>
      <c r="E14" t="s">
        <v>6905</v>
      </c>
      <c r="F14" t="s">
        <v>6833</v>
      </c>
      <c r="G14" t="s">
        <v>6896</v>
      </c>
      <c r="H14" t="s">
        <v>6869</v>
      </c>
      <c r="I14" t="s">
        <v>6906</v>
      </c>
      <c r="J14">
        <v>550.01</v>
      </c>
      <c r="K14">
        <v>788.9</v>
      </c>
      <c r="L14">
        <v>843.09</v>
      </c>
      <c r="M14" s="20">
        <v>44907</v>
      </c>
      <c r="N14" t="s">
        <v>6837</v>
      </c>
      <c r="O14" t="s">
        <v>154</v>
      </c>
    </row>
    <row r="15" spans="1:15" x14ac:dyDescent="0.25">
      <c r="A15" t="s">
        <v>2037</v>
      </c>
      <c r="B15" t="s">
        <v>6907</v>
      </c>
      <c r="C15" t="s">
        <v>18</v>
      </c>
      <c r="D15" t="s">
        <v>6908</v>
      </c>
      <c r="E15" t="s">
        <v>6909</v>
      </c>
      <c r="F15" t="s">
        <v>6910</v>
      </c>
      <c r="G15" t="s">
        <v>6834</v>
      </c>
      <c r="H15" t="s">
        <v>6880</v>
      </c>
      <c r="I15" t="s">
        <v>6911</v>
      </c>
      <c r="J15">
        <v>1205.1400000000001</v>
      </c>
      <c r="K15">
        <v>1840.46</v>
      </c>
      <c r="L15">
        <v>1947.65</v>
      </c>
      <c r="M15" s="20">
        <v>44620</v>
      </c>
      <c r="N15" t="s">
        <v>6837</v>
      </c>
      <c r="O15" t="s">
        <v>154</v>
      </c>
    </row>
    <row r="16" spans="1:15" x14ac:dyDescent="0.25">
      <c r="A16" t="s">
        <v>2553</v>
      </c>
      <c r="B16" t="s">
        <v>6912</v>
      </c>
      <c r="C16" t="s">
        <v>14</v>
      </c>
      <c r="D16" t="s">
        <v>6913</v>
      </c>
      <c r="E16" t="s">
        <v>6914</v>
      </c>
      <c r="F16" t="s">
        <v>6861</v>
      </c>
      <c r="G16" t="s">
        <v>6915</v>
      </c>
      <c r="H16" t="s">
        <v>6850</v>
      </c>
      <c r="I16" t="s">
        <v>6916</v>
      </c>
      <c r="J16">
        <v>2630.84</v>
      </c>
      <c r="K16">
        <v>3776.39</v>
      </c>
      <c r="L16">
        <v>3988.08</v>
      </c>
      <c r="M16" s="20">
        <v>45679</v>
      </c>
      <c r="N16" t="s">
        <v>6837</v>
      </c>
      <c r="O16" t="s">
        <v>154</v>
      </c>
    </row>
    <row r="17" spans="1:15" x14ac:dyDescent="0.25">
      <c r="A17" t="s">
        <v>317</v>
      </c>
      <c r="B17" t="s">
        <v>6917</v>
      </c>
      <c r="C17" t="s">
        <v>13</v>
      </c>
      <c r="D17" t="s">
        <v>6918</v>
      </c>
      <c r="E17" t="s">
        <v>6919</v>
      </c>
      <c r="F17" t="s">
        <v>6861</v>
      </c>
      <c r="G17" t="s">
        <v>6855</v>
      </c>
      <c r="H17" t="s">
        <v>6869</v>
      </c>
      <c r="I17" t="s">
        <v>6920</v>
      </c>
      <c r="J17">
        <v>1461.73</v>
      </c>
      <c r="K17">
        <v>2129.13</v>
      </c>
      <c r="L17">
        <v>2302.9</v>
      </c>
      <c r="M17" s="20">
        <v>45413</v>
      </c>
      <c r="N17" t="s">
        <v>6837</v>
      </c>
      <c r="O17" t="s">
        <v>154</v>
      </c>
    </row>
    <row r="18" spans="1:15" x14ac:dyDescent="0.25">
      <c r="A18" t="s">
        <v>689</v>
      </c>
      <c r="B18" t="s">
        <v>6921</v>
      </c>
      <c r="C18" t="s">
        <v>29</v>
      </c>
      <c r="D18" t="s">
        <v>6922</v>
      </c>
      <c r="E18" t="s">
        <v>6923</v>
      </c>
      <c r="F18" t="s">
        <v>6885</v>
      </c>
      <c r="G18" t="s">
        <v>6924</v>
      </c>
      <c r="H18" t="s">
        <v>6880</v>
      </c>
      <c r="I18" t="s">
        <v>6925</v>
      </c>
      <c r="J18">
        <v>591.38</v>
      </c>
      <c r="K18">
        <v>762.42</v>
      </c>
      <c r="L18">
        <v>857.04</v>
      </c>
      <c r="M18" s="20">
        <v>45712</v>
      </c>
      <c r="N18" t="s">
        <v>6837</v>
      </c>
      <c r="O18" t="s">
        <v>154</v>
      </c>
    </row>
    <row r="19" spans="1:15" x14ac:dyDescent="0.25">
      <c r="A19" t="s">
        <v>734</v>
      </c>
      <c r="B19" t="s">
        <v>6926</v>
      </c>
      <c r="C19" t="s">
        <v>31</v>
      </c>
      <c r="D19" t="s">
        <v>6927</v>
      </c>
      <c r="E19" t="s">
        <v>6928</v>
      </c>
      <c r="F19" t="s">
        <v>6861</v>
      </c>
      <c r="G19" t="s">
        <v>6842</v>
      </c>
      <c r="H19" t="s">
        <v>6929</v>
      </c>
      <c r="I19" t="s">
        <v>6930</v>
      </c>
      <c r="J19">
        <v>213.39</v>
      </c>
      <c r="K19">
        <v>344.12</v>
      </c>
      <c r="L19">
        <v>426.39</v>
      </c>
      <c r="M19" s="20">
        <v>45418</v>
      </c>
      <c r="N19" t="s">
        <v>6837</v>
      </c>
      <c r="O19" t="s">
        <v>154</v>
      </c>
    </row>
    <row r="20" spans="1:15" x14ac:dyDescent="0.25">
      <c r="A20" t="s">
        <v>372</v>
      </c>
      <c r="B20" t="s">
        <v>6931</v>
      </c>
      <c r="C20" t="s">
        <v>29</v>
      </c>
      <c r="D20" t="s">
        <v>6932</v>
      </c>
      <c r="E20" t="s">
        <v>6933</v>
      </c>
      <c r="F20" t="s">
        <v>6910</v>
      </c>
      <c r="G20" t="s">
        <v>6879</v>
      </c>
      <c r="H20" t="s">
        <v>6875</v>
      </c>
      <c r="I20" t="s">
        <v>6934</v>
      </c>
      <c r="J20">
        <v>413.39</v>
      </c>
      <c r="K20">
        <v>625.76</v>
      </c>
      <c r="L20">
        <v>719.29</v>
      </c>
      <c r="M20" s="20">
        <v>44746</v>
      </c>
      <c r="N20" t="s">
        <v>6898</v>
      </c>
      <c r="O20" t="s">
        <v>184</v>
      </c>
    </row>
    <row r="21" spans="1:15" x14ac:dyDescent="0.25">
      <c r="A21" t="s">
        <v>658</v>
      </c>
      <c r="B21" t="s">
        <v>6935</v>
      </c>
      <c r="C21" t="s">
        <v>31</v>
      </c>
      <c r="D21" t="s">
        <v>6936</v>
      </c>
      <c r="E21" t="s">
        <v>6937</v>
      </c>
      <c r="F21" t="s">
        <v>6861</v>
      </c>
      <c r="G21" t="s">
        <v>6938</v>
      </c>
      <c r="H21" t="s">
        <v>6843</v>
      </c>
      <c r="I21" t="s">
        <v>6939</v>
      </c>
      <c r="J21">
        <v>171.9</v>
      </c>
      <c r="K21">
        <v>287.13</v>
      </c>
      <c r="L21">
        <v>335.8</v>
      </c>
      <c r="M21" s="20">
        <v>45525</v>
      </c>
      <c r="N21" t="s">
        <v>6837</v>
      </c>
      <c r="O21" t="s">
        <v>154</v>
      </c>
    </row>
    <row r="22" spans="1:15" x14ac:dyDescent="0.25">
      <c r="A22" t="s">
        <v>961</v>
      </c>
      <c r="B22" t="s">
        <v>6940</v>
      </c>
      <c r="C22" t="s">
        <v>27</v>
      </c>
      <c r="D22" t="s">
        <v>6941</v>
      </c>
      <c r="E22" t="s">
        <v>6873</v>
      </c>
      <c r="F22" t="s">
        <v>6885</v>
      </c>
      <c r="G22" t="s">
        <v>6942</v>
      </c>
      <c r="H22" t="s">
        <v>6880</v>
      </c>
      <c r="I22" t="s">
        <v>6943</v>
      </c>
      <c r="J22">
        <v>881.93</v>
      </c>
      <c r="K22">
        <v>1199.23</v>
      </c>
      <c r="L22">
        <v>1355.27</v>
      </c>
      <c r="M22" s="20">
        <v>45712</v>
      </c>
      <c r="N22" t="s">
        <v>6837</v>
      </c>
      <c r="O22" t="s">
        <v>154</v>
      </c>
    </row>
    <row r="23" spans="1:15" x14ac:dyDescent="0.25">
      <c r="A23" t="s">
        <v>401</v>
      </c>
      <c r="B23" t="s">
        <v>6944</v>
      </c>
      <c r="C23" t="s">
        <v>19</v>
      </c>
      <c r="D23" t="s">
        <v>6890</v>
      </c>
      <c r="E23" t="s">
        <v>6945</v>
      </c>
      <c r="F23" t="s">
        <v>6910</v>
      </c>
      <c r="G23" t="s">
        <v>6849</v>
      </c>
      <c r="H23" t="s">
        <v>6875</v>
      </c>
      <c r="I23" t="s">
        <v>6946</v>
      </c>
      <c r="J23">
        <v>767.83</v>
      </c>
      <c r="K23">
        <v>1187.6199999999999</v>
      </c>
      <c r="L23">
        <v>1408.61</v>
      </c>
      <c r="M23" s="20">
        <v>44805</v>
      </c>
      <c r="N23" t="s">
        <v>6837</v>
      </c>
      <c r="O23" t="s">
        <v>154</v>
      </c>
    </row>
    <row r="24" spans="1:15" x14ac:dyDescent="0.25">
      <c r="A24" t="s">
        <v>827</v>
      </c>
      <c r="B24" t="s">
        <v>6947</v>
      </c>
      <c r="C24" t="s">
        <v>25</v>
      </c>
      <c r="D24" t="s">
        <v>6948</v>
      </c>
      <c r="E24" t="s">
        <v>6949</v>
      </c>
      <c r="F24" t="s">
        <v>6833</v>
      </c>
      <c r="G24" t="s">
        <v>6896</v>
      </c>
      <c r="H24" t="s">
        <v>6843</v>
      </c>
      <c r="I24" t="s">
        <v>6950</v>
      </c>
      <c r="J24">
        <v>559.25</v>
      </c>
      <c r="K24">
        <v>784.48</v>
      </c>
      <c r="L24">
        <v>902.16</v>
      </c>
      <c r="M24" s="20">
        <v>44654</v>
      </c>
      <c r="N24" t="s">
        <v>6837</v>
      </c>
      <c r="O24" t="s">
        <v>154</v>
      </c>
    </row>
    <row r="25" spans="1:15" x14ac:dyDescent="0.25">
      <c r="A25" t="s">
        <v>1338</v>
      </c>
      <c r="B25" t="s">
        <v>6951</v>
      </c>
      <c r="C25" t="s">
        <v>13</v>
      </c>
      <c r="D25" t="s">
        <v>6952</v>
      </c>
      <c r="E25" t="s">
        <v>6953</v>
      </c>
      <c r="F25" t="s">
        <v>6861</v>
      </c>
      <c r="G25" t="s">
        <v>6834</v>
      </c>
      <c r="H25" t="s">
        <v>6954</v>
      </c>
      <c r="I25" t="s">
        <v>6955</v>
      </c>
      <c r="J25">
        <v>1579.46</v>
      </c>
      <c r="K25">
        <v>2129.73</v>
      </c>
      <c r="L25">
        <v>2497.35</v>
      </c>
      <c r="M25" s="20">
        <v>44894</v>
      </c>
      <c r="N25" t="s">
        <v>6837</v>
      </c>
      <c r="O25" t="s">
        <v>154</v>
      </c>
    </row>
    <row r="26" spans="1:15" x14ac:dyDescent="0.25">
      <c r="A26" t="s">
        <v>376</v>
      </c>
      <c r="B26" t="s">
        <v>6956</v>
      </c>
      <c r="C26" t="s">
        <v>19</v>
      </c>
      <c r="D26" t="s">
        <v>6846</v>
      </c>
      <c r="E26" t="s">
        <v>6957</v>
      </c>
      <c r="F26" t="s">
        <v>6841</v>
      </c>
      <c r="G26" t="s">
        <v>6849</v>
      </c>
      <c r="H26" t="s">
        <v>6892</v>
      </c>
      <c r="I26" t="s">
        <v>6958</v>
      </c>
      <c r="J26">
        <v>1025.24</v>
      </c>
      <c r="K26">
        <v>1373.76</v>
      </c>
      <c r="L26">
        <v>1666.58</v>
      </c>
      <c r="M26" s="20">
        <v>45316</v>
      </c>
      <c r="N26" t="s">
        <v>6837</v>
      </c>
      <c r="O26" t="s">
        <v>154</v>
      </c>
    </row>
    <row r="27" spans="1:15" x14ac:dyDescent="0.25">
      <c r="A27" t="s">
        <v>2006</v>
      </c>
      <c r="B27" t="s">
        <v>6959</v>
      </c>
      <c r="C27" t="s">
        <v>21</v>
      </c>
      <c r="D27" t="s">
        <v>6960</v>
      </c>
      <c r="E27" t="s">
        <v>6961</v>
      </c>
      <c r="F27" t="s">
        <v>6841</v>
      </c>
      <c r="G27" t="s">
        <v>6962</v>
      </c>
      <c r="H27" t="s">
        <v>6856</v>
      </c>
      <c r="I27" t="s">
        <v>6906</v>
      </c>
      <c r="J27">
        <v>1045.19</v>
      </c>
      <c r="K27">
        <v>1512.05</v>
      </c>
      <c r="L27">
        <v>1881.61</v>
      </c>
      <c r="M27" s="20">
        <v>45028</v>
      </c>
      <c r="N27" t="s">
        <v>6837</v>
      </c>
      <c r="O27" t="s">
        <v>154</v>
      </c>
    </row>
    <row r="28" spans="1:15" x14ac:dyDescent="0.25">
      <c r="A28" t="s">
        <v>693</v>
      </c>
      <c r="B28" t="s">
        <v>6963</v>
      </c>
      <c r="C28" t="s">
        <v>13</v>
      </c>
      <c r="D28" t="s">
        <v>6918</v>
      </c>
      <c r="E28" t="s">
        <v>6860</v>
      </c>
      <c r="F28" t="s">
        <v>6861</v>
      </c>
      <c r="G28" t="s">
        <v>6834</v>
      </c>
      <c r="H28" t="s">
        <v>6850</v>
      </c>
      <c r="I28" t="s">
        <v>6964</v>
      </c>
      <c r="J28">
        <v>2198.2199999999998</v>
      </c>
      <c r="K28">
        <v>2845.23</v>
      </c>
      <c r="L28">
        <v>3374.86</v>
      </c>
      <c r="M28" s="20">
        <v>44626</v>
      </c>
      <c r="N28" t="s">
        <v>6837</v>
      </c>
      <c r="O28" t="s">
        <v>154</v>
      </c>
    </row>
    <row r="29" spans="1:15" x14ac:dyDescent="0.25">
      <c r="A29" t="s">
        <v>2597</v>
      </c>
      <c r="B29" t="s">
        <v>6965</v>
      </c>
      <c r="C29" t="s">
        <v>27</v>
      </c>
      <c r="D29" t="s">
        <v>6900</v>
      </c>
      <c r="E29" t="s">
        <v>6966</v>
      </c>
      <c r="F29" t="s">
        <v>6841</v>
      </c>
      <c r="G29" t="s">
        <v>6842</v>
      </c>
      <c r="H29" t="s">
        <v>6843</v>
      </c>
      <c r="I29" t="s">
        <v>6844</v>
      </c>
      <c r="J29">
        <v>575.72</v>
      </c>
      <c r="K29">
        <v>838.91</v>
      </c>
      <c r="L29">
        <v>949.71</v>
      </c>
      <c r="M29" s="20">
        <v>45527</v>
      </c>
      <c r="N29" t="s">
        <v>6898</v>
      </c>
      <c r="O29" t="s">
        <v>154</v>
      </c>
    </row>
    <row r="30" spans="1:15" x14ac:dyDescent="0.25">
      <c r="A30" t="s">
        <v>996</v>
      </c>
      <c r="B30" t="s">
        <v>6967</v>
      </c>
      <c r="C30" t="s">
        <v>18</v>
      </c>
      <c r="D30" t="s">
        <v>6908</v>
      </c>
      <c r="E30" t="s">
        <v>6867</v>
      </c>
      <c r="F30" t="s">
        <v>6841</v>
      </c>
      <c r="G30" t="s">
        <v>6924</v>
      </c>
      <c r="H30" t="s">
        <v>6897</v>
      </c>
      <c r="I30" t="s">
        <v>6968</v>
      </c>
      <c r="J30">
        <v>1430.57</v>
      </c>
      <c r="K30">
        <v>1922.87</v>
      </c>
      <c r="L30">
        <v>2085.61</v>
      </c>
      <c r="M30" s="20">
        <v>45653</v>
      </c>
      <c r="N30" t="s">
        <v>6837</v>
      </c>
      <c r="O30" t="s">
        <v>154</v>
      </c>
    </row>
    <row r="31" spans="1:15" x14ac:dyDescent="0.25">
      <c r="A31" t="s">
        <v>1350</v>
      </c>
      <c r="B31" t="s">
        <v>6969</v>
      </c>
      <c r="C31" t="s">
        <v>22</v>
      </c>
      <c r="D31" t="s">
        <v>6970</v>
      </c>
      <c r="E31" t="s">
        <v>6933</v>
      </c>
      <c r="F31" t="s">
        <v>6910</v>
      </c>
      <c r="G31" t="s">
        <v>6971</v>
      </c>
      <c r="H31" t="s">
        <v>6869</v>
      </c>
      <c r="I31" t="s">
        <v>6972</v>
      </c>
      <c r="J31">
        <v>419.4</v>
      </c>
      <c r="K31">
        <v>642.71</v>
      </c>
      <c r="L31">
        <v>801.11</v>
      </c>
      <c r="M31" s="20">
        <v>45153</v>
      </c>
      <c r="N31" t="s">
        <v>6837</v>
      </c>
      <c r="O31" t="s">
        <v>154</v>
      </c>
    </row>
    <row r="32" spans="1:15" x14ac:dyDescent="0.25">
      <c r="A32" t="s">
        <v>1104</v>
      </c>
      <c r="B32" t="s">
        <v>6973</v>
      </c>
      <c r="C32" t="s">
        <v>13</v>
      </c>
      <c r="D32" t="s">
        <v>6974</v>
      </c>
      <c r="E32" t="s">
        <v>6975</v>
      </c>
      <c r="F32" t="s">
        <v>6861</v>
      </c>
      <c r="G32" t="s">
        <v>6862</v>
      </c>
      <c r="H32" t="s">
        <v>6892</v>
      </c>
      <c r="I32" t="s">
        <v>111</v>
      </c>
      <c r="J32">
        <v>2374.0300000000002</v>
      </c>
      <c r="K32">
        <v>3534.03</v>
      </c>
      <c r="L32">
        <v>3904.01</v>
      </c>
      <c r="M32" s="20">
        <v>44811</v>
      </c>
      <c r="N32" t="s">
        <v>6837</v>
      </c>
      <c r="O32" t="s">
        <v>154</v>
      </c>
    </row>
    <row r="33" spans="1:15" x14ac:dyDescent="0.25">
      <c r="A33" t="s">
        <v>1905</v>
      </c>
      <c r="B33" t="s">
        <v>6976</v>
      </c>
      <c r="C33" t="s">
        <v>25</v>
      </c>
      <c r="D33" t="s">
        <v>6977</v>
      </c>
      <c r="E33" t="s">
        <v>6978</v>
      </c>
      <c r="F33" t="s">
        <v>6854</v>
      </c>
      <c r="G33" t="s">
        <v>6979</v>
      </c>
      <c r="H33" t="s">
        <v>6869</v>
      </c>
      <c r="I33" t="s">
        <v>6980</v>
      </c>
      <c r="J33">
        <v>630.1</v>
      </c>
      <c r="K33">
        <v>922.62</v>
      </c>
      <c r="L33">
        <v>1032.6600000000001</v>
      </c>
      <c r="M33" s="20">
        <v>45467</v>
      </c>
      <c r="N33" t="s">
        <v>6837</v>
      </c>
      <c r="O33" t="s">
        <v>154</v>
      </c>
    </row>
    <row r="34" spans="1:15" x14ac:dyDescent="0.25">
      <c r="A34" t="s">
        <v>773</v>
      </c>
      <c r="B34" t="s">
        <v>6981</v>
      </c>
      <c r="C34" t="s">
        <v>12</v>
      </c>
      <c r="D34" t="s">
        <v>6883</v>
      </c>
      <c r="E34" t="s">
        <v>6982</v>
      </c>
      <c r="F34" t="s">
        <v>6910</v>
      </c>
      <c r="G34" t="s">
        <v>6942</v>
      </c>
      <c r="H34" t="s">
        <v>6954</v>
      </c>
      <c r="I34" t="s">
        <v>6983</v>
      </c>
      <c r="J34">
        <v>2710.05</v>
      </c>
      <c r="K34">
        <v>3499.17</v>
      </c>
      <c r="L34">
        <v>4105</v>
      </c>
      <c r="M34" s="20">
        <v>45052</v>
      </c>
      <c r="N34" t="s">
        <v>6837</v>
      </c>
      <c r="O34" t="s">
        <v>154</v>
      </c>
    </row>
    <row r="35" spans="1:15" x14ac:dyDescent="0.25">
      <c r="A35" t="s">
        <v>498</v>
      </c>
      <c r="B35" t="s">
        <v>6984</v>
      </c>
      <c r="C35" t="s">
        <v>30</v>
      </c>
      <c r="D35" t="s">
        <v>6985</v>
      </c>
      <c r="E35" t="s">
        <v>6905</v>
      </c>
      <c r="F35" t="s">
        <v>6861</v>
      </c>
      <c r="G35" t="s">
        <v>6971</v>
      </c>
      <c r="H35" t="s">
        <v>6887</v>
      </c>
      <c r="I35" t="s">
        <v>6943</v>
      </c>
      <c r="J35">
        <v>315.13</v>
      </c>
      <c r="K35">
        <v>425.14</v>
      </c>
      <c r="L35">
        <v>486.56</v>
      </c>
      <c r="M35" s="20">
        <v>44843</v>
      </c>
      <c r="N35" t="s">
        <v>6837</v>
      </c>
      <c r="O35" t="s">
        <v>154</v>
      </c>
    </row>
    <row r="36" spans="1:15" x14ac:dyDescent="0.25">
      <c r="A36" t="s">
        <v>174</v>
      </c>
      <c r="B36" t="s">
        <v>6986</v>
      </c>
      <c r="C36" t="s">
        <v>20</v>
      </c>
      <c r="D36" t="s">
        <v>6987</v>
      </c>
      <c r="E36" t="s">
        <v>6914</v>
      </c>
      <c r="F36" t="s">
        <v>6848</v>
      </c>
      <c r="G36" t="s">
        <v>6886</v>
      </c>
      <c r="H36" t="s">
        <v>6875</v>
      </c>
      <c r="I36" t="s">
        <v>6888</v>
      </c>
      <c r="J36">
        <v>539.76</v>
      </c>
      <c r="K36">
        <v>830.78</v>
      </c>
      <c r="L36">
        <v>925.68</v>
      </c>
      <c r="M36" s="20">
        <v>44683</v>
      </c>
      <c r="N36" t="s">
        <v>6898</v>
      </c>
      <c r="O36" t="s">
        <v>154</v>
      </c>
    </row>
    <row r="37" spans="1:15" x14ac:dyDescent="0.25">
      <c r="A37" t="s">
        <v>455</v>
      </c>
      <c r="B37" t="s">
        <v>6988</v>
      </c>
      <c r="C37" t="s">
        <v>14</v>
      </c>
      <c r="D37" t="s">
        <v>6859</v>
      </c>
      <c r="E37" t="s">
        <v>6982</v>
      </c>
      <c r="F37" t="s">
        <v>6861</v>
      </c>
      <c r="G37" t="s">
        <v>6989</v>
      </c>
      <c r="H37" t="s">
        <v>6954</v>
      </c>
      <c r="I37" t="s">
        <v>6990</v>
      </c>
      <c r="J37">
        <v>3748.71</v>
      </c>
      <c r="K37">
        <v>5155.8500000000004</v>
      </c>
      <c r="L37">
        <v>6277.36</v>
      </c>
      <c r="M37" s="20">
        <v>44636</v>
      </c>
      <c r="N37" t="s">
        <v>6991</v>
      </c>
      <c r="O37" t="s">
        <v>154</v>
      </c>
    </row>
    <row r="38" spans="1:15" x14ac:dyDescent="0.25">
      <c r="A38" t="s">
        <v>1296</v>
      </c>
      <c r="B38" t="s">
        <v>6992</v>
      </c>
      <c r="C38" t="s">
        <v>13</v>
      </c>
      <c r="D38" t="s">
        <v>6918</v>
      </c>
      <c r="E38" t="s">
        <v>6993</v>
      </c>
      <c r="F38" t="s">
        <v>6861</v>
      </c>
      <c r="G38" t="s">
        <v>6994</v>
      </c>
      <c r="H38" t="s">
        <v>6954</v>
      </c>
      <c r="I38" t="s">
        <v>6911</v>
      </c>
      <c r="J38">
        <v>671.19</v>
      </c>
      <c r="K38">
        <v>899.07</v>
      </c>
      <c r="L38">
        <v>1052.4100000000001</v>
      </c>
      <c r="M38" s="20">
        <v>45248</v>
      </c>
      <c r="N38" t="s">
        <v>6837</v>
      </c>
      <c r="O38" t="s">
        <v>154</v>
      </c>
    </row>
    <row r="39" spans="1:15" x14ac:dyDescent="0.25">
      <c r="A39" t="s">
        <v>2379</v>
      </c>
      <c r="B39" t="s">
        <v>6995</v>
      </c>
      <c r="C39" t="s">
        <v>26</v>
      </c>
      <c r="D39" t="s">
        <v>6996</v>
      </c>
      <c r="E39" t="s">
        <v>6873</v>
      </c>
      <c r="F39" t="s">
        <v>6861</v>
      </c>
      <c r="G39" t="s">
        <v>6849</v>
      </c>
      <c r="H39" t="s">
        <v>6875</v>
      </c>
      <c r="I39" t="s">
        <v>6997</v>
      </c>
      <c r="J39">
        <v>545.54999999999995</v>
      </c>
      <c r="K39">
        <v>814.31</v>
      </c>
      <c r="L39">
        <v>908.88</v>
      </c>
      <c r="M39" s="20">
        <v>45501</v>
      </c>
      <c r="N39" t="s">
        <v>6837</v>
      </c>
      <c r="O39" t="s">
        <v>154</v>
      </c>
    </row>
    <row r="40" spans="1:15" x14ac:dyDescent="0.25">
      <c r="A40" t="s">
        <v>830</v>
      </c>
      <c r="B40" t="s">
        <v>6998</v>
      </c>
      <c r="C40" t="s">
        <v>28</v>
      </c>
      <c r="D40" t="s">
        <v>6999</v>
      </c>
      <c r="E40" t="s">
        <v>7000</v>
      </c>
      <c r="F40" t="s">
        <v>6833</v>
      </c>
      <c r="G40" t="s">
        <v>6938</v>
      </c>
      <c r="H40" t="s">
        <v>6897</v>
      </c>
      <c r="I40" t="s">
        <v>6888</v>
      </c>
      <c r="J40">
        <v>570.20000000000005</v>
      </c>
      <c r="K40">
        <v>859.2</v>
      </c>
      <c r="L40">
        <v>1056.31</v>
      </c>
      <c r="M40" s="20">
        <v>45437</v>
      </c>
      <c r="N40" t="s">
        <v>6837</v>
      </c>
      <c r="O40" t="s">
        <v>154</v>
      </c>
    </row>
    <row r="41" spans="1:15" x14ac:dyDescent="0.25">
      <c r="A41" t="s">
        <v>187</v>
      </c>
      <c r="B41" t="s">
        <v>7001</v>
      </c>
      <c r="C41" t="s">
        <v>25</v>
      </c>
      <c r="D41" t="s">
        <v>7002</v>
      </c>
      <c r="E41" t="s">
        <v>7003</v>
      </c>
      <c r="F41" t="s">
        <v>6885</v>
      </c>
      <c r="G41" t="s">
        <v>6979</v>
      </c>
      <c r="H41" t="s">
        <v>6875</v>
      </c>
      <c r="I41" t="s">
        <v>6950</v>
      </c>
      <c r="J41">
        <v>1148.6600000000001</v>
      </c>
      <c r="K41">
        <v>1438.18</v>
      </c>
      <c r="L41">
        <v>1620.42</v>
      </c>
      <c r="M41" s="20">
        <v>45476</v>
      </c>
      <c r="N41" t="s">
        <v>6837</v>
      </c>
      <c r="O41" t="s">
        <v>154</v>
      </c>
    </row>
    <row r="42" spans="1:15" x14ac:dyDescent="0.25">
      <c r="A42" t="s">
        <v>1256</v>
      </c>
      <c r="B42" t="s">
        <v>7004</v>
      </c>
      <c r="C42" t="s">
        <v>19</v>
      </c>
      <c r="D42" t="s">
        <v>6890</v>
      </c>
      <c r="E42" t="s">
        <v>7005</v>
      </c>
      <c r="F42" t="s">
        <v>6833</v>
      </c>
      <c r="G42" t="s">
        <v>6862</v>
      </c>
      <c r="H42" t="s">
        <v>6880</v>
      </c>
      <c r="I42" t="s">
        <v>7006</v>
      </c>
      <c r="J42">
        <v>637.27</v>
      </c>
      <c r="K42">
        <v>819.19</v>
      </c>
      <c r="L42">
        <v>910.42</v>
      </c>
      <c r="M42" s="20">
        <v>45392</v>
      </c>
      <c r="N42" t="s">
        <v>6837</v>
      </c>
      <c r="O42" t="s">
        <v>154</v>
      </c>
    </row>
    <row r="43" spans="1:15" x14ac:dyDescent="0.25">
      <c r="A43" t="s">
        <v>638</v>
      </c>
      <c r="B43" t="s">
        <v>7007</v>
      </c>
      <c r="C43" t="s">
        <v>27</v>
      </c>
      <c r="D43" t="s">
        <v>7008</v>
      </c>
      <c r="E43" t="s">
        <v>6847</v>
      </c>
      <c r="F43" t="s">
        <v>6833</v>
      </c>
      <c r="G43" t="s">
        <v>6834</v>
      </c>
      <c r="H43" t="s">
        <v>6929</v>
      </c>
      <c r="I43" t="s">
        <v>6943</v>
      </c>
      <c r="J43">
        <v>978.68</v>
      </c>
      <c r="K43">
        <v>1363.75</v>
      </c>
      <c r="L43">
        <v>1556.03</v>
      </c>
      <c r="M43" s="20">
        <v>45327</v>
      </c>
      <c r="N43" t="s">
        <v>6837</v>
      </c>
      <c r="O43" t="s">
        <v>154</v>
      </c>
    </row>
    <row r="44" spans="1:15" x14ac:dyDescent="0.25">
      <c r="A44" t="s">
        <v>531</v>
      </c>
      <c r="B44" t="s">
        <v>7009</v>
      </c>
      <c r="C44" t="s">
        <v>13</v>
      </c>
      <c r="D44" t="s">
        <v>6918</v>
      </c>
      <c r="E44" t="s">
        <v>7010</v>
      </c>
      <c r="F44" t="s">
        <v>6861</v>
      </c>
      <c r="G44" t="s">
        <v>6971</v>
      </c>
      <c r="H44" t="s">
        <v>6897</v>
      </c>
      <c r="I44" t="s">
        <v>107</v>
      </c>
      <c r="J44">
        <v>2034.01</v>
      </c>
      <c r="K44">
        <v>3075.3</v>
      </c>
      <c r="L44">
        <v>3279.42</v>
      </c>
      <c r="M44" s="20">
        <v>45476</v>
      </c>
      <c r="N44" t="s">
        <v>6837</v>
      </c>
      <c r="O44" t="s">
        <v>154</v>
      </c>
    </row>
    <row r="45" spans="1:15" x14ac:dyDescent="0.25">
      <c r="A45" t="s">
        <v>993</v>
      </c>
      <c r="B45" t="s">
        <v>7011</v>
      </c>
      <c r="C45" t="s">
        <v>24</v>
      </c>
      <c r="D45" t="s">
        <v>7012</v>
      </c>
      <c r="E45" t="s">
        <v>7013</v>
      </c>
      <c r="F45" t="s">
        <v>6910</v>
      </c>
      <c r="G45" t="s">
        <v>6896</v>
      </c>
      <c r="H45" t="s">
        <v>6954</v>
      </c>
      <c r="I45" t="s">
        <v>7014</v>
      </c>
      <c r="J45">
        <v>721.29</v>
      </c>
      <c r="K45">
        <v>1017.74</v>
      </c>
      <c r="L45">
        <v>1102.1199999999999</v>
      </c>
      <c r="M45" s="20">
        <v>45627</v>
      </c>
      <c r="N45" t="s">
        <v>6837</v>
      </c>
      <c r="O45" t="s">
        <v>154</v>
      </c>
    </row>
    <row r="46" spans="1:15" x14ac:dyDescent="0.25">
      <c r="A46" t="s">
        <v>2039</v>
      </c>
      <c r="B46" t="s">
        <v>7015</v>
      </c>
      <c r="C46" t="s">
        <v>12</v>
      </c>
      <c r="D46" t="s">
        <v>7016</v>
      </c>
      <c r="E46" t="s">
        <v>7017</v>
      </c>
      <c r="F46" t="s">
        <v>6854</v>
      </c>
      <c r="G46" t="s">
        <v>6849</v>
      </c>
      <c r="H46" t="s">
        <v>6875</v>
      </c>
      <c r="I46" t="s">
        <v>7018</v>
      </c>
      <c r="J46">
        <v>2078.92</v>
      </c>
      <c r="K46">
        <v>2918.75</v>
      </c>
      <c r="L46">
        <v>3331.34</v>
      </c>
      <c r="M46" s="20">
        <v>44680</v>
      </c>
      <c r="N46" t="s">
        <v>6837</v>
      </c>
      <c r="O46" t="s">
        <v>154</v>
      </c>
    </row>
    <row r="47" spans="1:15" x14ac:dyDescent="0.25">
      <c r="A47" t="s">
        <v>415</v>
      </c>
      <c r="B47" t="s">
        <v>7019</v>
      </c>
      <c r="C47" t="s">
        <v>19</v>
      </c>
      <c r="D47" t="s">
        <v>6890</v>
      </c>
      <c r="E47" t="s">
        <v>6891</v>
      </c>
      <c r="F47" t="s">
        <v>6854</v>
      </c>
      <c r="G47" t="s">
        <v>6942</v>
      </c>
      <c r="H47" t="s">
        <v>6835</v>
      </c>
      <c r="I47" t="s">
        <v>111</v>
      </c>
      <c r="J47">
        <v>1047.48</v>
      </c>
      <c r="K47">
        <v>1491.08</v>
      </c>
      <c r="L47">
        <v>1579.14</v>
      </c>
      <c r="M47" s="20">
        <v>45267</v>
      </c>
      <c r="N47" t="s">
        <v>6837</v>
      </c>
      <c r="O47" t="s">
        <v>154</v>
      </c>
    </row>
    <row r="48" spans="1:15" x14ac:dyDescent="0.25">
      <c r="A48" t="s">
        <v>395</v>
      </c>
      <c r="B48" t="s">
        <v>7020</v>
      </c>
      <c r="C48" t="s">
        <v>23</v>
      </c>
      <c r="D48" t="s">
        <v>7021</v>
      </c>
      <c r="E48" t="s">
        <v>6975</v>
      </c>
      <c r="F48" t="s">
        <v>6841</v>
      </c>
      <c r="G48" t="s">
        <v>6989</v>
      </c>
      <c r="H48" t="s">
        <v>6869</v>
      </c>
      <c r="I48" t="s">
        <v>7022</v>
      </c>
      <c r="J48">
        <v>295</v>
      </c>
      <c r="K48">
        <v>465.24</v>
      </c>
      <c r="L48">
        <v>548.19000000000005</v>
      </c>
      <c r="M48" s="20">
        <v>45422</v>
      </c>
      <c r="N48" t="s">
        <v>6837</v>
      </c>
      <c r="O48" t="s">
        <v>154</v>
      </c>
    </row>
    <row r="49" spans="1:15" x14ac:dyDescent="0.25">
      <c r="A49" t="s">
        <v>805</v>
      </c>
      <c r="B49" t="s">
        <v>7023</v>
      </c>
      <c r="C49" t="s">
        <v>31</v>
      </c>
      <c r="D49" t="s">
        <v>7024</v>
      </c>
      <c r="E49" t="s">
        <v>6945</v>
      </c>
      <c r="F49" t="s">
        <v>6861</v>
      </c>
      <c r="G49" t="s">
        <v>6874</v>
      </c>
      <c r="H49" t="s">
        <v>6897</v>
      </c>
      <c r="I49" t="s">
        <v>109</v>
      </c>
      <c r="J49">
        <v>583.86</v>
      </c>
      <c r="K49">
        <v>1061.83</v>
      </c>
      <c r="L49">
        <v>1143.1600000000001</v>
      </c>
      <c r="M49" s="20">
        <v>45274</v>
      </c>
      <c r="N49" t="s">
        <v>6837</v>
      </c>
      <c r="O49" t="s">
        <v>184</v>
      </c>
    </row>
    <row r="50" spans="1:15" x14ac:dyDescent="0.25">
      <c r="A50" t="s">
        <v>606</v>
      </c>
      <c r="B50" t="s">
        <v>7025</v>
      </c>
      <c r="C50" t="s">
        <v>25</v>
      </c>
      <c r="D50" t="s">
        <v>7026</v>
      </c>
      <c r="E50" t="s">
        <v>6961</v>
      </c>
      <c r="F50" t="s">
        <v>6854</v>
      </c>
      <c r="G50" t="s">
        <v>6971</v>
      </c>
      <c r="H50" t="s">
        <v>6835</v>
      </c>
      <c r="I50" t="s">
        <v>7022</v>
      </c>
      <c r="J50">
        <v>1004.94</v>
      </c>
      <c r="K50">
        <v>1551.17</v>
      </c>
      <c r="L50">
        <v>1772.37</v>
      </c>
      <c r="M50" s="20">
        <v>45677</v>
      </c>
      <c r="N50" t="s">
        <v>6837</v>
      </c>
      <c r="O50" t="s">
        <v>154</v>
      </c>
    </row>
    <row r="51" spans="1:15" x14ac:dyDescent="0.25">
      <c r="A51" t="s">
        <v>1095</v>
      </c>
      <c r="B51" t="s">
        <v>7027</v>
      </c>
      <c r="C51" t="s">
        <v>16</v>
      </c>
      <c r="D51" t="s">
        <v>7028</v>
      </c>
      <c r="E51" t="s">
        <v>7029</v>
      </c>
      <c r="F51" t="s">
        <v>6885</v>
      </c>
      <c r="G51" t="s">
        <v>6862</v>
      </c>
      <c r="H51" t="s">
        <v>6901</v>
      </c>
      <c r="I51" t="s">
        <v>7030</v>
      </c>
      <c r="J51">
        <v>769.63</v>
      </c>
      <c r="K51">
        <v>1164.1099999999999</v>
      </c>
      <c r="L51">
        <v>1400.54</v>
      </c>
      <c r="M51" s="20">
        <v>44627</v>
      </c>
      <c r="N51" t="s">
        <v>6837</v>
      </c>
      <c r="O51" t="s">
        <v>154</v>
      </c>
    </row>
    <row r="52" spans="1:15" x14ac:dyDescent="0.25">
      <c r="A52" t="s">
        <v>854</v>
      </c>
      <c r="B52" t="s">
        <v>7031</v>
      </c>
      <c r="C52" t="s">
        <v>15</v>
      </c>
      <c r="D52" t="s">
        <v>7032</v>
      </c>
      <c r="E52" t="s">
        <v>6884</v>
      </c>
      <c r="F52" t="s">
        <v>6861</v>
      </c>
      <c r="G52" t="s">
        <v>6915</v>
      </c>
      <c r="H52" t="s">
        <v>7033</v>
      </c>
      <c r="I52" t="s">
        <v>7034</v>
      </c>
      <c r="J52">
        <v>954.04</v>
      </c>
      <c r="K52">
        <v>1202.1600000000001</v>
      </c>
      <c r="L52">
        <v>1405.99</v>
      </c>
      <c r="M52" s="20">
        <v>44661</v>
      </c>
      <c r="N52" t="s">
        <v>6837</v>
      </c>
      <c r="O52" t="s">
        <v>154</v>
      </c>
    </row>
    <row r="53" spans="1:15" x14ac:dyDescent="0.25">
      <c r="A53" t="s">
        <v>646</v>
      </c>
      <c r="B53" t="s">
        <v>7035</v>
      </c>
      <c r="C53" t="s">
        <v>25</v>
      </c>
      <c r="D53" t="s">
        <v>6977</v>
      </c>
      <c r="E53" t="s">
        <v>7036</v>
      </c>
      <c r="F53" t="s">
        <v>6854</v>
      </c>
      <c r="G53" t="s">
        <v>6896</v>
      </c>
      <c r="H53" t="s">
        <v>6929</v>
      </c>
      <c r="I53" t="s">
        <v>7018</v>
      </c>
      <c r="J53">
        <v>512.11</v>
      </c>
      <c r="K53">
        <v>792.77</v>
      </c>
      <c r="L53">
        <v>869.54</v>
      </c>
      <c r="M53" s="20">
        <v>45215</v>
      </c>
      <c r="N53" t="s">
        <v>6837</v>
      </c>
      <c r="O53" t="s">
        <v>154</v>
      </c>
    </row>
    <row r="54" spans="1:15" x14ac:dyDescent="0.25">
      <c r="A54" t="s">
        <v>1709</v>
      </c>
      <c r="B54" t="s">
        <v>7037</v>
      </c>
      <c r="C54" t="s">
        <v>29</v>
      </c>
      <c r="D54" t="s">
        <v>6922</v>
      </c>
      <c r="E54" t="s">
        <v>6878</v>
      </c>
      <c r="F54" t="s">
        <v>6910</v>
      </c>
      <c r="G54" t="s">
        <v>6979</v>
      </c>
      <c r="H54" t="s">
        <v>6897</v>
      </c>
      <c r="I54" t="s">
        <v>112</v>
      </c>
      <c r="J54">
        <v>327.36</v>
      </c>
      <c r="K54">
        <v>438.71</v>
      </c>
      <c r="L54">
        <v>465.99</v>
      </c>
      <c r="M54" s="20">
        <v>44920</v>
      </c>
      <c r="N54" t="s">
        <v>6837</v>
      </c>
      <c r="O54" t="s">
        <v>154</v>
      </c>
    </row>
    <row r="55" spans="1:15" x14ac:dyDescent="0.25">
      <c r="A55" t="s">
        <v>666</v>
      </c>
      <c r="B55" t="s">
        <v>7038</v>
      </c>
      <c r="C55" t="s">
        <v>26</v>
      </c>
      <c r="D55" t="s">
        <v>6996</v>
      </c>
      <c r="E55" t="s">
        <v>7013</v>
      </c>
      <c r="F55" t="s">
        <v>6861</v>
      </c>
      <c r="G55" t="s">
        <v>6862</v>
      </c>
      <c r="H55" t="s">
        <v>6897</v>
      </c>
      <c r="I55" t="s">
        <v>6916</v>
      </c>
      <c r="J55">
        <v>904.21</v>
      </c>
      <c r="K55">
        <v>1343.42</v>
      </c>
      <c r="L55">
        <v>1496.23</v>
      </c>
      <c r="M55" s="20">
        <v>45414</v>
      </c>
      <c r="N55" t="s">
        <v>6837</v>
      </c>
      <c r="O55" t="s">
        <v>154</v>
      </c>
    </row>
    <row r="56" spans="1:15" x14ac:dyDescent="0.25">
      <c r="A56" t="s">
        <v>913</v>
      </c>
      <c r="B56" t="s">
        <v>7039</v>
      </c>
      <c r="C56" t="s">
        <v>25</v>
      </c>
      <c r="D56" t="s">
        <v>7026</v>
      </c>
      <c r="E56" t="s">
        <v>7010</v>
      </c>
      <c r="F56" t="s">
        <v>6833</v>
      </c>
      <c r="G56" t="s">
        <v>6896</v>
      </c>
      <c r="H56" t="s">
        <v>6875</v>
      </c>
      <c r="I56" t="s">
        <v>7040</v>
      </c>
      <c r="J56">
        <v>1079.47</v>
      </c>
      <c r="K56">
        <v>1446.73</v>
      </c>
      <c r="L56">
        <v>1723.8</v>
      </c>
      <c r="M56" s="20">
        <v>45510</v>
      </c>
      <c r="N56" t="s">
        <v>6898</v>
      </c>
      <c r="O56" t="s">
        <v>154</v>
      </c>
    </row>
    <row r="57" spans="1:15" x14ac:dyDescent="0.25">
      <c r="A57" t="s">
        <v>868</v>
      </c>
      <c r="B57" t="s">
        <v>7041</v>
      </c>
      <c r="C57" t="s">
        <v>21</v>
      </c>
      <c r="D57" t="s">
        <v>7042</v>
      </c>
      <c r="E57" t="s">
        <v>6867</v>
      </c>
      <c r="F57" t="s">
        <v>6841</v>
      </c>
      <c r="G57" t="s">
        <v>6849</v>
      </c>
      <c r="H57" t="s">
        <v>6901</v>
      </c>
      <c r="I57" t="s">
        <v>6888</v>
      </c>
      <c r="J57">
        <v>1015.72</v>
      </c>
      <c r="K57">
        <v>1331.61</v>
      </c>
      <c r="L57">
        <v>1570.42</v>
      </c>
      <c r="M57" s="20">
        <v>45483</v>
      </c>
      <c r="N57" t="s">
        <v>6837</v>
      </c>
      <c r="O57" t="s">
        <v>154</v>
      </c>
    </row>
    <row r="58" spans="1:15" x14ac:dyDescent="0.25">
      <c r="A58" t="s">
        <v>1816</v>
      </c>
      <c r="B58" t="s">
        <v>7043</v>
      </c>
      <c r="C58" t="s">
        <v>26</v>
      </c>
      <c r="D58" t="s">
        <v>7044</v>
      </c>
      <c r="E58" t="s">
        <v>7013</v>
      </c>
      <c r="F58" t="s">
        <v>6861</v>
      </c>
      <c r="G58" t="s">
        <v>6942</v>
      </c>
      <c r="H58" t="s">
        <v>6863</v>
      </c>
      <c r="I58" t="s">
        <v>7045</v>
      </c>
      <c r="J58">
        <v>906.3</v>
      </c>
      <c r="K58">
        <v>1296.8</v>
      </c>
      <c r="L58">
        <v>1588.22</v>
      </c>
      <c r="M58" s="20">
        <v>44947</v>
      </c>
      <c r="N58" t="s">
        <v>6837</v>
      </c>
      <c r="O58" t="s">
        <v>154</v>
      </c>
    </row>
    <row r="59" spans="1:15" x14ac:dyDescent="0.25">
      <c r="A59" t="s">
        <v>1055</v>
      </c>
      <c r="B59" t="s">
        <v>7046</v>
      </c>
      <c r="C59" t="s">
        <v>26</v>
      </c>
      <c r="D59" t="s">
        <v>7044</v>
      </c>
      <c r="E59" t="s">
        <v>6975</v>
      </c>
      <c r="F59" t="s">
        <v>6861</v>
      </c>
      <c r="G59" t="s">
        <v>6915</v>
      </c>
      <c r="H59" t="s">
        <v>6835</v>
      </c>
      <c r="I59" t="s">
        <v>6881</v>
      </c>
      <c r="J59">
        <v>1116.33</v>
      </c>
      <c r="K59">
        <v>1496.95</v>
      </c>
      <c r="L59">
        <v>1843.94</v>
      </c>
      <c r="M59" s="20">
        <v>44995</v>
      </c>
      <c r="N59" t="s">
        <v>6898</v>
      </c>
      <c r="O59" t="s">
        <v>154</v>
      </c>
    </row>
    <row r="60" spans="1:15" x14ac:dyDescent="0.25">
      <c r="A60" t="s">
        <v>949</v>
      </c>
      <c r="B60" t="s">
        <v>7047</v>
      </c>
      <c r="C60" t="s">
        <v>13</v>
      </c>
      <c r="D60" t="s">
        <v>6918</v>
      </c>
      <c r="E60" t="s">
        <v>6840</v>
      </c>
      <c r="F60" t="s">
        <v>6861</v>
      </c>
      <c r="G60" t="s">
        <v>6834</v>
      </c>
      <c r="H60" t="s">
        <v>6880</v>
      </c>
      <c r="I60" t="s">
        <v>109</v>
      </c>
      <c r="J60">
        <v>988.57</v>
      </c>
      <c r="K60">
        <v>1507.11</v>
      </c>
      <c r="L60">
        <v>1748.87</v>
      </c>
      <c r="M60" s="20">
        <v>45141</v>
      </c>
      <c r="N60" t="s">
        <v>6837</v>
      </c>
      <c r="O60" t="s">
        <v>154</v>
      </c>
    </row>
    <row r="61" spans="1:15" x14ac:dyDescent="0.25">
      <c r="A61" t="s">
        <v>1216</v>
      </c>
      <c r="B61" t="s">
        <v>7048</v>
      </c>
      <c r="C61" t="s">
        <v>17</v>
      </c>
      <c r="D61" t="s">
        <v>7049</v>
      </c>
      <c r="E61" t="s">
        <v>7005</v>
      </c>
      <c r="F61" t="s">
        <v>7050</v>
      </c>
      <c r="G61" t="s">
        <v>6862</v>
      </c>
      <c r="H61" t="s">
        <v>6892</v>
      </c>
      <c r="I61" t="s">
        <v>7051</v>
      </c>
      <c r="J61">
        <v>1432.01</v>
      </c>
      <c r="K61">
        <v>2134.9</v>
      </c>
      <c r="L61">
        <v>2550.1</v>
      </c>
      <c r="M61" s="20">
        <v>45217</v>
      </c>
      <c r="N61" t="s">
        <v>6898</v>
      </c>
      <c r="O61" t="s">
        <v>154</v>
      </c>
    </row>
    <row r="62" spans="1:15" x14ac:dyDescent="0.25">
      <c r="A62" t="s">
        <v>1156</v>
      </c>
      <c r="B62" t="s">
        <v>7052</v>
      </c>
      <c r="C62" t="s">
        <v>29</v>
      </c>
      <c r="D62" t="s">
        <v>7053</v>
      </c>
      <c r="E62" t="s">
        <v>7054</v>
      </c>
      <c r="F62" t="s">
        <v>6833</v>
      </c>
      <c r="G62" t="s">
        <v>6938</v>
      </c>
      <c r="H62" t="s">
        <v>6835</v>
      </c>
      <c r="I62" t="s">
        <v>7055</v>
      </c>
      <c r="J62">
        <v>509.44</v>
      </c>
      <c r="K62">
        <v>639.28</v>
      </c>
      <c r="L62">
        <v>741.99</v>
      </c>
      <c r="M62" s="20">
        <v>45417</v>
      </c>
      <c r="N62" t="s">
        <v>6837</v>
      </c>
      <c r="O62" t="s">
        <v>154</v>
      </c>
    </row>
    <row r="63" spans="1:15" x14ac:dyDescent="0.25">
      <c r="A63" t="s">
        <v>801</v>
      </c>
      <c r="B63" t="s">
        <v>7056</v>
      </c>
      <c r="C63" t="s">
        <v>29</v>
      </c>
      <c r="D63" t="s">
        <v>6922</v>
      </c>
      <c r="E63" t="s">
        <v>6945</v>
      </c>
      <c r="F63" t="s">
        <v>6833</v>
      </c>
      <c r="G63" t="s">
        <v>6938</v>
      </c>
      <c r="H63" t="s">
        <v>6835</v>
      </c>
      <c r="I63" t="s">
        <v>6870</v>
      </c>
      <c r="J63">
        <v>424.76</v>
      </c>
      <c r="K63">
        <v>614.37</v>
      </c>
      <c r="L63">
        <v>729.24</v>
      </c>
      <c r="M63" s="20">
        <v>45089</v>
      </c>
      <c r="N63" t="s">
        <v>6837</v>
      </c>
      <c r="O63" t="s">
        <v>154</v>
      </c>
    </row>
    <row r="64" spans="1:15" x14ac:dyDescent="0.25">
      <c r="A64" t="s">
        <v>312</v>
      </c>
      <c r="B64" t="s">
        <v>7057</v>
      </c>
      <c r="C64" t="s">
        <v>13</v>
      </c>
      <c r="D64" t="s">
        <v>6952</v>
      </c>
      <c r="E64" t="s">
        <v>7058</v>
      </c>
      <c r="F64" t="s">
        <v>6861</v>
      </c>
      <c r="G64" t="s">
        <v>6862</v>
      </c>
      <c r="H64" t="s">
        <v>6901</v>
      </c>
      <c r="I64" t="s">
        <v>6844</v>
      </c>
      <c r="J64">
        <v>865.92</v>
      </c>
      <c r="K64">
        <v>1224.3800000000001</v>
      </c>
      <c r="L64">
        <v>1330.67</v>
      </c>
      <c r="M64" s="20">
        <v>45672</v>
      </c>
      <c r="N64" t="s">
        <v>6991</v>
      </c>
      <c r="O64" t="s">
        <v>154</v>
      </c>
    </row>
    <row r="65" spans="1:15" x14ac:dyDescent="0.25">
      <c r="A65" t="s">
        <v>424</v>
      </c>
      <c r="B65" t="s">
        <v>7059</v>
      </c>
      <c r="C65" t="s">
        <v>30</v>
      </c>
      <c r="D65" t="s">
        <v>7060</v>
      </c>
      <c r="E65" t="s">
        <v>7061</v>
      </c>
      <c r="F65" t="s">
        <v>6861</v>
      </c>
      <c r="G65" t="s">
        <v>6989</v>
      </c>
      <c r="H65" t="s">
        <v>6850</v>
      </c>
      <c r="I65" t="s">
        <v>6939</v>
      </c>
      <c r="J65">
        <v>254.15</v>
      </c>
      <c r="K65">
        <v>328.17</v>
      </c>
      <c r="L65">
        <v>385.97</v>
      </c>
      <c r="M65" s="20">
        <v>44701</v>
      </c>
      <c r="N65" t="s">
        <v>6837</v>
      </c>
      <c r="O65" t="s">
        <v>154</v>
      </c>
    </row>
    <row r="66" spans="1:15" x14ac:dyDescent="0.25">
      <c r="A66" t="s">
        <v>164</v>
      </c>
      <c r="B66" t="s">
        <v>7062</v>
      </c>
      <c r="C66" t="s">
        <v>12</v>
      </c>
      <c r="D66" t="s">
        <v>7016</v>
      </c>
      <c r="E66" t="s">
        <v>6847</v>
      </c>
      <c r="F66" t="s">
        <v>6848</v>
      </c>
      <c r="G66" t="s">
        <v>6989</v>
      </c>
      <c r="H66" t="s">
        <v>6856</v>
      </c>
      <c r="I66" t="s">
        <v>109</v>
      </c>
      <c r="J66">
        <v>2633.56</v>
      </c>
      <c r="K66">
        <v>3779.04</v>
      </c>
      <c r="L66">
        <v>4333.2</v>
      </c>
      <c r="M66" s="20">
        <v>45561</v>
      </c>
      <c r="N66" t="s">
        <v>6837</v>
      </c>
      <c r="O66" t="s">
        <v>154</v>
      </c>
    </row>
    <row r="67" spans="1:15" x14ac:dyDescent="0.25">
      <c r="A67" t="s">
        <v>1431</v>
      </c>
      <c r="B67" t="s">
        <v>7063</v>
      </c>
      <c r="C67" t="s">
        <v>26</v>
      </c>
      <c r="D67" t="s">
        <v>6996</v>
      </c>
      <c r="E67" t="s">
        <v>7064</v>
      </c>
      <c r="F67" t="s">
        <v>6861</v>
      </c>
      <c r="G67" t="s">
        <v>6962</v>
      </c>
      <c r="H67" t="s">
        <v>6892</v>
      </c>
      <c r="I67" t="s">
        <v>7018</v>
      </c>
      <c r="J67">
        <v>949.97</v>
      </c>
      <c r="K67">
        <v>1340.14</v>
      </c>
      <c r="L67">
        <v>1483.99</v>
      </c>
      <c r="M67" s="20">
        <v>45590</v>
      </c>
      <c r="N67" t="s">
        <v>6837</v>
      </c>
      <c r="O67" t="s">
        <v>154</v>
      </c>
    </row>
    <row r="68" spans="1:15" x14ac:dyDescent="0.25">
      <c r="A68" t="s">
        <v>386</v>
      </c>
      <c r="B68" t="s">
        <v>7065</v>
      </c>
      <c r="C68" t="s">
        <v>21</v>
      </c>
      <c r="D68" t="s">
        <v>6839</v>
      </c>
      <c r="E68" t="s">
        <v>7066</v>
      </c>
      <c r="F68" t="s">
        <v>6833</v>
      </c>
      <c r="G68" t="s">
        <v>6868</v>
      </c>
      <c r="H68" t="s">
        <v>6892</v>
      </c>
      <c r="I68" t="s">
        <v>6990</v>
      </c>
      <c r="J68">
        <v>1013.26</v>
      </c>
      <c r="K68">
        <v>1454.97</v>
      </c>
      <c r="L68">
        <v>1601.17</v>
      </c>
      <c r="M68" s="20">
        <v>45287</v>
      </c>
      <c r="N68" t="s">
        <v>6837</v>
      </c>
      <c r="O68" t="s">
        <v>154</v>
      </c>
    </row>
    <row r="69" spans="1:15" x14ac:dyDescent="0.25">
      <c r="A69" t="s">
        <v>1224</v>
      </c>
      <c r="B69" t="s">
        <v>7067</v>
      </c>
      <c r="C69" t="s">
        <v>24</v>
      </c>
      <c r="D69" t="s">
        <v>6890</v>
      </c>
      <c r="E69" t="s">
        <v>6891</v>
      </c>
      <c r="F69" t="s">
        <v>6833</v>
      </c>
      <c r="G69" t="s">
        <v>6842</v>
      </c>
      <c r="H69" t="s">
        <v>6856</v>
      </c>
      <c r="I69" t="s">
        <v>108</v>
      </c>
      <c r="J69">
        <v>1194.1400000000001</v>
      </c>
      <c r="K69">
        <v>1573.59</v>
      </c>
      <c r="L69">
        <v>1867.55</v>
      </c>
      <c r="M69" s="20">
        <v>44727</v>
      </c>
      <c r="N69" t="s">
        <v>6837</v>
      </c>
      <c r="O69" t="s">
        <v>154</v>
      </c>
    </row>
    <row r="70" spans="1:15" x14ac:dyDescent="0.25">
      <c r="A70" t="s">
        <v>612</v>
      </c>
      <c r="B70" t="s">
        <v>7068</v>
      </c>
      <c r="C70" t="s">
        <v>23</v>
      </c>
      <c r="D70" t="s">
        <v>7021</v>
      </c>
      <c r="E70" t="s">
        <v>6891</v>
      </c>
      <c r="F70" t="s">
        <v>6910</v>
      </c>
      <c r="G70" t="s">
        <v>6855</v>
      </c>
      <c r="H70" t="s">
        <v>6863</v>
      </c>
      <c r="I70" t="s">
        <v>7069</v>
      </c>
      <c r="J70">
        <v>369</v>
      </c>
      <c r="K70">
        <v>618.94000000000005</v>
      </c>
      <c r="L70">
        <v>736.89</v>
      </c>
      <c r="M70" s="20">
        <v>44731</v>
      </c>
      <c r="N70" t="s">
        <v>6837</v>
      </c>
      <c r="O70" t="s">
        <v>154</v>
      </c>
    </row>
    <row r="71" spans="1:15" x14ac:dyDescent="0.25">
      <c r="A71" t="s">
        <v>1101</v>
      </c>
      <c r="B71" t="s">
        <v>7070</v>
      </c>
      <c r="C71" t="s">
        <v>29</v>
      </c>
      <c r="D71" t="s">
        <v>7071</v>
      </c>
      <c r="E71" t="s">
        <v>6860</v>
      </c>
      <c r="F71" t="s">
        <v>6833</v>
      </c>
      <c r="G71" t="s">
        <v>6989</v>
      </c>
      <c r="H71" t="s">
        <v>6929</v>
      </c>
      <c r="I71" t="s">
        <v>6857</v>
      </c>
      <c r="J71">
        <v>565.45000000000005</v>
      </c>
      <c r="K71">
        <v>824.25</v>
      </c>
      <c r="L71">
        <v>958.9</v>
      </c>
      <c r="M71" s="20">
        <v>45117</v>
      </c>
      <c r="N71" t="s">
        <v>6837</v>
      </c>
      <c r="O71" t="s">
        <v>154</v>
      </c>
    </row>
    <row r="72" spans="1:15" x14ac:dyDescent="0.25">
      <c r="A72" t="s">
        <v>251</v>
      </c>
      <c r="B72" t="s">
        <v>7072</v>
      </c>
      <c r="C72" t="s">
        <v>22</v>
      </c>
      <c r="D72" t="s">
        <v>7073</v>
      </c>
      <c r="E72" t="s">
        <v>7003</v>
      </c>
      <c r="F72" t="s">
        <v>6833</v>
      </c>
      <c r="G72" t="s">
        <v>6924</v>
      </c>
      <c r="H72" t="s">
        <v>6887</v>
      </c>
      <c r="I72" t="s">
        <v>6916</v>
      </c>
      <c r="J72">
        <v>534.80999999999995</v>
      </c>
      <c r="K72">
        <v>789.21</v>
      </c>
      <c r="L72">
        <v>941.17</v>
      </c>
      <c r="M72" s="20">
        <v>45377</v>
      </c>
      <c r="N72" t="s">
        <v>6898</v>
      </c>
      <c r="O72" t="s">
        <v>154</v>
      </c>
    </row>
    <row r="73" spans="1:15" x14ac:dyDescent="0.25">
      <c r="A73" t="s">
        <v>1088</v>
      </c>
      <c r="B73" t="s">
        <v>7074</v>
      </c>
      <c r="C73" t="s">
        <v>20</v>
      </c>
      <c r="D73" t="s">
        <v>7075</v>
      </c>
      <c r="E73" t="s">
        <v>7076</v>
      </c>
      <c r="F73" t="s">
        <v>6910</v>
      </c>
      <c r="G73" t="s">
        <v>6855</v>
      </c>
      <c r="H73" t="s">
        <v>6897</v>
      </c>
      <c r="I73" t="s">
        <v>7077</v>
      </c>
      <c r="J73">
        <v>599.28</v>
      </c>
      <c r="K73">
        <v>884.95</v>
      </c>
      <c r="L73">
        <v>953.97</v>
      </c>
      <c r="M73" s="20">
        <v>44722</v>
      </c>
      <c r="N73" t="s">
        <v>6837</v>
      </c>
      <c r="O73" t="s">
        <v>154</v>
      </c>
    </row>
    <row r="74" spans="1:15" x14ac:dyDescent="0.25">
      <c r="A74" t="s">
        <v>1044</v>
      </c>
      <c r="B74" t="s">
        <v>7078</v>
      </c>
      <c r="C74" t="s">
        <v>23</v>
      </c>
      <c r="D74" t="s">
        <v>7021</v>
      </c>
      <c r="E74" t="s">
        <v>6832</v>
      </c>
      <c r="F74" t="s">
        <v>6854</v>
      </c>
      <c r="G74" t="s">
        <v>6971</v>
      </c>
      <c r="H74" t="s">
        <v>6835</v>
      </c>
      <c r="I74" t="s">
        <v>7079</v>
      </c>
      <c r="J74">
        <v>335.15</v>
      </c>
      <c r="K74">
        <v>571.03</v>
      </c>
      <c r="L74">
        <v>708.63</v>
      </c>
      <c r="M74" s="20">
        <v>45374</v>
      </c>
      <c r="N74" t="s">
        <v>6991</v>
      </c>
      <c r="O74" t="s">
        <v>154</v>
      </c>
    </row>
    <row r="75" spans="1:15" x14ac:dyDescent="0.25">
      <c r="A75" t="s">
        <v>257</v>
      </c>
      <c r="B75" t="s">
        <v>7023</v>
      </c>
      <c r="C75" t="s">
        <v>28</v>
      </c>
      <c r="D75" t="s">
        <v>6999</v>
      </c>
      <c r="E75" t="s">
        <v>7080</v>
      </c>
      <c r="F75" t="s">
        <v>6885</v>
      </c>
      <c r="G75" t="s">
        <v>6886</v>
      </c>
      <c r="H75" t="s">
        <v>6929</v>
      </c>
      <c r="I75" t="s">
        <v>7081</v>
      </c>
      <c r="J75">
        <v>721.22</v>
      </c>
      <c r="K75">
        <v>982.75</v>
      </c>
      <c r="L75">
        <v>1068.3900000000001</v>
      </c>
      <c r="M75" s="20">
        <v>45340</v>
      </c>
      <c r="N75" t="s">
        <v>6837</v>
      </c>
      <c r="O75" t="s">
        <v>184</v>
      </c>
    </row>
    <row r="76" spans="1:15" x14ac:dyDescent="0.25">
      <c r="A76" t="s">
        <v>205</v>
      </c>
      <c r="B76" t="s">
        <v>7082</v>
      </c>
      <c r="C76" t="s">
        <v>19</v>
      </c>
      <c r="D76" t="s">
        <v>7083</v>
      </c>
      <c r="E76" t="s">
        <v>7084</v>
      </c>
      <c r="F76" t="s">
        <v>6885</v>
      </c>
      <c r="G76" t="s">
        <v>6874</v>
      </c>
      <c r="H76" t="s">
        <v>7033</v>
      </c>
      <c r="I76" t="s">
        <v>7085</v>
      </c>
      <c r="J76">
        <v>692.53</v>
      </c>
      <c r="K76">
        <v>1013.52</v>
      </c>
      <c r="L76">
        <v>1192.69</v>
      </c>
      <c r="M76" s="20">
        <v>45359</v>
      </c>
      <c r="N76" t="s">
        <v>6837</v>
      </c>
      <c r="O76" t="s">
        <v>154</v>
      </c>
    </row>
    <row r="77" spans="1:15" x14ac:dyDescent="0.25">
      <c r="A77" t="s">
        <v>1661</v>
      </c>
      <c r="B77" t="s">
        <v>7086</v>
      </c>
      <c r="C77" t="s">
        <v>24</v>
      </c>
      <c r="D77" t="s">
        <v>7012</v>
      </c>
      <c r="E77" t="s">
        <v>6878</v>
      </c>
      <c r="F77" t="s">
        <v>6885</v>
      </c>
      <c r="G77" t="s">
        <v>6842</v>
      </c>
      <c r="H77" t="s">
        <v>6843</v>
      </c>
      <c r="I77" t="s">
        <v>7087</v>
      </c>
      <c r="J77">
        <v>661.34</v>
      </c>
      <c r="K77">
        <v>843.99</v>
      </c>
      <c r="L77">
        <v>958.94</v>
      </c>
      <c r="M77" s="20">
        <v>45702</v>
      </c>
      <c r="N77" t="s">
        <v>6837</v>
      </c>
      <c r="O77" t="s">
        <v>154</v>
      </c>
    </row>
    <row r="78" spans="1:15" x14ac:dyDescent="0.25">
      <c r="A78" t="s">
        <v>2853</v>
      </c>
      <c r="B78" t="s">
        <v>7088</v>
      </c>
      <c r="C78" t="s">
        <v>27</v>
      </c>
      <c r="D78" t="s">
        <v>7089</v>
      </c>
      <c r="E78" t="s">
        <v>7017</v>
      </c>
      <c r="F78" t="s">
        <v>6854</v>
      </c>
      <c r="G78" t="s">
        <v>6862</v>
      </c>
      <c r="H78" t="s">
        <v>6892</v>
      </c>
      <c r="I78" t="s">
        <v>7090</v>
      </c>
      <c r="J78">
        <v>798.46</v>
      </c>
      <c r="K78">
        <v>1185.98</v>
      </c>
      <c r="L78">
        <v>1450.15</v>
      </c>
      <c r="M78" s="20">
        <v>44587</v>
      </c>
      <c r="N78" t="s">
        <v>6837</v>
      </c>
      <c r="O78" t="s">
        <v>154</v>
      </c>
    </row>
    <row r="79" spans="1:15" x14ac:dyDescent="0.25">
      <c r="A79" t="s">
        <v>215</v>
      </c>
      <c r="B79" t="s">
        <v>7091</v>
      </c>
      <c r="C79" t="s">
        <v>24</v>
      </c>
      <c r="D79" t="s">
        <v>7092</v>
      </c>
      <c r="E79" t="s">
        <v>7076</v>
      </c>
      <c r="F79" t="s">
        <v>6848</v>
      </c>
      <c r="G79" t="s">
        <v>6849</v>
      </c>
      <c r="H79" t="s">
        <v>6901</v>
      </c>
      <c r="I79" t="s">
        <v>7093</v>
      </c>
      <c r="J79">
        <v>828.44</v>
      </c>
      <c r="K79">
        <v>1070.06</v>
      </c>
      <c r="L79">
        <v>1188.01</v>
      </c>
      <c r="M79" s="20">
        <v>45571</v>
      </c>
      <c r="N79" t="s">
        <v>6837</v>
      </c>
      <c r="O79" t="s">
        <v>154</v>
      </c>
    </row>
    <row r="80" spans="1:15" x14ac:dyDescent="0.25">
      <c r="A80" t="s">
        <v>565</v>
      </c>
      <c r="B80" t="s">
        <v>7094</v>
      </c>
      <c r="C80" t="s">
        <v>21</v>
      </c>
      <c r="D80" t="s">
        <v>6960</v>
      </c>
      <c r="E80" t="s">
        <v>7095</v>
      </c>
      <c r="F80" t="s">
        <v>6854</v>
      </c>
      <c r="G80" t="s">
        <v>6994</v>
      </c>
      <c r="H80" t="s">
        <v>6875</v>
      </c>
      <c r="I80" t="s">
        <v>7055</v>
      </c>
      <c r="J80">
        <v>1169.46</v>
      </c>
      <c r="K80">
        <v>1793.09</v>
      </c>
      <c r="L80">
        <v>2141.27</v>
      </c>
      <c r="M80" s="20">
        <v>45577</v>
      </c>
      <c r="N80" t="s">
        <v>6837</v>
      </c>
      <c r="O80" t="s">
        <v>154</v>
      </c>
    </row>
    <row r="81" spans="1:15" x14ac:dyDescent="0.25">
      <c r="A81" t="s">
        <v>1063</v>
      </c>
      <c r="B81" t="s">
        <v>7096</v>
      </c>
      <c r="C81" t="s">
        <v>31</v>
      </c>
      <c r="D81" t="s">
        <v>6927</v>
      </c>
      <c r="E81" t="s">
        <v>6873</v>
      </c>
      <c r="F81" t="s">
        <v>6861</v>
      </c>
      <c r="G81" t="s">
        <v>6994</v>
      </c>
      <c r="H81" t="s">
        <v>6887</v>
      </c>
      <c r="I81" t="s">
        <v>7069</v>
      </c>
      <c r="J81">
        <v>576.97</v>
      </c>
      <c r="K81">
        <v>971.07</v>
      </c>
      <c r="L81">
        <v>1140.07</v>
      </c>
      <c r="M81" s="20">
        <v>45236</v>
      </c>
      <c r="N81" t="s">
        <v>6837</v>
      </c>
      <c r="O81" t="s">
        <v>154</v>
      </c>
    </row>
    <row r="82" spans="1:15" x14ac:dyDescent="0.25">
      <c r="A82" t="s">
        <v>888</v>
      </c>
      <c r="B82" t="s">
        <v>7097</v>
      </c>
      <c r="C82" t="s">
        <v>15</v>
      </c>
      <c r="D82" t="s">
        <v>7098</v>
      </c>
      <c r="E82" t="s">
        <v>6878</v>
      </c>
      <c r="F82" t="s">
        <v>6861</v>
      </c>
      <c r="G82" t="s">
        <v>6924</v>
      </c>
      <c r="H82" t="s">
        <v>6856</v>
      </c>
      <c r="I82" t="s">
        <v>113</v>
      </c>
      <c r="J82">
        <v>4762.76</v>
      </c>
      <c r="K82">
        <v>6240.43</v>
      </c>
      <c r="L82">
        <v>6944.58</v>
      </c>
      <c r="M82" s="20">
        <v>45377</v>
      </c>
      <c r="N82" t="s">
        <v>6991</v>
      </c>
      <c r="O82" t="s">
        <v>154</v>
      </c>
    </row>
    <row r="83" spans="1:15" x14ac:dyDescent="0.25">
      <c r="A83" t="s">
        <v>502</v>
      </c>
      <c r="B83" t="s">
        <v>7099</v>
      </c>
      <c r="C83" t="s">
        <v>13</v>
      </c>
      <c r="D83" t="s">
        <v>6918</v>
      </c>
      <c r="E83" t="s">
        <v>6923</v>
      </c>
      <c r="F83" t="s">
        <v>6861</v>
      </c>
      <c r="G83" t="s">
        <v>6855</v>
      </c>
      <c r="H83" t="s">
        <v>6869</v>
      </c>
      <c r="I83" t="s">
        <v>111</v>
      </c>
      <c r="J83">
        <v>2151.34</v>
      </c>
      <c r="K83">
        <v>2942.78</v>
      </c>
      <c r="L83">
        <v>3156.95</v>
      </c>
      <c r="M83" s="20">
        <v>45716</v>
      </c>
      <c r="N83" t="s">
        <v>6837</v>
      </c>
      <c r="O83" t="s">
        <v>154</v>
      </c>
    </row>
    <row r="84" spans="1:15" x14ac:dyDescent="0.25">
      <c r="A84" t="s">
        <v>554</v>
      </c>
      <c r="B84" t="s">
        <v>7100</v>
      </c>
      <c r="C84" t="s">
        <v>20</v>
      </c>
      <c r="D84" t="s">
        <v>7101</v>
      </c>
      <c r="E84" t="s">
        <v>6961</v>
      </c>
      <c r="F84" t="s">
        <v>6833</v>
      </c>
      <c r="G84" t="s">
        <v>6842</v>
      </c>
      <c r="H84" t="s">
        <v>6880</v>
      </c>
      <c r="I84" t="s">
        <v>7102</v>
      </c>
      <c r="J84">
        <v>647.29999999999995</v>
      </c>
      <c r="K84">
        <v>865.7</v>
      </c>
      <c r="L84">
        <v>1028.94</v>
      </c>
      <c r="M84" s="20">
        <v>45399</v>
      </c>
      <c r="N84" t="s">
        <v>6837</v>
      </c>
      <c r="O84" t="s">
        <v>154</v>
      </c>
    </row>
    <row r="85" spans="1:15" x14ac:dyDescent="0.25">
      <c r="A85" t="s">
        <v>447</v>
      </c>
      <c r="B85" t="s">
        <v>7103</v>
      </c>
      <c r="C85" t="s">
        <v>19</v>
      </c>
      <c r="D85" t="s">
        <v>7083</v>
      </c>
      <c r="E85" t="s">
        <v>7005</v>
      </c>
      <c r="F85" t="s">
        <v>6841</v>
      </c>
      <c r="G85" t="s">
        <v>6979</v>
      </c>
      <c r="H85" t="s">
        <v>6880</v>
      </c>
      <c r="I85" t="s">
        <v>109</v>
      </c>
      <c r="J85">
        <v>1073.45</v>
      </c>
      <c r="K85">
        <v>1365.63</v>
      </c>
      <c r="L85">
        <v>1704.5</v>
      </c>
      <c r="M85" s="20">
        <v>45543</v>
      </c>
      <c r="N85" t="s">
        <v>6837</v>
      </c>
      <c r="O85" t="s">
        <v>154</v>
      </c>
    </row>
    <row r="86" spans="1:15" x14ac:dyDescent="0.25">
      <c r="A86" t="s">
        <v>1649</v>
      </c>
      <c r="B86" t="s">
        <v>7104</v>
      </c>
      <c r="C86" t="s">
        <v>30</v>
      </c>
      <c r="D86" t="s">
        <v>6866</v>
      </c>
      <c r="E86" t="s">
        <v>6982</v>
      </c>
      <c r="F86" t="s">
        <v>6861</v>
      </c>
      <c r="G86" t="s">
        <v>6989</v>
      </c>
      <c r="H86" t="s">
        <v>6850</v>
      </c>
      <c r="I86" t="s">
        <v>7105</v>
      </c>
      <c r="J86">
        <v>879.48</v>
      </c>
      <c r="K86">
        <v>1284.47</v>
      </c>
      <c r="L86">
        <v>1557.37</v>
      </c>
      <c r="M86" s="20">
        <v>44736</v>
      </c>
      <c r="N86" t="s">
        <v>6837</v>
      </c>
      <c r="O86" t="s">
        <v>154</v>
      </c>
    </row>
    <row r="87" spans="1:15" x14ac:dyDescent="0.25">
      <c r="A87" t="s">
        <v>1092</v>
      </c>
      <c r="B87" t="s">
        <v>7106</v>
      </c>
      <c r="C87" t="s">
        <v>17</v>
      </c>
      <c r="D87" t="s">
        <v>7107</v>
      </c>
      <c r="E87" t="s">
        <v>6914</v>
      </c>
      <c r="F87" t="s">
        <v>7108</v>
      </c>
      <c r="G87" t="s">
        <v>6834</v>
      </c>
      <c r="H87" t="s">
        <v>6887</v>
      </c>
      <c r="I87" t="s">
        <v>7069</v>
      </c>
      <c r="J87">
        <v>2467.2199999999998</v>
      </c>
      <c r="K87">
        <v>3585.47</v>
      </c>
      <c r="L87">
        <v>4051.31</v>
      </c>
      <c r="M87" s="20">
        <v>45241</v>
      </c>
      <c r="N87" t="s">
        <v>6991</v>
      </c>
      <c r="O87" t="s">
        <v>154</v>
      </c>
    </row>
    <row r="88" spans="1:15" x14ac:dyDescent="0.25">
      <c r="A88" t="s">
        <v>577</v>
      </c>
      <c r="B88" t="s">
        <v>7109</v>
      </c>
      <c r="C88" t="s">
        <v>27</v>
      </c>
      <c r="D88" t="s">
        <v>7089</v>
      </c>
      <c r="E88" t="s">
        <v>32</v>
      </c>
      <c r="F88" t="s">
        <v>6910</v>
      </c>
      <c r="G88" t="s">
        <v>6942</v>
      </c>
      <c r="H88" t="s">
        <v>6929</v>
      </c>
      <c r="I88" t="s">
        <v>6990</v>
      </c>
      <c r="J88">
        <v>873.43</v>
      </c>
      <c r="K88">
        <v>1238</v>
      </c>
      <c r="L88">
        <v>1470.17</v>
      </c>
      <c r="M88" s="20">
        <v>45014</v>
      </c>
      <c r="N88" t="s">
        <v>6837</v>
      </c>
      <c r="O88" t="s">
        <v>154</v>
      </c>
    </row>
    <row r="89" spans="1:15" x14ac:dyDescent="0.25">
      <c r="A89" t="s">
        <v>1190</v>
      </c>
      <c r="B89" t="s">
        <v>7110</v>
      </c>
      <c r="C89" t="s">
        <v>31</v>
      </c>
      <c r="D89" t="s">
        <v>6936</v>
      </c>
      <c r="E89" t="s">
        <v>6978</v>
      </c>
      <c r="F89" t="s">
        <v>6861</v>
      </c>
      <c r="G89" t="s">
        <v>6962</v>
      </c>
      <c r="H89" t="s">
        <v>6875</v>
      </c>
      <c r="I89" t="s">
        <v>7111</v>
      </c>
      <c r="J89">
        <v>197.05</v>
      </c>
      <c r="K89">
        <v>335.77</v>
      </c>
      <c r="L89">
        <v>417.14</v>
      </c>
      <c r="M89" s="20">
        <v>44799</v>
      </c>
      <c r="N89" t="s">
        <v>6837</v>
      </c>
      <c r="O89" t="s">
        <v>154</v>
      </c>
    </row>
    <row r="90" spans="1:15" x14ac:dyDescent="0.25">
      <c r="A90" t="s">
        <v>1071</v>
      </c>
      <c r="B90" t="s">
        <v>7112</v>
      </c>
      <c r="C90" t="s">
        <v>17</v>
      </c>
      <c r="D90" t="s">
        <v>7049</v>
      </c>
      <c r="E90" t="s">
        <v>6949</v>
      </c>
      <c r="F90" t="s">
        <v>7113</v>
      </c>
      <c r="G90" t="s">
        <v>6842</v>
      </c>
      <c r="H90" t="s">
        <v>6850</v>
      </c>
      <c r="I90" t="s">
        <v>6916</v>
      </c>
      <c r="J90">
        <v>1542.23</v>
      </c>
      <c r="K90">
        <v>2088.94</v>
      </c>
      <c r="L90">
        <v>2234.17</v>
      </c>
      <c r="M90" s="20">
        <v>45488</v>
      </c>
      <c r="N90" t="s">
        <v>6837</v>
      </c>
      <c r="O90" t="s">
        <v>154</v>
      </c>
    </row>
    <row r="91" spans="1:15" x14ac:dyDescent="0.25">
      <c r="A91" t="s">
        <v>329</v>
      </c>
      <c r="B91" t="s">
        <v>7114</v>
      </c>
      <c r="C91" t="s">
        <v>23</v>
      </c>
      <c r="D91" t="s">
        <v>7021</v>
      </c>
      <c r="E91" t="s">
        <v>6966</v>
      </c>
      <c r="F91" t="s">
        <v>6854</v>
      </c>
      <c r="G91" t="s">
        <v>6924</v>
      </c>
      <c r="H91" t="s">
        <v>6897</v>
      </c>
      <c r="I91" t="s">
        <v>6943</v>
      </c>
      <c r="J91">
        <v>419.28</v>
      </c>
      <c r="K91">
        <v>663.67</v>
      </c>
      <c r="L91">
        <v>827.45</v>
      </c>
      <c r="M91" s="20">
        <v>45061</v>
      </c>
      <c r="N91" t="s">
        <v>6837</v>
      </c>
      <c r="O91" t="s">
        <v>154</v>
      </c>
    </row>
    <row r="92" spans="1:15" x14ac:dyDescent="0.25">
      <c r="A92" t="s">
        <v>1569</v>
      </c>
      <c r="B92" t="s">
        <v>7115</v>
      </c>
      <c r="C92" t="s">
        <v>20</v>
      </c>
      <c r="D92" t="s">
        <v>7116</v>
      </c>
      <c r="E92" t="s">
        <v>6867</v>
      </c>
      <c r="F92" t="s">
        <v>6833</v>
      </c>
      <c r="G92" t="s">
        <v>7117</v>
      </c>
      <c r="H92" t="s">
        <v>6875</v>
      </c>
      <c r="I92" t="s">
        <v>6955</v>
      </c>
      <c r="J92">
        <v>808.99</v>
      </c>
      <c r="K92">
        <v>1164.08</v>
      </c>
      <c r="L92">
        <v>1265.68</v>
      </c>
      <c r="M92" s="20">
        <v>45447</v>
      </c>
      <c r="N92" t="s">
        <v>6837</v>
      </c>
      <c r="O92" t="s">
        <v>154</v>
      </c>
    </row>
    <row r="93" spans="1:15" x14ac:dyDescent="0.25">
      <c r="A93" t="s">
        <v>1130</v>
      </c>
      <c r="B93" t="s">
        <v>7118</v>
      </c>
      <c r="C93" t="s">
        <v>12</v>
      </c>
      <c r="D93" t="s">
        <v>7016</v>
      </c>
      <c r="E93" t="s">
        <v>7119</v>
      </c>
      <c r="F93" t="s">
        <v>6854</v>
      </c>
      <c r="G93" t="s">
        <v>7117</v>
      </c>
      <c r="H93" t="s">
        <v>6863</v>
      </c>
      <c r="I93" t="s">
        <v>109</v>
      </c>
      <c r="J93">
        <v>2732.31</v>
      </c>
      <c r="K93">
        <v>3584.07</v>
      </c>
      <c r="L93">
        <v>4302.55</v>
      </c>
      <c r="M93" s="20">
        <v>44690</v>
      </c>
      <c r="N93" t="s">
        <v>6837</v>
      </c>
      <c r="O93" t="s">
        <v>154</v>
      </c>
    </row>
    <row r="94" spans="1:15" x14ac:dyDescent="0.25">
      <c r="A94" t="s">
        <v>469</v>
      </c>
      <c r="B94" t="s">
        <v>7120</v>
      </c>
      <c r="C94" t="s">
        <v>20</v>
      </c>
      <c r="D94" t="s">
        <v>7116</v>
      </c>
      <c r="E94" t="s">
        <v>6923</v>
      </c>
      <c r="F94" t="s">
        <v>6854</v>
      </c>
      <c r="G94" t="s">
        <v>6915</v>
      </c>
      <c r="H94" t="s">
        <v>6875</v>
      </c>
      <c r="I94" t="s">
        <v>6955</v>
      </c>
      <c r="J94">
        <v>568.05999999999995</v>
      </c>
      <c r="K94">
        <v>857.08</v>
      </c>
      <c r="L94">
        <v>990.39</v>
      </c>
      <c r="M94" s="20">
        <v>45203</v>
      </c>
      <c r="N94" t="s">
        <v>6837</v>
      </c>
      <c r="O94" t="s">
        <v>184</v>
      </c>
    </row>
    <row r="95" spans="1:15" x14ac:dyDescent="0.25">
      <c r="A95" t="s">
        <v>1749</v>
      </c>
      <c r="B95" t="s">
        <v>7121</v>
      </c>
      <c r="C95" t="s">
        <v>25</v>
      </c>
      <c r="D95" t="s">
        <v>7002</v>
      </c>
      <c r="E95" t="s">
        <v>6978</v>
      </c>
      <c r="F95" t="s">
        <v>6841</v>
      </c>
      <c r="G95" t="s">
        <v>6862</v>
      </c>
      <c r="H95" t="s">
        <v>6835</v>
      </c>
      <c r="I95" t="s">
        <v>7045</v>
      </c>
      <c r="J95">
        <v>893.89</v>
      </c>
      <c r="K95">
        <v>1335.58</v>
      </c>
      <c r="L95">
        <v>1590.94</v>
      </c>
      <c r="M95" s="20">
        <v>45171</v>
      </c>
      <c r="N95" t="s">
        <v>6898</v>
      </c>
      <c r="O95" t="s">
        <v>154</v>
      </c>
    </row>
    <row r="96" spans="1:15" x14ac:dyDescent="0.25">
      <c r="A96" t="s">
        <v>1931</v>
      </c>
      <c r="B96" t="s">
        <v>7122</v>
      </c>
      <c r="C96" t="s">
        <v>24</v>
      </c>
      <c r="D96" t="s">
        <v>7092</v>
      </c>
      <c r="E96" t="s">
        <v>6923</v>
      </c>
      <c r="F96" t="s">
        <v>6885</v>
      </c>
      <c r="G96" t="s">
        <v>6868</v>
      </c>
      <c r="H96" t="s">
        <v>6929</v>
      </c>
      <c r="I96" t="s">
        <v>7102</v>
      </c>
      <c r="J96">
        <v>670.17</v>
      </c>
      <c r="K96">
        <v>912.77</v>
      </c>
      <c r="L96">
        <v>984.21</v>
      </c>
      <c r="M96" s="20">
        <v>45357</v>
      </c>
      <c r="N96" t="s">
        <v>6837</v>
      </c>
      <c r="O96" t="s">
        <v>154</v>
      </c>
    </row>
    <row r="97" spans="1:15" x14ac:dyDescent="0.25">
      <c r="A97" t="s">
        <v>780</v>
      </c>
      <c r="B97" t="s">
        <v>7123</v>
      </c>
      <c r="C97" t="s">
        <v>14</v>
      </c>
      <c r="D97" t="s">
        <v>7124</v>
      </c>
      <c r="E97" t="s">
        <v>6832</v>
      </c>
      <c r="F97" t="s">
        <v>6861</v>
      </c>
      <c r="G97" t="s">
        <v>6879</v>
      </c>
      <c r="H97" t="s">
        <v>6875</v>
      </c>
      <c r="I97" t="s">
        <v>6870</v>
      </c>
      <c r="J97">
        <v>2833.61</v>
      </c>
      <c r="K97">
        <v>4131.49</v>
      </c>
      <c r="L97">
        <v>4871.24</v>
      </c>
      <c r="M97" s="20">
        <v>44916</v>
      </c>
      <c r="N97" t="s">
        <v>6837</v>
      </c>
      <c r="O97" t="s">
        <v>154</v>
      </c>
    </row>
    <row r="98" spans="1:15" x14ac:dyDescent="0.25">
      <c r="A98" t="s">
        <v>301</v>
      </c>
      <c r="B98" t="s">
        <v>7125</v>
      </c>
      <c r="C98" t="s">
        <v>19</v>
      </c>
      <c r="D98" t="s">
        <v>7083</v>
      </c>
      <c r="E98" t="s">
        <v>32</v>
      </c>
      <c r="F98" t="s">
        <v>6841</v>
      </c>
      <c r="G98" t="s">
        <v>6924</v>
      </c>
      <c r="H98" t="s">
        <v>6835</v>
      </c>
      <c r="I98" t="s">
        <v>7090</v>
      </c>
      <c r="J98">
        <v>971.65</v>
      </c>
      <c r="K98">
        <v>1466.86</v>
      </c>
      <c r="L98">
        <v>1819.45</v>
      </c>
      <c r="M98" s="20">
        <v>45554</v>
      </c>
      <c r="N98" t="s">
        <v>6837</v>
      </c>
      <c r="O98" t="s">
        <v>154</v>
      </c>
    </row>
    <row r="99" spans="1:15" x14ac:dyDescent="0.25">
      <c r="A99" t="s">
        <v>751</v>
      </c>
      <c r="B99" t="s">
        <v>7126</v>
      </c>
      <c r="C99" t="s">
        <v>26</v>
      </c>
      <c r="D99" t="s">
        <v>6996</v>
      </c>
      <c r="E99" t="s">
        <v>7095</v>
      </c>
      <c r="F99" t="s">
        <v>6861</v>
      </c>
      <c r="G99" t="s">
        <v>6886</v>
      </c>
      <c r="H99" t="s">
        <v>6863</v>
      </c>
      <c r="I99" t="s">
        <v>115</v>
      </c>
      <c r="J99">
        <v>939.13</v>
      </c>
      <c r="K99">
        <v>1298.96</v>
      </c>
      <c r="L99">
        <v>1407.36</v>
      </c>
      <c r="M99" s="20">
        <v>44625</v>
      </c>
      <c r="N99" t="s">
        <v>6837</v>
      </c>
      <c r="O99" t="s">
        <v>154</v>
      </c>
    </row>
    <row r="100" spans="1:15" x14ac:dyDescent="0.25">
      <c r="A100" t="s">
        <v>1691</v>
      </c>
      <c r="B100" t="s">
        <v>7127</v>
      </c>
      <c r="C100" t="s">
        <v>19</v>
      </c>
      <c r="D100" t="s">
        <v>6890</v>
      </c>
      <c r="E100" t="s">
        <v>6928</v>
      </c>
      <c r="F100" t="s">
        <v>6885</v>
      </c>
      <c r="G100" t="s">
        <v>6971</v>
      </c>
      <c r="H100" t="s">
        <v>6892</v>
      </c>
      <c r="I100" t="s">
        <v>6958</v>
      </c>
      <c r="J100">
        <v>700.93</v>
      </c>
      <c r="K100">
        <v>972.33</v>
      </c>
      <c r="L100">
        <v>1165.3399999999999</v>
      </c>
      <c r="M100" s="20">
        <v>45576</v>
      </c>
      <c r="N100" t="s">
        <v>6837</v>
      </c>
      <c r="O100" t="s">
        <v>154</v>
      </c>
    </row>
    <row r="101" spans="1:15" x14ac:dyDescent="0.25">
      <c r="A101" t="s">
        <v>220</v>
      </c>
      <c r="B101" t="s">
        <v>7128</v>
      </c>
      <c r="C101" t="s">
        <v>14</v>
      </c>
      <c r="D101" t="s">
        <v>7129</v>
      </c>
      <c r="E101" t="s">
        <v>6928</v>
      </c>
      <c r="F101" t="s">
        <v>6861</v>
      </c>
      <c r="G101" t="s">
        <v>6896</v>
      </c>
      <c r="H101" t="s">
        <v>6835</v>
      </c>
      <c r="I101" t="s">
        <v>112</v>
      </c>
      <c r="J101">
        <v>3970.86</v>
      </c>
      <c r="K101">
        <v>5609.29</v>
      </c>
      <c r="L101">
        <v>6738.76</v>
      </c>
      <c r="M101" s="20">
        <v>45465</v>
      </c>
      <c r="N101" t="s">
        <v>6837</v>
      </c>
      <c r="O101" t="s">
        <v>154</v>
      </c>
    </row>
    <row r="102" spans="1:15" x14ac:dyDescent="0.25">
      <c r="A102" t="s">
        <v>2633</v>
      </c>
      <c r="B102" t="s">
        <v>7130</v>
      </c>
      <c r="C102" t="s">
        <v>27</v>
      </c>
      <c r="D102" t="s">
        <v>6900</v>
      </c>
      <c r="E102" t="s">
        <v>6878</v>
      </c>
      <c r="F102" t="s">
        <v>6885</v>
      </c>
      <c r="G102" t="s">
        <v>6989</v>
      </c>
      <c r="H102" t="s">
        <v>6875</v>
      </c>
      <c r="I102" t="s">
        <v>6925</v>
      </c>
      <c r="J102">
        <v>674.29</v>
      </c>
      <c r="K102">
        <v>1008.08</v>
      </c>
      <c r="L102">
        <v>1147.01</v>
      </c>
      <c r="M102" s="20">
        <v>44802</v>
      </c>
      <c r="N102" t="s">
        <v>6837</v>
      </c>
      <c r="O102" t="s">
        <v>154</v>
      </c>
    </row>
    <row r="103" spans="1:15" x14ac:dyDescent="0.25">
      <c r="A103" t="s">
        <v>1877</v>
      </c>
      <c r="B103" t="s">
        <v>7131</v>
      </c>
      <c r="C103" t="s">
        <v>12</v>
      </c>
      <c r="D103" t="s">
        <v>7132</v>
      </c>
      <c r="E103" t="s">
        <v>7084</v>
      </c>
      <c r="F103" t="s">
        <v>6841</v>
      </c>
      <c r="G103" t="s">
        <v>6834</v>
      </c>
      <c r="H103" t="s">
        <v>6897</v>
      </c>
      <c r="I103" t="s">
        <v>116</v>
      </c>
      <c r="J103">
        <v>1331.55</v>
      </c>
      <c r="K103">
        <v>1720.06</v>
      </c>
      <c r="L103">
        <v>1877.14</v>
      </c>
      <c r="M103" s="20">
        <v>44985</v>
      </c>
      <c r="N103" t="s">
        <v>6837</v>
      </c>
      <c r="O103" t="s">
        <v>154</v>
      </c>
    </row>
    <row r="104" spans="1:15" x14ac:dyDescent="0.25">
      <c r="A104" t="s">
        <v>1373</v>
      </c>
      <c r="B104" t="s">
        <v>7133</v>
      </c>
      <c r="C104" t="s">
        <v>17</v>
      </c>
      <c r="D104" t="s">
        <v>7049</v>
      </c>
      <c r="E104" t="s">
        <v>32</v>
      </c>
      <c r="F104" t="s">
        <v>7134</v>
      </c>
      <c r="G104" t="s">
        <v>6896</v>
      </c>
      <c r="H104" t="s">
        <v>6901</v>
      </c>
      <c r="I104" t="s">
        <v>7018</v>
      </c>
      <c r="J104">
        <v>2458</v>
      </c>
      <c r="K104">
        <v>3288.29</v>
      </c>
      <c r="L104">
        <v>3829.37</v>
      </c>
      <c r="M104" s="20">
        <v>45615</v>
      </c>
      <c r="N104" t="s">
        <v>6991</v>
      </c>
      <c r="O104" t="s">
        <v>154</v>
      </c>
    </row>
    <row r="105" spans="1:15" x14ac:dyDescent="0.25">
      <c r="A105" t="s">
        <v>2241</v>
      </c>
      <c r="B105" t="s">
        <v>7135</v>
      </c>
      <c r="C105" t="s">
        <v>27</v>
      </c>
      <c r="D105" t="s">
        <v>6900</v>
      </c>
      <c r="E105" t="s">
        <v>7010</v>
      </c>
      <c r="F105" t="s">
        <v>6854</v>
      </c>
      <c r="G105" t="s">
        <v>7117</v>
      </c>
      <c r="H105" t="s">
        <v>6954</v>
      </c>
      <c r="I105" t="s">
        <v>7079</v>
      </c>
      <c r="J105">
        <v>996.24</v>
      </c>
      <c r="K105">
        <v>1504.44</v>
      </c>
      <c r="L105">
        <v>1617.84</v>
      </c>
      <c r="M105" s="20">
        <v>44833</v>
      </c>
      <c r="N105" t="s">
        <v>6837</v>
      </c>
      <c r="O105" t="s">
        <v>154</v>
      </c>
    </row>
    <row r="106" spans="1:15" x14ac:dyDescent="0.25">
      <c r="A106" t="s">
        <v>748</v>
      </c>
      <c r="B106" t="s">
        <v>7136</v>
      </c>
      <c r="C106" t="s">
        <v>16</v>
      </c>
      <c r="D106" t="s">
        <v>7137</v>
      </c>
      <c r="E106" t="s">
        <v>7138</v>
      </c>
      <c r="F106" t="s">
        <v>6848</v>
      </c>
      <c r="G106" t="s">
        <v>6979</v>
      </c>
      <c r="H106" t="s">
        <v>6856</v>
      </c>
      <c r="I106" t="s">
        <v>7139</v>
      </c>
      <c r="J106">
        <v>841.85</v>
      </c>
      <c r="K106">
        <v>1156.93</v>
      </c>
      <c r="L106">
        <v>1319.36</v>
      </c>
      <c r="M106" s="20">
        <v>44752</v>
      </c>
      <c r="N106" t="s">
        <v>6837</v>
      </c>
      <c r="O106" t="s">
        <v>154</v>
      </c>
    </row>
    <row r="107" spans="1:15" x14ac:dyDescent="0.25">
      <c r="A107" t="s">
        <v>1200</v>
      </c>
      <c r="B107" t="s">
        <v>7140</v>
      </c>
      <c r="C107" t="s">
        <v>17</v>
      </c>
      <c r="D107" t="s">
        <v>7141</v>
      </c>
      <c r="E107" t="s">
        <v>7138</v>
      </c>
      <c r="F107" t="s">
        <v>7142</v>
      </c>
      <c r="G107" t="s">
        <v>6924</v>
      </c>
      <c r="H107" t="s">
        <v>6856</v>
      </c>
      <c r="I107" t="s">
        <v>6964</v>
      </c>
      <c r="J107">
        <v>2237.8200000000002</v>
      </c>
      <c r="K107">
        <v>3366.02</v>
      </c>
      <c r="L107">
        <v>3597.02</v>
      </c>
      <c r="M107" s="20">
        <v>45500</v>
      </c>
      <c r="N107" t="s">
        <v>6837</v>
      </c>
      <c r="O107" t="s">
        <v>154</v>
      </c>
    </row>
    <row r="108" spans="1:15" x14ac:dyDescent="0.25">
      <c r="A108" t="s">
        <v>3068</v>
      </c>
      <c r="B108" t="s">
        <v>7143</v>
      </c>
      <c r="C108" t="s">
        <v>17</v>
      </c>
      <c r="D108" t="s">
        <v>7144</v>
      </c>
      <c r="E108" t="s">
        <v>6982</v>
      </c>
      <c r="F108" t="s">
        <v>7050</v>
      </c>
      <c r="G108" t="s">
        <v>6855</v>
      </c>
      <c r="H108" t="s">
        <v>6929</v>
      </c>
      <c r="I108" t="s">
        <v>7145</v>
      </c>
      <c r="J108">
        <v>2149.6999999999998</v>
      </c>
      <c r="K108">
        <v>3006.17</v>
      </c>
      <c r="L108">
        <v>3350.6</v>
      </c>
      <c r="M108" s="20">
        <v>45142</v>
      </c>
      <c r="N108" t="s">
        <v>6837</v>
      </c>
      <c r="O108" t="s">
        <v>154</v>
      </c>
    </row>
    <row r="109" spans="1:15" x14ac:dyDescent="0.25">
      <c r="A109" t="s">
        <v>740</v>
      </c>
      <c r="B109" t="s">
        <v>7146</v>
      </c>
      <c r="C109" t="s">
        <v>18</v>
      </c>
      <c r="D109" t="s">
        <v>7147</v>
      </c>
      <c r="E109" t="s">
        <v>6949</v>
      </c>
      <c r="F109" t="s">
        <v>6854</v>
      </c>
      <c r="G109" t="s">
        <v>6989</v>
      </c>
      <c r="H109" t="s">
        <v>6887</v>
      </c>
      <c r="I109" t="s">
        <v>7148</v>
      </c>
      <c r="J109">
        <v>1551.42</v>
      </c>
      <c r="K109">
        <v>2328.6999999999998</v>
      </c>
      <c r="L109">
        <v>2452.7199999999998</v>
      </c>
      <c r="M109" s="20">
        <v>44885</v>
      </c>
      <c r="N109" t="s">
        <v>6837</v>
      </c>
      <c r="O109" t="s">
        <v>154</v>
      </c>
    </row>
    <row r="110" spans="1:15" x14ac:dyDescent="0.25">
      <c r="A110" t="s">
        <v>1328</v>
      </c>
      <c r="B110" t="s">
        <v>7149</v>
      </c>
      <c r="C110" t="s">
        <v>21</v>
      </c>
      <c r="D110" t="s">
        <v>6839</v>
      </c>
      <c r="E110" t="s">
        <v>6840</v>
      </c>
      <c r="F110" t="s">
        <v>6848</v>
      </c>
      <c r="G110" t="s">
        <v>6979</v>
      </c>
      <c r="H110" t="s">
        <v>6954</v>
      </c>
      <c r="I110" t="s">
        <v>7150</v>
      </c>
      <c r="J110">
        <v>1092.43</v>
      </c>
      <c r="K110">
        <v>1652.11</v>
      </c>
      <c r="L110">
        <v>2024.36</v>
      </c>
      <c r="M110" s="20">
        <v>44753</v>
      </c>
      <c r="N110" t="s">
        <v>6837</v>
      </c>
      <c r="O110" t="s">
        <v>154</v>
      </c>
    </row>
    <row r="111" spans="1:15" x14ac:dyDescent="0.25">
      <c r="A111" t="s">
        <v>1160</v>
      </c>
      <c r="B111" t="s">
        <v>7151</v>
      </c>
      <c r="C111" t="s">
        <v>24</v>
      </c>
      <c r="D111" t="s">
        <v>6890</v>
      </c>
      <c r="E111" t="s">
        <v>6909</v>
      </c>
      <c r="F111" t="s">
        <v>6841</v>
      </c>
      <c r="G111" t="s">
        <v>6879</v>
      </c>
      <c r="H111" t="s">
        <v>6887</v>
      </c>
      <c r="I111" t="s">
        <v>6946</v>
      </c>
      <c r="J111">
        <v>975.36</v>
      </c>
      <c r="K111">
        <v>1431.63</v>
      </c>
      <c r="L111">
        <v>1719.45</v>
      </c>
      <c r="M111" s="20">
        <v>45441</v>
      </c>
      <c r="N111" t="s">
        <v>6837</v>
      </c>
      <c r="O111" t="s">
        <v>154</v>
      </c>
    </row>
    <row r="112" spans="1:15" x14ac:dyDescent="0.25">
      <c r="A112" t="s">
        <v>595</v>
      </c>
      <c r="B112" t="s">
        <v>7152</v>
      </c>
      <c r="C112" t="s">
        <v>28</v>
      </c>
      <c r="D112" t="s">
        <v>7153</v>
      </c>
      <c r="E112" t="s">
        <v>6975</v>
      </c>
      <c r="F112" t="s">
        <v>6910</v>
      </c>
      <c r="G112" t="s">
        <v>6874</v>
      </c>
      <c r="H112" t="s">
        <v>6901</v>
      </c>
      <c r="I112" t="s">
        <v>112</v>
      </c>
      <c r="J112">
        <v>590.48</v>
      </c>
      <c r="K112">
        <v>858.55</v>
      </c>
      <c r="L112">
        <v>903.07</v>
      </c>
      <c r="M112" s="20">
        <v>45265</v>
      </c>
      <c r="N112" t="s">
        <v>6837</v>
      </c>
      <c r="O112" t="s">
        <v>154</v>
      </c>
    </row>
    <row r="113" spans="1:15" x14ac:dyDescent="0.25">
      <c r="A113" t="s">
        <v>1111</v>
      </c>
      <c r="B113" t="s">
        <v>7154</v>
      </c>
      <c r="C113" t="s">
        <v>18</v>
      </c>
      <c r="D113" t="s">
        <v>7147</v>
      </c>
      <c r="E113" t="s">
        <v>7061</v>
      </c>
      <c r="F113" t="s">
        <v>6854</v>
      </c>
      <c r="G113" t="s">
        <v>6971</v>
      </c>
      <c r="H113" t="s">
        <v>6863</v>
      </c>
      <c r="I113" t="s">
        <v>7102</v>
      </c>
      <c r="J113">
        <v>1676.92</v>
      </c>
      <c r="K113">
        <v>2147.6799999999998</v>
      </c>
      <c r="L113">
        <v>2389.66</v>
      </c>
      <c r="M113" s="20">
        <v>45174</v>
      </c>
      <c r="N113" t="s">
        <v>6837</v>
      </c>
      <c r="O113" t="s">
        <v>154</v>
      </c>
    </row>
    <row r="114" spans="1:15" x14ac:dyDescent="0.25">
      <c r="A114" t="s">
        <v>1543</v>
      </c>
      <c r="B114" t="s">
        <v>7155</v>
      </c>
      <c r="C114" t="s">
        <v>18</v>
      </c>
      <c r="D114" t="s">
        <v>7156</v>
      </c>
      <c r="E114" t="s">
        <v>6860</v>
      </c>
      <c r="F114" t="s">
        <v>6910</v>
      </c>
      <c r="G114" t="s">
        <v>6938</v>
      </c>
      <c r="H114" t="s">
        <v>6887</v>
      </c>
      <c r="I114" t="s">
        <v>6955</v>
      </c>
      <c r="J114">
        <v>1580.02</v>
      </c>
      <c r="K114">
        <v>2183.63</v>
      </c>
      <c r="L114">
        <v>2608.3200000000002</v>
      </c>
      <c r="M114" s="20">
        <v>44872</v>
      </c>
      <c r="N114" t="s">
        <v>6898</v>
      </c>
      <c r="O114" t="s">
        <v>154</v>
      </c>
    </row>
    <row r="115" spans="1:15" x14ac:dyDescent="0.25">
      <c r="A115" t="s">
        <v>199</v>
      </c>
      <c r="B115" t="s">
        <v>7157</v>
      </c>
      <c r="C115" t="s">
        <v>31</v>
      </c>
      <c r="D115" t="s">
        <v>6936</v>
      </c>
      <c r="E115" t="s">
        <v>7017</v>
      </c>
      <c r="F115" t="s">
        <v>6861</v>
      </c>
      <c r="G115" t="s">
        <v>6868</v>
      </c>
      <c r="H115" t="s">
        <v>6901</v>
      </c>
      <c r="I115" t="s">
        <v>7102</v>
      </c>
      <c r="J115">
        <v>488.6</v>
      </c>
      <c r="K115">
        <v>853.78</v>
      </c>
      <c r="L115">
        <v>962.04</v>
      </c>
      <c r="M115" s="20">
        <v>45441</v>
      </c>
      <c r="N115" t="s">
        <v>6837</v>
      </c>
      <c r="O115" t="s">
        <v>154</v>
      </c>
    </row>
    <row r="116" spans="1:15" x14ac:dyDescent="0.25">
      <c r="A116" t="s">
        <v>494</v>
      </c>
      <c r="B116" t="s">
        <v>7158</v>
      </c>
      <c r="C116" t="s">
        <v>16</v>
      </c>
      <c r="D116" t="s">
        <v>6853</v>
      </c>
      <c r="E116" t="s">
        <v>6914</v>
      </c>
      <c r="F116" t="s">
        <v>6910</v>
      </c>
      <c r="G116" t="s">
        <v>6874</v>
      </c>
      <c r="H116" t="s">
        <v>6929</v>
      </c>
      <c r="I116" t="s">
        <v>7159</v>
      </c>
      <c r="J116">
        <v>1140.9000000000001</v>
      </c>
      <c r="K116">
        <v>1672.96</v>
      </c>
      <c r="L116">
        <v>1851.94</v>
      </c>
      <c r="M116" s="20">
        <v>44616</v>
      </c>
      <c r="N116" t="s">
        <v>6837</v>
      </c>
      <c r="O116" t="s">
        <v>154</v>
      </c>
    </row>
    <row r="117" spans="1:15" x14ac:dyDescent="0.25">
      <c r="A117" t="s">
        <v>489</v>
      </c>
      <c r="B117" t="s">
        <v>7160</v>
      </c>
      <c r="C117" t="s">
        <v>19</v>
      </c>
      <c r="D117" t="s">
        <v>7083</v>
      </c>
      <c r="E117" t="s">
        <v>6860</v>
      </c>
      <c r="F117" t="s">
        <v>6833</v>
      </c>
      <c r="G117" t="s">
        <v>6834</v>
      </c>
      <c r="H117" t="s">
        <v>6892</v>
      </c>
      <c r="I117" t="s">
        <v>6958</v>
      </c>
      <c r="J117">
        <v>1048.71</v>
      </c>
      <c r="K117">
        <v>1403.87</v>
      </c>
      <c r="L117">
        <v>1489.39</v>
      </c>
      <c r="M117" s="20">
        <v>45052</v>
      </c>
      <c r="N117" t="s">
        <v>6837</v>
      </c>
      <c r="O117" t="s">
        <v>154</v>
      </c>
    </row>
    <row r="118" spans="1:15" x14ac:dyDescent="0.25">
      <c r="A118" t="s">
        <v>210</v>
      </c>
      <c r="B118" t="s">
        <v>7161</v>
      </c>
      <c r="C118" t="s">
        <v>16</v>
      </c>
      <c r="D118" t="s">
        <v>7137</v>
      </c>
      <c r="E118" t="s">
        <v>6905</v>
      </c>
      <c r="F118" t="s">
        <v>6910</v>
      </c>
      <c r="G118" t="s">
        <v>6834</v>
      </c>
      <c r="H118" t="s">
        <v>7033</v>
      </c>
      <c r="I118" t="s">
        <v>116</v>
      </c>
      <c r="J118">
        <v>1399.85</v>
      </c>
      <c r="K118">
        <v>1754.88</v>
      </c>
      <c r="L118">
        <v>1969.36</v>
      </c>
      <c r="M118" s="20">
        <v>45210</v>
      </c>
      <c r="N118" t="s">
        <v>6837</v>
      </c>
      <c r="O118" t="s">
        <v>154</v>
      </c>
    </row>
    <row r="119" spans="1:15" x14ac:dyDescent="0.25">
      <c r="A119" t="s">
        <v>1759</v>
      </c>
      <c r="B119" t="s">
        <v>7162</v>
      </c>
      <c r="C119" t="s">
        <v>21</v>
      </c>
      <c r="D119" t="s">
        <v>6960</v>
      </c>
      <c r="E119" t="s">
        <v>6982</v>
      </c>
      <c r="F119" t="s">
        <v>6841</v>
      </c>
      <c r="G119" t="s">
        <v>6879</v>
      </c>
      <c r="H119" t="s">
        <v>6850</v>
      </c>
      <c r="I119" t="s">
        <v>7163</v>
      </c>
      <c r="J119">
        <v>1940.79</v>
      </c>
      <c r="K119">
        <v>2874.52</v>
      </c>
      <c r="L119">
        <v>3027.84</v>
      </c>
      <c r="M119" s="20">
        <v>44700</v>
      </c>
      <c r="N119" t="s">
        <v>6837</v>
      </c>
      <c r="O119" t="s">
        <v>154</v>
      </c>
    </row>
    <row r="120" spans="1:15" x14ac:dyDescent="0.25">
      <c r="A120" t="s">
        <v>1466</v>
      </c>
      <c r="B120" t="s">
        <v>7164</v>
      </c>
      <c r="C120" t="s">
        <v>23</v>
      </c>
      <c r="D120" t="s">
        <v>7021</v>
      </c>
      <c r="E120" t="s">
        <v>6891</v>
      </c>
      <c r="F120" t="s">
        <v>6848</v>
      </c>
      <c r="G120" t="s">
        <v>6849</v>
      </c>
      <c r="H120" t="s">
        <v>6869</v>
      </c>
      <c r="I120" t="s">
        <v>109</v>
      </c>
      <c r="J120">
        <v>428.16</v>
      </c>
      <c r="K120">
        <v>729.34</v>
      </c>
      <c r="L120">
        <v>827.59</v>
      </c>
      <c r="M120" s="20">
        <v>45385</v>
      </c>
      <c r="N120" t="s">
        <v>6837</v>
      </c>
      <c r="O120" t="s">
        <v>154</v>
      </c>
    </row>
    <row r="121" spans="1:15" x14ac:dyDescent="0.25">
      <c r="A121" t="s">
        <v>905</v>
      </c>
      <c r="B121" t="s">
        <v>7165</v>
      </c>
      <c r="C121" t="s">
        <v>26</v>
      </c>
      <c r="D121" t="s">
        <v>7044</v>
      </c>
      <c r="E121" t="s">
        <v>6928</v>
      </c>
      <c r="F121" t="s">
        <v>6861</v>
      </c>
      <c r="G121" t="s">
        <v>6874</v>
      </c>
      <c r="H121" t="s">
        <v>6869</v>
      </c>
      <c r="I121" t="s">
        <v>6990</v>
      </c>
      <c r="J121">
        <v>371.12</v>
      </c>
      <c r="K121">
        <v>566.42999999999995</v>
      </c>
      <c r="L121">
        <v>705.13</v>
      </c>
      <c r="M121" s="20">
        <v>44880</v>
      </c>
      <c r="N121" t="s">
        <v>6837</v>
      </c>
      <c r="O121" t="s">
        <v>154</v>
      </c>
    </row>
    <row r="122" spans="1:15" x14ac:dyDescent="0.25">
      <c r="A122" t="s">
        <v>1278</v>
      </c>
      <c r="B122" t="s">
        <v>7166</v>
      </c>
      <c r="C122" t="s">
        <v>14</v>
      </c>
      <c r="D122" t="s">
        <v>7129</v>
      </c>
      <c r="E122" t="s">
        <v>6878</v>
      </c>
      <c r="F122" t="s">
        <v>6861</v>
      </c>
      <c r="G122" t="s">
        <v>7117</v>
      </c>
      <c r="H122" t="s">
        <v>6880</v>
      </c>
      <c r="I122" t="s">
        <v>6955</v>
      </c>
      <c r="J122">
        <v>3850.97</v>
      </c>
      <c r="K122">
        <v>5089.41</v>
      </c>
      <c r="L122">
        <v>5592.73</v>
      </c>
      <c r="M122" s="20">
        <v>45451</v>
      </c>
      <c r="N122" t="s">
        <v>6837</v>
      </c>
      <c r="O122" t="s">
        <v>154</v>
      </c>
    </row>
    <row r="123" spans="1:15" x14ac:dyDescent="0.25">
      <c r="A123" t="s">
        <v>367</v>
      </c>
      <c r="B123" t="s">
        <v>7167</v>
      </c>
      <c r="C123" t="s">
        <v>15</v>
      </c>
      <c r="D123" t="s">
        <v>7032</v>
      </c>
      <c r="E123" t="s">
        <v>6878</v>
      </c>
      <c r="F123" t="s">
        <v>6861</v>
      </c>
      <c r="G123" t="s">
        <v>6879</v>
      </c>
      <c r="H123" t="s">
        <v>7033</v>
      </c>
      <c r="I123" t="s">
        <v>7168</v>
      </c>
      <c r="J123">
        <v>556.99</v>
      </c>
      <c r="K123">
        <v>719.17</v>
      </c>
      <c r="L123">
        <v>756.76</v>
      </c>
      <c r="M123" s="20">
        <v>45578</v>
      </c>
      <c r="N123" t="s">
        <v>6991</v>
      </c>
      <c r="O123" t="s">
        <v>154</v>
      </c>
    </row>
    <row r="124" spans="1:15" x14ac:dyDescent="0.25">
      <c r="A124" t="s">
        <v>792</v>
      </c>
      <c r="B124" t="s">
        <v>7169</v>
      </c>
      <c r="C124" t="s">
        <v>30</v>
      </c>
      <c r="D124" t="s">
        <v>7170</v>
      </c>
      <c r="E124" t="s">
        <v>7058</v>
      </c>
      <c r="F124" t="s">
        <v>6861</v>
      </c>
      <c r="G124" t="s">
        <v>6862</v>
      </c>
      <c r="H124" t="s">
        <v>6901</v>
      </c>
      <c r="I124" t="s">
        <v>7171</v>
      </c>
      <c r="J124">
        <v>737.35</v>
      </c>
      <c r="K124">
        <v>1114.9000000000001</v>
      </c>
      <c r="L124">
        <v>1334.08</v>
      </c>
      <c r="M124" s="20">
        <v>44803</v>
      </c>
      <c r="N124" t="s">
        <v>6837</v>
      </c>
      <c r="O124" t="s">
        <v>154</v>
      </c>
    </row>
    <row r="125" spans="1:15" x14ac:dyDescent="0.25">
      <c r="A125" t="s">
        <v>285</v>
      </c>
      <c r="B125" t="s">
        <v>7172</v>
      </c>
      <c r="C125" t="s">
        <v>29</v>
      </c>
      <c r="D125" t="s">
        <v>7053</v>
      </c>
      <c r="E125" t="s">
        <v>6928</v>
      </c>
      <c r="F125" t="s">
        <v>6885</v>
      </c>
      <c r="G125" t="s">
        <v>6849</v>
      </c>
      <c r="H125" t="s">
        <v>7033</v>
      </c>
      <c r="I125" t="s">
        <v>6844</v>
      </c>
      <c r="J125">
        <v>499.31</v>
      </c>
      <c r="K125">
        <v>710.52</v>
      </c>
      <c r="L125">
        <v>757</v>
      </c>
      <c r="M125" s="20">
        <v>45494</v>
      </c>
      <c r="N125" t="s">
        <v>6837</v>
      </c>
      <c r="O125" t="s">
        <v>154</v>
      </c>
    </row>
    <row r="126" spans="1:15" x14ac:dyDescent="0.25">
      <c r="A126" t="s">
        <v>279</v>
      </c>
      <c r="B126" t="s">
        <v>7173</v>
      </c>
      <c r="C126" t="s">
        <v>13</v>
      </c>
      <c r="D126" t="s">
        <v>6918</v>
      </c>
      <c r="E126" t="s">
        <v>6847</v>
      </c>
      <c r="F126" t="s">
        <v>6861</v>
      </c>
      <c r="G126" t="s">
        <v>6879</v>
      </c>
      <c r="H126" t="s">
        <v>6869</v>
      </c>
      <c r="I126" t="s">
        <v>110</v>
      </c>
      <c r="J126">
        <v>2069.33</v>
      </c>
      <c r="K126">
        <v>3141.82</v>
      </c>
      <c r="L126">
        <v>3722.5</v>
      </c>
      <c r="M126" s="20">
        <v>44798</v>
      </c>
      <c r="N126" t="s">
        <v>6837</v>
      </c>
      <c r="O126" t="s">
        <v>154</v>
      </c>
    </row>
    <row r="127" spans="1:15" x14ac:dyDescent="0.25">
      <c r="A127" t="s">
        <v>599</v>
      </c>
      <c r="B127" t="s">
        <v>7174</v>
      </c>
      <c r="C127" t="s">
        <v>28</v>
      </c>
      <c r="D127" t="s">
        <v>7175</v>
      </c>
      <c r="E127" t="s">
        <v>7064</v>
      </c>
      <c r="F127" t="s">
        <v>6841</v>
      </c>
      <c r="G127" t="s">
        <v>6971</v>
      </c>
      <c r="H127" t="s">
        <v>6887</v>
      </c>
      <c r="I127" t="s">
        <v>108</v>
      </c>
      <c r="J127">
        <v>645.59</v>
      </c>
      <c r="K127">
        <v>985.21</v>
      </c>
      <c r="L127">
        <v>1069.73</v>
      </c>
      <c r="M127" s="20">
        <v>44634</v>
      </c>
      <c r="N127" t="s">
        <v>6837</v>
      </c>
      <c r="O127" t="s">
        <v>154</v>
      </c>
    </row>
    <row r="128" spans="1:15" x14ac:dyDescent="0.25">
      <c r="A128" t="s">
        <v>1128</v>
      </c>
      <c r="B128" t="s">
        <v>7176</v>
      </c>
      <c r="C128" t="s">
        <v>21</v>
      </c>
      <c r="D128" t="s">
        <v>6839</v>
      </c>
      <c r="E128" t="s">
        <v>6923</v>
      </c>
      <c r="F128" t="s">
        <v>6848</v>
      </c>
      <c r="G128" t="s">
        <v>6971</v>
      </c>
      <c r="H128" t="s">
        <v>6863</v>
      </c>
      <c r="I128" t="s">
        <v>7177</v>
      </c>
      <c r="J128">
        <v>1115.92</v>
      </c>
      <c r="K128">
        <v>1671.42</v>
      </c>
      <c r="L128">
        <v>1946.05</v>
      </c>
      <c r="M128" s="20">
        <v>44806</v>
      </c>
      <c r="N128" t="s">
        <v>6837</v>
      </c>
      <c r="O128" t="s">
        <v>154</v>
      </c>
    </row>
    <row r="129" spans="1:15" x14ac:dyDescent="0.25">
      <c r="A129" t="s">
        <v>261</v>
      </c>
      <c r="B129" t="s">
        <v>7178</v>
      </c>
      <c r="C129" t="s">
        <v>20</v>
      </c>
      <c r="D129" t="s">
        <v>7075</v>
      </c>
      <c r="E129" t="s">
        <v>6860</v>
      </c>
      <c r="F129" t="s">
        <v>6854</v>
      </c>
      <c r="G129" t="s">
        <v>6989</v>
      </c>
      <c r="H129" t="s">
        <v>6863</v>
      </c>
      <c r="I129" t="s">
        <v>6943</v>
      </c>
      <c r="J129">
        <v>844.65</v>
      </c>
      <c r="K129">
        <v>1275.26</v>
      </c>
      <c r="L129">
        <v>1536.31</v>
      </c>
      <c r="M129" s="20">
        <v>45198</v>
      </c>
      <c r="N129" t="s">
        <v>6837</v>
      </c>
      <c r="O129" t="s">
        <v>154</v>
      </c>
    </row>
    <row r="130" spans="1:15" x14ac:dyDescent="0.25">
      <c r="A130" t="s">
        <v>680</v>
      </c>
      <c r="B130" t="s">
        <v>7120</v>
      </c>
      <c r="C130" t="s">
        <v>31</v>
      </c>
      <c r="D130" t="s">
        <v>6927</v>
      </c>
      <c r="E130" t="s">
        <v>6847</v>
      </c>
      <c r="F130" t="s">
        <v>6861</v>
      </c>
      <c r="G130" t="s">
        <v>6915</v>
      </c>
      <c r="H130" t="s">
        <v>6869</v>
      </c>
      <c r="I130" t="s">
        <v>6864</v>
      </c>
      <c r="J130">
        <v>403.71</v>
      </c>
      <c r="K130">
        <v>676.61</v>
      </c>
      <c r="L130">
        <v>794.71</v>
      </c>
      <c r="M130" s="20">
        <v>45512</v>
      </c>
      <c r="N130" t="s">
        <v>6837</v>
      </c>
      <c r="O130" t="s">
        <v>184</v>
      </c>
    </row>
    <row r="131" spans="1:15" x14ac:dyDescent="0.25">
      <c r="A131" t="s">
        <v>1026</v>
      </c>
      <c r="B131" t="s">
        <v>7179</v>
      </c>
      <c r="C131" t="s">
        <v>12</v>
      </c>
      <c r="D131" t="s">
        <v>6883</v>
      </c>
      <c r="E131" t="s">
        <v>6953</v>
      </c>
      <c r="F131" t="s">
        <v>6841</v>
      </c>
      <c r="G131" t="s">
        <v>6962</v>
      </c>
      <c r="H131" t="s">
        <v>6954</v>
      </c>
      <c r="I131" t="s">
        <v>7148</v>
      </c>
      <c r="J131">
        <v>962.17</v>
      </c>
      <c r="K131">
        <v>1359.03</v>
      </c>
      <c r="L131">
        <v>1599.83</v>
      </c>
      <c r="M131" s="20">
        <v>44581</v>
      </c>
      <c r="N131" t="s">
        <v>6991</v>
      </c>
      <c r="O131" t="s">
        <v>154</v>
      </c>
    </row>
    <row r="132" spans="1:15" x14ac:dyDescent="0.25">
      <c r="A132" t="s">
        <v>1041</v>
      </c>
      <c r="B132" t="s">
        <v>7180</v>
      </c>
      <c r="C132" t="s">
        <v>25</v>
      </c>
      <c r="D132" t="s">
        <v>6948</v>
      </c>
      <c r="E132" t="s">
        <v>7066</v>
      </c>
      <c r="F132" t="s">
        <v>6833</v>
      </c>
      <c r="G132" t="s">
        <v>6915</v>
      </c>
      <c r="H132" t="s">
        <v>6892</v>
      </c>
      <c r="I132" t="s">
        <v>6888</v>
      </c>
      <c r="J132">
        <v>735.85</v>
      </c>
      <c r="K132">
        <v>1132</v>
      </c>
      <c r="L132">
        <v>1408.79</v>
      </c>
      <c r="M132" s="20">
        <v>44853</v>
      </c>
      <c r="N132" t="s">
        <v>6837</v>
      </c>
      <c r="O132" t="s">
        <v>154</v>
      </c>
    </row>
    <row r="133" spans="1:15" x14ac:dyDescent="0.25">
      <c r="A133" t="s">
        <v>814</v>
      </c>
      <c r="B133" t="s">
        <v>7181</v>
      </c>
      <c r="C133" t="s">
        <v>23</v>
      </c>
      <c r="D133" t="s">
        <v>7182</v>
      </c>
      <c r="E133" t="s">
        <v>6860</v>
      </c>
      <c r="F133" t="s">
        <v>6885</v>
      </c>
      <c r="G133" t="s">
        <v>7117</v>
      </c>
      <c r="H133" t="s">
        <v>6880</v>
      </c>
      <c r="I133" t="s">
        <v>6990</v>
      </c>
      <c r="J133">
        <v>364.61</v>
      </c>
      <c r="K133">
        <v>619.67999999999995</v>
      </c>
      <c r="L133">
        <v>722.64</v>
      </c>
      <c r="M133" s="20">
        <v>45597</v>
      </c>
      <c r="N133" t="s">
        <v>6837</v>
      </c>
      <c r="O133" t="s">
        <v>154</v>
      </c>
    </row>
    <row r="134" spans="1:15" x14ac:dyDescent="0.25">
      <c r="A134" t="s">
        <v>1809</v>
      </c>
      <c r="B134" t="s">
        <v>7183</v>
      </c>
      <c r="C134" t="s">
        <v>24</v>
      </c>
      <c r="D134" t="s">
        <v>7012</v>
      </c>
      <c r="E134" t="s">
        <v>6832</v>
      </c>
      <c r="F134" t="s">
        <v>6885</v>
      </c>
      <c r="G134" t="s">
        <v>6979</v>
      </c>
      <c r="H134" t="s">
        <v>6929</v>
      </c>
      <c r="I134" t="s">
        <v>7184</v>
      </c>
      <c r="J134">
        <v>756.59</v>
      </c>
      <c r="K134">
        <v>1017.24</v>
      </c>
      <c r="L134">
        <v>1231.03</v>
      </c>
      <c r="M134" s="20">
        <v>45230</v>
      </c>
      <c r="N134" t="s">
        <v>6837</v>
      </c>
      <c r="O134" t="s">
        <v>154</v>
      </c>
    </row>
    <row r="135" spans="1:15" x14ac:dyDescent="0.25">
      <c r="A135" t="s">
        <v>481</v>
      </c>
      <c r="B135" t="s">
        <v>7185</v>
      </c>
      <c r="C135" t="s">
        <v>16</v>
      </c>
      <c r="D135" t="s">
        <v>7186</v>
      </c>
      <c r="E135" t="s">
        <v>6933</v>
      </c>
      <c r="F135" t="s">
        <v>6910</v>
      </c>
      <c r="G135" t="s">
        <v>6979</v>
      </c>
      <c r="H135" t="s">
        <v>6850</v>
      </c>
      <c r="I135" t="s">
        <v>109</v>
      </c>
      <c r="J135">
        <v>698.08</v>
      </c>
      <c r="K135">
        <v>894.73</v>
      </c>
      <c r="L135">
        <v>1019.91</v>
      </c>
      <c r="M135" s="20">
        <v>45205</v>
      </c>
      <c r="N135" t="s">
        <v>6837</v>
      </c>
      <c r="O135" t="s">
        <v>154</v>
      </c>
    </row>
    <row r="136" spans="1:15" x14ac:dyDescent="0.25">
      <c r="A136" t="s">
        <v>875</v>
      </c>
      <c r="B136" t="s">
        <v>7187</v>
      </c>
      <c r="C136" t="s">
        <v>17</v>
      </c>
      <c r="D136" t="s">
        <v>7107</v>
      </c>
      <c r="E136" t="s">
        <v>7080</v>
      </c>
      <c r="F136" t="s">
        <v>7134</v>
      </c>
      <c r="G136" t="s">
        <v>6994</v>
      </c>
      <c r="H136" t="s">
        <v>6875</v>
      </c>
      <c r="I136" t="s">
        <v>6964</v>
      </c>
      <c r="J136">
        <v>2204.96</v>
      </c>
      <c r="K136">
        <v>2816.01</v>
      </c>
      <c r="L136">
        <v>3411.65</v>
      </c>
      <c r="M136" s="20">
        <v>45185</v>
      </c>
      <c r="N136" t="s">
        <v>6837</v>
      </c>
      <c r="O136" t="s">
        <v>154</v>
      </c>
    </row>
    <row r="137" spans="1:15" x14ac:dyDescent="0.25">
      <c r="A137" t="s">
        <v>1780</v>
      </c>
      <c r="B137" t="s">
        <v>7188</v>
      </c>
      <c r="C137" t="s">
        <v>15</v>
      </c>
      <c r="D137" t="s">
        <v>7032</v>
      </c>
      <c r="E137" t="s">
        <v>6937</v>
      </c>
      <c r="F137" t="s">
        <v>6861</v>
      </c>
      <c r="G137" t="s">
        <v>6924</v>
      </c>
      <c r="H137" t="s">
        <v>6901</v>
      </c>
      <c r="I137" t="s">
        <v>6916</v>
      </c>
      <c r="J137">
        <v>910.46</v>
      </c>
      <c r="K137">
        <v>1205.8699999999999</v>
      </c>
      <c r="L137">
        <v>1351.96</v>
      </c>
      <c r="M137" s="20">
        <v>45613</v>
      </c>
      <c r="N137" t="s">
        <v>6837</v>
      </c>
      <c r="O137" t="s">
        <v>154</v>
      </c>
    </row>
    <row r="138" spans="1:15" x14ac:dyDescent="0.25">
      <c r="A138" t="s">
        <v>756</v>
      </c>
      <c r="B138" t="s">
        <v>7189</v>
      </c>
      <c r="C138" t="s">
        <v>22</v>
      </c>
      <c r="D138" t="s">
        <v>6904</v>
      </c>
      <c r="E138" t="s">
        <v>6966</v>
      </c>
      <c r="F138" t="s">
        <v>6841</v>
      </c>
      <c r="G138" t="s">
        <v>6855</v>
      </c>
      <c r="H138" t="s">
        <v>6835</v>
      </c>
      <c r="I138" t="s">
        <v>7102</v>
      </c>
      <c r="J138">
        <v>522.38</v>
      </c>
      <c r="K138">
        <v>739.19</v>
      </c>
      <c r="L138">
        <v>790.15</v>
      </c>
      <c r="M138" s="20">
        <v>44770</v>
      </c>
      <c r="N138" t="s">
        <v>6837</v>
      </c>
      <c r="O138" t="s">
        <v>154</v>
      </c>
    </row>
    <row r="139" spans="1:15" x14ac:dyDescent="0.25">
      <c r="A139" t="s">
        <v>460</v>
      </c>
      <c r="B139" t="s">
        <v>7190</v>
      </c>
      <c r="C139" t="s">
        <v>27</v>
      </c>
      <c r="D139" t="s">
        <v>7089</v>
      </c>
      <c r="E139" t="s">
        <v>7013</v>
      </c>
      <c r="F139" t="s">
        <v>6833</v>
      </c>
      <c r="G139" t="s">
        <v>6971</v>
      </c>
      <c r="H139" t="s">
        <v>6901</v>
      </c>
      <c r="I139" t="s">
        <v>7191</v>
      </c>
      <c r="J139">
        <v>911.84</v>
      </c>
      <c r="K139">
        <v>1241.6300000000001</v>
      </c>
      <c r="L139">
        <v>1460.23</v>
      </c>
      <c r="M139" s="20">
        <v>44734</v>
      </c>
      <c r="N139" t="s">
        <v>6837</v>
      </c>
      <c r="O139" t="s">
        <v>154</v>
      </c>
    </row>
    <row r="140" spans="1:15" x14ac:dyDescent="0.25">
      <c r="A140" t="s">
        <v>420</v>
      </c>
      <c r="B140" t="s">
        <v>7192</v>
      </c>
      <c r="C140" t="s">
        <v>24</v>
      </c>
      <c r="D140" t="s">
        <v>7012</v>
      </c>
      <c r="E140" t="s">
        <v>7061</v>
      </c>
      <c r="F140" t="s">
        <v>6848</v>
      </c>
      <c r="G140" t="s">
        <v>6915</v>
      </c>
      <c r="H140" t="s">
        <v>6954</v>
      </c>
      <c r="I140" t="s">
        <v>7193</v>
      </c>
      <c r="J140">
        <v>866.06</v>
      </c>
      <c r="K140">
        <v>1116.04</v>
      </c>
      <c r="L140">
        <v>1373.86</v>
      </c>
      <c r="M140" s="20">
        <v>45241</v>
      </c>
      <c r="N140" t="s">
        <v>6837</v>
      </c>
      <c r="O140" t="s">
        <v>154</v>
      </c>
    </row>
    <row r="141" spans="1:15" x14ac:dyDescent="0.25">
      <c r="A141" t="s">
        <v>1292</v>
      </c>
      <c r="B141" t="s">
        <v>7194</v>
      </c>
      <c r="C141" t="s">
        <v>23</v>
      </c>
      <c r="D141" t="s">
        <v>7182</v>
      </c>
      <c r="E141" t="s">
        <v>7076</v>
      </c>
      <c r="F141" t="s">
        <v>6848</v>
      </c>
      <c r="G141" t="s">
        <v>7117</v>
      </c>
      <c r="H141" t="s">
        <v>6835</v>
      </c>
      <c r="I141" t="s">
        <v>6997</v>
      </c>
      <c r="J141">
        <v>348.75</v>
      </c>
      <c r="K141">
        <v>542.62</v>
      </c>
      <c r="L141">
        <v>643.9</v>
      </c>
      <c r="M141" s="20">
        <v>44915</v>
      </c>
      <c r="N141" t="s">
        <v>6837</v>
      </c>
      <c r="O141" t="s">
        <v>154</v>
      </c>
    </row>
    <row r="142" spans="1:15" x14ac:dyDescent="0.25">
      <c r="A142" t="s">
        <v>524</v>
      </c>
      <c r="B142" t="s">
        <v>7195</v>
      </c>
      <c r="C142" t="s">
        <v>22</v>
      </c>
      <c r="D142" t="s">
        <v>7196</v>
      </c>
      <c r="E142" t="s">
        <v>7080</v>
      </c>
      <c r="F142" t="s">
        <v>6910</v>
      </c>
      <c r="G142" t="s">
        <v>6979</v>
      </c>
      <c r="H142" t="s">
        <v>6887</v>
      </c>
      <c r="I142" t="s">
        <v>6980</v>
      </c>
      <c r="J142">
        <v>547.66999999999996</v>
      </c>
      <c r="K142">
        <v>724.97</v>
      </c>
      <c r="L142">
        <v>804.01</v>
      </c>
      <c r="M142" s="20">
        <v>45405</v>
      </c>
      <c r="N142" t="s">
        <v>6898</v>
      </c>
      <c r="O142" t="s">
        <v>154</v>
      </c>
    </row>
    <row r="143" spans="1:15" x14ac:dyDescent="0.25">
      <c r="A143" t="s">
        <v>662</v>
      </c>
      <c r="B143" t="s">
        <v>7197</v>
      </c>
      <c r="C143" t="s">
        <v>23</v>
      </c>
      <c r="D143" t="s">
        <v>7021</v>
      </c>
      <c r="E143" t="s">
        <v>6928</v>
      </c>
      <c r="F143" t="s">
        <v>6841</v>
      </c>
      <c r="G143" t="s">
        <v>6855</v>
      </c>
      <c r="H143" t="s">
        <v>6901</v>
      </c>
      <c r="I143" t="s">
        <v>7022</v>
      </c>
      <c r="J143">
        <v>299.86</v>
      </c>
      <c r="K143">
        <v>517.84</v>
      </c>
      <c r="L143">
        <v>598.19000000000005</v>
      </c>
      <c r="M143" s="20">
        <v>45675</v>
      </c>
      <c r="N143" t="s">
        <v>6837</v>
      </c>
      <c r="O143" t="s">
        <v>154</v>
      </c>
    </row>
    <row r="144" spans="1:15" x14ac:dyDescent="0.25">
      <c r="A144" t="s">
        <v>2019</v>
      </c>
      <c r="B144" t="s">
        <v>7198</v>
      </c>
      <c r="C144" t="s">
        <v>17</v>
      </c>
      <c r="D144" t="s">
        <v>7141</v>
      </c>
      <c r="E144" t="s">
        <v>6982</v>
      </c>
      <c r="F144" t="s">
        <v>7108</v>
      </c>
      <c r="G144" t="s">
        <v>6886</v>
      </c>
      <c r="H144" t="s">
        <v>6843</v>
      </c>
      <c r="I144" t="s">
        <v>7171</v>
      </c>
      <c r="J144">
        <v>1504.79</v>
      </c>
      <c r="K144">
        <v>2056.3200000000002</v>
      </c>
      <c r="L144">
        <v>2233.09</v>
      </c>
      <c r="M144" s="20">
        <v>45215</v>
      </c>
      <c r="N144" t="s">
        <v>6837</v>
      </c>
      <c r="O144" t="s">
        <v>154</v>
      </c>
    </row>
    <row r="145" spans="1:15" x14ac:dyDescent="0.25">
      <c r="A145" t="s">
        <v>697</v>
      </c>
      <c r="B145" t="s">
        <v>7199</v>
      </c>
      <c r="C145" t="s">
        <v>22</v>
      </c>
      <c r="D145" t="s">
        <v>7073</v>
      </c>
      <c r="E145" t="s">
        <v>6975</v>
      </c>
      <c r="F145" t="s">
        <v>6910</v>
      </c>
      <c r="G145" t="s">
        <v>6849</v>
      </c>
      <c r="H145" t="s">
        <v>6843</v>
      </c>
      <c r="I145" t="s">
        <v>6844</v>
      </c>
      <c r="J145">
        <v>699.84</v>
      </c>
      <c r="K145">
        <v>1079.29</v>
      </c>
      <c r="L145">
        <v>1154.8699999999999</v>
      </c>
      <c r="M145" s="20">
        <v>45055</v>
      </c>
      <c r="N145" t="s">
        <v>6837</v>
      </c>
      <c r="O145" t="s">
        <v>154</v>
      </c>
    </row>
    <row r="146" spans="1:15" x14ac:dyDescent="0.25">
      <c r="A146" t="s">
        <v>717</v>
      </c>
      <c r="B146" t="s">
        <v>7200</v>
      </c>
      <c r="C146" t="s">
        <v>16</v>
      </c>
      <c r="D146" t="s">
        <v>7137</v>
      </c>
      <c r="E146" t="s">
        <v>6978</v>
      </c>
      <c r="F146" t="s">
        <v>6833</v>
      </c>
      <c r="G146" t="s">
        <v>6879</v>
      </c>
      <c r="H146" t="s">
        <v>6901</v>
      </c>
      <c r="I146" t="s">
        <v>6968</v>
      </c>
      <c r="J146">
        <v>1133.27</v>
      </c>
      <c r="K146">
        <v>1690.68</v>
      </c>
      <c r="L146">
        <v>2011.11</v>
      </c>
      <c r="M146" s="20">
        <v>44619</v>
      </c>
      <c r="N146" t="s">
        <v>6837</v>
      </c>
      <c r="O146" t="s">
        <v>154</v>
      </c>
    </row>
    <row r="147" spans="1:15" x14ac:dyDescent="0.25">
      <c r="A147" t="s">
        <v>1390</v>
      </c>
      <c r="B147" t="s">
        <v>7201</v>
      </c>
      <c r="C147" t="s">
        <v>14</v>
      </c>
      <c r="D147" t="s">
        <v>6859</v>
      </c>
      <c r="E147" t="s">
        <v>7076</v>
      </c>
      <c r="F147" t="s">
        <v>6861</v>
      </c>
      <c r="G147" t="s">
        <v>6915</v>
      </c>
      <c r="H147" t="s">
        <v>6835</v>
      </c>
      <c r="I147" t="s">
        <v>7202</v>
      </c>
      <c r="J147">
        <v>3961.62</v>
      </c>
      <c r="K147">
        <v>5999.83</v>
      </c>
      <c r="L147">
        <v>6890.48</v>
      </c>
      <c r="M147" s="20">
        <v>45194</v>
      </c>
      <c r="N147" t="s">
        <v>6837</v>
      </c>
      <c r="O147" t="s">
        <v>154</v>
      </c>
    </row>
    <row r="148" spans="1:15" x14ac:dyDescent="0.25">
      <c r="A148" t="s">
        <v>1537</v>
      </c>
      <c r="B148" t="s">
        <v>7203</v>
      </c>
      <c r="C148" t="s">
        <v>24</v>
      </c>
      <c r="D148" t="s">
        <v>7012</v>
      </c>
      <c r="E148" t="s">
        <v>7036</v>
      </c>
      <c r="F148" t="s">
        <v>6854</v>
      </c>
      <c r="G148" t="s">
        <v>6834</v>
      </c>
      <c r="H148" t="s">
        <v>6929</v>
      </c>
      <c r="I148" t="s">
        <v>7204</v>
      </c>
      <c r="J148">
        <v>915.87</v>
      </c>
      <c r="K148">
        <v>1145.03</v>
      </c>
      <c r="L148">
        <v>1412.49</v>
      </c>
      <c r="M148" s="20">
        <v>44974</v>
      </c>
      <c r="N148" t="s">
        <v>6837</v>
      </c>
      <c r="O148" t="s">
        <v>154</v>
      </c>
    </row>
    <row r="149" spans="1:15" x14ac:dyDescent="0.25">
      <c r="A149" t="s">
        <v>1312</v>
      </c>
      <c r="B149" t="s">
        <v>7205</v>
      </c>
      <c r="C149" t="s">
        <v>20</v>
      </c>
      <c r="D149" t="s">
        <v>7116</v>
      </c>
      <c r="E149" t="s">
        <v>7013</v>
      </c>
      <c r="F149" t="s">
        <v>6910</v>
      </c>
      <c r="G149" t="s">
        <v>6962</v>
      </c>
      <c r="H149" t="s">
        <v>6901</v>
      </c>
      <c r="I149" t="s">
        <v>6857</v>
      </c>
      <c r="J149">
        <v>767.11</v>
      </c>
      <c r="K149">
        <v>991.49</v>
      </c>
      <c r="L149">
        <v>1063.06</v>
      </c>
      <c r="M149" s="20">
        <v>45639</v>
      </c>
      <c r="N149" t="s">
        <v>6898</v>
      </c>
      <c r="O149" t="s">
        <v>154</v>
      </c>
    </row>
    <row r="150" spans="1:15" x14ac:dyDescent="0.25">
      <c r="A150" t="s">
        <v>1178</v>
      </c>
      <c r="B150" t="s">
        <v>7206</v>
      </c>
      <c r="C150" t="s">
        <v>17</v>
      </c>
      <c r="D150" t="s">
        <v>7141</v>
      </c>
      <c r="E150" t="s">
        <v>7119</v>
      </c>
      <c r="F150" t="s">
        <v>7134</v>
      </c>
      <c r="G150" t="s">
        <v>6868</v>
      </c>
      <c r="H150" t="s">
        <v>6843</v>
      </c>
      <c r="I150" t="s">
        <v>6870</v>
      </c>
      <c r="J150">
        <v>1145.21</v>
      </c>
      <c r="K150">
        <v>1766.78</v>
      </c>
      <c r="L150">
        <v>2113.9</v>
      </c>
      <c r="M150" s="20">
        <v>45456</v>
      </c>
      <c r="N150" t="s">
        <v>6837</v>
      </c>
      <c r="O150" t="s">
        <v>154</v>
      </c>
    </row>
    <row r="151" spans="1:15" x14ac:dyDescent="0.25">
      <c r="A151" t="s">
        <v>858</v>
      </c>
      <c r="B151" t="s">
        <v>6931</v>
      </c>
      <c r="C151" t="s">
        <v>29</v>
      </c>
      <c r="D151" t="s">
        <v>6922</v>
      </c>
      <c r="E151" t="s">
        <v>7084</v>
      </c>
      <c r="F151" t="s">
        <v>6910</v>
      </c>
      <c r="G151" t="s">
        <v>6896</v>
      </c>
      <c r="H151" t="s">
        <v>6880</v>
      </c>
      <c r="I151" t="s">
        <v>6972</v>
      </c>
      <c r="J151">
        <v>525.45000000000005</v>
      </c>
      <c r="K151">
        <v>692</v>
      </c>
      <c r="L151">
        <v>808.11</v>
      </c>
      <c r="M151" s="20">
        <v>44921</v>
      </c>
      <c r="N151" t="s">
        <v>6837</v>
      </c>
      <c r="O151" t="s">
        <v>184</v>
      </c>
    </row>
    <row r="152" spans="1:15" x14ac:dyDescent="0.25">
      <c r="A152" t="s">
        <v>545</v>
      </c>
      <c r="B152" t="s">
        <v>7207</v>
      </c>
      <c r="C152" t="s">
        <v>19</v>
      </c>
      <c r="D152" t="s">
        <v>7083</v>
      </c>
      <c r="E152" t="s">
        <v>7003</v>
      </c>
      <c r="F152" t="s">
        <v>6910</v>
      </c>
      <c r="G152" t="s">
        <v>6962</v>
      </c>
      <c r="H152" t="s">
        <v>6880</v>
      </c>
      <c r="I152" t="s">
        <v>114</v>
      </c>
      <c r="J152">
        <v>834.96</v>
      </c>
      <c r="K152">
        <v>1292.76</v>
      </c>
      <c r="L152">
        <v>1606.95</v>
      </c>
      <c r="M152" s="20">
        <v>44628</v>
      </c>
      <c r="N152" t="s">
        <v>6837</v>
      </c>
      <c r="O152" t="s">
        <v>154</v>
      </c>
    </row>
    <row r="153" spans="1:15" x14ac:dyDescent="0.25">
      <c r="A153" t="s">
        <v>290</v>
      </c>
      <c r="B153" t="s">
        <v>7208</v>
      </c>
      <c r="C153" t="s">
        <v>15</v>
      </c>
      <c r="D153" t="s">
        <v>7098</v>
      </c>
      <c r="E153" t="s">
        <v>6905</v>
      </c>
      <c r="F153" t="s">
        <v>6861</v>
      </c>
      <c r="G153" t="s">
        <v>6938</v>
      </c>
      <c r="H153" t="s">
        <v>7033</v>
      </c>
      <c r="I153" t="s">
        <v>114</v>
      </c>
      <c r="J153">
        <v>4715.1000000000004</v>
      </c>
      <c r="K153">
        <v>6092.82</v>
      </c>
      <c r="L153">
        <v>7305.71</v>
      </c>
      <c r="M153" s="20">
        <v>45049</v>
      </c>
      <c r="N153" t="s">
        <v>6837</v>
      </c>
      <c r="O153" t="s">
        <v>154</v>
      </c>
    </row>
    <row r="154" spans="1:15" x14ac:dyDescent="0.25">
      <c r="A154" t="s">
        <v>947</v>
      </c>
      <c r="B154" t="s">
        <v>7209</v>
      </c>
      <c r="C154" t="s">
        <v>20</v>
      </c>
      <c r="D154" t="s">
        <v>7101</v>
      </c>
      <c r="E154" t="s">
        <v>7084</v>
      </c>
      <c r="F154" t="s">
        <v>6854</v>
      </c>
      <c r="G154" t="s">
        <v>6924</v>
      </c>
      <c r="H154" t="s">
        <v>6875</v>
      </c>
      <c r="I154" t="s">
        <v>7148</v>
      </c>
      <c r="J154">
        <v>569.35</v>
      </c>
      <c r="K154">
        <v>754.31</v>
      </c>
      <c r="L154">
        <v>802.25</v>
      </c>
      <c r="M154" s="20">
        <v>45087</v>
      </c>
      <c r="N154" t="s">
        <v>6837</v>
      </c>
      <c r="O154" t="s">
        <v>154</v>
      </c>
    </row>
    <row r="155" spans="1:15" x14ac:dyDescent="0.25">
      <c r="A155" t="s">
        <v>2281</v>
      </c>
      <c r="B155" t="s">
        <v>7210</v>
      </c>
      <c r="C155" t="s">
        <v>23</v>
      </c>
      <c r="D155" t="s">
        <v>7211</v>
      </c>
      <c r="E155" t="s">
        <v>7080</v>
      </c>
      <c r="F155" t="s">
        <v>6841</v>
      </c>
      <c r="G155" t="s">
        <v>7117</v>
      </c>
      <c r="H155" t="s">
        <v>6901</v>
      </c>
      <c r="I155" t="s">
        <v>7145</v>
      </c>
      <c r="J155">
        <v>373.27</v>
      </c>
      <c r="K155">
        <v>606.84</v>
      </c>
      <c r="L155">
        <v>703.45</v>
      </c>
      <c r="M155" s="20">
        <v>44769</v>
      </c>
      <c r="N155" t="s">
        <v>6837</v>
      </c>
      <c r="O155" t="s">
        <v>154</v>
      </c>
    </row>
    <row r="156" spans="1:15" x14ac:dyDescent="0.25">
      <c r="A156" t="s">
        <v>654</v>
      </c>
      <c r="B156" t="s">
        <v>7212</v>
      </c>
      <c r="C156" t="s">
        <v>16</v>
      </c>
      <c r="D156" t="s">
        <v>7028</v>
      </c>
      <c r="E156" t="s">
        <v>7080</v>
      </c>
      <c r="F156" t="s">
        <v>6854</v>
      </c>
      <c r="G156" t="s">
        <v>6874</v>
      </c>
      <c r="H156" t="s">
        <v>6850</v>
      </c>
      <c r="I156" t="s">
        <v>7022</v>
      </c>
      <c r="J156">
        <v>865.42</v>
      </c>
      <c r="K156">
        <v>1164.52</v>
      </c>
      <c r="L156">
        <v>1444.39</v>
      </c>
      <c r="M156" s="20">
        <v>44713</v>
      </c>
      <c r="N156" t="s">
        <v>6837</v>
      </c>
      <c r="O156" t="s">
        <v>154</v>
      </c>
    </row>
    <row r="157" spans="1:15" x14ac:dyDescent="0.25">
      <c r="A157" t="s">
        <v>1668</v>
      </c>
      <c r="B157" t="s">
        <v>7213</v>
      </c>
      <c r="C157" t="s">
        <v>20</v>
      </c>
      <c r="D157" t="s">
        <v>7101</v>
      </c>
      <c r="E157" t="s">
        <v>6867</v>
      </c>
      <c r="F157" t="s">
        <v>6910</v>
      </c>
      <c r="G157" t="s">
        <v>6874</v>
      </c>
      <c r="H157" t="s">
        <v>6843</v>
      </c>
      <c r="I157" t="s">
        <v>7093</v>
      </c>
      <c r="J157">
        <v>893.37</v>
      </c>
      <c r="K157">
        <v>1356.11</v>
      </c>
      <c r="L157">
        <v>1614.99</v>
      </c>
      <c r="M157" s="20">
        <v>45445</v>
      </c>
      <c r="N157" t="s">
        <v>6898</v>
      </c>
      <c r="O157" t="s">
        <v>154</v>
      </c>
    </row>
    <row r="158" spans="1:15" x14ac:dyDescent="0.25">
      <c r="A158" t="s">
        <v>864</v>
      </c>
      <c r="B158" t="s">
        <v>7214</v>
      </c>
      <c r="C158" t="s">
        <v>15</v>
      </c>
      <c r="D158" t="s">
        <v>7215</v>
      </c>
      <c r="E158" t="s">
        <v>7058</v>
      </c>
      <c r="F158" t="s">
        <v>6861</v>
      </c>
      <c r="G158" t="s">
        <v>6989</v>
      </c>
      <c r="H158" t="s">
        <v>7033</v>
      </c>
      <c r="I158" t="s">
        <v>111</v>
      </c>
      <c r="J158">
        <v>1989.93</v>
      </c>
      <c r="K158">
        <v>3069.11</v>
      </c>
      <c r="L158">
        <v>3473.79</v>
      </c>
      <c r="M158" s="20">
        <v>45696</v>
      </c>
      <c r="N158" t="s">
        <v>6837</v>
      </c>
      <c r="O158" t="s">
        <v>154</v>
      </c>
    </row>
    <row r="159" spans="1:15" x14ac:dyDescent="0.25">
      <c r="A159" t="s">
        <v>558</v>
      </c>
      <c r="B159" t="s">
        <v>7216</v>
      </c>
      <c r="C159" t="s">
        <v>22</v>
      </c>
      <c r="D159" t="s">
        <v>7196</v>
      </c>
      <c r="E159" t="s">
        <v>6878</v>
      </c>
      <c r="F159" t="s">
        <v>6854</v>
      </c>
      <c r="G159" t="s">
        <v>6971</v>
      </c>
      <c r="H159" t="s">
        <v>7033</v>
      </c>
      <c r="I159" t="s">
        <v>112</v>
      </c>
      <c r="J159">
        <v>457.16</v>
      </c>
      <c r="K159">
        <v>646.84</v>
      </c>
      <c r="L159">
        <v>742.69</v>
      </c>
      <c r="M159" s="20">
        <v>44673</v>
      </c>
      <c r="N159" t="s">
        <v>6837</v>
      </c>
      <c r="O159" t="s">
        <v>154</v>
      </c>
    </row>
    <row r="160" spans="1:15" x14ac:dyDescent="0.25">
      <c r="A160" t="s">
        <v>1928</v>
      </c>
      <c r="B160" t="s">
        <v>7217</v>
      </c>
      <c r="C160" t="s">
        <v>24</v>
      </c>
      <c r="D160" t="s">
        <v>6890</v>
      </c>
      <c r="E160" t="s">
        <v>6909</v>
      </c>
      <c r="F160" t="s">
        <v>6833</v>
      </c>
      <c r="G160" t="s">
        <v>6834</v>
      </c>
      <c r="H160" t="s">
        <v>6875</v>
      </c>
      <c r="I160" t="s">
        <v>6958</v>
      </c>
      <c r="J160">
        <v>658.19</v>
      </c>
      <c r="K160">
        <v>863.6</v>
      </c>
      <c r="L160">
        <v>1017.01</v>
      </c>
      <c r="M160" s="20">
        <v>44729</v>
      </c>
      <c r="N160" t="s">
        <v>6837</v>
      </c>
      <c r="O160" t="s">
        <v>154</v>
      </c>
    </row>
    <row r="161" spans="1:15" x14ac:dyDescent="0.25">
      <c r="A161" t="s">
        <v>325</v>
      </c>
      <c r="B161" t="s">
        <v>7218</v>
      </c>
      <c r="C161" t="s">
        <v>19</v>
      </c>
      <c r="D161" t="s">
        <v>7219</v>
      </c>
      <c r="E161" t="s">
        <v>6975</v>
      </c>
      <c r="F161" t="s">
        <v>6848</v>
      </c>
      <c r="G161" t="s">
        <v>6886</v>
      </c>
      <c r="H161" t="s">
        <v>6954</v>
      </c>
      <c r="I161" t="s">
        <v>7051</v>
      </c>
      <c r="J161">
        <v>759</v>
      </c>
      <c r="K161">
        <v>1094.9000000000001</v>
      </c>
      <c r="L161">
        <v>1234.51</v>
      </c>
      <c r="M161" s="20">
        <v>45321</v>
      </c>
      <c r="N161" t="s">
        <v>6898</v>
      </c>
      <c r="O161" t="s">
        <v>154</v>
      </c>
    </row>
    <row r="162" spans="1:15" x14ac:dyDescent="0.25">
      <c r="A162" t="s">
        <v>339</v>
      </c>
      <c r="B162" t="s">
        <v>7220</v>
      </c>
      <c r="C162" t="s">
        <v>20</v>
      </c>
      <c r="D162" t="s">
        <v>6987</v>
      </c>
      <c r="E162" t="s">
        <v>7054</v>
      </c>
      <c r="F162" t="s">
        <v>6841</v>
      </c>
      <c r="G162" t="s">
        <v>6942</v>
      </c>
      <c r="H162" t="s">
        <v>6875</v>
      </c>
      <c r="I162" t="s">
        <v>6983</v>
      </c>
      <c r="J162">
        <v>568.53</v>
      </c>
      <c r="K162">
        <v>853.43</v>
      </c>
      <c r="L162">
        <v>992.41</v>
      </c>
      <c r="M162" s="20">
        <v>44871</v>
      </c>
      <c r="N162" t="s">
        <v>6837</v>
      </c>
      <c r="O162" t="s">
        <v>154</v>
      </c>
    </row>
    <row r="163" spans="1:15" x14ac:dyDescent="0.25">
      <c r="A163" t="s">
        <v>3087</v>
      </c>
      <c r="B163" t="s">
        <v>7221</v>
      </c>
      <c r="C163" t="s">
        <v>27</v>
      </c>
      <c r="D163" t="s">
        <v>7089</v>
      </c>
      <c r="E163" t="s">
        <v>6909</v>
      </c>
      <c r="F163" t="s">
        <v>6910</v>
      </c>
      <c r="G163" t="s">
        <v>6862</v>
      </c>
      <c r="H163" t="s">
        <v>6850</v>
      </c>
      <c r="I163" t="s">
        <v>7168</v>
      </c>
      <c r="J163">
        <v>706.99</v>
      </c>
      <c r="K163">
        <v>1044.18</v>
      </c>
      <c r="L163">
        <v>1143.9000000000001</v>
      </c>
      <c r="M163" s="20">
        <v>44686</v>
      </c>
      <c r="N163" t="s">
        <v>6837</v>
      </c>
      <c r="O163" t="s">
        <v>154</v>
      </c>
    </row>
    <row r="164" spans="1:15" x14ac:dyDescent="0.25">
      <c r="A164" t="s">
        <v>407</v>
      </c>
      <c r="B164" t="s">
        <v>7222</v>
      </c>
      <c r="C164" t="s">
        <v>21</v>
      </c>
      <c r="D164" t="s">
        <v>7042</v>
      </c>
      <c r="E164" t="s">
        <v>7076</v>
      </c>
      <c r="F164" t="s">
        <v>6885</v>
      </c>
      <c r="G164" t="s">
        <v>6971</v>
      </c>
      <c r="H164" t="s">
        <v>6875</v>
      </c>
      <c r="I164" t="s">
        <v>7168</v>
      </c>
      <c r="J164">
        <v>802.64</v>
      </c>
      <c r="K164">
        <v>1220.68</v>
      </c>
      <c r="L164">
        <v>1456.1</v>
      </c>
      <c r="M164" s="20">
        <v>45590</v>
      </c>
      <c r="N164" t="s">
        <v>6837</v>
      </c>
      <c r="O164" t="s">
        <v>154</v>
      </c>
    </row>
    <row r="165" spans="1:15" x14ac:dyDescent="0.25">
      <c r="A165" t="s">
        <v>1642</v>
      </c>
      <c r="B165" t="s">
        <v>7223</v>
      </c>
      <c r="C165" t="s">
        <v>14</v>
      </c>
      <c r="D165" t="s">
        <v>6859</v>
      </c>
      <c r="E165" t="s">
        <v>7224</v>
      </c>
      <c r="F165" t="s">
        <v>6861</v>
      </c>
      <c r="G165" t="s">
        <v>6842</v>
      </c>
      <c r="H165" t="s">
        <v>6901</v>
      </c>
      <c r="I165" t="s">
        <v>112</v>
      </c>
      <c r="J165">
        <v>3837</v>
      </c>
      <c r="K165">
        <v>4988.67</v>
      </c>
      <c r="L165">
        <v>5449.51</v>
      </c>
      <c r="M165" s="20">
        <v>44956</v>
      </c>
      <c r="N165" t="s">
        <v>6837</v>
      </c>
      <c r="O165" t="s">
        <v>154</v>
      </c>
    </row>
    <row r="166" spans="1:15" x14ac:dyDescent="0.25">
      <c r="A166" t="s">
        <v>1280</v>
      </c>
      <c r="B166" t="s">
        <v>7225</v>
      </c>
      <c r="C166" t="s">
        <v>24</v>
      </c>
      <c r="D166" t="s">
        <v>6846</v>
      </c>
      <c r="E166" t="s">
        <v>6933</v>
      </c>
      <c r="F166" t="s">
        <v>6910</v>
      </c>
      <c r="G166" t="s">
        <v>6979</v>
      </c>
      <c r="H166" t="s">
        <v>6835</v>
      </c>
      <c r="I166" t="s">
        <v>7040</v>
      </c>
      <c r="J166">
        <v>754.73</v>
      </c>
      <c r="K166">
        <v>1149.6400000000001</v>
      </c>
      <c r="L166">
        <v>1417.32</v>
      </c>
      <c r="M166" s="20">
        <v>44699</v>
      </c>
      <c r="N166" t="s">
        <v>6837</v>
      </c>
      <c r="O166" t="s">
        <v>154</v>
      </c>
    </row>
    <row r="167" spans="1:15" x14ac:dyDescent="0.25">
      <c r="A167" t="s">
        <v>2980</v>
      </c>
      <c r="B167" t="s">
        <v>7226</v>
      </c>
      <c r="C167" t="s">
        <v>25</v>
      </c>
      <c r="D167" t="s">
        <v>6948</v>
      </c>
      <c r="E167" t="s">
        <v>6928</v>
      </c>
      <c r="F167" t="s">
        <v>6854</v>
      </c>
      <c r="G167" t="s">
        <v>6849</v>
      </c>
      <c r="H167" t="s">
        <v>6875</v>
      </c>
      <c r="I167" t="s">
        <v>7227</v>
      </c>
      <c r="J167">
        <v>1029.24</v>
      </c>
      <c r="K167">
        <v>1478.93</v>
      </c>
      <c r="L167">
        <v>1707.44</v>
      </c>
      <c r="M167" s="20">
        <v>45421</v>
      </c>
      <c r="N167" t="s">
        <v>6837</v>
      </c>
      <c r="O167" t="s">
        <v>154</v>
      </c>
    </row>
    <row r="168" spans="1:15" x14ac:dyDescent="0.25">
      <c r="A168" t="s">
        <v>892</v>
      </c>
      <c r="B168" t="s">
        <v>7228</v>
      </c>
      <c r="C168" t="s">
        <v>18</v>
      </c>
      <c r="D168" t="s">
        <v>7156</v>
      </c>
      <c r="E168" t="s">
        <v>7066</v>
      </c>
      <c r="F168" t="s">
        <v>6854</v>
      </c>
      <c r="G168" t="s">
        <v>6938</v>
      </c>
      <c r="H168" t="s">
        <v>6850</v>
      </c>
      <c r="I168" t="s">
        <v>108</v>
      </c>
      <c r="J168">
        <v>1742.89</v>
      </c>
      <c r="K168">
        <v>2632.19</v>
      </c>
      <c r="L168">
        <v>3227.14</v>
      </c>
      <c r="M168" s="20">
        <v>45403</v>
      </c>
      <c r="N168" t="s">
        <v>6837</v>
      </c>
      <c r="O168" t="s">
        <v>154</v>
      </c>
    </row>
    <row r="169" spans="1:15" x14ac:dyDescent="0.25">
      <c r="A169" t="s">
        <v>2402</v>
      </c>
      <c r="B169" t="s">
        <v>7229</v>
      </c>
      <c r="C169" t="s">
        <v>13</v>
      </c>
      <c r="D169" t="s">
        <v>6952</v>
      </c>
      <c r="E169" t="s">
        <v>7054</v>
      </c>
      <c r="F169" t="s">
        <v>6861</v>
      </c>
      <c r="G169" t="s">
        <v>6879</v>
      </c>
      <c r="H169" t="s">
        <v>6869</v>
      </c>
      <c r="I169" t="s">
        <v>6950</v>
      </c>
      <c r="J169">
        <v>1365.65</v>
      </c>
      <c r="K169">
        <v>1960.35</v>
      </c>
      <c r="L169">
        <v>2325.29</v>
      </c>
      <c r="M169" s="20">
        <v>45384</v>
      </c>
      <c r="N169" t="s">
        <v>6837</v>
      </c>
      <c r="O169" t="s">
        <v>154</v>
      </c>
    </row>
    <row r="170" spans="1:15" x14ac:dyDescent="0.25">
      <c r="A170" t="s">
        <v>225</v>
      </c>
      <c r="B170" t="s">
        <v>7230</v>
      </c>
      <c r="C170" t="s">
        <v>16</v>
      </c>
      <c r="D170" t="s">
        <v>7186</v>
      </c>
      <c r="E170" t="s">
        <v>6993</v>
      </c>
      <c r="F170" t="s">
        <v>6885</v>
      </c>
      <c r="G170" t="s">
        <v>6886</v>
      </c>
      <c r="H170" t="s">
        <v>6954</v>
      </c>
      <c r="I170" t="s">
        <v>6870</v>
      </c>
      <c r="J170">
        <v>1407.33</v>
      </c>
      <c r="K170">
        <v>1767.7</v>
      </c>
      <c r="L170">
        <v>2145.06</v>
      </c>
      <c r="M170" s="20">
        <v>45182</v>
      </c>
      <c r="N170" t="s">
        <v>6837</v>
      </c>
      <c r="O170" t="s">
        <v>154</v>
      </c>
    </row>
    <row r="171" spans="1:15" x14ac:dyDescent="0.25">
      <c r="A171" t="s">
        <v>362</v>
      </c>
      <c r="B171" t="s">
        <v>7231</v>
      </c>
      <c r="C171" t="s">
        <v>27</v>
      </c>
      <c r="D171" t="s">
        <v>6900</v>
      </c>
      <c r="E171" t="s">
        <v>6873</v>
      </c>
      <c r="F171" t="s">
        <v>6841</v>
      </c>
      <c r="G171" t="s">
        <v>6994</v>
      </c>
      <c r="H171" t="s">
        <v>6880</v>
      </c>
      <c r="I171" t="s">
        <v>7163</v>
      </c>
      <c r="J171">
        <v>887.02</v>
      </c>
      <c r="K171">
        <v>1194.1600000000001</v>
      </c>
      <c r="L171">
        <v>1427.93</v>
      </c>
      <c r="M171" s="20">
        <v>44744</v>
      </c>
      <c r="N171" t="s">
        <v>6837</v>
      </c>
      <c r="O171" t="s">
        <v>154</v>
      </c>
    </row>
    <row r="172" spans="1:15" x14ac:dyDescent="0.25">
      <c r="A172" t="s">
        <v>333</v>
      </c>
      <c r="B172" t="s">
        <v>7232</v>
      </c>
      <c r="C172" t="s">
        <v>21</v>
      </c>
      <c r="D172" t="s">
        <v>7042</v>
      </c>
      <c r="E172" t="s">
        <v>7010</v>
      </c>
      <c r="F172" t="s">
        <v>6885</v>
      </c>
      <c r="G172" t="s">
        <v>6849</v>
      </c>
      <c r="H172" t="s">
        <v>6835</v>
      </c>
      <c r="I172" t="s">
        <v>7233</v>
      </c>
      <c r="J172">
        <v>1767.32</v>
      </c>
      <c r="K172">
        <v>2482.34</v>
      </c>
      <c r="L172">
        <v>2685.38</v>
      </c>
      <c r="M172" s="20">
        <v>45199</v>
      </c>
      <c r="N172" t="s">
        <v>6837</v>
      </c>
      <c r="O172" t="s">
        <v>154</v>
      </c>
    </row>
    <row r="173" spans="1:15" x14ac:dyDescent="0.25">
      <c r="A173" t="s">
        <v>359</v>
      </c>
      <c r="B173" t="s">
        <v>7234</v>
      </c>
      <c r="C173" t="s">
        <v>18</v>
      </c>
      <c r="D173" t="s">
        <v>7156</v>
      </c>
      <c r="E173" t="s">
        <v>7003</v>
      </c>
      <c r="F173" t="s">
        <v>6833</v>
      </c>
      <c r="G173" t="s">
        <v>6915</v>
      </c>
      <c r="H173" t="s">
        <v>6954</v>
      </c>
      <c r="I173" t="s">
        <v>7139</v>
      </c>
      <c r="J173">
        <v>1804.37</v>
      </c>
      <c r="K173">
        <v>2390.5100000000002</v>
      </c>
      <c r="L173">
        <v>2728.26</v>
      </c>
      <c r="M173" s="20">
        <v>45300</v>
      </c>
      <c r="N173" t="s">
        <v>6837</v>
      </c>
      <c r="O173" t="s">
        <v>154</v>
      </c>
    </row>
    <row r="174" spans="1:15" x14ac:dyDescent="0.25">
      <c r="A174" t="s">
        <v>1550</v>
      </c>
      <c r="B174" t="s">
        <v>7235</v>
      </c>
      <c r="C174" t="s">
        <v>17</v>
      </c>
      <c r="D174" t="s">
        <v>7141</v>
      </c>
      <c r="E174" t="s">
        <v>6957</v>
      </c>
      <c r="F174" t="s">
        <v>7142</v>
      </c>
      <c r="G174" t="s">
        <v>6855</v>
      </c>
      <c r="H174" t="s">
        <v>6897</v>
      </c>
      <c r="I174" t="s">
        <v>7236</v>
      </c>
      <c r="J174">
        <v>1862.35</v>
      </c>
      <c r="K174">
        <v>2463.11</v>
      </c>
      <c r="L174">
        <v>2827.05</v>
      </c>
      <c r="M174" s="20">
        <v>45475</v>
      </c>
      <c r="N174" t="s">
        <v>6837</v>
      </c>
      <c r="O174" t="s">
        <v>154</v>
      </c>
    </row>
    <row r="175" spans="1:15" x14ac:dyDescent="0.25">
      <c r="A175" t="s">
        <v>1016</v>
      </c>
      <c r="B175" t="s">
        <v>6845</v>
      </c>
      <c r="C175" t="s">
        <v>14</v>
      </c>
      <c r="D175" t="s">
        <v>6913</v>
      </c>
      <c r="E175" t="s">
        <v>6978</v>
      </c>
      <c r="F175" t="s">
        <v>6861</v>
      </c>
      <c r="G175" t="s">
        <v>6879</v>
      </c>
      <c r="H175" t="s">
        <v>6835</v>
      </c>
      <c r="I175" t="s">
        <v>7177</v>
      </c>
      <c r="J175">
        <v>3662.37</v>
      </c>
      <c r="K175">
        <v>5400.85</v>
      </c>
      <c r="L175">
        <v>6414.97</v>
      </c>
      <c r="M175" s="20">
        <v>45145</v>
      </c>
      <c r="N175" t="s">
        <v>6837</v>
      </c>
      <c r="O175" t="s">
        <v>184</v>
      </c>
    </row>
    <row r="176" spans="1:15" x14ac:dyDescent="0.25">
      <c r="A176" t="s">
        <v>466</v>
      </c>
      <c r="B176" t="s">
        <v>7237</v>
      </c>
      <c r="C176" t="s">
        <v>20</v>
      </c>
      <c r="D176" t="s">
        <v>7075</v>
      </c>
      <c r="E176" t="s">
        <v>7036</v>
      </c>
      <c r="F176" t="s">
        <v>6833</v>
      </c>
      <c r="G176" t="s">
        <v>6971</v>
      </c>
      <c r="H176" t="s">
        <v>6897</v>
      </c>
      <c r="I176" t="s">
        <v>7238</v>
      </c>
      <c r="J176">
        <v>571.09</v>
      </c>
      <c r="K176">
        <v>784.02</v>
      </c>
      <c r="L176">
        <v>826.37</v>
      </c>
      <c r="M176" s="20">
        <v>44580</v>
      </c>
      <c r="N176" t="s">
        <v>6837</v>
      </c>
      <c r="O176" t="s">
        <v>154</v>
      </c>
    </row>
    <row r="177" spans="1:15" x14ac:dyDescent="0.25">
      <c r="A177" t="s">
        <v>1302</v>
      </c>
      <c r="B177" t="s">
        <v>7239</v>
      </c>
      <c r="C177" t="s">
        <v>20</v>
      </c>
      <c r="D177" t="s">
        <v>7101</v>
      </c>
      <c r="E177" t="s">
        <v>7036</v>
      </c>
      <c r="F177" t="s">
        <v>6885</v>
      </c>
      <c r="G177" t="s">
        <v>6942</v>
      </c>
      <c r="H177" t="s">
        <v>6856</v>
      </c>
      <c r="I177" t="s">
        <v>7240</v>
      </c>
      <c r="J177">
        <v>770.73</v>
      </c>
      <c r="K177">
        <v>1127.43</v>
      </c>
      <c r="L177">
        <v>1245.9000000000001</v>
      </c>
      <c r="M177" s="20">
        <v>45333</v>
      </c>
      <c r="N177" t="s">
        <v>6898</v>
      </c>
      <c r="O177" t="s">
        <v>154</v>
      </c>
    </row>
    <row r="178" spans="1:15" x14ac:dyDescent="0.25">
      <c r="A178" t="s">
        <v>583</v>
      </c>
      <c r="B178" t="s">
        <v>7241</v>
      </c>
      <c r="C178" t="s">
        <v>22</v>
      </c>
      <c r="D178" t="s">
        <v>6904</v>
      </c>
      <c r="E178" t="s">
        <v>7029</v>
      </c>
      <c r="F178" t="s">
        <v>6910</v>
      </c>
      <c r="G178" t="s">
        <v>6994</v>
      </c>
      <c r="H178" t="s">
        <v>6897</v>
      </c>
      <c r="I178" t="s">
        <v>7051</v>
      </c>
      <c r="J178">
        <v>629.72</v>
      </c>
      <c r="K178">
        <v>862.18</v>
      </c>
      <c r="L178">
        <v>922.93</v>
      </c>
      <c r="M178" s="20">
        <v>45609</v>
      </c>
      <c r="N178" t="s">
        <v>6991</v>
      </c>
      <c r="O178" t="s">
        <v>154</v>
      </c>
    </row>
    <row r="179" spans="1:15" x14ac:dyDescent="0.25">
      <c r="A179" t="s">
        <v>536</v>
      </c>
      <c r="B179" t="s">
        <v>7242</v>
      </c>
      <c r="C179" t="s">
        <v>26</v>
      </c>
      <c r="D179" t="s">
        <v>6877</v>
      </c>
      <c r="E179" t="s">
        <v>6878</v>
      </c>
      <c r="F179" t="s">
        <v>6861</v>
      </c>
      <c r="G179" t="s">
        <v>6868</v>
      </c>
      <c r="H179" t="s">
        <v>6875</v>
      </c>
      <c r="I179" t="s">
        <v>108</v>
      </c>
      <c r="J179">
        <v>357.45</v>
      </c>
      <c r="K179">
        <v>552.79999999999995</v>
      </c>
      <c r="L179">
        <v>651.26</v>
      </c>
      <c r="M179" s="20">
        <v>45129</v>
      </c>
      <c r="N179" t="s">
        <v>6837</v>
      </c>
      <c r="O179" t="s">
        <v>154</v>
      </c>
    </row>
    <row r="180" spans="1:15" x14ac:dyDescent="0.25">
      <c r="A180" t="s">
        <v>861</v>
      </c>
      <c r="B180" t="s">
        <v>7243</v>
      </c>
      <c r="C180" t="s">
        <v>19</v>
      </c>
      <c r="D180" t="s">
        <v>7083</v>
      </c>
      <c r="E180" t="s">
        <v>6953</v>
      </c>
      <c r="F180" t="s">
        <v>6833</v>
      </c>
      <c r="G180" t="s">
        <v>6849</v>
      </c>
      <c r="H180" t="s">
        <v>6850</v>
      </c>
      <c r="I180" t="s">
        <v>7014</v>
      </c>
      <c r="J180">
        <v>1139.81</v>
      </c>
      <c r="K180">
        <v>1700.17</v>
      </c>
      <c r="L180">
        <v>2058.0100000000002</v>
      </c>
      <c r="M180" s="20">
        <v>45389</v>
      </c>
      <c r="N180" t="s">
        <v>6837</v>
      </c>
      <c r="O180" t="s">
        <v>154</v>
      </c>
    </row>
    <row r="181" spans="1:15" x14ac:dyDescent="0.25">
      <c r="A181" t="s">
        <v>2129</v>
      </c>
      <c r="B181" t="s">
        <v>7244</v>
      </c>
      <c r="C181" t="s">
        <v>18</v>
      </c>
      <c r="D181" t="s">
        <v>7156</v>
      </c>
      <c r="E181" t="s">
        <v>6914</v>
      </c>
      <c r="F181" t="s">
        <v>6885</v>
      </c>
      <c r="G181" t="s">
        <v>6886</v>
      </c>
      <c r="H181" t="s">
        <v>6869</v>
      </c>
      <c r="I181" t="s">
        <v>115</v>
      </c>
      <c r="J181">
        <v>1888.29</v>
      </c>
      <c r="K181">
        <v>2589.56</v>
      </c>
      <c r="L181">
        <v>3100.6</v>
      </c>
      <c r="M181" s="20">
        <v>44950</v>
      </c>
      <c r="N181" t="s">
        <v>6837</v>
      </c>
      <c r="O181" t="s">
        <v>154</v>
      </c>
    </row>
    <row r="182" spans="1:15" x14ac:dyDescent="0.25">
      <c r="A182" t="s">
        <v>1454</v>
      </c>
      <c r="B182" t="s">
        <v>7245</v>
      </c>
      <c r="C182" t="s">
        <v>26</v>
      </c>
      <c r="D182" t="s">
        <v>6996</v>
      </c>
      <c r="E182" t="s">
        <v>6909</v>
      </c>
      <c r="F182" t="s">
        <v>6861</v>
      </c>
      <c r="G182" t="s">
        <v>6862</v>
      </c>
      <c r="H182" t="s">
        <v>6892</v>
      </c>
      <c r="I182" t="s">
        <v>6946</v>
      </c>
      <c r="J182">
        <v>570.17999999999995</v>
      </c>
      <c r="K182">
        <v>741.8</v>
      </c>
      <c r="L182">
        <v>876.45</v>
      </c>
      <c r="M182" s="20">
        <v>45705</v>
      </c>
      <c r="N182" t="s">
        <v>6837</v>
      </c>
      <c r="O182" t="s">
        <v>154</v>
      </c>
    </row>
    <row r="183" spans="1:15" x14ac:dyDescent="0.25">
      <c r="A183" t="s">
        <v>587</v>
      </c>
      <c r="B183" t="s">
        <v>7246</v>
      </c>
      <c r="C183" t="s">
        <v>13</v>
      </c>
      <c r="D183" t="s">
        <v>6918</v>
      </c>
      <c r="E183" t="s">
        <v>6993</v>
      </c>
      <c r="F183" t="s">
        <v>6861</v>
      </c>
      <c r="G183" t="s">
        <v>6942</v>
      </c>
      <c r="H183" t="s">
        <v>6880</v>
      </c>
      <c r="I183" t="s">
        <v>115</v>
      </c>
      <c r="J183">
        <v>2135.85</v>
      </c>
      <c r="K183">
        <v>3158.66</v>
      </c>
      <c r="L183">
        <v>3432.24</v>
      </c>
      <c r="M183" s="20">
        <v>45249</v>
      </c>
      <c r="N183" t="s">
        <v>6837</v>
      </c>
      <c r="O183" t="s">
        <v>154</v>
      </c>
    </row>
    <row r="184" spans="1:15" x14ac:dyDescent="0.25">
      <c r="A184" t="s">
        <v>819</v>
      </c>
      <c r="B184" t="s">
        <v>7247</v>
      </c>
      <c r="C184" t="s">
        <v>17</v>
      </c>
      <c r="D184" t="s">
        <v>7107</v>
      </c>
      <c r="E184" t="s">
        <v>6993</v>
      </c>
      <c r="F184" t="s">
        <v>7134</v>
      </c>
      <c r="G184" t="s">
        <v>6994</v>
      </c>
      <c r="H184" t="s">
        <v>6863</v>
      </c>
      <c r="I184" t="s">
        <v>7248</v>
      </c>
      <c r="J184">
        <v>1243.3599999999999</v>
      </c>
      <c r="K184">
        <v>1772.62</v>
      </c>
      <c r="L184">
        <v>2025.67</v>
      </c>
      <c r="M184" s="20">
        <v>44803</v>
      </c>
      <c r="N184" t="s">
        <v>6837</v>
      </c>
      <c r="O184" t="s">
        <v>154</v>
      </c>
    </row>
    <row r="185" spans="1:15" x14ac:dyDescent="0.25">
      <c r="A185" t="s">
        <v>2064</v>
      </c>
      <c r="B185" t="s">
        <v>7249</v>
      </c>
      <c r="C185" t="s">
        <v>14</v>
      </c>
      <c r="D185" t="s">
        <v>7129</v>
      </c>
      <c r="E185" t="s">
        <v>6975</v>
      </c>
      <c r="F185" t="s">
        <v>6861</v>
      </c>
      <c r="G185" t="s">
        <v>6915</v>
      </c>
      <c r="H185" t="s">
        <v>6892</v>
      </c>
      <c r="I185" t="s">
        <v>7227</v>
      </c>
      <c r="J185">
        <v>1183.4100000000001</v>
      </c>
      <c r="K185">
        <v>1720.93</v>
      </c>
      <c r="L185">
        <v>1989.34</v>
      </c>
      <c r="M185" s="20">
        <v>45408</v>
      </c>
      <c r="N185" t="s">
        <v>6837</v>
      </c>
      <c r="O185" t="s">
        <v>154</v>
      </c>
    </row>
    <row r="186" spans="1:15" x14ac:dyDescent="0.25">
      <c r="A186" t="s">
        <v>2664</v>
      </c>
      <c r="B186" t="s">
        <v>7250</v>
      </c>
      <c r="C186" t="s">
        <v>18</v>
      </c>
      <c r="D186" t="s">
        <v>6908</v>
      </c>
      <c r="E186" t="s">
        <v>6949</v>
      </c>
      <c r="F186" t="s">
        <v>6841</v>
      </c>
      <c r="G186" t="s">
        <v>7117</v>
      </c>
      <c r="H186" t="s">
        <v>6856</v>
      </c>
      <c r="I186" t="s">
        <v>7251</v>
      </c>
      <c r="J186">
        <v>971.87</v>
      </c>
      <c r="K186">
        <v>1466.28</v>
      </c>
      <c r="L186">
        <v>1592.48</v>
      </c>
      <c r="M186" s="20">
        <v>44727</v>
      </c>
      <c r="N186" t="s">
        <v>6837</v>
      </c>
      <c r="O186" t="s">
        <v>154</v>
      </c>
    </row>
    <row r="187" spans="1:15" x14ac:dyDescent="0.25">
      <c r="A187" t="s">
        <v>433</v>
      </c>
      <c r="B187" t="s">
        <v>7252</v>
      </c>
      <c r="C187" t="s">
        <v>20</v>
      </c>
      <c r="D187" t="s">
        <v>7116</v>
      </c>
      <c r="E187" t="s">
        <v>6905</v>
      </c>
      <c r="F187" t="s">
        <v>6841</v>
      </c>
      <c r="G187" t="s">
        <v>6989</v>
      </c>
      <c r="H187" t="s">
        <v>6887</v>
      </c>
      <c r="I187" t="s">
        <v>6888</v>
      </c>
      <c r="J187">
        <v>573.09</v>
      </c>
      <c r="K187">
        <v>847.23</v>
      </c>
      <c r="L187">
        <v>918.16</v>
      </c>
      <c r="M187" s="20">
        <v>44886</v>
      </c>
      <c r="N187" t="s">
        <v>6837</v>
      </c>
      <c r="O187" t="s">
        <v>154</v>
      </c>
    </row>
    <row r="188" spans="1:15" x14ac:dyDescent="0.25">
      <c r="A188" t="s">
        <v>2051</v>
      </c>
      <c r="B188" t="s">
        <v>7253</v>
      </c>
      <c r="C188" t="s">
        <v>18</v>
      </c>
      <c r="D188" t="s">
        <v>7147</v>
      </c>
      <c r="E188" t="s">
        <v>6905</v>
      </c>
      <c r="F188" t="s">
        <v>6841</v>
      </c>
      <c r="G188" t="s">
        <v>7117</v>
      </c>
      <c r="H188" t="s">
        <v>6863</v>
      </c>
      <c r="I188" t="s">
        <v>6939</v>
      </c>
      <c r="J188">
        <v>1958.39</v>
      </c>
      <c r="K188">
        <v>2673.19</v>
      </c>
      <c r="L188">
        <v>2827.02</v>
      </c>
      <c r="M188" s="20">
        <v>44970</v>
      </c>
      <c r="N188" t="s">
        <v>6837</v>
      </c>
      <c r="O188" t="s">
        <v>154</v>
      </c>
    </row>
    <row r="189" spans="1:15" x14ac:dyDescent="0.25">
      <c r="A189" t="s">
        <v>1590</v>
      </c>
      <c r="B189" t="s">
        <v>7254</v>
      </c>
      <c r="C189" t="s">
        <v>29</v>
      </c>
      <c r="D189" t="s">
        <v>6922</v>
      </c>
      <c r="E189" t="s">
        <v>6966</v>
      </c>
      <c r="F189" t="s">
        <v>6848</v>
      </c>
      <c r="G189" t="s">
        <v>6962</v>
      </c>
      <c r="H189" t="s">
        <v>6897</v>
      </c>
      <c r="I189" t="s">
        <v>6934</v>
      </c>
      <c r="J189">
        <v>337.09</v>
      </c>
      <c r="K189">
        <v>491.5</v>
      </c>
      <c r="L189">
        <v>549.91999999999996</v>
      </c>
      <c r="M189" s="20">
        <v>44826</v>
      </c>
      <c r="N189" t="s">
        <v>6837</v>
      </c>
      <c r="O189" t="s">
        <v>154</v>
      </c>
    </row>
    <row r="190" spans="1:15" x14ac:dyDescent="0.25">
      <c r="A190" t="s">
        <v>230</v>
      </c>
      <c r="B190" t="s">
        <v>7255</v>
      </c>
      <c r="C190" t="s">
        <v>14</v>
      </c>
      <c r="D190" t="s">
        <v>6913</v>
      </c>
      <c r="E190" t="s">
        <v>7058</v>
      </c>
      <c r="F190" t="s">
        <v>6861</v>
      </c>
      <c r="G190" t="s">
        <v>6874</v>
      </c>
      <c r="H190" t="s">
        <v>6835</v>
      </c>
      <c r="I190" t="s">
        <v>7204</v>
      </c>
      <c r="J190">
        <v>946.3</v>
      </c>
      <c r="K190">
        <v>1452.13</v>
      </c>
      <c r="L190">
        <v>1657.15</v>
      </c>
      <c r="M190" s="20">
        <v>45627</v>
      </c>
      <c r="N190" t="s">
        <v>6837</v>
      </c>
      <c r="O190" t="s">
        <v>154</v>
      </c>
    </row>
    <row r="191" spans="1:15" x14ac:dyDescent="0.25">
      <c r="A191" t="s">
        <v>1080</v>
      </c>
      <c r="B191" t="s">
        <v>7256</v>
      </c>
      <c r="C191" t="s">
        <v>21</v>
      </c>
      <c r="D191" t="s">
        <v>6839</v>
      </c>
      <c r="E191" t="s">
        <v>6949</v>
      </c>
      <c r="F191" t="s">
        <v>6833</v>
      </c>
      <c r="G191" t="s">
        <v>6886</v>
      </c>
      <c r="H191" t="s">
        <v>6843</v>
      </c>
      <c r="I191" t="s">
        <v>7238</v>
      </c>
      <c r="J191">
        <v>914.35</v>
      </c>
      <c r="K191">
        <v>1391.7</v>
      </c>
      <c r="L191">
        <v>1687.3</v>
      </c>
      <c r="M191" s="20">
        <v>44601</v>
      </c>
      <c r="N191" t="s">
        <v>6837</v>
      </c>
      <c r="O191" t="s">
        <v>154</v>
      </c>
    </row>
    <row r="192" spans="1:15" x14ac:dyDescent="0.25">
      <c r="A192" t="s">
        <v>622</v>
      </c>
      <c r="B192" t="s">
        <v>7257</v>
      </c>
      <c r="C192" t="s">
        <v>12</v>
      </c>
      <c r="D192" t="s">
        <v>6872</v>
      </c>
      <c r="E192" t="s">
        <v>7119</v>
      </c>
      <c r="F192" t="s">
        <v>6854</v>
      </c>
      <c r="G192" t="s">
        <v>6849</v>
      </c>
      <c r="H192" t="s">
        <v>6901</v>
      </c>
      <c r="I192" t="s">
        <v>7081</v>
      </c>
      <c r="J192">
        <v>1853.14</v>
      </c>
      <c r="K192">
        <v>2678.09</v>
      </c>
      <c r="L192">
        <v>2832.01</v>
      </c>
      <c r="M192" s="20">
        <v>45085</v>
      </c>
      <c r="N192" t="s">
        <v>6837</v>
      </c>
      <c r="O192" t="s">
        <v>154</v>
      </c>
    </row>
    <row r="193" spans="1:15" x14ac:dyDescent="0.25">
      <c r="A193" t="s">
        <v>767</v>
      </c>
      <c r="B193" t="s">
        <v>7258</v>
      </c>
      <c r="C193" t="s">
        <v>23</v>
      </c>
      <c r="D193" t="s">
        <v>7021</v>
      </c>
      <c r="E193" t="s">
        <v>6909</v>
      </c>
      <c r="F193" t="s">
        <v>6854</v>
      </c>
      <c r="G193" t="s">
        <v>6868</v>
      </c>
      <c r="H193" t="s">
        <v>6897</v>
      </c>
      <c r="I193" t="s">
        <v>7236</v>
      </c>
      <c r="J193">
        <v>262.06</v>
      </c>
      <c r="K193">
        <v>412.26</v>
      </c>
      <c r="L193">
        <v>469.51</v>
      </c>
      <c r="M193" s="20">
        <v>44815</v>
      </c>
      <c r="N193" t="s">
        <v>6837</v>
      </c>
      <c r="O193" t="s">
        <v>154</v>
      </c>
    </row>
    <row r="194" spans="1:15" x14ac:dyDescent="0.25">
      <c r="A194" t="s">
        <v>569</v>
      </c>
      <c r="B194" t="s">
        <v>7259</v>
      </c>
      <c r="C194" t="s">
        <v>18</v>
      </c>
      <c r="D194" t="s">
        <v>6908</v>
      </c>
      <c r="E194" t="s">
        <v>6840</v>
      </c>
      <c r="F194" t="s">
        <v>6841</v>
      </c>
      <c r="G194" t="s">
        <v>6962</v>
      </c>
      <c r="H194" t="s">
        <v>6869</v>
      </c>
      <c r="I194" t="s">
        <v>7085</v>
      </c>
      <c r="J194">
        <v>1594</v>
      </c>
      <c r="K194">
        <v>2309.3000000000002</v>
      </c>
      <c r="L194">
        <v>2549.46</v>
      </c>
      <c r="M194" s="20">
        <v>44842</v>
      </c>
      <c r="N194" t="s">
        <v>6837</v>
      </c>
      <c r="O194" t="s">
        <v>154</v>
      </c>
    </row>
    <row r="195" spans="1:15" x14ac:dyDescent="0.25">
      <c r="A195" t="s">
        <v>2751</v>
      </c>
      <c r="B195" t="s">
        <v>7260</v>
      </c>
      <c r="C195" t="s">
        <v>30</v>
      </c>
      <c r="D195" t="s">
        <v>7060</v>
      </c>
      <c r="E195" t="s">
        <v>7000</v>
      </c>
      <c r="F195" t="s">
        <v>6861</v>
      </c>
      <c r="G195" t="s">
        <v>6868</v>
      </c>
      <c r="H195" t="s">
        <v>6850</v>
      </c>
      <c r="I195" t="s">
        <v>7055</v>
      </c>
      <c r="J195">
        <v>319.07</v>
      </c>
      <c r="K195">
        <v>417.85</v>
      </c>
      <c r="L195">
        <v>455.44</v>
      </c>
      <c r="M195" s="20">
        <v>45100</v>
      </c>
      <c r="N195" t="s">
        <v>6837</v>
      </c>
      <c r="O195" t="s">
        <v>154</v>
      </c>
    </row>
    <row r="196" spans="1:15" x14ac:dyDescent="0.25">
      <c r="A196" t="s">
        <v>822</v>
      </c>
      <c r="B196" t="s">
        <v>7261</v>
      </c>
      <c r="C196" t="s">
        <v>17</v>
      </c>
      <c r="D196" t="s">
        <v>7141</v>
      </c>
      <c r="E196" t="s">
        <v>7000</v>
      </c>
      <c r="F196" t="s">
        <v>7108</v>
      </c>
      <c r="G196" t="s">
        <v>6879</v>
      </c>
      <c r="H196" t="s">
        <v>6887</v>
      </c>
      <c r="I196" t="s">
        <v>6939</v>
      </c>
      <c r="J196">
        <v>1492.71</v>
      </c>
      <c r="K196">
        <v>1958.9</v>
      </c>
      <c r="L196">
        <v>2422.42</v>
      </c>
      <c r="M196" s="20">
        <v>45239</v>
      </c>
      <c r="N196" t="s">
        <v>6837</v>
      </c>
      <c r="O196" t="s">
        <v>154</v>
      </c>
    </row>
    <row r="197" spans="1:15" x14ac:dyDescent="0.25">
      <c r="A197" t="s">
        <v>193</v>
      </c>
      <c r="B197" t="s">
        <v>7262</v>
      </c>
      <c r="C197" t="s">
        <v>24</v>
      </c>
      <c r="D197" t="s">
        <v>7012</v>
      </c>
      <c r="E197" t="s">
        <v>7076</v>
      </c>
      <c r="F197" t="s">
        <v>6854</v>
      </c>
      <c r="G197" t="s">
        <v>6886</v>
      </c>
      <c r="H197" t="s">
        <v>6901</v>
      </c>
      <c r="I197" t="s">
        <v>7240</v>
      </c>
      <c r="J197">
        <v>1067.72</v>
      </c>
      <c r="K197">
        <v>1358.69</v>
      </c>
      <c r="L197">
        <v>1623.25</v>
      </c>
      <c r="M197" s="20">
        <v>45086</v>
      </c>
      <c r="N197" t="s">
        <v>6837</v>
      </c>
      <c r="O197" t="s">
        <v>154</v>
      </c>
    </row>
    <row r="198" spans="1:15" x14ac:dyDescent="0.25">
      <c r="A198" t="s">
        <v>438</v>
      </c>
      <c r="B198" t="s">
        <v>7263</v>
      </c>
      <c r="C198" t="s">
        <v>19</v>
      </c>
      <c r="D198" t="s">
        <v>6846</v>
      </c>
      <c r="E198" t="s">
        <v>7029</v>
      </c>
      <c r="F198" t="s">
        <v>6833</v>
      </c>
      <c r="G198" t="s">
        <v>6989</v>
      </c>
      <c r="H198" t="s">
        <v>7033</v>
      </c>
      <c r="I198" t="s">
        <v>6958</v>
      </c>
      <c r="J198">
        <v>1124.48</v>
      </c>
      <c r="K198">
        <v>1693.1</v>
      </c>
      <c r="L198">
        <v>1899.73</v>
      </c>
      <c r="M198" s="20">
        <v>45202</v>
      </c>
      <c r="N198" t="s">
        <v>6837</v>
      </c>
      <c r="O198" t="s">
        <v>154</v>
      </c>
    </row>
    <row r="199" spans="1:15" x14ac:dyDescent="0.25">
      <c r="A199" t="s">
        <v>1476</v>
      </c>
      <c r="B199" t="s">
        <v>7264</v>
      </c>
      <c r="C199" t="s">
        <v>27</v>
      </c>
      <c r="D199" t="s">
        <v>7089</v>
      </c>
      <c r="E199" t="s">
        <v>7064</v>
      </c>
      <c r="F199" t="s">
        <v>6848</v>
      </c>
      <c r="G199" t="s">
        <v>6979</v>
      </c>
      <c r="H199" t="s">
        <v>6897</v>
      </c>
      <c r="I199" t="s">
        <v>6888</v>
      </c>
      <c r="J199">
        <v>585.26</v>
      </c>
      <c r="K199">
        <v>794.35</v>
      </c>
      <c r="L199">
        <v>903.61</v>
      </c>
      <c r="M199" s="20">
        <v>45111</v>
      </c>
      <c r="N199" t="s">
        <v>6898</v>
      </c>
      <c r="O199" t="s">
        <v>154</v>
      </c>
    </row>
    <row r="200" spans="1:15" x14ac:dyDescent="0.25">
      <c r="A200" t="s">
        <v>180</v>
      </c>
      <c r="B200" t="s">
        <v>7265</v>
      </c>
      <c r="C200" t="s">
        <v>17</v>
      </c>
      <c r="D200" t="s">
        <v>7049</v>
      </c>
      <c r="E200" t="s">
        <v>7003</v>
      </c>
      <c r="F200" t="s">
        <v>7050</v>
      </c>
      <c r="G200" t="s">
        <v>6868</v>
      </c>
      <c r="H200" t="s">
        <v>6863</v>
      </c>
      <c r="I200" t="s">
        <v>108</v>
      </c>
      <c r="J200">
        <v>2424.62</v>
      </c>
      <c r="K200">
        <v>3228.5</v>
      </c>
      <c r="L200">
        <v>3638.98</v>
      </c>
      <c r="M200" s="20">
        <v>45541</v>
      </c>
      <c r="N200" t="s">
        <v>6837</v>
      </c>
      <c r="O200" t="s">
        <v>154</v>
      </c>
    </row>
    <row r="201" spans="1:15" x14ac:dyDescent="0.25">
      <c r="A201" t="s">
        <v>149</v>
      </c>
      <c r="B201" t="s">
        <v>7266</v>
      </c>
      <c r="C201" t="s">
        <v>20</v>
      </c>
      <c r="D201" t="s">
        <v>7101</v>
      </c>
      <c r="E201" t="s">
        <v>6873</v>
      </c>
      <c r="F201" t="s">
        <v>6833</v>
      </c>
      <c r="G201" t="s">
        <v>6989</v>
      </c>
      <c r="H201" t="s">
        <v>6835</v>
      </c>
      <c r="I201" t="s">
        <v>7022</v>
      </c>
      <c r="J201">
        <v>496.67</v>
      </c>
      <c r="K201">
        <v>756.61</v>
      </c>
      <c r="L201">
        <v>867.48</v>
      </c>
      <c r="M201" s="20">
        <v>45459</v>
      </c>
      <c r="N201" t="s">
        <v>6837</v>
      </c>
      <c r="O201" t="s">
        <v>154</v>
      </c>
    </row>
    <row r="202" spans="1:15" x14ac:dyDescent="0.25">
      <c r="A202" t="s">
        <v>1813</v>
      </c>
      <c r="B202" t="s">
        <v>7267</v>
      </c>
      <c r="C202" t="s">
        <v>17</v>
      </c>
      <c r="D202" t="s">
        <v>7144</v>
      </c>
      <c r="E202" t="s">
        <v>6919</v>
      </c>
      <c r="F202" t="s">
        <v>7050</v>
      </c>
      <c r="G202" t="s">
        <v>6979</v>
      </c>
      <c r="H202" t="s">
        <v>6875</v>
      </c>
      <c r="I202" t="s">
        <v>6939</v>
      </c>
      <c r="J202">
        <v>725.87</v>
      </c>
      <c r="K202">
        <v>996.9</v>
      </c>
      <c r="L202">
        <v>1055.9100000000001</v>
      </c>
      <c r="M202" s="20">
        <v>45097</v>
      </c>
      <c r="N202" t="s">
        <v>6837</v>
      </c>
      <c r="O202" t="s">
        <v>154</v>
      </c>
    </row>
    <row r="203" spans="1:15" x14ac:dyDescent="0.25">
      <c r="A203" t="s">
        <v>1036</v>
      </c>
      <c r="B203" t="s">
        <v>7268</v>
      </c>
      <c r="C203" t="s">
        <v>30</v>
      </c>
      <c r="D203" t="s">
        <v>6985</v>
      </c>
      <c r="E203" t="s">
        <v>6909</v>
      </c>
      <c r="F203" t="s">
        <v>6861</v>
      </c>
      <c r="G203" t="s">
        <v>6924</v>
      </c>
      <c r="H203" t="s">
        <v>6892</v>
      </c>
      <c r="I203" t="s">
        <v>7159</v>
      </c>
      <c r="J203">
        <v>590.02</v>
      </c>
      <c r="K203">
        <v>861.53</v>
      </c>
      <c r="L203">
        <v>921.02</v>
      </c>
      <c r="M203" s="20">
        <v>45071</v>
      </c>
      <c r="N203" t="s">
        <v>6837</v>
      </c>
      <c r="O203" t="s">
        <v>154</v>
      </c>
    </row>
    <row r="204" spans="1:15" x14ac:dyDescent="0.25">
      <c r="A204" t="s">
        <v>510</v>
      </c>
      <c r="B204" t="s">
        <v>7269</v>
      </c>
      <c r="C204" t="s">
        <v>25</v>
      </c>
      <c r="D204" t="s">
        <v>7026</v>
      </c>
      <c r="E204" t="s">
        <v>6867</v>
      </c>
      <c r="F204" t="s">
        <v>6854</v>
      </c>
      <c r="G204" t="s">
        <v>6834</v>
      </c>
      <c r="H204" t="s">
        <v>6887</v>
      </c>
      <c r="I204" t="s">
        <v>6857</v>
      </c>
      <c r="J204">
        <v>914.72</v>
      </c>
      <c r="K204">
        <v>1186.46</v>
      </c>
      <c r="L204">
        <v>1447.21</v>
      </c>
      <c r="M204" s="20">
        <v>45577</v>
      </c>
      <c r="N204" t="s">
        <v>6898</v>
      </c>
      <c r="O204" t="s">
        <v>154</v>
      </c>
    </row>
    <row r="205" spans="1:15" x14ac:dyDescent="0.25">
      <c r="A205" t="s">
        <v>1564</v>
      </c>
      <c r="B205" t="s">
        <v>7270</v>
      </c>
      <c r="C205" t="s">
        <v>13</v>
      </c>
      <c r="D205" t="s">
        <v>6974</v>
      </c>
      <c r="E205" t="s">
        <v>6884</v>
      </c>
      <c r="F205" t="s">
        <v>6861</v>
      </c>
      <c r="G205" t="s">
        <v>6924</v>
      </c>
      <c r="H205" t="s">
        <v>6869</v>
      </c>
      <c r="I205" t="s">
        <v>6902</v>
      </c>
      <c r="J205">
        <v>695.67</v>
      </c>
      <c r="K205">
        <v>916.07</v>
      </c>
      <c r="L205">
        <v>1079.74</v>
      </c>
      <c r="M205" s="20">
        <v>45387</v>
      </c>
      <c r="N205" t="s">
        <v>6837</v>
      </c>
      <c r="O205" t="s">
        <v>154</v>
      </c>
    </row>
    <row r="206" spans="1:15" x14ac:dyDescent="0.25">
      <c r="A206" t="s">
        <v>1920</v>
      </c>
      <c r="B206" t="s">
        <v>7271</v>
      </c>
      <c r="C206" t="s">
        <v>31</v>
      </c>
      <c r="D206" t="s">
        <v>7024</v>
      </c>
      <c r="E206" t="s">
        <v>7076</v>
      </c>
      <c r="F206" t="s">
        <v>6861</v>
      </c>
      <c r="G206" t="s">
        <v>6842</v>
      </c>
      <c r="H206" t="s">
        <v>7033</v>
      </c>
      <c r="I206" t="s">
        <v>7272</v>
      </c>
      <c r="J206">
        <v>535.47</v>
      </c>
      <c r="K206">
        <v>916.6</v>
      </c>
      <c r="L206">
        <v>984.19</v>
      </c>
      <c r="M206" s="20">
        <v>45580</v>
      </c>
      <c r="N206" t="s">
        <v>6837</v>
      </c>
      <c r="O206" t="s">
        <v>154</v>
      </c>
    </row>
    <row r="207" spans="1:15" x14ac:dyDescent="0.25">
      <c r="A207" t="s">
        <v>2641</v>
      </c>
      <c r="B207" t="s">
        <v>7273</v>
      </c>
      <c r="C207" t="s">
        <v>27</v>
      </c>
      <c r="D207" t="s">
        <v>6941</v>
      </c>
      <c r="E207" t="s">
        <v>7095</v>
      </c>
      <c r="F207" t="s">
        <v>6910</v>
      </c>
      <c r="G207" t="s">
        <v>6989</v>
      </c>
      <c r="H207" t="s">
        <v>6892</v>
      </c>
      <c r="I207" t="s">
        <v>7040</v>
      </c>
      <c r="J207">
        <v>500.08</v>
      </c>
      <c r="K207">
        <v>638.74</v>
      </c>
      <c r="L207">
        <v>747.86</v>
      </c>
      <c r="M207" s="20">
        <v>45185</v>
      </c>
      <c r="N207" t="s">
        <v>6898</v>
      </c>
      <c r="O207" t="s">
        <v>154</v>
      </c>
    </row>
    <row r="208" spans="1:15" x14ac:dyDescent="0.25">
      <c r="A208" t="s">
        <v>1616</v>
      </c>
      <c r="B208" t="s">
        <v>7274</v>
      </c>
      <c r="C208" t="s">
        <v>12</v>
      </c>
      <c r="D208" t="s">
        <v>7016</v>
      </c>
      <c r="E208" t="s">
        <v>6949</v>
      </c>
      <c r="F208" t="s">
        <v>6854</v>
      </c>
      <c r="G208" t="s">
        <v>6862</v>
      </c>
      <c r="H208" t="s">
        <v>6835</v>
      </c>
      <c r="I208" t="s">
        <v>107</v>
      </c>
      <c r="J208">
        <v>3023.13</v>
      </c>
      <c r="K208">
        <v>4544.66</v>
      </c>
      <c r="L208">
        <v>5073.63</v>
      </c>
      <c r="M208" s="20">
        <v>45530</v>
      </c>
      <c r="N208" t="s">
        <v>6837</v>
      </c>
      <c r="O208" t="s">
        <v>154</v>
      </c>
    </row>
    <row r="209" spans="1:15" x14ac:dyDescent="0.25">
      <c r="A209" t="s">
        <v>968</v>
      </c>
      <c r="B209" t="s">
        <v>7275</v>
      </c>
      <c r="C209" t="s">
        <v>31</v>
      </c>
      <c r="D209" t="s">
        <v>6927</v>
      </c>
      <c r="E209" t="s">
        <v>7066</v>
      </c>
      <c r="F209" t="s">
        <v>6861</v>
      </c>
      <c r="G209" t="s">
        <v>6971</v>
      </c>
      <c r="H209" t="s">
        <v>6887</v>
      </c>
      <c r="I209" t="s">
        <v>7051</v>
      </c>
      <c r="J209">
        <v>303.61</v>
      </c>
      <c r="K209">
        <v>548.77</v>
      </c>
      <c r="L209">
        <v>682.06</v>
      </c>
      <c r="M209" s="20">
        <v>45159</v>
      </c>
      <c r="N209" t="s">
        <v>6837</v>
      </c>
      <c r="O209" t="s">
        <v>154</v>
      </c>
    </row>
    <row r="210" spans="1:15" x14ac:dyDescent="0.25">
      <c r="A210" t="s">
        <v>3165</v>
      </c>
      <c r="B210" t="s">
        <v>7276</v>
      </c>
      <c r="C210" t="s">
        <v>27</v>
      </c>
      <c r="D210" t="s">
        <v>7089</v>
      </c>
      <c r="E210" t="s">
        <v>7058</v>
      </c>
      <c r="F210" t="s">
        <v>6848</v>
      </c>
      <c r="G210" t="s">
        <v>6886</v>
      </c>
      <c r="H210" t="s">
        <v>6901</v>
      </c>
      <c r="I210" t="s">
        <v>6990</v>
      </c>
      <c r="J210">
        <v>871.26</v>
      </c>
      <c r="K210">
        <v>1196.03</v>
      </c>
      <c r="L210">
        <v>1316.66</v>
      </c>
      <c r="M210" s="20">
        <v>44963</v>
      </c>
      <c r="N210" t="s">
        <v>6837</v>
      </c>
      <c r="O210" t="s">
        <v>154</v>
      </c>
    </row>
    <row r="211" spans="1:15" x14ac:dyDescent="0.25">
      <c r="A211" t="s">
        <v>931</v>
      </c>
      <c r="B211" t="s">
        <v>7277</v>
      </c>
      <c r="C211" t="s">
        <v>12</v>
      </c>
      <c r="D211" t="s">
        <v>7016</v>
      </c>
      <c r="E211" t="s">
        <v>6933</v>
      </c>
      <c r="F211" t="s">
        <v>6841</v>
      </c>
      <c r="G211" t="s">
        <v>6924</v>
      </c>
      <c r="H211" t="s">
        <v>7033</v>
      </c>
      <c r="I211" t="s">
        <v>6893</v>
      </c>
      <c r="J211">
        <v>1020.9</v>
      </c>
      <c r="K211">
        <v>1470.07</v>
      </c>
      <c r="L211">
        <v>1741.19</v>
      </c>
      <c r="M211" s="20">
        <v>44814</v>
      </c>
      <c r="N211" t="s">
        <v>6837</v>
      </c>
      <c r="O211" t="s">
        <v>154</v>
      </c>
    </row>
    <row r="212" spans="1:15" x14ac:dyDescent="0.25">
      <c r="A212" t="s">
        <v>1687</v>
      </c>
      <c r="B212" t="s">
        <v>7278</v>
      </c>
      <c r="C212" t="s">
        <v>31</v>
      </c>
      <c r="D212" t="s">
        <v>6936</v>
      </c>
      <c r="E212" t="s">
        <v>32</v>
      </c>
      <c r="F212" t="s">
        <v>6861</v>
      </c>
      <c r="G212" t="s">
        <v>6962</v>
      </c>
      <c r="H212" t="s">
        <v>6892</v>
      </c>
      <c r="I212" t="s">
        <v>7279</v>
      </c>
      <c r="J212">
        <v>481.3</v>
      </c>
      <c r="K212">
        <v>836.65</v>
      </c>
      <c r="L212">
        <v>950.9</v>
      </c>
      <c r="M212" s="20">
        <v>45551</v>
      </c>
      <c r="N212" t="s">
        <v>6898</v>
      </c>
      <c r="O212" t="s">
        <v>154</v>
      </c>
    </row>
    <row r="213" spans="1:15" x14ac:dyDescent="0.25">
      <c r="A213" t="s">
        <v>1219</v>
      </c>
      <c r="B213" t="s">
        <v>7280</v>
      </c>
      <c r="C213" t="s">
        <v>14</v>
      </c>
      <c r="D213" t="s">
        <v>6859</v>
      </c>
      <c r="E213" t="s">
        <v>6961</v>
      </c>
      <c r="F213" t="s">
        <v>6861</v>
      </c>
      <c r="G213" t="s">
        <v>6979</v>
      </c>
      <c r="H213" t="s">
        <v>7033</v>
      </c>
      <c r="I213" t="s">
        <v>7030</v>
      </c>
      <c r="J213">
        <v>2039.7</v>
      </c>
      <c r="K213">
        <v>2917.11</v>
      </c>
      <c r="L213">
        <v>3577.95</v>
      </c>
      <c r="M213" s="20">
        <v>45594</v>
      </c>
      <c r="N213" t="s">
        <v>6898</v>
      </c>
      <c r="O213" t="s">
        <v>154</v>
      </c>
    </row>
    <row r="214" spans="1:15" x14ac:dyDescent="0.25">
      <c r="A214" t="s">
        <v>629</v>
      </c>
      <c r="B214" t="s">
        <v>7281</v>
      </c>
      <c r="C214" t="s">
        <v>15</v>
      </c>
      <c r="D214" t="s">
        <v>7098</v>
      </c>
      <c r="E214" t="s">
        <v>6928</v>
      </c>
      <c r="F214" t="s">
        <v>6861</v>
      </c>
      <c r="G214" t="s">
        <v>6855</v>
      </c>
      <c r="H214" t="s">
        <v>6843</v>
      </c>
      <c r="I214" t="s">
        <v>110</v>
      </c>
      <c r="J214">
        <v>4867.21</v>
      </c>
      <c r="K214">
        <v>6745.24</v>
      </c>
      <c r="L214">
        <v>7262.43</v>
      </c>
      <c r="M214" s="20">
        <v>45407</v>
      </c>
      <c r="N214" t="s">
        <v>6837</v>
      </c>
      <c r="O214" t="s">
        <v>154</v>
      </c>
    </row>
    <row r="215" spans="1:15" x14ac:dyDescent="0.25">
      <c r="A215" t="s">
        <v>573</v>
      </c>
      <c r="B215" t="s">
        <v>7282</v>
      </c>
      <c r="C215" t="s">
        <v>19</v>
      </c>
      <c r="D215" t="s">
        <v>6846</v>
      </c>
      <c r="E215" t="s">
        <v>7084</v>
      </c>
      <c r="F215" t="s">
        <v>6833</v>
      </c>
      <c r="G215" t="s">
        <v>6896</v>
      </c>
      <c r="H215" t="s">
        <v>6897</v>
      </c>
      <c r="I215" t="s">
        <v>7238</v>
      </c>
      <c r="J215">
        <v>720.53</v>
      </c>
      <c r="K215">
        <v>1035.58</v>
      </c>
      <c r="L215">
        <v>1147.54</v>
      </c>
      <c r="M215" s="20">
        <v>45269</v>
      </c>
      <c r="N215" t="s">
        <v>6898</v>
      </c>
      <c r="O215" t="s">
        <v>154</v>
      </c>
    </row>
    <row r="216" spans="1:15" x14ac:dyDescent="0.25">
      <c r="A216" t="s">
        <v>2696</v>
      </c>
      <c r="B216" t="s">
        <v>7283</v>
      </c>
      <c r="C216" t="s">
        <v>20</v>
      </c>
      <c r="D216" t="s">
        <v>7116</v>
      </c>
      <c r="E216" t="s">
        <v>7084</v>
      </c>
      <c r="F216" t="s">
        <v>6885</v>
      </c>
      <c r="G216" t="s">
        <v>6868</v>
      </c>
      <c r="H216" t="s">
        <v>6850</v>
      </c>
      <c r="I216" t="s">
        <v>109</v>
      </c>
      <c r="J216">
        <v>703.03</v>
      </c>
      <c r="K216">
        <v>1001.71</v>
      </c>
      <c r="L216">
        <v>1240.6500000000001</v>
      </c>
      <c r="M216" s="20">
        <v>45416</v>
      </c>
      <c r="N216" t="s">
        <v>6837</v>
      </c>
      <c r="O216" t="s">
        <v>154</v>
      </c>
    </row>
    <row r="217" spans="1:15" x14ac:dyDescent="0.25">
      <c r="A217" t="s">
        <v>1197</v>
      </c>
      <c r="B217" t="s">
        <v>7284</v>
      </c>
      <c r="C217" t="s">
        <v>19</v>
      </c>
      <c r="D217" t="s">
        <v>7219</v>
      </c>
      <c r="E217" t="s">
        <v>7064</v>
      </c>
      <c r="F217" t="s">
        <v>6854</v>
      </c>
      <c r="G217" t="s">
        <v>6849</v>
      </c>
      <c r="H217" t="s">
        <v>7033</v>
      </c>
      <c r="I217" t="s">
        <v>6930</v>
      </c>
      <c r="J217">
        <v>828.52</v>
      </c>
      <c r="K217">
        <v>1048.8399999999999</v>
      </c>
      <c r="L217">
        <v>1113.1600000000001</v>
      </c>
      <c r="M217" s="20">
        <v>45108</v>
      </c>
      <c r="N217" t="s">
        <v>6837</v>
      </c>
      <c r="O217" t="s">
        <v>154</v>
      </c>
    </row>
    <row r="218" spans="1:15" x14ac:dyDescent="0.25">
      <c r="A218" t="s">
        <v>1972</v>
      </c>
      <c r="B218" t="s">
        <v>7285</v>
      </c>
      <c r="C218" t="s">
        <v>19</v>
      </c>
      <c r="D218" t="s">
        <v>6846</v>
      </c>
      <c r="E218" t="s">
        <v>6953</v>
      </c>
      <c r="F218" t="s">
        <v>6885</v>
      </c>
      <c r="G218" t="s">
        <v>6989</v>
      </c>
      <c r="H218" t="s">
        <v>6880</v>
      </c>
      <c r="I218" t="s">
        <v>7018</v>
      </c>
      <c r="J218">
        <v>722.4</v>
      </c>
      <c r="K218">
        <v>1020.28</v>
      </c>
      <c r="L218">
        <v>1144.49</v>
      </c>
      <c r="M218" s="20">
        <v>45488</v>
      </c>
      <c r="N218" t="s">
        <v>6837</v>
      </c>
      <c r="O218" t="s">
        <v>154</v>
      </c>
    </row>
    <row r="219" spans="1:15" x14ac:dyDescent="0.25">
      <c r="A219" t="s">
        <v>381</v>
      </c>
      <c r="B219" t="s">
        <v>7286</v>
      </c>
      <c r="C219" t="s">
        <v>26</v>
      </c>
      <c r="D219" t="s">
        <v>7044</v>
      </c>
      <c r="E219" t="s">
        <v>6993</v>
      </c>
      <c r="F219" t="s">
        <v>6861</v>
      </c>
      <c r="G219" t="s">
        <v>6896</v>
      </c>
      <c r="H219" t="s">
        <v>6863</v>
      </c>
      <c r="I219" t="s">
        <v>7177</v>
      </c>
      <c r="J219">
        <v>513.84</v>
      </c>
      <c r="K219">
        <v>763.2</v>
      </c>
      <c r="L219">
        <v>923.29</v>
      </c>
      <c r="M219" s="20">
        <v>45151</v>
      </c>
      <c r="N219" t="s">
        <v>6837</v>
      </c>
      <c r="O219" t="s">
        <v>154</v>
      </c>
    </row>
    <row r="220" spans="1:15" x14ac:dyDescent="0.25">
      <c r="A220" t="s">
        <v>1133</v>
      </c>
      <c r="B220" t="s">
        <v>7287</v>
      </c>
      <c r="C220" t="s">
        <v>25</v>
      </c>
      <c r="D220" t="s">
        <v>6977</v>
      </c>
      <c r="E220" t="s">
        <v>7095</v>
      </c>
      <c r="F220" t="s">
        <v>6854</v>
      </c>
      <c r="G220" t="s">
        <v>6924</v>
      </c>
      <c r="H220" t="s">
        <v>6892</v>
      </c>
      <c r="I220" t="s">
        <v>7248</v>
      </c>
      <c r="J220">
        <v>410.37</v>
      </c>
      <c r="K220">
        <v>543.91</v>
      </c>
      <c r="L220">
        <v>638.61</v>
      </c>
      <c r="M220" s="20">
        <v>45469</v>
      </c>
      <c r="N220" t="s">
        <v>6837</v>
      </c>
      <c r="O220" t="s">
        <v>154</v>
      </c>
    </row>
    <row r="221" spans="1:15" x14ac:dyDescent="0.25">
      <c r="A221" t="s">
        <v>549</v>
      </c>
      <c r="B221" t="s">
        <v>7288</v>
      </c>
      <c r="C221" t="s">
        <v>17</v>
      </c>
      <c r="D221" t="s">
        <v>7107</v>
      </c>
      <c r="E221" t="s">
        <v>7289</v>
      </c>
      <c r="F221" t="s">
        <v>7050</v>
      </c>
      <c r="G221" t="s">
        <v>6915</v>
      </c>
      <c r="H221" t="s">
        <v>6869</v>
      </c>
      <c r="I221" t="s">
        <v>6881</v>
      </c>
      <c r="J221">
        <v>854.85</v>
      </c>
      <c r="K221">
        <v>1243.6300000000001</v>
      </c>
      <c r="L221">
        <v>1352.32</v>
      </c>
      <c r="M221" s="20">
        <v>44917</v>
      </c>
      <c r="N221" t="s">
        <v>6837</v>
      </c>
      <c r="O221" t="s">
        <v>154</v>
      </c>
    </row>
    <row r="222" spans="1:15" x14ac:dyDescent="0.25">
      <c r="A222" t="s">
        <v>2353</v>
      </c>
      <c r="B222" t="s">
        <v>7290</v>
      </c>
      <c r="C222" t="s">
        <v>25</v>
      </c>
      <c r="D222" t="s">
        <v>7002</v>
      </c>
      <c r="E222" t="s">
        <v>6832</v>
      </c>
      <c r="F222" t="s">
        <v>6885</v>
      </c>
      <c r="G222" t="s">
        <v>6942</v>
      </c>
      <c r="H222" t="s">
        <v>6892</v>
      </c>
      <c r="I222" t="s">
        <v>7227</v>
      </c>
      <c r="J222">
        <v>504.05</v>
      </c>
      <c r="K222">
        <v>718.37</v>
      </c>
      <c r="L222">
        <v>790.93</v>
      </c>
      <c r="M222" s="20">
        <v>45238</v>
      </c>
      <c r="N222" t="s">
        <v>6837</v>
      </c>
      <c r="O222" t="s">
        <v>154</v>
      </c>
    </row>
    <row r="223" spans="1:15" x14ac:dyDescent="0.25">
      <c r="A223" t="s">
        <v>2759</v>
      </c>
      <c r="B223" t="s">
        <v>7291</v>
      </c>
      <c r="C223" t="s">
        <v>23</v>
      </c>
      <c r="D223" t="s">
        <v>7182</v>
      </c>
      <c r="E223" t="s">
        <v>6923</v>
      </c>
      <c r="F223" t="s">
        <v>6848</v>
      </c>
      <c r="G223" t="s">
        <v>6834</v>
      </c>
      <c r="H223" t="s">
        <v>6887</v>
      </c>
      <c r="I223" t="s">
        <v>114</v>
      </c>
      <c r="J223">
        <v>403.9</v>
      </c>
      <c r="K223">
        <v>679.51</v>
      </c>
      <c r="L223">
        <v>780.15</v>
      </c>
      <c r="M223" s="20">
        <v>45688</v>
      </c>
      <c r="N223" t="s">
        <v>6837</v>
      </c>
      <c r="O223" t="s">
        <v>154</v>
      </c>
    </row>
    <row r="224" spans="1:15" x14ac:dyDescent="0.25">
      <c r="A224" t="s">
        <v>1903</v>
      </c>
      <c r="B224" t="s">
        <v>7292</v>
      </c>
      <c r="C224" t="s">
        <v>30</v>
      </c>
      <c r="D224" t="s">
        <v>6985</v>
      </c>
      <c r="E224" t="s">
        <v>7003</v>
      </c>
      <c r="F224" t="s">
        <v>6861</v>
      </c>
      <c r="G224" t="s">
        <v>6849</v>
      </c>
      <c r="H224" t="s">
        <v>7033</v>
      </c>
      <c r="I224" t="s">
        <v>115</v>
      </c>
      <c r="J224">
        <v>761.07</v>
      </c>
      <c r="K224">
        <v>987.73</v>
      </c>
      <c r="L224">
        <v>1144.4000000000001</v>
      </c>
      <c r="M224" s="20">
        <v>45388</v>
      </c>
      <c r="N224" t="s">
        <v>6837</v>
      </c>
      <c r="O224" t="s">
        <v>154</v>
      </c>
    </row>
    <row r="225" spans="1:15" x14ac:dyDescent="0.25">
      <c r="A225" t="s">
        <v>169</v>
      </c>
      <c r="B225" t="s">
        <v>7293</v>
      </c>
      <c r="C225" t="s">
        <v>12</v>
      </c>
      <c r="D225" t="s">
        <v>7132</v>
      </c>
      <c r="E225" t="s">
        <v>6949</v>
      </c>
      <c r="F225" t="s">
        <v>6833</v>
      </c>
      <c r="G225" t="s">
        <v>6862</v>
      </c>
      <c r="H225" t="s">
        <v>6869</v>
      </c>
      <c r="I225" t="s">
        <v>108</v>
      </c>
      <c r="J225">
        <v>3370.8</v>
      </c>
      <c r="K225">
        <v>4838.7299999999996</v>
      </c>
      <c r="L225">
        <v>5540.21</v>
      </c>
      <c r="M225" s="20">
        <v>45711</v>
      </c>
      <c r="N225" t="s">
        <v>6837</v>
      </c>
      <c r="O225" t="s">
        <v>154</v>
      </c>
    </row>
    <row r="226" spans="1:15" x14ac:dyDescent="0.25">
      <c r="A226" t="s">
        <v>937</v>
      </c>
      <c r="B226" t="s">
        <v>7294</v>
      </c>
      <c r="C226" t="s">
        <v>28</v>
      </c>
      <c r="D226" t="s">
        <v>7175</v>
      </c>
      <c r="E226" t="s">
        <v>6909</v>
      </c>
      <c r="F226" t="s">
        <v>6833</v>
      </c>
      <c r="G226" t="s">
        <v>6862</v>
      </c>
      <c r="H226" t="s">
        <v>6875</v>
      </c>
      <c r="I226" t="s">
        <v>7079</v>
      </c>
      <c r="J226">
        <v>861.8</v>
      </c>
      <c r="K226">
        <v>1235.92</v>
      </c>
      <c r="L226">
        <v>1451.25</v>
      </c>
      <c r="M226" s="20">
        <v>44643</v>
      </c>
      <c r="N226" t="s">
        <v>6837</v>
      </c>
      <c r="O226" t="s">
        <v>154</v>
      </c>
    </row>
    <row r="227" spans="1:15" x14ac:dyDescent="0.25">
      <c r="A227" t="s">
        <v>685</v>
      </c>
      <c r="B227" t="s">
        <v>7295</v>
      </c>
      <c r="C227" t="s">
        <v>25</v>
      </c>
      <c r="D227" t="s">
        <v>7002</v>
      </c>
      <c r="E227" t="s">
        <v>6945</v>
      </c>
      <c r="F227" t="s">
        <v>6848</v>
      </c>
      <c r="G227" t="s">
        <v>6942</v>
      </c>
      <c r="H227" t="s">
        <v>6892</v>
      </c>
      <c r="I227" t="s">
        <v>110</v>
      </c>
      <c r="J227">
        <v>626.26</v>
      </c>
      <c r="K227">
        <v>954.04</v>
      </c>
      <c r="L227">
        <v>1158.6099999999999</v>
      </c>
      <c r="M227" s="20">
        <v>45329</v>
      </c>
      <c r="N227" t="s">
        <v>6837</v>
      </c>
      <c r="O227" t="s">
        <v>154</v>
      </c>
    </row>
    <row r="228" spans="1:15" x14ac:dyDescent="0.25">
      <c r="A228" t="s">
        <v>267</v>
      </c>
      <c r="B228" t="s">
        <v>7296</v>
      </c>
      <c r="C228" t="s">
        <v>31</v>
      </c>
      <c r="D228" t="s">
        <v>7024</v>
      </c>
      <c r="E228" t="s">
        <v>7054</v>
      </c>
      <c r="F228" t="s">
        <v>6861</v>
      </c>
      <c r="G228" t="s">
        <v>6994</v>
      </c>
      <c r="H228" t="s">
        <v>6954</v>
      </c>
      <c r="I228" t="s">
        <v>109</v>
      </c>
      <c r="J228">
        <v>443.19</v>
      </c>
      <c r="K228">
        <v>744.59</v>
      </c>
      <c r="L228">
        <v>794.08</v>
      </c>
      <c r="M228" s="20">
        <v>44758</v>
      </c>
      <c r="N228" t="s">
        <v>6837</v>
      </c>
      <c r="O228" t="s">
        <v>154</v>
      </c>
    </row>
    <row r="229" spans="1:15" x14ac:dyDescent="0.25">
      <c r="A229" t="s">
        <v>520</v>
      </c>
      <c r="B229" t="s">
        <v>7297</v>
      </c>
      <c r="C229" t="s">
        <v>26</v>
      </c>
      <c r="D229" t="s">
        <v>7298</v>
      </c>
      <c r="E229" t="s">
        <v>6905</v>
      </c>
      <c r="F229" t="s">
        <v>6861</v>
      </c>
      <c r="G229" t="s">
        <v>6874</v>
      </c>
      <c r="H229" t="s">
        <v>6929</v>
      </c>
      <c r="I229" t="s">
        <v>6920</v>
      </c>
      <c r="J229">
        <v>903.3</v>
      </c>
      <c r="K229">
        <v>1338.76</v>
      </c>
      <c r="L229">
        <v>1637.29</v>
      </c>
      <c r="M229" s="20">
        <v>45430</v>
      </c>
      <c r="N229" t="s">
        <v>6837</v>
      </c>
      <c r="O229" t="s">
        <v>154</v>
      </c>
    </row>
    <row r="230" spans="1:15" x14ac:dyDescent="0.25">
      <c r="A230" t="s">
        <v>1539</v>
      </c>
      <c r="B230" t="s">
        <v>7299</v>
      </c>
      <c r="C230" t="s">
        <v>26</v>
      </c>
      <c r="D230" t="s">
        <v>6996</v>
      </c>
      <c r="E230" t="s">
        <v>6914</v>
      </c>
      <c r="F230" t="s">
        <v>6861</v>
      </c>
      <c r="G230" t="s">
        <v>6874</v>
      </c>
      <c r="H230" t="s">
        <v>6880</v>
      </c>
      <c r="I230" t="s">
        <v>7177</v>
      </c>
      <c r="J230">
        <v>917.44</v>
      </c>
      <c r="K230">
        <v>1153.3399999999999</v>
      </c>
      <c r="L230">
        <v>1376.37</v>
      </c>
      <c r="M230" s="20">
        <v>44639</v>
      </c>
      <c r="N230" t="s">
        <v>6837</v>
      </c>
      <c r="O230" t="s">
        <v>154</v>
      </c>
    </row>
    <row r="231" spans="1:15" x14ac:dyDescent="0.25">
      <c r="A231" t="s">
        <v>2699</v>
      </c>
      <c r="B231" t="s">
        <v>7300</v>
      </c>
      <c r="C231" t="s">
        <v>20</v>
      </c>
      <c r="D231" t="s">
        <v>7116</v>
      </c>
      <c r="E231" t="s">
        <v>6867</v>
      </c>
      <c r="F231" t="s">
        <v>6833</v>
      </c>
      <c r="G231" t="s">
        <v>6874</v>
      </c>
      <c r="H231" t="s">
        <v>6856</v>
      </c>
      <c r="I231" t="s">
        <v>7272</v>
      </c>
      <c r="J231">
        <v>859.94</v>
      </c>
      <c r="K231">
        <v>1180.0899999999999</v>
      </c>
      <c r="L231">
        <v>1345.57</v>
      </c>
      <c r="M231" s="20">
        <v>45390</v>
      </c>
      <c r="N231" t="s">
        <v>6837</v>
      </c>
      <c r="O231" t="s">
        <v>154</v>
      </c>
    </row>
    <row r="232" spans="1:15" x14ac:dyDescent="0.25">
      <c r="A232" t="s">
        <v>1140</v>
      </c>
      <c r="B232" t="s">
        <v>7301</v>
      </c>
      <c r="C232" t="s">
        <v>25</v>
      </c>
      <c r="D232" t="s">
        <v>7002</v>
      </c>
      <c r="E232" t="s">
        <v>6982</v>
      </c>
      <c r="F232" t="s">
        <v>6848</v>
      </c>
      <c r="G232" t="s">
        <v>6962</v>
      </c>
      <c r="H232" t="s">
        <v>6897</v>
      </c>
      <c r="I232" t="s">
        <v>6934</v>
      </c>
      <c r="J232">
        <v>894.68</v>
      </c>
      <c r="K232">
        <v>1321.25</v>
      </c>
      <c r="L232">
        <v>1542.06</v>
      </c>
      <c r="M232" s="20">
        <v>44710</v>
      </c>
      <c r="N232" t="s">
        <v>6837</v>
      </c>
      <c r="O232" t="s">
        <v>154</v>
      </c>
    </row>
    <row r="233" spans="1:15" x14ac:dyDescent="0.25">
      <c r="A233" t="s">
        <v>2169</v>
      </c>
      <c r="B233" t="s">
        <v>7302</v>
      </c>
      <c r="C233" t="s">
        <v>27</v>
      </c>
      <c r="D233" t="s">
        <v>7008</v>
      </c>
      <c r="E233" t="s">
        <v>6919</v>
      </c>
      <c r="F233" t="s">
        <v>6854</v>
      </c>
      <c r="G233" t="s">
        <v>6994</v>
      </c>
      <c r="H233" t="s">
        <v>6856</v>
      </c>
      <c r="I233" t="s">
        <v>109</v>
      </c>
      <c r="J233">
        <v>640.76</v>
      </c>
      <c r="K233">
        <v>979.09</v>
      </c>
      <c r="L233">
        <v>1102.73</v>
      </c>
      <c r="M233" s="20">
        <v>44625</v>
      </c>
      <c r="N233" t="s">
        <v>6837</v>
      </c>
      <c r="O233" t="s">
        <v>154</v>
      </c>
    </row>
    <row r="234" spans="1:15" x14ac:dyDescent="0.25">
      <c r="A234" t="s">
        <v>246</v>
      </c>
      <c r="B234" t="s">
        <v>7303</v>
      </c>
      <c r="C234" t="s">
        <v>16</v>
      </c>
      <c r="D234" t="s">
        <v>7028</v>
      </c>
      <c r="E234" t="s">
        <v>6993</v>
      </c>
      <c r="F234" t="s">
        <v>6910</v>
      </c>
      <c r="G234" t="s">
        <v>6855</v>
      </c>
      <c r="H234" t="s">
        <v>6850</v>
      </c>
      <c r="I234" t="s">
        <v>6939</v>
      </c>
      <c r="J234">
        <v>865.48</v>
      </c>
      <c r="K234">
        <v>1246.48</v>
      </c>
      <c r="L234">
        <v>1383.11</v>
      </c>
      <c r="M234" s="20">
        <v>45326</v>
      </c>
      <c r="N234" t="s">
        <v>6991</v>
      </c>
      <c r="O234" t="s">
        <v>154</v>
      </c>
    </row>
    <row r="235" spans="1:15" x14ac:dyDescent="0.25">
      <c r="A235" t="s">
        <v>1186</v>
      </c>
      <c r="B235" t="s">
        <v>7304</v>
      </c>
      <c r="C235" t="s">
        <v>26</v>
      </c>
      <c r="D235" t="s">
        <v>7044</v>
      </c>
      <c r="E235" t="s">
        <v>7224</v>
      </c>
      <c r="F235" t="s">
        <v>6861</v>
      </c>
      <c r="G235" t="s">
        <v>6989</v>
      </c>
      <c r="H235" t="s">
        <v>6887</v>
      </c>
      <c r="I235" t="s">
        <v>7077</v>
      </c>
      <c r="J235">
        <v>815.45</v>
      </c>
      <c r="K235">
        <v>1115.72</v>
      </c>
      <c r="L235">
        <v>1293.68</v>
      </c>
      <c r="M235" s="20">
        <v>44736</v>
      </c>
      <c r="N235" t="s">
        <v>6837</v>
      </c>
      <c r="O235" t="s">
        <v>154</v>
      </c>
    </row>
    <row r="236" spans="1:15" x14ac:dyDescent="0.25">
      <c r="A236" t="s">
        <v>670</v>
      </c>
      <c r="B236" t="s">
        <v>7305</v>
      </c>
      <c r="C236" t="s">
        <v>12</v>
      </c>
      <c r="D236" t="s">
        <v>7016</v>
      </c>
      <c r="E236" t="s">
        <v>6914</v>
      </c>
      <c r="F236" t="s">
        <v>6833</v>
      </c>
      <c r="G236" t="s">
        <v>6849</v>
      </c>
      <c r="H236" t="s">
        <v>6901</v>
      </c>
      <c r="I236" t="s">
        <v>116</v>
      </c>
      <c r="J236">
        <v>1378.38</v>
      </c>
      <c r="K236">
        <v>1978.07</v>
      </c>
      <c r="L236">
        <v>2176.96</v>
      </c>
      <c r="M236" s="20">
        <v>44796</v>
      </c>
      <c r="N236" t="s">
        <v>6837</v>
      </c>
      <c r="O236" t="s">
        <v>154</v>
      </c>
    </row>
    <row r="237" spans="1:15" x14ac:dyDescent="0.25">
      <c r="A237" t="s">
        <v>633</v>
      </c>
      <c r="B237" t="s">
        <v>7306</v>
      </c>
      <c r="C237" t="s">
        <v>23</v>
      </c>
      <c r="D237" t="s">
        <v>7211</v>
      </c>
      <c r="E237" t="s">
        <v>6914</v>
      </c>
      <c r="F237" t="s">
        <v>6885</v>
      </c>
      <c r="G237" t="s">
        <v>6896</v>
      </c>
      <c r="H237" t="s">
        <v>7033</v>
      </c>
      <c r="I237" t="s">
        <v>6968</v>
      </c>
      <c r="J237">
        <v>417.92</v>
      </c>
      <c r="K237">
        <v>668.73</v>
      </c>
      <c r="L237">
        <v>728.57</v>
      </c>
      <c r="M237" s="20">
        <v>45559</v>
      </c>
      <c r="N237" t="s">
        <v>6991</v>
      </c>
      <c r="O237" t="s">
        <v>154</v>
      </c>
    </row>
    <row r="238" spans="1:15" x14ac:dyDescent="0.25">
      <c r="A238" t="s">
        <v>1052</v>
      </c>
      <c r="B238" t="s">
        <v>7307</v>
      </c>
      <c r="C238" t="s">
        <v>18</v>
      </c>
      <c r="D238" t="s">
        <v>6908</v>
      </c>
      <c r="E238" t="s">
        <v>7066</v>
      </c>
      <c r="F238" t="s">
        <v>6854</v>
      </c>
      <c r="G238" t="s">
        <v>6994</v>
      </c>
      <c r="H238" t="s">
        <v>6856</v>
      </c>
      <c r="I238" t="s">
        <v>7227</v>
      </c>
      <c r="J238">
        <v>1880.14</v>
      </c>
      <c r="K238">
        <v>2529.42</v>
      </c>
      <c r="L238">
        <v>2883.87</v>
      </c>
      <c r="M238" s="20">
        <v>45188</v>
      </c>
      <c r="N238" t="s">
        <v>6837</v>
      </c>
      <c r="O238" t="s">
        <v>154</v>
      </c>
    </row>
    <row r="239" spans="1:15" x14ac:dyDescent="0.25">
      <c r="A239" t="s">
        <v>763</v>
      </c>
      <c r="B239" t="s">
        <v>7308</v>
      </c>
      <c r="C239" t="s">
        <v>14</v>
      </c>
      <c r="D239" t="s">
        <v>6913</v>
      </c>
      <c r="E239" t="s">
        <v>6923</v>
      </c>
      <c r="F239" t="s">
        <v>6861</v>
      </c>
      <c r="G239" t="s">
        <v>7117</v>
      </c>
      <c r="H239" t="s">
        <v>6901</v>
      </c>
      <c r="I239" t="s">
        <v>107</v>
      </c>
      <c r="J239">
        <v>815.46</v>
      </c>
      <c r="K239">
        <v>1079.55</v>
      </c>
      <c r="L239">
        <v>1181.3599999999999</v>
      </c>
      <c r="M239" s="20">
        <v>45455</v>
      </c>
      <c r="N239" t="s">
        <v>6837</v>
      </c>
      <c r="O239" t="s">
        <v>154</v>
      </c>
    </row>
    <row r="240" spans="1:15" x14ac:dyDescent="0.25">
      <c r="A240" t="s">
        <v>1321</v>
      </c>
      <c r="B240" t="s">
        <v>7309</v>
      </c>
      <c r="C240" t="s">
        <v>18</v>
      </c>
      <c r="D240" t="s">
        <v>7310</v>
      </c>
      <c r="E240" t="s">
        <v>6975</v>
      </c>
      <c r="F240" t="s">
        <v>6885</v>
      </c>
      <c r="G240" t="s">
        <v>6842</v>
      </c>
      <c r="H240" t="s">
        <v>6875</v>
      </c>
      <c r="I240" t="s">
        <v>7102</v>
      </c>
      <c r="J240">
        <v>1729.72</v>
      </c>
      <c r="K240">
        <v>2414.85</v>
      </c>
      <c r="L240">
        <v>2588.16</v>
      </c>
      <c r="M240" s="20">
        <v>44729</v>
      </c>
      <c r="N240" t="s">
        <v>6837</v>
      </c>
      <c r="O240" t="s">
        <v>154</v>
      </c>
    </row>
    <row r="241" spans="1:15" x14ac:dyDescent="0.25">
      <c r="A241" t="s">
        <v>2959</v>
      </c>
      <c r="B241" t="s">
        <v>7311</v>
      </c>
      <c r="C241" t="s">
        <v>26</v>
      </c>
      <c r="D241" t="s">
        <v>7044</v>
      </c>
      <c r="E241" t="s">
        <v>7005</v>
      </c>
      <c r="F241" t="s">
        <v>6861</v>
      </c>
      <c r="G241" t="s">
        <v>6874</v>
      </c>
      <c r="H241" t="s">
        <v>6880</v>
      </c>
      <c r="I241" t="s">
        <v>6906</v>
      </c>
      <c r="J241">
        <v>367.86</v>
      </c>
      <c r="K241">
        <v>461.88</v>
      </c>
      <c r="L241">
        <v>531.83000000000004</v>
      </c>
      <c r="M241" s="20">
        <v>44625</v>
      </c>
      <c r="N241" t="s">
        <v>6837</v>
      </c>
      <c r="O241" t="s">
        <v>154</v>
      </c>
    </row>
    <row r="242" spans="1:15" x14ac:dyDescent="0.25">
      <c r="A242" t="s">
        <v>769</v>
      </c>
      <c r="B242" t="s">
        <v>7312</v>
      </c>
      <c r="C242" t="s">
        <v>25</v>
      </c>
      <c r="D242" t="s">
        <v>7026</v>
      </c>
      <c r="E242" t="s">
        <v>7054</v>
      </c>
      <c r="F242" t="s">
        <v>6910</v>
      </c>
      <c r="G242" t="s">
        <v>6896</v>
      </c>
      <c r="H242" t="s">
        <v>6869</v>
      </c>
      <c r="I242" t="s">
        <v>115</v>
      </c>
      <c r="J242">
        <v>1115.19</v>
      </c>
      <c r="K242">
        <v>1574.54</v>
      </c>
      <c r="L242">
        <v>1859.19</v>
      </c>
      <c r="M242" s="20">
        <v>44866</v>
      </c>
      <c r="N242" t="s">
        <v>6837</v>
      </c>
      <c r="O242" t="s">
        <v>154</v>
      </c>
    </row>
    <row r="243" spans="1:15" x14ac:dyDescent="0.25">
      <c r="A243" t="s">
        <v>321</v>
      </c>
      <c r="B243" t="s">
        <v>7313</v>
      </c>
      <c r="C243" t="s">
        <v>14</v>
      </c>
      <c r="D243" t="s">
        <v>6913</v>
      </c>
      <c r="E243" t="s">
        <v>6873</v>
      </c>
      <c r="F243" t="s">
        <v>6861</v>
      </c>
      <c r="G243" t="s">
        <v>6842</v>
      </c>
      <c r="H243" t="s">
        <v>6892</v>
      </c>
      <c r="I243" t="s">
        <v>6955</v>
      </c>
      <c r="J243">
        <v>2433.3200000000002</v>
      </c>
      <c r="K243">
        <v>3331.3</v>
      </c>
      <c r="L243">
        <v>3832.44</v>
      </c>
      <c r="M243" s="20">
        <v>45051</v>
      </c>
      <c r="N243" t="s">
        <v>6837</v>
      </c>
      <c r="O243" t="s">
        <v>154</v>
      </c>
    </row>
    <row r="244" spans="1:15" x14ac:dyDescent="0.25">
      <c r="A244" t="s">
        <v>273</v>
      </c>
      <c r="B244" t="s">
        <v>7314</v>
      </c>
      <c r="C244" t="s">
        <v>20</v>
      </c>
      <c r="D244" t="s">
        <v>7075</v>
      </c>
      <c r="E244" t="s">
        <v>7080</v>
      </c>
      <c r="F244" t="s">
        <v>6910</v>
      </c>
      <c r="G244" t="s">
        <v>6879</v>
      </c>
      <c r="H244" t="s">
        <v>6901</v>
      </c>
      <c r="I244" t="s">
        <v>7034</v>
      </c>
      <c r="J244">
        <v>876.92</v>
      </c>
      <c r="K244">
        <v>1269.6300000000001</v>
      </c>
      <c r="L244">
        <v>1578.84</v>
      </c>
      <c r="M244" s="20">
        <v>45552</v>
      </c>
      <c r="N244" t="s">
        <v>6898</v>
      </c>
      <c r="O244" t="s">
        <v>154</v>
      </c>
    </row>
    <row r="245" spans="1:15" x14ac:dyDescent="0.25">
      <c r="A245" t="s">
        <v>926</v>
      </c>
      <c r="B245" t="s">
        <v>7315</v>
      </c>
      <c r="C245" t="s">
        <v>16</v>
      </c>
      <c r="D245" t="s">
        <v>7137</v>
      </c>
      <c r="E245" t="s">
        <v>7036</v>
      </c>
      <c r="F245" t="s">
        <v>6885</v>
      </c>
      <c r="G245" t="s">
        <v>6874</v>
      </c>
      <c r="H245" t="s">
        <v>6869</v>
      </c>
      <c r="I245" t="s">
        <v>7240</v>
      </c>
      <c r="J245">
        <v>810.62</v>
      </c>
      <c r="K245">
        <v>1175.8699999999999</v>
      </c>
      <c r="L245">
        <v>1356.46</v>
      </c>
      <c r="M245" s="20">
        <v>45301</v>
      </c>
      <c r="N245" t="s">
        <v>6837</v>
      </c>
      <c r="O245" t="s">
        <v>154</v>
      </c>
    </row>
    <row r="246" spans="1:15" x14ac:dyDescent="0.25">
      <c r="A246" t="s">
        <v>157</v>
      </c>
      <c r="B246" t="s">
        <v>7316</v>
      </c>
      <c r="C246" t="s">
        <v>23</v>
      </c>
      <c r="D246" t="s">
        <v>7021</v>
      </c>
      <c r="E246" t="s">
        <v>6914</v>
      </c>
      <c r="F246" t="s">
        <v>6848</v>
      </c>
      <c r="G246" t="s">
        <v>6924</v>
      </c>
      <c r="H246" t="s">
        <v>7033</v>
      </c>
      <c r="I246" t="s">
        <v>116</v>
      </c>
      <c r="J246">
        <v>492.11</v>
      </c>
      <c r="K246">
        <v>825.13</v>
      </c>
      <c r="L246">
        <v>911.52</v>
      </c>
      <c r="M246" s="20">
        <v>45101</v>
      </c>
      <c r="N246" t="s">
        <v>6837</v>
      </c>
      <c r="O246" t="s">
        <v>154</v>
      </c>
    </row>
    <row r="247" spans="1:15" x14ac:dyDescent="0.25">
      <c r="A247" t="s">
        <v>2392</v>
      </c>
      <c r="B247" t="s">
        <v>7317</v>
      </c>
      <c r="C247" t="s">
        <v>20</v>
      </c>
      <c r="D247" t="s">
        <v>6987</v>
      </c>
      <c r="E247" t="s">
        <v>6914</v>
      </c>
      <c r="F247" t="s">
        <v>6910</v>
      </c>
      <c r="G247" t="s">
        <v>6855</v>
      </c>
      <c r="H247" t="s">
        <v>6843</v>
      </c>
      <c r="I247" t="s">
        <v>115</v>
      </c>
      <c r="J247">
        <v>744</v>
      </c>
      <c r="K247">
        <v>1116.48</v>
      </c>
      <c r="L247">
        <v>1287.67</v>
      </c>
      <c r="M247" s="20">
        <v>45332</v>
      </c>
      <c r="N247" t="s">
        <v>6991</v>
      </c>
      <c r="O247" t="s">
        <v>154</v>
      </c>
    </row>
    <row r="248" spans="1:15" x14ac:dyDescent="0.25">
      <c r="A248" t="s">
        <v>1407</v>
      </c>
      <c r="B248" t="s">
        <v>7318</v>
      </c>
      <c r="C248" t="s">
        <v>30</v>
      </c>
      <c r="D248" t="s">
        <v>6866</v>
      </c>
      <c r="E248" t="s">
        <v>6978</v>
      </c>
      <c r="F248" t="s">
        <v>6861</v>
      </c>
      <c r="G248" t="s">
        <v>6862</v>
      </c>
      <c r="H248" t="s">
        <v>6875</v>
      </c>
      <c r="I248" t="s">
        <v>7319</v>
      </c>
      <c r="J248">
        <v>765.23</v>
      </c>
      <c r="K248">
        <v>1160.2</v>
      </c>
      <c r="L248">
        <v>1219.74</v>
      </c>
      <c r="M248" s="20">
        <v>44846</v>
      </c>
      <c r="N248" t="s">
        <v>6837</v>
      </c>
      <c r="O248" t="s">
        <v>154</v>
      </c>
    </row>
    <row r="249" spans="1:15" x14ac:dyDescent="0.25">
      <c r="A249" t="s">
        <v>1421</v>
      </c>
      <c r="B249" t="s">
        <v>7320</v>
      </c>
      <c r="C249" t="s">
        <v>24</v>
      </c>
      <c r="D249" t="s">
        <v>6890</v>
      </c>
      <c r="E249" t="s">
        <v>6937</v>
      </c>
      <c r="F249" t="s">
        <v>6833</v>
      </c>
      <c r="G249" t="s">
        <v>6979</v>
      </c>
      <c r="H249" t="s">
        <v>6901</v>
      </c>
      <c r="I249" t="s">
        <v>6950</v>
      </c>
      <c r="J249">
        <v>817.33</v>
      </c>
      <c r="K249">
        <v>1197.54</v>
      </c>
      <c r="L249">
        <v>1285.76</v>
      </c>
      <c r="M249" s="20">
        <v>45033</v>
      </c>
      <c r="N249" t="s">
        <v>6837</v>
      </c>
      <c r="O249" t="s">
        <v>154</v>
      </c>
    </row>
    <row r="250" spans="1:15" x14ac:dyDescent="0.25">
      <c r="A250" t="s">
        <v>2618</v>
      </c>
      <c r="B250" t="s">
        <v>7321</v>
      </c>
      <c r="C250" t="s">
        <v>27</v>
      </c>
      <c r="D250" t="s">
        <v>6941</v>
      </c>
      <c r="E250" t="s">
        <v>6919</v>
      </c>
      <c r="F250" t="s">
        <v>6833</v>
      </c>
      <c r="G250" t="s">
        <v>6886</v>
      </c>
      <c r="H250" t="s">
        <v>6875</v>
      </c>
      <c r="I250" t="s">
        <v>7145</v>
      </c>
      <c r="J250">
        <v>795.4</v>
      </c>
      <c r="K250">
        <v>1148.7</v>
      </c>
      <c r="L250">
        <v>1300.53</v>
      </c>
      <c r="M250" s="20">
        <v>45061</v>
      </c>
      <c r="N250" t="s">
        <v>6837</v>
      </c>
      <c r="O250" t="s">
        <v>154</v>
      </c>
    </row>
    <row r="251" spans="1:15" x14ac:dyDescent="0.25">
      <c r="A251" t="s">
        <v>342</v>
      </c>
      <c r="B251" t="s">
        <v>7322</v>
      </c>
      <c r="C251" t="s">
        <v>14</v>
      </c>
      <c r="D251" t="s">
        <v>6859</v>
      </c>
      <c r="E251" t="s">
        <v>6873</v>
      </c>
      <c r="F251" t="s">
        <v>6861</v>
      </c>
      <c r="G251" t="s">
        <v>6849</v>
      </c>
      <c r="H251" t="s">
        <v>6887</v>
      </c>
      <c r="I251" t="s">
        <v>7233</v>
      </c>
      <c r="J251">
        <v>3650.55</v>
      </c>
      <c r="K251">
        <v>4724.03</v>
      </c>
      <c r="L251">
        <v>5117.3900000000003</v>
      </c>
      <c r="M251" s="20">
        <v>44930</v>
      </c>
      <c r="N251" t="s">
        <v>6837</v>
      </c>
      <c r="O251" t="s">
        <v>154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0" width="16" customWidth="1"/>
  </cols>
  <sheetData>
    <row r="1" spans="1:10" x14ac:dyDescent="0.25">
      <c r="A1" s="19" t="s">
        <v>79</v>
      </c>
      <c r="B1" s="19" t="s">
        <v>80</v>
      </c>
      <c r="C1" s="19" t="s">
        <v>5083</v>
      </c>
      <c r="D1" s="19" t="s">
        <v>5084</v>
      </c>
      <c r="E1" s="19" t="s">
        <v>34</v>
      </c>
      <c r="F1" s="19" t="s">
        <v>7323</v>
      </c>
      <c r="G1" s="19" t="s">
        <v>7324</v>
      </c>
      <c r="H1" s="19" t="s">
        <v>7325</v>
      </c>
      <c r="I1" s="19" t="s">
        <v>7326</v>
      </c>
      <c r="J1" s="19" t="s">
        <v>6828</v>
      </c>
    </row>
    <row r="2" spans="1:10" x14ac:dyDescent="0.25">
      <c r="A2" t="s">
        <v>525</v>
      </c>
      <c r="B2" t="s">
        <v>7327</v>
      </c>
      <c r="C2" t="s">
        <v>5189</v>
      </c>
      <c r="D2" t="s">
        <v>5112</v>
      </c>
      <c r="E2" t="s">
        <v>38</v>
      </c>
      <c r="F2" t="s">
        <v>7328</v>
      </c>
      <c r="G2" s="20">
        <v>44952</v>
      </c>
      <c r="H2">
        <v>2500000</v>
      </c>
      <c r="I2" t="s">
        <v>7329</v>
      </c>
      <c r="J2" t="s">
        <v>6837</v>
      </c>
    </row>
    <row r="3" spans="1:10" x14ac:dyDescent="0.25">
      <c r="A3" t="s">
        <v>95</v>
      </c>
      <c r="B3" t="s">
        <v>7330</v>
      </c>
      <c r="C3" t="s">
        <v>5181</v>
      </c>
      <c r="D3" t="s">
        <v>5112</v>
      </c>
      <c r="E3" t="s">
        <v>38</v>
      </c>
      <c r="F3" t="s">
        <v>7328</v>
      </c>
      <c r="G3" s="20">
        <v>42703</v>
      </c>
      <c r="H3">
        <v>1000000</v>
      </c>
      <c r="I3" t="s">
        <v>7331</v>
      </c>
      <c r="J3" t="s">
        <v>6837</v>
      </c>
    </row>
    <row r="4" spans="1:10" x14ac:dyDescent="0.25">
      <c r="A4" t="s">
        <v>1068</v>
      </c>
      <c r="B4" t="s">
        <v>7332</v>
      </c>
      <c r="C4" t="s">
        <v>5384</v>
      </c>
      <c r="D4" t="s">
        <v>5093</v>
      </c>
      <c r="E4" t="s">
        <v>40</v>
      </c>
      <c r="F4" t="s">
        <v>7333</v>
      </c>
      <c r="G4" s="20">
        <v>44971</v>
      </c>
      <c r="H4">
        <v>2500000</v>
      </c>
      <c r="I4" t="s">
        <v>7334</v>
      </c>
      <c r="J4" t="s">
        <v>6837</v>
      </c>
    </row>
    <row r="5" spans="1:10" x14ac:dyDescent="0.25">
      <c r="A5" t="s">
        <v>85</v>
      </c>
      <c r="B5" t="s">
        <v>7335</v>
      </c>
      <c r="C5" t="s">
        <v>5257</v>
      </c>
      <c r="D5" t="s">
        <v>5093</v>
      </c>
      <c r="E5" t="s">
        <v>40</v>
      </c>
      <c r="F5" t="s">
        <v>7336</v>
      </c>
      <c r="G5" s="20">
        <v>42449</v>
      </c>
      <c r="H5">
        <v>800000</v>
      </c>
      <c r="I5" t="s">
        <v>6108</v>
      </c>
      <c r="J5" t="s">
        <v>6837</v>
      </c>
    </row>
    <row r="6" spans="1:10" x14ac:dyDescent="0.25">
      <c r="A6" t="s">
        <v>268</v>
      </c>
      <c r="B6" t="s">
        <v>7337</v>
      </c>
      <c r="C6" t="s">
        <v>5111</v>
      </c>
      <c r="D6" t="s">
        <v>5112</v>
      </c>
      <c r="E6" t="s">
        <v>38</v>
      </c>
      <c r="F6" t="s">
        <v>7333</v>
      </c>
      <c r="G6" s="20">
        <v>44523</v>
      </c>
      <c r="H6">
        <v>2000000</v>
      </c>
      <c r="I6" t="s">
        <v>7338</v>
      </c>
      <c r="J6" t="s">
        <v>6837</v>
      </c>
    </row>
    <row r="7" spans="1:10" x14ac:dyDescent="0.25">
      <c r="A7" t="s">
        <v>831</v>
      </c>
      <c r="B7" t="s">
        <v>7339</v>
      </c>
      <c r="C7" t="s">
        <v>5102</v>
      </c>
      <c r="D7" t="s">
        <v>5103</v>
      </c>
      <c r="E7" t="s">
        <v>38</v>
      </c>
      <c r="F7" t="s">
        <v>7328</v>
      </c>
      <c r="G7" s="20">
        <v>44476</v>
      </c>
      <c r="H7">
        <v>2000000</v>
      </c>
      <c r="I7" t="s">
        <v>7340</v>
      </c>
      <c r="J7" t="s">
        <v>6837</v>
      </c>
    </row>
    <row r="8" spans="1:10" x14ac:dyDescent="0.25">
      <c r="A8" t="s">
        <v>90</v>
      </c>
      <c r="B8" t="s">
        <v>7341</v>
      </c>
      <c r="C8" t="s">
        <v>5231</v>
      </c>
      <c r="D8" t="s">
        <v>5103</v>
      </c>
      <c r="E8" t="s">
        <v>38</v>
      </c>
      <c r="F8" t="s">
        <v>7336</v>
      </c>
      <c r="G8" s="20">
        <v>45291</v>
      </c>
      <c r="H8">
        <v>1500000</v>
      </c>
      <c r="I8" t="s">
        <v>7342</v>
      </c>
      <c r="J8" t="s">
        <v>6837</v>
      </c>
    </row>
    <row r="9" spans="1:10" x14ac:dyDescent="0.25">
      <c r="A9" t="s">
        <v>613</v>
      </c>
      <c r="B9" t="s">
        <v>7343</v>
      </c>
      <c r="C9" t="s">
        <v>5111</v>
      </c>
      <c r="D9" t="s">
        <v>5112</v>
      </c>
      <c r="E9" t="s">
        <v>38</v>
      </c>
      <c r="F9" t="s">
        <v>7336</v>
      </c>
      <c r="G9" s="20">
        <v>43047</v>
      </c>
      <c r="H9">
        <v>1500000</v>
      </c>
      <c r="I9" t="s">
        <v>7344</v>
      </c>
      <c r="J9" t="s">
        <v>6837</v>
      </c>
    </row>
    <row r="10" spans="1:10" x14ac:dyDescent="0.25">
      <c r="A10" t="s">
        <v>634</v>
      </c>
      <c r="B10" t="s">
        <v>7345</v>
      </c>
      <c r="C10" t="s">
        <v>5181</v>
      </c>
      <c r="D10" t="s">
        <v>5112</v>
      </c>
      <c r="E10" t="s">
        <v>38</v>
      </c>
      <c r="F10" t="s">
        <v>7333</v>
      </c>
      <c r="G10" s="20">
        <v>42027</v>
      </c>
      <c r="H10">
        <v>2500000</v>
      </c>
      <c r="I10" t="s">
        <v>7346</v>
      </c>
      <c r="J10" t="s">
        <v>6837</v>
      </c>
    </row>
    <row r="11" spans="1:10" x14ac:dyDescent="0.25">
      <c r="A11" t="s">
        <v>927</v>
      </c>
      <c r="B11" t="s">
        <v>7343</v>
      </c>
      <c r="C11" t="s">
        <v>5111</v>
      </c>
      <c r="D11" t="s">
        <v>5112</v>
      </c>
      <c r="E11" t="s">
        <v>38</v>
      </c>
      <c r="F11" t="s">
        <v>7336</v>
      </c>
      <c r="G11" s="20">
        <v>42846</v>
      </c>
      <c r="H11">
        <v>2500000</v>
      </c>
      <c r="I11" t="s">
        <v>7347</v>
      </c>
      <c r="J11" t="s">
        <v>6837</v>
      </c>
    </row>
    <row r="12" spans="1:10" x14ac:dyDescent="0.25">
      <c r="A12" t="s">
        <v>84</v>
      </c>
      <c r="B12" t="s">
        <v>7348</v>
      </c>
      <c r="C12" t="s">
        <v>5097</v>
      </c>
      <c r="D12" t="s">
        <v>5098</v>
      </c>
      <c r="E12" t="s">
        <v>42</v>
      </c>
      <c r="F12" t="s">
        <v>7328</v>
      </c>
      <c r="G12" s="20">
        <v>43075</v>
      </c>
      <c r="H12">
        <v>2000000</v>
      </c>
      <c r="I12" t="s">
        <v>7349</v>
      </c>
      <c r="J12" t="s">
        <v>6837</v>
      </c>
    </row>
    <row r="13" spans="1:10" x14ac:dyDescent="0.25">
      <c r="A13" t="s">
        <v>701</v>
      </c>
      <c r="B13" t="s">
        <v>7350</v>
      </c>
      <c r="C13" t="s">
        <v>5155</v>
      </c>
      <c r="D13" t="s">
        <v>5098</v>
      </c>
      <c r="E13" t="s">
        <v>42</v>
      </c>
      <c r="F13" t="s">
        <v>7336</v>
      </c>
      <c r="G13" s="20">
        <v>45215</v>
      </c>
      <c r="H13">
        <v>2000000</v>
      </c>
      <c r="I13" t="s">
        <v>7351</v>
      </c>
      <c r="J13" t="s">
        <v>6837</v>
      </c>
    </row>
    <row r="14" spans="1:10" x14ac:dyDescent="0.25">
      <c r="A14" t="s">
        <v>727</v>
      </c>
      <c r="B14" t="s">
        <v>7352</v>
      </c>
      <c r="C14" t="s">
        <v>5126</v>
      </c>
      <c r="D14" t="s">
        <v>5118</v>
      </c>
      <c r="E14" t="s">
        <v>40</v>
      </c>
      <c r="F14" t="s">
        <v>7328</v>
      </c>
      <c r="G14" s="20">
        <v>45176</v>
      </c>
      <c r="H14">
        <v>2500000</v>
      </c>
      <c r="I14" t="s">
        <v>7353</v>
      </c>
      <c r="J14" t="s">
        <v>6837</v>
      </c>
    </row>
    <row r="15" spans="1:10" x14ac:dyDescent="0.25">
      <c r="A15" t="s">
        <v>247</v>
      </c>
      <c r="B15" t="s">
        <v>7354</v>
      </c>
      <c r="C15" t="s">
        <v>5097</v>
      </c>
      <c r="D15" t="s">
        <v>5098</v>
      </c>
      <c r="E15" t="s">
        <v>42</v>
      </c>
      <c r="F15" t="s">
        <v>7355</v>
      </c>
      <c r="G15" s="20">
        <v>42415</v>
      </c>
      <c r="H15">
        <v>1000000</v>
      </c>
      <c r="I15" t="s">
        <v>7356</v>
      </c>
      <c r="J15" t="s">
        <v>6837</v>
      </c>
    </row>
    <row r="16" spans="1:10" x14ac:dyDescent="0.25">
      <c r="A16" t="s">
        <v>815</v>
      </c>
      <c r="B16" t="s">
        <v>7357</v>
      </c>
      <c r="C16" t="s">
        <v>5142</v>
      </c>
      <c r="D16" t="s">
        <v>5103</v>
      </c>
      <c r="E16" t="s">
        <v>38</v>
      </c>
      <c r="F16" t="s">
        <v>7336</v>
      </c>
      <c r="G16" s="20">
        <v>44609</v>
      </c>
      <c r="H16">
        <v>800000</v>
      </c>
      <c r="I16" t="s">
        <v>7358</v>
      </c>
      <c r="J16" t="s">
        <v>6837</v>
      </c>
    </row>
    <row r="17" spans="1:10" x14ac:dyDescent="0.25">
      <c r="A17" t="s">
        <v>495</v>
      </c>
      <c r="B17" t="s">
        <v>7359</v>
      </c>
      <c r="C17" t="s">
        <v>5136</v>
      </c>
      <c r="D17" t="s">
        <v>5098</v>
      </c>
      <c r="E17" t="s">
        <v>42</v>
      </c>
      <c r="F17" t="s">
        <v>7360</v>
      </c>
      <c r="G17" s="20">
        <v>42913</v>
      </c>
      <c r="H17">
        <v>1200000</v>
      </c>
      <c r="I17" t="s">
        <v>7361</v>
      </c>
      <c r="J17" t="s">
        <v>6837</v>
      </c>
    </row>
    <row r="18" spans="1:10" x14ac:dyDescent="0.25">
      <c r="A18" t="s">
        <v>101</v>
      </c>
      <c r="B18" t="s">
        <v>7362</v>
      </c>
      <c r="C18" t="s">
        <v>5292</v>
      </c>
      <c r="D18" t="s">
        <v>5098</v>
      </c>
      <c r="E18" t="s">
        <v>42</v>
      </c>
      <c r="F18" t="s">
        <v>7328</v>
      </c>
      <c r="G18" s="20">
        <v>43178</v>
      </c>
      <c r="H18">
        <v>2500000</v>
      </c>
      <c r="I18" t="s">
        <v>7363</v>
      </c>
      <c r="J18" t="s">
        <v>6837</v>
      </c>
    </row>
    <row r="19" spans="1:10" x14ac:dyDescent="0.25">
      <c r="A19" t="s">
        <v>461</v>
      </c>
      <c r="B19" t="s">
        <v>7364</v>
      </c>
      <c r="C19" t="s">
        <v>5136</v>
      </c>
      <c r="D19" t="s">
        <v>5098</v>
      </c>
      <c r="E19" t="s">
        <v>42</v>
      </c>
      <c r="F19" t="s">
        <v>7333</v>
      </c>
      <c r="G19" s="20">
        <v>44695</v>
      </c>
      <c r="H19">
        <v>2000000</v>
      </c>
      <c r="I19" t="s">
        <v>5625</v>
      </c>
      <c r="J19" t="s">
        <v>6837</v>
      </c>
    </row>
    <row r="20" spans="1:10" x14ac:dyDescent="0.25">
      <c r="A20" t="s">
        <v>274</v>
      </c>
      <c r="B20" t="s">
        <v>7365</v>
      </c>
      <c r="C20" t="s">
        <v>5238</v>
      </c>
      <c r="D20" t="s">
        <v>5093</v>
      </c>
      <c r="E20" t="s">
        <v>40</v>
      </c>
      <c r="F20" t="s">
        <v>7328</v>
      </c>
      <c r="G20" s="20">
        <v>43478</v>
      </c>
      <c r="H20">
        <v>1000000</v>
      </c>
      <c r="I20" t="s">
        <v>7366</v>
      </c>
      <c r="J20" t="s">
        <v>6837</v>
      </c>
    </row>
    <row r="21" spans="1:10" x14ac:dyDescent="0.25">
      <c r="A21" t="s">
        <v>798</v>
      </c>
      <c r="B21" t="s">
        <v>7367</v>
      </c>
      <c r="C21" t="s">
        <v>5145</v>
      </c>
      <c r="D21" t="s">
        <v>5098</v>
      </c>
      <c r="E21" t="s">
        <v>42</v>
      </c>
      <c r="F21" t="s">
        <v>7328</v>
      </c>
      <c r="G21" s="20">
        <v>43665</v>
      </c>
      <c r="H21">
        <v>2000000</v>
      </c>
      <c r="I21" t="s">
        <v>7368</v>
      </c>
      <c r="J21" t="s">
        <v>6837</v>
      </c>
    </row>
    <row r="22" spans="1:10" x14ac:dyDescent="0.25">
      <c r="A22" t="s">
        <v>200</v>
      </c>
      <c r="B22" t="s">
        <v>7369</v>
      </c>
      <c r="C22" t="s">
        <v>5304</v>
      </c>
      <c r="D22" t="s">
        <v>5112</v>
      </c>
      <c r="E22" t="s">
        <v>38</v>
      </c>
      <c r="F22" t="s">
        <v>7328</v>
      </c>
      <c r="G22" s="20">
        <v>44295</v>
      </c>
      <c r="H22">
        <v>2000000</v>
      </c>
      <c r="I22" t="s">
        <v>7370</v>
      </c>
      <c r="J22" t="s">
        <v>6837</v>
      </c>
    </row>
    <row r="23" spans="1:10" x14ac:dyDescent="0.25">
      <c r="A23" t="s">
        <v>96</v>
      </c>
      <c r="B23" t="s">
        <v>7371</v>
      </c>
      <c r="C23" t="s">
        <v>5196</v>
      </c>
      <c r="D23" t="s">
        <v>5093</v>
      </c>
      <c r="E23" t="s">
        <v>40</v>
      </c>
      <c r="F23" t="s">
        <v>7355</v>
      </c>
      <c r="G23" s="20">
        <v>44359</v>
      </c>
      <c r="H23">
        <v>800000</v>
      </c>
      <c r="I23" t="s">
        <v>7372</v>
      </c>
      <c r="J23" t="s">
        <v>6837</v>
      </c>
    </row>
    <row r="24" spans="1:10" x14ac:dyDescent="0.25">
      <c r="A24" t="s">
        <v>451</v>
      </c>
      <c r="B24" t="s">
        <v>7373</v>
      </c>
      <c r="C24" t="s">
        <v>5231</v>
      </c>
      <c r="D24" t="s">
        <v>5103</v>
      </c>
      <c r="E24" t="s">
        <v>38</v>
      </c>
      <c r="F24" t="s">
        <v>7333</v>
      </c>
      <c r="G24" s="20">
        <v>42484</v>
      </c>
      <c r="H24">
        <v>2000000</v>
      </c>
      <c r="I24" t="s">
        <v>7374</v>
      </c>
      <c r="J24" t="s">
        <v>6837</v>
      </c>
    </row>
    <row r="25" spans="1:10" x14ac:dyDescent="0.25">
      <c r="A25" t="s">
        <v>252</v>
      </c>
      <c r="B25" t="s">
        <v>7375</v>
      </c>
      <c r="C25" t="s">
        <v>5107</v>
      </c>
      <c r="D25" t="s">
        <v>5098</v>
      </c>
      <c r="E25" t="s">
        <v>42</v>
      </c>
      <c r="F25" t="s">
        <v>7328</v>
      </c>
      <c r="G25" s="20">
        <v>45158</v>
      </c>
      <c r="H25">
        <v>1000000</v>
      </c>
      <c r="I25" t="s">
        <v>7376</v>
      </c>
      <c r="J25" t="s">
        <v>6837</v>
      </c>
    </row>
    <row r="26" spans="1:10" x14ac:dyDescent="0.25">
      <c r="A26" t="s">
        <v>1442</v>
      </c>
      <c r="B26" t="s">
        <v>7377</v>
      </c>
      <c r="C26" t="s">
        <v>5102</v>
      </c>
      <c r="D26" t="s">
        <v>5103</v>
      </c>
      <c r="E26" t="s">
        <v>38</v>
      </c>
      <c r="F26" t="s">
        <v>7333</v>
      </c>
      <c r="G26" s="20">
        <v>42281</v>
      </c>
      <c r="H26">
        <v>1500000</v>
      </c>
      <c r="I26" t="s">
        <v>7378</v>
      </c>
      <c r="J26" t="s">
        <v>6837</v>
      </c>
    </row>
    <row r="27" spans="1:10" x14ac:dyDescent="0.25">
      <c r="A27" t="s">
        <v>630</v>
      </c>
      <c r="B27" t="s">
        <v>7367</v>
      </c>
      <c r="C27" t="s">
        <v>5145</v>
      </c>
      <c r="D27" t="s">
        <v>5098</v>
      </c>
      <c r="E27" t="s">
        <v>42</v>
      </c>
      <c r="F27" t="s">
        <v>7328</v>
      </c>
      <c r="G27" s="20">
        <v>42044</v>
      </c>
      <c r="H27">
        <v>2500000</v>
      </c>
      <c r="I27" t="s">
        <v>6318</v>
      </c>
      <c r="J27" t="s">
        <v>6837</v>
      </c>
    </row>
    <row r="28" spans="1:10" x14ac:dyDescent="0.25">
      <c r="A28" t="s">
        <v>1074</v>
      </c>
      <c r="B28" t="s">
        <v>7379</v>
      </c>
      <c r="C28" t="s">
        <v>5201</v>
      </c>
      <c r="D28" t="s">
        <v>5118</v>
      </c>
      <c r="E28" t="s">
        <v>40</v>
      </c>
      <c r="F28" t="s">
        <v>7328</v>
      </c>
      <c r="G28" s="20">
        <v>42736</v>
      </c>
      <c r="H28">
        <v>1500000</v>
      </c>
      <c r="I28" t="s">
        <v>7380</v>
      </c>
      <c r="J28" t="s">
        <v>6837</v>
      </c>
    </row>
    <row r="29" spans="1:10" x14ac:dyDescent="0.25">
      <c r="A29" t="s">
        <v>848</v>
      </c>
      <c r="B29" t="s">
        <v>7381</v>
      </c>
      <c r="C29" t="s">
        <v>5196</v>
      </c>
      <c r="D29" t="s">
        <v>5093</v>
      </c>
      <c r="E29" t="s">
        <v>40</v>
      </c>
      <c r="F29" t="s">
        <v>7328</v>
      </c>
      <c r="G29" s="20">
        <v>42966</v>
      </c>
      <c r="H29">
        <v>2500000</v>
      </c>
      <c r="I29" t="s">
        <v>7382</v>
      </c>
      <c r="J29" t="s">
        <v>6837</v>
      </c>
    </row>
    <row r="30" spans="1:10" x14ac:dyDescent="0.25">
      <c r="A30" t="s">
        <v>396</v>
      </c>
      <c r="B30" t="s">
        <v>7383</v>
      </c>
      <c r="C30" t="s">
        <v>5174</v>
      </c>
      <c r="D30" t="s">
        <v>5093</v>
      </c>
      <c r="E30" t="s">
        <v>40</v>
      </c>
      <c r="F30" t="s">
        <v>7333</v>
      </c>
      <c r="G30" s="20">
        <v>42441</v>
      </c>
      <c r="H30">
        <v>800000</v>
      </c>
      <c r="I30" t="s">
        <v>5413</v>
      </c>
      <c r="J30" t="s">
        <v>7384</v>
      </c>
    </row>
    <row r="31" spans="1:10" x14ac:dyDescent="0.25">
      <c r="A31" t="s">
        <v>1141</v>
      </c>
      <c r="B31" t="s">
        <v>7385</v>
      </c>
      <c r="C31" t="s">
        <v>5111</v>
      </c>
      <c r="D31" t="s">
        <v>5112</v>
      </c>
      <c r="E31" t="s">
        <v>38</v>
      </c>
      <c r="F31" t="s">
        <v>7328</v>
      </c>
      <c r="G31" s="20">
        <v>43525</v>
      </c>
      <c r="H31">
        <v>2000000</v>
      </c>
      <c r="I31" t="s">
        <v>7386</v>
      </c>
      <c r="J31" t="s">
        <v>6837</v>
      </c>
    </row>
    <row r="32" spans="1:10" x14ac:dyDescent="0.25">
      <c r="A32" t="s">
        <v>88</v>
      </c>
      <c r="B32" t="s">
        <v>7387</v>
      </c>
      <c r="C32" t="s">
        <v>5304</v>
      </c>
      <c r="D32" t="s">
        <v>5112</v>
      </c>
      <c r="E32" t="s">
        <v>38</v>
      </c>
      <c r="F32" t="s">
        <v>7336</v>
      </c>
      <c r="G32" s="20">
        <v>45077</v>
      </c>
      <c r="H32">
        <v>2000000</v>
      </c>
      <c r="I32" t="s">
        <v>7388</v>
      </c>
      <c r="J32" t="s">
        <v>6837</v>
      </c>
    </row>
    <row r="33" spans="1:10" x14ac:dyDescent="0.25">
      <c r="A33" t="s">
        <v>89</v>
      </c>
      <c r="B33" t="s">
        <v>7385</v>
      </c>
      <c r="C33" t="s">
        <v>5111</v>
      </c>
      <c r="D33" t="s">
        <v>5112</v>
      </c>
      <c r="E33" t="s">
        <v>38</v>
      </c>
      <c r="F33" t="s">
        <v>7328</v>
      </c>
      <c r="G33" s="20">
        <v>43617</v>
      </c>
      <c r="H33">
        <v>2500000</v>
      </c>
      <c r="I33" t="s">
        <v>7389</v>
      </c>
      <c r="J33" t="s">
        <v>6837</v>
      </c>
    </row>
    <row r="34" spans="1:10" x14ac:dyDescent="0.25">
      <c r="A34" t="s">
        <v>1591</v>
      </c>
      <c r="B34" t="s">
        <v>7367</v>
      </c>
      <c r="C34" t="s">
        <v>5145</v>
      </c>
      <c r="D34" t="s">
        <v>5098</v>
      </c>
      <c r="E34" t="s">
        <v>42</v>
      </c>
      <c r="F34" t="s">
        <v>7328</v>
      </c>
      <c r="G34" s="20">
        <v>42053</v>
      </c>
      <c r="H34">
        <v>2500000</v>
      </c>
      <c r="I34" t="s">
        <v>7390</v>
      </c>
      <c r="J34" t="s">
        <v>6837</v>
      </c>
    </row>
    <row r="35" spans="1:10" x14ac:dyDescent="0.25">
      <c r="A35" t="s">
        <v>1681</v>
      </c>
      <c r="B35" t="s">
        <v>7391</v>
      </c>
      <c r="C35" t="s">
        <v>5331</v>
      </c>
      <c r="D35" t="s">
        <v>5118</v>
      </c>
      <c r="E35" t="s">
        <v>40</v>
      </c>
      <c r="F35" t="s">
        <v>7328</v>
      </c>
      <c r="G35" s="20">
        <v>42976</v>
      </c>
      <c r="H35">
        <v>1200000</v>
      </c>
      <c r="I35" t="s">
        <v>7392</v>
      </c>
      <c r="J35" t="s">
        <v>6837</v>
      </c>
    </row>
    <row r="36" spans="1:10" x14ac:dyDescent="0.25">
      <c r="A36" t="s">
        <v>1187</v>
      </c>
      <c r="B36" t="s">
        <v>7350</v>
      </c>
      <c r="C36" t="s">
        <v>5155</v>
      </c>
      <c r="D36" t="s">
        <v>5098</v>
      </c>
      <c r="E36" t="s">
        <v>42</v>
      </c>
      <c r="F36" t="s">
        <v>7336</v>
      </c>
      <c r="G36" s="20">
        <v>45085</v>
      </c>
      <c r="H36">
        <v>1200000</v>
      </c>
      <c r="I36" t="s">
        <v>7393</v>
      </c>
      <c r="J36" t="s">
        <v>6837</v>
      </c>
    </row>
    <row r="37" spans="1:10" x14ac:dyDescent="0.25">
      <c r="A37" t="s">
        <v>745</v>
      </c>
      <c r="B37" t="s">
        <v>7394</v>
      </c>
      <c r="C37" t="s">
        <v>5243</v>
      </c>
      <c r="D37" t="s">
        <v>5112</v>
      </c>
      <c r="E37" t="s">
        <v>38</v>
      </c>
      <c r="F37" t="s">
        <v>7355</v>
      </c>
      <c r="G37" s="20">
        <v>44814</v>
      </c>
      <c r="H37">
        <v>1000000</v>
      </c>
      <c r="I37" t="s">
        <v>7395</v>
      </c>
      <c r="J37" t="s">
        <v>6837</v>
      </c>
    </row>
    <row r="38" spans="1:10" x14ac:dyDescent="0.25">
      <c r="A38" t="s">
        <v>81</v>
      </c>
      <c r="B38" t="s">
        <v>7396</v>
      </c>
      <c r="C38" t="s">
        <v>5155</v>
      </c>
      <c r="D38" t="s">
        <v>5098</v>
      </c>
      <c r="E38" t="s">
        <v>42</v>
      </c>
      <c r="F38" t="s">
        <v>7333</v>
      </c>
      <c r="G38" s="20">
        <v>45030</v>
      </c>
      <c r="H38">
        <v>1000000</v>
      </c>
      <c r="I38" t="s">
        <v>6488</v>
      </c>
      <c r="J38" t="s">
        <v>6837</v>
      </c>
    </row>
    <row r="39" spans="1:10" x14ac:dyDescent="0.25">
      <c r="A39" t="s">
        <v>999</v>
      </c>
      <c r="B39" t="s">
        <v>7397</v>
      </c>
      <c r="C39" t="s">
        <v>5384</v>
      </c>
      <c r="D39" t="s">
        <v>5093</v>
      </c>
      <c r="E39" t="s">
        <v>40</v>
      </c>
      <c r="F39" t="s">
        <v>7328</v>
      </c>
      <c r="G39" s="20">
        <v>43298</v>
      </c>
      <c r="H39">
        <v>1500000</v>
      </c>
      <c r="I39" t="s">
        <v>7398</v>
      </c>
      <c r="J39" t="s">
        <v>6837</v>
      </c>
    </row>
    <row r="40" spans="1:10" x14ac:dyDescent="0.25">
      <c r="A40" t="s">
        <v>934</v>
      </c>
      <c r="B40" t="s">
        <v>7399</v>
      </c>
      <c r="C40" t="s">
        <v>5301</v>
      </c>
      <c r="D40" t="s">
        <v>5093</v>
      </c>
      <c r="E40" t="s">
        <v>40</v>
      </c>
      <c r="F40" t="s">
        <v>7333</v>
      </c>
      <c r="G40" s="20">
        <v>43046</v>
      </c>
      <c r="H40">
        <v>1500000</v>
      </c>
      <c r="I40" t="s">
        <v>7400</v>
      </c>
      <c r="J40" t="s">
        <v>6837</v>
      </c>
    </row>
    <row r="41" spans="1:10" x14ac:dyDescent="0.25">
      <c r="A41" t="s">
        <v>241</v>
      </c>
      <c r="B41" t="s">
        <v>7401</v>
      </c>
      <c r="C41" t="s">
        <v>5126</v>
      </c>
      <c r="D41" t="s">
        <v>5118</v>
      </c>
      <c r="E41" t="s">
        <v>40</v>
      </c>
      <c r="F41" t="s">
        <v>7336</v>
      </c>
      <c r="G41" s="20">
        <v>44288</v>
      </c>
      <c r="H41">
        <v>1200000</v>
      </c>
      <c r="I41" t="s">
        <v>6061</v>
      </c>
      <c r="J41" t="s">
        <v>6837</v>
      </c>
    </row>
    <row r="42" spans="1:10" x14ac:dyDescent="0.25">
      <c r="A42" t="s">
        <v>607</v>
      </c>
      <c r="B42" t="s">
        <v>7402</v>
      </c>
      <c r="C42" t="s">
        <v>5243</v>
      </c>
      <c r="D42" t="s">
        <v>5112</v>
      </c>
      <c r="E42" t="s">
        <v>38</v>
      </c>
      <c r="F42" t="s">
        <v>7328</v>
      </c>
      <c r="G42" s="20">
        <v>44666</v>
      </c>
      <c r="H42">
        <v>2500000</v>
      </c>
      <c r="I42" t="s">
        <v>5323</v>
      </c>
      <c r="J42" t="s">
        <v>6837</v>
      </c>
    </row>
    <row r="43" spans="1:10" x14ac:dyDescent="0.25">
      <c r="A43" t="s">
        <v>1325</v>
      </c>
      <c r="B43" t="s">
        <v>7330</v>
      </c>
      <c r="C43" t="s">
        <v>5181</v>
      </c>
      <c r="D43" t="s">
        <v>5112</v>
      </c>
      <c r="E43" t="s">
        <v>38</v>
      </c>
      <c r="F43" t="s">
        <v>7328</v>
      </c>
      <c r="G43" s="20">
        <v>43835</v>
      </c>
      <c r="H43">
        <v>800000</v>
      </c>
      <c r="I43" t="s">
        <v>7403</v>
      </c>
      <c r="J43" t="s">
        <v>6837</v>
      </c>
    </row>
    <row r="44" spans="1:10" x14ac:dyDescent="0.25">
      <c r="A44" t="s">
        <v>1017</v>
      </c>
      <c r="B44" t="s">
        <v>7365</v>
      </c>
      <c r="C44" t="s">
        <v>5238</v>
      </c>
      <c r="D44" t="s">
        <v>5093</v>
      </c>
      <c r="E44" t="s">
        <v>40</v>
      </c>
      <c r="F44" t="s">
        <v>7328</v>
      </c>
      <c r="G44" s="20">
        <v>43386</v>
      </c>
      <c r="H44">
        <v>1500000</v>
      </c>
      <c r="I44" t="s">
        <v>7404</v>
      </c>
      <c r="J44" t="s">
        <v>6837</v>
      </c>
    </row>
    <row r="45" spans="1:10" x14ac:dyDescent="0.25">
      <c r="A45" t="s">
        <v>391</v>
      </c>
      <c r="B45" t="s">
        <v>7405</v>
      </c>
      <c r="C45" t="s">
        <v>5331</v>
      </c>
      <c r="D45" t="s">
        <v>5118</v>
      </c>
      <c r="E45" t="s">
        <v>40</v>
      </c>
      <c r="F45" t="s">
        <v>7333</v>
      </c>
      <c r="G45" s="20">
        <v>44679</v>
      </c>
      <c r="H45">
        <v>1200000</v>
      </c>
      <c r="I45" t="s">
        <v>7406</v>
      </c>
      <c r="J45" t="s">
        <v>6837</v>
      </c>
    </row>
    <row r="46" spans="1:10" x14ac:dyDescent="0.25">
      <c r="A46" t="s">
        <v>511</v>
      </c>
      <c r="B46" t="s">
        <v>7407</v>
      </c>
      <c r="C46" t="s">
        <v>5276</v>
      </c>
      <c r="D46" t="s">
        <v>5118</v>
      </c>
      <c r="E46" t="s">
        <v>40</v>
      </c>
      <c r="F46" t="s">
        <v>7328</v>
      </c>
      <c r="G46" s="20">
        <v>43849</v>
      </c>
      <c r="H46">
        <v>1500000</v>
      </c>
      <c r="I46" t="s">
        <v>5692</v>
      </c>
      <c r="J46" t="s">
        <v>6837</v>
      </c>
    </row>
    <row r="47" spans="1:10" x14ac:dyDescent="0.25">
      <c r="A47" t="s">
        <v>667</v>
      </c>
      <c r="B47" t="s">
        <v>7408</v>
      </c>
      <c r="C47" t="s">
        <v>5201</v>
      </c>
      <c r="D47" t="s">
        <v>5118</v>
      </c>
      <c r="E47" t="s">
        <v>40</v>
      </c>
      <c r="F47" t="s">
        <v>7333</v>
      </c>
      <c r="G47" s="20">
        <v>43631</v>
      </c>
      <c r="H47">
        <v>800000</v>
      </c>
      <c r="I47" t="s">
        <v>7409</v>
      </c>
      <c r="J47" t="s">
        <v>6837</v>
      </c>
    </row>
    <row r="48" spans="1:10" x14ac:dyDescent="0.25">
      <c r="A48" t="s">
        <v>226</v>
      </c>
      <c r="B48" t="s">
        <v>7362</v>
      </c>
      <c r="C48" t="s">
        <v>5292</v>
      </c>
      <c r="D48" t="s">
        <v>5098</v>
      </c>
      <c r="E48" t="s">
        <v>42</v>
      </c>
      <c r="F48" t="s">
        <v>7328</v>
      </c>
      <c r="G48" s="20">
        <v>42345</v>
      </c>
      <c r="H48">
        <v>800000</v>
      </c>
      <c r="I48" t="s">
        <v>7410</v>
      </c>
      <c r="J48" t="s">
        <v>6837</v>
      </c>
    </row>
    <row r="49" spans="1:10" x14ac:dyDescent="0.25">
      <c r="A49" t="s">
        <v>1962</v>
      </c>
      <c r="B49" t="s">
        <v>7411</v>
      </c>
      <c r="C49" t="s">
        <v>5145</v>
      </c>
      <c r="D49" t="s">
        <v>5098</v>
      </c>
      <c r="E49" t="s">
        <v>42</v>
      </c>
      <c r="F49" t="s">
        <v>7333</v>
      </c>
      <c r="G49" s="20">
        <v>45026</v>
      </c>
      <c r="H49">
        <v>1200000</v>
      </c>
      <c r="I49" t="s">
        <v>7412</v>
      </c>
      <c r="J49" t="s">
        <v>6837</v>
      </c>
    </row>
    <row r="50" spans="1:10" x14ac:dyDescent="0.25">
      <c r="A50" t="s">
        <v>98</v>
      </c>
      <c r="B50" t="s">
        <v>7413</v>
      </c>
      <c r="C50" t="s">
        <v>5301</v>
      </c>
      <c r="D50" t="s">
        <v>5093</v>
      </c>
      <c r="E50" t="s">
        <v>40</v>
      </c>
      <c r="F50" t="s">
        <v>7360</v>
      </c>
      <c r="G50" s="20">
        <v>43466</v>
      </c>
      <c r="H50">
        <v>1200000</v>
      </c>
      <c r="I50" t="s">
        <v>7414</v>
      </c>
      <c r="J50" t="s">
        <v>6837</v>
      </c>
    </row>
    <row r="51" spans="1:10" x14ac:dyDescent="0.25">
      <c r="A51" t="s">
        <v>537</v>
      </c>
      <c r="B51" t="s">
        <v>7345</v>
      </c>
      <c r="C51" t="s">
        <v>5181</v>
      </c>
      <c r="D51" t="s">
        <v>5112</v>
      </c>
      <c r="E51" t="s">
        <v>38</v>
      </c>
      <c r="F51" t="s">
        <v>7333</v>
      </c>
      <c r="G51" s="20">
        <v>44862</v>
      </c>
      <c r="H51">
        <v>2000000</v>
      </c>
      <c r="I51" t="s">
        <v>7415</v>
      </c>
      <c r="J51" t="s">
        <v>6837</v>
      </c>
    </row>
    <row r="52" spans="1:10" x14ac:dyDescent="0.25">
      <c r="A52" t="s">
        <v>425</v>
      </c>
      <c r="B52" t="s">
        <v>7416</v>
      </c>
      <c r="C52" t="s">
        <v>5304</v>
      </c>
      <c r="D52" t="s">
        <v>5112</v>
      </c>
      <c r="E52" t="s">
        <v>38</v>
      </c>
      <c r="F52" t="s">
        <v>7355</v>
      </c>
      <c r="G52" s="20">
        <v>43977</v>
      </c>
      <c r="H52">
        <v>2000000</v>
      </c>
      <c r="I52" t="s">
        <v>7417</v>
      </c>
      <c r="J52" t="s">
        <v>6837</v>
      </c>
    </row>
    <row r="53" spans="1:10" x14ac:dyDescent="0.25">
      <c r="A53" t="s">
        <v>1522</v>
      </c>
      <c r="B53" t="s">
        <v>7411</v>
      </c>
      <c r="C53" t="s">
        <v>5145</v>
      </c>
      <c r="D53" t="s">
        <v>5098</v>
      </c>
      <c r="E53" t="s">
        <v>42</v>
      </c>
      <c r="F53" t="s">
        <v>7333</v>
      </c>
      <c r="G53" s="20">
        <v>42048</v>
      </c>
      <c r="H53">
        <v>800000</v>
      </c>
      <c r="I53" t="s">
        <v>7415</v>
      </c>
      <c r="J53" t="s">
        <v>6837</v>
      </c>
    </row>
    <row r="54" spans="1:10" x14ac:dyDescent="0.25">
      <c r="A54" t="s">
        <v>541</v>
      </c>
      <c r="B54" t="s">
        <v>7385</v>
      </c>
      <c r="C54" t="s">
        <v>5111</v>
      </c>
      <c r="D54" t="s">
        <v>5112</v>
      </c>
      <c r="E54" t="s">
        <v>38</v>
      </c>
      <c r="F54" t="s">
        <v>7328</v>
      </c>
      <c r="G54" s="20">
        <v>44019</v>
      </c>
      <c r="H54">
        <v>1500000</v>
      </c>
      <c r="I54" t="s">
        <v>7418</v>
      </c>
      <c r="J54" t="s">
        <v>6837</v>
      </c>
    </row>
    <row r="55" spans="1:10" x14ac:dyDescent="0.25">
      <c r="A55" t="s">
        <v>823</v>
      </c>
      <c r="B55" t="s">
        <v>7341</v>
      </c>
      <c r="C55" t="s">
        <v>5231</v>
      </c>
      <c r="D55" t="s">
        <v>5103</v>
      </c>
      <c r="E55" t="s">
        <v>38</v>
      </c>
      <c r="F55" t="s">
        <v>7336</v>
      </c>
      <c r="G55" s="20">
        <v>43691</v>
      </c>
      <c r="H55">
        <v>2000000</v>
      </c>
      <c r="I55" t="s">
        <v>7419</v>
      </c>
      <c r="J55" t="s">
        <v>7384</v>
      </c>
    </row>
    <row r="56" spans="1:10" x14ac:dyDescent="0.25">
      <c r="A56" t="s">
        <v>506</v>
      </c>
      <c r="B56" t="s">
        <v>7420</v>
      </c>
      <c r="C56" t="s">
        <v>5107</v>
      </c>
      <c r="D56" t="s">
        <v>5098</v>
      </c>
      <c r="E56" t="s">
        <v>42</v>
      </c>
      <c r="F56" t="s">
        <v>7333</v>
      </c>
      <c r="G56" s="20">
        <v>42329</v>
      </c>
      <c r="H56">
        <v>1500000</v>
      </c>
      <c r="I56" t="s">
        <v>7421</v>
      </c>
      <c r="J56" t="s">
        <v>6837</v>
      </c>
    </row>
    <row r="57" spans="1:10" x14ac:dyDescent="0.25">
      <c r="A57" t="s">
        <v>588</v>
      </c>
      <c r="B57" t="s">
        <v>7352</v>
      </c>
      <c r="C57" t="s">
        <v>5126</v>
      </c>
      <c r="D57" t="s">
        <v>5118</v>
      </c>
      <c r="E57" t="s">
        <v>40</v>
      </c>
      <c r="F57" t="s">
        <v>7328</v>
      </c>
      <c r="G57" s="20">
        <v>44183</v>
      </c>
      <c r="H57">
        <v>1200000</v>
      </c>
      <c r="I57" t="s">
        <v>7422</v>
      </c>
      <c r="J57" t="s">
        <v>6837</v>
      </c>
    </row>
    <row r="58" spans="1:10" x14ac:dyDescent="0.25">
      <c r="A58" t="s">
        <v>578</v>
      </c>
      <c r="B58" t="s">
        <v>7339</v>
      </c>
      <c r="C58" t="s">
        <v>5102</v>
      </c>
      <c r="D58" t="s">
        <v>5103</v>
      </c>
      <c r="E58" t="s">
        <v>38</v>
      </c>
      <c r="F58" t="s">
        <v>7328</v>
      </c>
      <c r="G58" s="20">
        <v>43119</v>
      </c>
      <c r="H58">
        <v>2500000</v>
      </c>
      <c r="I58" t="s">
        <v>7423</v>
      </c>
      <c r="J58" t="s">
        <v>7384</v>
      </c>
    </row>
    <row r="59" spans="1:10" x14ac:dyDescent="0.25">
      <c r="A59" t="s">
        <v>175</v>
      </c>
      <c r="B59" t="s">
        <v>7424</v>
      </c>
      <c r="C59" t="s">
        <v>5231</v>
      </c>
      <c r="D59" t="s">
        <v>5103</v>
      </c>
      <c r="E59" t="s">
        <v>38</v>
      </c>
      <c r="F59" t="s">
        <v>7360</v>
      </c>
      <c r="G59" s="20">
        <v>42423</v>
      </c>
      <c r="H59">
        <v>1200000</v>
      </c>
      <c r="I59" t="s">
        <v>7425</v>
      </c>
      <c r="J59" t="s">
        <v>6837</v>
      </c>
    </row>
    <row r="60" spans="1:10" x14ac:dyDescent="0.25">
      <c r="A60" t="s">
        <v>94</v>
      </c>
      <c r="B60" t="s">
        <v>7426</v>
      </c>
      <c r="C60" t="s">
        <v>5301</v>
      </c>
      <c r="D60" t="s">
        <v>5093</v>
      </c>
      <c r="E60" t="s">
        <v>40</v>
      </c>
      <c r="F60" t="s">
        <v>7336</v>
      </c>
      <c r="G60" s="20">
        <v>43405</v>
      </c>
      <c r="H60">
        <v>1500000</v>
      </c>
      <c r="I60" t="s">
        <v>7427</v>
      </c>
      <c r="J60" t="s">
        <v>6837</v>
      </c>
    </row>
    <row r="61" spans="1:10" x14ac:dyDescent="0.25">
      <c r="A61" t="s">
        <v>429</v>
      </c>
      <c r="B61" t="s">
        <v>7428</v>
      </c>
      <c r="C61" t="s">
        <v>5130</v>
      </c>
      <c r="D61" t="s">
        <v>5103</v>
      </c>
      <c r="E61" t="s">
        <v>38</v>
      </c>
      <c r="F61" t="s">
        <v>7360</v>
      </c>
      <c r="G61" s="20">
        <v>45079</v>
      </c>
      <c r="H61">
        <v>1000000</v>
      </c>
      <c r="I61" t="s">
        <v>7429</v>
      </c>
      <c r="J61" t="s">
        <v>6837</v>
      </c>
    </row>
    <row r="62" spans="1:10" x14ac:dyDescent="0.25">
      <c r="A62" t="s">
        <v>99</v>
      </c>
      <c r="B62" t="s">
        <v>7430</v>
      </c>
      <c r="C62" t="s">
        <v>5185</v>
      </c>
      <c r="D62" t="s">
        <v>5093</v>
      </c>
      <c r="E62" t="s">
        <v>40</v>
      </c>
      <c r="F62" t="s">
        <v>7328</v>
      </c>
      <c r="G62" s="20">
        <v>43029</v>
      </c>
      <c r="H62">
        <v>1500000</v>
      </c>
      <c r="I62" t="s">
        <v>5581</v>
      </c>
      <c r="J62" t="s">
        <v>6837</v>
      </c>
    </row>
    <row r="63" spans="1:10" x14ac:dyDescent="0.25">
      <c r="A63" t="s">
        <v>188</v>
      </c>
      <c r="B63" t="s">
        <v>7431</v>
      </c>
      <c r="C63" t="s">
        <v>5155</v>
      </c>
      <c r="D63" t="s">
        <v>5098</v>
      </c>
      <c r="E63" t="s">
        <v>42</v>
      </c>
      <c r="F63" t="s">
        <v>7328</v>
      </c>
      <c r="G63" s="20">
        <v>42142</v>
      </c>
      <c r="H63">
        <v>1000000</v>
      </c>
      <c r="I63" t="s">
        <v>7432</v>
      </c>
      <c r="J63" t="s">
        <v>6837</v>
      </c>
    </row>
    <row r="64" spans="1:10" x14ac:dyDescent="0.25">
      <c r="A64" t="s">
        <v>681</v>
      </c>
      <c r="B64" t="s">
        <v>7433</v>
      </c>
      <c r="C64" t="s">
        <v>5196</v>
      </c>
      <c r="D64" t="s">
        <v>5093</v>
      </c>
      <c r="E64" t="s">
        <v>40</v>
      </c>
      <c r="F64" t="s">
        <v>7336</v>
      </c>
      <c r="G64" s="20">
        <v>43283</v>
      </c>
      <c r="H64">
        <v>1200000</v>
      </c>
      <c r="I64" t="s">
        <v>7434</v>
      </c>
      <c r="J64" t="s">
        <v>6837</v>
      </c>
    </row>
    <row r="65" spans="1:10" x14ac:dyDescent="0.25">
      <c r="A65" t="s">
        <v>910</v>
      </c>
      <c r="B65" t="s">
        <v>7435</v>
      </c>
      <c r="C65" t="s">
        <v>5117</v>
      </c>
      <c r="D65" t="s">
        <v>5118</v>
      </c>
      <c r="E65" t="s">
        <v>40</v>
      </c>
      <c r="F65" t="s">
        <v>7328</v>
      </c>
      <c r="G65" s="20">
        <v>42818</v>
      </c>
      <c r="H65">
        <v>1200000</v>
      </c>
      <c r="I65" t="s">
        <v>7436</v>
      </c>
      <c r="J65" t="s">
        <v>6837</v>
      </c>
    </row>
    <row r="66" spans="1:10" x14ac:dyDescent="0.25">
      <c r="A66" t="s">
        <v>97</v>
      </c>
      <c r="B66" t="s">
        <v>7437</v>
      </c>
      <c r="C66" t="s">
        <v>5145</v>
      </c>
      <c r="D66" t="s">
        <v>5098</v>
      </c>
      <c r="E66" t="s">
        <v>42</v>
      </c>
      <c r="F66" t="s">
        <v>7360</v>
      </c>
      <c r="G66" s="20">
        <v>45258</v>
      </c>
      <c r="H66">
        <v>1200000</v>
      </c>
      <c r="I66" t="s">
        <v>7438</v>
      </c>
      <c r="J66" t="s">
        <v>7384</v>
      </c>
    </row>
    <row r="67" spans="1:10" x14ac:dyDescent="0.25">
      <c r="A67" t="s">
        <v>416</v>
      </c>
      <c r="B67" t="s">
        <v>7439</v>
      </c>
      <c r="C67" t="s">
        <v>5366</v>
      </c>
      <c r="D67" t="s">
        <v>5103</v>
      </c>
      <c r="E67" t="s">
        <v>38</v>
      </c>
      <c r="F67" t="s">
        <v>7328</v>
      </c>
      <c r="G67" s="20">
        <v>43951</v>
      </c>
      <c r="H67">
        <v>2500000</v>
      </c>
      <c r="I67" t="s">
        <v>7440</v>
      </c>
      <c r="J67" t="s">
        <v>6837</v>
      </c>
    </row>
    <row r="68" spans="1:10" x14ac:dyDescent="0.25">
      <c r="A68" t="s">
        <v>1281</v>
      </c>
      <c r="B68" t="s">
        <v>7441</v>
      </c>
      <c r="C68" t="s">
        <v>5136</v>
      </c>
      <c r="D68" t="s">
        <v>5098</v>
      </c>
      <c r="E68" t="s">
        <v>42</v>
      </c>
      <c r="F68" t="s">
        <v>7328</v>
      </c>
      <c r="G68" s="20">
        <v>43391</v>
      </c>
      <c r="H68">
        <v>2500000</v>
      </c>
      <c r="I68" t="s">
        <v>7442</v>
      </c>
      <c r="J68" t="s">
        <v>6837</v>
      </c>
    </row>
    <row r="69" spans="1:10" x14ac:dyDescent="0.25">
      <c r="A69" t="s">
        <v>216</v>
      </c>
      <c r="B69" t="s">
        <v>7357</v>
      </c>
      <c r="C69" t="s">
        <v>5142</v>
      </c>
      <c r="D69" t="s">
        <v>5103</v>
      </c>
      <c r="E69" t="s">
        <v>38</v>
      </c>
      <c r="F69" t="s">
        <v>7336</v>
      </c>
      <c r="G69" s="20">
        <v>43302</v>
      </c>
      <c r="H69">
        <v>2000000</v>
      </c>
      <c r="I69" t="s">
        <v>7443</v>
      </c>
      <c r="J69" t="s">
        <v>6837</v>
      </c>
    </row>
    <row r="70" spans="1:10" x14ac:dyDescent="0.25">
      <c r="A70" t="s">
        <v>1512</v>
      </c>
      <c r="B70" t="s">
        <v>7444</v>
      </c>
      <c r="C70" t="s">
        <v>5248</v>
      </c>
      <c r="D70" t="s">
        <v>5103</v>
      </c>
      <c r="E70" t="s">
        <v>38</v>
      </c>
      <c r="F70" t="s">
        <v>7336</v>
      </c>
      <c r="G70" s="20">
        <v>42556</v>
      </c>
      <c r="H70">
        <v>1200000</v>
      </c>
      <c r="I70" t="s">
        <v>7445</v>
      </c>
      <c r="J70" t="s">
        <v>6837</v>
      </c>
    </row>
    <row r="71" spans="1:10" x14ac:dyDescent="0.25">
      <c r="A71" t="s">
        <v>1426</v>
      </c>
      <c r="B71" t="s">
        <v>7446</v>
      </c>
      <c r="C71" t="s">
        <v>5271</v>
      </c>
      <c r="D71" t="s">
        <v>5112</v>
      </c>
      <c r="E71" t="s">
        <v>38</v>
      </c>
      <c r="F71" t="s">
        <v>7336</v>
      </c>
      <c r="G71" s="20">
        <v>44326</v>
      </c>
      <c r="H71">
        <v>1000000</v>
      </c>
      <c r="I71" t="s">
        <v>7447</v>
      </c>
      <c r="J71" t="s">
        <v>6837</v>
      </c>
    </row>
    <row r="72" spans="1:10" x14ac:dyDescent="0.25">
      <c r="A72" t="s">
        <v>402</v>
      </c>
      <c r="B72" t="s">
        <v>7448</v>
      </c>
      <c r="C72" t="s">
        <v>5177</v>
      </c>
      <c r="D72" t="s">
        <v>5112</v>
      </c>
      <c r="E72" t="s">
        <v>38</v>
      </c>
      <c r="F72" t="s">
        <v>7328</v>
      </c>
      <c r="G72" s="20">
        <v>42287</v>
      </c>
      <c r="H72">
        <v>2000000</v>
      </c>
      <c r="I72" t="s">
        <v>5482</v>
      </c>
      <c r="J72" t="s">
        <v>6837</v>
      </c>
    </row>
    <row r="73" spans="1:10" x14ac:dyDescent="0.25">
      <c r="A73" t="s">
        <v>302</v>
      </c>
      <c r="B73" t="s">
        <v>7441</v>
      </c>
      <c r="C73" t="s">
        <v>5136</v>
      </c>
      <c r="D73" t="s">
        <v>5098</v>
      </c>
      <c r="E73" t="s">
        <v>42</v>
      </c>
      <c r="F73" t="s">
        <v>7328</v>
      </c>
      <c r="G73" s="20">
        <v>44077</v>
      </c>
      <c r="H73">
        <v>1500000</v>
      </c>
      <c r="I73" t="s">
        <v>5801</v>
      </c>
      <c r="J73" t="s">
        <v>6837</v>
      </c>
    </row>
    <row r="74" spans="1:10" x14ac:dyDescent="0.25">
      <c r="A74" t="s">
        <v>363</v>
      </c>
      <c r="B74" t="s">
        <v>7449</v>
      </c>
      <c r="C74" t="s">
        <v>5243</v>
      </c>
      <c r="D74" t="s">
        <v>5112</v>
      </c>
      <c r="E74" t="s">
        <v>38</v>
      </c>
      <c r="F74" t="s">
        <v>7333</v>
      </c>
      <c r="G74" s="20">
        <v>42264</v>
      </c>
      <c r="H74">
        <v>2500000</v>
      </c>
      <c r="I74" t="s">
        <v>7450</v>
      </c>
      <c r="J74" t="s">
        <v>6837</v>
      </c>
    </row>
    <row r="75" spans="1:10" x14ac:dyDescent="0.25">
      <c r="A75" t="s">
        <v>181</v>
      </c>
      <c r="B75" t="s">
        <v>7451</v>
      </c>
      <c r="C75" t="s">
        <v>5292</v>
      </c>
      <c r="D75" t="s">
        <v>5098</v>
      </c>
      <c r="E75" t="s">
        <v>42</v>
      </c>
      <c r="F75" t="s">
        <v>7333</v>
      </c>
      <c r="G75" s="20">
        <v>43164</v>
      </c>
      <c r="H75">
        <v>1200000</v>
      </c>
      <c r="I75" t="s">
        <v>7452</v>
      </c>
      <c r="J75" t="s">
        <v>6837</v>
      </c>
    </row>
    <row r="76" spans="1:10" x14ac:dyDescent="0.25">
      <c r="A76" t="s">
        <v>280</v>
      </c>
      <c r="B76" t="s">
        <v>7453</v>
      </c>
      <c r="C76" t="s">
        <v>5214</v>
      </c>
      <c r="D76" t="s">
        <v>5103</v>
      </c>
      <c r="E76" t="s">
        <v>38</v>
      </c>
      <c r="F76" t="s">
        <v>7328</v>
      </c>
      <c r="G76" s="20">
        <v>42536</v>
      </c>
      <c r="H76">
        <v>1000000</v>
      </c>
      <c r="I76" t="s">
        <v>7454</v>
      </c>
      <c r="J76" t="s">
        <v>6837</v>
      </c>
    </row>
    <row r="77" spans="1:10" x14ac:dyDescent="0.25">
      <c r="A77" t="s">
        <v>1171</v>
      </c>
      <c r="B77" t="s">
        <v>7453</v>
      </c>
      <c r="C77" t="s">
        <v>5214</v>
      </c>
      <c r="D77" t="s">
        <v>5103</v>
      </c>
      <c r="E77" t="s">
        <v>38</v>
      </c>
      <c r="F77" t="s">
        <v>7328</v>
      </c>
      <c r="G77" s="20">
        <v>45430</v>
      </c>
      <c r="H77">
        <v>1500000</v>
      </c>
      <c r="I77" t="s">
        <v>7455</v>
      </c>
      <c r="J77" t="s">
        <v>6837</v>
      </c>
    </row>
    <row r="78" spans="1:10" x14ac:dyDescent="0.25">
      <c r="A78" t="s">
        <v>671</v>
      </c>
      <c r="B78" t="s">
        <v>7456</v>
      </c>
      <c r="C78" t="s">
        <v>5201</v>
      </c>
      <c r="D78" t="s">
        <v>5118</v>
      </c>
      <c r="E78" t="s">
        <v>40</v>
      </c>
      <c r="F78" t="s">
        <v>7336</v>
      </c>
      <c r="G78" s="20">
        <v>44486</v>
      </c>
      <c r="H78">
        <v>2500000</v>
      </c>
      <c r="I78" t="s">
        <v>7457</v>
      </c>
      <c r="J78" t="s">
        <v>6837</v>
      </c>
    </row>
    <row r="79" spans="1:10" x14ac:dyDescent="0.25">
      <c r="A79" t="s">
        <v>83</v>
      </c>
      <c r="B79" t="s">
        <v>7339</v>
      </c>
      <c r="C79" t="s">
        <v>5102</v>
      </c>
      <c r="D79" t="s">
        <v>5103</v>
      </c>
      <c r="E79" t="s">
        <v>38</v>
      </c>
      <c r="F79" t="s">
        <v>7328</v>
      </c>
      <c r="G79" s="20">
        <v>42253</v>
      </c>
      <c r="H79">
        <v>1200000</v>
      </c>
      <c r="I79" t="s">
        <v>7458</v>
      </c>
      <c r="J79" t="s">
        <v>6837</v>
      </c>
    </row>
    <row r="80" spans="1:10" x14ac:dyDescent="0.25">
      <c r="A80" t="s">
        <v>752</v>
      </c>
      <c r="B80" t="s">
        <v>7459</v>
      </c>
      <c r="C80" t="s">
        <v>5366</v>
      </c>
      <c r="D80" t="s">
        <v>5103</v>
      </c>
      <c r="E80" t="s">
        <v>38</v>
      </c>
      <c r="F80" t="s">
        <v>7333</v>
      </c>
      <c r="G80" s="20">
        <v>42171</v>
      </c>
      <c r="H80">
        <v>2500000</v>
      </c>
      <c r="I80" t="s">
        <v>7460</v>
      </c>
      <c r="J80" t="s">
        <v>6837</v>
      </c>
    </row>
    <row r="81" spans="1:10" x14ac:dyDescent="0.25">
      <c r="A81" t="s">
        <v>82</v>
      </c>
      <c r="B81" t="s">
        <v>7337</v>
      </c>
      <c r="C81" t="s">
        <v>5111</v>
      </c>
      <c r="D81" t="s">
        <v>5112</v>
      </c>
      <c r="E81" t="s">
        <v>38</v>
      </c>
      <c r="F81" t="s">
        <v>7333</v>
      </c>
      <c r="G81" s="20">
        <v>42951</v>
      </c>
      <c r="H81">
        <v>2000000</v>
      </c>
      <c r="I81" t="s">
        <v>7461</v>
      </c>
      <c r="J81" t="s">
        <v>6837</v>
      </c>
    </row>
    <row r="82" spans="1:10" x14ac:dyDescent="0.25">
      <c r="A82" t="s">
        <v>1163</v>
      </c>
      <c r="B82" t="s">
        <v>7462</v>
      </c>
      <c r="C82" t="s">
        <v>5271</v>
      </c>
      <c r="D82" t="s">
        <v>5112</v>
      </c>
      <c r="E82" t="s">
        <v>38</v>
      </c>
      <c r="F82" t="s">
        <v>7355</v>
      </c>
      <c r="G82" s="20">
        <v>44292</v>
      </c>
      <c r="H82">
        <v>2500000</v>
      </c>
      <c r="I82" t="s">
        <v>6774</v>
      </c>
      <c r="J82" t="s">
        <v>6837</v>
      </c>
    </row>
    <row r="83" spans="1:10" x14ac:dyDescent="0.25">
      <c r="A83" t="s">
        <v>521</v>
      </c>
      <c r="B83" t="s">
        <v>7348</v>
      </c>
      <c r="C83" t="s">
        <v>5097</v>
      </c>
      <c r="D83" t="s">
        <v>5098</v>
      </c>
      <c r="E83" t="s">
        <v>42</v>
      </c>
      <c r="F83" t="s">
        <v>7328</v>
      </c>
      <c r="G83" s="20">
        <v>42431</v>
      </c>
      <c r="H83">
        <v>1000000</v>
      </c>
      <c r="I83" t="s">
        <v>5283</v>
      </c>
      <c r="J83" t="s">
        <v>6837</v>
      </c>
    </row>
    <row r="84" spans="1:10" x14ac:dyDescent="0.25">
      <c r="A84" t="s">
        <v>343</v>
      </c>
      <c r="B84" t="s">
        <v>7463</v>
      </c>
      <c r="C84" t="s">
        <v>5384</v>
      </c>
      <c r="D84" t="s">
        <v>5093</v>
      </c>
      <c r="E84" t="s">
        <v>40</v>
      </c>
      <c r="F84" t="s">
        <v>7355</v>
      </c>
      <c r="G84" s="20">
        <v>43819</v>
      </c>
      <c r="H84">
        <v>1200000</v>
      </c>
      <c r="I84" t="s">
        <v>6593</v>
      </c>
      <c r="J84" t="s">
        <v>6837</v>
      </c>
    </row>
    <row r="85" spans="1:10" x14ac:dyDescent="0.25">
      <c r="A85" t="s">
        <v>194</v>
      </c>
      <c r="B85" t="s">
        <v>7464</v>
      </c>
      <c r="C85" t="s">
        <v>5097</v>
      </c>
      <c r="D85" t="s">
        <v>5098</v>
      </c>
      <c r="E85" t="s">
        <v>42</v>
      </c>
      <c r="F85" t="s">
        <v>7333</v>
      </c>
      <c r="G85" s="20">
        <v>42990</v>
      </c>
      <c r="H85">
        <v>2000000</v>
      </c>
      <c r="I85" t="s">
        <v>6727</v>
      </c>
      <c r="J85" t="s">
        <v>6837</v>
      </c>
    </row>
    <row r="86" spans="1:10" x14ac:dyDescent="0.25">
      <c r="A86" t="s">
        <v>206</v>
      </c>
      <c r="B86" t="s">
        <v>7465</v>
      </c>
      <c r="C86" t="s">
        <v>5126</v>
      </c>
      <c r="D86" t="s">
        <v>5118</v>
      </c>
      <c r="E86" t="s">
        <v>40</v>
      </c>
      <c r="F86" t="s">
        <v>7355</v>
      </c>
      <c r="G86" s="20">
        <v>43837</v>
      </c>
      <c r="H86">
        <v>1500000</v>
      </c>
      <c r="I86" t="s">
        <v>7466</v>
      </c>
      <c r="J86" t="s">
        <v>6837</v>
      </c>
    </row>
    <row r="87" spans="1:10" x14ac:dyDescent="0.25">
      <c r="A87" t="s">
        <v>914</v>
      </c>
      <c r="B87" t="s">
        <v>7394</v>
      </c>
      <c r="C87" t="s">
        <v>5243</v>
      </c>
      <c r="D87" t="s">
        <v>5112</v>
      </c>
      <c r="E87" t="s">
        <v>38</v>
      </c>
      <c r="F87" t="s">
        <v>7355</v>
      </c>
      <c r="G87" s="20">
        <v>43241</v>
      </c>
      <c r="H87">
        <v>800000</v>
      </c>
      <c r="I87" t="s">
        <v>7467</v>
      </c>
      <c r="J87" t="s">
        <v>6837</v>
      </c>
    </row>
    <row r="88" spans="1:10" x14ac:dyDescent="0.25">
      <c r="A88" t="s">
        <v>456</v>
      </c>
      <c r="B88" t="s">
        <v>7468</v>
      </c>
      <c r="C88" t="s">
        <v>5369</v>
      </c>
      <c r="D88" t="s">
        <v>5103</v>
      </c>
      <c r="E88" t="s">
        <v>38</v>
      </c>
      <c r="F88" t="s">
        <v>7355</v>
      </c>
      <c r="G88" s="20">
        <v>44099</v>
      </c>
      <c r="H88">
        <v>2000000</v>
      </c>
      <c r="I88" t="s">
        <v>6562</v>
      </c>
      <c r="J88" t="s">
        <v>7384</v>
      </c>
    </row>
    <row r="89" spans="1:10" x14ac:dyDescent="0.25">
      <c r="A89" t="s">
        <v>86</v>
      </c>
      <c r="B89" t="s">
        <v>7405</v>
      </c>
      <c r="C89" t="s">
        <v>5331</v>
      </c>
      <c r="D89" t="s">
        <v>5118</v>
      </c>
      <c r="E89" t="s">
        <v>40</v>
      </c>
      <c r="F89" t="s">
        <v>7333</v>
      </c>
      <c r="G89" s="20">
        <v>43508</v>
      </c>
      <c r="H89">
        <v>2000000</v>
      </c>
      <c r="I89" t="s">
        <v>7469</v>
      </c>
      <c r="J89" t="s">
        <v>6837</v>
      </c>
    </row>
    <row r="90" spans="1:10" x14ac:dyDescent="0.25">
      <c r="A90" t="s">
        <v>639</v>
      </c>
      <c r="B90" t="s">
        <v>7470</v>
      </c>
      <c r="C90" t="s">
        <v>5292</v>
      </c>
      <c r="D90" t="s">
        <v>5098</v>
      </c>
      <c r="E90" t="s">
        <v>42</v>
      </c>
      <c r="F90" t="s">
        <v>7355</v>
      </c>
      <c r="G90" s="20">
        <v>45012</v>
      </c>
      <c r="H90">
        <v>800000</v>
      </c>
      <c r="I90" t="s">
        <v>7471</v>
      </c>
      <c r="J90" t="s">
        <v>6837</v>
      </c>
    </row>
    <row r="91" spans="1:10" x14ac:dyDescent="0.25">
      <c r="A91" t="s">
        <v>387</v>
      </c>
      <c r="B91" t="s">
        <v>7472</v>
      </c>
      <c r="C91" t="s">
        <v>5177</v>
      </c>
      <c r="D91" t="s">
        <v>5112</v>
      </c>
      <c r="E91" t="s">
        <v>38</v>
      </c>
      <c r="F91" t="s">
        <v>7355</v>
      </c>
      <c r="G91" s="20">
        <v>44443</v>
      </c>
      <c r="H91">
        <v>2500000</v>
      </c>
      <c r="I91" t="s">
        <v>5782</v>
      </c>
      <c r="J91" t="s">
        <v>6837</v>
      </c>
    </row>
    <row r="92" spans="1:10" x14ac:dyDescent="0.25">
      <c r="A92" t="s">
        <v>810</v>
      </c>
      <c r="B92" t="s">
        <v>7352</v>
      </c>
      <c r="C92" t="s">
        <v>5126</v>
      </c>
      <c r="D92" t="s">
        <v>5118</v>
      </c>
      <c r="E92" t="s">
        <v>40</v>
      </c>
      <c r="F92" t="s">
        <v>7328</v>
      </c>
      <c r="G92" s="20">
        <v>43783</v>
      </c>
      <c r="H92">
        <v>1500000</v>
      </c>
      <c r="I92" t="s">
        <v>7473</v>
      </c>
      <c r="J92" t="s">
        <v>6837</v>
      </c>
    </row>
    <row r="93" spans="1:10" x14ac:dyDescent="0.25">
      <c r="A93" t="s">
        <v>360</v>
      </c>
      <c r="B93" t="s">
        <v>7385</v>
      </c>
      <c r="C93" t="s">
        <v>5111</v>
      </c>
      <c r="D93" t="s">
        <v>5112</v>
      </c>
      <c r="E93" t="s">
        <v>38</v>
      </c>
      <c r="F93" t="s">
        <v>7328</v>
      </c>
      <c r="G93" s="20">
        <v>44594</v>
      </c>
      <c r="H93">
        <v>1500000</v>
      </c>
      <c r="I93" t="s">
        <v>5814</v>
      </c>
      <c r="J93" t="s">
        <v>6837</v>
      </c>
    </row>
    <row r="94" spans="1:10" x14ac:dyDescent="0.25">
      <c r="A94" t="s">
        <v>470</v>
      </c>
      <c r="B94" t="s">
        <v>7449</v>
      </c>
      <c r="C94" t="s">
        <v>5243</v>
      </c>
      <c r="D94" t="s">
        <v>5112</v>
      </c>
      <c r="E94" t="s">
        <v>38</v>
      </c>
      <c r="F94" t="s">
        <v>7333</v>
      </c>
      <c r="G94" s="20">
        <v>44863</v>
      </c>
      <c r="H94">
        <v>1000000</v>
      </c>
      <c r="I94" t="s">
        <v>7474</v>
      </c>
      <c r="J94" t="s">
        <v>6837</v>
      </c>
    </row>
    <row r="95" spans="1:10" x14ac:dyDescent="0.25">
      <c r="A95" t="s">
        <v>721</v>
      </c>
      <c r="B95" t="s">
        <v>7475</v>
      </c>
      <c r="C95" t="s">
        <v>5189</v>
      </c>
      <c r="D95" t="s">
        <v>5112</v>
      </c>
      <c r="E95" t="s">
        <v>38</v>
      </c>
      <c r="F95" t="s">
        <v>7360</v>
      </c>
      <c r="G95" s="20">
        <v>43774</v>
      </c>
      <c r="H95">
        <v>1200000</v>
      </c>
      <c r="I95" t="s">
        <v>7476</v>
      </c>
      <c r="J95" t="s">
        <v>6837</v>
      </c>
    </row>
    <row r="96" spans="1:10" x14ac:dyDescent="0.25">
      <c r="A96" t="s">
        <v>100</v>
      </c>
      <c r="B96" t="s">
        <v>7362</v>
      </c>
      <c r="C96" t="s">
        <v>5292</v>
      </c>
      <c r="D96" t="s">
        <v>5098</v>
      </c>
      <c r="E96" t="s">
        <v>42</v>
      </c>
      <c r="F96" t="s">
        <v>7328</v>
      </c>
      <c r="G96" s="20">
        <v>44250</v>
      </c>
      <c r="H96">
        <v>1500000</v>
      </c>
      <c r="I96" t="s">
        <v>7477</v>
      </c>
      <c r="J96" t="s">
        <v>6837</v>
      </c>
    </row>
    <row r="97" spans="1:10" x14ac:dyDescent="0.25">
      <c r="A97" t="s">
        <v>490</v>
      </c>
      <c r="B97" t="s">
        <v>7478</v>
      </c>
      <c r="C97" t="s">
        <v>5238</v>
      </c>
      <c r="D97" t="s">
        <v>5093</v>
      </c>
      <c r="E97" t="s">
        <v>40</v>
      </c>
      <c r="F97" t="s">
        <v>7336</v>
      </c>
      <c r="G97" s="20">
        <v>42816</v>
      </c>
      <c r="H97">
        <v>1500000</v>
      </c>
      <c r="I97" t="s">
        <v>7479</v>
      </c>
      <c r="J97" t="s">
        <v>6837</v>
      </c>
    </row>
    <row r="98" spans="1:10" x14ac:dyDescent="0.25">
      <c r="A98" t="s">
        <v>355</v>
      </c>
      <c r="B98" t="s">
        <v>7449</v>
      </c>
      <c r="C98" t="s">
        <v>5243</v>
      </c>
      <c r="D98" t="s">
        <v>5112</v>
      </c>
      <c r="E98" t="s">
        <v>38</v>
      </c>
      <c r="F98" t="s">
        <v>7333</v>
      </c>
      <c r="G98" s="20">
        <v>43095</v>
      </c>
      <c r="H98">
        <v>1500000</v>
      </c>
      <c r="I98" t="s">
        <v>6225</v>
      </c>
      <c r="J98" t="s">
        <v>6837</v>
      </c>
    </row>
    <row r="99" spans="1:10" x14ac:dyDescent="0.25">
      <c r="A99" t="s">
        <v>92</v>
      </c>
      <c r="B99" t="s">
        <v>7411</v>
      </c>
      <c r="C99" t="s">
        <v>5145</v>
      </c>
      <c r="D99" t="s">
        <v>5098</v>
      </c>
      <c r="E99" t="s">
        <v>42</v>
      </c>
      <c r="F99" t="s">
        <v>7333</v>
      </c>
      <c r="G99" s="20">
        <v>43318</v>
      </c>
      <c r="H99">
        <v>1200000</v>
      </c>
      <c r="I99" t="s">
        <v>7480</v>
      </c>
      <c r="J99" t="s">
        <v>6837</v>
      </c>
    </row>
    <row r="100" spans="1:10" x14ac:dyDescent="0.25">
      <c r="A100" t="s">
        <v>291</v>
      </c>
      <c r="B100" t="s">
        <v>7407</v>
      </c>
      <c r="C100" t="s">
        <v>5276</v>
      </c>
      <c r="D100" t="s">
        <v>5118</v>
      </c>
      <c r="E100" t="s">
        <v>40</v>
      </c>
      <c r="F100" t="s">
        <v>7328</v>
      </c>
      <c r="G100" s="20">
        <v>45293</v>
      </c>
      <c r="H100">
        <v>1500000</v>
      </c>
      <c r="I100" t="s">
        <v>7481</v>
      </c>
      <c r="J100" t="s">
        <v>6837</v>
      </c>
    </row>
    <row r="101" spans="1:10" x14ac:dyDescent="0.25">
      <c r="A101" t="s">
        <v>477</v>
      </c>
      <c r="B101" t="s">
        <v>7430</v>
      </c>
      <c r="C101" t="s">
        <v>5185</v>
      </c>
      <c r="D101" t="s">
        <v>5093</v>
      </c>
      <c r="E101" t="s">
        <v>40</v>
      </c>
      <c r="F101" t="s">
        <v>7328</v>
      </c>
      <c r="G101" s="20">
        <v>42643</v>
      </c>
      <c r="H101">
        <v>2500000</v>
      </c>
      <c r="I101" t="s">
        <v>7482</v>
      </c>
      <c r="J101" t="s">
        <v>6837</v>
      </c>
    </row>
    <row r="102" spans="1:10" x14ac:dyDescent="0.25">
      <c r="A102" t="s">
        <v>87</v>
      </c>
      <c r="B102" t="s">
        <v>7402</v>
      </c>
      <c r="C102" t="s">
        <v>5243</v>
      </c>
      <c r="D102" t="s">
        <v>5112</v>
      </c>
      <c r="E102" t="s">
        <v>38</v>
      </c>
      <c r="F102" t="s">
        <v>7328</v>
      </c>
      <c r="G102" s="20">
        <v>45364</v>
      </c>
      <c r="H102">
        <v>1200000</v>
      </c>
      <c r="I102" t="s">
        <v>7483</v>
      </c>
      <c r="J102" t="s">
        <v>6837</v>
      </c>
    </row>
    <row r="103" spans="1:10" x14ac:dyDescent="0.25">
      <c r="A103" t="s">
        <v>158</v>
      </c>
      <c r="B103" t="s">
        <v>7484</v>
      </c>
      <c r="C103" t="s">
        <v>5130</v>
      </c>
      <c r="D103" t="s">
        <v>5103</v>
      </c>
      <c r="E103" t="s">
        <v>38</v>
      </c>
      <c r="F103" t="s">
        <v>7333</v>
      </c>
      <c r="G103" s="20">
        <v>44208</v>
      </c>
      <c r="H103">
        <v>1000000</v>
      </c>
      <c r="I103" t="s">
        <v>7485</v>
      </c>
      <c r="J103" t="s">
        <v>6837</v>
      </c>
    </row>
    <row r="104" spans="1:10" x14ac:dyDescent="0.25">
      <c r="A104" t="s">
        <v>368</v>
      </c>
      <c r="B104" t="s">
        <v>7462</v>
      </c>
      <c r="C104" t="s">
        <v>5271</v>
      </c>
      <c r="D104" t="s">
        <v>5112</v>
      </c>
      <c r="E104" t="s">
        <v>38</v>
      </c>
      <c r="F104" t="s">
        <v>7355</v>
      </c>
      <c r="G104" s="20">
        <v>44852</v>
      </c>
      <c r="H104">
        <v>2500000</v>
      </c>
      <c r="I104" t="s">
        <v>7486</v>
      </c>
      <c r="J104" t="s">
        <v>6837</v>
      </c>
    </row>
    <row r="105" spans="1:10" x14ac:dyDescent="0.25">
      <c r="A105" t="s">
        <v>515</v>
      </c>
      <c r="B105" t="s">
        <v>7337</v>
      </c>
      <c r="C105" t="s">
        <v>5111</v>
      </c>
      <c r="D105" t="s">
        <v>5112</v>
      </c>
      <c r="E105" t="s">
        <v>38</v>
      </c>
      <c r="F105" t="s">
        <v>7333</v>
      </c>
      <c r="G105" s="20">
        <v>42251</v>
      </c>
      <c r="H105">
        <v>1200000</v>
      </c>
      <c r="I105" t="s">
        <v>7415</v>
      </c>
      <c r="J105" t="s">
        <v>6837</v>
      </c>
    </row>
    <row r="106" spans="1:10" x14ac:dyDescent="0.25">
      <c r="A106" t="s">
        <v>1002</v>
      </c>
      <c r="B106" t="s">
        <v>7487</v>
      </c>
      <c r="C106" t="s">
        <v>5171</v>
      </c>
      <c r="D106" t="s">
        <v>5103</v>
      </c>
      <c r="E106" t="s">
        <v>38</v>
      </c>
      <c r="F106" t="s">
        <v>7336</v>
      </c>
      <c r="G106" s="20">
        <v>43116</v>
      </c>
      <c r="H106">
        <v>2500000</v>
      </c>
      <c r="I106" t="s">
        <v>7488</v>
      </c>
      <c r="J106" t="s">
        <v>6837</v>
      </c>
    </row>
    <row r="107" spans="1:10" x14ac:dyDescent="0.25">
      <c r="A107" t="s">
        <v>1825</v>
      </c>
      <c r="B107" t="s">
        <v>7489</v>
      </c>
      <c r="C107" t="s">
        <v>5155</v>
      </c>
      <c r="D107" t="s">
        <v>5098</v>
      </c>
      <c r="E107" t="s">
        <v>42</v>
      </c>
      <c r="F107" t="s">
        <v>7355</v>
      </c>
      <c r="G107" s="20">
        <v>44087</v>
      </c>
      <c r="H107">
        <v>2500000</v>
      </c>
      <c r="I107" t="s">
        <v>7490</v>
      </c>
      <c r="J107" t="s">
        <v>6837</v>
      </c>
    </row>
    <row r="108" spans="1:10" x14ac:dyDescent="0.25">
      <c r="A108" t="s">
        <v>1023</v>
      </c>
      <c r="B108" t="s">
        <v>7337</v>
      </c>
      <c r="C108" t="s">
        <v>5111</v>
      </c>
      <c r="D108" t="s">
        <v>5112</v>
      </c>
      <c r="E108" t="s">
        <v>38</v>
      </c>
      <c r="F108" t="s">
        <v>7333</v>
      </c>
      <c r="G108" s="20">
        <v>44055</v>
      </c>
      <c r="H108">
        <v>1500000</v>
      </c>
      <c r="I108" t="s">
        <v>7491</v>
      </c>
      <c r="J108" t="s">
        <v>6837</v>
      </c>
    </row>
    <row r="109" spans="1:10" x14ac:dyDescent="0.25">
      <c r="A109" t="s">
        <v>351</v>
      </c>
      <c r="B109" t="s">
        <v>7492</v>
      </c>
      <c r="C109" t="s">
        <v>5304</v>
      </c>
      <c r="D109" t="s">
        <v>5112</v>
      </c>
      <c r="E109" t="s">
        <v>38</v>
      </c>
      <c r="F109" t="s">
        <v>7333</v>
      </c>
      <c r="G109" s="20">
        <v>43616</v>
      </c>
      <c r="H109">
        <v>2500000</v>
      </c>
      <c r="I109" t="s">
        <v>7493</v>
      </c>
      <c r="J109" t="s">
        <v>6837</v>
      </c>
    </row>
    <row r="110" spans="1:10" x14ac:dyDescent="0.25">
      <c r="A110" t="s">
        <v>231</v>
      </c>
      <c r="B110" t="s">
        <v>7494</v>
      </c>
      <c r="C110" t="s">
        <v>5331</v>
      </c>
      <c r="D110" t="s">
        <v>5118</v>
      </c>
      <c r="E110" t="s">
        <v>40</v>
      </c>
      <c r="F110" t="s">
        <v>7355</v>
      </c>
      <c r="G110" s="20">
        <v>44058</v>
      </c>
      <c r="H110">
        <v>1200000</v>
      </c>
      <c r="I110" t="s">
        <v>7495</v>
      </c>
      <c r="J110" t="s">
        <v>6837</v>
      </c>
    </row>
    <row r="111" spans="1:10" x14ac:dyDescent="0.25">
      <c r="A111" t="s">
        <v>262</v>
      </c>
      <c r="B111" t="s">
        <v>7496</v>
      </c>
      <c r="C111" t="s">
        <v>5231</v>
      </c>
      <c r="D111" t="s">
        <v>5103</v>
      </c>
      <c r="E111" t="s">
        <v>38</v>
      </c>
      <c r="F111" t="s">
        <v>7355</v>
      </c>
      <c r="G111" s="20">
        <v>42928</v>
      </c>
      <c r="H111">
        <v>1000000</v>
      </c>
      <c r="I111" t="s">
        <v>7497</v>
      </c>
      <c r="J111" t="s">
        <v>6837</v>
      </c>
    </row>
    <row r="112" spans="1:10" x14ac:dyDescent="0.25">
      <c r="A112" t="s">
        <v>296</v>
      </c>
      <c r="B112" t="s">
        <v>7470</v>
      </c>
      <c r="C112" t="s">
        <v>5292</v>
      </c>
      <c r="D112" t="s">
        <v>5098</v>
      </c>
      <c r="E112" t="s">
        <v>42</v>
      </c>
      <c r="F112" t="s">
        <v>7355</v>
      </c>
      <c r="G112" s="20">
        <v>44513</v>
      </c>
      <c r="H112">
        <v>2500000</v>
      </c>
      <c r="I112" t="s">
        <v>7498</v>
      </c>
      <c r="J112" t="s">
        <v>6837</v>
      </c>
    </row>
    <row r="113" spans="1:10" x14ac:dyDescent="0.25">
      <c r="A113" t="s">
        <v>318</v>
      </c>
      <c r="B113" t="s">
        <v>7499</v>
      </c>
      <c r="C113" t="s">
        <v>5145</v>
      </c>
      <c r="D113" t="s">
        <v>5098</v>
      </c>
      <c r="E113" t="s">
        <v>42</v>
      </c>
      <c r="F113" t="s">
        <v>7355</v>
      </c>
      <c r="G113" s="20">
        <v>43353</v>
      </c>
      <c r="H113">
        <v>1500000</v>
      </c>
      <c r="I113" t="s">
        <v>7500</v>
      </c>
      <c r="J113" t="s">
        <v>6837</v>
      </c>
    </row>
    <row r="114" spans="1:10" x14ac:dyDescent="0.25">
      <c r="A114" t="s">
        <v>617</v>
      </c>
      <c r="B114" t="s">
        <v>7501</v>
      </c>
      <c r="C114" t="s">
        <v>5238</v>
      </c>
      <c r="D114" t="s">
        <v>5093</v>
      </c>
      <c r="E114" t="s">
        <v>40</v>
      </c>
      <c r="F114" t="s">
        <v>7333</v>
      </c>
      <c r="G114" s="20">
        <v>44893</v>
      </c>
      <c r="H114">
        <v>2000000</v>
      </c>
      <c r="I114" t="s">
        <v>7502</v>
      </c>
      <c r="J114" t="s">
        <v>6837</v>
      </c>
    </row>
    <row r="115" spans="1:10" x14ac:dyDescent="0.25">
      <c r="A115" t="s">
        <v>93</v>
      </c>
      <c r="B115" t="s">
        <v>7449</v>
      </c>
      <c r="C115" t="s">
        <v>5243</v>
      </c>
      <c r="D115" t="s">
        <v>5112</v>
      </c>
      <c r="E115" t="s">
        <v>38</v>
      </c>
      <c r="F115" t="s">
        <v>7333</v>
      </c>
      <c r="G115" s="20">
        <v>44287</v>
      </c>
      <c r="H115">
        <v>2000000</v>
      </c>
      <c r="I115" t="s">
        <v>7503</v>
      </c>
      <c r="J115" t="s">
        <v>6837</v>
      </c>
    </row>
    <row r="116" spans="1:10" x14ac:dyDescent="0.25">
      <c r="A116" t="s">
        <v>442</v>
      </c>
      <c r="B116" t="s">
        <v>7504</v>
      </c>
      <c r="C116" t="s">
        <v>5301</v>
      </c>
      <c r="D116" t="s">
        <v>5093</v>
      </c>
      <c r="E116" t="s">
        <v>40</v>
      </c>
      <c r="F116" t="s">
        <v>7328</v>
      </c>
      <c r="G116" s="20">
        <v>43700</v>
      </c>
      <c r="H116">
        <v>1500000</v>
      </c>
      <c r="I116" t="s">
        <v>7505</v>
      </c>
      <c r="J116" t="s">
        <v>6837</v>
      </c>
    </row>
    <row r="117" spans="1:10" x14ac:dyDescent="0.25">
      <c r="A117" t="s">
        <v>334</v>
      </c>
      <c r="B117" t="s">
        <v>7506</v>
      </c>
      <c r="C117" t="s">
        <v>5142</v>
      </c>
      <c r="D117" t="s">
        <v>5103</v>
      </c>
      <c r="E117" t="s">
        <v>38</v>
      </c>
      <c r="F117" t="s">
        <v>7333</v>
      </c>
      <c r="G117" s="20">
        <v>45127</v>
      </c>
      <c r="H117">
        <v>2000000</v>
      </c>
      <c r="I117" t="s">
        <v>7507</v>
      </c>
      <c r="J117" t="s">
        <v>6837</v>
      </c>
    </row>
    <row r="118" spans="1:10" x14ac:dyDescent="0.25">
      <c r="A118" t="s">
        <v>806</v>
      </c>
      <c r="B118" t="s">
        <v>7428</v>
      </c>
      <c r="C118" t="s">
        <v>5130</v>
      </c>
      <c r="D118" t="s">
        <v>5103</v>
      </c>
      <c r="E118" t="s">
        <v>38</v>
      </c>
      <c r="F118" t="s">
        <v>7360</v>
      </c>
      <c r="G118" s="20">
        <v>45199</v>
      </c>
      <c r="H118">
        <v>1500000</v>
      </c>
      <c r="I118" t="s">
        <v>7508</v>
      </c>
      <c r="J118" t="s">
        <v>6837</v>
      </c>
    </row>
    <row r="119" spans="1:10" x14ac:dyDescent="0.25">
      <c r="A119" t="s">
        <v>741</v>
      </c>
      <c r="B119" t="s">
        <v>7509</v>
      </c>
      <c r="C119" t="s">
        <v>5107</v>
      </c>
      <c r="D119" t="s">
        <v>5098</v>
      </c>
      <c r="E119" t="s">
        <v>42</v>
      </c>
      <c r="F119" t="s">
        <v>7336</v>
      </c>
      <c r="G119" s="20">
        <v>42675</v>
      </c>
      <c r="H119">
        <v>1000000</v>
      </c>
      <c r="I119" t="s">
        <v>5565</v>
      </c>
      <c r="J119" t="s">
        <v>6837</v>
      </c>
    </row>
    <row r="120" spans="1:10" x14ac:dyDescent="0.25">
      <c r="A120" t="s">
        <v>906</v>
      </c>
      <c r="B120" t="s">
        <v>7431</v>
      </c>
      <c r="C120" t="s">
        <v>5155</v>
      </c>
      <c r="D120" t="s">
        <v>5098</v>
      </c>
      <c r="E120" t="s">
        <v>42</v>
      </c>
      <c r="F120" t="s">
        <v>7328</v>
      </c>
      <c r="G120" s="20">
        <v>42835</v>
      </c>
      <c r="H120">
        <v>1000000</v>
      </c>
      <c r="I120" t="s">
        <v>7510</v>
      </c>
      <c r="J120" t="s">
        <v>6837</v>
      </c>
    </row>
    <row r="121" spans="1:10" x14ac:dyDescent="0.25">
      <c r="A121" t="s">
        <v>1108</v>
      </c>
      <c r="B121" t="s">
        <v>7435</v>
      </c>
      <c r="C121" t="s">
        <v>5117</v>
      </c>
      <c r="D121" t="s">
        <v>5118</v>
      </c>
      <c r="E121" t="s">
        <v>40</v>
      </c>
      <c r="F121" t="s">
        <v>7328</v>
      </c>
      <c r="G121" s="20">
        <v>43756</v>
      </c>
      <c r="H121">
        <v>1500000</v>
      </c>
      <c r="I121" t="s">
        <v>7511</v>
      </c>
      <c r="J121" t="s">
        <v>6837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0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9" width="16" customWidth="1"/>
  </cols>
  <sheetData>
    <row r="1" spans="1:9" x14ac:dyDescent="0.25">
      <c r="A1" s="19" t="s">
        <v>132</v>
      </c>
      <c r="B1" s="19" t="s">
        <v>7512</v>
      </c>
      <c r="C1" s="19" t="s">
        <v>7513</v>
      </c>
      <c r="D1" s="19" t="s">
        <v>7514</v>
      </c>
      <c r="E1" s="19" t="s">
        <v>7515</v>
      </c>
      <c r="F1" s="19" t="s">
        <v>7516</v>
      </c>
      <c r="G1" s="19" t="s">
        <v>79</v>
      </c>
      <c r="H1" s="19" t="s">
        <v>7517</v>
      </c>
      <c r="I1" s="19" t="s">
        <v>7518</v>
      </c>
    </row>
    <row r="2" spans="1:9" x14ac:dyDescent="0.25">
      <c r="A2" t="s">
        <v>201</v>
      </c>
      <c r="B2" t="s">
        <v>7519</v>
      </c>
      <c r="C2" t="s">
        <v>7520</v>
      </c>
      <c r="D2" t="s">
        <v>7521</v>
      </c>
      <c r="E2">
        <v>16400</v>
      </c>
      <c r="F2" s="20">
        <v>44241</v>
      </c>
      <c r="G2" t="s">
        <v>1825</v>
      </c>
      <c r="H2">
        <v>4.5999999999999996</v>
      </c>
      <c r="I2" t="s">
        <v>7522</v>
      </c>
    </row>
    <row r="3" spans="1:9" x14ac:dyDescent="0.25">
      <c r="A3" t="s">
        <v>242</v>
      </c>
      <c r="B3" t="s">
        <v>7523</v>
      </c>
      <c r="C3" t="s">
        <v>7520</v>
      </c>
      <c r="D3" t="s">
        <v>7521</v>
      </c>
      <c r="E3">
        <v>20000</v>
      </c>
      <c r="F3" s="20">
        <v>45504</v>
      </c>
      <c r="G3" t="s">
        <v>1163</v>
      </c>
      <c r="H3">
        <v>4.9000000000000004</v>
      </c>
      <c r="I3" t="s">
        <v>6837</v>
      </c>
    </row>
    <row r="4" spans="1:9" x14ac:dyDescent="0.25">
      <c r="A4" t="s">
        <v>7524</v>
      </c>
      <c r="B4" t="s">
        <v>7525</v>
      </c>
      <c r="C4" t="s">
        <v>7526</v>
      </c>
      <c r="D4" t="s">
        <v>7527</v>
      </c>
      <c r="E4">
        <v>54000</v>
      </c>
      <c r="F4" s="20">
        <v>44881</v>
      </c>
      <c r="G4" t="s">
        <v>741</v>
      </c>
      <c r="H4">
        <v>2.2000000000000002</v>
      </c>
      <c r="I4" t="s">
        <v>6837</v>
      </c>
    </row>
    <row r="5" spans="1:9" x14ac:dyDescent="0.25">
      <c r="A5" t="s">
        <v>7528</v>
      </c>
      <c r="B5" t="s">
        <v>7529</v>
      </c>
      <c r="C5" t="s">
        <v>7530</v>
      </c>
      <c r="D5" t="s">
        <v>7530</v>
      </c>
      <c r="E5">
        <v>20200</v>
      </c>
      <c r="F5" s="20">
        <v>45221</v>
      </c>
      <c r="G5" t="s">
        <v>1426</v>
      </c>
      <c r="H5">
        <v>2.4</v>
      </c>
      <c r="I5" t="s">
        <v>6837</v>
      </c>
    </row>
    <row r="6" spans="1:9" x14ac:dyDescent="0.25">
      <c r="A6" t="s">
        <v>7531</v>
      </c>
      <c r="B6" t="s">
        <v>7532</v>
      </c>
      <c r="C6" t="s">
        <v>7533</v>
      </c>
      <c r="D6" t="s">
        <v>7534</v>
      </c>
      <c r="E6">
        <v>14700</v>
      </c>
      <c r="F6" s="20">
        <v>43697</v>
      </c>
      <c r="G6" t="s">
        <v>639</v>
      </c>
      <c r="H6">
        <v>3.9</v>
      </c>
      <c r="I6" t="s">
        <v>6837</v>
      </c>
    </row>
    <row r="7" spans="1:9" x14ac:dyDescent="0.25">
      <c r="A7" t="s">
        <v>7535</v>
      </c>
      <c r="B7" t="s">
        <v>7536</v>
      </c>
      <c r="C7" t="s">
        <v>7530</v>
      </c>
      <c r="D7" t="s">
        <v>7537</v>
      </c>
      <c r="E7">
        <v>19100</v>
      </c>
      <c r="F7" s="20">
        <v>42719</v>
      </c>
      <c r="G7" t="s">
        <v>216</v>
      </c>
      <c r="H7">
        <v>4.0999999999999996</v>
      </c>
      <c r="I7" t="s">
        <v>6837</v>
      </c>
    </row>
    <row r="8" spans="1:9" x14ac:dyDescent="0.25">
      <c r="A8" t="s">
        <v>7538</v>
      </c>
      <c r="B8" t="s">
        <v>7539</v>
      </c>
      <c r="C8" t="s">
        <v>7540</v>
      </c>
      <c r="D8" t="s">
        <v>7541</v>
      </c>
      <c r="E8">
        <v>13800</v>
      </c>
      <c r="F8" s="20">
        <v>43742</v>
      </c>
      <c r="G8" t="s">
        <v>363</v>
      </c>
      <c r="H8">
        <v>4.5999999999999996</v>
      </c>
      <c r="I8" t="s">
        <v>7522</v>
      </c>
    </row>
    <row r="9" spans="1:9" x14ac:dyDescent="0.25">
      <c r="A9" t="s">
        <v>237</v>
      </c>
      <c r="B9" t="s">
        <v>7542</v>
      </c>
      <c r="C9" t="s">
        <v>7520</v>
      </c>
      <c r="D9" t="s">
        <v>7543</v>
      </c>
      <c r="E9">
        <v>19000</v>
      </c>
      <c r="F9" s="20">
        <v>45360</v>
      </c>
      <c r="G9" t="s">
        <v>291</v>
      </c>
      <c r="H9">
        <v>4.9000000000000004</v>
      </c>
      <c r="I9" t="s">
        <v>6837</v>
      </c>
    </row>
    <row r="10" spans="1:9" x14ac:dyDescent="0.25">
      <c r="A10" t="s">
        <v>579</v>
      </c>
      <c r="B10" t="s">
        <v>6673</v>
      </c>
      <c r="C10" t="s">
        <v>7520</v>
      </c>
      <c r="D10" t="s">
        <v>7521</v>
      </c>
      <c r="E10">
        <v>25000</v>
      </c>
      <c r="F10" s="20">
        <v>42420</v>
      </c>
      <c r="G10" t="s">
        <v>94</v>
      </c>
      <c r="H10">
        <v>3.5</v>
      </c>
      <c r="I10" t="s">
        <v>6837</v>
      </c>
    </row>
    <row r="11" spans="1:9" x14ac:dyDescent="0.25">
      <c r="A11" t="s">
        <v>7544</v>
      </c>
      <c r="B11" t="s">
        <v>7545</v>
      </c>
      <c r="C11" t="s">
        <v>7533</v>
      </c>
      <c r="D11" t="s">
        <v>7534</v>
      </c>
      <c r="E11">
        <v>17600</v>
      </c>
      <c r="F11" s="20">
        <v>44179</v>
      </c>
      <c r="G11" t="s">
        <v>84</v>
      </c>
      <c r="H11">
        <v>3.8</v>
      </c>
      <c r="I11" t="s">
        <v>6837</v>
      </c>
    </row>
    <row r="12" spans="1:9" x14ac:dyDescent="0.25">
      <c r="A12" t="s">
        <v>7546</v>
      </c>
      <c r="B12" t="s">
        <v>5169</v>
      </c>
      <c r="C12" t="s">
        <v>7533</v>
      </c>
      <c r="D12" t="s">
        <v>7547</v>
      </c>
      <c r="E12">
        <v>15500</v>
      </c>
      <c r="F12" s="20">
        <v>42595</v>
      </c>
      <c r="G12" t="s">
        <v>194</v>
      </c>
      <c r="H12">
        <v>3</v>
      </c>
      <c r="I12" t="s">
        <v>6837</v>
      </c>
    </row>
    <row r="13" spans="1:9" x14ac:dyDescent="0.25">
      <c r="A13" t="s">
        <v>7548</v>
      </c>
      <c r="B13" t="s">
        <v>7549</v>
      </c>
      <c r="C13" t="s">
        <v>7530</v>
      </c>
      <c r="D13" t="s">
        <v>7530</v>
      </c>
      <c r="E13">
        <v>14900</v>
      </c>
      <c r="F13" s="20">
        <v>43100</v>
      </c>
      <c r="G13" t="s">
        <v>200</v>
      </c>
      <c r="H13">
        <v>4</v>
      </c>
      <c r="I13" t="s">
        <v>6837</v>
      </c>
    </row>
    <row r="14" spans="1:9" x14ac:dyDescent="0.25">
      <c r="A14" t="s">
        <v>7550</v>
      </c>
      <c r="B14" t="s">
        <v>7551</v>
      </c>
      <c r="C14" t="s">
        <v>7552</v>
      </c>
      <c r="D14" t="s">
        <v>7553</v>
      </c>
      <c r="E14">
        <v>12600</v>
      </c>
      <c r="F14" s="20">
        <v>43595</v>
      </c>
      <c r="G14" t="s">
        <v>1325</v>
      </c>
      <c r="H14">
        <v>3.1</v>
      </c>
      <c r="I14" t="s">
        <v>6837</v>
      </c>
    </row>
    <row r="15" spans="1:9" x14ac:dyDescent="0.25">
      <c r="A15" t="s">
        <v>7554</v>
      </c>
      <c r="B15" t="s">
        <v>6195</v>
      </c>
      <c r="C15" t="s">
        <v>7530</v>
      </c>
      <c r="D15" t="s">
        <v>7537</v>
      </c>
      <c r="E15">
        <v>17800</v>
      </c>
      <c r="F15" s="20">
        <v>42869</v>
      </c>
      <c r="G15" t="s">
        <v>639</v>
      </c>
      <c r="H15">
        <v>4.5999999999999996</v>
      </c>
      <c r="I15" t="s">
        <v>6837</v>
      </c>
    </row>
    <row r="16" spans="1:9" x14ac:dyDescent="0.25">
      <c r="A16" t="s">
        <v>618</v>
      </c>
      <c r="B16" t="s">
        <v>7555</v>
      </c>
      <c r="C16" t="s">
        <v>7520</v>
      </c>
      <c r="D16" t="s">
        <v>7556</v>
      </c>
      <c r="E16">
        <v>22400</v>
      </c>
      <c r="F16" s="20">
        <v>44946</v>
      </c>
      <c r="G16" t="s">
        <v>216</v>
      </c>
      <c r="H16">
        <v>5</v>
      </c>
      <c r="I16" t="s">
        <v>6837</v>
      </c>
    </row>
    <row r="17" spans="1:9" x14ac:dyDescent="0.25">
      <c r="A17" t="s">
        <v>7557</v>
      </c>
      <c r="B17" t="s">
        <v>5206</v>
      </c>
      <c r="C17" t="s">
        <v>7552</v>
      </c>
      <c r="D17" t="s">
        <v>7558</v>
      </c>
      <c r="E17">
        <v>15200</v>
      </c>
      <c r="F17" s="20">
        <v>44922</v>
      </c>
      <c r="G17" t="s">
        <v>667</v>
      </c>
      <c r="H17">
        <v>4.8</v>
      </c>
      <c r="I17" t="s">
        <v>6837</v>
      </c>
    </row>
    <row r="18" spans="1:9" x14ac:dyDescent="0.25">
      <c r="A18" t="s">
        <v>7559</v>
      </c>
      <c r="B18" t="s">
        <v>7560</v>
      </c>
      <c r="C18" t="s">
        <v>7561</v>
      </c>
      <c r="D18" t="s">
        <v>7562</v>
      </c>
      <c r="E18">
        <v>21400</v>
      </c>
      <c r="F18" s="20">
        <v>43162</v>
      </c>
      <c r="G18" t="s">
        <v>525</v>
      </c>
      <c r="H18">
        <v>2.4</v>
      </c>
      <c r="I18" t="s">
        <v>6837</v>
      </c>
    </row>
    <row r="19" spans="1:9" x14ac:dyDescent="0.25">
      <c r="A19" t="s">
        <v>7563</v>
      </c>
      <c r="B19" t="s">
        <v>7564</v>
      </c>
      <c r="C19" t="s">
        <v>7540</v>
      </c>
      <c r="D19" t="s">
        <v>7541</v>
      </c>
      <c r="E19">
        <v>10200</v>
      </c>
      <c r="F19" s="20">
        <v>43802</v>
      </c>
      <c r="G19" t="s">
        <v>302</v>
      </c>
      <c r="H19">
        <v>4.4000000000000004</v>
      </c>
      <c r="I19" t="s">
        <v>6837</v>
      </c>
    </row>
    <row r="20" spans="1:9" x14ac:dyDescent="0.25">
      <c r="A20" t="s">
        <v>7565</v>
      </c>
      <c r="B20" t="s">
        <v>7566</v>
      </c>
      <c r="C20" t="s">
        <v>7530</v>
      </c>
      <c r="D20" t="s">
        <v>7537</v>
      </c>
      <c r="E20">
        <v>16400</v>
      </c>
      <c r="F20" s="20">
        <v>44622</v>
      </c>
      <c r="G20" t="s">
        <v>1325</v>
      </c>
      <c r="H20">
        <v>4.3</v>
      </c>
      <c r="I20" t="s">
        <v>6837</v>
      </c>
    </row>
    <row r="21" spans="1:9" x14ac:dyDescent="0.25">
      <c r="A21" t="s">
        <v>232</v>
      </c>
      <c r="B21" t="s">
        <v>7567</v>
      </c>
      <c r="C21" t="s">
        <v>7520</v>
      </c>
      <c r="D21" t="s">
        <v>7556</v>
      </c>
      <c r="E21">
        <v>17500</v>
      </c>
      <c r="F21" s="20">
        <v>43754</v>
      </c>
      <c r="G21" t="s">
        <v>906</v>
      </c>
      <c r="H21">
        <v>4</v>
      </c>
      <c r="I21" t="s">
        <v>7522</v>
      </c>
    </row>
    <row r="22" spans="1:9" x14ac:dyDescent="0.25">
      <c r="A22" t="s">
        <v>7568</v>
      </c>
      <c r="B22" t="s">
        <v>7569</v>
      </c>
      <c r="C22" t="s">
        <v>7561</v>
      </c>
      <c r="D22" t="s">
        <v>7570</v>
      </c>
      <c r="E22">
        <v>23000</v>
      </c>
      <c r="F22" s="20">
        <v>44569</v>
      </c>
      <c r="G22" t="s">
        <v>442</v>
      </c>
      <c r="H22">
        <v>3</v>
      </c>
      <c r="I22" t="s">
        <v>6837</v>
      </c>
    </row>
    <row r="23" spans="1:9" x14ac:dyDescent="0.25">
      <c r="A23" t="s">
        <v>7571</v>
      </c>
      <c r="B23" t="s">
        <v>7572</v>
      </c>
      <c r="C23" t="s">
        <v>7573</v>
      </c>
      <c r="D23" t="s">
        <v>7574</v>
      </c>
      <c r="E23">
        <v>21600</v>
      </c>
      <c r="F23" s="20">
        <v>42446</v>
      </c>
      <c r="G23" t="s">
        <v>1074</v>
      </c>
      <c r="H23">
        <v>3.7</v>
      </c>
      <c r="I23" t="s">
        <v>6837</v>
      </c>
    </row>
    <row r="24" spans="1:9" x14ac:dyDescent="0.25">
      <c r="A24" t="s">
        <v>7575</v>
      </c>
      <c r="B24" t="s">
        <v>7576</v>
      </c>
      <c r="C24" t="s">
        <v>7561</v>
      </c>
      <c r="D24" t="s">
        <v>7570</v>
      </c>
      <c r="E24">
        <v>22600</v>
      </c>
      <c r="F24" s="20">
        <v>43759</v>
      </c>
      <c r="G24" t="s">
        <v>98</v>
      </c>
      <c r="H24">
        <v>3.9</v>
      </c>
      <c r="I24" t="s">
        <v>6837</v>
      </c>
    </row>
    <row r="25" spans="1:9" x14ac:dyDescent="0.25">
      <c r="A25" t="s">
        <v>7577</v>
      </c>
      <c r="B25" t="s">
        <v>7578</v>
      </c>
      <c r="C25" t="s">
        <v>7530</v>
      </c>
      <c r="D25" t="s">
        <v>7537</v>
      </c>
      <c r="E25">
        <v>19600</v>
      </c>
      <c r="F25" s="20">
        <v>43658</v>
      </c>
      <c r="G25" t="s">
        <v>810</v>
      </c>
      <c r="H25">
        <v>2.1</v>
      </c>
      <c r="I25" t="s">
        <v>6837</v>
      </c>
    </row>
    <row r="26" spans="1:9" x14ac:dyDescent="0.25">
      <c r="A26" t="s">
        <v>7579</v>
      </c>
      <c r="B26" t="s">
        <v>7580</v>
      </c>
      <c r="C26" t="s">
        <v>7526</v>
      </c>
      <c r="D26" t="s">
        <v>7581</v>
      </c>
      <c r="E26">
        <v>44700</v>
      </c>
      <c r="F26" s="20">
        <v>43608</v>
      </c>
      <c r="G26" t="s">
        <v>451</v>
      </c>
      <c r="H26">
        <v>2.2999999999999998</v>
      </c>
      <c r="I26" t="s">
        <v>6837</v>
      </c>
    </row>
    <row r="27" spans="1:9" x14ac:dyDescent="0.25">
      <c r="A27" t="s">
        <v>434</v>
      </c>
      <c r="B27" t="s">
        <v>7582</v>
      </c>
      <c r="C27" t="s">
        <v>7520</v>
      </c>
      <c r="D27" t="s">
        <v>7543</v>
      </c>
      <c r="E27">
        <v>26800</v>
      </c>
      <c r="F27" s="20">
        <v>43001</v>
      </c>
      <c r="G27" t="s">
        <v>1442</v>
      </c>
      <c r="H27">
        <v>3</v>
      </c>
      <c r="I27" t="s">
        <v>6837</v>
      </c>
    </row>
    <row r="28" spans="1:9" x14ac:dyDescent="0.25">
      <c r="A28" t="s">
        <v>7583</v>
      </c>
      <c r="B28" t="s">
        <v>6301</v>
      </c>
      <c r="C28" t="s">
        <v>7561</v>
      </c>
      <c r="D28" t="s">
        <v>7562</v>
      </c>
      <c r="E28">
        <v>22400</v>
      </c>
      <c r="F28" s="20">
        <v>44484</v>
      </c>
      <c r="G28" t="s">
        <v>456</v>
      </c>
      <c r="H28">
        <v>5</v>
      </c>
      <c r="I28" t="s">
        <v>6837</v>
      </c>
    </row>
    <row r="29" spans="1:9" x14ac:dyDescent="0.25">
      <c r="A29" t="s">
        <v>7584</v>
      </c>
      <c r="B29" t="s">
        <v>7585</v>
      </c>
      <c r="C29" t="s">
        <v>7530</v>
      </c>
      <c r="D29" t="s">
        <v>7530</v>
      </c>
      <c r="E29">
        <v>16500</v>
      </c>
      <c r="F29" s="20">
        <v>42550</v>
      </c>
      <c r="G29" t="s">
        <v>86</v>
      </c>
      <c r="H29">
        <v>4.5</v>
      </c>
      <c r="I29" t="s">
        <v>7522</v>
      </c>
    </row>
    <row r="30" spans="1:9" x14ac:dyDescent="0.25">
      <c r="A30" t="s">
        <v>7586</v>
      </c>
      <c r="B30" t="s">
        <v>7587</v>
      </c>
      <c r="C30" t="s">
        <v>7573</v>
      </c>
      <c r="D30" t="s">
        <v>7588</v>
      </c>
      <c r="E30">
        <v>21800</v>
      </c>
      <c r="F30" s="20">
        <v>43648</v>
      </c>
      <c r="G30" t="s">
        <v>521</v>
      </c>
      <c r="H30">
        <v>4.7</v>
      </c>
      <c r="I30" t="s">
        <v>6837</v>
      </c>
    </row>
    <row r="31" spans="1:9" x14ac:dyDescent="0.25">
      <c r="A31" t="s">
        <v>7589</v>
      </c>
      <c r="B31" t="s">
        <v>7590</v>
      </c>
      <c r="C31" t="s">
        <v>7552</v>
      </c>
      <c r="D31" t="s">
        <v>7558</v>
      </c>
      <c r="E31">
        <v>16000</v>
      </c>
      <c r="F31" s="20">
        <v>43486</v>
      </c>
      <c r="G31" t="s">
        <v>798</v>
      </c>
      <c r="H31">
        <v>2.5</v>
      </c>
      <c r="I31" t="s">
        <v>6837</v>
      </c>
    </row>
    <row r="32" spans="1:9" x14ac:dyDescent="0.25">
      <c r="A32" t="s">
        <v>7591</v>
      </c>
      <c r="B32" t="s">
        <v>7592</v>
      </c>
      <c r="C32" t="s">
        <v>7533</v>
      </c>
      <c r="D32" t="s">
        <v>7534</v>
      </c>
      <c r="E32">
        <v>18400</v>
      </c>
      <c r="F32" s="20">
        <v>43480</v>
      </c>
      <c r="G32" t="s">
        <v>274</v>
      </c>
      <c r="H32">
        <v>4.8</v>
      </c>
      <c r="I32" t="s">
        <v>6837</v>
      </c>
    </row>
    <row r="33" spans="1:9" x14ac:dyDescent="0.25">
      <c r="A33" t="s">
        <v>7593</v>
      </c>
      <c r="B33" t="s">
        <v>7594</v>
      </c>
      <c r="C33" t="s">
        <v>7573</v>
      </c>
      <c r="D33" t="s">
        <v>7574</v>
      </c>
      <c r="E33">
        <v>21400</v>
      </c>
      <c r="F33" s="20">
        <v>42577</v>
      </c>
      <c r="G33" t="s">
        <v>101</v>
      </c>
      <c r="H33">
        <v>2.1</v>
      </c>
      <c r="I33" t="s">
        <v>7522</v>
      </c>
    </row>
    <row r="34" spans="1:9" x14ac:dyDescent="0.25">
      <c r="A34" t="s">
        <v>7595</v>
      </c>
      <c r="B34" t="s">
        <v>7596</v>
      </c>
      <c r="C34" t="s">
        <v>7530</v>
      </c>
      <c r="D34" t="s">
        <v>7537</v>
      </c>
      <c r="E34">
        <v>17100</v>
      </c>
      <c r="F34" s="20">
        <v>45256</v>
      </c>
      <c r="G34" t="s">
        <v>671</v>
      </c>
      <c r="H34">
        <v>4.7</v>
      </c>
      <c r="I34" t="s">
        <v>6837</v>
      </c>
    </row>
    <row r="35" spans="1:9" x14ac:dyDescent="0.25">
      <c r="A35" t="s">
        <v>7597</v>
      </c>
      <c r="B35" t="s">
        <v>7598</v>
      </c>
      <c r="C35" t="s">
        <v>7552</v>
      </c>
      <c r="D35" t="s">
        <v>7558</v>
      </c>
      <c r="E35">
        <v>14000</v>
      </c>
      <c r="F35" s="20">
        <v>43181</v>
      </c>
      <c r="G35" t="s">
        <v>360</v>
      </c>
      <c r="H35">
        <v>4.3</v>
      </c>
      <c r="I35" t="s">
        <v>6837</v>
      </c>
    </row>
    <row r="36" spans="1:9" x14ac:dyDescent="0.25">
      <c r="A36" t="s">
        <v>7599</v>
      </c>
      <c r="B36" t="s">
        <v>7600</v>
      </c>
      <c r="C36" t="s">
        <v>7561</v>
      </c>
      <c r="D36" t="s">
        <v>7562</v>
      </c>
      <c r="E36">
        <v>22300</v>
      </c>
      <c r="F36" s="20">
        <v>45231</v>
      </c>
      <c r="G36" t="s">
        <v>429</v>
      </c>
      <c r="H36">
        <v>2.2999999999999998</v>
      </c>
      <c r="I36" t="s">
        <v>6837</v>
      </c>
    </row>
    <row r="37" spans="1:9" x14ac:dyDescent="0.25">
      <c r="A37" t="s">
        <v>7601</v>
      </c>
      <c r="B37" t="s">
        <v>5343</v>
      </c>
      <c r="C37" t="s">
        <v>7533</v>
      </c>
      <c r="D37" t="s">
        <v>7547</v>
      </c>
      <c r="E37">
        <v>15100</v>
      </c>
      <c r="F37" s="20">
        <v>44896</v>
      </c>
      <c r="G37" t="s">
        <v>1681</v>
      </c>
      <c r="H37">
        <v>4.7</v>
      </c>
      <c r="I37" t="s">
        <v>6837</v>
      </c>
    </row>
    <row r="38" spans="1:9" x14ac:dyDescent="0.25">
      <c r="A38" t="s">
        <v>7602</v>
      </c>
      <c r="B38" t="s">
        <v>7603</v>
      </c>
      <c r="C38" t="s">
        <v>7526</v>
      </c>
      <c r="D38" t="s">
        <v>7581</v>
      </c>
      <c r="E38">
        <v>36400</v>
      </c>
      <c r="F38" s="20">
        <v>44316</v>
      </c>
      <c r="G38" t="s">
        <v>815</v>
      </c>
      <c r="H38">
        <v>3.1</v>
      </c>
      <c r="I38" t="s">
        <v>6837</v>
      </c>
    </row>
    <row r="39" spans="1:9" x14ac:dyDescent="0.25">
      <c r="A39" t="s">
        <v>7604</v>
      </c>
      <c r="B39" t="s">
        <v>7605</v>
      </c>
      <c r="C39" t="s">
        <v>7561</v>
      </c>
      <c r="D39" t="s">
        <v>7562</v>
      </c>
      <c r="E39">
        <v>18700</v>
      </c>
      <c r="F39" s="20">
        <v>45295</v>
      </c>
      <c r="G39" t="s">
        <v>158</v>
      </c>
      <c r="H39">
        <v>2.2999999999999998</v>
      </c>
      <c r="I39" t="s">
        <v>6837</v>
      </c>
    </row>
    <row r="40" spans="1:9" x14ac:dyDescent="0.25">
      <c r="A40" t="s">
        <v>7606</v>
      </c>
      <c r="B40" t="s">
        <v>7607</v>
      </c>
      <c r="C40" t="s">
        <v>7526</v>
      </c>
      <c r="D40" t="s">
        <v>7581</v>
      </c>
      <c r="E40">
        <v>61600</v>
      </c>
      <c r="F40" s="20">
        <v>43347</v>
      </c>
      <c r="G40" t="s">
        <v>82</v>
      </c>
      <c r="H40">
        <v>2.7</v>
      </c>
      <c r="I40" t="s">
        <v>6837</v>
      </c>
    </row>
    <row r="41" spans="1:9" x14ac:dyDescent="0.25">
      <c r="A41" t="s">
        <v>7608</v>
      </c>
      <c r="B41" t="s">
        <v>7609</v>
      </c>
      <c r="C41" t="s">
        <v>7533</v>
      </c>
      <c r="D41" t="s">
        <v>7534</v>
      </c>
      <c r="E41">
        <v>20300</v>
      </c>
      <c r="F41" s="20">
        <v>44153</v>
      </c>
      <c r="G41" t="s">
        <v>363</v>
      </c>
      <c r="H41">
        <v>4.4000000000000004</v>
      </c>
      <c r="I41" t="s">
        <v>6837</v>
      </c>
    </row>
    <row r="42" spans="1:9" x14ac:dyDescent="0.25">
      <c r="A42" t="s">
        <v>7610</v>
      </c>
      <c r="B42" t="s">
        <v>7611</v>
      </c>
      <c r="C42" t="s">
        <v>7526</v>
      </c>
      <c r="D42" t="s">
        <v>7527</v>
      </c>
      <c r="E42">
        <v>61600</v>
      </c>
      <c r="F42" s="20">
        <v>44266</v>
      </c>
      <c r="G42" t="s">
        <v>1325</v>
      </c>
      <c r="H42">
        <v>3.7</v>
      </c>
      <c r="I42" t="s">
        <v>6837</v>
      </c>
    </row>
    <row r="43" spans="1:9" x14ac:dyDescent="0.25">
      <c r="A43" t="s">
        <v>7612</v>
      </c>
      <c r="B43" t="s">
        <v>7613</v>
      </c>
      <c r="C43" t="s">
        <v>7530</v>
      </c>
      <c r="D43" t="s">
        <v>7537</v>
      </c>
      <c r="E43">
        <v>16600</v>
      </c>
      <c r="F43" s="20">
        <v>45011</v>
      </c>
      <c r="G43" t="s">
        <v>206</v>
      </c>
      <c r="H43">
        <v>2.2000000000000002</v>
      </c>
      <c r="I43" t="s">
        <v>6837</v>
      </c>
    </row>
    <row r="44" spans="1:9" x14ac:dyDescent="0.25">
      <c r="A44" t="s">
        <v>7614</v>
      </c>
      <c r="B44" t="s">
        <v>7615</v>
      </c>
      <c r="C44" t="s">
        <v>7561</v>
      </c>
      <c r="D44" t="s">
        <v>7570</v>
      </c>
      <c r="E44">
        <v>19800</v>
      </c>
      <c r="F44" s="20">
        <v>43967</v>
      </c>
      <c r="G44" t="s">
        <v>752</v>
      </c>
      <c r="H44">
        <v>3.7</v>
      </c>
      <c r="I44" t="s">
        <v>6837</v>
      </c>
    </row>
    <row r="45" spans="1:9" x14ac:dyDescent="0.25">
      <c r="A45" t="s">
        <v>7616</v>
      </c>
      <c r="B45" t="s">
        <v>7617</v>
      </c>
      <c r="C45" t="s">
        <v>7573</v>
      </c>
      <c r="D45" t="s">
        <v>7574</v>
      </c>
      <c r="E45">
        <v>23200</v>
      </c>
      <c r="F45" s="20">
        <v>43780</v>
      </c>
      <c r="G45" t="s">
        <v>701</v>
      </c>
      <c r="H45">
        <v>3.7</v>
      </c>
      <c r="I45" t="s">
        <v>6837</v>
      </c>
    </row>
    <row r="46" spans="1:9" x14ac:dyDescent="0.25">
      <c r="A46" t="s">
        <v>408</v>
      </c>
      <c r="B46" t="s">
        <v>7618</v>
      </c>
      <c r="C46" t="s">
        <v>7520</v>
      </c>
      <c r="D46" t="s">
        <v>7543</v>
      </c>
      <c r="E46">
        <v>26700</v>
      </c>
      <c r="F46" s="20">
        <v>42587</v>
      </c>
      <c r="G46" t="s">
        <v>525</v>
      </c>
      <c r="H46">
        <v>4.0999999999999996</v>
      </c>
      <c r="I46" t="s">
        <v>6837</v>
      </c>
    </row>
    <row r="47" spans="1:9" x14ac:dyDescent="0.25">
      <c r="A47" t="s">
        <v>7619</v>
      </c>
      <c r="B47" t="s">
        <v>6229</v>
      </c>
      <c r="C47" t="s">
        <v>7533</v>
      </c>
      <c r="D47" t="s">
        <v>7534</v>
      </c>
      <c r="E47">
        <v>19600</v>
      </c>
      <c r="F47" s="20">
        <v>43984</v>
      </c>
      <c r="G47" t="s">
        <v>1163</v>
      </c>
      <c r="H47">
        <v>3</v>
      </c>
      <c r="I47" t="s">
        <v>6837</v>
      </c>
    </row>
    <row r="48" spans="1:9" x14ac:dyDescent="0.25">
      <c r="A48" t="s">
        <v>7620</v>
      </c>
      <c r="B48" t="s">
        <v>7621</v>
      </c>
      <c r="C48" t="s">
        <v>7561</v>
      </c>
      <c r="D48" t="s">
        <v>7570</v>
      </c>
      <c r="E48">
        <v>16300</v>
      </c>
      <c r="F48" s="20">
        <v>44645</v>
      </c>
      <c r="G48" t="s">
        <v>537</v>
      </c>
      <c r="H48">
        <v>4.5</v>
      </c>
      <c r="I48" t="s">
        <v>6837</v>
      </c>
    </row>
    <row r="49" spans="1:9" x14ac:dyDescent="0.25">
      <c r="A49" t="s">
        <v>7622</v>
      </c>
      <c r="B49" t="s">
        <v>7623</v>
      </c>
      <c r="C49" t="s">
        <v>7561</v>
      </c>
      <c r="D49" t="s">
        <v>7562</v>
      </c>
      <c r="E49">
        <v>15600</v>
      </c>
      <c r="F49" s="20">
        <v>42434</v>
      </c>
      <c r="G49" t="s">
        <v>274</v>
      </c>
      <c r="H49">
        <v>4.2</v>
      </c>
      <c r="I49" t="s">
        <v>6837</v>
      </c>
    </row>
    <row r="50" spans="1:9" x14ac:dyDescent="0.25">
      <c r="A50" t="s">
        <v>7624</v>
      </c>
      <c r="B50" t="s">
        <v>7625</v>
      </c>
      <c r="C50" t="s">
        <v>7561</v>
      </c>
      <c r="D50" t="s">
        <v>7570</v>
      </c>
      <c r="E50">
        <v>22700</v>
      </c>
      <c r="F50" s="20">
        <v>45601</v>
      </c>
      <c r="G50" t="s">
        <v>387</v>
      </c>
      <c r="H50">
        <v>3.8</v>
      </c>
      <c r="I50" t="s">
        <v>6837</v>
      </c>
    </row>
    <row r="51" spans="1:9" x14ac:dyDescent="0.25">
      <c r="A51" t="s">
        <v>7626</v>
      </c>
      <c r="B51" t="s">
        <v>7627</v>
      </c>
      <c r="C51" t="s">
        <v>7526</v>
      </c>
      <c r="D51" t="s">
        <v>7581</v>
      </c>
      <c r="E51">
        <v>51000</v>
      </c>
      <c r="F51" s="20">
        <v>43131</v>
      </c>
      <c r="G51" t="s">
        <v>506</v>
      </c>
      <c r="H51">
        <v>3.8</v>
      </c>
      <c r="I51" t="s">
        <v>6837</v>
      </c>
    </row>
    <row r="52" spans="1:9" x14ac:dyDescent="0.25">
      <c r="A52" t="s">
        <v>7628</v>
      </c>
      <c r="B52" t="s">
        <v>7629</v>
      </c>
      <c r="C52" t="s">
        <v>7573</v>
      </c>
      <c r="D52" t="s">
        <v>7574</v>
      </c>
      <c r="E52">
        <v>25300</v>
      </c>
      <c r="F52" s="20">
        <v>44730</v>
      </c>
      <c r="G52" t="s">
        <v>226</v>
      </c>
      <c r="H52">
        <v>2.1</v>
      </c>
      <c r="I52" t="s">
        <v>6837</v>
      </c>
    </row>
    <row r="53" spans="1:9" x14ac:dyDescent="0.25">
      <c r="A53" t="s">
        <v>7630</v>
      </c>
      <c r="B53" t="s">
        <v>7631</v>
      </c>
      <c r="C53" t="s">
        <v>7526</v>
      </c>
      <c r="D53" t="s">
        <v>7632</v>
      </c>
      <c r="E53">
        <v>38600</v>
      </c>
      <c r="F53" s="20">
        <v>45360</v>
      </c>
      <c r="G53" t="s">
        <v>721</v>
      </c>
      <c r="H53">
        <v>3.6</v>
      </c>
      <c r="I53" t="s">
        <v>7522</v>
      </c>
    </row>
    <row r="54" spans="1:9" x14ac:dyDescent="0.25">
      <c r="A54" t="s">
        <v>7633</v>
      </c>
      <c r="B54" t="s">
        <v>5961</v>
      </c>
      <c r="C54" t="s">
        <v>7530</v>
      </c>
      <c r="D54" t="s">
        <v>7530</v>
      </c>
      <c r="E54">
        <v>16000</v>
      </c>
      <c r="F54" s="20">
        <v>44953</v>
      </c>
      <c r="G54" t="s">
        <v>100</v>
      </c>
      <c r="H54">
        <v>4</v>
      </c>
      <c r="I54" t="s">
        <v>6837</v>
      </c>
    </row>
    <row r="55" spans="1:9" x14ac:dyDescent="0.25">
      <c r="A55" t="s">
        <v>7634</v>
      </c>
      <c r="B55" t="s">
        <v>7635</v>
      </c>
      <c r="C55" t="s">
        <v>7573</v>
      </c>
      <c r="D55" t="s">
        <v>7588</v>
      </c>
      <c r="E55">
        <v>25000</v>
      </c>
      <c r="F55" s="20">
        <v>44561</v>
      </c>
      <c r="G55" t="s">
        <v>477</v>
      </c>
      <c r="H55">
        <v>2</v>
      </c>
      <c r="I55" t="s">
        <v>6837</v>
      </c>
    </row>
    <row r="56" spans="1:9" x14ac:dyDescent="0.25">
      <c r="A56" t="s">
        <v>7636</v>
      </c>
      <c r="B56" t="s">
        <v>7637</v>
      </c>
      <c r="C56" t="s">
        <v>7552</v>
      </c>
      <c r="D56" t="s">
        <v>7558</v>
      </c>
      <c r="E56">
        <v>13700</v>
      </c>
      <c r="F56" s="20">
        <v>42514</v>
      </c>
      <c r="G56" t="s">
        <v>639</v>
      </c>
      <c r="H56">
        <v>4.8</v>
      </c>
      <c r="I56" t="s">
        <v>6837</v>
      </c>
    </row>
    <row r="57" spans="1:9" x14ac:dyDescent="0.25">
      <c r="A57" t="s">
        <v>7638</v>
      </c>
      <c r="B57" t="s">
        <v>7639</v>
      </c>
      <c r="C57" t="s">
        <v>7526</v>
      </c>
      <c r="D57" t="s">
        <v>7632</v>
      </c>
      <c r="E57">
        <v>42600</v>
      </c>
      <c r="F57" s="20">
        <v>42581</v>
      </c>
      <c r="G57" t="s">
        <v>206</v>
      </c>
      <c r="H57">
        <v>5</v>
      </c>
      <c r="I57" t="s">
        <v>6837</v>
      </c>
    </row>
    <row r="58" spans="1:9" x14ac:dyDescent="0.25">
      <c r="A58" t="s">
        <v>7640</v>
      </c>
      <c r="B58" t="s">
        <v>7641</v>
      </c>
      <c r="C58" t="s">
        <v>7530</v>
      </c>
      <c r="D58" t="s">
        <v>7530</v>
      </c>
      <c r="E58">
        <v>18000</v>
      </c>
      <c r="F58" s="20">
        <v>45580</v>
      </c>
      <c r="G58" t="s">
        <v>745</v>
      </c>
      <c r="H58">
        <v>2.8</v>
      </c>
      <c r="I58" t="s">
        <v>6837</v>
      </c>
    </row>
    <row r="59" spans="1:9" x14ac:dyDescent="0.25">
      <c r="A59" t="s">
        <v>7642</v>
      </c>
      <c r="B59" t="s">
        <v>7643</v>
      </c>
      <c r="C59" t="s">
        <v>7530</v>
      </c>
      <c r="D59" t="s">
        <v>7530</v>
      </c>
      <c r="E59">
        <v>21300</v>
      </c>
      <c r="F59" s="20">
        <v>45396</v>
      </c>
      <c r="G59" t="s">
        <v>798</v>
      </c>
      <c r="H59">
        <v>4</v>
      </c>
      <c r="I59" t="s">
        <v>6837</v>
      </c>
    </row>
    <row r="60" spans="1:9" x14ac:dyDescent="0.25">
      <c r="A60" t="s">
        <v>7644</v>
      </c>
      <c r="B60" t="s">
        <v>6052</v>
      </c>
      <c r="C60" t="s">
        <v>7561</v>
      </c>
      <c r="D60" t="s">
        <v>7562</v>
      </c>
      <c r="E60">
        <v>18100</v>
      </c>
      <c r="F60" s="20">
        <v>42715</v>
      </c>
      <c r="G60" t="s">
        <v>274</v>
      </c>
      <c r="H60">
        <v>3.8</v>
      </c>
      <c r="I60" t="s">
        <v>6837</v>
      </c>
    </row>
    <row r="61" spans="1:9" x14ac:dyDescent="0.25">
      <c r="A61" t="s">
        <v>7645</v>
      </c>
      <c r="B61" t="s">
        <v>7646</v>
      </c>
      <c r="C61" t="s">
        <v>7533</v>
      </c>
      <c r="D61" t="s">
        <v>7534</v>
      </c>
      <c r="E61">
        <v>19800</v>
      </c>
      <c r="F61" s="20">
        <v>43055</v>
      </c>
      <c r="G61" t="s">
        <v>1074</v>
      </c>
      <c r="H61">
        <v>3.7</v>
      </c>
      <c r="I61" t="s">
        <v>6837</v>
      </c>
    </row>
    <row r="62" spans="1:9" x14ac:dyDescent="0.25">
      <c r="A62" t="s">
        <v>303</v>
      </c>
      <c r="B62" t="s">
        <v>7647</v>
      </c>
      <c r="C62" t="s">
        <v>7520</v>
      </c>
      <c r="D62" t="s">
        <v>7556</v>
      </c>
      <c r="E62">
        <v>21000</v>
      </c>
      <c r="F62" s="20">
        <v>44320</v>
      </c>
      <c r="G62" t="s">
        <v>934</v>
      </c>
      <c r="H62">
        <v>3.4</v>
      </c>
      <c r="I62" t="s">
        <v>7648</v>
      </c>
    </row>
    <row r="63" spans="1:9" x14ac:dyDescent="0.25">
      <c r="A63" t="s">
        <v>7649</v>
      </c>
      <c r="B63" t="s">
        <v>7650</v>
      </c>
      <c r="C63" t="s">
        <v>7540</v>
      </c>
      <c r="D63" t="s">
        <v>7541</v>
      </c>
      <c r="E63">
        <v>11300</v>
      </c>
      <c r="F63" s="20">
        <v>44542</v>
      </c>
      <c r="G63" t="s">
        <v>318</v>
      </c>
      <c r="H63">
        <v>3.3</v>
      </c>
      <c r="I63" t="s">
        <v>6837</v>
      </c>
    </row>
    <row r="64" spans="1:9" x14ac:dyDescent="0.25">
      <c r="A64" t="s">
        <v>258</v>
      </c>
      <c r="B64" t="s">
        <v>7511</v>
      </c>
      <c r="C64" t="s">
        <v>7520</v>
      </c>
      <c r="D64" t="s">
        <v>7556</v>
      </c>
      <c r="E64">
        <v>26900</v>
      </c>
      <c r="F64" s="20">
        <v>44980</v>
      </c>
      <c r="G64" t="s">
        <v>667</v>
      </c>
      <c r="H64">
        <v>4.9000000000000004</v>
      </c>
      <c r="I64" t="s">
        <v>6837</v>
      </c>
    </row>
    <row r="65" spans="1:9" x14ac:dyDescent="0.25">
      <c r="A65" t="s">
        <v>7651</v>
      </c>
      <c r="B65" t="s">
        <v>7652</v>
      </c>
      <c r="C65" t="s">
        <v>7573</v>
      </c>
      <c r="D65" t="s">
        <v>7574</v>
      </c>
      <c r="E65">
        <v>24000</v>
      </c>
      <c r="F65" s="20">
        <v>43415</v>
      </c>
      <c r="G65" t="s">
        <v>194</v>
      </c>
      <c r="H65">
        <v>3.8</v>
      </c>
      <c r="I65" t="s">
        <v>6837</v>
      </c>
    </row>
    <row r="66" spans="1:9" x14ac:dyDescent="0.25">
      <c r="A66" t="s">
        <v>7653</v>
      </c>
      <c r="B66" t="s">
        <v>7654</v>
      </c>
      <c r="C66" t="s">
        <v>7533</v>
      </c>
      <c r="D66" t="s">
        <v>7534</v>
      </c>
      <c r="E66">
        <v>19400</v>
      </c>
      <c r="F66" s="20">
        <v>43106</v>
      </c>
      <c r="G66" t="s">
        <v>607</v>
      </c>
      <c r="H66">
        <v>3.6</v>
      </c>
      <c r="I66" t="s">
        <v>6837</v>
      </c>
    </row>
    <row r="67" spans="1:9" x14ac:dyDescent="0.25">
      <c r="A67" t="s">
        <v>7655</v>
      </c>
      <c r="B67" t="s">
        <v>7656</v>
      </c>
      <c r="C67" t="s">
        <v>7530</v>
      </c>
      <c r="D67" t="s">
        <v>7530</v>
      </c>
      <c r="E67">
        <v>19500</v>
      </c>
      <c r="F67" s="20">
        <v>43809</v>
      </c>
      <c r="G67" t="s">
        <v>396</v>
      </c>
      <c r="H67">
        <v>4.2</v>
      </c>
      <c r="I67" t="s">
        <v>6837</v>
      </c>
    </row>
    <row r="68" spans="1:9" x14ac:dyDescent="0.25">
      <c r="A68" t="s">
        <v>7657</v>
      </c>
      <c r="B68" t="s">
        <v>7658</v>
      </c>
      <c r="C68" t="s">
        <v>7533</v>
      </c>
      <c r="D68" t="s">
        <v>7547</v>
      </c>
      <c r="E68">
        <v>19700</v>
      </c>
      <c r="F68" s="20">
        <v>42861</v>
      </c>
      <c r="G68" t="s">
        <v>701</v>
      </c>
      <c r="H68">
        <v>4.5999999999999996</v>
      </c>
      <c r="I68" t="s">
        <v>6837</v>
      </c>
    </row>
    <row r="69" spans="1:9" x14ac:dyDescent="0.25">
      <c r="A69" t="s">
        <v>7659</v>
      </c>
      <c r="B69" t="s">
        <v>7660</v>
      </c>
      <c r="C69" t="s">
        <v>7561</v>
      </c>
      <c r="D69" t="s">
        <v>7570</v>
      </c>
      <c r="E69">
        <v>17700</v>
      </c>
      <c r="F69" s="20">
        <v>45075</v>
      </c>
      <c r="G69" t="s">
        <v>1108</v>
      </c>
      <c r="H69">
        <v>2.2000000000000002</v>
      </c>
      <c r="I69" t="s">
        <v>6837</v>
      </c>
    </row>
    <row r="70" spans="1:9" x14ac:dyDescent="0.25">
      <c r="A70" t="s">
        <v>7661</v>
      </c>
      <c r="B70" t="s">
        <v>7662</v>
      </c>
      <c r="C70" t="s">
        <v>7573</v>
      </c>
      <c r="D70" t="s">
        <v>7588</v>
      </c>
      <c r="E70">
        <v>23800</v>
      </c>
      <c r="F70" s="20">
        <v>43505</v>
      </c>
      <c r="G70" t="s">
        <v>477</v>
      </c>
      <c r="H70">
        <v>2.2000000000000002</v>
      </c>
      <c r="I70" t="s">
        <v>6837</v>
      </c>
    </row>
    <row r="71" spans="1:9" x14ac:dyDescent="0.25">
      <c r="A71" t="s">
        <v>7663</v>
      </c>
      <c r="B71" t="s">
        <v>7664</v>
      </c>
      <c r="C71" t="s">
        <v>7561</v>
      </c>
      <c r="D71" t="s">
        <v>7570</v>
      </c>
      <c r="E71">
        <v>15600</v>
      </c>
      <c r="F71" s="20">
        <v>43191</v>
      </c>
      <c r="G71" t="s">
        <v>752</v>
      </c>
      <c r="H71">
        <v>3.2</v>
      </c>
      <c r="I71" t="s">
        <v>6837</v>
      </c>
    </row>
    <row r="72" spans="1:9" x14ac:dyDescent="0.25">
      <c r="A72" t="s">
        <v>7665</v>
      </c>
      <c r="B72" t="s">
        <v>7666</v>
      </c>
      <c r="C72" t="s">
        <v>7533</v>
      </c>
      <c r="D72" t="s">
        <v>7547</v>
      </c>
      <c r="E72">
        <v>21300</v>
      </c>
      <c r="F72" s="20">
        <v>45300</v>
      </c>
      <c r="G72" t="s">
        <v>1681</v>
      </c>
      <c r="H72">
        <v>2.2999999999999998</v>
      </c>
      <c r="I72" t="s">
        <v>6837</v>
      </c>
    </row>
    <row r="73" spans="1:9" x14ac:dyDescent="0.25">
      <c r="A73" t="s">
        <v>403</v>
      </c>
      <c r="B73" t="s">
        <v>7667</v>
      </c>
      <c r="C73" t="s">
        <v>7520</v>
      </c>
      <c r="D73" t="s">
        <v>7543</v>
      </c>
      <c r="E73">
        <v>16900</v>
      </c>
      <c r="F73" s="20">
        <v>44992</v>
      </c>
      <c r="G73" t="s">
        <v>525</v>
      </c>
      <c r="H73">
        <v>4.8</v>
      </c>
      <c r="I73" t="s">
        <v>6837</v>
      </c>
    </row>
    <row r="74" spans="1:9" x14ac:dyDescent="0.25">
      <c r="A74" t="s">
        <v>377</v>
      </c>
      <c r="B74" t="s">
        <v>7668</v>
      </c>
      <c r="C74" t="s">
        <v>7520</v>
      </c>
      <c r="D74" t="s">
        <v>7521</v>
      </c>
      <c r="E74">
        <v>24200</v>
      </c>
      <c r="F74" s="20">
        <v>45527</v>
      </c>
      <c r="G74" t="s">
        <v>681</v>
      </c>
      <c r="H74">
        <v>3.4</v>
      </c>
      <c r="I74" t="s">
        <v>6837</v>
      </c>
    </row>
    <row r="75" spans="1:9" x14ac:dyDescent="0.25">
      <c r="A75" t="s">
        <v>7669</v>
      </c>
      <c r="B75" t="s">
        <v>7670</v>
      </c>
      <c r="C75" t="s">
        <v>7533</v>
      </c>
      <c r="D75" t="s">
        <v>7547</v>
      </c>
      <c r="E75">
        <v>17100</v>
      </c>
      <c r="F75" s="20">
        <v>45193</v>
      </c>
      <c r="G75" t="s">
        <v>1002</v>
      </c>
      <c r="H75">
        <v>4.3</v>
      </c>
      <c r="I75" t="s">
        <v>6837</v>
      </c>
    </row>
    <row r="76" spans="1:9" x14ac:dyDescent="0.25">
      <c r="A76" t="s">
        <v>7671</v>
      </c>
      <c r="B76" t="s">
        <v>7672</v>
      </c>
      <c r="C76" t="s">
        <v>7573</v>
      </c>
      <c r="D76" t="s">
        <v>7574</v>
      </c>
      <c r="E76">
        <v>16600</v>
      </c>
      <c r="F76" s="20">
        <v>45020</v>
      </c>
      <c r="G76" t="s">
        <v>701</v>
      </c>
      <c r="H76">
        <v>3.1</v>
      </c>
      <c r="I76" t="s">
        <v>7522</v>
      </c>
    </row>
    <row r="77" spans="1:9" x14ac:dyDescent="0.25">
      <c r="A77" t="s">
        <v>7673</v>
      </c>
      <c r="B77" t="s">
        <v>5861</v>
      </c>
      <c r="C77" t="s">
        <v>7533</v>
      </c>
      <c r="D77" t="s">
        <v>7547</v>
      </c>
      <c r="E77">
        <v>18400</v>
      </c>
      <c r="F77" s="20">
        <v>43943</v>
      </c>
      <c r="G77" t="s">
        <v>206</v>
      </c>
      <c r="H77">
        <v>2.6</v>
      </c>
      <c r="I77" t="s">
        <v>6837</v>
      </c>
    </row>
    <row r="78" spans="1:9" x14ac:dyDescent="0.25">
      <c r="A78" t="s">
        <v>7674</v>
      </c>
      <c r="B78" t="s">
        <v>7675</v>
      </c>
      <c r="C78" t="s">
        <v>7530</v>
      </c>
      <c r="D78" t="s">
        <v>7537</v>
      </c>
      <c r="E78">
        <v>19900</v>
      </c>
      <c r="F78" s="20">
        <v>42943</v>
      </c>
      <c r="G78" t="s">
        <v>268</v>
      </c>
      <c r="H78">
        <v>2.6</v>
      </c>
      <c r="I78" t="s">
        <v>6837</v>
      </c>
    </row>
    <row r="79" spans="1:9" x14ac:dyDescent="0.25">
      <c r="A79" t="s">
        <v>7676</v>
      </c>
      <c r="B79" t="s">
        <v>7677</v>
      </c>
      <c r="C79" t="s">
        <v>7530</v>
      </c>
      <c r="D79" t="s">
        <v>7537</v>
      </c>
      <c r="E79">
        <v>18000</v>
      </c>
      <c r="F79" s="20">
        <v>45695</v>
      </c>
      <c r="G79" t="s">
        <v>175</v>
      </c>
      <c r="H79">
        <v>4.9000000000000004</v>
      </c>
      <c r="I79" t="s">
        <v>6837</v>
      </c>
    </row>
    <row r="80" spans="1:9" x14ac:dyDescent="0.25">
      <c r="A80" t="s">
        <v>7678</v>
      </c>
      <c r="B80" t="s">
        <v>7679</v>
      </c>
      <c r="C80" t="s">
        <v>7540</v>
      </c>
      <c r="D80" t="s">
        <v>7541</v>
      </c>
      <c r="E80">
        <v>11100</v>
      </c>
      <c r="F80" s="20">
        <v>45048</v>
      </c>
      <c r="G80" t="s">
        <v>914</v>
      </c>
      <c r="H80">
        <v>3.6</v>
      </c>
      <c r="I80" t="s">
        <v>7648</v>
      </c>
    </row>
    <row r="81" spans="1:9" x14ac:dyDescent="0.25">
      <c r="A81" t="s">
        <v>7680</v>
      </c>
      <c r="B81" t="s">
        <v>7681</v>
      </c>
      <c r="C81" t="s">
        <v>7533</v>
      </c>
      <c r="D81" t="s">
        <v>7547</v>
      </c>
      <c r="E81">
        <v>14300</v>
      </c>
      <c r="F81" s="20">
        <v>42949</v>
      </c>
      <c r="G81" t="s">
        <v>681</v>
      </c>
      <c r="H81">
        <v>4</v>
      </c>
      <c r="I81" t="s">
        <v>6837</v>
      </c>
    </row>
    <row r="82" spans="1:9" x14ac:dyDescent="0.25">
      <c r="A82" t="s">
        <v>7682</v>
      </c>
      <c r="B82" t="s">
        <v>7683</v>
      </c>
      <c r="C82" t="s">
        <v>7561</v>
      </c>
      <c r="D82" t="s">
        <v>7562</v>
      </c>
      <c r="E82">
        <v>16600</v>
      </c>
      <c r="F82" s="20">
        <v>42574</v>
      </c>
      <c r="G82" t="s">
        <v>334</v>
      </c>
      <c r="H82">
        <v>2.9</v>
      </c>
      <c r="I82" t="s">
        <v>6837</v>
      </c>
    </row>
    <row r="83" spans="1:9" x14ac:dyDescent="0.25">
      <c r="A83" t="s">
        <v>7684</v>
      </c>
      <c r="B83" t="s">
        <v>7685</v>
      </c>
      <c r="C83" t="s">
        <v>7530</v>
      </c>
      <c r="D83" t="s">
        <v>7530</v>
      </c>
      <c r="E83">
        <v>14900</v>
      </c>
      <c r="F83" s="20">
        <v>44807</v>
      </c>
      <c r="G83" t="s">
        <v>368</v>
      </c>
      <c r="H83">
        <v>3.8</v>
      </c>
      <c r="I83" t="s">
        <v>6837</v>
      </c>
    </row>
    <row r="84" spans="1:9" x14ac:dyDescent="0.25">
      <c r="A84" t="s">
        <v>7686</v>
      </c>
      <c r="B84" t="s">
        <v>7687</v>
      </c>
      <c r="C84" t="s">
        <v>7552</v>
      </c>
      <c r="D84" t="s">
        <v>7553</v>
      </c>
      <c r="E84">
        <v>17900</v>
      </c>
      <c r="F84" s="20">
        <v>44729</v>
      </c>
      <c r="G84" t="s">
        <v>1426</v>
      </c>
      <c r="H84">
        <v>2.4</v>
      </c>
      <c r="I84" t="s">
        <v>6837</v>
      </c>
    </row>
    <row r="85" spans="1:9" x14ac:dyDescent="0.25">
      <c r="A85" t="s">
        <v>7688</v>
      </c>
      <c r="B85" t="s">
        <v>7689</v>
      </c>
      <c r="C85" t="s">
        <v>7561</v>
      </c>
      <c r="D85" t="s">
        <v>7570</v>
      </c>
      <c r="E85">
        <v>15600</v>
      </c>
      <c r="F85" s="20">
        <v>43491</v>
      </c>
      <c r="G85" t="s">
        <v>274</v>
      </c>
      <c r="H85">
        <v>4.3</v>
      </c>
      <c r="I85" t="s">
        <v>6837</v>
      </c>
    </row>
    <row r="86" spans="1:9" x14ac:dyDescent="0.25">
      <c r="A86" t="s">
        <v>7690</v>
      </c>
      <c r="B86" t="s">
        <v>7691</v>
      </c>
      <c r="C86" t="s">
        <v>7533</v>
      </c>
      <c r="D86" t="s">
        <v>7547</v>
      </c>
      <c r="E86">
        <v>15100</v>
      </c>
      <c r="F86" s="20">
        <v>45610</v>
      </c>
      <c r="G86" t="s">
        <v>231</v>
      </c>
      <c r="H86">
        <v>3.9</v>
      </c>
      <c r="I86" t="s">
        <v>6837</v>
      </c>
    </row>
    <row r="87" spans="1:9" x14ac:dyDescent="0.25">
      <c r="A87" t="s">
        <v>516</v>
      </c>
      <c r="B87" t="s">
        <v>7692</v>
      </c>
      <c r="C87" t="s">
        <v>7520</v>
      </c>
      <c r="D87" t="s">
        <v>7556</v>
      </c>
      <c r="E87">
        <v>17300</v>
      </c>
      <c r="F87" s="20">
        <v>42735</v>
      </c>
      <c r="G87" t="s">
        <v>810</v>
      </c>
      <c r="H87">
        <v>4</v>
      </c>
      <c r="I87" t="s">
        <v>7522</v>
      </c>
    </row>
    <row r="88" spans="1:9" x14ac:dyDescent="0.25">
      <c r="A88" t="s">
        <v>7693</v>
      </c>
      <c r="B88" t="s">
        <v>7694</v>
      </c>
      <c r="C88" t="s">
        <v>7533</v>
      </c>
      <c r="D88" t="s">
        <v>7547</v>
      </c>
      <c r="E88">
        <v>19100</v>
      </c>
      <c r="F88" s="20">
        <v>44512</v>
      </c>
      <c r="G88" t="s">
        <v>175</v>
      </c>
      <c r="H88">
        <v>3.2</v>
      </c>
      <c r="I88" t="s">
        <v>7648</v>
      </c>
    </row>
    <row r="89" spans="1:9" x14ac:dyDescent="0.25">
      <c r="A89" t="s">
        <v>7695</v>
      </c>
      <c r="B89" t="s">
        <v>7696</v>
      </c>
      <c r="C89" t="s">
        <v>7561</v>
      </c>
      <c r="D89" t="s">
        <v>7570</v>
      </c>
      <c r="E89">
        <v>20500</v>
      </c>
      <c r="F89" s="20">
        <v>42730</v>
      </c>
      <c r="G89" t="s">
        <v>1163</v>
      </c>
      <c r="H89">
        <v>4.5</v>
      </c>
      <c r="I89" t="s">
        <v>6837</v>
      </c>
    </row>
    <row r="90" spans="1:9" x14ac:dyDescent="0.25">
      <c r="A90" t="s">
        <v>7697</v>
      </c>
      <c r="B90" t="s">
        <v>7698</v>
      </c>
      <c r="C90" t="s">
        <v>7530</v>
      </c>
      <c r="D90" t="s">
        <v>7530</v>
      </c>
      <c r="E90">
        <v>19000</v>
      </c>
      <c r="F90" s="20">
        <v>45487</v>
      </c>
      <c r="G90" t="s">
        <v>1426</v>
      </c>
      <c r="H90">
        <v>3.5</v>
      </c>
      <c r="I90" t="s">
        <v>6837</v>
      </c>
    </row>
    <row r="91" spans="1:9" x14ac:dyDescent="0.25">
      <c r="A91" t="s">
        <v>176</v>
      </c>
      <c r="B91" t="s">
        <v>7699</v>
      </c>
      <c r="C91" t="s">
        <v>7520</v>
      </c>
      <c r="D91" t="s">
        <v>7556</v>
      </c>
      <c r="E91">
        <v>16500</v>
      </c>
      <c r="F91" s="20">
        <v>42981</v>
      </c>
      <c r="G91" t="s">
        <v>86</v>
      </c>
      <c r="H91">
        <v>4.5</v>
      </c>
      <c r="I91" t="s">
        <v>7522</v>
      </c>
    </row>
    <row r="92" spans="1:9" x14ac:dyDescent="0.25">
      <c r="A92" t="s">
        <v>308</v>
      </c>
      <c r="B92" t="s">
        <v>7700</v>
      </c>
      <c r="C92" t="s">
        <v>7520</v>
      </c>
      <c r="D92" t="s">
        <v>7521</v>
      </c>
      <c r="E92">
        <v>19700</v>
      </c>
      <c r="F92" s="20">
        <v>43228</v>
      </c>
      <c r="G92" t="s">
        <v>588</v>
      </c>
      <c r="H92">
        <v>2.8</v>
      </c>
      <c r="I92" t="s">
        <v>6837</v>
      </c>
    </row>
    <row r="93" spans="1:9" x14ac:dyDescent="0.25">
      <c r="A93" t="s">
        <v>7701</v>
      </c>
      <c r="B93" t="s">
        <v>7702</v>
      </c>
      <c r="C93" t="s">
        <v>7530</v>
      </c>
      <c r="D93" t="s">
        <v>7530</v>
      </c>
      <c r="E93">
        <v>21400</v>
      </c>
      <c r="F93" s="20">
        <v>43090</v>
      </c>
      <c r="G93" t="s">
        <v>200</v>
      </c>
      <c r="H93">
        <v>4.4000000000000004</v>
      </c>
      <c r="I93" t="s">
        <v>6837</v>
      </c>
    </row>
    <row r="94" spans="1:9" x14ac:dyDescent="0.25">
      <c r="A94" t="s">
        <v>7703</v>
      </c>
      <c r="B94" t="s">
        <v>7704</v>
      </c>
      <c r="C94" t="s">
        <v>7552</v>
      </c>
      <c r="D94" t="s">
        <v>7558</v>
      </c>
      <c r="E94">
        <v>13200</v>
      </c>
      <c r="F94" s="20">
        <v>45142</v>
      </c>
      <c r="G94" t="s">
        <v>442</v>
      </c>
      <c r="H94">
        <v>3</v>
      </c>
      <c r="I94" t="s">
        <v>6837</v>
      </c>
    </row>
    <row r="95" spans="1:9" x14ac:dyDescent="0.25">
      <c r="A95" t="s">
        <v>7705</v>
      </c>
      <c r="B95" t="s">
        <v>7706</v>
      </c>
      <c r="C95" t="s">
        <v>7540</v>
      </c>
      <c r="D95" t="s">
        <v>7541</v>
      </c>
      <c r="E95">
        <v>11900</v>
      </c>
      <c r="F95" s="20">
        <v>43273</v>
      </c>
      <c r="G95" t="s">
        <v>927</v>
      </c>
      <c r="H95">
        <v>3.4</v>
      </c>
      <c r="I95" t="s">
        <v>6837</v>
      </c>
    </row>
    <row r="96" spans="1:9" x14ac:dyDescent="0.25">
      <c r="A96" t="s">
        <v>7707</v>
      </c>
      <c r="B96" t="s">
        <v>7708</v>
      </c>
      <c r="C96" t="s">
        <v>7526</v>
      </c>
      <c r="D96" t="s">
        <v>7527</v>
      </c>
      <c r="E96">
        <v>52400</v>
      </c>
      <c r="F96" s="20">
        <v>42928</v>
      </c>
      <c r="G96" t="s">
        <v>94</v>
      </c>
      <c r="H96">
        <v>4.2</v>
      </c>
      <c r="I96" t="s">
        <v>6837</v>
      </c>
    </row>
    <row r="97" spans="1:9" x14ac:dyDescent="0.25">
      <c r="A97" t="s">
        <v>7709</v>
      </c>
      <c r="B97" t="s">
        <v>7710</v>
      </c>
      <c r="C97" t="s">
        <v>7561</v>
      </c>
      <c r="D97" t="s">
        <v>7562</v>
      </c>
      <c r="E97">
        <v>21200</v>
      </c>
      <c r="F97" s="20">
        <v>42614</v>
      </c>
      <c r="G97" t="s">
        <v>745</v>
      </c>
      <c r="H97">
        <v>2.4</v>
      </c>
      <c r="I97" t="s">
        <v>7522</v>
      </c>
    </row>
    <row r="98" spans="1:9" x14ac:dyDescent="0.25">
      <c r="A98" t="s">
        <v>7711</v>
      </c>
      <c r="B98" t="s">
        <v>5989</v>
      </c>
      <c r="C98" t="s">
        <v>7533</v>
      </c>
      <c r="D98" t="s">
        <v>7534</v>
      </c>
      <c r="E98">
        <v>18800</v>
      </c>
      <c r="F98" s="20">
        <v>45603</v>
      </c>
      <c r="G98" t="s">
        <v>158</v>
      </c>
      <c r="H98">
        <v>3.9</v>
      </c>
      <c r="I98" t="s">
        <v>6837</v>
      </c>
    </row>
    <row r="99" spans="1:9" x14ac:dyDescent="0.25">
      <c r="A99" t="s">
        <v>7712</v>
      </c>
      <c r="B99" t="s">
        <v>5952</v>
      </c>
      <c r="C99" t="s">
        <v>7540</v>
      </c>
      <c r="D99" t="s">
        <v>7541</v>
      </c>
      <c r="E99">
        <v>14300</v>
      </c>
      <c r="F99" s="20">
        <v>43256</v>
      </c>
      <c r="G99" t="s">
        <v>1171</v>
      </c>
      <c r="H99">
        <v>3.4</v>
      </c>
      <c r="I99" t="s">
        <v>6837</v>
      </c>
    </row>
    <row r="100" spans="1:9" x14ac:dyDescent="0.25">
      <c r="A100" t="s">
        <v>7713</v>
      </c>
      <c r="B100" t="s">
        <v>7714</v>
      </c>
      <c r="C100" t="s">
        <v>7533</v>
      </c>
      <c r="D100" t="s">
        <v>7534</v>
      </c>
      <c r="E100">
        <v>17500</v>
      </c>
      <c r="F100" s="20">
        <v>43280</v>
      </c>
      <c r="G100" t="s">
        <v>442</v>
      </c>
      <c r="H100">
        <v>4.8</v>
      </c>
      <c r="I100" t="s">
        <v>7648</v>
      </c>
    </row>
    <row r="101" spans="1:9" x14ac:dyDescent="0.25">
      <c r="A101" t="s">
        <v>397</v>
      </c>
      <c r="B101" t="s">
        <v>7715</v>
      </c>
      <c r="C101" t="s">
        <v>7520</v>
      </c>
      <c r="D101" t="s">
        <v>7556</v>
      </c>
      <c r="E101">
        <v>27900</v>
      </c>
      <c r="F101" s="20">
        <v>45374</v>
      </c>
      <c r="G101" t="s">
        <v>291</v>
      </c>
      <c r="H101">
        <v>3.5</v>
      </c>
      <c r="I101" t="s">
        <v>6837</v>
      </c>
    </row>
    <row r="102" spans="1:9" x14ac:dyDescent="0.25">
      <c r="A102" t="s">
        <v>7716</v>
      </c>
      <c r="B102" t="s">
        <v>7717</v>
      </c>
      <c r="C102" t="s">
        <v>7526</v>
      </c>
      <c r="D102" t="s">
        <v>7527</v>
      </c>
      <c r="E102">
        <v>38700</v>
      </c>
      <c r="F102" s="20">
        <v>45454</v>
      </c>
      <c r="G102" t="s">
        <v>95</v>
      </c>
      <c r="H102">
        <v>4.0999999999999996</v>
      </c>
      <c r="I102" t="s">
        <v>6837</v>
      </c>
    </row>
    <row r="103" spans="1:9" x14ac:dyDescent="0.25">
      <c r="A103" t="s">
        <v>7718</v>
      </c>
      <c r="B103" t="s">
        <v>7719</v>
      </c>
      <c r="C103" t="s">
        <v>7533</v>
      </c>
      <c r="D103" t="s">
        <v>7547</v>
      </c>
      <c r="E103">
        <v>14100</v>
      </c>
      <c r="F103" s="20">
        <v>45110</v>
      </c>
      <c r="G103" t="s">
        <v>241</v>
      </c>
      <c r="H103">
        <v>2.5</v>
      </c>
      <c r="I103" t="s">
        <v>6837</v>
      </c>
    </row>
    <row r="104" spans="1:9" x14ac:dyDescent="0.25">
      <c r="A104" t="s">
        <v>7720</v>
      </c>
      <c r="B104" t="s">
        <v>7721</v>
      </c>
      <c r="C104" t="s">
        <v>7526</v>
      </c>
      <c r="D104" t="s">
        <v>7527</v>
      </c>
      <c r="E104">
        <v>74300</v>
      </c>
      <c r="F104" s="20">
        <v>44030</v>
      </c>
      <c r="G104" t="s">
        <v>252</v>
      </c>
      <c r="H104">
        <v>4.4000000000000004</v>
      </c>
      <c r="I104" t="s">
        <v>6837</v>
      </c>
    </row>
    <row r="105" spans="1:9" x14ac:dyDescent="0.25">
      <c r="A105" t="s">
        <v>7722</v>
      </c>
      <c r="B105" t="s">
        <v>7723</v>
      </c>
      <c r="C105" t="s">
        <v>7540</v>
      </c>
      <c r="D105" t="s">
        <v>7541</v>
      </c>
      <c r="E105">
        <v>12700</v>
      </c>
      <c r="F105" s="20">
        <v>43584</v>
      </c>
      <c r="G105" t="s">
        <v>506</v>
      </c>
      <c r="H105">
        <v>4.3</v>
      </c>
      <c r="I105" t="s">
        <v>6837</v>
      </c>
    </row>
    <row r="106" spans="1:9" x14ac:dyDescent="0.25">
      <c r="A106" t="s">
        <v>7724</v>
      </c>
      <c r="B106" t="s">
        <v>7725</v>
      </c>
      <c r="C106" t="s">
        <v>7552</v>
      </c>
      <c r="D106" t="s">
        <v>7553</v>
      </c>
      <c r="E106">
        <v>15100</v>
      </c>
      <c r="F106" s="20">
        <v>45133</v>
      </c>
      <c r="G106" t="s">
        <v>226</v>
      </c>
      <c r="H106">
        <v>4.7</v>
      </c>
      <c r="I106" t="s">
        <v>6837</v>
      </c>
    </row>
    <row r="107" spans="1:9" x14ac:dyDescent="0.25">
      <c r="A107" t="s">
        <v>7726</v>
      </c>
      <c r="B107" t="s">
        <v>7727</v>
      </c>
      <c r="C107" t="s">
        <v>7552</v>
      </c>
      <c r="D107" t="s">
        <v>7553</v>
      </c>
      <c r="E107">
        <v>15900</v>
      </c>
      <c r="F107" s="20">
        <v>45257</v>
      </c>
      <c r="G107" t="s">
        <v>634</v>
      </c>
      <c r="H107">
        <v>3.7</v>
      </c>
      <c r="I107" t="s">
        <v>6837</v>
      </c>
    </row>
    <row r="108" spans="1:9" x14ac:dyDescent="0.25">
      <c r="A108" t="s">
        <v>7728</v>
      </c>
      <c r="B108" t="s">
        <v>7729</v>
      </c>
      <c r="C108" t="s">
        <v>7530</v>
      </c>
      <c r="D108" t="s">
        <v>7537</v>
      </c>
      <c r="E108">
        <v>19900</v>
      </c>
      <c r="F108" s="20">
        <v>45451</v>
      </c>
      <c r="G108" t="s">
        <v>280</v>
      </c>
      <c r="H108">
        <v>4.5999999999999996</v>
      </c>
      <c r="I108" t="s">
        <v>6837</v>
      </c>
    </row>
    <row r="109" spans="1:9" x14ac:dyDescent="0.25">
      <c r="A109" t="s">
        <v>7730</v>
      </c>
      <c r="B109" t="s">
        <v>7731</v>
      </c>
      <c r="C109" t="s">
        <v>7552</v>
      </c>
      <c r="D109" t="s">
        <v>7558</v>
      </c>
      <c r="E109">
        <v>15000</v>
      </c>
      <c r="F109" s="20">
        <v>44102</v>
      </c>
      <c r="G109" t="s">
        <v>745</v>
      </c>
      <c r="H109">
        <v>2.2000000000000002</v>
      </c>
      <c r="I109" t="s">
        <v>6837</v>
      </c>
    </row>
    <row r="110" spans="1:9" x14ac:dyDescent="0.25">
      <c r="A110" t="s">
        <v>7732</v>
      </c>
      <c r="B110" t="s">
        <v>7733</v>
      </c>
      <c r="C110" t="s">
        <v>7530</v>
      </c>
      <c r="D110" t="s">
        <v>7537</v>
      </c>
      <c r="E110">
        <v>19700</v>
      </c>
      <c r="F110" s="20">
        <v>45148</v>
      </c>
      <c r="G110" t="s">
        <v>1825</v>
      </c>
      <c r="H110">
        <v>3.6</v>
      </c>
      <c r="I110" t="s">
        <v>6837</v>
      </c>
    </row>
    <row r="111" spans="1:9" x14ac:dyDescent="0.25">
      <c r="A111" t="s">
        <v>7734</v>
      </c>
      <c r="B111" t="s">
        <v>6605</v>
      </c>
      <c r="C111" t="s">
        <v>7526</v>
      </c>
      <c r="D111" t="s">
        <v>7527</v>
      </c>
      <c r="E111">
        <v>38600</v>
      </c>
      <c r="F111" s="20">
        <v>43102</v>
      </c>
      <c r="G111" t="s">
        <v>81</v>
      </c>
      <c r="H111">
        <v>4.9000000000000004</v>
      </c>
      <c r="I111" t="s">
        <v>6837</v>
      </c>
    </row>
    <row r="112" spans="1:9" x14ac:dyDescent="0.25">
      <c r="A112" t="s">
        <v>7735</v>
      </c>
      <c r="B112" t="s">
        <v>7736</v>
      </c>
      <c r="C112" t="s">
        <v>7526</v>
      </c>
      <c r="D112" t="s">
        <v>7527</v>
      </c>
      <c r="E112">
        <v>74400</v>
      </c>
      <c r="F112" s="20">
        <v>44502</v>
      </c>
      <c r="G112" t="s">
        <v>1163</v>
      </c>
      <c r="H112">
        <v>2.1</v>
      </c>
      <c r="I112" t="s">
        <v>6837</v>
      </c>
    </row>
    <row r="113" spans="1:9" x14ac:dyDescent="0.25">
      <c r="A113" t="s">
        <v>7737</v>
      </c>
      <c r="B113" t="s">
        <v>6187</v>
      </c>
      <c r="C113" t="s">
        <v>7552</v>
      </c>
      <c r="D113" t="s">
        <v>7558</v>
      </c>
      <c r="E113">
        <v>14700</v>
      </c>
      <c r="F113" s="20">
        <v>45010</v>
      </c>
      <c r="G113" t="s">
        <v>1068</v>
      </c>
      <c r="H113">
        <v>2.9</v>
      </c>
      <c r="I113" t="s">
        <v>6837</v>
      </c>
    </row>
    <row r="114" spans="1:9" x14ac:dyDescent="0.25">
      <c r="A114" t="s">
        <v>7738</v>
      </c>
      <c r="B114" t="s">
        <v>7739</v>
      </c>
      <c r="C114" t="s">
        <v>7552</v>
      </c>
      <c r="D114" t="s">
        <v>7558</v>
      </c>
      <c r="E114">
        <v>15500</v>
      </c>
      <c r="F114" s="20">
        <v>45055</v>
      </c>
      <c r="G114" t="s">
        <v>343</v>
      </c>
      <c r="H114">
        <v>4.4000000000000004</v>
      </c>
      <c r="I114" t="s">
        <v>6837</v>
      </c>
    </row>
    <row r="115" spans="1:9" x14ac:dyDescent="0.25">
      <c r="A115" t="s">
        <v>7740</v>
      </c>
      <c r="B115" t="s">
        <v>7741</v>
      </c>
      <c r="C115" t="s">
        <v>7526</v>
      </c>
      <c r="D115" t="s">
        <v>7581</v>
      </c>
      <c r="E115">
        <v>48700</v>
      </c>
      <c r="F115" s="20">
        <v>42910</v>
      </c>
      <c r="G115" t="s">
        <v>442</v>
      </c>
      <c r="H115">
        <v>4.4000000000000004</v>
      </c>
      <c r="I115" t="s">
        <v>6837</v>
      </c>
    </row>
    <row r="116" spans="1:9" x14ac:dyDescent="0.25">
      <c r="A116" t="s">
        <v>7742</v>
      </c>
      <c r="B116" t="s">
        <v>7743</v>
      </c>
      <c r="C116" t="s">
        <v>7573</v>
      </c>
      <c r="D116" t="s">
        <v>7588</v>
      </c>
      <c r="E116">
        <v>17500</v>
      </c>
      <c r="F116" s="20">
        <v>43534</v>
      </c>
      <c r="G116" t="s">
        <v>94</v>
      </c>
      <c r="H116">
        <v>4.9000000000000004</v>
      </c>
      <c r="I116" t="s">
        <v>6837</v>
      </c>
    </row>
    <row r="117" spans="1:9" x14ac:dyDescent="0.25">
      <c r="A117" t="s">
        <v>7744</v>
      </c>
      <c r="B117" t="s">
        <v>6523</v>
      </c>
      <c r="C117" t="s">
        <v>7561</v>
      </c>
      <c r="D117" t="s">
        <v>7562</v>
      </c>
      <c r="E117">
        <v>22600</v>
      </c>
      <c r="F117" s="20">
        <v>45207</v>
      </c>
      <c r="G117" t="s">
        <v>334</v>
      </c>
      <c r="H117">
        <v>4</v>
      </c>
      <c r="I117" t="s">
        <v>6837</v>
      </c>
    </row>
    <row r="118" spans="1:9" x14ac:dyDescent="0.25">
      <c r="A118" t="s">
        <v>7745</v>
      </c>
      <c r="B118" t="s">
        <v>7746</v>
      </c>
      <c r="C118" t="s">
        <v>7561</v>
      </c>
      <c r="D118" t="s">
        <v>7570</v>
      </c>
      <c r="E118">
        <v>17300</v>
      </c>
      <c r="F118" s="20">
        <v>43125</v>
      </c>
      <c r="G118" t="s">
        <v>1074</v>
      </c>
      <c r="H118">
        <v>3.7</v>
      </c>
      <c r="I118" t="s">
        <v>6837</v>
      </c>
    </row>
    <row r="119" spans="1:9" x14ac:dyDescent="0.25">
      <c r="A119" t="s">
        <v>7747</v>
      </c>
      <c r="B119" t="s">
        <v>7748</v>
      </c>
      <c r="C119" t="s">
        <v>7552</v>
      </c>
      <c r="D119" t="s">
        <v>7558</v>
      </c>
      <c r="E119">
        <v>15200</v>
      </c>
      <c r="F119" s="20">
        <v>43035</v>
      </c>
      <c r="G119" t="s">
        <v>1512</v>
      </c>
      <c r="H119">
        <v>2.9</v>
      </c>
      <c r="I119" t="s">
        <v>7648</v>
      </c>
    </row>
    <row r="120" spans="1:9" x14ac:dyDescent="0.25">
      <c r="A120" t="s">
        <v>7749</v>
      </c>
      <c r="B120" t="s">
        <v>7750</v>
      </c>
      <c r="C120" t="s">
        <v>7526</v>
      </c>
      <c r="D120" t="s">
        <v>7581</v>
      </c>
      <c r="E120">
        <v>42000</v>
      </c>
      <c r="F120" s="20">
        <v>45394</v>
      </c>
      <c r="G120" t="s">
        <v>1426</v>
      </c>
      <c r="H120">
        <v>4.9000000000000004</v>
      </c>
      <c r="I120" t="s">
        <v>6837</v>
      </c>
    </row>
    <row r="121" spans="1:9" x14ac:dyDescent="0.25">
      <c r="A121" t="s">
        <v>7751</v>
      </c>
      <c r="B121" t="s">
        <v>7752</v>
      </c>
      <c r="C121" t="s">
        <v>7561</v>
      </c>
      <c r="D121" t="s">
        <v>7570</v>
      </c>
      <c r="E121">
        <v>18000</v>
      </c>
      <c r="F121" s="20">
        <v>42830</v>
      </c>
      <c r="G121" t="s">
        <v>721</v>
      </c>
      <c r="H121">
        <v>3.4</v>
      </c>
      <c r="I121" t="s">
        <v>6837</v>
      </c>
    </row>
    <row r="122" spans="1:9" x14ac:dyDescent="0.25">
      <c r="A122" t="s">
        <v>253</v>
      </c>
      <c r="B122" t="s">
        <v>7753</v>
      </c>
      <c r="C122" t="s">
        <v>7520</v>
      </c>
      <c r="D122" t="s">
        <v>7543</v>
      </c>
      <c r="E122">
        <v>23000</v>
      </c>
      <c r="F122" s="20">
        <v>43272</v>
      </c>
      <c r="G122" t="s">
        <v>175</v>
      </c>
      <c r="H122">
        <v>3.1</v>
      </c>
      <c r="I122" t="s">
        <v>6837</v>
      </c>
    </row>
    <row r="123" spans="1:9" x14ac:dyDescent="0.25">
      <c r="A123" t="s">
        <v>7754</v>
      </c>
      <c r="B123" t="s">
        <v>7755</v>
      </c>
      <c r="C123" t="s">
        <v>7533</v>
      </c>
      <c r="D123" t="s">
        <v>7534</v>
      </c>
      <c r="E123">
        <v>15600</v>
      </c>
      <c r="F123" s="20">
        <v>42712</v>
      </c>
      <c r="G123" t="s">
        <v>1512</v>
      </c>
      <c r="H123">
        <v>4.5</v>
      </c>
      <c r="I123" t="s">
        <v>6837</v>
      </c>
    </row>
    <row r="124" spans="1:9" x14ac:dyDescent="0.25">
      <c r="A124" t="s">
        <v>7756</v>
      </c>
      <c r="B124" t="s">
        <v>5874</v>
      </c>
      <c r="C124" t="s">
        <v>7533</v>
      </c>
      <c r="D124" t="s">
        <v>7534</v>
      </c>
      <c r="E124">
        <v>16500</v>
      </c>
      <c r="F124" s="20">
        <v>44848</v>
      </c>
      <c r="G124" t="s">
        <v>416</v>
      </c>
      <c r="H124">
        <v>4.8</v>
      </c>
      <c r="I124" t="s">
        <v>7522</v>
      </c>
    </row>
    <row r="125" spans="1:9" x14ac:dyDescent="0.25">
      <c r="A125" t="s">
        <v>7757</v>
      </c>
      <c r="B125" t="s">
        <v>7758</v>
      </c>
      <c r="C125" t="s">
        <v>7552</v>
      </c>
      <c r="D125" t="s">
        <v>7558</v>
      </c>
      <c r="E125">
        <v>14200</v>
      </c>
      <c r="F125" s="20">
        <v>43535</v>
      </c>
      <c r="G125" t="s">
        <v>511</v>
      </c>
      <c r="H125">
        <v>3.1</v>
      </c>
      <c r="I125" t="s">
        <v>7648</v>
      </c>
    </row>
    <row r="126" spans="1:9" x14ac:dyDescent="0.25">
      <c r="A126" t="s">
        <v>7759</v>
      </c>
      <c r="B126" t="s">
        <v>7760</v>
      </c>
      <c r="C126" t="s">
        <v>7526</v>
      </c>
      <c r="D126" t="s">
        <v>7632</v>
      </c>
      <c r="E126">
        <v>79700</v>
      </c>
      <c r="F126" s="20">
        <v>45661</v>
      </c>
      <c r="G126" t="s">
        <v>578</v>
      </c>
      <c r="H126">
        <v>2.9</v>
      </c>
      <c r="I126" t="s">
        <v>6837</v>
      </c>
    </row>
    <row r="127" spans="1:9" x14ac:dyDescent="0.25">
      <c r="A127" t="s">
        <v>7761</v>
      </c>
      <c r="B127" t="s">
        <v>7762</v>
      </c>
      <c r="C127" t="s">
        <v>7561</v>
      </c>
      <c r="D127" t="s">
        <v>7562</v>
      </c>
      <c r="E127">
        <v>16300</v>
      </c>
      <c r="F127" s="20">
        <v>43612</v>
      </c>
      <c r="G127" t="s">
        <v>99</v>
      </c>
      <c r="H127">
        <v>5</v>
      </c>
      <c r="I127" t="s">
        <v>6837</v>
      </c>
    </row>
    <row r="128" spans="1:9" x14ac:dyDescent="0.25">
      <c r="A128" t="s">
        <v>221</v>
      </c>
      <c r="B128" t="s">
        <v>5782</v>
      </c>
      <c r="C128" t="s">
        <v>7520</v>
      </c>
      <c r="D128" t="s">
        <v>7543</v>
      </c>
      <c r="E128">
        <v>23300</v>
      </c>
      <c r="F128" s="20">
        <v>43489</v>
      </c>
      <c r="G128" t="s">
        <v>823</v>
      </c>
      <c r="H128">
        <v>2.5</v>
      </c>
      <c r="I128" t="s">
        <v>6837</v>
      </c>
    </row>
    <row r="129" spans="1:9" x14ac:dyDescent="0.25">
      <c r="A129" t="s">
        <v>7763</v>
      </c>
      <c r="B129" t="s">
        <v>7764</v>
      </c>
      <c r="C129" t="s">
        <v>7561</v>
      </c>
      <c r="D129" t="s">
        <v>7570</v>
      </c>
      <c r="E129">
        <v>17600</v>
      </c>
      <c r="F129" s="20">
        <v>44379</v>
      </c>
      <c r="G129" t="s">
        <v>831</v>
      </c>
      <c r="H129">
        <v>4.5</v>
      </c>
      <c r="I129" t="s">
        <v>6837</v>
      </c>
    </row>
    <row r="130" spans="1:9" x14ac:dyDescent="0.25">
      <c r="A130" t="s">
        <v>7765</v>
      </c>
      <c r="B130" t="s">
        <v>7766</v>
      </c>
      <c r="C130" t="s">
        <v>7526</v>
      </c>
      <c r="D130" t="s">
        <v>7527</v>
      </c>
      <c r="E130">
        <v>36200</v>
      </c>
      <c r="F130" s="20">
        <v>42380</v>
      </c>
      <c r="G130" t="s">
        <v>798</v>
      </c>
      <c r="H130">
        <v>2.8</v>
      </c>
      <c r="I130" t="s">
        <v>7648</v>
      </c>
    </row>
    <row r="131" spans="1:9" x14ac:dyDescent="0.25">
      <c r="A131" t="s">
        <v>7767</v>
      </c>
      <c r="B131" t="s">
        <v>7768</v>
      </c>
      <c r="C131" t="s">
        <v>7573</v>
      </c>
      <c r="D131" t="s">
        <v>7574</v>
      </c>
      <c r="E131">
        <v>17800</v>
      </c>
      <c r="F131" s="20">
        <v>45187</v>
      </c>
      <c r="G131" t="s">
        <v>343</v>
      </c>
      <c r="H131">
        <v>2.7</v>
      </c>
      <c r="I131" t="s">
        <v>6837</v>
      </c>
    </row>
    <row r="132" spans="1:9" x14ac:dyDescent="0.25">
      <c r="A132" t="s">
        <v>7769</v>
      </c>
      <c r="B132" t="s">
        <v>7770</v>
      </c>
      <c r="C132" t="s">
        <v>7552</v>
      </c>
      <c r="D132" t="s">
        <v>7558</v>
      </c>
      <c r="E132">
        <v>15400</v>
      </c>
      <c r="F132" s="20">
        <v>43426</v>
      </c>
      <c r="G132" t="s">
        <v>1163</v>
      </c>
      <c r="H132">
        <v>4.0999999999999996</v>
      </c>
      <c r="I132" t="s">
        <v>7648</v>
      </c>
    </row>
    <row r="133" spans="1:9" x14ac:dyDescent="0.25">
      <c r="A133" t="s">
        <v>281</v>
      </c>
      <c r="B133" t="s">
        <v>7771</v>
      </c>
      <c r="C133" t="s">
        <v>7520</v>
      </c>
      <c r="D133" t="s">
        <v>7543</v>
      </c>
      <c r="E133">
        <v>17100</v>
      </c>
      <c r="F133" s="20">
        <v>42609</v>
      </c>
      <c r="G133" t="s">
        <v>274</v>
      </c>
      <c r="H133">
        <v>3</v>
      </c>
      <c r="I133" t="s">
        <v>7522</v>
      </c>
    </row>
    <row r="134" spans="1:9" x14ac:dyDescent="0.25">
      <c r="A134" t="s">
        <v>7772</v>
      </c>
      <c r="B134" t="s">
        <v>7773</v>
      </c>
      <c r="C134" t="s">
        <v>7573</v>
      </c>
      <c r="D134" t="s">
        <v>7574</v>
      </c>
      <c r="E134">
        <v>20200</v>
      </c>
      <c r="F134" s="20">
        <v>43828</v>
      </c>
      <c r="G134" t="s">
        <v>90</v>
      </c>
      <c r="H134">
        <v>2.9</v>
      </c>
      <c r="I134" t="s">
        <v>6837</v>
      </c>
    </row>
    <row r="135" spans="1:9" x14ac:dyDescent="0.25">
      <c r="A135" t="s">
        <v>7774</v>
      </c>
      <c r="B135" t="s">
        <v>7775</v>
      </c>
      <c r="C135" t="s">
        <v>7561</v>
      </c>
      <c r="D135" t="s">
        <v>7562</v>
      </c>
      <c r="E135">
        <v>20400</v>
      </c>
      <c r="F135" s="20">
        <v>43054</v>
      </c>
      <c r="G135" t="s">
        <v>1426</v>
      </c>
      <c r="H135">
        <v>3</v>
      </c>
      <c r="I135" t="s">
        <v>6837</v>
      </c>
    </row>
    <row r="136" spans="1:9" x14ac:dyDescent="0.25">
      <c r="A136" t="s">
        <v>7776</v>
      </c>
      <c r="B136" t="s">
        <v>7777</v>
      </c>
      <c r="C136" t="s">
        <v>7552</v>
      </c>
      <c r="D136" t="s">
        <v>7553</v>
      </c>
      <c r="E136">
        <v>15200</v>
      </c>
      <c r="F136" s="20">
        <v>43810</v>
      </c>
      <c r="G136" t="s">
        <v>1825</v>
      </c>
      <c r="H136">
        <v>2.4</v>
      </c>
      <c r="I136" t="s">
        <v>6837</v>
      </c>
    </row>
    <row r="137" spans="1:9" x14ac:dyDescent="0.25">
      <c r="A137" t="s">
        <v>7778</v>
      </c>
      <c r="B137" t="s">
        <v>7779</v>
      </c>
      <c r="C137" t="s">
        <v>7552</v>
      </c>
      <c r="D137" t="s">
        <v>7553</v>
      </c>
      <c r="E137">
        <v>12600</v>
      </c>
      <c r="F137" s="20">
        <v>43003</v>
      </c>
      <c r="G137" t="s">
        <v>97</v>
      </c>
      <c r="H137">
        <v>2.7</v>
      </c>
      <c r="I137" t="s">
        <v>6837</v>
      </c>
    </row>
    <row r="138" spans="1:9" x14ac:dyDescent="0.25">
      <c r="A138" t="s">
        <v>7780</v>
      </c>
      <c r="B138" t="s">
        <v>7781</v>
      </c>
      <c r="C138" t="s">
        <v>7530</v>
      </c>
      <c r="D138" t="s">
        <v>7537</v>
      </c>
      <c r="E138">
        <v>17700</v>
      </c>
      <c r="F138" s="20">
        <v>42682</v>
      </c>
      <c r="G138" t="s">
        <v>815</v>
      </c>
      <c r="H138">
        <v>4.5</v>
      </c>
      <c r="I138" t="s">
        <v>7648</v>
      </c>
    </row>
    <row r="139" spans="1:9" x14ac:dyDescent="0.25">
      <c r="A139" t="s">
        <v>7782</v>
      </c>
      <c r="B139" t="s">
        <v>7783</v>
      </c>
      <c r="C139" t="s">
        <v>7561</v>
      </c>
      <c r="D139" t="s">
        <v>7570</v>
      </c>
      <c r="E139">
        <v>23000</v>
      </c>
      <c r="F139" s="20">
        <v>44817</v>
      </c>
      <c r="G139" t="s">
        <v>1281</v>
      </c>
      <c r="H139">
        <v>4.3</v>
      </c>
      <c r="I139" t="s">
        <v>6837</v>
      </c>
    </row>
    <row r="140" spans="1:9" x14ac:dyDescent="0.25">
      <c r="A140" t="s">
        <v>7784</v>
      </c>
      <c r="B140" t="s">
        <v>7785</v>
      </c>
      <c r="C140" t="s">
        <v>7533</v>
      </c>
      <c r="D140" t="s">
        <v>7547</v>
      </c>
      <c r="E140">
        <v>20900</v>
      </c>
      <c r="F140" s="20">
        <v>42953</v>
      </c>
      <c r="G140" t="s">
        <v>639</v>
      </c>
      <c r="H140">
        <v>2.7</v>
      </c>
      <c r="I140" t="s">
        <v>6837</v>
      </c>
    </row>
    <row r="141" spans="1:9" x14ac:dyDescent="0.25">
      <c r="A141" t="s">
        <v>7786</v>
      </c>
      <c r="B141" t="s">
        <v>7787</v>
      </c>
      <c r="C141" t="s">
        <v>7530</v>
      </c>
      <c r="D141" t="s">
        <v>7530</v>
      </c>
      <c r="E141">
        <v>14200</v>
      </c>
      <c r="F141" s="20">
        <v>44353</v>
      </c>
      <c r="G141" t="s">
        <v>355</v>
      </c>
      <c r="H141">
        <v>3.3</v>
      </c>
      <c r="I141" t="s">
        <v>6837</v>
      </c>
    </row>
    <row r="142" spans="1:9" x14ac:dyDescent="0.25">
      <c r="A142" t="s">
        <v>297</v>
      </c>
      <c r="B142" t="s">
        <v>7788</v>
      </c>
      <c r="C142" t="s">
        <v>7520</v>
      </c>
      <c r="D142" t="s">
        <v>7543</v>
      </c>
      <c r="E142">
        <v>16500</v>
      </c>
      <c r="F142" s="20">
        <v>43406</v>
      </c>
      <c r="G142" t="s">
        <v>831</v>
      </c>
      <c r="H142">
        <v>2.2000000000000002</v>
      </c>
      <c r="I142" t="s">
        <v>6837</v>
      </c>
    </row>
    <row r="143" spans="1:9" x14ac:dyDescent="0.25">
      <c r="A143" t="s">
        <v>7789</v>
      </c>
      <c r="B143" t="s">
        <v>7790</v>
      </c>
      <c r="C143" t="s">
        <v>7533</v>
      </c>
      <c r="D143" t="s">
        <v>7547</v>
      </c>
      <c r="E143">
        <v>15500</v>
      </c>
      <c r="F143" s="20">
        <v>43809</v>
      </c>
      <c r="G143" t="s">
        <v>85</v>
      </c>
      <c r="H143">
        <v>2.2999999999999998</v>
      </c>
      <c r="I143" t="s">
        <v>6837</v>
      </c>
    </row>
    <row r="144" spans="1:9" x14ac:dyDescent="0.25">
      <c r="A144" t="s">
        <v>7791</v>
      </c>
      <c r="B144" t="s">
        <v>7792</v>
      </c>
      <c r="C144" t="s">
        <v>7561</v>
      </c>
      <c r="D144" t="s">
        <v>7562</v>
      </c>
      <c r="E144">
        <v>19500</v>
      </c>
      <c r="F144" s="20">
        <v>42649</v>
      </c>
      <c r="G144" t="s">
        <v>727</v>
      </c>
      <c r="H144">
        <v>4.5</v>
      </c>
      <c r="I144" t="s">
        <v>6837</v>
      </c>
    </row>
    <row r="145" spans="1:9" x14ac:dyDescent="0.25">
      <c r="A145" t="s">
        <v>7793</v>
      </c>
      <c r="B145" t="s">
        <v>7794</v>
      </c>
      <c r="C145" t="s">
        <v>7561</v>
      </c>
      <c r="D145" t="s">
        <v>7562</v>
      </c>
      <c r="E145">
        <v>23800</v>
      </c>
      <c r="F145" s="20">
        <v>42774</v>
      </c>
      <c r="G145" t="s">
        <v>906</v>
      </c>
      <c r="H145">
        <v>2.6</v>
      </c>
      <c r="I145" t="s">
        <v>6837</v>
      </c>
    </row>
    <row r="146" spans="1:9" x14ac:dyDescent="0.25">
      <c r="A146" t="s">
        <v>7795</v>
      </c>
      <c r="B146" t="s">
        <v>7796</v>
      </c>
      <c r="C146" t="s">
        <v>7561</v>
      </c>
      <c r="D146" t="s">
        <v>7570</v>
      </c>
      <c r="E146">
        <v>21100</v>
      </c>
      <c r="F146" s="20">
        <v>42809</v>
      </c>
      <c r="G146" t="s">
        <v>252</v>
      </c>
      <c r="H146">
        <v>4.5</v>
      </c>
      <c r="I146" t="s">
        <v>7648</v>
      </c>
    </row>
    <row r="147" spans="1:9" x14ac:dyDescent="0.25">
      <c r="A147" t="s">
        <v>7797</v>
      </c>
      <c r="B147" t="s">
        <v>5244</v>
      </c>
      <c r="C147" t="s">
        <v>7540</v>
      </c>
      <c r="D147" t="s">
        <v>7541</v>
      </c>
      <c r="E147">
        <v>13800</v>
      </c>
      <c r="F147" s="20">
        <v>43657</v>
      </c>
      <c r="G147" t="s">
        <v>495</v>
      </c>
      <c r="H147">
        <v>3.4</v>
      </c>
      <c r="I147" t="s">
        <v>6837</v>
      </c>
    </row>
    <row r="148" spans="1:9" x14ac:dyDescent="0.25">
      <c r="A148" t="s">
        <v>344</v>
      </c>
      <c r="B148" t="s">
        <v>7798</v>
      </c>
      <c r="C148" t="s">
        <v>7520</v>
      </c>
      <c r="D148" t="s">
        <v>7556</v>
      </c>
      <c r="E148">
        <v>19300</v>
      </c>
      <c r="F148" s="20">
        <v>42843</v>
      </c>
      <c r="G148" t="s">
        <v>537</v>
      </c>
      <c r="H148">
        <v>2.9</v>
      </c>
      <c r="I148" t="s">
        <v>6837</v>
      </c>
    </row>
    <row r="149" spans="1:9" x14ac:dyDescent="0.25">
      <c r="A149" t="s">
        <v>7799</v>
      </c>
      <c r="B149" t="s">
        <v>6455</v>
      </c>
      <c r="C149" t="s">
        <v>7540</v>
      </c>
      <c r="D149" t="s">
        <v>7541</v>
      </c>
      <c r="E149">
        <v>14900</v>
      </c>
      <c r="F149" s="20">
        <v>44122</v>
      </c>
      <c r="G149" t="s">
        <v>1442</v>
      </c>
      <c r="H149">
        <v>4.5999999999999996</v>
      </c>
      <c r="I149" t="s">
        <v>7522</v>
      </c>
    </row>
    <row r="150" spans="1:9" x14ac:dyDescent="0.25">
      <c r="A150" t="s">
        <v>335</v>
      </c>
      <c r="B150" t="s">
        <v>7800</v>
      </c>
      <c r="C150" t="s">
        <v>7520</v>
      </c>
      <c r="D150" t="s">
        <v>7521</v>
      </c>
      <c r="E150">
        <v>21400</v>
      </c>
      <c r="F150" s="20">
        <v>42800</v>
      </c>
      <c r="G150" t="s">
        <v>425</v>
      </c>
      <c r="H150">
        <v>3.3</v>
      </c>
      <c r="I150" t="s">
        <v>6837</v>
      </c>
    </row>
    <row r="151" spans="1:9" x14ac:dyDescent="0.25">
      <c r="A151" t="s">
        <v>7801</v>
      </c>
      <c r="B151" t="s">
        <v>7802</v>
      </c>
      <c r="C151" t="s">
        <v>7540</v>
      </c>
      <c r="D151" t="s">
        <v>7541</v>
      </c>
      <c r="E151">
        <v>13700</v>
      </c>
      <c r="F151" s="20">
        <v>43061</v>
      </c>
      <c r="G151" t="s">
        <v>634</v>
      </c>
      <c r="H151">
        <v>3.1</v>
      </c>
      <c r="I151" t="s">
        <v>6837</v>
      </c>
    </row>
    <row r="152" spans="1:9" x14ac:dyDescent="0.25">
      <c r="A152" t="s">
        <v>7803</v>
      </c>
      <c r="B152" t="s">
        <v>7804</v>
      </c>
      <c r="C152" t="s">
        <v>7533</v>
      </c>
      <c r="D152" t="s">
        <v>7534</v>
      </c>
      <c r="E152">
        <v>19800</v>
      </c>
      <c r="F152" s="20">
        <v>43510</v>
      </c>
      <c r="G152" t="s">
        <v>92</v>
      </c>
      <c r="H152">
        <v>4.0999999999999996</v>
      </c>
      <c r="I152" t="s">
        <v>6837</v>
      </c>
    </row>
    <row r="153" spans="1:9" x14ac:dyDescent="0.25">
      <c r="A153" t="s">
        <v>7805</v>
      </c>
      <c r="B153" t="s">
        <v>7806</v>
      </c>
      <c r="C153" t="s">
        <v>7526</v>
      </c>
      <c r="D153" t="s">
        <v>7632</v>
      </c>
      <c r="E153">
        <v>62100</v>
      </c>
      <c r="F153" s="20">
        <v>44026</v>
      </c>
      <c r="G153" t="s">
        <v>681</v>
      </c>
      <c r="H153">
        <v>3.5</v>
      </c>
      <c r="I153" t="s">
        <v>6837</v>
      </c>
    </row>
    <row r="154" spans="1:9" x14ac:dyDescent="0.25">
      <c r="A154" t="s">
        <v>7807</v>
      </c>
      <c r="B154" t="s">
        <v>7808</v>
      </c>
      <c r="C154" t="s">
        <v>7526</v>
      </c>
      <c r="D154" t="s">
        <v>7581</v>
      </c>
      <c r="E154">
        <v>45400</v>
      </c>
      <c r="F154" s="20">
        <v>42921</v>
      </c>
      <c r="G154" t="s">
        <v>85</v>
      </c>
      <c r="H154">
        <v>2.2999999999999998</v>
      </c>
      <c r="I154" t="s">
        <v>6837</v>
      </c>
    </row>
    <row r="155" spans="1:9" x14ac:dyDescent="0.25">
      <c r="A155" t="s">
        <v>7809</v>
      </c>
      <c r="B155" t="s">
        <v>7810</v>
      </c>
      <c r="C155" t="s">
        <v>7540</v>
      </c>
      <c r="D155" t="s">
        <v>7541</v>
      </c>
      <c r="E155">
        <v>10800</v>
      </c>
      <c r="F155" s="20">
        <v>44917</v>
      </c>
      <c r="G155" t="s">
        <v>82</v>
      </c>
      <c r="H155">
        <v>2.2999999999999998</v>
      </c>
      <c r="I155" t="s">
        <v>6837</v>
      </c>
    </row>
    <row r="156" spans="1:9" x14ac:dyDescent="0.25">
      <c r="A156" t="s">
        <v>7811</v>
      </c>
      <c r="B156" t="s">
        <v>7812</v>
      </c>
      <c r="C156" t="s">
        <v>7533</v>
      </c>
      <c r="D156" t="s">
        <v>7534</v>
      </c>
      <c r="E156">
        <v>19300</v>
      </c>
      <c r="F156" s="20">
        <v>44378</v>
      </c>
      <c r="G156" t="s">
        <v>97</v>
      </c>
      <c r="H156">
        <v>2.8</v>
      </c>
      <c r="I156" t="s">
        <v>6837</v>
      </c>
    </row>
    <row r="157" spans="1:9" x14ac:dyDescent="0.25">
      <c r="A157" t="s">
        <v>159</v>
      </c>
      <c r="B157" t="s">
        <v>6165</v>
      </c>
      <c r="C157" t="s">
        <v>7520</v>
      </c>
      <c r="D157" t="s">
        <v>7543</v>
      </c>
      <c r="E157">
        <v>26400</v>
      </c>
      <c r="F157" s="20">
        <v>42857</v>
      </c>
      <c r="G157" t="s">
        <v>537</v>
      </c>
      <c r="H157">
        <v>3.4</v>
      </c>
      <c r="I157" t="s">
        <v>7522</v>
      </c>
    </row>
    <row r="158" spans="1:9" x14ac:dyDescent="0.25">
      <c r="A158" t="s">
        <v>7813</v>
      </c>
      <c r="B158" t="s">
        <v>7814</v>
      </c>
      <c r="C158" t="s">
        <v>7561</v>
      </c>
      <c r="D158" t="s">
        <v>7570</v>
      </c>
      <c r="E158">
        <v>23000</v>
      </c>
      <c r="F158" s="20">
        <v>43042</v>
      </c>
      <c r="G158" t="s">
        <v>681</v>
      </c>
      <c r="H158">
        <v>3.3</v>
      </c>
      <c r="I158" t="s">
        <v>6837</v>
      </c>
    </row>
    <row r="159" spans="1:9" x14ac:dyDescent="0.25">
      <c r="A159" t="s">
        <v>7815</v>
      </c>
      <c r="B159" t="s">
        <v>7816</v>
      </c>
      <c r="C159" t="s">
        <v>7526</v>
      </c>
      <c r="D159" t="s">
        <v>7632</v>
      </c>
      <c r="E159">
        <v>59900</v>
      </c>
      <c r="F159" s="20">
        <v>44579</v>
      </c>
      <c r="G159" t="s">
        <v>181</v>
      </c>
      <c r="H159">
        <v>3.4</v>
      </c>
      <c r="I159" t="s">
        <v>6837</v>
      </c>
    </row>
    <row r="160" spans="1:9" x14ac:dyDescent="0.25">
      <c r="A160" t="s">
        <v>7817</v>
      </c>
      <c r="B160" t="s">
        <v>7818</v>
      </c>
      <c r="C160" t="s">
        <v>7573</v>
      </c>
      <c r="D160" t="s">
        <v>7574</v>
      </c>
      <c r="E160">
        <v>21900</v>
      </c>
      <c r="F160" s="20">
        <v>43917</v>
      </c>
      <c r="G160" t="s">
        <v>752</v>
      </c>
      <c r="H160">
        <v>4</v>
      </c>
      <c r="I160" t="s">
        <v>6837</v>
      </c>
    </row>
    <row r="161" spans="1:9" x14ac:dyDescent="0.25">
      <c r="A161" t="s">
        <v>382</v>
      </c>
      <c r="B161" t="s">
        <v>7819</v>
      </c>
      <c r="C161" t="s">
        <v>7520</v>
      </c>
      <c r="D161" t="s">
        <v>7556</v>
      </c>
      <c r="E161">
        <v>25900</v>
      </c>
      <c r="F161" s="20">
        <v>43798</v>
      </c>
      <c r="G161" t="s">
        <v>515</v>
      </c>
      <c r="H161">
        <v>4.2</v>
      </c>
      <c r="I161" t="s">
        <v>6837</v>
      </c>
    </row>
    <row r="162" spans="1:9" x14ac:dyDescent="0.25">
      <c r="A162" t="s">
        <v>7820</v>
      </c>
      <c r="B162" t="s">
        <v>7821</v>
      </c>
      <c r="C162" t="s">
        <v>7530</v>
      </c>
      <c r="D162" t="s">
        <v>7537</v>
      </c>
      <c r="E162">
        <v>16800</v>
      </c>
      <c r="F162" s="20">
        <v>43833</v>
      </c>
      <c r="G162" t="s">
        <v>541</v>
      </c>
      <c r="H162">
        <v>3.1</v>
      </c>
      <c r="I162" t="s">
        <v>6837</v>
      </c>
    </row>
    <row r="163" spans="1:9" x14ac:dyDescent="0.25">
      <c r="A163" t="s">
        <v>7822</v>
      </c>
      <c r="B163" t="s">
        <v>6784</v>
      </c>
      <c r="C163" t="s">
        <v>7530</v>
      </c>
      <c r="D163" t="s">
        <v>7530</v>
      </c>
      <c r="E163">
        <v>21000</v>
      </c>
      <c r="F163" s="20">
        <v>42838</v>
      </c>
      <c r="G163" t="s">
        <v>391</v>
      </c>
      <c r="H163">
        <v>2.5</v>
      </c>
      <c r="I163" t="s">
        <v>6837</v>
      </c>
    </row>
    <row r="164" spans="1:9" x14ac:dyDescent="0.25">
      <c r="A164" t="s">
        <v>7823</v>
      </c>
      <c r="B164" t="s">
        <v>7824</v>
      </c>
      <c r="C164" t="s">
        <v>7540</v>
      </c>
      <c r="D164" t="s">
        <v>7541</v>
      </c>
      <c r="E164">
        <v>10100</v>
      </c>
      <c r="F164" s="20">
        <v>44293</v>
      </c>
      <c r="G164" t="s">
        <v>1171</v>
      </c>
      <c r="H164">
        <v>2.1</v>
      </c>
      <c r="I164" t="s">
        <v>6837</v>
      </c>
    </row>
    <row r="165" spans="1:9" x14ac:dyDescent="0.25">
      <c r="A165" t="s">
        <v>7825</v>
      </c>
      <c r="B165" t="s">
        <v>7826</v>
      </c>
      <c r="C165" t="s">
        <v>7530</v>
      </c>
      <c r="D165" t="s">
        <v>7537</v>
      </c>
      <c r="E165">
        <v>14800</v>
      </c>
      <c r="F165" s="20">
        <v>45135</v>
      </c>
      <c r="G165" t="s">
        <v>1074</v>
      </c>
      <c r="H165">
        <v>3</v>
      </c>
      <c r="I165" t="s">
        <v>6837</v>
      </c>
    </row>
    <row r="166" spans="1:9" x14ac:dyDescent="0.25">
      <c r="A166" t="s">
        <v>7827</v>
      </c>
      <c r="B166" t="s">
        <v>7828</v>
      </c>
      <c r="C166" t="s">
        <v>7573</v>
      </c>
      <c r="D166" t="s">
        <v>7574</v>
      </c>
      <c r="E166">
        <v>25700</v>
      </c>
      <c r="F166" s="20">
        <v>43196</v>
      </c>
      <c r="G166" t="s">
        <v>910</v>
      </c>
      <c r="H166">
        <v>3.9</v>
      </c>
      <c r="I166" t="s">
        <v>7648</v>
      </c>
    </row>
    <row r="167" spans="1:9" x14ac:dyDescent="0.25">
      <c r="A167" t="s">
        <v>7829</v>
      </c>
      <c r="B167" t="s">
        <v>7830</v>
      </c>
      <c r="C167" t="s">
        <v>7573</v>
      </c>
      <c r="D167" t="s">
        <v>7574</v>
      </c>
      <c r="E167">
        <v>16500</v>
      </c>
      <c r="F167" s="20">
        <v>44719</v>
      </c>
      <c r="G167" t="s">
        <v>1522</v>
      </c>
      <c r="H167">
        <v>4.4000000000000004</v>
      </c>
      <c r="I167" t="s">
        <v>6837</v>
      </c>
    </row>
    <row r="168" spans="1:9" x14ac:dyDescent="0.25">
      <c r="A168" t="s">
        <v>7831</v>
      </c>
      <c r="B168" t="s">
        <v>7832</v>
      </c>
      <c r="C168" t="s">
        <v>7552</v>
      </c>
      <c r="D168" t="s">
        <v>7558</v>
      </c>
      <c r="E168">
        <v>12400</v>
      </c>
      <c r="F168" s="20">
        <v>45651</v>
      </c>
      <c r="G168" t="s">
        <v>216</v>
      </c>
      <c r="H168">
        <v>3.4</v>
      </c>
      <c r="I168" t="s">
        <v>6837</v>
      </c>
    </row>
    <row r="169" spans="1:9" x14ac:dyDescent="0.25">
      <c r="A169" t="s">
        <v>7833</v>
      </c>
      <c r="B169" t="s">
        <v>7834</v>
      </c>
      <c r="C169" t="s">
        <v>7573</v>
      </c>
      <c r="D169" t="s">
        <v>7574</v>
      </c>
      <c r="E169">
        <v>22600</v>
      </c>
      <c r="F169" s="20">
        <v>43653</v>
      </c>
      <c r="G169" t="s">
        <v>630</v>
      </c>
      <c r="H169">
        <v>3.2</v>
      </c>
      <c r="I169" t="s">
        <v>6837</v>
      </c>
    </row>
    <row r="170" spans="1:9" x14ac:dyDescent="0.25">
      <c r="A170" t="s">
        <v>7835</v>
      </c>
      <c r="B170" t="s">
        <v>7836</v>
      </c>
      <c r="C170" t="s">
        <v>7561</v>
      </c>
      <c r="D170" t="s">
        <v>7570</v>
      </c>
      <c r="E170">
        <v>16900</v>
      </c>
      <c r="F170" s="20">
        <v>45410</v>
      </c>
      <c r="G170" t="s">
        <v>429</v>
      </c>
      <c r="H170">
        <v>2.8</v>
      </c>
      <c r="I170" t="s">
        <v>6837</v>
      </c>
    </row>
    <row r="171" spans="1:9" x14ac:dyDescent="0.25">
      <c r="A171" t="s">
        <v>170</v>
      </c>
      <c r="B171" t="s">
        <v>7837</v>
      </c>
      <c r="C171" t="s">
        <v>7520</v>
      </c>
      <c r="D171" t="s">
        <v>7521</v>
      </c>
      <c r="E171">
        <v>17600</v>
      </c>
      <c r="F171" s="20">
        <v>44264</v>
      </c>
      <c r="G171" t="s">
        <v>274</v>
      </c>
      <c r="H171">
        <v>2.7</v>
      </c>
      <c r="I171" t="s">
        <v>6837</v>
      </c>
    </row>
    <row r="172" spans="1:9" x14ac:dyDescent="0.25">
      <c r="A172" t="s">
        <v>7838</v>
      </c>
      <c r="B172" t="s">
        <v>5639</v>
      </c>
      <c r="C172" t="s">
        <v>7552</v>
      </c>
      <c r="D172" t="s">
        <v>7553</v>
      </c>
      <c r="E172">
        <v>15800</v>
      </c>
      <c r="F172" s="20">
        <v>44059</v>
      </c>
      <c r="G172" t="s">
        <v>1187</v>
      </c>
      <c r="H172">
        <v>4.5</v>
      </c>
      <c r="I172" t="s">
        <v>6837</v>
      </c>
    </row>
    <row r="173" spans="1:9" x14ac:dyDescent="0.25">
      <c r="A173" t="s">
        <v>7839</v>
      </c>
      <c r="B173" t="s">
        <v>7840</v>
      </c>
      <c r="C173" t="s">
        <v>7533</v>
      </c>
      <c r="D173" t="s">
        <v>7547</v>
      </c>
      <c r="E173">
        <v>15200</v>
      </c>
      <c r="F173" s="20">
        <v>42483</v>
      </c>
      <c r="G173" t="s">
        <v>89</v>
      </c>
      <c r="H173">
        <v>4.4000000000000004</v>
      </c>
      <c r="I173" t="s">
        <v>6837</v>
      </c>
    </row>
    <row r="174" spans="1:9" x14ac:dyDescent="0.25">
      <c r="A174" t="s">
        <v>263</v>
      </c>
      <c r="B174" t="s">
        <v>7841</v>
      </c>
      <c r="C174" t="s">
        <v>7520</v>
      </c>
      <c r="D174" t="s">
        <v>7556</v>
      </c>
      <c r="E174">
        <v>17100</v>
      </c>
      <c r="F174" s="20">
        <v>42928</v>
      </c>
      <c r="G174" t="s">
        <v>85</v>
      </c>
      <c r="H174">
        <v>2.8</v>
      </c>
      <c r="I174" t="s">
        <v>6837</v>
      </c>
    </row>
    <row r="175" spans="1:9" x14ac:dyDescent="0.25">
      <c r="A175" t="s">
        <v>7842</v>
      </c>
      <c r="B175" t="s">
        <v>7843</v>
      </c>
      <c r="C175" t="s">
        <v>7526</v>
      </c>
      <c r="D175" t="s">
        <v>7527</v>
      </c>
      <c r="E175">
        <v>37500</v>
      </c>
      <c r="F175" s="20">
        <v>42713</v>
      </c>
      <c r="G175" t="s">
        <v>607</v>
      </c>
      <c r="H175">
        <v>3.8</v>
      </c>
      <c r="I175" t="s">
        <v>7522</v>
      </c>
    </row>
    <row r="176" spans="1:9" x14ac:dyDescent="0.25">
      <c r="A176" t="s">
        <v>7844</v>
      </c>
      <c r="B176" t="s">
        <v>7347</v>
      </c>
      <c r="C176" t="s">
        <v>7530</v>
      </c>
      <c r="D176" t="s">
        <v>7537</v>
      </c>
      <c r="E176">
        <v>21500</v>
      </c>
      <c r="F176" s="20">
        <v>45336</v>
      </c>
      <c r="G176" t="s">
        <v>351</v>
      </c>
      <c r="H176">
        <v>2.4</v>
      </c>
      <c r="I176" t="s">
        <v>6837</v>
      </c>
    </row>
    <row r="177" spans="1:9" x14ac:dyDescent="0.25">
      <c r="A177" t="s">
        <v>7845</v>
      </c>
      <c r="B177" t="s">
        <v>7846</v>
      </c>
      <c r="C177" t="s">
        <v>7573</v>
      </c>
      <c r="D177" t="s">
        <v>7574</v>
      </c>
      <c r="E177">
        <v>24800</v>
      </c>
      <c r="F177" s="20">
        <v>43345</v>
      </c>
      <c r="G177" t="s">
        <v>671</v>
      </c>
      <c r="H177">
        <v>2.4</v>
      </c>
      <c r="I177" t="s">
        <v>6837</v>
      </c>
    </row>
    <row r="178" spans="1:9" x14ac:dyDescent="0.25">
      <c r="A178" t="s">
        <v>7847</v>
      </c>
      <c r="B178" t="s">
        <v>7848</v>
      </c>
      <c r="C178" t="s">
        <v>7540</v>
      </c>
      <c r="D178" t="s">
        <v>7541</v>
      </c>
      <c r="E178">
        <v>10700</v>
      </c>
      <c r="F178" s="20">
        <v>43087</v>
      </c>
      <c r="G178" t="s">
        <v>848</v>
      </c>
      <c r="H178">
        <v>4.9000000000000004</v>
      </c>
      <c r="I178" t="s">
        <v>6837</v>
      </c>
    </row>
    <row r="179" spans="1:9" x14ac:dyDescent="0.25">
      <c r="A179" t="s">
        <v>7849</v>
      </c>
      <c r="B179" t="s">
        <v>7850</v>
      </c>
      <c r="C179" t="s">
        <v>7552</v>
      </c>
      <c r="D179" t="s">
        <v>7553</v>
      </c>
      <c r="E179">
        <v>13900</v>
      </c>
      <c r="F179" s="20">
        <v>44105</v>
      </c>
      <c r="G179" t="s">
        <v>99</v>
      </c>
      <c r="H179">
        <v>4</v>
      </c>
      <c r="I179" t="s">
        <v>7648</v>
      </c>
    </row>
    <row r="180" spans="1:9" x14ac:dyDescent="0.25">
      <c r="A180" t="s">
        <v>7851</v>
      </c>
      <c r="B180" t="s">
        <v>7852</v>
      </c>
      <c r="C180" t="s">
        <v>7526</v>
      </c>
      <c r="D180" t="s">
        <v>7632</v>
      </c>
      <c r="E180">
        <v>51500</v>
      </c>
      <c r="F180" s="20">
        <v>43632</v>
      </c>
      <c r="G180" t="s">
        <v>1068</v>
      </c>
      <c r="H180">
        <v>3.9</v>
      </c>
      <c r="I180" t="s">
        <v>7522</v>
      </c>
    </row>
    <row r="181" spans="1:9" x14ac:dyDescent="0.25">
      <c r="A181" t="s">
        <v>7853</v>
      </c>
      <c r="B181" t="s">
        <v>7854</v>
      </c>
      <c r="C181" t="s">
        <v>7573</v>
      </c>
      <c r="D181" t="s">
        <v>7574</v>
      </c>
      <c r="E181">
        <v>19100</v>
      </c>
      <c r="F181" s="20">
        <v>45239</v>
      </c>
      <c r="G181" t="s">
        <v>226</v>
      </c>
      <c r="H181">
        <v>4.7</v>
      </c>
      <c r="I181" t="s">
        <v>6837</v>
      </c>
    </row>
    <row r="182" spans="1:9" x14ac:dyDescent="0.25">
      <c r="A182" t="s">
        <v>7855</v>
      </c>
      <c r="B182" t="s">
        <v>7856</v>
      </c>
      <c r="C182" t="s">
        <v>7540</v>
      </c>
      <c r="D182" t="s">
        <v>7541</v>
      </c>
      <c r="E182">
        <v>14500</v>
      </c>
      <c r="F182" s="20">
        <v>43979</v>
      </c>
      <c r="G182" t="s">
        <v>906</v>
      </c>
      <c r="H182">
        <v>4.9000000000000004</v>
      </c>
      <c r="I182" t="s">
        <v>6837</v>
      </c>
    </row>
    <row r="183" spans="1:9" x14ac:dyDescent="0.25">
      <c r="A183" t="s">
        <v>7857</v>
      </c>
      <c r="B183" t="s">
        <v>7858</v>
      </c>
      <c r="C183" t="s">
        <v>7533</v>
      </c>
      <c r="D183" t="s">
        <v>7547</v>
      </c>
      <c r="E183">
        <v>21300</v>
      </c>
      <c r="F183" s="20">
        <v>44956</v>
      </c>
      <c r="G183" t="s">
        <v>607</v>
      </c>
      <c r="H183">
        <v>4.5999999999999996</v>
      </c>
      <c r="I183" t="s">
        <v>6837</v>
      </c>
    </row>
    <row r="184" spans="1:9" x14ac:dyDescent="0.25">
      <c r="A184" t="s">
        <v>7859</v>
      </c>
      <c r="B184" t="s">
        <v>7860</v>
      </c>
      <c r="C184" t="s">
        <v>7530</v>
      </c>
      <c r="D184" t="s">
        <v>7537</v>
      </c>
      <c r="E184">
        <v>17800</v>
      </c>
      <c r="F184" s="20">
        <v>44061</v>
      </c>
      <c r="G184" t="s">
        <v>906</v>
      </c>
      <c r="H184">
        <v>4.5</v>
      </c>
      <c r="I184" t="s">
        <v>6837</v>
      </c>
    </row>
    <row r="185" spans="1:9" x14ac:dyDescent="0.25">
      <c r="A185" t="s">
        <v>7861</v>
      </c>
      <c r="B185" t="s">
        <v>7862</v>
      </c>
      <c r="C185" t="s">
        <v>7573</v>
      </c>
      <c r="D185" t="s">
        <v>7588</v>
      </c>
      <c r="E185">
        <v>19500</v>
      </c>
      <c r="F185" s="20">
        <v>44836</v>
      </c>
      <c r="G185" t="s">
        <v>721</v>
      </c>
      <c r="H185">
        <v>4.4000000000000004</v>
      </c>
      <c r="I185" t="s">
        <v>6837</v>
      </c>
    </row>
    <row r="186" spans="1:9" x14ac:dyDescent="0.25">
      <c r="A186" t="s">
        <v>7863</v>
      </c>
      <c r="B186" t="s">
        <v>7864</v>
      </c>
      <c r="C186" t="s">
        <v>7561</v>
      </c>
      <c r="D186" t="s">
        <v>7570</v>
      </c>
      <c r="E186">
        <v>22100</v>
      </c>
      <c r="F186" s="20">
        <v>42927</v>
      </c>
      <c r="G186" t="s">
        <v>525</v>
      </c>
      <c r="H186">
        <v>3.2</v>
      </c>
      <c r="I186" t="s">
        <v>6837</v>
      </c>
    </row>
    <row r="187" spans="1:9" x14ac:dyDescent="0.25">
      <c r="A187" t="s">
        <v>7865</v>
      </c>
      <c r="B187" t="s">
        <v>7866</v>
      </c>
      <c r="C187" t="s">
        <v>7561</v>
      </c>
      <c r="D187" t="s">
        <v>7562</v>
      </c>
      <c r="E187">
        <v>19600</v>
      </c>
      <c r="F187" s="20">
        <v>45514</v>
      </c>
      <c r="G187" t="s">
        <v>1023</v>
      </c>
      <c r="H187">
        <v>3.9</v>
      </c>
      <c r="I187" t="s">
        <v>6837</v>
      </c>
    </row>
    <row r="188" spans="1:9" x14ac:dyDescent="0.25">
      <c r="A188" t="s">
        <v>7867</v>
      </c>
      <c r="B188" t="s">
        <v>7868</v>
      </c>
      <c r="C188" t="s">
        <v>7526</v>
      </c>
      <c r="D188" t="s">
        <v>7581</v>
      </c>
      <c r="E188">
        <v>74300</v>
      </c>
      <c r="F188" s="20">
        <v>42916</v>
      </c>
      <c r="G188" t="s">
        <v>1681</v>
      </c>
      <c r="H188">
        <v>2.5</v>
      </c>
      <c r="I188" t="s">
        <v>6837</v>
      </c>
    </row>
    <row r="189" spans="1:9" x14ac:dyDescent="0.25">
      <c r="A189" t="s">
        <v>7869</v>
      </c>
      <c r="B189" t="s">
        <v>7870</v>
      </c>
      <c r="C189" t="s">
        <v>7530</v>
      </c>
      <c r="D189" t="s">
        <v>7537</v>
      </c>
      <c r="E189">
        <v>16900</v>
      </c>
      <c r="F189" s="20">
        <v>43981</v>
      </c>
      <c r="G189" t="s">
        <v>617</v>
      </c>
      <c r="H189">
        <v>3.1</v>
      </c>
      <c r="I189" t="s">
        <v>6837</v>
      </c>
    </row>
    <row r="190" spans="1:9" x14ac:dyDescent="0.25">
      <c r="A190" t="s">
        <v>7871</v>
      </c>
      <c r="B190" t="s">
        <v>7872</v>
      </c>
      <c r="C190" t="s">
        <v>7533</v>
      </c>
      <c r="D190" t="s">
        <v>7547</v>
      </c>
      <c r="E190">
        <v>21800</v>
      </c>
      <c r="F190" s="20">
        <v>43182</v>
      </c>
      <c r="G190" t="s">
        <v>1681</v>
      </c>
      <c r="H190">
        <v>4.0999999999999996</v>
      </c>
      <c r="I190" t="s">
        <v>6837</v>
      </c>
    </row>
    <row r="191" spans="1:9" x14ac:dyDescent="0.25">
      <c r="A191" t="s">
        <v>7873</v>
      </c>
      <c r="B191" t="s">
        <v>7874</v>
      </c>
      <c r="C191" t="s">
        <v>7573</v>
      </c>
      <c r="D191" t="s">
        <v>7588</v>
      </c>
      <c r="E191">
        <v>16900</v>
      </c>
      <c r="F191" s="20">
        <v>43877</v>
      </c>
      <c r="G191" t="s">
        <v>96</v>
      </c>
      <c r="H191">
        <v>4.8</v>
      </c>
      <c r="I191" t="s">
        <v>6837</v>
      </c>
    </row>
    <row r="192" spans="1:9" x14ac:dyDescent="0.25">
      <c r="A192" t="s">
        <v>7875</v>
      </c>
      <c r="B192" t="s">
        <v>7876</v>
      </c>
      <c r="C192" t="s">
        <v>7526</v>
      </c>
      <c r="D192" t="s">
        <v>7527</v>
      </c>
      <c r="E192">
        <v>45100</v>
      </c>
      <c r="F192" s="20">
        <v>43202</v>
      </c>
      <c r="G192" t="s">
        <v>1442</v>
      </c>
      <c r="H192">
        <v>4.8</v>
      </c>
      <c r="I192" t="s">
        <v>7648</v>
      </c>
    </row>
    <row r="193" spans="1:9" x14ac:dyDescent="0.25">
      <c r="A193" t="s">
        <v>7877</v>
      </c>
      <c r="B193" t="s">
        <v>7878</v>
      </c>
      <c r="C193" t="s">
        <v>7561</v>
      </c>
      <c r="D193" t="s">
        <v>7570</v>
      </c>
      <c r="E193">
        <v>22700</v>
      </c>
      <c r="F193" s="20">
        <v>44827</v>
      </c>
      <c r="G193" t="s">
        <v>848</v>
      </c>
      <c r="H193">
        <v>5</v>
      </c>
      <c r="I193" t="s">
        <v>6837</v>
      </c>
    </row>
    <row r="194" spans="1:9" x14ac:dyDescent="0.25">
      <c r="A194" t="s">
        <v>7879</v>
      </c>
      <c r="B194" t="s">
        <v>7880</v>
      </c>
      <c r="C194" t="s">
        <v>7540</v>
      </c>
      <c r="D194" t="s">
        <v>7541</v>
      </c>
      <c r="E194">
        <v>10100</v>
      </c>
      <c r="F194" s="20">
        <v>43442</v>
      </c>
      <c r="G194" t="s">
        <v>88</v>
      </c>
      <c r="H194">
        <v>3.9</v>
      </c>
      <c r="I194" t="s">
        <v>7522</v>
      </c>
    </row>
    <row r="195" spans="1:9" x14ac:dyDescent="0.25">
      <c r="A195" t="s">
        <v>574</v>
      </c>
      <c r="B195" t="s">
        <v>7881</v>
      </c>
      <c r="C195" t="s">
        <v>7520</v>
      </c>
      <c r="D195" t="s">
        <v>7543</v>
      </c>
      <c r="E195">
        <v>16700</v>
      </c>
      <c r="F195" s="20">
        <v>43694</v>
      </c>
      <c r="G195" t="s">
        <v>639</v>
      </c>
      <c r="H195">
        <v>3.2</v>
      </c>
      <c r="I195" t="s">
        <v>6837</v>
      </c>
    </row>
    <row r="196" spans="1:9" x14ac:dyDescent="0.25">
      <c r="A196" t="s">
        <v>7882</v>
      </c>
      <c r="B196" t="s">
        <v>7874</v>
      </c>
      <c r="C196" t="s">
        <v>7573</v>
      </c>
      <c r="D196" t="s">
        <v>7588</v>
      </c>
      <c r="E196">
        <v>17000</v>
      </c>
      <c r="F196" s="20">
        <v>42610</v>
      </c>
      <c r="G196" t="s">
        <v>90</v>
      </c>
      <c r="H196">
        <v>3</v>
      </c>
      <c r="I196" t="s">
        <v>6837</v>
      </c>
    </row>
    <row r="197" spans="1:9" x14ac:dyDescent="0.25">
      <c r="A197" t="s">
        <v>7883</v>
      </c>
      <c r="B197" t="s">
        <v>7884</v>
      </c>
      <c r="C197" t="s">
        <v>7573</v>
      </c>
      <c r="D197" t="s">
        <v>7574</v>
      </c>
      <c r="E197">
        <v>19000</v>
      </c>
      <c r="F197" s="20">
        <v>43986</v>
      </c>
      <c r="G197" t="s">
        <v>914</v>
      </c>
      <c r="H197">
        <v>3.1</v>
      </c>
      <c r="I197" t="s">
        <v>7648</v>
      </c>
    </row>
    <row r="198" spans="1:9" x14ac:dyDescent="0.25">
      <c r="A198" t="s">
        <v>7885</v>
      </c>
      <c r="B198" t="s">
        <v>7886</v>
      </c>
      <c r="C198" t="s">
        <v>7561</v>
      </c>
      <c r="D198" t="s">
        <v>7570</v>
      </c>
      <c r="E198">
        <v>23400</v>
      </c>
      <c r="F198" s="20">
        <v>44287</v>
      </c>
      <c r="G198" t="s">
        <v>101</v>
      </c>
      <c r="H198">
        <v>2.2999999999999998</v>
      </c>
      <c r="I198" t="s">
        <v>6837</v>
      </c>
    </row>
    <row r="199" spans="1:9" x14ac:dyDescent="0.25">
      <c r="A199" t="s">
        <v>7887</v>
      </c>
      <c r="B199" t="s">
        <v>7647</v>
      </c>
      <c r="C199" t="s">
        <v>7552</v>
      </c>
      <c r="D199" t="s">
        <v>7553</v>
      </c>
      <c r="E199">
        <v>17900</v>
      </c>
      <c r="F199" s="20">
        <v>44414</v>
      </c>
      <c r="G199" t="s">
        <v>318</v>
      </c>
      <c r="H199">
        <v>4.9000000000000004</v>
      </c>
      <c r="I199" t="s">
        <v>6837</v>
      </c>
    </row>
    <row r="200" spans="1:9" x14ac:dyDescent="0.25">
      <c r="A200" t="s">
        <v>7888</v>
      </c>
      <c r="B200" t="s">
        <v>7418</v>
      </c>
      <c r="C200" t="s">
        <v>7573</v>
      </c>
      <c r="D200" t="s">
        <v>7574</v>
      </c>
      <c r="E200">
        <v>21200</v>
      </c>
      <c r="F200" s="20">
        <v>44154</v>
      </c>
      <c r="G200" t="s">
        <v>442</v>
      </c>
      <c r="H200">
        <v>2.5</v>
      </c>
      <c r="I200" t="s">
        <v>6837</v>
      </c>
    </row>
    <row r="201" spans="1:9" x14ac:dyDescent="0.25">
      <c r="A201" t="s">
        <v>7889</v>
      </c>
      <c r="B201" t="s">
        <v>7890</v>
      </c>
      <c r="C201" t="s">
        <v>7526</v>
      </c>
      <c r="D201" t="s">
        <v>7527</v>
      </c>
      <c r="E201">
        <v>43500</v>
      </c>
      <c r="F201" s="20">
        <v>42593</v>
      </c>
      <c r="G201" t="s">
        <v>1141</v>
      </c>
      <c r="H201">
        <v>2.5</v>
      </c>
      <c r="I201" t="s">
        <v>6837</v>
      </c>
    </row>
    <row r="202" spans="1:9" x14ac:dyDescent="0.25">
      <c r="A202" t="s">
        <v>7891</v>
      </c>
      <c r="B202" t="s">
        <v>5114</v>
      </c>
      <c r="C202" t="s">
        <v>7530</v>
      </c>
      <c r="D202" t="s">
        <v>7537</v>
      </c>
      <c r="E202">
        <v>14300</v>
      </c>
      <c r="F202" s="20">
        <v>43830</v>
      </c>
      <c r="G202" t="s">
        <v>810</v>
      </c>
      <c r="H202">
        <v>3.7</v>
      </c>
      <c r="I202" t="s">
        <v>6837</v>
      </c>
    </row>
    <row r="203" spans="1:9" x14ac:dyDescent="0.25">
      <c r="A203" t="s">
        <v>7892</v>
      </c>
      <c r="B203" t="s">
        <v>7893</v>
      </c>
      <c r="C203" t="s">
        <v>7552</v>
      </c>
      <c r="D203" t="s">
        <v>7553</v>
      </c>
      <c r="E203">
        <v>13200</v>
      </c>
      <c r="F203" s="20">
        <v>43533</v>
      </c>
      <c r="G203" t="s">
        <v>252</v>
      </c>
      <c r="H203">
        <v>4.5</v>
      </c>
      <c r="I203" t="s">
        <v>6837</v>
      </c>
    </row>
    <row r="204" spans="1:9" x14ac:dyDescent="0.25">
      <c r="A204" t="s">
        <v>269</v>
      </c>
      <c r="B204" t="s">
        <v>7894</v>
      </c>
      <c r="C204" t="s">
        <v>7520</v>
      </c>
      <c r="D204" t="s">
        <v>7521</v>
      </c>
      <c r="E204">
        <v>25000</v>
      </c>
      <c r="F204" s="20">
        <v>43109</v>
      </c>
      <c r="G204" t="s">
        <v>823</v>
      </c>
      <c r="H204">
        <v>4.8</v>
      </c>
      <c r="I204" t="s">
        <v>6837</v>
      </c>
    </row>
    <row r="205" spans="1:9" x14ac:dyDescent="0.25">
      <c r="A205" t="s">
        <v>182</v>
      </c>
      <c r="B205" t="s">
        <v>7895</v>
      </c>
      <c r="C205" t="s">
        <v>7520</v>
      </c>
      <c r="D205" t="s">
        <v>7543</v>
      </c>
      <c r="E205">
        <v>23900</v>
      </c>
      <c r="F205" s="20">
        <v>45157</v>
      </c>
      <c r="G205" t="s">
        <v>495</v>
      </c>
      <c r="H205">
        <v>3.2</v>
      </c>
      <c r="I205" t="s">
        <v>6837</v>
      </c>
    </row>
    <row r="206" spans="1:9" x14ac:dyDescent="0.25">
      <c r="A206" t="s">
        <v>443</v>
      </c>
      <c r="B206" t="s">
        <v>7896</v>
      </c>
      <c r="C206" t="s">
        <v>7520</v>
      </c>
      <c r="D206" t="s">
        <v>7556</v>
      </c>
      <c r="E206">
        <v>21000</v>
      </c>
      <c r="F206" s="20">
        <v>45268</v>
      </c>
      <c r="G206" t="s">
        <v>206</v>
      </c>
      <c r="H206">
        <v>3.4</v>
      </c>
      <c r="I206" t="s">
        <v>6837</v>
      </c>
    </row>
    <row r="207" spans="1:9" x14ac:dyDescent="0.25">
      <c r="A207" t="s">
        <v>532</v>
      </c>
      <c r="B207" t="s">
        <v>7897</v>
      </c>
      <c r="C207" t="s">
        <v>7520</v>
      </c>
      <c r="D207" t="s">
        <v>7521</v>
      </c>
      <c r="E207">
        <v>23100</v>
      </c>
      <c r="F207" s="20">
        <v>44225</v>
      </c>
      <c r="G207" t="s">
        <v>1325</v>
      </c>
      <c r="H207">
        <v>4.8</v>
      </c>
      <c r="I207" t="s">
        <v>7648</v>
      </c>
    </row>
    <row r="208" spans="1:9" x14ac:dyDescent="0.25">
      <c r="A208" t="s">
        <v>462</v>
      </c>
      <c r="B208" t="s">
        <v>6548</v>
      </c>
      <c r="C208" t="s">
        <v>7520</v>
      </c>
      <c r="D208" t="s">
        <v>7521</v>
      </c>
      <c r="E208">
        <v>18700</v>
      </c>
      <c r="F208" s="20">
        <v>45639</v>
      </c>
      <c r="G208" t="s">
        <v>613</v>
      </c>
      <c r="H208">
        <v>4.2</v>
      </c>
      <c r="I208" t="s">
        <v>6837</v>
      </c>
    </row>
    <row r="209" spans="1:9" x14ac:dyDescent="0.25">
      <c r="A209" t="s">
        <v>7898</v>
      </c>
      <c r="B209" t="s">
        <v>7899</v>
      </c>
      <c r="C209" t="s">
        <v>7573</v>
      </c>
      <c r="D209" t="s">
        <v>7588</v>
      </c>
      <c r="E209">
        <v>18400</v>
      </c>
      <c r="F209" s="20">
        <v>45527</v>
      </c>
      <c r="G209" t="s">
        <v>296</v>
      </c>
      <c r="H209">
        <v>3.2</v>
      </c>
      <c r="I209" t="s">
        <v>6837</v>
      </c>
    </row>
    <row r="210" spans="1:9" x14ac:dyDescent="0.25">
      <c r="A210" t="s">
        <v>7900</v>
      </c>
      <c r="B210" t="s">
        <v>7901</v>
      </c>
      <c r="C210" t="s">
        <v>7573</v>
      </c>
      <c r="D210" t="s">
        <v>7588</v>
      </c>
      <c r="E210">
        <v>17200</v>
      </c>
      <c r="F210" s="20">
        <v>44380</v>
      </c>
      <c r="G210" t="s">
        <v>368</v>
      </c>
      <c r="H210">
        <v>3.3</v>
      </c>
      <c r="I210" t="s">
        <v>6837</v>
      </c>
    </row>
    <row r="211" spans="1:9" x14ac:dyDescent="0.25">
      <c r="A211" t="s">
        <v>7902</v>
      </c>
      <c r="B211" t="s">
        <v>7903</v>
      </c>
      <c r="C211" t="s">
        <v>7530</v>
      </c>
      <c r="D211" t="s">
        <v>7537</v>
      </c>
      <c r="E211">
        <v>18100</v>
      </c>
      <c r="F211" s="20">
        <v>44375</v>
      </c>
      <c r="G211" t="s">
        <v>175</v>
      </c>
      <c r="H211">
        <v>4.7</v>
      </c>
      <c r="I211" t="s">
        <v>6837</v>
      </c>
    </row>
    <row r="212" spans="1:9" x14ac:dyDescent="0.25">
      <c r="A212" t="s">
        <v>7904</v>
      </c>
      <c r="B212" t="s">
        <v>7905</v>
      </c>
      <c r="C212" t="s">
        <v>7540</v>
      </c>
      <c r="D212" t="s">
        <v>7541</v>
      </c>
      <c r="E212">
        <v>13100</v>
      </c>
      <c r="F212" s="20">
        <v>44148</v>
      </c>
      <c r="G212" t="s">
        <v>1163</v>
      </c>
      <c r="H212">
        <v>3.3</v>
      </c>
      <c r="I212" t="s">
        <v>6837</v>
      </c>
    </row>
    <row r="213" spans="1:9" x14ac:dyDescent="0.25">
      <c r="A213" t="s">
        <v>7906</v>
      </c>
      <c r="B213" t="s">
        <v>7907</v>
      </c>
      <c r="C213" t="s">
        <v>7561</v>
      </c>
      <c r="D213" t="s">
        <v>7570</v>
      </c>
      <c r="E213">
        <v>19700</v>
      </c>
      <c r="F213" s="20">
        <v>45021</v>
      </c>
      <c r="G213" t="s">
        <v>216</v>
      </c>
      <c r="H213">
        <v>2.2999999999999998</v>
      </c>
      <c r="I213" t="s">
        <v>6837</v>
      </c>
    </row>
    <row r="214" spans="1:9" x14ac:dyDescent="0.25">
      <c r="A214" t="s">
        <v>7908</v>
      </c>
      <c r="B214" t="s">
        <v>7909</v>
      </c>
      <c r="C214" t="s">
        <v>7561</v>
      </c>
      <c r="D214" t="s">
        <v>7562</v>
      </c>
      <c r="E214">
        <v>21200</v>
      </c>
      <c r="F214" s="20">
        <v>43600</v>
      </c>
      <c r="G214" t="s">
        <v>351</v>
      </c>
      <c r="H214">
        <v>2.7</v>
      </c>
      <c r="I214" t="s">
        <v>6837</v>
      </c>
    </row>
    <row r="215" spans="1:9" x14ac:dyDescent="0.25">
      <c r="A215" t="s">
        <v>7910</v>
      </c>
      <c r="B215" t="s">
        <v>7911</v>
      </c>
      <c r="C215" t="s">
        <v>7530</v>
      </c>
      <c r="D215" t="s">
        <v>7537</v>
      </c>
      <c r="E215">
        <v>17300</v>
      </c>
      <c r="F215" s="20">
        <v>44273</v>
      </c>
      <c r="G215" t="s">
        <v>206</v>
      </c>
      <c r="H215">
        <v>4.2</v>
      </c>
      <c r="I215" t="s">
        <v>6837</v>
      </c>
    </row>
    <row r="216" spans="1:9" x14ac:dyDescent="0.25">
      <c r="A216" t="s">
        <v>189</v>
      </c>
      <c r="B216" t="s">
        <v>7912</v>
      </c>
      <c r="C216" t="s">
        <v>7520</v>
      </c>
      <c r="D216" t="s">
        <v>7556</v>
      </c>
      <c r="E216">
        <v>24600</v>
      </c>
      <c r="F216" s="20">
        <v>44265</v>
      </c>
      <c r="G216" t="s">
        <v>451</v>
      </c>
      <c r="H216">
        <v>4.4000000000000004</v>
      </c>
      <c r="I216" t="s">
        <v>6837</v>
      </c>
    </row>
    <row r="217" spans="1:9" x14ac:dyDescent="0.25">
      <c r="A217" t="s">
        <v>7913</v>
      </c>
      <c r="B217" t="s">
        <v>7914</v>
      </c>
      <c r="C217" t="s">
        <v>7552</v>
      </c>
      <c r="D217" t="s">
        <v>7558</v>
      </c>
      <c r="E217">
        <v>16500</v>
      </c>
      <c r="F217" s="20">
        <v>44212</v>
      </c>
      <c r="G217" t="s">
        <v>82</v>
      </c>
      <c r="H217">
        <v>4.4000000000000004</v>
      </c>
      <c r="I217" t="s">
        <v>6837</v>
      </c>
    </row>
    <row r="218" spans="1:9" x14ac:dyDescent="0.25">
      <c r="A218" t="s">
        <v>7915</v>
      </c>
      <c r="B218" t="s">
        <v>7916</v>
      </c>
      <c r="C218" t="s">
        <v>7561</v>
      </c>
      <c r="D218" t="s">
        <v>7562</v>
      </c>
      <c r="E218">
        <v>21700</v>
      </c>
      <c r="F218" s="20">
        <v>44844</v>
      </c>
      <c r="G218" t="s">
        <v>1681</v>
      </c>
      <c r="H218">
        <v>4.5999999999999996</v>
      </c>
      <c r="I218" t="s">
        <v>6837</v>
      </c>
    </row>
    <row r="219" spans="1:9" x14ac:dyDescent="0.25">
      <c r="A219" t="s">
        <v>7917</v>
      </c>
      <c r="B219" t="s">
        <v>7918</v>
      </c>
      <c r="C219" t="s">
        <v>7530</v>
      </c>
      <c r="D219" t="s">
        <v>7530</v>
      </c>
      <c r="E219">
        <v>15400</v>
      </c>
      <c r="F219" s="20">
        <v>44324</v>
      </c>
      <c r="G219" t="s">
        <v>94</v>
      </c>
      <c r="H219">
        <v>4.0999999999999996</v>
      </c>
      <c r="I219" t="s">
        <v>7522</v>
      </c>
    </row>
    <row r="220" spans="1:9" x14ac:dyDescent="0.25">
      <c r="A220" t="s">
        <v>7919</v>
      </c>
      <c r="B220" t="s">
        <v>7920</v>
      </c>
      <c r="C220" t="s">
        <v>7552</v>
      </c>
      <c r="D220" t="s">
        <v>7558</v>
      </c>
      <c r="E220">
        <v>16800</v>
      </c>
      <c r="F220" s="20">
        <v>42728</v>
      </c>
      <c r="G220" t="s">
        <v>101</v>
      </c>
      <c r="H220">
        <v>2.4</v>
      </c>
      <c r="I220" t="s">
        <v>6837</v>
      </c>
    </row>
    <row r="221" spans="1:9" x14ac:dyDescent="0.25">
      <c r="A221" t="s">
        <v>7921</v>
      </c>
      <c r="B221" t="s">
        <v>7922</v>
      </c>
      <c r="C221" t="s">
        <v>7533</v>
      </c>
      <c r="D221" t="s">
        <v>7534</v>
      </c>
      <c r="E221">
        <v>19200</v>
      </c>
      <c r="F221" s="20">
        <v>45031</v>
      </c>
      <c r="G221" t="s">
        <v>88</v>
      </c>
      <c r="H221">
        <v>3.3</v>
      </c>
      <c r="I221" t="s">
        <v>6837</v>
      </c>
    </row>
    <row r="222" spans="1:9" x14ac:dyDescent="0.25">
      <c r="A222" t="s">
        <v>7923</v>
      </c>
      <c r="B222" t="s">
        <v>7924</v>
      </c>
      <c r="C222" t="s">
        <v>7573</v>
      </c>
      <c r="D222" t="s">
        <v>7574</v>
      </c>
      <c r="E222">
        <v>17500</v>
      </c>
      <c r="F222" s="20">
        <v>44098</v>
      </c>
      <c r="G222" t="s">
        <v>1068</v>
      </c>
      <c r="H222">
        <v>2.2999999999999998</v>
      </c>
      <c r="I222" t="s">
        <v>7522</v>
      </c>
    </row>
    <row r="223" spans="1:9" x14ac:dyDescent="0.25">
      <c r="A223" t="s">
        <v>7925</v>
      </c>
      <c r="B223" t="s">
        <v>5583</v>
      </c>
      <c r="C223" t="s">
        <v>7526</v>
      </c>
      <c r="D223" t="s">
        <v>7527</v>
      </c>
      <c r="E223">
        <v>73700</v>
      </c>
      <c r="F223" s="20">
        <v>44767</v>
      </c>
      <c r="G223" t="s">
        <v>89</v>
      </c>
      <c r="H223">
        <v>2.6</v>
      </c>
      <c r="I223" t="s">
        <v>6837</v>
      </c>
    </row>
    <row r="224" spans="1:9" x14ac:dyDescent="0.25">
      <c r="A224" t="s">
        <v>165</v>
      </c>
      <c r="B224" t="s">
        <v>7926</v>
      </c>
      <c r="C224" t="s">
        <v>7520</v>
      </c>
      <c r="D224" t="s">
        <v>7556</v>
      </c>
      <c r="E224">
        <v>23200</v>
      </c>
      <c r="F224" s="20">
        <v>45290</v>
      </c>
      <c r="G224" t="s">
        <v>588</v>
      </c>
      <c r="H224">
        <v>4.9000000000000004</v>
      </c>
      <c r="I224" t="s">
        <v>6837</v>
      </c>
    </row>
    <row r="225" spans="1:9" x14ac:dyDescent="0.25">
      <c r="A225" t="s">
        <v>7927</v>
      </c>
      <c r="B225" t="s">
        <v>7928</v>
      </c>
      <c r="C225" t="s">
        <v>7526</v>
      </c>
      <c r="D225" t="s">
        <v>7581</v>
      </c>
      <c r="E225">
        <v>56900</v>
      </c>
      <c r="F225" s="20">
        <v>44790</v>
      </c>
      <c r="G225" t="s">
        <v>470</v>
      </c>
      <c r="H225">
        <v>3.8</v>
      </c>
      <c r="I225" t="s">
        <v>6837</v>
      </c>
    </row>
    <row r="226" spans="1:9" x14ac:dyDescent="0.25">
      <c r="A226" t="s">
        <v>596</v>
      </c>
      <c r="B226" t="s">
        <v>7929</v>
      </c>
      <c r="C226" t="s">
        <v>7520</v>
      </c>
      <c r="D226" t="s">
        <v>7521</v>
      </c>
      <c r="E226">
        <v>15200</v>
      </c>
      <c r="F226" s="20">
        <v>44730</v>
      </c>
      <c r="G226" t="s">
        <v>607</v>
      </c>
      <c r="H226">
        <v>3.7</v>
      </c>
      <c r="I226" t="s">
        <v>6837</v>
      </c>
    </row>
    <row r="227" spans="1:9" x14ac:dyDescent="0.25">
      <c r="A227" t="s">
        <v>7930</v>
      </c>
      <c r="B227" t="s">
        <v>7768</v>
      </c>
      <c r="C227" t="s">
        <v>7526</v>
      </c>
      <c r="D227" t="s">
        <v>7632</v>
      </c>
      <c r="E227">
        <v>77300</v>
      </c>
      <c r="F227" s="20">
        <v>43790</v>
      </c>
      <c r="G227" t="s">
        <v>175</v>
      </c>
      <c r="H227">
        <v>4.0999999999999996</v>
      </c>
      <c r="I227" t="s">
        <v>6837</v>
      </c>
    </row>
    <row r="228" spans="1:9" x14ac:dyDescent="0.25">
      <c r="A228" t="s">
        <v>7931</v>
      </c>
      <c r="B228" t="s">
        <v>6081</v>
      </c>
      <c r="C228" t="s">
        <v>7552</v>
      </c>
      <c r="D228" t="s">
        <v>7558</v>
      </c>
      <c r="E228">
        <v>13400</v>
      </c>
      <c r="F228" s="20">
        <v>43269</v>
      </c>
      <c r="G228" t="s">
        <v>1171</v>
      </c>
      <c r="H228">
        <v>4.7</v>
      </c>
      <c r="I228" t="s">
        <v>6837</v>
      </c>
    </row>
    <row r="229" spans="1:9" x14ac:dyDescent="0.25">
      <c r="A229" t="s">
        <v>7932</v>
      </c>
      <c r="B229" t="s">
        <v>7933</v>
      </c>
      <c r="C229" t="s">
        <v>7573</v>
      </c>
      <c r="D229" t="s">
        <v>7574</v>
      </c>
      <c r="E229">
        <v>25600</v>
      </c>
      <c r="F229" s="20">
        <v>45127</v>
      </c>
      <c r="G229" t="s">
        <v>194</v>
      </c>
      <c r="H229">
        <v>4.2</v>
      </c>
      <c r="I229" t="s">
        <v>6837</v>
      </c>
    </row>
    <row r="230" spans="1:9" x14ac:dyDescent="0.25">
      <c r="A230" t="s">
        <v>7934</v>
      </c>
      <c r="B230" t="s">
        <v>7935</v>
      </c>
      <c r="C230" t="s">
        <v>7533</v>
      </c>
      <c r="D230" t="s">
        <v>7534</v>
      </c>
      <c r="E230">
        <v>19500</v>
      </c>
      <c r="F230" s="20">
        <v>42723</v>
      </c>
      <c r="G230" t="s">
        <v>914</v>
      </c>
      <c r="H230">
        <v>3.4</v>
      </c>
      <c r="I230" t="s">
        <v>6837</v>
      </c>
    </row>
    <row r="231" spans="1:9" x14ac:dyDescent="0.25">
      <c r="A231" t="s">
        <v>7936</v>
      </c>
      <c r="B231" t="s">
        <v>6758</v>
      </c>
      <c r="C231" t="s">
        <v>7540</v>
      </c>
      <c r="D231" t="s">
        <v>7541</v>
      </c>
      <c r="E231">
        <v>11500</v>
      </c>
      <c r="F231" s="20">
        <v>43227</v>
      </c>
      <c r="G231" t="s">
        <v>302</v>
      </c>
      <c r="H231">
        <v>2.1</v>
      </c>
      <c r="I231" t="s">
        <v>6837</v>
      </c>
    </row>
    <row r="232" spans="1:9" x14ac:dyDescent="0.25">
      <c r="A232" t="s">
        <v>7937</v>
      </c>
      <c r="B232" t="s">
        <v>7938</v>
      </c>
      <c r="C232" t="s">
        <v>7561</v>
      </c>
      <c r="D232" t="s">
        <v>7562</v>
      </c>
      <c r="E232">
        <v>22300</v>
      </c>
      <c r="F232" s="20">
        <v>43753</v>
      </c>
      <c r="G232" t="s">
        <v>588</v>
      </c>
      <c r="H232">
        <v>2.2999999999999998</v>
      </c>
      <c r="I232" t="s">
        <v>6837</v>
      </c>
    </row>
    <row r="233" spans="1:9" x14ac:dyDescent="0.25">
      <c r="A233" t="s">
        <v>7939</v>
      </c>
      <c r="B233" t="s">
        <v>7940</v>
      </c>
      <c r="C233" t="s">
        <v>7552</v>
      </c>
      <c r="D233" t="s">
        <v>7558</v>
      </c>
      <c r="E233">
        <v>16600</v>
      </c>
      <c r="F233" s="20">
        <v>45524</v>
      </c>
      <c r="G233" t="s">
        <v>617</v>
      </c>
      <c r="H233">
        <v>3.7</v>
      </c>
      <c r="I233" t="s">
        <v>7522</v>
      </c>
    </row>
    <row r="234" spans="1:9" x14ac:dyDescent="0.25">
      <c r="A234" t="s">
        <v>7941</v>
      </c>
      <c r="B234" t="s">
        <v>7942</v>
      </c>
      <c r="C234" t="s">
        <v>7530</v>
      </c>
      <c r="D234" t="s">
        <v>7530</v>
      </c>
      <c r="E234">
        <v>21400</v>
      </c>
      <c r="F234" s="20">
        <v>44163</v>
      </c>
      <c r="G234" t="s">
        <v>368</v>
      </c>
      <c r="H234">
        <v>3.4</v>
      </c>
      <c r="I234" t="s">
        <v>6837</v>
      </c>
    </row>
    <row r="235" spans="1:9" x14ac:dyDescent="0.25">
      <c r="A235" t="s">
        <v>7943</v>
      </c>
      <c r="B235" t="s">
        <v>7944</v>
      </c>
      <c r="C235" t="s">
        <v>7530</v>
      </c>
      <c r="D235" t="s">
        <v>7530</v>
      </c>
      <c r="E235">
        <v>18100</v>
      </c>
      <c r="F235" s="20">
        <v>43054</v>
      </c>
      <c r="G235" t="s">
        <v>1163</v>
      </c>
      <c r="H235">
        <v>2.4</v>
      </c>
      <c r="I235" t="s">
        <v>6837</v>
      </c>
    </row>
    <row r="236" spans="1:9" x14ac:dyDescent="0.25">
      <c r="A236" t="s">
        <v>7945</v>
      </c>
      <c r="B236" t="s">
        <v>7946</v>
      </c>
      <c r="C236" t="s">
        <v>7526</v>
      </c>
      <c r="D236" t="s">
        <v>7632</v>
      </c>
      <c r="E236">
        <v>74200</v>
      </c>
      <c r="F236" s="20">
        <v>43001</v>
      </c>
      <c r="G236" t="s">
        <v>343</v>
      </c>
      <c r="H236">
        <v>3.1</v>
      </c>
      <c r="I236" t="s">
        <v>6837</v>
      </c>
    </row>
    <row r="237" spans="1:9" x14ac:dyDescent="0.25">
      <c r="A237" t="s">
        <v>7947</v>
      </c>
      <c r="B237" t="s">
        <v>7948</v>
      </c>
      <c r="C237" t="s">
        <v>7540</v>
      </c>
      <c r="D237" t="s">
        <v>7541</v>
      </c>
      <c r="E237">
        <v>11200</v>
      </c>
      <c r="F237" s="20">
        <v>45684</v>
      </c>
      <c r="G237" t="s">
        <v>99</v>
      </c>
      <c r="H237">
        <v>3</v>
      </c>
      <c r="I237" t="s">
        <v>6837</v>
      </c>
    </row>
    <row r="238" spans="1:9" x14ac:dyDescent="0.25">
      <c r="A238" t="s">
        <v>7949</v>
      </c>
      <c r="B238" t="s">
        <v>7950</v>
      </c>
      <c r="C238" t="s">
        <v>7552</v>
      </c>
      <c r="D238" t="s">
        <v>7553</v>
      </c>
      <c r="E238">
        <v>12900</v>
      </c>
      <c r="F238" s="20">
        <v>45456</v>
      </c>
      <c r="G238" t="s">
        <v>216</v>
      </c>
      <c r="H238">
        <v>3.3</v>
      </c>
      <c r="I238" t="s">
        <v>6837</v>
      </c>
    </row>
    <row r="239" spans="1:9" x14ac:dyDescent="0.25">
      <c r="A239" t="s">
        <v>7951</v>
      </c>
      <c r="B239" t="s">
        <v>7952</v>
      </c>
      <c r="C239" t="s">
        <v>7526</v>
      </c>
      <c r="D239" t="s">
        <v>7632</v>
      </c>
      <c r="E239">
        <v>70800</v>
      </c>
      <c r="F239" s="20">
        <v>43851</v>
      </c>
      <c r="G239" t="s">
        <v>85</v>
      </c>
      <c r="H239">
        <v>3.3</v>
      </c>
      <c r="I239" t="s">
        <v>6837</v>
      </c>
    </row>
    <row r="240" spans="1:9" x14ac:dyDescent="0.25">
      <c r="A240" t="s">
        <v>7953</v>
      </c>
      <c r="B240" t="s">
        <v>7954</v>
      </c>
      <c r="C240" t="s">
        <v>7530</v>
      </c>
      <c r="D240" t="s">
        <v>7537</v>
      </c>
      <c r="E240">
        <v>16500</v>
      </c>
      <c r="F240" s="20">
        <v>45533</v>
      </c>
      <c r="G240" t="s">
        <v>96</v>
      </c>
      <c r="H240">
        <v>3.3</v>
      </c>
      <c r="I240" t="s">
        <v>6837</v>
      </c>
    </row>
    <row r="241" spans="1:9" x14ac:dyDescent="0.25">
      <c r="A241" t="s">
        <v>550</v>
      </c>
      <c r="B241" t="s">
        <v>5830</v>
      </c>
      <c r="C241" t="s">
        <v>7520</v>
      </c>
      <c r="D241" t="s">
        <v>7521</v>
      </c>
      <c r="E241">
        <v>27700</v>
      </c>
      <c r="F241" s="20">
        <v>45642</v>
      </c>
      <c r="G241" t="s">
        <v>206</v>
      </c>
      <c r="H241">
        <v>4.5999999999999996</v>
      </c>
      <c r="I241" t="s">
        <v>7648</v>
      </c>
    </row>
    <row r="242" spans="1:9" x14ac:dyDescent="0.25">
      <c r="A242" t="s">
        <v>7955</v>
      </c>
      <c r="B242" t="s">
        <v>7956</v>
      </c>
      <c r="C242" t="s">
        <v>7552</v>
      </c>
      <c r="D242" t="s">
        <v>7553</v>
      </c>
      <c r="E242">
        <v>17000</v>
      </c>
      <c r="F242" s="20">
        <v>44531</v>
      </c>
      <c r="G242" t="s">
        <v>752</v>
      </c>
      <c r="H242">
        <v>4.8</v>
      </c>
      <c r="I242" t="s">
        <v>6837</v>
      </c>
    </row>
    <row r="243" spans="1:9" x14ac:dyDescent="0.25">
      <c r="A243" t="s">
        <v>7957</v>
      </c>
      <c r="B243" t="s">
        <v>7958</v>
      </c>
      <c r="C243" t="s">
        <v>7526</v>
      </c>
      <c r="D243" t="s">
        <v>7632</v>
      </c>
      <c r="E243">
        <v>50500</v>
      </c>
      <c r="F243" s="20">
        <v>45695</v>
      </c>
      <c r="G243" t="s">
        <v>87</v>
      </c>
      <c r="H243">
        <v>3.9</v>
      </c>
      <c r="I243" t="s">
        <v>6837</v>
      </c>
    </row>
    <row r="244" spans="1:9" x14ac:dyDescent="0.25">
      <c r="A244" t="s">
        <v>7959</v>
      </c>
      <c r="B244" t="s">
        <v>7960</v>
      </c>
      <c r="C244" t="s">
        <v>7552</v>
      </c>
      <c r="D244" t="s">
        <v>7558</v>
      </c>
      <c r="E244">
        <v>16400</v>
      </c>
      <c r="F244" s="20">
        <v>45401</v>
      </c>
      <c r="G244" t="s">
        <v>617</v>
      </c>
      <c r="H244">
        <v>2.4</v>
      </c>
      <c r="I244" t="s">
        <v>7648</v>
      </c>
    </row>
    <row r="245" spans="1:9" x14ac:dyDescent="0.25">
      <c r="A245" t="s">
        <v>7961</v>
      </c>
      <c r="B245" t="s">
        <v>5704</v>
      </c>
      <c r="C245" t="s">
        <v>7573</v>
      </c>
      <c r="D245" t="s">
        <v>7574</v>
      </c>
      <c r="E245">
        <v>23600</v>
      </c>
      <c r="F245" s="20">
        <v>43025</v>
      </c>
      <c r="G245" t="s">
        <v>1068</v>
      </c>
      <c r="H245">
        <v>2.1</v>
      </c>
      <c r="I245" t="s">
        <v>6837</v>
      </c>
    </row>
    <row r="246" spans="1:9" x14ac:dyDescent="0.25">
      <c r="A246" t="s">
        <v>7962</v>
      </c>
      <c r="B246" t="s">
        <v>5997</v>
      </c>
      <c r="C246" t="s">
        <v>7540</v>
      </c>
      <c r="D246" t="s">
        <v>7541</v>
      </c>
      <c r="E246">
        <v>13700</v>
      </c>
      <c r="F246" s="20">
        <v>43897</v>
      </c>
      <c r="G246" t="s">
        <v>1681</v>
      </c>
      <c r="H246">
        <v>3.9</v>
      </c>
      <c r="I246" t="s">
        <v>6837</v>
      </c>
    </row>
    <row r="247" spans="1:9" x14ac:dyDescent="0.25">
      <c r="A247" t="s">
        <v>7963</v>
      </c>
      <c r="B247" t="s">
        <v>7964</v>
      </c>
      <c r="C247" t="s">
        <v>7573</v>
      </c>
      <c r="D247" t="s">
        <v>7588</v>
      </c>
      <c r="E247">
        <v>20500</v>
      </c>
      <c r="F247" s="20">
        <v>43337</v>
      </c>
      <c r="G247" t="s">
        <v>515</v>
      </c>
      <c r="H247">
        <v>4.2</v>
      </c>
      <c r="I247" t="s">
        <v>6837</v>
      </c>
    </row>
    <row r="248" spans="1:9" x14ac:dyDescent="0.25">
      <c r="A248" t="s">
        <v>7965</v>
      </c>
      <c r="B248" t="s">
        <v>7966</v>
      </c>
      <c r="C248" t="s">
        <v>7533</v>
      </c>
      <c r="D248" t="s">
        <v>7534</v>
      </c>
      <c r="E248">
        <v>16400</v>
      </c>
      <c r="F248" s="20">
        <v>45101</v>
      </c>
      <c r="G248" t="s">
        <v>87</v>
      </c>
      <c r="H248">
        <v>4.4000000000000004</v>
      </c>
      <c r="I248" t="s">
        <v>6837</v>
      </c>
    </row>
    <row r="249" spans="1:9" x14ac:dyDescent="0.25">
      <c r="A249" t="s">
        <v>7967</v>
      </c>
      <c r="B249" t="s">
        <v>7968</v>
      </c>
      <c r="C249" t="s">
        <v>7533</v>
      </c>
      <c r="D249" t="s">
        <v>7547</v>
      </c>
      <c r="E249">
        <v>16600</v>
      </c>
      <c r="F249" s="20">
        <v>44755</v>
      </c>
      <c r="G249" t="s">
        <v>1442</v>
      </c>
      <c r="H249">
        <v>4.5</v>
      </c>
      <c r="I249" t="s">
        <v>6837</v>
      </c>
    </row>
    <row r="250" spans="1:9" x14ac:dyDescent="0.25">
      <c r="A250" t="s">
        <v>7969</v>
      </c>
      <c r="B250" t="s">
        <v>7970</v>
      </c>
      <c r="C250" t="s">
        <v>7530</v>
      </c>
      <c r="D250" t="s">
        <v>7530</v>
      </c>
      <c r="E250">
        <v>14500</v>
      </c>
      <c r="F250" s="20">
        <v>42902</v>
      </c>
      <c r="G250" t="s">
        <v>99</v>
      </c>
      <c r="H250">
        <v>2.6</v>
      </c>
      <c r="I250" t="s">
        <v>6837</v>
      </c>
    </row>
    <row r="251" spans="1:9" x14ac:dyDescent="0.25">
      <c r="A251" t="s">
        <v>7971</v>
      </c>
      <c r="B251" t="s">
        <v>7972</v>
      </c>
      <c r="C251" t="s">
        <v>7540</v>
      </c>
      <c r="D251" t="s">
        <v>7541</v>
      </c>
      <c r="E251">
        <v>12900</v>
      </c>
      <c r="F251" s="20">
        <v>44976</v>
      </c>
      <c r="G251" t="s">
        <v>506</v>
      </c>
      <c r="H251">
        <v>5</v>
      </c>
      <c r="I251" t="s">
        <v>6837</v>
      </c>
    </row>
    <row r="252" spans="1:9" x14ac:dyDescent="0.25">
      <c r="A252" t="s">
        <v>7973</v>
      </c>
      <c r="B252" t="s">
        <v>7974</v>
      </c>
      <c r="C252" t="s">
        <v>7561</v>
      </c>
      <c r="D252" t="s">
        <v>7562</v>
      </c>
      <c r="E252">
        <v>19400</v>
      </c>
      <c r="F252" s="20">
        <v>44244</v>
      </c>
      <c r="G252" t="s">
        <v>101</v>
      </c>
      <c r="H252">
        <v>4.9000000000000004</v>
      </c>
      <c r="I252" t="s">
        <v>6837</v>
      </c>
    </row>
    <row r="253" spans="1:9" x14ac:dyDescent="0.25">
      <c r="A253" t="s">
        <v>7975</v>
      </c>
      <c r="B253" t="s">
        <v>7976</v>
      </c>
      <c r="C253" t="s">
        <v>7526</v>
      </c>
      <c r="D253" t="s">
        <v>7527</v>
      </c>
      <c r="E253">
        <v>68600</v>
      </c>
      <c r="F253" s="20">
        <v>44659</v>
      </c>
      <c r="G253" t="s">
        <v>1962</v>
      </c>
      <c r="H253">
        <v>4.8</v>
      </c>
      <c r="I253" t="s">
        <v>6837</v>
      </c>
    </row>
    <row r="254" spans="1:9" x14ac:dyDescent="0.25">
      <c r="A254" t="s">
        <v>7977</v>
      </c>
      <c r="B254" t="s">
        <v>7978</v>
      </c>
      <c r="C254" t="s">
        <v>7552</v>
      </c>
      <c r="D254" t="s">
        <v>7558</v>
      </c>
      <c r="E254">
        <v>12200</v>
      </c>
      <c r="F254" s="20">
        <v>42997</v>
      </c>
      <c r="G254" t="s">
        <v>495</v>
      </c>
      <c r="H254">
        <v>3.1</v>
      </c>
      <c r="I254" t="s">
        <v>7648</v>
      </c>
    </row>
    <row r="255" spans="1:9" x14ac:dyDescent="0.25">
      <c r="A255" t="s">
        <v>7979</v>
      </c>
      <c r="B255" t="s">
        <v>5138</v>
      </c>
      <c r="C255" t="s">
        <v>7561</v>
      </c>
      <c r="D255" t="s">
        <v>7562</v>
      </c>
      <c r="E255">
        <v>22100</v>
      </c>
      <c r="F255" s="20">
        <v>44097</v>
      </c>
      <c r="G255" t="s">
        <v>90</v>
      </c>
      <c r="H255">
        <v>4.8</v>
      </c>
      <c r="I255" t="s">
        <v>6837</v>
      </c>
    </row>
    <row r="256" spans="1:9" x14ac:dyDescent="0.25">
      <c r="A256" t="s">
        <v>275</v>
      </c>
      <c r="B256" t="s">
        <v>7980</v>
      </c>
      <c r="C256" t="s">
        <v>7520</v>
      </c>
      <c r="D256" t="s">
        <v>7556</v>
      </c>
      <c r="E256">
        <v>22100</v>
      </c>
      <c r="F256" s="20">
        <v>42646</v>
      </c>
      <c r="G256" t="s">
        <v>318</v>
      </c>
      <c r="H256">
        <v>2.1</v>
      </c>
      <c r="I256" t="s">
        <v>6837</v>
      </c>
    </row>
    <row r="257" spans="1:9" x14ac:dyDescent="0.25">
      <c r="A257" t="s">
        <v>7981</v>
      </c>
      <c r="B257" t="s">
        <v>7982</v>
      </c>
      <c r="C257" t="s">
        <v>7540</v>
      </c>
      <c r="D257" t="s">
        <v>7541</v>
      </c>
      <c r="E257">
        <v>14200</v>
      </c>
      <c r="F257" s="20">
        <v>44850</v>
      </c>
      <c r="G257" t="s">
        <v>101</v>
      </c>
      <c r="H257">
        <v>4.3</v>
      </c>
      <c r="I257" t="s">
        <v>6837</v>
      </c>
    </row>
    <row r="258" spans="1:9" x14ac:dyDescent="0.25">
      <c r="A258" t="s">
        <v>7983</v>
      </c>
      <c r="B258" t="s">
        <v>7984</v>
      </c>
      <c r="C258" t="s">
        <v>7561</v>
      </c>
      <c r="D258" t="s">
        <v>7570</v>
      </c>
      <c r="E258">
        <v>15800</v>
      </c>
      <c r="F258" s="20">
        <v>44929</v>
      </c>
      <c r="G258" t="s">
        <v>914</v>
      </c>
      <c r="H258">
        <v>3.9</v>
      </c>
      <c r="I258" t="s">
        <v>6837</v>
      </c>
    </row>
    <row r="259" spans="1:9" x14ac:dyDescent="0.25">
      <c r="A259" t="s">
        <v>211</v>
      </c>
      <c r="B259" t="s">
        <v>7985</v>
      </c>
      <c r="C259" t="s">
        <v>7520</v>
      </c>
      <c r="D259" t="s">
        <v>7521</v>
      </c>
      <c r="E259">
        <v>26600</v>
      </c>
      <c r="F259" s="20">
        <v>45384</v>
      </c>
      <c r="G259" t="s">
        <v>745</v>
      </c>
      <c r="H259">
        <v>3.9</v>
      </c>
      <c r="I259" t="s">
        <v>7522</v>
      </c>
    </row>
    <row r="260" spans="1:9" x14ac:dyDescent="0.25">
      <c r="A260" t="s">
        <v>7986</v>
      </c>
      <c r="B260" t="s">
        <v>7987</v>
      </c>
      <c r="C260" t="s">
        <v>7530</v>
      </c>
      <c r="D260" t="s">
        <v>7530</v>
      </c>
      <c r="E260">
        <v>15500</v>
      </c>
      <c r="F260" s="20">
        <v>44904</v>
      </c>
      <c r="G260" t="s">
        <v>1426</v>
      </c>
      <c r="H260">
        <v>3.7</v>
      </c>
      <c r="I260" t="s">
        <v>6837</v>
      </c>
    </row>
    <row r="261" spans="1:9" x14ac:dyDescent="0.25">
      <c r="A261" t="s">
        <v>292</v>
      </c>
      <c r="B261" t="s">
        <v>7988</v>
      </c>
      <c r="C261" t="s">
        <v>7520</v>
      </c>
      <c r="D261" t="s">
        <v>7556</v>
      </c>
      <c r="E261">
        <v>23600</v>
      </c>
      <c r="F261" s="20">
        <v>44548</v>
      </c>
      <c r="G261" t="s">
        <v>252</v>
      </c>
      <c r="H261">
        <v>4.9000000000000004</v>
      </c>
      <c r="I261" t="s">
        <v>6837</v>
      </c>
    </row>
    <row r="262" spans="1:9" x14ac:dyDescent="0.25">
      <c r="A262" t="s">
        <v>7989</v>
      </c>
      <c r="B262" t="s">
        <v>7990</v>
      </c>
      <c r="C262" t="s">
        <v>7552</v>
      </c>
      <c r="D262" t="s">
        <v>7558</v>
      </c>
      <c r="E262">
        <v>15500</v>
      </c>
      <c r="F262" s="20">
        <v>44383</v>
      </c>
      <c r="G262" t="s">
        <v>296</v>
      </c>
      <c r="H262">
        <v>4.8</v>
      </c>
      <c r="I262" t="s">
        <v>6837</v>
      </c>
    </row>
    <row r="263" spans="1:9" x14ac:dyDescent="0.25">
      <c r="A263" t="s">
        <v>7991</v>
      </c>
      <c r="B263" t="s">
        <v>7992</v>
      </c>
      <c r="C263" t="s">
        <v>7552</v>
      </c>
      <c r="D263" t="s">
        <v>7558</v>
      </c>
      <c r="E263">
        <v>13500</v>
      </c>
      <c r="F263" s="20">
        <v>42839</v>
      </c>
      <c r="G263" t="s">
        <v>727</v>
      </c>
      <c r="H263">
        <v>3.6</v>
      </c>
      <c r="I263" t="s">
        <v>6837</v>
      </c>
    </row>
    <row r="264" spans="1:9" x14ac:dyDescent="0.25">
      <c r="A264" t="s">
        <v>7993</v>
      </c>
      <c r="B264" t="s">
        <v>7994</v>
      </c>
      <c r="C264" t="s">
        <v>7573</v>
      </c>
      <c r="D264" t="s">
        <v>7574</v>
      </c>
      <c r="E264">
        <v>22800</v>
      </c>
      <c r="F264" s="20">
        <v>42611</v>
      </c>
      <c r="G264" t="s">
        <v>752</v>
      </c>
      <c r="H264">
        <v>4.9000000000000004</v>
      </c>
      <c r="I264" t="s">
        <v>6837</v>
      </c>
    </row>
    <row r="265" spans="1:9" x14ac:dyDescent="0.25">
      <c r="A265" t="s">
        <v>7995</v>
      </c>
      <c r="B265" t="s">
        <v>7996</v>
      </c>
      <c r="C265" t="s">
        <v>7530</v>
      </c>
      <c r="D265" t="s">
        <v>7537</v>
      </c>
      <c r="E265">
        <v>15100</v>
      </c>
      <c r="F265" s="20">
        <v>43697</v>
      </c>
      <c r="G265" t="s">
        <v>1681</v>
      </c>
      <c r="H265">
        <v>3.1</v>
      </c>
      <c r="I265" t="s">
        <v>6837</v>
      </c>
    </row>
    <row r="266" spans="1:9" x14ac:dyDescent="0.25">
      <c r="A266" t="s">
        <v>7997</v>
      </c>
      <c r="B266" t="s">
        <v>6058</v>
      </c>
      <c r="C266" t="s">
        <v>7533</v>
      </c>
      <c r="D266" t="s">
        <v>7534</v>
      </c>
      <c r="E266">
        <v>18100</v>
      </c>
      <c r="F266" s="20">
        <v>44436</v>
      </c>
      <c r="G266" t="s">
        <v>537</v>
      </c>
      <c r="H266">
        <v>4.8</v>
      </c>
      <c r="I266" t="s">
        <v>6837</v>
      </c>
    </row>
    <row r="267" spans="1:9" x14ac:dyDescent="0.25">
      <c r="A267" t="s">
        <v>7998</v>
      </c>
      <c r="B267" t="s">
        <v>6137</v>
      </c>
      <c r="C267" t="s">
        <v>7526</v>
      </c>
      <c r="D267" t="s">
        <v>7527</v>
      </c>
      <c r="E267">
        <v>53300</v>
      </c>
      <c r="F267" s="20">
        <v>43327</v>
      </c>
      <c r="G267" t="s">
        <v>806</v>
      </c>
      <c r="H267">
        <v>4.7</v>
      </c>
      <c r="I267" t="s">
        <v>6837</v>
      </c>
    </row>
    <row r="268" spans="1:9" x14ac:dyDescent="0.25">
      <c r="A268" t="s">
        <v>7999</v>
      </c>
      <c r="B268" t="s">
        <v>8000</v>
      </c>
      <c r="C268" t="s">
        <v>7561</v>
      </c>
      <c r="D268" t="s">
        <v>7570</v>
      </c>
      <c r="E268">
        <v>20100</v>
      </c>
      <c r="F268" s="20">
        <v>44196</v>
      </c>
      <c r="G268" t="s">
        <v>84</v>
      </c>
      <c r="H268">
        <v>4.5</v>
      </c>
      <c r="I268" t="s">
        <v>6837</v>
      </c>
    </row>
    <row r="269" spans="1:9" x14ac:dyDescent="0.25">
      <c r="A269" t="s">
        <v>8001</v>
      </c>
      <c r="B269" t="s">
        <v>7852</v>
      </c>
      <c r="C269" t="s">
        <v>7561</v>
      </c>
      <c r="D269" t="s">
        <v>7562</v>
      </c>
      <c r="E269">
        <v>19800</v>
      </c>
      <c r="F269" s="20">
        <v>44105</v>
      </c>
      <c r="G269" t="s">
        <v>806</v>
      </c>
      <c r="H269">
        <v>3.7</v>
      </c>
      <c r="I269" t="s">
        <v>6837</v>
      </c>
    </row>
    <row r="270" spans="1:9" x14ac:dyDescent="0.25">
      <c r="A270" t="s">
        <v>286</v>
      </c>
      <c r="B270" t="s">
        <v>8002</v>
      </c>
      <c r="C270" t="s">
        <v>7520</v>
      </c>
      <c r="D270" t="s">
        <v>7556</v>
      </c>
      <c r="E270">
        <v>27100</v>
      </c>
      <c r="F270" s="20">
        <v>44345</v>
      </c>
      <c r="G270" t="s">
        <v>1187</v>
      </c>
      <c r="H270">
        <v>3.8</v>
      </c>
      <c r="I270" t="s">
        <v>6837</v>
      </c>
    </row>
    <row r="271" spans="1:9" x14ac:dyDescent="0.25">
      <c r="A271" t="s">
        <v>8003</v>
      </c>
      <c r="B271" t="s">
        <v>8004</v>
      </c>
      <c r="C271" t="s">
        <v>7573</v>
      </c>
      <c r="D271" t="s">
        <v>7588</v>
      </c>
      <c r="E271">
        <v>17600</v>
      </c>
      <c r="F271" s="20">
        <v>44557</v>
      </c>
      <c r="G271" t="s">
        <v>363</v>
      </c>
      <c r="H271">
        <v>2.2000000000000002</v>
      </c>
      <c r="I271" t="s">
        <v>6837</v>
      </c>
    </row>
    <row r="272" spans="1:9" x14ac:dyDescent="0.25">
      <c r="A272" t="s">
        <v>8005</v>
      </c>
      <c r="B272" t="s">
        <v>8006</v>
      </c>
      <c r="C272" t="s">
        <v>7573</v>
      </c>
      <c r="D272" t="s">
        <v>7574</v>
      </c>
      <c r="E272">
        <v>18100</v>
      </c>
      <c r="F272" s="20">
        <v>44437</v>
      </c>
      <c r="G272" t="s">
        <v>368</v>
      </c>
      <c r="H272">
        <v>3</v>
      </c>
      <c r="I272" t="s">
        <v>6837</v>
      </c>
    </row>
    <row r="273" spans="1:9" x14ac:dyDescent="0.25">
      <c r="A273" t="s">
        <v>8007</v>
      </c>
      <c r="B273" t="s">
        <v>8008</v>
      </c>
      <c r="C273" t="s">
        <v>7573</v>
      </c>
      <c r="D273" t="s">
        <v>7588</v>
      </c>
      <c r="E273">
        <v>22600</v>
      </c>
      <c r="F273" s="20">
        <v>43687</v>
      </c>
      <c r="G273" t="s">
        <v>391</v>
      </c>
      <c r="H273">
        <v>2.6</v>
      </c>
      <c r="I273" t="s">
        <v>7648</v>
      </c>
    </row>
    <row r="274" spans="1:9" x14ac:dyDescent="0.25">
      <c r="A274" t="s">
        <v>8009</v>
      </c>
      <c r="B274" t="s">
        <v>8010</v>
      </c>
      <c r="C274" t="s">
        <v>7526</v>
      </c>
      <c r="D274" t="s">
        <v>7527</v>
      </c>
      <c r="E274">
        <v>75600</v>
      </c>
      <c r="F274" s="20">
        <v>45125</v>
      </c>
      <c r="G274" t="s">
        <v>451</v>
      </c>
      <c r="H274">
        <v>3.2</v>
      </c>
      <c r="I274" t="s">
        <v>7522</v>
      </c>
    </row>
    <row r="275" spans="1:9" x14ac:dyDescent="0.25">
      <c r="A275" t="s">
        <v>8011</v>
      </c>
      <c r="B275" t="s">
        <v>8012</v>
      </c>
      <c r="C275" t="s">
        <v>7530</v>
      </c>
      <c r="D275" t="s">
        <v>7530</v>
      </c>
      <c r="E275">
        <v>18300</v>
      </c>
      <c r="F275" s="20">
        <v>45712</v>
      </c>
      <c r="G275" t="s">
        <v>914</v>
      </c>
      <c r="H275">
        <v>3.3</v>
      </c>
      <c r="I275" t="s">
        <v>6837</v>
      </c>
    </row>
    <row r="276" spans="1:9" x14ac:dyDescent="0.25">
      <c r="A276" t="s">
        <v>8013</v>
      </c>
      <c r="B276" t="s">
        <v>8014</v>
      </c>
      <c r="C276" t="s">
        <v>7552</v>
      </c>
      <c r="D276" t="s">
        <v>7558</v>
      </c>
      <c r="E276">
        <v>13100</v>
      </c>
      <c r="F276" s="20">
        <v>45515</v>
      </c>
      <c r="G276" t="s">
        <v>515</v>
      </c>
      <c r="H276">
        <v>4.0999999999999996</v>
      </c>
      <c r="I276" t="s">
        <v>6837</v>
      </c>
    </row>
    <row r="277" spans="1:9" x14ac:dyDescent="0.25">
      <c r="A277" t="s">
        <v>150</v>
      </c>
      <c r="B277" t="s">
        <v>8015</v>
      </c>
      <c r="C277" t="s">
        <v>7520</v>
      </c>
      <c r="D277" t="s">
        <v>7556</v>
      </c>
      <c r="E277">
        <v>24700</v>
      </c>
      <c r="F277" s="20">
        <v>45476</v>
      </c>
      <c r="G277" t="s">
        <v>745</v>
      </c>
      <c r="H277">
        <v>4</v>
      </c>
      <c r="I277" t="s">
        <v>6837</v>
      </c>
    </row>
    <row r="278" spans="1:9" x14ac:dyDescent="0.25">
      <c r="A278" t="s">
        <v>8016</v>
      </c>
      <c r="B278" t="s">
        <v>5488</v>
      </c>
      <c r="C278" t="s">
        <v>7533</v>
      </c>
      <c r="D278" t="s">
        <v>7534</v>
      </c>
      <c r="E278">
        <v>21700</v>
      </c>
      <c r="F278" s="20">
        <v>42520</v>
      </c>
      <c r="G278" t="s">
        <v>745</v>
      </c>
      <c r="H278">
        <v>3.5</v>
      </c>
      <c r="I278" t="s">
        <v>6837</v>
      </c>
    </row>
    <row r="279" spans="1:9" x14ac:dyDescent="0.25">
      <c r="A279" t="s">
        <v>8017</v>
      </c>
      <c r="B279" t="s">
        <v>8018</v>
      </c>
      <c r="C279" t="s">
        <v>7540</v>
      </c>
      <c r="D279" t="s">
        <v>7541</v>
      </c>
      <c r="E279">
        <v>14300</v>
      </c>
      <c r="F279" s="20">
        <v>44701</v>
      </c>
      <c r="G279" t="s">
        <v>97</v>
      </c>
      <c r="H279">
        <v>3.5</v>
      </c>
      <c r="I279" t="s">
        <v>6837</v>
      </c>
    </row>
    <row r="280" spans="1:9" x14ac:dyDescent="0.25">
      <c r="A280" t="s">
        <v>8019</v>
      </c>
      <c r="B280" t="s">
        <v>8020</v>
      </c>
      <c r="C280" t="s">
        <v>7561</v>
      </c>
      <c r="D280" t="s">
        <v>7562</v>
      </c>
      <c r="E280">
        <v>16100</v>
      </c>
      <c r="F280" s="20">
        <v>44704</v>
      </c>
      <c r="G280" t="s">
        <v>262</v>
      </c>
      <c r="H280">
        <v>2.7</v>
      </c>
      <c r="I280" t="s">
        <v>6837</v>
      </c>
    </row>
    <row r="281" spans="1:9" x14ac:dyDescent="0.25">
      <c r="A281" t="s">
        <v>8021</v>
      </c>
      <c r="B281" t="s">
        <v>7922</v>
      </c>
      <c r="C281" t="s">
        <v>7573</v>
      </c>
      <c r="D281" t="s">
        <v>7574</v>
      </c>
      <c r="E281">
        <v>16000</v>
      </c>
      <c r="F281" s="20">
        <v>44119</v>
      </c>
      <c r="G281" t="s">
        <v>343</v>
      </c>
      <c r="H281">
        <v>4</v>
      </c>
      <c r="I281" t="s">
        <v>6837</v>
      </c>
    </row>
    <row r="282" spans="1:9" x14ac:dyDescent="0.25">
      <c r="A282" t="s">
        <v>8022</v>
      </c>
      <c r="B282" t="s">
        <v>8023</v>
      </c>
      <c r="C282" t="s">
        <v>7540</v>
      </c>
      <c r="D282" t="s">
        <v>7541</v>
      </c>
      <c r="E282">
        <v>10600</v>
      </c>
      <c r="F282" s="20">
        <v>44492</v>
      </c>
      <c r="G282" t="s">
        <v>429</v>
      </c>
      <c r="H282">
        <v>3.5</v>
      </c>
      <c r="I282" t="s">
        <v>6837</v>
      </c>
    </row>
    <row r="283" spans="1:9" x14ac:dyDescent="0.25">
      <c r="A283" t="s">
        <v>8024</v>
      </c>
      <c r="B283" t="s">
        <v>8025</v>
      </c>
      <c r="C283" t="s">
        <v>7573</v>
      </c>
      <c r="D283" t="s">
        <v>7574</v>
      </c>
      <c r="E283">
        <v>21300</v>
      </c>
      <c r="F283" s="20">
        <v>43665</v>
      </c>
      <c r="G283" t="s">
        <v>525</v>
      </c>
      <c r="H283">
        <v>3.2</v>
      </c>
      <c r="I283" t="s">
        <v>6837</v>
      </c>
    </row>
    <row r="284" spans="1:9" x14ac:dyDescent="0.25">
      <c r="A284" t="s">
        <v>8026</v>
      </c>
      <c r="B284" t="s">
        <v>8027</v>
      </c>
      <c r="C284" t="s">
        <v>7540</v>
      </c>
      <c r="D284" t="s">
        <v>7541</v>
      </c>
      <c r="E284">
        <v>14600</v>
      </c>
      <c r="F284" s="20">
        <v>43176</v>
      </c>
      <c r="G284" t="s">
        <v>96</v>
      </c>
      <c r="H284">
        <v>3</v>
      </c>
      <c r="I284" t="s">
        <v>6837</v>
      </c>
    </row>
    <row r="285" spans="1:9" x14ac:dyDescent="0.25">
      <c r="A285" t="s">
        <v>8028</v>
      </c>
      <c r="B285" t="s">
        <v>8029</v>
      </c>
      <c r="C285" t="s">
        <v>7540</v>
      </c>
      <c r="D285" t="s">
        <v>7541</v>
      </c>
      <c r="E285">
        <v>13000</v>
      </c>
      <c r="F285" s="20">
        <v>44935</v>
      </c>
      <c r="G285" t="s">
        <v>1108</v>
      </c>
      <c r="H285">
        <v>3</v>
      </c>
      <c r="I285" t="s">
        <v>6837</v>
      </c>
    </row>
    <row r="286" spans="1:9" x14ac:dyDescent="0.25">
      <c r="A286" t="s">
        <v>195</v>
      </c>
      <c r="B286" t="s">
        <v>8030</v>
      </c>
      <c r="C286" t="s">
        <v>7520</v>
      </c>
      <c r="D286" t="s">
        <v>7543</v>
      </c>
      <c r="E286">
        <v>21800</v>
      </c>
      <c r="F286" s="20">
        <v>43339</v>
      </c>
      <c r="G286" t="s">
        <v>927</v>
      </c>
      <c r="H286">
        <v>4.3</v>
      </c>
      <c r="I286" t="s">
        <v>6837</v>
      </c>
    </row>
    <row r="287" spans="1:9" x14ac:dyDescent="0.25">
      <c r="A287" t="s">
        <v>8031</v>
      </c>
      <c r="B287" t="s">
        <v>8032</v>
      </c>
      <c r="C287" t="s">
        <v>7530</v>
      </c>
      <c r="D287" t="s">
        <v>7530</v>
      </c>
      <c r="E287">
        <v>21800</v>
      </c>
      <c r="F287" s="20">
        <v>42506</v>
      </c>
      <c r="G287" t="s">
        <v>98</v>
      </c>
      <c r="H287">
        <v>2.9</v>
      </c>
      <c r="I287" t="s">
        <v>6837</v>
      </c>
    </row>
    <row r="288" spans="1:9" x14ac:dyDescent="0.25">
      <c r="A288" t="s">
        <v>8033</v>
      </c>
      <c r="B288" t="s">
        <v>8034</v>
      </c>
      <c r="C288" t="s">
        <v>7526</v>
      </c>
      <c r="D288" t="s">
        <v>7527</v>
      </c>
      <c r="E288">
        <v>48600</v>
      </c>
      <c r="F288" s="20">
        <v>44934</v>
      </c>
      <c r="G288" t="s">
        <v>588</v>
      </c>
      <c r="H288">
        <v>2.2000000000000002</v>
      </c>
      <c r="I288" t="s">
        <v>6837</v>
      </c>
    </row>
    <row r="289" spans="1:9" x14ac:dyDescent="0.25">
      <c r="A289" t="s">
        <v>8035</v>
      </c>
      <c r="B289" t="s">
        <v>6098</v>
      </c>
      <c r="C289" t="s">
        <v>7540</v>
      </c>
      <c r="D289" t="s">
        <v>7541</v>
      </c>
      <c r="E289">
        <v>13100</v>
      </c>
      <c r="F289" s="20">
        <v>44053</v>
      </c>
      <c r="G289" t="s">
        <v>1141</v>
      </c>
      <c r="H289">
        <v>4.5999999999999996</v>
      </c>
      <c r="I289" t="s">
        <v>6837</v>
      </c>
    </row>
    <row r="290" spans="1:9" x14ac:dyDescent="0.25">
      <c r="A290" t="s">
        <v>8036</v>
      </c>
      <c r="B290" t="s">
        <v>8037</v>
      </c>
      <c r="C290" t="s">
        <v>7526</v>
      </c>
      <c r="D290" t="s">
        <v>7581</v>
      </c>
      <c r="E290">
        <v>74600</v>
      </c>
      <c r="F290" s="20">
        <v>44906</v>
      </c>
      <c r="G290" t="s">
        <v>727</v>
      </c>
      <c r="H290">
        <v>3</v>
      </c>
      <c r="I290" t="s">
        <v>7648</v>
      </c>
    </row>
    <row r="291" spans="1:9" x14ac:dyDescent="0.25">
      <c r="A291" t="s">
        <v>8038</v>
      </c>
      <c r="B291" t="s">
        <v>8039</v>
      </c>
      <c r="C291" t="s">
        <v>7552</v>
      </c>
      <c r="D291" t="s">
        <v>7553</v>
      </c>
      <c r="E291">
        <v>12600</v>
      </c>
      <c r="F291" s="20">
        <v>42420</v>
      </c>
      <c r="G291" t="s">
        <v>671</v>
      </c>
      <c r="H291">
        <v>4.0999999999999996</v>
      </c>
      <c r="I291" t="s">
        <v>6837</v>
      </c>
    </row>
    <row r="292" spans="1:9" x14ac:dyDescent="0.25">
      <c r="A292" t="s">
        <v>8040</v>
      </c>
      <c r="B292" t="s">
        <v>8041</v>
      </c>
      <c r="C292" t="s">
        <v>7573</v>
      </c>
      <c r="D292" t="s">
        <v>7574</v>
      </c>
      <c r="E292">
        <v>20200</v>
      </c>
      <c r="F292" s="20">
        <v>45338</v>
      </c>
      <c r="G292" t="s">
        <v>82</v>
      </c>
      <c r="H292">
        <v>3.3</v>
      </c>
      <c r="I292" t="s">
        <v>6837</v>
      </c>
    </row>
    <row r="293" spans="1:9" x14ac:dyDescent="0.25">
      <c r="A293" t="s">
        <v>8042</v>
      </c>
      <c r="B293" t="s">
        <v>8043</v>
      </c>
      <c r="C293" t="s">
        <v>7573</v>
      </c>
      <c r="D293" t="s">
        <v>7574</v>
      </c>
      <c r="E293">
        <v>21100</v>
      </c>
      <c r="F293" s="20">
        <v>45039</v>
      </c>
      <c r="G293" t="s">
        <v>355</v>
      </c>
      <c r="H293">
        <v>3.1</v>
      </c>
      <c r="I293" t="s">
        <v>6837</v>
      </c>
    </row>
    <row r="294" spans="1:9" x14ac:dyDescent="0.25">
      <c r="A294" t="s">
        <v>8044</v>
      </c>
      <c r="B294" t="s">
        <v>8045</v>
      </c>
      <c r="C294" t="s">
        <v>7526</v>
      </c>
      <c r="D294" t="s">
        <v>7581</v>
      </c>
      <c r="E294">
        <v>62100</v>
      </c>
      <c r="F294" s="20">
        <v>43562</v>
      </c>
      <c r="G294" t="s">
        <v>1962</v>
      </c>
      <c r="H294">
        <v>4.9000000000000004</v>
      </c>
      <c r="I294" t="s">
        <v>6837</v>
      </c>
    </row>
    <row r="295" spans="1:9" x14ac:dyDescent="0.25">
      <c r="A295" t="s">
        <v>8046</v>
      </c>
      <c r="B295" t="s">
        <v>8047</v>
      </c>
      <c r="C295" t="s">
        <v>7533</v>
      </c>
      <c r="D295" t="s">
        <v>7547</v>
      </c>
      <c r="E295">
        <v>17400</v>
      </c>
      <c r="F295" s="20">
        <v>43170</v>
      </c>
      <c r="G295" t="s">
        <v>630</v>
      </c>
      <c r="H295">
        <v>3.9</v>
      </c>
      <c r="I295" t="s">
        <v>6837</v>
      </c>
    </row>
    <row r="296" spans="1:9" x14ac:dyDescent="0.25">
      <c r="A296" t="s">
        <v>8048</v>
      </c>
      <c r="B296" t="s">
        <v>6081</v>
      </c>
      <c r="C296" t="s">
        <v>7526</v>
      </c>
      <c r="D296" t="s">
        <v>7632</v>
      </c>
      <c r="E296">
        <v>66200</v>
      </c>
      <c r="F296" s="20">
        <v>44739</v>
      </c>
      <c r="G296" t="s">
        <v>363</v>
      </c>
      <c r="H296">
        <v>4.9000000000000004</v>
      </c>
      <c r="I296" t="s">
        <v>6837</v>
      </c>
    </row>
    <row r="297" spans="1:9" x14ac:dyDescent="0.25">
      <c r="A297" t="s">
        <v>8049</v>
      </c>
      <c r="B297" t="s">
        <v>8050</v>
      </c>
      <c r="C297" t="s">
        <v>7526</v>
      </c>
      <c r="D297" t="s">
        <v>7527</v>
      </c>
      <c r="E297">
        <v>57300</v>
      </c>
      <c r="F297" s="20">
        <v>42385</v>
      </c>
      <c r="G297" t="s">
        <v>521</v>
      </c>
      <c r="H297">
        <v>2.7</v>
      </c>
      <c r="I297" t="s">
        <v>6837</v>
      </c>
    </row>
    <row r="298" spans="1:9" x14ac:dyDescent="0.25">
      <c r="A298" t="s">
        <v>8051</v>
      </c>
      <c r="B298" t="s">
        <v>8052</v>
      </c>
      <c r="C298" t="s">
        <v>7552</v>
      </c>
      <c r="D298" t="s">
        <v>7558</v>
      </c>
      <c r="E298">
        <v>13200</v>
      </c>
      <c r="F298" s="20">
        <v>43124</v>
      </c>
      <c r="G298" t="s">
        <v>1825</v>
      </c>
      <c r="H298">
        <v>5</v>
      </c>
      <c r="I298" t="s">
        <v>6837</v>
      </c>
    </row>
    <row r="299" spans="1:9" x14ac:dyDescent="0.25">
      <c r="A299" t="s">
        <v>8053</v>
      </c>
      <c r="B299" t="s">
        <v>8054</v>
      </c>
      <c r="C299" t="s">
        <v>7530</v>
      </c>
      <c r="D299" t="s">
        <v>7530</v>
      </c>
      <c r="E299">
        <v>16300</v>
      </c>
      <c r="F299" s="20">
        <v>43166</v>
      </c>
      <c r="G299" t="s">
        <v>1163</v>
      </c>
      <c r="H299">
        <v>3.8</v>
      </c>
      <c r="I299" t="s">
        <v>6837</v>
      </c>
    </row>
    <row r="300" spans="1:9" x14ac:dyDescent="0.25">
      <c r="A300" t="s">
        <v>8055</v>
      </c>
      <c r="B300" t="s">
        <v>8056</v>
      </c>
      <c r="C300" t="s">
        <v>7533</v>
      </c>
      <c r="D300" t="s">
        <v>7534</v>
      </c>
      <c r="E300">
        <v>15400</v>
      </c>
      <c r="F300" s="20">
        <v>43443</v>
      </c>
      <c r="G300" t="s">
        <v>470</v>
      </c>
      <c r="H300">
        <v>2.5</v>
      </c>
      <c r="I300" t="s">
        <v>6837</v>
      </c>
    </row>
    <row r="301" spans="1:9" x14ac:dyDescent="0.25">
      <c r="A301" t="s">
        <v>8057</v>
      </c>
      <c r="B301" t="s">
        <v>8058</v>
      </c>
      <c r="C301" t="s">
        <v>7561</v>
      </c>
      <c r="D301" t="s">
        <v>7570</v>
      </c>
      <c r="E301">
        <v>23200</v>
      </c>
      <c r="F301" s="20">
        <v>42455</v>
      </c>
      <c r="G301" t="s">
        <v>1023</v>
      </c>
      <c r="H301">
        <v>4</v>
      </c>
      <c r="I301" t="s">
        <v>6837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0" width="16" customWidth="1"/>
  </cols>
  <sheetData>
    <row r="1" spans="1:10" x14ac:dyDescent="0.25">
      <c r="A1" s="19" t="s">
        <v>103</v>
      </c>
      <c r="B1" s="19" t="s">
        <v>104</v>
      </c>
      <c r="C1" s="19" t="s">
        <v>8059</v>
      </c>
      <c r="D1" s="19" t="s">
        <v>5081</v>
      </c>
      <c r="E1" s="19" t="s">
        <v>5082</v>
      </c>
      <c r="F1" s="19" t="s">
        <v>5083</v>
      </c>
      <c r="G1" s="19" t="s">
        <v>5084</v>
      </c>
      <c r="H1" s="19" t="s">
        <v>8060</v>
      </c>
      <c r="I1" s="19" t="s">
        <v>8061</v>
      </c>
      <c r="J1" s="19" t="s">
        <v>6828</v>
      </c>
    </row>
    <row r="2" spans="1:10" x14ac:dyDescent="0.25">
      <c r="A2" t="s">
        <v>7148</v>
      </c>
      <c r="B2" t="s">
        <v>8062</v>
      </c>
      <c r="C2" t="s">
        <v>8063</v>
      </c>
      <c r="D2">
        <v>9819600133</v>
      </c>
      <c r="E2" t="s">
        <v>8064</v>
      </c>
      <c r="F2" t="s">
        <v>5238</v>
      </c>
      <c r="G2" t="s">
        <v>5093</v>
      </c>
      <c r="H2">
        <v>26</v>
      </c>
      <c r="I2">
        <v>2.8</v>
      </c>
      <c r="J2" t="s">
        <v>6837</v>
      </c>
    </row>
    <row r="3" spans="1:10" x14ac:dyDescent="0.25">
      <c r="A3" t="s">
        <v>6939</v>
      </c>
      <c r="B3" t="s">
        <v>8065</v>
      </c>
      <c r="C3" t="s">
        <v>8066</v>
      </c>
      <c r="D3">
        <v>9265423511</v>
      </c>
      <c r="E3" t="s">
        <v>8067</v>
      </c>
      <c r="F3" t="s">
        <v>5196</v>
      </c>
      <c r="G3" t="s">
        <v>5093</v>
      </c>
      <c r="H3">
        <v>21</v>
      </c>
      <c r="I3">
        <v>3.2</v>
      </c>
      <c r="J3" t="s">
        <v>6837</v>
      </c>
    </row>
    <row r="4" spans="1:10" x14ac:dyDescent="0.25">
      <c r="A4" t="s">
        <v>7272</v>
      </c>
      <c r="B4" t="s">
        <v>8068</v>
      </c>
      <c r="C4" t="s">
        <v>8069</v>
      </c>
      <c r="D4">
        <v>9849593103</v>
      </c>
      <c r="E4" t="s">
        <v>8070</v>
      </c>
      <c r="F4" t="s">
        <v>5292</v>
      </c>
      <c r="G4" t="s">
        <v>5098</v>
      </c>
      <c r="H4">
        <v>6</v>
      </c>
      <c r="I4">
        <v>4.9000000000000004</v>
      </c>
      <c r="J4" t="s">
        <v>6837</v>
      </c>
    </row>
    <row r="5" spans="1:10" x14ac:dyDescent="0.25">
      <c r="A5" t="s">
        <v>7171</v>
      </c>
      <c r="B5" t="s">
        <v>8071</v>
      </c>
      <c r="C5" t="s">
        <v>5416</v>
      </c>
      <c r="D5">
        <v>9341928327</v>
      </c>
      <c r="E5" t="s">
        <v>8072</v>
      </c>
      <c r="F5" t="s">
        <v>5097</v>
      </c>
      <c r="G5" t="s">
        <v>5098</v>
      </c>
      <c r="H5">
        <v>29</v>
      </c>
      <c r="I5">
        <v>3.4</v>
      </c>
      <c r="J5" t="s">
        <v>6837</v>
      </c>
    </row>
    <row r="6" spans="1:10" x14ac:dyDescent="0.25">
      <c r="A6" t="s">
        <v>7202</v>
      </c>
      <c r="B6" t="s">
        <v>8073</v>
      </c>
      <c r="C6" t="s">
        <v>8074</v>
      </c>
      <c r="D6">
        <v>9395376724</v>
      </c>
      <c r="E6" t="s">
        <v>8075</v>
      </c>
      <c r="F6" t="s">
        <v>5301</v>
      </c>
      <c r="G6" t="s">
        <v>5093</v>
      </c>
      <c r="H6">
        <v>28</v>
      </c>
      <c r="I6">
        <v>3.3</v>
      </c>
      <c r="J6" t="s">
        <v>6837</v>
      </c>
    </row>
    <row r="7" spans="1:10" x14ac:dyDescent="0.25">
      <c r="A7" t="s">
        <v>7034</v>
      </c>
      <c r="B7" t="s">
        <v>8076</v>
      </c>
      <c r="C7" t="s">
        <v>8077</v>
      </c>
      <c r="D7">
        <v>9710122691</v>
      </c>
      <c r="E7" t="s">
        <v>8078</v>
      </c>
      <c r="F7" t="s">
        <v>5145</v>
      </c>
      <c r="G7" t="s">
        <v>5098</v>
      </c>
      <c r="H7">
        <v>10</v>
      </c>
      <c r="I7">
        <v>5</v>
      </c>
      <c r="J7" t="s">
        <v>6837</v>
      </c>
    </row>
    <row r="8" spans="1:10" x14ac:dyDescent="0.25">
      <c r="A8" t="s">
        <v>7177</v>
      </c>
      <c r="B8" t="s">
        <v>8079</v>
      </c>
      <c r="C8" t="s">
        <v>8080</v>
      </c>
      <c r="D8">
        <v>9845146270</v>
      </c>
      <c r="E8" t="s">
        <v>8081</v>
      </c>
      <c r="F8" t="s">
        <v>5177</v>
      </c>
      <c r="G8" t="s">
        <v>5112</v>
      </c>
      <c r="H8">
        <v>3</v>
      </c>
      <c r="I8">
        <v>4.2</v>
      </c>
      <c r="J8" t="s">
        <v>6837</v>
      </c>
    </row>
    <row r="9" spans="1:10" x14ac:dyDescent="0.25">
      <c r="A9" t="s">
        <v>6844</v>
      </c>
      <c r="B9" t="s">
        <v>8082</v>
      </c>
      <c r="C9" t="s">
        <v>8083</v>
      </c>
      <c r="D9">
        <v>9880957015</v>
      </c>
      <c r="E9" t="s">
        <v>8084</v>
      </c>
      <c r="F9" t="s">
        <v>5189</v>
      </c>
      <c r="G9" t="s">
        <v>5112</v>
      </c>
      <c r="H9">
        <v>9</v>
      </c>
      <c r="I9">
        <v>2.9</v>
      </c>
      <c r="J9" t="s">
        <v>6837</v>
      </c>
    </row>
    <row r="10" spans="1:10" x14ac:dyDescent="0.25">
      <c r="A10" t="s">
        <v>6851</v>
      </c>
      <c r="B10" t="s">
        <v>8085</v>
      </c>
      <c r="C10" t="s">
        <v>8086</v>
      </c>
      <c r="D10">
        <v>9782489638</v>
      </c>
      <c r="E10" t="s">
        <v>8087</v>
      </c>
      <c r="F10" t="s">
        <v>5136</v>
      </c>
      <c r="G10" t="s">
        <v>5098</v>
      </c>
      <c r="H10">
        <v>27</v>
      </c>
      <c r="I10">
        <v>3.8</v>
      </c>
      <c r="J10" t="s">
        <v>6837</v>
      </c>
    </row>
    <row r="11" spans="1:10" x14ac:dyDescent="0.25">
      <c r="A11" t="s">
        <v>6857</v>
      </c>
      <c r="B11" t="s">
        <v>8088</v>
      </c>
      <c r="C11" t="s">
        <v>8089</v>
      </c>
      <c r="D11">
        <v>9098393010</v>
      </c>
      <c r="E11" t="s">
        <v>8090</v>
      </c>
      <c r="F11" t="s">
        <v>5181</v>
      </c>
      <c r="G11" t="s">
        <v>5112</v>
      </c>
      <c r="H11">
        <v>6</v>
      </c>
      <c r="I11">
        <v>3.1</v>
      </c>
      <c r="J11" t="s">
        <v>6898</v>
      </c>
    </row>
    <row r="12" spans="1:10" x14ac:dyDescent="0.25">
      <c r="A12" t="s">
        <v>6902</v>
      </c>
      <c r="B12" t="s">
        <v>8091</v>
      </c>
      <c r="C12" t="s">
        <v>8092</v>
      </c>
      <c r="D12">
        <v>9997376311</v>
      </c>
      <c r="E12" t="s">
        <v>8093</v>
      </c>
      <c r="F12" t="s">
        <v>5092</v>
      </c>
      <c r="G12" t="s">
        <v>5093</v>
      </c>
      <c r="H12">
        <v>24</v>
      </c>
      <c r="I12">
        <v>3.7</v>
      </c>
      <c r="J12" t="s">
        <v>6837</v>
      </c>
    </row>
    <row r="13" spans="1:10" x14ac:dyDescent="0.25">
      <c r="A13" t="s">
        <v>6888</v>
      </c>
      <c r="B13" t="s">
        <v>8094</v>
      </c>
      <c r="C13" t="s">
        <v>8095</v>
      </c>
      <c r="D13">
        <v>9333872624</v>
      </c>
      <c r="E13" t="s">
        <v>8096</v>
      </c>
      <c r="F13" t="s">
        <v>5248</v>
      </c>
      <c r="G13" t="s">
        <v>5103</v>
      </c>
      <c r="H13">
        <v>26</v>
      </c>
      <c r="I13">
        <v>3.3</v>
      </c>
      <c r="J13" t="s">
        <v>6837</v>
      </c>
    </row>
    <row r="14" spans="1:10" x14ac:dyDescent="0.25">
      <c r="A14" t="s">
        <v>6946</v>
      </c>
      <c r="B14" t="s">
        <v>8097</v>
      </c>
      <c r="C14" t="s">
        <v>8098</v>
      </c>
      <c r="D14">
        <v>9326773602</v>
      </c>
      <c r="E14" t="s">
        <v>8099</v>
      </c>
      <c r="F14" t="s">
        <v>5177</v>
      </c>
      <c r="G14" t="s">
        <v>5112</v>
      </c>
      <c r="H14">
        <v>3</v>
      </c>
      <c r="I14">
        <v>4.9000000000000004</v>
      </c>
      <c r="J14" t="s">
        <v>6837</v>
      </c>
    </row>
    <row r="15" spans="1:10" x14ac:dyDescent="0.25">
      <c r="A15" t="s">
        <v>7085</v>
      </c>
      <c r="B15" t="s">
        <v>8100</v>
      </c>
      <c r="C15" t="s">
        <v>5861</v>
      </c>
      <c r="D15">
        <v>9723430980</v>
      </c>
      <c r="E15" t="s">
        <v>8101</v>
      </c>
      <c r="F15" t="s">
        <v>5097</v>
      </c>
      <c r="G15" t="s">
        <v>5098</v>
      </c>
      <c r="H15">
        <v>45</v>
      </c>
      <c r="I15">
        <v>2.1</v>
      </c>
      <c r="J15" t="s">
        <v>6837</v>
      </c>
    </row>
    <row r="16" spans="1:10" x14ac:dyDescent="0.25">
      <c r="A16" t="s">
        <v>6958</v>
      </c>
      <c r="B16" t="s">
        <v>8102</v>
      </c>
      <c r="C16" t="s">
        <v>8103</v>
      </c>
      <c r="D16">
        <v>9913619399</v>
      </c>
      <c r="E16" t="s">
        <v>8104</v>
      </c>
      <c r="F16" t="s">
        <v>5301</v>
      </c>
      <c r="G16" t="s">
        <v>5093</v>
      </c>
      <c r="H16">
        <v>19</v>
      </c>
      <c r="I16">
        <v>2.7</v>
      </c>
      <c r="J16" t="s">
        <v>6837</v>
      </c>
    </row>
    <row r="17" spans="1:10" x14ac:dyDescent="0.25">
      <c r="A17" t="s">
        <v>6881</v>
      </c>
      <c r="B17" t="s">
        <v>8105</v>
      </c>
      <c r="C17" t="s">
        <v>8106</v>
      </c>
      <c r="D17">
        <v>9624751079</v>
      </c>
      <c r="E17" t="s">
        <v>8107</v>
      </c>
      <c r="F17" t="s">
        <v>5331</v>
      </c>
      <c r="G17" t="s">
        <v>5118</v>
      </c>
      <c r="H17">
        <v>24</v>
      </c>
      <c r="I17">
        <v>4.3</v>
      </c>
      <c r="J17" t="s">
        <v>6837</v>
      </c>
    </row>
    <row r="18" spans="1:10" x14ac:dyDescent="0.25">
      <c r="A18" t="s">
        <v>7238</v>
      </c>
      <c r="B18" t="s">
        <v>8108</v>
      </c>
      <c r="C18" t="s">
        <v>8109</v>
      </c>
      <c r="D18">
        <v>9278498084</v>
      </c>
      <c r="E18" t="s">
        <v>8110</v>
      </c>
      <c r="F18" t="s">
        <v>5174</v>
      </c>
      <c r="G18" t="s">
        <v>5093</v>
      </c>
      <c r="H18">
        <v>5</v>
      </c>
      <c r="I18">
        <v>4.7</v>
      </c>
      <c r="J18" t="s">
        <v>6837</v>
      </c>
    </row>
    <row r="19" spans="1:10" x14ac:dyDescent="0.25">
      <c r="A19" t="s">
        <v>7102</v>
      </c>
      <c r="B19" t="s">
        <v>8111</v>
      </c>
      <c r="C19" t="s">
        <v>8112</v>
      </c>
      <c r="D19">
        <v>9348740164</v>
      </c>
      <c r="E19" t="s">
        <v>8113</v>
      </c>
      <c r="F19" t="s">
        <v>5092</v>
      </c>
      <c r="G19" t="s">
        <v>5093</v>
      </c>
      <c r="H19">
        <v>12</v>
      </c>
      <c r="I19">
        <v>4</v>
      </c>
      <c r="J19" t="s">
        <v>6837</v>
      </c>
    </row>
    <row r="20" spans="1:10" x14ac:dyDescent="0.25">
      <c r="A20" t="s">
        <v>7111</v>
      </c>
      <c r="B20" t="s">
        <v>8114</v>
      </c>
      <c r="C20" t="s">
        <v>6083</v>
      </c>
      <c r="D20">
        <v>9128059826</v>
      </c>
      <c r="E20" t="s">
        <v>8115</v>
      </c>
      <c r="F20" t="s">
        <v>5292</v>
      </c>
      <c r="G20" t="s">
        <v>5098</v>
      </c>
      <c r="H20">
        <v>25</v>
      </c>
      <c r="I20">
        <v>3.6</v>
      </c>
      <c r="J20" t="s">
        <v>6898</v>
      </c>
    </row>
    <row r="21" spans="1:10" x14ac:dyDescent="0.25">
      <c r="A21" t="s">
        <v>7227</v>
      </c>
      <c r="B21" t="s">
        <v>8116</v>
      </c>
      <c r="C21" t="s">
        <v>6583</v>
      </c>
      <c r="D21">
        <v>9692322602</v>
      </c>
      <c r="E21" t="s">
        <v>8117</v>
      </c>
      <c r="F21" t="s">
        <v>5185</v>
      </c>
      <c r="G21" t="s">
        <v>5093</v>
      </c>
      <c r="H21">
        <v>24</v>
      </c>
      <c r="I21">
        <v>2.8</v>
      </c>
      <c r="J21" t="s">
        <v>6837</v>
      </c>
    </row>
    <row r="22" spans="1:10" x14ac:dyDescent="0.25">
      <c r="A22" t="s">
        <v>6930</v>
      </c>
      <c r="B22" t="s">
        <v>8118</v>
      </c>
      <c r="C22" t="s">
        <v>8119</v>
      </c>
      <c r="D22">
        <v>9337543303</v>
      </c>
      <c r="E22" t="s">
        <v>8120</v>
      </c>
      <c r="F22" t="s">
        <v>5122</v>
      </c>
      <c r="G22" t="s">
        <v>5093</v>
      </c>
      <c r="H22">
        <v>15</v>
      </c>
      <c r="I22">
        <v>4.7</v>
      </c>
      <c r="J22" t="s">
        <v>6837</v>
      </c>
    </row>
    <row r="23" spans="1:10" x14ac:dyDescent="0.25">
      <c r="A23" t="s">
        <v>7093</v>
      </c>
      <c r="B23" t="s">
        <v>8121</v>
      </c>
      <c r="C23" t="s">
        <v>8122</v>
      </c>
      <c r="D23">
        <v>9014294019</v>
      </c>
      <c r="E23" t="s">
        <v>8123</v>
      </c>
      <c r="F23" t="s">
        <v>5181</v>
      </c>
      <c r="G23" t="s">
        <v>5112</v>
      </c>
      <c r="H23">
        <v>24</v>
      </c>
      <c r="I23">
        <v>5</v>
      </c>
      <c r="J23" t="s">
        <v>6837</v>
      </c>
    </row>
    <row r="24" spans="1:10" x14ac:dyDescent="0.25">
      <c r="A24" t="s">
        <v>7279</v>
      </c>
      <c r="B24" t="s">
        <v>8124</v>
      </c>
      <c r="C24" t="s">
        <v>8125</v>
      </c>
      <c r="D24">
        <v>9088356159</v>
      </c>
      <c r="E24" t="s">
        <v>8126</v>
      </c>
      <c r="F24" t="s">
        <v>5292</v>
      </c>
      <c r="G24" t="s">
        <v>5098</v>
      </c>
      <c r="H24">
        <v>9</v>
      </c>
      <c r="I24">
        <v>3.1</v>
      </c>
      <c r="J24" t="s">
        <v>6837</v>
      </c>
    </row>
    <row r="25" spans="1:10" x14ac:dyDescent="0.25">
      <c r="A25" t="s">
        <v>6997</v>
      </c>
      <c r="B25" t="s">
        <v>8127</v>
      </c>
      <c r="C25" t="s">
        <v>7834</v>
      </c>
      <c r="D25">
        <v>9236629946</v>
      </c>
      <c r="E25" t="s">
        <v>8128</v>
      </c>
      <c r="F25" t="s">
        <v>5117</v>
      </c>
      <c r="G25" t="s">
        <v>5118</v>
      </c>
      <c r="H25">
        <v>13</v>
      </c>
      <c r="I25">
        <v>3.5</v>
      </c>
      <c r="J25" t="s">
        <v>6837</v>
      </c>
    </row>
    <row r="26" spans="1:10" x14ac:dyDescent="0.25">
      <c r="A26" t="s">
        <v>8129</v>
      </c>
      <c r="B26" t="s">
        <v>8130</v>
      </c>
      <c r="C26" t="s">
        <v>8131</v>
      </c>
      <c r="D26">
        <v>9387214895</v>
      </c>
      <c r="E26" t="s">
        <v>8132</v>
      </c>
      <c r="F26" t="s">
        <v>5189</v>
      </c>
      <c r="G26" t="s">
        <v>5112</v>
      </c>
      <c r="H26">
        <v>23</v>
      </c>
      <c r="I26">
        <v>3.3</v>
      </c>
      <c r="J26" t="s">
        <v>6837</v>
      </c>
    </row>
    <row r="27" spans="1:10" x14ac:dyDescent="0.25">
      <c r="A27" t="s">
        <v>7055</v>
      </c>
      <c r="B27" t="s">
        <v>8133</v>
      </c>
      <c r="C27" t="s">
        <v>6175</v>
      </c>
      <c r="D27">
        <v>9176936763</v>
      </c>
      <c r="E27" t="s">
        <v>8134</v>
      </c>
      <c r="F27" t="s">
        <v>5301</v>
      </c>
      <c r="G27" t="s">
        <v>5093</v>
      </c>
      <c r="H27">
        <v>4</v>
      </c>
      <c r="I27">
        <v>3.1</v>
      </c>
      <c r="J27" t="s">
        <v>6837</v>
      </c>
    </row>
    <row r="28" spans="1:10" x14ac:dyDescent="0.25">
      <c r="A28" t="s">
        <v>6920</v>
      </c>
      <c r="B28" t="s">
        <v>8135</v>
      </c>
      <c r="C28" t="s">
        <v>8136</v>
      </c>
      <c r="D28">
        <v>9083172788</v>
      </c>
      <c r="E28" t="s">
        <v>8137</v>
      </c>
      <c r="F28" t="s">
        <v>5238</v>
      </c>
      <c r="G28" t="s">
        <v>5093</v>
      </c>
      <c r="H28">
        <v>28</v>
      </c>
      <c r="I28">
        <v>4.9000000000000004</v>
      </c>
      <c r="J28" t="s">
        <v>6837</v>
      </c>
    </row>
    <row r="29" spans="1:10" x14ac:dyDescent="0.25">
      <c r="A29" t="s">
        <v>7163</v>
      </c>
      <c r="B29" t="s">
        <v>8138</v>
      </c>
      <c r="C29" t="s">
        <v>8139</v>
      </c>
      <c r="D29">
        <v>9434873471</v>
      </c>
      <c r="E29" t="s">
        <v>8140</v>
      </c>
      <c r="F29" t="s">
        <v>5181</v>
      </c>
      <c r="G29" t="s">
        <v>5112</v>
      </c>
      <c r="H29">
        <v>8</v>
      </c>
      <c r="I29">
        <v>4.4000000000000004</v>
      </c>
      <c r="J29" t="s">
        <v>6837</v>
      </c>
    </row>
    <row r="30" spans="1:10" x14ac:dyDescent="0.25">
      <c r="A30" t="s">
        <v>115</v>
      </c>
      <c r="B30" t="s">
        <v>8141</v>
      </c>
      <c r="C30" t="s">
        <v>6079</v>
      </c>
      <c r="D30">
        <v>9316658760</v>
      </c>
      <c r="E30" t="s">
        <v>8142</v>
      </c>
      <c r="F30" t="s">
        <v>5238</v>
      </c>
      <c r="G30" t="s">
        <v>5093</v>
      </c>
      <c r="H30">
        <v>10</v>
      </c>
      <c r="I30">
        <v>3.5</v>
      </c>
      <c r="J30" t="s">
        <v>6837</v>
      </c>
    </row>
    <row r="31" spans="1:10" x14ac:dyDescent="0.25">
      <c r="A31" t="s">
        <v>7319</v>
      </c>
      <c r="B31" t="s">
        <v>8143</v>
      </c>
      <c r="C31" t="s">
        <v>8144</v>
      </c>
      <c r="D31">
        <v>9668893734</v>
      </c>
      <c r="E31" t="s">
        <v>8145</v>
      </c>
      <c r="F31" t="s">
        <v>5107</v>
      </c>
      <c r="G31" t="s">
        <v>5098</v>
      </c>
      <c r="H31">
        <v>3</v>
      </c>
      <c r="I31">
        <v>4.9000000000000004</v>
      </c>
      <c r="J31" t="s">
        <v>6837</v>
      </c>
    </row>
    <row r="32" spans="1:10" x14ac:dyDescent="0.25">
      <c r="A32" t="s">
        <v>6925</v>
      </c>
      <c r="B32" t="s">
        <v>8146</v>
      </c>
      <c r="C32" t="s">
        <v>8147</v>
      </c>
      <c r="D32">
        <v>9990162720</v>
      </c>
      <c r="E32" t="s">
        <v>8148</v>
      </c>
      <c r="F32" t="s">
        <v>5155</v>
      </c>
      <c r="G32" t="s">
        <v>5098</v>
      </c>
      <c r="H32">
        <v>22</v>
      </c>
      <c r="I32">
        <v>3.8</v>
      </c>
      <c r="J32" t="s">
        <v>6837</v>
      </c>
    </row>
    <row r="33" spans="1:10" x14ac:dyDescent="0.25">
      <c r="A33" t="s">
        <v>7105</v>
      </c>
      <c r="B33" t="s">
        <v>8149</v>
      </c>
      <c r="C33" t="s">
        <v>8150</v>
      </c>
      <c r="D33">
        <v>9170805310</v>
      </c>
      <c r="E33" t="s">
        <v>8151</v>
      </c>
      <c r="F33" t="s">
        <v>5145</v>
      </c>
      <c r="G33" t="s">
        <v>5098</v>
      </c>
      <c r="H33">
        <v>27</v>
      </c>
      <c r="I33">
        <v>4.9000000000000004</v>
      </c>
      <c r="J33" t="s">
        <v>6837</v>
      </c>
    </row>
    <row r="34" spans="1:10" x14ac:dyDescent="0.25">
      <c r="A34" t="s">
        <v>7150</v>
      </c>
      <c r="B34" t="s">
        <v>8152</v>
      </c>
      <c r="C34" t="s">
        <v>8153</v>
      </c>
      <c r="D34">
        <v>9745299124</v>
      </c>
      <c r="E34" t="s">
        <v>8154</v>
      </c>
      <c r="F34" t="s">
        <v>5196</v>
      </c>
      <c r="G34" t="s">
        <v>5093</v>
      </c>
      <c r="H34">
        <v>24</v>
      </c>
      <c r="I34">
        <v>2.8</v>
      </c>
      <c r="J34" t="s">
        <v>6837</v>
      </c>
    </row>
    <row r="35" spans="1:10" x14ac:dyDescent="0.25">
      <c r="A35" t="s">
        <v>7191</v>
      </c>
      <c r="B35" t="s">
        <v>8155</v>
      </c>
      <c r="C35" t="s">
        <v>8156</v>
      </c>
      <c r="D35">
        <v>9149190586</v>
      </c>
      <c r="E35" t="s">
        <v>8157</v>
      </c>
      <c r="F35" t="s">
        <v>5122</v>
      </c>
      <c r="G35" t="s">
        <v>5093</v>
      </c>
      <c r="H35">
        <v>21</v>
      </c>
      <c r="I35">
        <v>4.2</v>
      </c>
      <c r="J35" t="s">
        <v>6837</v>
      </c>
    </row>
    <row r="36" spans="1:10" x14ac:dyDescent="0.25">
      <c r="A36" t="s">
        <v>7184</v>
      </c>
      <c r="B36" t="s">
        <v>8158</v>
      </c>
      <c r="C36" t="s">
        <v>7656</v>
      </c>
      <c r="D36">
        <v>9726284987</v>
      </c>
      <c r="E36" t="s">
        <v>8159</v>
      </c>
      <c r="F36" t="s">
        <v>5136</v>
      </c>
      <c r="G36" t="s">
        <v>5098</v>
      </c>
      <c r="H36">
        <v>16</v>
      </c>
      <c r="I36">
        <v>4.9000000000000004</v>
      </c>
      <c r="J36" t="s">
        <v>6837</v>
      </c>
    </row>
    <row r="37" spans="1:10" x14ac:dyDescent="0.25">
      <c r="A37" t="s">
        <v>7139</v>
      </c>
      <c r="B37" t="s">
        <v>8160</v>
      </c>
      <c r="C37" t="s">
        <v>8161</v>
      </c>
      <c r="D37">
        <v>9650752735</v>
      </c>
      <c r="E37" t="s">
        <v>8162</v>
      </c>
      <c r="F37" t="s">
        <v>5117</v>
      </c>
      <c r="G37" t="s">
        <v>5118</v>
      </c>
      <c r="H37">
        <v>10</v>
      </c>
      <c r="I37">
        <v>4.4000000000000004</v>
      </c>
      <c r="J37" t="s">
        <v>6837</v>
      </c>
    </row>
    <row r="38" spans="1:10" x14ac:dyDescent="0.25">
      <c r="A38" t="s">
        <v>8163</v>
      </c>
      <c r="B38" t="s">
        <v>8121</v>
      </c>
      <c r="C38" t="s">
        <v>8164</v>
      </c>
      <c r="D38">
        <v>9783777014</v>
      </c>
      <c r="E38" t="s">
        <v>8165</v>
      </c>
      <c r="F38" t="s">
        <v>5231</v>
      </c>
      <c r="G38" t="s">
        <v>5103</v>
      </c>
      <c r="H38">
        <v>9</v>
      </c>
      <c r="I38">
        <v>2.7</v>
      </c>
      <c r="J38" t="s">
        <v>6837</v>
      </c>
    </row>
    <row r="39" spans="1:10" x14ac:dyDescent="0.25">
      <c r="A39" t="s">
        <v>113</v>
      </c>
      <c r="B39" t="s">
        <v>8166</v>
      </c>
      <c r="C39" t="s">
        <v>8167</v>
      </c>
      <c r="D39">
        <v>9557444313</v>
      </c>
      <c r="E39" t="s">
        <v>8168</v>
      </c>
      <c r="F39" t="s">
        <v>5189</v>
      </c>
      <c r="G39" t="s">
        <v>5112</v>
      </c>
      <c r="H39">
        <v>14</v>
      </c>
      <c r="I39">
        <v>3.6</v>
      </c>
      <c r="J39" t="s">
        <v>6837</v>
      </c>
    </row>
    <row r="40" spans="1:10" x14ac:dyDescent="0.25">
      <c r="A40" t="s">
        <v>6916</v>
      </c>
      <c r="B40" t="s">
        <v>8169</v>
      </c>
      <c r="C40" t="s">
        <v>8170</v>
      </c>
      <c r="D40">
        <v>9894134352</v>
      </c>
      <c r="E40" t="s">
        <v>8171</v>
      </c>
      <c r="F40" t="s">
        <v>5196</v>
      </c>
      <c r="G40" t="s">
        <v>5093</v>
      </c>
      <c r="H40">
        <v>11</v>
      </c>
      <c r="I40">
        <v>4.3</v>
      </c>
      <c r="J40" t="s">
        <v>6837</v>
      </c>
    </row>
    <row r="41" spans="1:10" x14ac:dyDescent="0.25">
      <c r="A41" t="s">
        <v>7006</v>
      </c>
      <c r="B41" t="s">
        <v>8172</v>
      </c>
      <c r="C41" t="s">
        <v>8173</v>
      </c>
      <c r="D41">
        <v>9710947775</v>
      </c>
      <c r="E41" t="s">
        <v>8174</v>
      </c>
      <c r="F41" t="s">
        <v>5304</v>
      </c>
      <c r="G41" t="s">
        <v>5112</v>
      </c>
      <c r="H41">
        <v>25</v>
      </c>
      <c r="I41">
        <v>4.9000000000000004</v>
      </c>
      <c r="J41" t="s">
        <v>6837</v>
      </c>
    </row>
    <row r="42" spans="1:10" x14ac:dyDescent="0.25">
      <c r="A42" t="s">
        <v>114</v>
      </c>
      <c r="B42" t="s">
        <v>8116</v>
      </c>
      <c r="C42" t="s">
        <v>8175</v>
      </c>
      <c r="D42">
        <v>9022941318</v>
      </c>
      <c r="E42" t="s">
        <v>8176</v>
      </c>
      <c r="F42" t="s">
        <v>5248</v>
      </c>
      <c r="G42" t="s">
        <v>5103</v>
      </c>
      <c r="H42">
        <v>18</v>
      </c>
      <c r="I42">
        <v>2.7</v>
      </c>
      <c r="J42" t="s">
        <v>6837</v>
      </c>
    </row>
    <row r="43" spans="1:10" x14ac:dyDescent="0.25">
      <c r="A43" t="s">
        <v>7079</v>
      </c>
      <c r="B43" t="s">
        <v>8177</v>
      </c>
      <c r="C43" t="s">
        <v>8178</v>
      </c>
      <c r="D43">
        <v>9649909133</v>
      </c>
      <c r="E43" t="s">
        <v>8179</v>
      </c>
      <c r="F43" t="s">
        <v>5107</v>
      </c>
      <c r="G43" t="s">
        <v>5098</v>
      </c>
      <c r="H43">
        <v>17</v>
      </c>
      <c r="I43">
        <v>3.2</v>
      </c>
      <c r="J43" t="s">
        <v>6837</v>
      </c>
    </row>
    <row r="44" spans="1:10" x14ac:dyDescent="0.25">
      <c r="A44" t="s">
        <v>6950</v>
      </c>
      <c r="B44" t="s">
        <v>8127</v>
      </c>
      <c r="C44" t="s">
        <v>8180</v>
      </c>
      <c r="D44">
        <v>9740344713</v>
      </c>
      <c r="E44" t="s">
        <v>8181</v>
      </c>
      <c r="F44" t="s">
        <v>5142</v>
      </c>
      <c r="G44" t="s">
        <v>5103</v>
      </c>
      <c r="H44">
        <v>3</v>
      </c>
      <c r="I44">
        <v>3.5</v>
      </c>
      <c r="J44" t="s">
        <v>6837</v>
      </c>
    </row>
    <row r="45" spans="1:10" x14ac:dyDescent="0.25">
      <c r="A45" t="s">
        <v>7204</v>
      </c>
      <c r="B45" t="s">
        <v>8182</v>
      </c>
      <c r="C45" t="s">
        <v>6008</v>
      </c>
      <c r="D45">
        <v>9210249947</v>
      </c>
      <c r="E45" t="s">
        <v>8183</v>
      </c>
      <c r="F45" t="s">
        <v>5231</v>
      </c>
      <c r="G45" t="s">
        <v>5103</v>
      </c>
      <c r="H45">
        <v>10</v>
      </c>
      <c r="I45">
        <v>4.0999999999999996</v>
      </c>
      <c r="J45" t="s">
        <v>6837</v>
      </c>
    </row>
    <row r="46" spans="1:10" x14ac:dyDescent="0.25">
      <c r="A46" t="s">
        <v>7077</v>
      </c>
      <c r="B46" t="s">
        <v>8184</v>
      </c>
      <c r="C46" t="s">
        <v>8185</v>
      </c>
      <c r="D46">
        <v>9659401399</v>
      </c>
      <c r="E46" t="s">
        <v>8186</v>
      </c>
      <c r="F46" t="s">
        <v>5181</v>
      </c>
      <c r="G46" t="s">
        <v>5112</v>
      </c>
      <c r="H46">
        <v>17</v>
      </c>
      <c r="I46">
        <v>2.7</v>
      </c>
      <c r="J46" t="s">
        <v>6898</v>
      </c>
    </row>
    <row r="47" spans="1:10" x14ac:dyDescent="0.25">
      <c r="A47" t="s">
        <v>6968</v>
      </c>
      <c r="B47" t="s">
        <v>8187</v>
      </c>
      <c r="C47" t="s">
        <v>8188</v>
      </c>
      <c r="D47">
        <v>9967175655</v>
      </c>
      <c r="E47" t="s">
        <v>8189</v>
      </c>
      <c r="F47" t="s">
        <v>5271</v>
      </c>
      <c r="G47" t="s">
        <v>5112</v>
      </c>
      <c r="H47">
        <v>17</v>
      </c>
      <c r="I47">
        <v>4.8</v>
      </c>
      <c r="J47" t="s">
        <v>6837</v>
      </c>
    </row>
    <row r="48" spans="1:10" x14ac:dyDescent="0.25">
      <c r="A48" t="s">
        <v>107</v>
      </c>
      <c r="B48" t="s">
        <v>8190</v>
      </c>
      <c r="C48" t="s">
        <v>8191</v>
      </c>
      <c r="D48">
        <v>9516808760</v>
      </c>
      <c r="E48" t="s">
        <v>8192</v>
      </c>
      <c r="F48" t="s">
        <v>5292</v>
      </c>
      <c r="G48" t="s">
        <v>5098</v>
      </c>
      <c r="H48">
        <v>4</v>
      </c>
      <c r="I48">
        <v>3.6</v>
      </c>
      <c r="J48" t="s">
        <v>6837</v>
      </c>
    </row>
    <row r="49" spans="1:10" x14ac:dyDescent="0.25">
      <c r="A49" t="s">
        <v>7051</v>
      </c>
      <c r="B49" t="s">
        <v>8193</v>
      </c>
      <c r="C49" t="s">
        <v>8194</v>
      </c>
      <c r="D49">
        <v>9771093248</v>
      </c>
      <c r="E49" t="s">
        <v>8195</v>
      </c>
      <c r="F49" t="s">
        <v>5151</v>
      </c>
      <c r="G49" t="s">
        <v>5103</v>
      </c>
      <c r="H49">
        <v>11</v>
      </c>
      <c r="I49">
        <v>3.9</v>
      </c>
      <c r="J49" t="s">
        <v>6837</v>
      </c>
    </row>
    <row r="50" spans="1:10" x14ac:dyDescent="0.25">
      <c r="A50" t="s">
        <v>7022</v>
      </c>
      <c r="B50" t="s">
        <v>8196</v>
      </c>
      <c r="C50" t="s">
        <v>8197</v>
      </c>
      <c r="D50">
        <v>9467737826</v>
      </c>
      <c r="E50" t="s">
        <v>8198</v>
      </c>
      <c r="F50" t="s">
        <v>5142</v>
      </c>
      <c r="G50" t="s">
        <v>5103</v>
      </c>
      <c r="H50">
        <v>18</v>
      </c>
      <c r="I50">
        <v>4.8</v>
      </c>
      <c r="J50" t="s">
        <v>6837</v>
      </c>
    </row>
    <row r="51" spans="1:10" x14ac:dyDescent="0.25">
      <c r="A51" t="s">
        <v>7090</v>
      </c>
      <c r="B51" t="s">
        <v>8199</v>
      </c>
      <c r="C51" t="s">
        <v>8200</v>
      </c>
      <c r="D51">
        <v>9044997278</v>
      </c>
      <c r="E51" t="s">
        <v>8201</v>
      </c>
      <c r="F51" t="s">
        <v>5117</v>
      </c>
      <c r="G51" t="s">
        <v>5118</v>
      </c>
      <c r="H51">
        <v>13</v>
      </c>
      <c r="I51">
        <v>4.8</v>
      </c>
      <c r="J51" t="s">
        <v>6837</v>
      </c>
    </row>
    <row r="52" spans="1:10" x14ac:dyDescent="0.25">
      <c r="A52" t="s">
        <v>6990</v>
      </c>
      <c r="B52" t="s">
        <v>8124</v>
      </c>
      <c r="C52" t="s">
        <v>8202</v>
      </c>
      <c r="D52">
        <v>9963605766</v>
      </c>
      <c r="E52" t="s">
        <v>8203</v>
      </c>
      <c r="F52" t="s">
        <v>5145</v>
      </c>
      <c r="G52" t="s">
        <v>5098</v>
      </c>
      <c r="H52">
        <v>30</v>
      </c>
      <c r="I52">
        <v>3</v>
      </c>
      <c r="J52" t="s">
        <v>6837</v>
      </c>
    </row>
    <row r="53" spans="1:10" x14ac:dyDescent="0.25">
      <c r="A53" t="s">
        <v>7233</v>
      </c>
      <c r="B53" t="s">
        <v>8146</v>
      </c>
      <c r="C53" t="s">
        <v>8204</v>
      </c>
      <c r="D53">
        <v>9262174596</v>
      </c>
      <c r="E53" t="s">
        <v>8205</v>
      </c>
      <c r="F53" t="s">
        <v>5136</v>
      </c>
      <c r="G53" t="s">
        <v>5098</v>
      </c>
      <c r="H53">
        <v>19</v>
      </c>
      <c r="I53">
        <v>4.8</v>
      </c>
      <c r="J53" t="s">
        <v>6898</v>
      </c>
    </row>
    <row r="54" spans="1:10" x14ac:dyDescent="0.25">
      <c r="A54" t="s">
        <v>7087</v>
      </c>
      <c r="B54" t="s">
        <v>8206</v>
      </c>
      <c r="C54" t="s">
        <v>5621</v>
      </c>
      <c r="D54">
        <v>9343161172</v>
      </c>
      <c r="E54" t="s">
        <v>8207</v>
      </c>
      <c r="F54" t="s">
        <v>5117</v>
      </c>
      <c r="G54" t="s">
        <v>5118</v>
      </c>
      <c r="H54">
        <v>30</v>
      </c>
      <c r="I54">
        <v>3.9</v>
      </c>
      <c r="J54" t="s">
        <v>6837</v>
      </c>
    </row>
    <row r="55" spans="1:10" x14ac:dyDescent="0.25">
      <c r="A55" t="s">
        <v>7030</v>
      </c>
      <c r="B55" t="s">
        <v>8208</v>
      </c>
      <c r="C55" t="s">
        <v>8209</v>
      </c>
      <c r="D55">
        <v>9922219693</v>
      </c>
      <c r="E55" t="s">
        <v>8210</v>
      </c>
      <c r="F55" t="s">
        <v>5126</v>
      </c>
      <c r="G55" t="s">
        <v>5118</v>
      </c>
      <c r="H55">
        <v>16</v>
      </c>
      <c r="I55">
        <v>2.9</v>
      </c>
      <c r="J55" t="s">
        <v>6837</v>
      </c>
    </row>
    <row r="56" spans="1:10" x14ac:dyDescent="0.25">
      <c r="A56" t="s">
        <v>112</v>
      </c>
      <c r="B56" t="s">
        <v>8199</v>
      </c>
      <c r="C56" t="s">
        <v>8211</v>
      </c>
      <c r="D56">
        <v>9482175946</v>
      </c>
      <c r="E56" t="s">
        <v>8212</v>
      </c>
      <c r="F56" t="s">
        <v>5145</v>
      </c>
      <c r="G56" t="s">
        <v>5098</v>
      </c>
      <c r="H56">
        <v>24</v>
      </c>
      <c r="I56">
        <v>2.5</v>
      </c>
      <c r="J56" t="s">
        <v>6837</v>
      </c>
    </row>
    <row r="57" spans="1:10" x14ac:dyDescent="0.25">
      <c r="A57" t="s">
        <v>7069</v>
      </c>
      <c r="B57" t="s">
        <v>8184</v>
      </c>
      <c r="C57" t="s">
        <v>8213</v>
      </c>
      <c r="D57">
        <v>9406409097</v>
      </c>
      <c r="E57" t="s">
        <v>8214</v>
      </c>
      <c r="F57" t="s">
        <v>5151</v>
      </c>
      <c r="G57" t="s">
        <v>5103</v>
      </c>
      <c r="H57">
        <v>15</v>
      </c>
      <c r="I57">
        <v>3.9</v>
      </c>
      <c r="J57" t="s">
        <v>6837</v>
      </c>
    </row>
    <row r="58" spans="1:10" x14ac:dyDescent="0.25">
      <c r="A58" t="s">
        <v>8215</v>
      </c>
      <c r="B58" t="s">
        <v>8216</v>
      </c>
      <c r="C58" t="s">
        <v>8217</v>
      </c>
      <c r="D58">
        <v>9210470952</v>
      </c>
      <c r="E58" t="s">
        <v>8218</v>
      </c>
      <c r="F58" t="s">
        <v>5092</v>
      </c>
      <c r="G58" t="s">
        <v>5093</v>
      </c>
      <c r="H58">
        <v>24</v>
      </c>
      <c r="I58">
        <v>4.4000000000000004</v>
      </c>
      <c r="J58" t="s">
        <v>6837</v>
      </c>
    </row>
    <row r="59" spans="1:10" x14ac:dyDescent="0.25">
      <c r="A59" t="s">
        <v>6893</v>
      </c>
      <c r="B59" t="s">
        <v>8219</v>
      </c>
      <c r="C59" t="s">
        <v>8220</v>
      </c>
      <c r="D59">
        <v>9884247451</v>
      </c>
      <c r="E59" t="s">
        <v>8221</v>
      </c>
      <c r="F59" t="s">
        <v>5238</v>
      </c>
      <c r="G59" t="s">
        <v>5093</v>
      </c>
      <c r="H59">
        <v>28</v>
      </c>
      <c r="I59">
        <v>3.8</v>
      </c>
      <c r="J59" t="s">
        <v>6837</v>
      </c>
    </row>
    <row r="60" spans="1:10" x14ac:dyDescent="0.25">
      <c r="A60" t="s">
        <v>7240</v>
      </c>
      <c r="B60" t="s">
        <v>8222</v>
      </c>
      <c r="C60" t="s">
        <v>8223</v>
      </c>
      <c r="D60">
        <v>9817549651</v>
      </c>
      <c r="E60" t="s">
        <v>8224</v>
      </c>
      <c r="F60" t="s">
        <v>5304</v>
      </c>
      <c r="G60" t="s">
        <v>5112</v>
      </c>
      <c r="H60">
        <v>5</v>
      </c>
      <c r="I60">
        <v>4.5</v>
      </c>
      <c r="J60" t="s">
        <v>6898</v>
      </c>
    </row>
    <row r="61" spans="1:10" x14ac:dyDescent="0.25">
      <c r="A61" t="s">
        <v>7193</v>
      </c>
      <c r="B61" t="s">
        <v>8146</v>
      </c>
      <c r="C61" t="s">
        <v>8225</v>
      </c>
      <c r="D61">
        <v>9461200471</v>
      </c>
      <c r="E61" t="s">
        <v>8226</v>
      </c>
      <c r="F61" t="s">
        <v>5122</v>
      </c>
      <c r="G61" t="s">
        <v>5093</v>
      </c>
      <c r="H61">
        <v>23</v>
      </c>
      <c r="I61">
        <v>4.5999999999999996</v>
      </c>
      <c r="J61" t="s">
        <v>6837</v>
      </c>
    </row>
    <row r="62" spans="1:10" x14ac:dyDescent="0.25">
      <c r="A62" t="s">
        <v>7236</v>
      </c>
      <c r="B62" t="s">
        <v>8076</v>
      </c>
      <c r="C62" t="s">
        <v>8227</v>
      </c>
      <c r="D62">
        <v>9617964053</v>
      </c>
      <c r="E62" t="s">
        <v>8228</v>
      </c>
      <c r="F62" t="s">
        <v>5181</v>
      </c>
      <c r="G62" t="s">
        <v>5112</v>
      </c>
      <c r="H62">
        <v>21</v>
      </c>
      <c r="I62">
        <v>4.4000000000000004</v>
      </c>
      <c r="J62" t="s">
        <v>6837</v>
      </c>
    </row>
    <row r="63" spans="1:10" x14ac:dyDescent="0.25">
      <c r="A63" t="s">
        <v>6980</v>
      </c>
      <c r="B63" t="s">
        <v>8229</v>
      </c>
      <c r="C63" t="s">
        <v>8230</v>
      </c>
      <c r="D63">
        <v>9171390053</v>
      </c>
      <c r="E63" t="s">
        <v>8231</v>
      </c>
      <c r="F63" t="s">
        <v>5271</v>
      </c>
      <c r="G63" t="s">
        <v>5112</v>
      </c>
      <c r="H63">
        <v>14</v>
      </c>
      <c r="I63">
        <v>2.7</v>
      </c>
      <c r="J63" t="s">
        <v>6837</v>
      </c>
    </row>
    <row r="64" spans="1:10" x14ac:dyDescent="0.25">
      <c r="A64" t="s">
        <v>6870</v>
      </c>
      <c r="B64" t="s">
        <v>8182</v>
      </c>
      <c r="C64" t="s">
        <v>8232</v>
      </c>
      <c r="D64">
        <v>9904228421</v>
      </c>
      <c r="E64" t="s">
        <v>8233</v>
      </c>
      <c r="F64" t="s">
        <v>5185</v>
      </c>
      <c r="G64" t="s">
        <v>5093</v>
      </c>
      <c r="H64">
        <v>13</v>
      </c>
      <c r="I64">
        <v>4.4000000000000004</v>
      </c>
      <c r="J64" t="s">
        <v>6837</v>
      </c>
    </row>
    <row r="65" spans="1:10" x14ac:dyDescent="0.25">
      <c r="A65" t="s">
        <v>6864</v>
      </c>
      <c r="B65" t="s">
        <v>8234</v>
      </c>
      <c r="C65" t="s">
        <v>8235</v>
      </c>
      <c r="D65">
        <v>9681177589</v>
      </c>
      <c r="E65" t="s">
        <v>8236</v>
      </c>
      <c r="F65" t="s">
        <v>5201</v>
      </c>
      <c r="G65" t="s">
        <v>5118</v>
      </c>
      <c r="H65">
        <v>8</v>
      </c>
      <c r="I65">
        <v>3.2</v>
      </c>
      <c r="J65" t="s">
        <v>6837</v>
      </c>
    </row>
    <row r="66" spans="1:10" x14ac:dyDescent="0.25">
      <c r="A66" t="s">
        <v>6934</v>
      </c>
      <c r="B66" t="s">
        <v>8237</v>
      </c>
      <c r="C66" t="s">
        <v>8238</v>
      </c>
      <c r="D66">
        <v>9766177115</v>
      </c>
      <c r="E66" t="s">
        <v>8239</v>
      </c>
      <c r="F66" t="s">
        <v>5117</v>
      </c>
      <c r="G66" t="s">
        <v>5118</v>
      </c>
      <c r="H66">
        <v>23</v>
      </c>
      <c r="I66">
        <v>4.9000000000000004</v>
      </c>
      <c r="J66" t="s">
        <v>6898</v>
      </c>
    </row>
    <row r="67" spans="1:10" x14ac:dyDescent="0.25">
      <c r="A67" t="s">
        <v>110</v>
      </c>
      <c r="B67" t="s">
        <v>8240</v>
      </c>
      <c r="C67" t="s">
        <v>8241</v>
      </c>
      <c r="D67">
        <v>9118367365</v>
      </c>
      <c r="E67" t="s">
        <v>8242</v>
      </c>
      <c r="F67" t="s">
        <v>5189</v>
      </c>
      <c r="G67" t="s">
        <v>5112</v>
      </c>
      <c r="H67">
        <v>12</v>
      </c>
      <c r="I67">
        <v>3.6</v>
      </c>
      <c r="J67" t="s">
        <v>6837</v>
      </c>
    </row>
    <row r="68" spans="1:10" x14ac:dyDescent="0.25">
      <c r="A68" t="s">
        <v>7168</v>
      </c>
      <c r="B68" t="s">
        <v>8243</v>
      </c>
      <c r="C68" t="s">
        <v>8244</v>
      </c>
      <c r="D68">
        <v>9711116152</v>
      </c>
      <c r="E68" t="s">
        <v>8245</v>
      </c>
      <c r="F68" t="s">
        <v>5126</v>
      </c>
      <c r="G68" t="s">
        <v>5118</v>
      </c>
      <c r="H68">
        <v>14</v>
      </c>
      <c r="I68">
        <v>4.9000000000000004</v>
      </c>
      <c r="J68" t="s">
        <v>6837</v>
      </c>
    </row>
    <row r="69" spans="1:10" x14ac:dyDescent="0.25">
      <c r="A69" t="s">
        <v>8246</v>
      </c>
      <c r="B69" t="s">
        <v>8247</v>
      </c>
      <c r="C69" t="s">
        <v>8248</v>
      </c>
      <c r="D69">
        <v>9049451983</v>
      </c>
      <c r="E69" t="s">
        <v>8249</v>
      </c>
      <c r="F69" t="s">
        <v>5145</v>
      </c>
      <c r="G69" t="s">
        <v>5098</v>
      </c>
      <c r="H69">
        <v>30</v>
      </c>
      <c r="I69">
        <v>4.2</v>
      </c>
      <c r="J69" t="s">
        <v>6837</v>
      </c>
    </row>
    <row r="70" spans="1:10" x14ac:dyDescent="0.25">
      <c r="A70" t="s">
        <v>109</v>
      </c>
      <c r="B70" t="s">
        <v>8250</v>
      </c>
      <c r="C70" t="s">
        <v>8251</v>
      </c>
      <c r="D70">
        <v>9689980940</v>
      </c>
      <c r="E70" t="s">
        <v>8252</v>
      </c>
      <c r="F70" t="s">
        <v>5304</v>
      </c>
      <c r="G70" t="s">
        <v>5112</v>
      </c>
      <c r="H70">
        <v>6</v>
      </c>
      <c r="I70">
        <v>4.4000000000000004</v>
      </c>
      <c r="J70" t="s">
        <v>6837</v>
      </c>
    </row>
    <row r="71" spans="1:10" x14ac:dyDescent="0.25">
      <c r="A71" t="s">
        <v>111</v>
      </c>
      <c r="B71" t="s">
        <v>8253</v>
      </c>
      <c r="C71" t="s">
        <v>5575</v>
      </c>
      <c r="D71">
        <v>9018366752</v>
      </c>
      <c r="E71" t="s">
        <v>8254</v>
      </c>
      <c r="F71" t="s">
        <v>5238</v>
      </c>
      <c r="G71" t="s">
        <v>5093</v>
      </c>
      <c r="H71">
        <v>21</v>
      </c>
      <c r="I71">
        <v>4.0999999999999996</v>
      </c>
      <c r="J71" t="s">
        <v>6898</v>
      </c>
    </row>
    <row r="72" spans="1:10" x14ac:dyDescent="0.25">
      <c r="A72" t="s">
        <v>6943</v>
      </c>
      <c r="B72" t="s">
        <v>8255</v>
      </c>
      <c r="C72" t="s">
        <v>8256</v>
      </c>
      <c r="D72">
        <v>9476797643</v>
      </c>
      <c r="E72" t="s">
        <v>8257</v>
      </c>
      <c r="F72" t="s">
        <v>5238</v>
      </c>
      <c r="G72" t="s">
        <v>5093</v>
      </c>
      <c r="H72">
        <v>27</v>
      </c>
      <c r="I72">
        <v>4</v>
      </c>
      <c r="J72" t="s">
        <v>6837</v>
      </c>
    </row>
    <row r="73" spans="1:10" x14ac:dyDescent="0.25">
      <c r="A73" t="s">
        <v>7040</v>
      </c>
      <c r="B73" t="s">
        <v>8068</v>
      </c>
      <c r="C73" t="s">
        <v>8258</v>
      </c>
      <c r="D73">
        <v>9900343244</v>
      </c>
      <c r="E73" t="s">
        <v>8259</v>
      </c>
      <c r="F73" t="s">
        <v>5292</v>
      </c>
      <c r="G73" t="s">
        <v>5098</v>
      </c>
      <c r="H73">
        <v>24</v>
      </c>
      <c r="I73">
        <v>3.3</v>
      </c>
      <c r="J73" t="s">
        <v>6837</v>
      </c>
    </row>
    <row r="74" spans="1:10" x14ac:dyDescent="0.25">
      <c r="A74" t="s">
        <v>116</v>
      </c>
      <c r="B74" t="s">
        <v>8260</v>
      </c>
      <c r="C74" t="s">
        <v>8261</v>
      </c>
      <c r="D74">
        <v>9516060715</v>
      </c>
      <c r="E74" t="s">
        <v>8262</v>
      </c>
      <c r="F74" t="s">
        <v>5257</v>
      </c>
      <c r="G74" t="s">
        <v>5093</v>
      </c>
      <c r="H74">
        <v>20</v>
      </c>
      <c r="I74">
        <v>4.3</v>
      </c>
      <c r="J74" t="s">
        <v>6837</v>
      </c>
    </row>
    <row r="75" spans="1:10" x14ac:dyDescent="0.25">
      <c r="A75" t="s">
        <v>7145</v>
      </c>
      <c r="B75" t="s">
        <v>8160</v>
      </c>
      <c r="C75" t="s">
        <v>8263</v>
      </c>
      <c r="D75">
        <v>9975161369</v>
      </c>
      <c r="E75" t="s">
        <v>8264</v>
      </c>
      <c r="F75" t="s">
        <v>5248</v>
      </c>
      <c r="G75" t="s">
        <v>5103</v>
      </c>
      <c r="H75">
        <v>3</v>
      </c>
      <c r="I75">
        <v>4.9000000000000004</v>
      </c>
      <c r="J75" t="s">
        <v>6837</v>
      </c>
    </row>
    <row r="76" spans="1:10" x14ac:dyDescent="0.25">
      <c r="A76" t="s">
        <v>6906</v>
      </c>
      <c r="B76" t="s">
        <v>8265</v>
      </c>
      <c r="C76" t="s">
        <v>8266</v>
      </c>
      <c r="D76">
        <v>9188355231</v>
      </c>
      <c r="E76" t="s">
        <v>8267</v>
      </c>
      <c r="F76" t="s">
        <v>5174</v>
      </c>
      <c r="G76" t="s">
        <v>5093</v>
      </c>
      <c r="H76">
        <v>27</v>
      </c>
      <c r="I76">
        <v>2.9</v>
      </c>
      <c r="J76" t="s">
        <v>6837</v>
      </c>
    </row>
    <row r="77" spans="1:10" x14ac:dyDescent="0.25">
      <c r="A77" t="s">
        <v>7045</v>
      </c>
      <c r="B77" t="s">
        <v>8268</v>
      </c>
      <c r="C77" t="s">
        <v>8269</v>
      </c>
      <c r="D77">
        <v>9799552717</v>
      </c>
      <c r="E77" t="s">
        <v>8270</v>
      </c>
      <c r="F77" t="s">
        <v>5196</v>
      </c>
      <c r="G77" t="s">
        <v>5093</v>
      </c>
      <c r="H77">
        <v>17</v>
      </c>
      <c r="I77">
        <v>4.4000000000000004</v>
      </c>
      <c r="J77" t="s">
        <v>6837</v>
      </c>
    </row>
    <row r="78" spans="1:10" x14ac:dyDescent="0.25">
      <c r="A78" t="s">
        <v>8271</v>
      </c>
      <c r="B78" t="s">
        <v>8272</v>
      </c>
      <c r="C78" t="s">
        <v>8273</v>
      </c>
      <c r="D78">
        <v>9541199867</v>
      </c>
      <c r="E78" t="s">
        <v>8274</v>
      </c>
      <c r="F78" t="s">
        <v>5111</v>
      </c>
      <c r="G78" t="s">
        <v>5112</v>
      </c>
      <c r="H78">
        <v>12</v>
      </c>
      <c r="I78">
        <v>3.7</v>
      </c>
      <c r="J78" t="s">
        <v>6898</v>
      </c>
    </row>
    <row r="79" spans="1:10" x14ac:dyDescent="0.25">
      <c r="A79" t="s">
        <v>6836</v>
      </c>
      <c r="B79" t="s">
        <v>8275</v>
      </c>
      <c r="C79" t="s">
        <v>8276</v>
      </c>
      <c r="D79">
        <v>9151820377</v>
      </c>
      <c r="E79" t="s">
        <v>8277</v>
      </c>
      <c r="F79" t="s">
        <v>5181</v>
      </c>
      <c r="G79" t="s">
        <v>5112</v>
      </c>
      <c r="H79">
        <v>19</v>
      </c>
      <c r="I79">
        <v>2.9</v>
      </c>
      <c r="J79" t="s">
        <v>6898</v>
      </c>
    </row>
    <row r="80" spans="1:10" x14ac:dyDescent="0.25">
      <c r="A80" t="s">
        <v>6955</v>
      </c>
      <c r="B80" t="s">
        <v>8278</v>
      </c>
      <c r="C80" t="s">
        <v>8279</v>
      </c>
      <c r="D80">
        <v>9515186449</v>
      </c>
      <c r="E80" t="s">
        <v>8280</v>
      </c>
      <c r="F80" t="s">
        <v>5107</v>
      </c>
      <c r="G80" t="s">
        <v>5098</v>
      </c>
      <c r="H80">
        <v>27</v>
      </c>
      <c r="I80">
        <v>3.3</v>
      </c>
      <c r="J80" t="s">
        <v>6837</v>
      </c>
    </row>
    <row r="81" spans="1:10" x14ac:dyDescent="0.25">
      <c r="A81" t="s">
        <v>7081</v>
      </c>
      <c r="B81" t="s">
        <v>8281</v>
      </c>
      <c r="C81" t="s">
        <v>8282</v>
      </c>
      <c r="D81">
        <v>9486528168</v>
      </c>
      <c r="E81" t="s">
        <v>8283</v>
      </c>
      <c r="F81" t="s">
        <v>5117</v>
      </c>
      <c r="G81" t="s">
        <v>5118</v>
      </c>
      <c r="H81">
        <v>7</v>
      </c>
      <c r="I81">
        <v>4</v>
      </c>
      <c r="J81" t="s">
        <v>6837</v>
      </c>
    </row>
    <row r="82" spans="1:10" x14ac:dyDescent="0.25">
      <c r="A82" t="s">
        <v>7251</v>
      </c>
      <c r="B82" t="s">
        <v>8114</v>
      </c>
      <c r="C82" t="s">
        <v>8284</v>
      </c>
      <c r="D82">
        <v>9418880592</v>
      </c>
      <c r="E82" t="s">
        <v>8285</v>
      </c>
      <c r="F82" t="s">
        <v>5155</v>
      </c>
      <c r="G82" t="s">
        <v>5098</v>
      </c>
      <c r="H82">
        <v>10</v>
      </c>
      <c r="I82">
        <v>5</v>
      </c>
      <c r="J82" t="s">
        <v>6837</v>
      </c>
    </row>
    <row r="83" spans="1:10" x14ac:dyDescent="0.25">
      <c r="A83" t="s">
        <v>7248</v>
      </c>
      <c r="B83" t="s">
        <v>8286</v>
      </c>
      <c r="C83" t="s">
        <v>7691</v>
      </c>
      <c r="D83">
        <v>9794738347</v>
      </c>
      <c r="E83" t="s">
        <v>8287</v>
      </c>
      <c r="F83" t="s">
        <v>5248</v>
      </c>
      <c r="G83" t="s">
        <v>5103</v>
      </c>
      <c r="H83">
        <v>14</v>
      </c>
      <c r="I83">
        <v>4.2</v>
      </c>
      <c r="J83" t="s">
        <v>6837</v>
      </c>
    </row>
    <row r="84" spans="1:10" x14ac:dyDescent="0.25">
      <c r="A84" t="s">
        <v>6911</v>
      </c>
      <c r="B84" t="s">
        <v>8288</v>
      </c>
      <c r="C84" t="s">
        <v>8289</v>
      </c>
      <c r="D84">
        <v>9392407581</v>
      </c>
      <c r="E84" t="s">
        <v>8290</v>
      </c>
      <c r="F84" t="s">
        <v>5292</v>
      </c>
      <c r="G84" t="s">
        <v>5098</v>
      </c>
      <c r="H84">
        <v>19</v>
      </c>
      <c r="I84">
        <v>3.5</v>
      </c>
      <c r="J84" t="s">
        <v>6837</v>
      </c>
    </row>
    <row r="85" spans="1:10" x14ac:dyDescent="0.25">
      <c r="A85" t="s">
        <v>108</v>
      </c>
      <c r="B85" t="s">
        <v>8291</v>
      </c>
      <c r="C85" t="s">
        <v>8292</v>
      </c>
      <c r="D85">
        <v>9375060685</v>
      </c>
      <c r="E85" t="s">
        <v>8293</v>
      </c>
      <c r="F85" t="s">
        <v>5292</v>
      </c>
      <c r="G85" t="s">
        <v>5098</v>
      </c>
      <c r="H85">
        <v>7</v>
      </c>
      <c r="I85">
        <v>4.5999999999999996</v>
      </c>
      <c r="J85" t="s">
        <v>6837</v>
      </c>
    </row>
    <row r="86" spans="1:10" x14ac:dyDescent="0.25">
      <c r="A86" t="s">
        <v>7159</v>
      </c>
      <c r="B86" t="s">
        <v>8294</v>
      </c>
      <c r="C86" t="s">
        <v>8295</v>
      </c>
      <c r="D86">
        <v>9727790104</v>
      </c>
      <c r="E86" t="s">
        <v>8296</v>
      </c>
      <c r="F86" t="s">
        <v>5130</v>
      </c>
      <c r="G86" t="s">
        <v>5103</v>
      </c>
      <c r="H86">
        <v>28</v>
      </c>
      <c r="I86">
        <v>2.9</v>
      </c>
      <c r="J86" t="s">
        <v>6898</v>
      </c>
    </row>
    <row r="87" spans="1:10" x14ac:dyDescent="0.25">
      <c r="A87" t="s">
        <v>6983</v>
      </c>
      <c r="B87" t="s">
        <v>8297</v>
      </c>
      <c r="C87" t="s">
        <v>8298</v>
      </c>
      <c r="D87">
        <v>9697117980</v>
      </c>
      <c r="E87" t="s">
        <v>8299</v>
      </c>
      <c r="F87" t="s">
        <v>5369</v>
      </c>
      <c r="G87" t="s">
        <v>5103</v>
      </c>
      <c r="H87">
        <v>10</v>
      </c>
      <c r="I87">
        <v>3.3</v>
      </c>
      <c r="J87" t="s">
        <v>6898</v>
      </c>
    </row>
    <row r="88" spans="1:10" x14ac:dyDescent="0.25">
      <c r="A88" t="s">
        <v>7018</v>
      </c>
      <c r="B88" t="s">
        <v>8300</v>
      </c>
      <c r="C88" t="s">
        <v>8301</v>
      </c>
      <c r="D88">
        <v>9185188888</v>
      </c>
      <c r="E88" t="s">
        <v>8302</v>
      </c>
      <c r="F88" t="s">
        <v>5366</v>
      </c>
      <c r="G88" t="s">
        <v>5103</v>
      </c>
      <c r="H88">
        <v>14</v>
      </c>
      <c r="I88">
        <v>3.1</v>
      </c>
      <c r="J88" t="s">
        <v>6837</v>
      </c>
    </row>
    <row r="89" spans="1:10" x14ac:dyDescent="0.25">
      <c r="A89" t="s">
        <v>7014</v>
      </c>
      <c r="B89" t="s">
        <v>8303</v>
      </c>
      <c r="C89" t="s">
        <v>8304</v>
      </c>
      <c r="D89">
        <v>9195205852</v>
      </c>
      <c r="E89" t="s">
        <v>8305</v>
      </c>
      <c r="F89" t="s">
        <v>5201</v>
      </c>
      <c r="G89" t="s">
        <v>5118</v>
      </c>
      <c r="H89">
        <v>14</v>
      </c>
      <c r="I89">
        <v>4.5</v>
      </c>
      <c r="J89" t="s">
        <v>6837</v>
      </c>
    </row>
    <row r="90" spans="1:10" x14ac:dyDescent="0.25">
      <c r="A90" t="s">
        <v>6972</v>
      </c>
      <c r="B90" t="s">
        <v>8306</v>
      </c>
      <c r="C90" t="s">
        <v>8200</v>
      </c>
      <c r="D90">
        <v>9054868740</v>
      </c>
      <c r="E90" t="s">
        <v>8307</v>
      </c>
      <c r="F90" t="s">
        <v>5136</v>
      </c>
      <c r="G90" t="s">
        <v>5098</v>
      </c>
      <c r="H90">
        <v>12</v>
      </c>
      <c r="I90">
        <v>3</v>
      </c>
      <c r="J90" t="s">
        <v>6837</v>
      </c>
    </row>
    <row r="91" spans="1:10" x14ac:dyDescent="0.25">
      <c r="A91" t="s">
        <v>6964</v>
      </c>
      <c r="B91" t="s">
        <v>8255</v>
      </c>
      <c r="C91" t="s">
        <v>7926</v>
      </c>
      <c r="D91">
        <v>9765277584</v>
      </c>
      <c r="E91" t="s">
        <v>8308</v>
      </c>
      <c r="F91" t="s">
        <v>5201</v>
      </c>
      <c r="G91" t="s">
        <v>5118</v>
      </c>
      <c r="H91">
        <v>28</v>
      </c>
      <c r="I91">
        <v>3.4</v>
      </c>
      <c r="J91" t="s">
        <v>6837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3" width="22" customWidth="1"/>
  </cols>
  <sheetData>
    <row r="1" spans="1:3" x14ac:dyDescent="0.25">
      <c r="A1" s="19" t="s">
        <v>8309</v>
      </c>
      <c r="B1" s="19" t="s">
        <v>8310</v>
      </c>
      <c r="C1" s="19" t="s">
        <v>8311</v>
      </c>
    </row>
    <row r="2" spans="1:3" x14ac:dyDescent="0.25">
      <c r="A2" t="s">
        <v>8312</v>
      </c>
      <c r="B2" t="s">
        <v>8313</v>
      </c>
      <c r="C2">
        <v>6</v>
      </c>
    </row>
    <row r="3" spans="1:3" x14ac:dyDescent="0.25">
      <c r="A3" t="s">
        <v>8312</v>
      </c>
      <c r="B3" t="s">
        <v>8314</v>
      </c>
      <c r="C3">
        <v>5</v>
      </c>
    </row>
    <row r="4" spans="1:3" x14ac:dyDescent="0.25">
      <c r="A4" t="s">
        <v>8312</v>
      </c>
      <c r="B4" t="s">
        <v>8315</v>
      </c>
      <c r="C4">
        <v>6</v>
      </c>
    </row>
    <row r="5" spans="1:3" x14ac:dyDescent="0.25">
      <c r="A5" t="s">
        <v>8312</v>
      </c>
      <c r="B5" t="s">
        <v>8316</v>
      </c>
      <c r="C5">
        <v>5</v>
      </c>
    </row>
    <row r="6" spans="1:3" x14ac:dyDescent="0.25">
      <c r="A6" t="s">
        <v>8312</v>
      </c>
      <c r="B6" t="s">
        <v>8317</v>
      </c>
      <c r="C6">
        <v>5</v>
      </c>
    </row>
    <row r="7" spans="1:3" x14ac:dyDescent="0.25">
      <c r="A7" t="s">
        <v>8312</v>
      </c>
      <c r="B7" t="s">
        <v>8318</v>
      </c>
      <c r="C7">
        <v>8</v>
      </c>
    </row>
    <row r="8" spans="1:3" x14ac:dyDescent="0.25">
      <c r="A8" t="s">
        <v>8312</v>
      </c>
      <c r="B8" t="s">
        <v>8319</v>
      </c>
      <c r="C8">
        <v>4</v>
      </c>
    </row>
    <row r="9" spans="1:3" x14ac:dyDescent="0.25">
      <c r="A9" t="s">
        <v>8312</v>
      </c>
      <c r="B9" t="s">
        <v>8320</v>
      </c>
      <c r="C9">
        <v>52</v>
      </c>
    </row>
    <row r="10" spans="1:3" x14ac:dyDescent="0.25">
      <c r="A10" t="s">
        <v>8312</v>
      </c>
      <c r="B10" t="s">
        <v>8321</v>
      </c>
      <c r="C10">
        <v>5</v>
      </c>
    </row>
    <row r="11" spans="1:3" x14ac:dyDescent="0.25">
      <c r="A11" t="s">
        <v>8312</v>
      </c>
      <c r="B11" t="s">
        <v>8322</v>
      </c>
      <c r="C11">
        <v>179</v>
      </c>
    </row>
    <row r="12" spans="1:3" x14ac:dyDescent="0.25">
      <c r="A12" t="s">
        <v>8323</v>
      </c>
      <c r="B12" t="s">
        <v>8324</v>
      </c>
      <c r="C12">
        <v>5</v>
      </c>
    </row>
    <row r="13" spans="1:3" x14ac:dyDescent="0.25">
      <c r="A13" t="s">
        <v>8323</v>
      </c>
      <c r="B13" t="s">
        <v>8325</v>
      </c>
      <c r="C13">
        <v>5</v>
      </c>
    </row>
    <row r="14" spans="1:3" x14ac:dyDescent="0.25">
      <c r="A14" t="s">
        <v>8323</v>
      </c>
      <c r="B14" t="s">
        <v>8326</v>
      </c>
      <c r="C14">
        <v>5</v>
      </c>
    </row>
    <row r="15" spans="1:3" x14ac:dyDescent="0.25">
      <c r="A15" t="s">
        <v>8323</v>
      </c>
      <c r="B15" t="s">
        <v>8327</v>
      </c>
      <c r="C15">
        <v>10</v>
      </c>
    </row>
    <row r="16" spans="1:3" x14ac:dyDescent="0.25">
      <c r="A16" t="s">
        <v>8323</v>
      </c>
      <c r="B16" t="s">
        <v>8328</v>
      </c>
      <c r="C16">
        <v>5</v>
      </c>
    </row>
    <row r="17" spans="1:3" x14ac:dyDescent="0.25">
      <c r="A17" t="s">
        <v>8329</v>
      </c>
      <c r="B17" t="s">
        <v>8330</v>
      </c>
      <c r="C17">
        <v>1</v>
      </c>
    </row>
    <row r="18" spans="1:3" x14ac:dyDescent="0.25">
      <c r="A18" t="s">
        <v>8329</v>
      </c>
      <c r="B18" t="s">
        <v>8331</v>
      </c>
      <c r="C18">
        <v>4</v>
      </c>
    </row>
    <row r="19" spans="1:3" x14ac:dyDescent="0.25">
      <c r="A19" t="s">
        <v>8329</v>
      </c>
      <c r="B19" t="s">
        <v>8332</v>
      </c>
      <c r="C19">
        <v>8</v>
      </c>
    </row>
    <row r="20" spans="1:3" x14ac:dyDescent="0.25">
      <c r="A20" t="s">
        <v>8333</v>
      </c>
      <c r="B20" t="s">
        <v>8334</v>
      </c>
      <c r="C20">
        <v>3</v>
      </c>
    </row>
    <row r="21" spans="1:3" x14ac:dyDescent="0.25">
      <c r="A21" t="s">
        <v>8333</v>
      </c>
      <c r="B21" t="s">
        <v>8335</v>
      </c>
      <c r="C21">
        <v>2</v>
      </c>
    </row>
    <row r="22" spans="1:3" x14ac:dyDescent="0.25">
      <c r="A22" t="s">
        <v>8336</v>
      </c>
      <c r="B22" t="s">
        <v>8324</v>
      </c>
      <c r="C22">
        <v>2</v>
      </c>
    </row>
    <row r="23" spans="1:3" x14ac:dyDescent="0.25">
      <c r="A23" t="s">
        <v>8336</v>
      </c>
      <c r="B23" t="s">
        <v>8335</v>
      </c>
      <c r="C23">
        <v>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Sales_Transactions</vt:lpstr>
      <vt:lpstr>Customers</vt:lpstr>
      <vt:lpstr>Products</vt:lpstr>
      <vt:lpstr>Stores</vt:lpstr>
      <vt:lpstr>Employees</vt:lpstr>
      <vt:lpstr>Suppliers</vt:lpstr>
      <vt:lpstr>Data_Cleaning_Log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S0397307</cp:lastModifiedBy>
  <cp:revision>1</cp:revision>
  <dcterms:created xsi:type="dcterms:W3CDTF">2026-08-01T17:50:39Z</dcterms:created>
  <dcterms:modified xsi:type="dcterms:W3CDTF">2026-08-16T07:07:41Z</dcterms:modified>
  <dc:language>en-US</dc:language>
</cp:coreProperties>
</file>